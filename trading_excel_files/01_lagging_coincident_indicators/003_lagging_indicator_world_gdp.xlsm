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tables/table1.xml" ContentType="application/vnd.openxmlformats-officedocument.spreadsheetml.table+xml"/>
  <Override PartName="/xl/worksheets/sheet9.xml" ContentType="application/vnd.openxmlformats-officedocument.spreadsheetml.worksheet+xml"/>
  <Override PartName="/xl/drawings/drawing4.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8520" yWindow="-60" windowWidth="57200" windowHeight="25860" tabRatio="600" firstSheet="0" activeTab="1"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Table yoy" sheetId="4" state="visible" r:id="rId4"/>
    <sheet xmlns:r="http://schemas.openxmlformats.org/officeDocument/2006/relationships" name="Table qoq" sheetId="5" state="visible" r:id="rId5"/>
    <sheet xmlns:r="http://schemas.openxmlformats.org/officeDocument/2006/relationships" name="Table qoq annualized" sheetId="6" state="visible" r:id="rId6"/>
    <sheet xmlns:r="http://schemas.openxmlformats.org/officeDocument/2006/relationships" name="World GDP" sheetId="7" state="visible" r:id="rId7"/>
    <sheet xmlns:r="http://schemas.openxmlformats.org/officeDocument/2006/relationships" name="Global View yoy" sheetId="8" state="visible" r:id="rId8"/>
    <sheet xmlns:r="http://schemas.openxmlformats.org/officeDocument/2006/relationships" name="Global View qoq" sheetId="9" state="visible" r:id="rId9"/>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8"/>
      <scheme val="minor"/>
    </font>
    <font>
      <name val="Arial"/>
      <family val="2"/>
      <color rgb="FFFFFFFF"/>
      <sz val="11"/>
    </font>
    <font>
      <name val="Arial"/>
      <family val="2"/>
      <color rgb="FF333333"/>
      <sz val="11"/>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27">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FF"/>
        <bgColor indexed="64"/>
      </patternFill>
    </fill>
    <fill>
      <patternFill patternType="solid">
        <fgColor rgb="FFE4FFE4"/>
        <bgColor indexed="64"/>
      </patternFill>
    </fill>
    <fill>
      <patternFill patternType="solid">
        <fgColor rgb="FFFFE4E4"/>
        <bgColor indexed="64"/>
      </patternFill>
    </fill>
    <fill>
      <patternFill patternType="solid">
        <fgColor rgb="FF69FF69"/>
        <bgColor indexed="64"/>
      </patternFill>
    </fill>
    <fill>
      <patternFill patternType="solid">
        <fgColor rgb="FFFFECEC"/>
        <bgColor indexed="64"/>
      </patternFill>
    </fill>
    <fill>
      <patternFill patternType="solid">
        <fgColor rgb="FFFAFFFA"/>
        <bgColor indexed="64"/>
      </patternFill>
    </fill>
    <fill>
      <patternFill patternType="solid">
        <fgColor rgb="FFFFF5F5"/>
        <bgColor indexed="64"/>
      </patternFill>
    </fill>
    <fill>
      <patternFill patternType="solid">
        <fgColor rgb="FFEDFFED"/>
        <bgColor indexed="64"/>
      </patternFill>
    </fill>
    <fill>
      <patternFill patternType="solid">
        <fgColor rgb="FF9FFF9F"/>
        <bgColor indexed="64"/>
      </patternFill>
    </fill>
    <fill>
      <patternFill patternType="solid">
        <fgColor rgb="FFFFF3F3"/>
        <bgColor indexed="64"/>
      </patternFill>
    </fill>
    <fill>
      <patternFill patternType="solid">
        <fgColor rgb="FFFFF4F4"/>
        <bgColor indexed="64"/>
      </patternFill>
    </fill>
    <fill>
      <patternFill patternType="solid">
        <fgColor rgb="FFFFF8F8"/>
        <bgColor indexed="64"/>
      </patternFill>
    </fill>
    <fill>
      <patternFill patternType="solid">
        <fgColor rgb="FFD0FFD0"/>
        <bgColor indexed="64"/>
      </patternFill>
    </fill>
    <fill>
      <patternFill patternType="solid">
        <fgColor rgb="FFCCFFCC"/>
        <bgColor indexed="64"/>
      </patternFill>
    </fill>
    <fill>
      <patternFill patternType="solid">
        <fgColor rgb="FFD1FFD1"/>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rgb="FFDDDDDD"/>
      </top>
      <bottom/>
      <diagonal/>
    </border>
    <border>
      <left/>
      <right/>
      <top/>
      <bottom style="medium">
        <color rgb="FFDDDDDD"/>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medium">
        <color indexed="64"/>
      </top>
      <bottom/>
      <diagonal/>
    </border>
    <border>
      <left/>
      <right style="medium">
        <color indexed="64"/>
      </right>
      <top style="medium">
        <color indexed="64"/>
      </top>
      <bottom/>
      <diagonal/>
    </border>
  </borders>
  <cellStyleXfs count="3">
    <xf numFmtId="0" fontId="2" fillId="0" borderId="0"/>
    <xf numFmtId="9" fontId="2" fillId="0" borderId="0"/>
    <xf numFmtId="0" fontId="11" fillId="0" borderId="0"/>
  </cellStyleXfs>
  <cellXfs count="108">
    <xf numFmtId="0" fontId="0" fillId="0" borderId="0" pivotButton="0" quotePrefix="0" xfId="0"/>
    <xf numFmtId="0" fontId="1" fillId="2" borderId="0" pivotButton="0" quotePrefix="0" xfId="0"/>
    <xf numFmtId="2" fontId="0" fillId="0" borderId="0" pivotButton="0" quotePrefix="0" xfId="0"/>
    <xf numFmtId="17"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12" fillId="2" borderId="18" applyAlignment="1" pivotButton="0" quotePrefix="0" xfId="0">
      <alignment horizontal="center"/>
    </xf>
    <xf numFmtId="164" fontId="12" fillId="2" borderId="17" applyAlignment="1" pivotButton="0" quotePrefix="0" xfId="0">
      <alignment horizontal="center"/>
    </xf>
    <xf numFmtId="164" fontId="12" fillId="2" borderId="9" applyAlignment="1" pivotButton="0" quotePrefix="0" xfId="0">
      <alignment horizontal="center"/>
    </xf>
    <xf numFmtId="164" fontId="12" fillId="2" borderId="19" applyAlignment="1" pivotButton="0" quotePrefix="0" xfId="0">
      <alignment horizontal="center"/>
    </xf>
    <xf numFmtId="164" fontId="12"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4" fillId="10" borderId="0" applyAlignment="1" pivotButton="0" quotePrefix="0" xfId="0">
      <alignment horizontal="center" wrapText="1"/>
    </xf>
    <xf numFmtId="10" fontId="1" fillId="2" borderId="0" pivotButton="0" quotePrefix="0" xfId="0"/>
    <xf numFmtId="10" fontId="13"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5" fillId="10" borderId="0" applyAlignment="1" pivotButton="0" quotePrefix="0" xfId="2">
      <alignment horizontal="center" wrapText="1"/>
    </xf>
    <xf numFmtId="10" fontId="15" fillId="10" borderId="0" applyAlignment="1" pivotButton="0" quotePrefix="0" xfId="0">
      <alignment horizontal="center" wrapText="1"/>
    </xf>
    <xf numFmtId="164" fontId="15"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6" fillId="0" borderId="0" pivotButton="0" quotePrefix="0" xfId="0"/>
    <xf numFmtId="0" fontId="18" fillId="11" borderId="1" applyAlignment="1" pivotButton="0" quotePrefix="0" xfId="0">
      <alignment horizontal="center" vertical="center"/>
    </xf>
    <xf numFmtId="0" fontId="18" fillId="11" borderId="1" applyAlignment="1" pivotButton="0" quotePrefix="0" xfId="0">
      <alignment vertical="center"/>
    </xf>
    <xf numFmtId="0" fontId="18" fillId="11" borderId="16" applyAlignment="1" pivotButton="0" quotePrefix="0" xfId="0">
      <alignment horizontal="center" vertical="center"/>
    </xf>
    <xf numFmtId="0" fontId="19" fillId="11" borderId="17" pivotButton="0" quotePrefix="0" xfId="0"/>
    <xf numFmtId="0" fontId="19" fillId="11" borderId="19" pivotButton="0" quotePrefix="0" xfId="0"/>
    <xf numFmtId="0" fontId="11" fillId="0" borderId="0" pivotButton="0" quotePrefix="0" xfId="2"/>
    <xf numFmtId="17" fontId="20" fillId="3" borderId="2" applyAlignment="1" pivotButton="0" quotePrefix="0" xfId="0">
      <alignment horizontal="left" vertical="top" wrapText="1"/>
    </xf>
    <xf numFmtId="14" fontId="14" fillId="3" borderId="5" pivotButton="0" quotePrefix="0" xfId="0"/>
    <xf numFmtId="14" fontId="14" fillId="3" borderId="7" pivotButton="0" quotePrefix="0" xfId="0"/>
    <xf numFmtId="0" fontId="14" fillId="2" borderId="0" pivotButton="0" quotePrefix="0" xfId="0"/>
    <xf numFmtId="0" fontId="10" fillId="12" borderId="14" applyAlignment="1" pivotButton="0" quotePrefix="0" xfId="0">
      <alignment horizontal="center" vertical="top" wrapText="1"/>
    </xf>
    <xf numFmtId="10" fontId="10" fillId="13" borderId="14" applyAlignment="1" pivotButton="0" quotePrefix="0" xfId="0">
      <alignment horizontal="center" vertical="top" wrapText="1"/>
    </xf>
    <xf numFmtId="10" fontId="10" fillId="14" borderId="14" applyAlignment="1" pivotButton="0" quotePrefix="0" xfId="0">
      <alignment horizontal="center" vertical="top" wrapText="1"/>
    </xf>
    <xf numFmtId="10" fontId="10" fillId="15" borderId="14" applyAlignment="1" pivotButton="0" quotePrefix="0" xfId="0">
      <alignment horizontal="center" vertical="top" wrapText="1"/>
    </xf>
    <xf numFmtId="10" fontId="10" fillId="16" borderId="14" applyAlignment="1" pivotButton="0" quotePrefix="0" xfId="0">
      <alignment horizontal="center" vertical="top" wrapText="1"/>
    </xf>
    <xf numFmtId="10" fontId="10" fillId="17" borderId="14" applyAlignment="1" pivotButton="0" quotePrefix="0" xfId="0">
      <alignment horizontal="center" vertical="top" wrapText="1"/>
    </xf>
    <xf numFmtId="10" fontId="10" fillId="18" borderId="14" applyAlignment="1" pivotButton="0" quotePrefix="0" xfId="0">
      <alignment horizontal="center" vertical="top" wrapText="1"/>
    </xf>
    <xf numFmtId="10" fontId="10" fillId="20" borderId="14" applyAlignment="1" pivotButton="0" quotePrefix="0" xfId="0">
      <alignment horizontal="center" vertical="top" wrapText="1"/>
    </xf>
    <xf numFmtId="10" fontId="10" fillId="21" borderId="14" applyAlignment="1" pivotButton="0" quotePrefix="0" xfId="0">
      <alignment horizontal="center" vertical="top" wrapText="1"/>
    </xf>
    <xf numFmtId="10" fontId="10" fillId="19" borderId="14" applyAlignment="1" pivotButton="0" quotePrefix="0" xfId="0">
      <alignment horizontal="center" vertical="top" wrapText="1"/>
    </xf>
    <xf numFmtId="10" fontId="10" fillId="22" borderId="14" applyAlignment="1" pivotButton="0" quotePrefix="0" xfId="0">
      <alignment horizontal="center" vertical="top" wrapText="1"/>
    </xf>
    <xf numFmtId="10" fontId="10" fillId="23" borderId="14" applyAlignment="1" pivotButton="0" quotePrefix="0" xfId="0">
      <alignment horizontal="center" vertical="top" wrapText="1"/>
    </xf>
    <xf numFmtId="10" fontId="10" fillId="24" borderId="14" applyAlignment="1" pivotButton="0" quotePrefix="0" xfId="0">
      <alignment horizontal="center" vertical="top" wrapText="1"/>
    </xf>
    <xf numFmtId="10" fontId="10" fillId="25" borderId="14" applyAlignment="1" pivotButton="0" quotePrefix="0" xfId="0">
      <alignment horizontal="center" vertical="top" wrapText="1"/>
    </xf>
    <xf numFmtId="10" fontId="10" fillId="26" borderId="14" applyAlignment="1" pivotButton="0" quotePrefix="0" xfId="0">
      <alignment horizontal="center" vertical="top" wrapText="1"/>
    </xf>
    <xf numFmtId="0" fontId="0" fillId="0" borderId="0" pivotButton="0" quotePrefix="0" xfId="0"/>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20" pivotButton="0" quotePrefix="0" xfId="0"/>
    <xf numFmtId="0" fontId="0" fillId="0" borderId="16" pivotButton="0" quotePrefix="0" xfId="0"/>
    <xf numFmtId="0" fontId="1" fillId="11" borderId="3" applyAlignment="1" pivotButton="0" quotePrefix="0" xfId="0">
      <alignment horizontal="center"/>
    </xf>
    <xf numFmtId="0" fontId="0" fillId="0" borderId="21" pivotButton="0" quotePrefix="0" xfId="0"/>
    <xf numFmtId="0" fontId="0" fillId="0" borderId="22" pivotButton="0" quotePrefix="0" xfId="0"/>
    <xf numFmtId="0" fontId="17" fillId="2" borderId="0" applyAlignment="1" pivotButton="0" quotePrefix="0" xfId="0">
      <alignment wrapText="1"/>
    </xf>
    <xf numFmtId="0" fontId="0" fillId="2" borderId="0" applyAlignment="1" pivotButton="0" quotePrefix="0" xfId="0">
      <alignment wrapText="1"/>
    </xf>
    <xf numFmtId="0" fontId="11" fillId="2" borderId="0" pivotButton="0" quotePrefix="0" xfId="2"/>
    <xf numFmtId="0" fontId="9" fillId="2" borderId="15" applyAlignment="1" pivotButton="0" quotePrefix="0" xfId="0">
      <alignment horizontal="left" vertical="center"/>
    </xf>
    <xf numFmtId="0" fontId="0" fillId="0" borderId="15" pivotButton="0" quotePrefix="0" xfId="0"/>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min val="3899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majorUnit val="6"/>
        <major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12.182002705</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omments/comment1.xml><?xml version="1.0" encoding="utf-8"?>
<comments xmlns="http://schemas.openxmlformats.org/spreadsheetml/2006/main">
  <authors>
    <author>g.dupont</author>
  </authors>
  <commentList>
    <comment ref="B2" authorId="0" shapeId="0">
      <text>
        <t>g.dupont:
Changed on the 31/10/2018 to 01/07/1947 instead of 01/04/1947</t>
      </text>
    </comment>
  </commentList>
</comments>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s>
</file>

<file path=xl/drawings/drawing1.xml><?xml version="1.0" encoding="utf-8"?>
<wsDr xmlns="http://schemas.openxmlformats.org/drawingml/2006/spreadsheetDrawing">
  <twoCellAnchor>
    <from>
      <col>12</col>
      <colOff>9525</colOff>
      <row>1</row>
      <rowOff>142875</rowOff>
    </from>
    <to>
      <col>16</col>
      <colOff>0</colOff>
      <row>7</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9524</colOff>
      <row>270</row>
      <rowOff>9525</rowOff>
    </from>
    <to>
      <col>11</col>
      <colOff>609599</colOff>
      <row>289</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5</col>
      <colOff>476249</colOff>
      <row>253</row>
      <rowOff>57150</rowOff>
    </from>
    <to>
      <col>13</col>
      <colOff>466724</colOff>
      <row>273</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400050</colOff>
      <row>274</row>
      <rowOff>0</rowOff>
    </from>
    <to>
      <col>13</col>
      <colOff>390525</colOff>
      <row>293</row>
      <rowOff>171450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298" headerRowCount="1" totalsRowShown="0" headerRowDxfId="10" dataDxfId="9">
  <autoFilter ref="A1:C298"/>
  <tableColumns count="3">
    <tableColumn id="1" name="Data" dataDxfId="8"/>
    <tableColumn id="2" name="USA" dataDxfId="7">
      <calculatedColumnFormula>VLOOKUP(A2,'Data yoy'!$B:$AT,MATCH($B$1,'Data yoy'!$B$1:$AT$1,0),FALSE)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298" headerRowCount="1" totalsRowShown="0" headerRowDxfId="5" dataDxfId="4">
  <autoFilter ref="A1:D298"/>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 Type="http://schemas.openxmlformats.org/officeDocument/2006/relationships/drawing" Target="/xl/drawings/drawing1.xml" Id="rId4"/></Relationships>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hyperlink" Target="https://tradingeconomics.com/" TargetMode="External" Id="rId1"/></Relationships>
</file>

<file path=xl/worksheets/_rels/sheet8.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1.xml" Id="rId2"/></Relationships>
</file>

<file path=xl/worksheets/_rels/sheet9.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P40"/>
  <sheetViews>
    <sheetView zoomScale="130" zoomScaleNormal="130" workbookViewId="0">
      <selection activeCell="B13" sqref="B13:F13"/>
    </sheetView>
  </sheetViews>
  <sheetFormatPr baseColWidth="10" defaultColWidth="9.1640625" defaultRowHeight="15"/>
  <cols>
    <col width="5.1640625" customWidth="1" style="93" min="1" max="1"/>
    <col width="12.83203125" customWidth="1" style="93" min="2" max="10"/>
    <col width="6.6640625" customWidth="1" style="93" min="11" max="12"/>
    <col width="18" customWidth="1" style="93" min="13" max="16"/>
    <col width="9.1640625" customWidth="1" style="93" min="17" max="18"/>
    <col width="9.1640625" customWidth="1" style="93" min="19" max="16384"/>
  </cols>
  <sheetData>
    <row r="1">
      <c r="B1" s="92" t="n"/>
    </row>
    <row r="2" ht="16" customHeight="1" s="89" thickBot="1">
      <c r="B2" s="94" t="n"/>
      <c r="C2" s="94" t="n"/>
      <c r="D2" s="94" t="n"/>
      <c r="E2" s="94" t="n"/>
      <c r="F2" s="94" t="n"/>
      <c r="G2" s="94" t="n"/>
      <c r="H2" s="94" t="n"/>
      <c r="I2" s="94" t="n"/>
      <c r="J2" s="94" t="n"/>
    </row>
    <row r="3" ht="16" customHeight="1" s="89" thickBot="1">
      <c r="B3" s="95" t="inlineStr">
        <is>
          <t>World GDP</t>
        </is>
      </c>
      <c r="C3" s="96" t="n"/>
      <c r="D3" s="96" t="n"/>
      <c r="E3" s="96" t="n"/>
      <c r="F3" s="96" t="n"/>
      <c r="G3" s="96" t="n"/>
      <c r="H3" s="96" t="n"/>
      <c r="I3" s="96" t="n"/>
      <c r="J3" s="97" t="n"/>
    </row>
    <row r="5">
      <c r="B5" s="98" t="inlineStr">
        <is>
          <t>Definition</t>
        </is>
      </c>
      <c r="C5" s="99" t="n"/>
      <c r="D5" s="99" t="n"/>
      <c r="E5" s="99" t="n"/>
      <c r="F5" s="99" t="n"/>
      <c r="G5" s="99" t="n"/>
      <c r="H5" s="99" t="n"/>
      <c r="I5" s="99" t="n"/>
      <c r="J5" s="100" t="n"/>
    </row>
    <row r="7" ht="132" customHeight="1" s="89">
      <c r="B7" s="101"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63" t="n"/>
      <c r="C8" s="61" t="n"/>
      <c r="D8" s="61" t="n"/>
      <c r="E8" s="61" t="n"/>
    </row>
    <row r="9">
      <c r="B9" s="98" t="inlineStr">
        <is>
          <t>Process / TO DO LIST</t>
        </is>
      </c>
      <c r="C9" s="99" t="n"/>
      <c r="D9" s="99" t="n"/>
      <c r="E9" s="99" t="n"/>
      <c r="F9" s="99" t="n"/>
      <c r="G9" s="99" t="n"/>
      <c r="H9" s="99" t="n"/>
      <c r="I9" s="99" t="n"/>
      <c r="J9" s="100" t="n"/>
      <c r="M9" s="98" t="inlineStr">
        <is>
          <t>Summary</t>
        </is>
      </c>
      <c r="N9" s="99" t="n"/>
      <c r="O9" s="99" t="n"/>
      <c r="P9" s="100" t="n"/>
    </row>
    <row r="10" ht="16" customHeight="1" s="89" thickBot="1"/>
    <row r="11" ht="17" customHeight="1" s="89" thickBot="1">
      <c r="B11" s="98" t="inlineStr">
        <is>
          <t>TO DO LIST</t>
        </is>
      </c>
      <c r="C11" s="99" t="n"/>
      <c r="D11" s="99" t="n"/>
      <c r="E11" s="99" t="n"/>
      <c r="F11" s="100" t="n"/>
      <c r="G11" s="98" t="inlineStr">
        <is>
          <t>Comments</t>
        </is>
      </c>
      <c r="H11" s="99" t="n"/>
      <c r="I11" s="99" t="n"/>
      <c r="J11" s="100" t="n"/>
      <c r="M11" s="64" t="inlineStr">
        <is>
          <t>Country Name</t>
        </is>
      </c>
      <c r="N11" s="65" t="inlineStr">
        <is>
          <t>% World GDP</t>
        </is>
      </c>
      <c r="O11" s="64" t="inlineStr">
        <is>
          <t xml:space="preserve">GDP y/y </t>
        </is>
      </c>
      <c r="P11" s="66" t="inlineStr">
        <is>
          <t xml:space="preserve">GDP q/q </t>
        </is>
      </c>
    </row>
    <row r="12" ht="16" customHeight="1" s="89">
      <c r="M12" s="67" t="inlineStr">
        <is>
          <t>United States</t>
        </is>
      </c>
      <c r="N12" s="34" t="n">
        <v>0.2472163512061494</v>
      </c>
      <c r="O12" s="35" t="n">
        <v>0.122</v>
      </c>
      <c r="P12" s="36" t="n">
        <v>0.066</v>
      </c>
    </row>
    <row r="13" ht="16" customHeight="1" s="89">
      <c r="B13" s="103" t="inlineStr">
        <is>
          <t>https://data.oecd.org/gdp/quarterly-gdp.htm#indicator-chart</t>
        </is>
      </c>
      <c r="G13" s="93" t="inlineStr">
        <is>
          <t>Data qoq</t>
        </is>
      </c>
      <c r="M13" s="67" t="inlineStr">
        <is>
          <t>China</t>
        </is>
      </c>
      <c r="N13" s="35" t="n">
        <v>0.1738437378233815</v>
      </c>
      <c r="O13" s="35" t="n">
        <v>0.079</v>
      </c>
      <c r="P13" s="36" t="n">
        <v>0.013</v>
      </c>
    </row>
    <row r="14" ht="16" customHeight="1" s="89">
      <c r="B14" s="93" t="inlineStr">
        <is>
          <t>Select Quarterly GDP</t>
        </is>
      </c>
      <c r="G14" s="93" t="inlineStr">
        <is>
          <t>To update manually or with macro</t>
        </is>
      </c>
      <c r="M14" s="67" t="inlineStr">
        <is>
          <t>Euro Area</t>
        </is>
      </c>
      <c r="N14" s="35" t="n">
        <v>0.152708079961271</v>
      </c>
      <c r="O14" s="35" t="n">
        <v>0.143</v>
      </c>
      <c r="P14" s="36" t="n">
        <v>0.022</v>
      </c>
    </row>
    <row r="15" ht="16" customHeight="1" s="89">
      <c r="B15" s="93" t="inlineStr">
        <is>
          <t>Select Table</t>
        </is>
      </c>
      <c r="G15" s="93" t="inlineStr">
        <is>
          <t>In Data qoq tab</t>
        </is>
      </c>
      <c r="M15" s="67" t="inlineStr">
        <is>
          <t>Japan</t>
        </is>
      </c>
      <c r="N15" s="35" t="n">
        <v>0.05980564640870931</v>
      </c>
      <c r="O15" s="35" t="n">
        <v>0.076</v>
      </c>
      <c r="P15" s="36" t="n">
        <v>0.005</v>
      </c>
    </row>
    <row r="16" ht="16" customHeight="1" s="89">
      <c r="B16" s="93" t="inlineStr">
        <is>
          <t>Select Percentage change, previous period</t>
        </is>
      </c>
      <c r="M16" s="67" t="inlineStr">
        <is>
          <t>Germany</t>
        </is>
      </c>
      <c r="N16" s="35" t="n">
        <v>0.04493984012468857</v>
      </c>
      <c r="O16" s="35" t="n">
        <v>0.094</v>
      </c>
      <c r="P16" s="36" t="n">
        <v>0.016</v>
      </c>
    </row>
    <row r="17" ht="16" customHeight="1" s="89">
      <c r="B17" s="93" t="inlineStr">
        <is>
          <t>Select latest data available</t>
        </is>
      </c>
      <c r="M17" s="67" t="inlineStr">
        <is>
          <t>United Kingdom</t>
        </is>
      </c>
      <c r="N17" s="35" t="n">
        <v>0.03197506228524873</v>
      </c>
      <c r="O17" s="35" t="n">
        <v>0.222</v>
      </c>
      <c r="P17" s="36" t="n">
        <v>0.048</v>
      </c>
    </row>
    <row r="18" ht="16" customHeight="1" s="89">
      <c r="M18" s="67" t="inlineStr">
        <is>
          <t>India</t>
        </is>
      </c>
      <c r="N18" s="35" t="n">
        <v>0.03097141372755074</v>
      </c>
      <c r="O18" s="35" t="n">
        <v>0.201</v>
      </c>
      <c r="P18" s="36" t="n">
        <v>0.021</v>
      </c>
    </row>
    <row r="19" ht="16" customHeight="1" s="89">
      <c r="B19" s="103" t="inlineStr">
        <is>
          <t>https://data.oecd.org/gdp/quarterly-gdp.htm#indicator-chart</t>
        </is>
      </c>
      <c r="G19" s="93" t="inlineStr">
        <is>
          <t>Data yoy</t>
        </is>
      </c>
      <c r="M19" s="67" t="inlineStr">
        <is>
          <t>France</t>
        </is>
      </c>
      <c r="N19" s="35" t="n">
        <v>0.03073526112573945</v>
      </c>
      <c r="O19" s="35" t="n">
        <v>0.187</v>
      </c>
      <c r="P19" s="36" t="n">
        <v>0.011</v>
      </c>
    </row>
    <row r="20" ht="16" customHeight="1" s="89">
      <c r="B20" s="93" t="inlineStr">
        <is>
          <t>Select Quarterly GDP</t>
        </is>
      </c>
      <c r="G20" s="93" t="inlineStr">
        <is>
          <t>To update manually or with macro</t>
        </is>
      </c>
      <c r="M20" s="67" t="inlineStr">
        <is>
          <t>Brazil</t>
        </is>
      </c>
      <c r="N20" s="35" t="n">
        <v>0.01706202548086573</v>
      </c>
      <c r="O20" s="35" t="n">
        <v>0.124</v>
      </c>
      <c r="P20" s="36" t="n">
        <v>-0.001</v>
      </c>
    </row>
    <row r="21" ht="16" customHeight="1" s="89">
      <c r="B21" s="93" t="inlineStr">
        <is>
          <t>Select Table</t>
        </is>
      </c>
      <c r="G21" s="93" t="inlineStr">
        <is>
          <t>In Data you tab</t>
        </is>
      </c>
      <c r="M21" s="67" t="inlineStr">
        <is>
          <t>Italy</t>
        </is>
      </c>
      <c r="N21" s="35" t="n">
        <v>0.02226919035080469</v>
      </c>
      <c r="O21" s="35" t="n">
        <v>0.173</v>
      </c>
      <c r="P21" s="36" t="n">
        <v>0.027</v>
      </c>
    </row>
    <row r="22" ht="16" customHeight="1" s="89">
      <c r="B22" s="93" t="inlineStr">
        <is>
          <t>Select Percentage change, previous year</t>
        </is>
      </c>
      <c r="M22" s="67" t="inlineStr">
        <is>
          <t>Canada</t>
        </is>
      </c>
      <c r="N22" s="35" t="n">
        <v>0.01939993623879751</v>
      </c>
      <c r="O22" s="35" t="n">
        <v>0.127</v>
      </c>
      <c r="P22" s="36" t="n">
        <v>-0.003</v>
      </c>
    </row>
    <row r="23" ht="16" customHeight="1" s="89">
      <c r="B23" s="93" t="inlineStr">
        <is>
          <t>Select latest data available</t>
        </is>
      </c>
      <c r="M23" s="67" t="inlineStr">
        <is>
          <t>Russia</t>
        </is>
      </c>
      <c r="N23" s="35" t="n">
        <v>0.01752252305439775</v>
      </c>
      <c r="O23" s="35" t="n">
        <v>0.105</v>
      </c>
      <c r="P23" s="36" t="n">
        <v>0</v>
      </c>
    </row>
    <row r="24" ht="16" customHeight="1" s="89">
      <c r="M24" s="67" t="inlineStr">
        <is>
          <t>South Korea</t>
        </is>
      </c>
      <c r="N24" s="35" t="n">
        <v>0.01925824467771074</v>
      </c>
      <c r="O24" s="35" t="n">
        <v>0.06</v>
      </c>
      <c r="P24" s="36" t="n">
        <v>0.008</v>
      </c>
    </row>
    <row r="25" ht="16" customHeight="1" s="89">
      <c r="B25" s="93" t="inlineStr">
        <is>
          <t>https://data.oecd.org/gdp/quarterly-gdp.htm</t>
        </is>
      </c>
      <c r="M25" s="67" t="inlineStr">
        <is>
          <t>Australia</t>
        </is>
      </c>
      <c r="N25" s="35" t="n">
        <v>0.01571595565054138</v>
      </c>
      <c r="O25" s="35" t="n">
        <v>0.096</v>
      </c>
      <c r="P25" s="36" t="n">
        <v>0.007</v>
      </c>
    </row>
    <row r="26" ht="16" customHeight="1" s="89">
      <c r="M26" s="67" t="inlineStr">
        <is>
          <t>Spain</t>
        </is>
      </c>
      <c r="N26" s="35" t="n">
        <v>0.01512557414601315</v>
      </c>
      <c r="O26" s="35" t="n">
        <v>0.175</v>
      </c>
      <c r="P26" s="36" t="n">
        <v>0.011</v>
      </c>
    </row>
    <row r="27" ht="16" customHeight="1" s="89">
      <c r="B27" s="93" t="inlineStr">
        <is>
          <t>World GDP</t>
        </is>
      </c>
      <c r="G27" s="69" t="inlineStr">
        <is>
          <t>https://tradingeconomics.com/</t>
        </is>
      </c>
      <c r="M27" s="67" t="inlineStr">
        <is>
          <t>Mexico</t>
        </is>
      </c>
      <c r="N27" s="35" t="n">
        <v>0.01270500997744743</v>
      </c>
      <c r="O27" s="35" t="n">
        <v>0.196</v>
      </c>
      <c r="P27" s="36" t="n">
        <v>0.015</v>
      </c>
    </row>
    <row r="28" ht="16" customHeight="1" s="89">
      <c r="M28" s="67" t="inlineStr">
        <is>
          <t>Indonesia</t>
        </is>
      </c>
      <c r="N28" s="35" t="n">
        <v>0.01249247263581726</v>
      </c>
      <c r="O28" s="35" t="n">
        <v>0.0707</v>
      </c>
      <c r="P28" s="36" t="n">
        <v>0.0331</v>
      </c>
    </row>
    <row r="29" ht="16" customHeight="1" s="89">
      <c r="M29" s="67" t="inlineStr">
        <is>
          <t>Turkey</t>
        </is>
      </c>
      <c r="N29" s="35" t="n">
        <v>0.008501493665206456</v>
      </c>
      <c r="O29" s="35" t="n">
        <v>0.217</v>
      </c>
      <c r="P29" s="36" t="n">
        <v>0.008999999999999999</v>
      </c>
    </row>
    <row r="30" ht="30" customHeight="1" s="89">
      <c r="M30" s="67" t="inlineStr">
        <is>
          <t>Taiwan</t>
        </is>
      </c>
      <c r="N30" s="35" t="n">
        <v>0.007214461985334923</v>
      </c>
      <c r="O30" s="35" t="n">
        <v>0.0743</v>
      </c>
      <c r="P30" s="36" t="n">
        <v>-0.0107</v>
      </c>
    </row>
    <row r="31" ht="16" customHeight="1" s="89">
      <c r="M31" s="67" t="inlineStr">
        <is>
          <t>Poland</t>
        </is>
      </c>
      <c r="N31" s="35" t="n">
        <v>0.007013732273795327</v>
      </c>
      <c r="O31" s="35" t="n">
        <v>0.111</v>
      </c>
      <c r="P31" s="36" t="n">
        <v>0.021</v>
      </c>
    </row>
    <row r="32" ht="16" customHeight="1" s="89">
      <c r="M32" s="67" t="inlineStr">
        <is>
          <t>Ireland</t>
        </is>
      </c>
      <c r="N32" s="35" t="n">
        <v>0.004947397007946535</v>
      </c>
      <c r="O32" s="35" t="n">
        <v>0.216</v>
      </c>
      <c r="P32" s="36" t="n">
        <v>0.063</v>
      </c>
    </row>
    <row r="33" ht="16" customHeight="1" s="89">
      <c r="M33" s="67" t="inlineStr">
        <is>
          <t>Denmark</t>
        </is>
      </c>
      <c r="N33" s="35" t="n">
        <v>0.004156285791878712</v>
      </c>
      <c r="O33" s="35" t="n">
        <v>0.08500000000000001</v>
      </c>
      <c r="P33" s="36" t="n">
        <v>0.023</v>
      </c>
    </row>
    <row r="34" ht="16" customHeight="1" s="89">
      <c r="M34" s="67" t="inlineStr">
        <is>
          <t>Czech Republic</t>
        </is>
      </c>
      <c r="N34" s="35" t="n">
        <v>0.002881061742097743</v>
      </c>
      <c r="O34" s="35" t="n">
        <v>0.082</v>
      </c>
      <c r="P34" s="36" t="n">
        <v>0.01</v>
      </c>
    </row>
    <row r="35" ht="16" customHeight="1" s="89">
      <c r="M35" s="67" t="inlineStr">
        <is>
          <t>New Zealand</t>
        </is>
      </c>
      <c r="N35" s="35" t="n">
        <v>0.002503217579199679</v>
      </c>
      <c r="O35" s="35" t="n">
        <v>0.174</v>
      </c>
      <c r="P35" s="36" t="n">
        <v>0.028</v>
      </c>
    </row>
    <row r="36" ht="17" customHeight="1" s="89" thickBot="1">
      <c r="M36" s="68" t="inlineStr">
        <is>
          <t>Greece</t>
        </is>
      </c>
      <c r="N36" s="37" t="n">
        <v>0.002231642087116695</v>
      </c>
      <c r="O36" s="37" t="n">
        <v>0.162</v>
      </c>
      <c r="P36" s="38" t="n">
        <v>0.034</v>
      </c>
    </row>
    <row r="38">
      <c r="B38" s="1" t="n"/>
    </row>
    <row r="39">
      <c r="B39" s="102" t="n"/>
    </row>
    <row r="40">
      <c r="B40" s="62" t="n"/>
    </row>
  </sheetData>
  <mergeCells count="25">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cfRule>
  </conditionalFormatting>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drawing xmlns:r="http://schemas.openxmlformats.org/officeDocument/2006/relationships" r:id="rId4"/>
</worksheet>
</file>

<file path=xl/worksheets/sheet2.xml><?xml version="1.0" encoding="utf-8"?>
<worksheet xmlns="http://schemas.openxmlformats.org/spreadsheetml/2006/main">
  <sheetPr codeName="Sheet3">
    <tabColor theme="6"/>
    <outlinePr summaryBelow="1" summaryRight="1"/>
    <pageSetUpPr/>
  </sheetPr>
  <dimension ref="A1:AU300"/>
  <sheetViews>
    <sheetView workbookViewId="0">
      <pane ySplit="1" topLeftCell="A2" activePane="bottomLeft" state="frozen"/>
      <selection pane="bottomLeft" activeCell="R1" sqref="R1"/>
    </sheetView>
  </sheetViews>
  <sheetFormatPr baseColWidth="10" defaultColWidth="9.1640625" defaultRowHeight="15"/>
  <cols>
    <col width="9.1640625" customWidth="1" style="89" min="1" max="1"/>
    <col width="16.1640625" customWidth="1" style="89" min="2" max="2"/>
    <col width="9.1640625" customWidth="1" style="2" min="3" max="5"/>
    <col width="10.6640625" bestFit="1" customWidth="1" style="2" min="6" max="6"/>
    <col width="10.6640625" customWidth="1" style="2" min="7" max="7"/>
    <col width="9.1640625" customWidth="1" style="2" min="8" max="46"/>
    <col width="9.1640625" customWidth="1" style="89" min="47" max="48"/>
    <col width="9.1640625" customWidth="1" style="89" min="49"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107" t="n">
        <v>17349</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-0.266705989</v>
      </c>
      <c r="AU2" t="n">
        <v/>
      </c>
    </row>
    <row r="3">
      <c r="A3" t="inlineStr">
        <is>
          <t>1947-Q3</t>
        </is>
      </c>
      <c r="B3" s="107" t="n">
        <v>17441</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-0.206503225</v>
      </c>
      <c r="AU3" t="n">
        <v/>
      </c>
    </row>
    <row r="4">
      <c r="A4" t="inlineStr">
        <is>
          <t>1947-Q4</t>
        </is>
      </c>
      <c r="B4" s="107" t="n">
        <v>17533</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1.56427638</v>
      </c>
      <c r="AU4" t="n">
        <v/>
      </c>
    </row>
    <row r="5">
      <c r="A5" t="inlineStr">
        <is>
          <t>1948-Q1</t>
        </is>
      </c>
      <c r="B5" s="107" t="n">
        <v>17624</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1.504200324</v>
      </c>
      <c r="AU5" t="n">
        <v/>
      </c>
    </row>
    <row r="6">
      <c r="A6" t="inlineStr">
        <is>
          <t>1948-Q2</t>
        </is>
      </c>
      <c r="B6" s="107" t="n">
        <v>17715</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1.650680594</v>
      </c>
      <c r="AU6" t="n">
        <v/>
      </c>
    </row>
    <row r="7">
      <c r="A7" t="inlineStr">
        <is>
          <t>1948-Q3</t>
        </is>
      </c>
      <c r="B7" s="107" t="n">
        <v>17807</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0.572930191</v>
      </c>
      <c r="AU7" t="n">
        <v/>
      </c>
    </row>
    <row r="8">
      <c r="A8" t="inlineStr">
        <is>
          <t>1948-Q4</t>
        </is>
      </c>
      <c r="B8" s="107" t="n">
        <v>17899</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0.111712158</v>
      </c>
      <c r="AU8" t="n">
        <v/>
      </c>
    </row>
    <row r="9">
      <c r="A9" t="inlineStr">
        <is>
          <t>1949-Q1</t>
        </is>
      </c>
      <c r="B9" s="107" t="n">
        <v>17989</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-1.37794649</v>
      </c>
      <c r="AU9" t="n">
        <v/>
      </c>
    </row>
    <row r="10">
      <c r="A10" t="inlineStr">
        <is>
          <t>1949-Q2</t>
        </is>
      </c>
      <c r="B10" s="107" t="n">
        <v>18080</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-0.34110093</v>
      </c>
      <c r="AU10" t="n">
        <v/>
      </c>
    </row>
    <row r="11">
      <c r="A11" t="inlineStr">
        <is>
          <t>1949-Q3</t>
        </is>
      </c>
      <c r="B11" s="107" t="n">
        <v>18172</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1.032424777</v>
      </c>
      <c r="AU11" t="n">
        <v/>
      </c>
    </row>
    <row r="12">
      <c r="A12" t="inlineStr">
        <is>
          <t>1949-Q4</t>
        </is>
      </c>
      <c r="B12" s="107" t="n">
        <v>18264</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-0.83926744</v>
      </c>
      <c r="AU12" t="n">
        <v/>
      </c>
    </row>
    <row r="13">
      <c r="A13" t="inlineStr">
        <is>
          <t>1950-Q1</t>
        </is>
      </c>
      <c r="B13" s="107" t="n">
        <v>18354</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3.930097999</v>
      </c>
      <c r="AU13" t="n">
        <v/>
      </c>
    </row>
    <row r="14">
      <c r="A14" t="inlineStr">
        <is>
          <t>1950-Q2</t>
        </is>
      </c>
      <c r="B14" s="107" t="n">
        <v>18445</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3.049810988</v>
      </c>
      <c r="AU14" t="n">
        <v/>
      </c>
    </row>
    <row r="15">
      <c r="A15" t="inlineStr">
        <is>
          <t>1950-Q3</t>
        </is>
      </c>
      <c r="B15" s="107" t="n">
        <v>18537</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3.864414603</v>
      </c>
      <c r="AU15" t="n">
        <v/>
      </c>
    </row>
    <row r="16">
      <c r="A16" t="inlineStr">
        <is>
          <t>1950-Q4</t>
        </is>
      </c>
      <c r="B16" s="107" t="n">
        <v>18629</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1.914780147</v>
      </c>
      <c r="AU16" t="n">
        <v/>
      </c>
    </row>
    <row r="17">
      <c r="A17" t="inlineStr">
        <is>
          <t>1951-Q1</t>
        </is>
      </c>
      <c r="B17" s="107" t="n">
        <v>18719</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1.358158764</v>
      </c>
      <c r="AU17" t="n">
        <v/>
      </c>
    </row>
    <row r="18">
      <c r="A18" t="inlineStr">
        <is>
          <t>1951-Q2</t>
        </is>
      </c>
      <c r="B18" s="107" t="n">
        <v>18810</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1.732710437</v>
      </c>
      <c r="AU18" t="n">
        <v/>
      </c>
    </row>
    <row r="19">
      <c r="A19" t="inlineStr">
        <is>
          <t>1951-Q3</t>
        </is>
      </c>
      <c r="B19" s="107" t="n">
        <v>18902</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2.060998798</v>
      </c>
      <c r="AU19" t="n">
        <v/>
      </c>
    </row>
    <row r="20">
      <c r="A20" t="inlineStr">
        <is>
          <t>1951-Q4</t>
        </is>
      </c>
      <c r="B20" s="107" t="n">
        <v>18994</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0.220249574</v>
      </c>
      <c r="AU20" t="n">
        <v/>
      </c>
    </row>
    <row r="21">
      <c r="A21" t="inlineStr">
        <is>
          <t>1952-Q1</t>
        </is>
      </c>
      <c r="B21" s="107" t="n">
        <v>19085</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1.068534409</v>
      </c>
      <c r="AU21" t="n">
        <v/>
      </c>
    </row>
    <row r="22">
      <c r="A22" t="inlineStr">
        <is>
          <t>1952-Q2</t>
        </is>
      </c>
      <c r="B22" s="107" t="n">
        <v>19176</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0.215396694</v>
      </c>
      <c r="AU22" t="n">
        <v/>
      </c>
    </row>
    <row r="23">
      <c r="A23" t="inlineStr">
        <is>
          <t>1952-Q3</t>
        </is>
      </c>
      <c r="B23" s="107" t="n">
        <v>19268</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0.721849215</v>
      </c>
      <c r="AU23" t="n">
        <v/>
      </c>
    </row>
    <row r="24">
      <c r="A24" t="inlineStr">
        <is>
          <t>1952-Q4</t>
        </is>
      </c>
      <c r="B24" s="107" t="n">
        <v>19360</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3.284215711</v>
      </c>
      <c r="AU24" t="n">
        <v/>
      </c>
    </row>
    <row r="25">
      <c r="A25" t="inlineStr">
        <is>
          <t>1953-Q1</t>
        </is>
      </c>
      <c r="B25" s="107" t="n">
        <v>19450</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1.858867482</v>
      </c>
      <c r="AU25" t="n">
        <v/>
      </c>
    </row>
    <row r="26">
      <c r="A26" t="inlineStr">
        <is>
          <t>1953-Q2</t>
        </is>
      </c>
      <c r="B26" s="107" t="n">
        <v>19541</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0.77293802</v>
      </c>
      <c r="AU26" t="n">
        <v/>
      </c>
    </row>
    <row r="27">
      <c r="A27" t="inlineStr">
        <is>
          <t>1953-Q3</t>
        </is>
      </c>
      <c r="B27" s="107" t="n">
        <v>19633</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-0.562677031</v>
      </c>
      <c r="AU27" t="n">
        <v/>
      </c>
    </row>
    <row r="28">
      <c r="A28" t="inlineStr">
        <is>
          <t>1953-Q4</t>
        </is>
      </c>
      <c r="B28" s="107" t="n">
        <v>19725</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-1.51394063</v>
      </c>
      <c r="AU28" t="n">
        <v/>
      </c>
    </row>
    <row r="29">
      <c r="A29" t="inlineStr">
        <is>
          <t>1954-Q1</t>
        </is>
      </c>
      <c r="B29" s="107" t="n">
        <v>19815</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-0.478023888</v>
      </c>
      <c r="AU29" t="n">
        <v/>
      </c>
    </row>
    <row r="30">
      <c r="A30" t="inlineStr">
        <is>
          <t>1954-Q2</t>
        </is>
      </c>
      <c r="B30" s="107" t="n">
        <v>19906</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0.108992196</v>
      </c>
      <c r="AU30" t="n">
        <v/>
      </c>
    </row>
    <row r="31">
      <c r="A31" t="inlineStr">
        <is>
          <t>1954-Q3</t>
        </is>
      </c>
      <c r="B31" s="107" t="n">
        <v>19998</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1.129346277</v>
      </c>
      <c r="AU31" t="n">
        <v/>
      </c>
    </row>
    <row r="32">
      <c r="A32" t="inlineStr">
        <is>
          <t>1954-Q4</t>
        </is>
      </c>
      <c r="B32" s="107" t="n">
        <v>20090</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1.956688077</v>
      </c>
      <c r="AU32" t="n">
        <v/>
      </c>
    </row>
    <row r="33">
      <c r="A33" t="inlineStr">
        <is>
          <t>1955-Q1</t>
        </is>
      </c>
      <c r="B33" s="107" t="n">
        <v>20180</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2.856234655</v>
      </c>
      <c r="AU33" t="n">
        <v/>
      </c>
    </row>
    <row r="34">
      <c r="A34" t="inlineStr">
        <is>
          <t>1955-Q2</t>
        </is>
      </c>
      <c r="B34" s="107" t="n">
        <v>20271</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0.087361202</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1.627204957</v>
      </c>
      <c r="AU34" t="n">
        <v/>
      </c>
    </row>
    <row r="35">
      <c r="A35" t="inlineStr">
        <is>
          <t>1955-Q3</t>
        </is>
      </c>
      <c r="B35" s="107" t="n">
        <v>20363</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2.021421521</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1.350464288</v>
      </c>
      <c r="AU35" t="n">
        <v/>
      </c>
    </row>
    <row r="36">
      <c r="A36" t="inlineStr">
        <is>
          <t>1955-Q4</t>
        </is>
      </c>
      <c r="B36" s="107" t="n">
        <v>20455</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-0.543717267</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0.600328737</v>
      </c>
      <c r="AU36" t="n">
        <v/>
      </c>
    </row>
    <row r="37">
      <c r="A37" t="inlineStr">
        <is>
          <t>1956-Q1</t>
        </is>
      </c>
      <c r="B37" s="107" t="n">
        <v>20546</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1.149656309</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-0.388380468</v>
      </c>
      <c r="AU37" t="n">
        <v/>
      </c>
    </row>
    <row r="38">
      <c r="A38" t="inlineStr">
        <is>
          <t>1956-Q2</t>
        </is>
      </c>
      <c r="B38" s="107" t="n">
        <v>20637</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-0.176449549</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0.8263194270000001</v>
      </c>
      <c r="AU38" t="n">
        <v/>
      </c>
    </row>
    <row r="39">
      <c r="A39" t="inlineStr">
        <is>
          <t>1956-Q3</t>
        </is>
      </c>
      <c r="B39" s="107" t="n">
        <v>20729</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-0.116248517</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-0.089839593</v>
      </c>
      <c r="AU39" t="n">
        <v/>
      </c>
    </row>
    <row r="40">
      <c r="A40" t="inlineStr">
        <is>
          <t>1956-Q4</t>
        </is>
      </c>
      <c r="B40" s="107" t="n">
        <v>20821</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0.447997959</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1.645864038</v>
      </c>
      <c r="AU40" t="n">
        <v/>
      </c>
    </row>
    <row r="41">
      <c r="A41" t="inlineStr">
        <is>
          <t>1957-Q1</t>
        </is>
      </c>
      <c r="B41" s="107" t="n">
        <v>20911</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1.999857153</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0.6402911529999999</v>
      </c>
      <c r="AU41" t="n">
        <v/>
      </c>
    </row>
    <row r="42">
      <c r="A42" t="inlineStr">
        <is>
          <t>1957-Q2</t>
        </is>
      </c>
      <c r="B42" s="107" t="n">
        <v>21002</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0.010114449</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-0.219085924</v>
      </c>
      <c r="AU42" t="n">
        <v/>
      </c>
    </row>
    <row r="43">
      <c r="A43" t="inlineStr">
        <is>
          <t>1957-Q3</t>
        </is>
      </c>
      <c r="B43" s="107" t="n">
        <v>21094</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-0.614585116</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0.980018402</v>
      </c>
      <c r="AU43" t="n">
        <v/>
      </c>
    </row>
    <row r="44">
      <c r="A44" t="inlineStr">
        <is>
          <t>1957-Q4</t>
        </is>
      </c>
      <c r="B44" s="107" t="n">
        <v>21186</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0.180819087</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-1.034279655</v>
      </c>
      <c r="AU44" t="n">
        <v/>
      </c>
    </row>
    <row r="45">
      <c r="A45" t="inlineStr">
        <is>
          <t>1958-Q1</t>
        </is>
      </c>
      <c r="B45" s="107" t="n">
        <v>21276</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2.200292226</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-2.595440045</v>
      </c>
      <c r="AU45" t="n">
        <v/>
      </c>
    </row>
    <row r="46">
      <c r="A46" t="inlineStr">
        <is>
          <t>1958-Q2</t>
        </is>
      </c>
      <c r="B46" s="107" t="n">
        <v>21367</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-2.376164955</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0.657226726</v>
      </c>
      <c r="AU46" t="n">
        <v/>
      </c>
    </row>
    <row r="47">
      <c r="A47" t="inlineStr">
        <is>
          <t>1958-Q3</t>
        </is>
      </c>
      <c r="B47" s="107" t="n">
        <v>21459</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2.225685444</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2.313217041</v>
      </c>
      <c r="AU47" t="n">
        <v/>
      </c>
    </row>
    <row r="48">
      <c r="A48" t="inlineStr">
        <is>
          <t>1958-Q4</t>
        </is>
      </c>
      <c r="B48" s="107" t="n">
        <v>21551</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0.102656033</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2.33810956</v>
      </c>
      <c r="AU48" t="n">
        <v/>
      </c>
    </row>
    <row r="49">
      <c r="A49" t="inlineStr">
        <is>
          <t>1959-Q1</t>
        </is>
      </c>
      <c r="B49" s="107" t="n">
        <v>21641</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0.652804457</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1.919552804</v>
      </c>
      <c r="AU49" t="n">
        <v/>
      </c>
    </row>
    <row r="50">
      <c r="A50" t="inlineStr">
        <is>
          <t>1959-Q2</t>
        </is>
      </c>
      <c r="B50" s="107" t="n">
        <v>21732</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1.662864964</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2.255169531</v>
      </c>
      <c r="AU50" t="n">
        <v/>
      </c>
    </row>
    <row r="51">
      <c r="A51" t="inlineStr">
        <is>
          <t>1959-Q3</t>
        </is>
      </c>
      <c r="B51" s="107" t="n">
        <v>21824</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2.149476093</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0.070560341</v>
      </c>
      <c r="AU51" t="n">
        <v/>
      </c>
    </row>
    <row r="52">
      <c r="A52" t="inlineStr">
        <is>
          <t>1959-Q4</t>
        </is>
      </c>
      <c r="B52" s="107" t="n">
        <v>21916</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2.561117579</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0.284889055</v>
      </c>
      <c r="AU52" t="n">
        <v/>
      </c>
    </row>
    <row r="53">
      <c r="A53" t="inlineStr">
        <is>
          <t>1960-Q1</t>
        </is>
      </c>
      <c r="B53" s="107" t="n">
        <v>22007</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2.492165135</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2.247714292</v>
      </c>
      <c r="AU53" t="n">
        <v/>
      </c>
    </row>
    <row r="54">
      <c r="A54" t="inlineStr">
        <is>
          <t>1960-Q2</t>
        </is>
      </c>
      <c r="B54" s="107" t="n">
        <v>22098</v>
      </c>
      <c r="C54" t="n">
        <v/>
      </c>
      <c r="D54" t="n">
        <v>2.759372147</v>
      </c>
      <c r="E54" t="n">
        <v>2.339304868</v>
      </c>
      <c r="F54" t="n">
        <v>1.231744618</v>
      </c>
      <c r="G54" t="n">
        <v/>
      </c>
      <c r="H54" t="n">
        <v/>
      </c>
      <c r="I54" t="n">
        <v>2.027766777</v>
      </c>
      <c r="J54" t="n">
        <v/>
      </c>
      <c r="K54" t="n">
        <v/>
      </c>
      <c r="L54" t="n">
        <v/>
      </c>
      <c r="M54" t="n">
        <v>1.779654153</v>
      </c>
      <c r="N54" t="n">
        <v>0.622802525</v>
      </c>
      <c r="O54" t="n">
        <v/>
      </c>
      <c r="P54" t="n">
        <v>2.055865241</v>
      </c>
      <c r="Q54" t="n">
        <v/>
      </c>
      <c r="R54" t="n">
        <v/>
      </c>
      <c r="S54" t="n">
        <v>2.221381977</v>
      </c>
      <c r="T54" t="n">
        <v>0.375710027</v>
      </c>
      <c r="U54" t="n">
        <v/>
      </c>
      <c r="V54" t="n">
        <v>-0.767569827</v>
      </c>
      <c r="W54" t="n">
        <v>3.419559355</v>
      </c>
      <c r="X54" t="n">
        <v/>
      </c>
      <c r="Y54" t="n">
        <v/>
      </c>
      <c r="Z54" t="n">
        <v>1.359769408</v>
      </c>
      <c r="AA54" t="n">
        <v>-0.35800593</v>
      </c>
      <c r="AB54" t="n">
        <v/>
      </c>
      <c r="AC54" t="n">
        <v>1.467602899</v>
      </c>
      <c r="AD54" t="n">
        <v>0.18434399</v>
      </c>
      <c r="AE54" t="n">
        <v>4.496005439</v>
      </c>
      <c r="AF54" t="n">
        <v>1.082788292</v>
      </c>
      <c r="AG54" t="n">
        <v/>
      </c>
      <c r="AH54" t="n">
        <v>0.998134871</v>
      </c>
      <c r="AI54" t="n">
        <v>2.334749088</v>
      </c>
      <c r="AJ54" t="n">
        <v>0.764860177</v>
      </c>
      <c r="AK54" t="n">
        <v/>
      </c>
      <c r="AL54" t="n">
        <v/>
      </c>
      <c r="AM54" t="n">
        <v/>
      </c>
      <c r="AN54" t="n">
        <v>0.646962228</v>
      </c>
      <c r="AO54" t="n">
        <v/>
      </c>
      <c r="AP54" t="n">
        <v/>
      </c>
      <c r="AQ54" t="n">
        <v/>
      </c>
      <c r="AR54" t="n">
        <v>1.355257579</v>
      </c>
      <c r="AS54" t="n">
        <v/>
      </c>
      <c r="AT54" t="n">
        <v>-0.539073361</v>
      </c>
      <c r="AU54" t="n">
        <v>1.630732953</v>
      </c>
    </row>
    <row r="55">
      <c r="A55" t="inlineStr">
        <is>
          <t>1960-Q3</t>
        </is>
      </c>
      <c r="B55" s="107" t="n">
        <v>22190</v>
      </c>
      <c r="C55" t="n">
        <v/>
      </c>
      <c r="D55" t="n">
        <v>0.23356451</v>
      </c>
      <c r="E55" t="n">
        <v>1.255080236</v>
      </c>
      <c r="F55" t="n">
        <v>1.223442756</v>
      </c>
      <c r="G55" t="n">
        <v/>
      </c>
      <c r="H55" t="n">
        <v/>
      </c>
      <c r="I55" t="n">
        <v>3.665931806</v>
      </c>
      <c r="J55" t="n">
        <v/>
      </c>
      <c r="K55" t="n">
        <v/>
      </c>
      <c r="L55" t="n">
        <v/>
      </c>
      <c r="M55" t="n">
        <v>3.456686475</v>
      </c>
      <c r="N55" t="n">
        <v>1.02044357</v>
      </c>
      <c r="O55" t="n">
        <v/>
      </c>
      <c r="P55" t="n">
        <v>2.797368605</v>
      </c>
      <c r="Q55" t="n">
        <v/>
      </c>
      <c r="R55" t="n">
        <v/>
      </c>
      <c r="S55" t="n">
        <v>1.115973755</v>
      </c>
      <c r="T55" t="n">
        <v>0.748560969</v>
      </c>
      <c r="U55" t="n">
        <v/>
      </c>
      <c r="V55" t="n">
        <v>1.511216554</v>
      </c>
      <c r="W55" t="n">
        <v>3.32465944</v>
      </c>
      <c r="X55" t="n">
        <v/>
      </c>
      <c r="Y55" t="n">
        <v/>
      </c>
      <c r="Z55" t="n">
        <v>1.348898756</v>
      </c>
      <c r="AA55" t="n">
        <v>-0.361266351</v>
      </c>
      <c r="AB55" t="n">
        <v/>
      </c>
      <c r="AC55" t="n">
        <v>1.468634793</v>
      </c>
      <c r="AD55" t="n">
        <v>3.43451683</v>
      </c>
      <c r="AE55" t="n">
        <v>-1.111562966</v>
      </c>
      <c r="AF55" t="n">
        <v>1.077075234</v>
      </c>
      <c r="AG55" t="n">
        <v/>
      </c>
      <c r="AH55" t="n">
        <v>0.993700656</v>
      </c>
      <c r="AI55" t="n">
        <v>-1.710530287</v>
      </c>
      <c r="AJ55" t="n">
        <v>1.22377303</v>
      </c>
      <c r="AK55" t="n">
        <v/>
      </c>
      <c r="AL55" t="n">
        <v/>
      </c>
      <c r="AM55" t="n">
        <v/>
      </c>
      <c r="AN55" t="n">
        <v>0.927049024</v>
      </c>
      <c r="AO55" t="n">
        <v/>
      </c>
      <c r="AP55" t="n">
        <v/>
      </c>
      <c r="AQ55" t="n">
        <v/>
      </c>
      <c r="AR55" t="n">
        <v>1.626155234</v>
      </c>
      <c r="AS55" t="n">
        <v/>
      </c>
      <c r="AT55" t="n">
        <v>0.48942128</v>
      </c>
      <c r="AU55" t="n">
        <v>1.842597022</v>
      </c>
    </row>
    <row r="56">
      <c r="A56" t="inlineStr">
        <is>
          <t>1960-Q4</t>
        </is>
      </c>
      <c r="B56" s="107" t="n">
        <v>22282</v>
      </c>
      <c r="C56" t="n">
        <v/>
      </c>
      <c r="D56" t="n">
        <v>-0.190133093</v>
      </c>
      <c r="E56" t="n">
        <v>1.38629464</v>
      </c>
      <c r="F56" t="n">
        <v>1.215260222</v>
      </c>
      <c r="G56" t="n">
        <v/>
      </c>
      <c r="H56" t="n">
        <v/>
      </c>
      <c r="I56" t="n">
        <v>0.043890437</v>
      </c>
      <c r="J56" t="n">
        <v/>
      </c>
      <c r="K56" t="n">
        <v/>
      </c>
      <c r="L56" t="n">
        <v/>
      </c>
      <c r="M56" t="n">
        <v>1.022068212</v>
      </c>
      <c r="N56" t="n">
        <v>1.407604305</v>
      </c>
      <c r="O56" t="n">
        <v/>
      </c>
      <c r="P56" t="n">
        <v>2.013018902</v>
      </c>
      <c r="Q56" t="n">
        <v/>
      </c>
      <c r="R56" t="n">
        <v/>
      </c>
      <c r="S56" t="n">
        <v>1.944552909</v>
      </c>
      <c r="T56" t="n">
        <v>1.185217727</v>
      </c>
      <c r="U56" t="n">
        <v/>
      </c>
      <c r="V56" t="n">
        <v>0.597423611</v>
      </c>
      <c r="W56" t="n">
        <v>3.235265421</v>
      </c>
      <c r="X56" t="n">
        <v/>
      </c>
      <c r="Y56" t="n">
        <v/>
      </c>
      <c r="Z56" t="n">
        <v>1.338218574</v>
      </c>
      <c r="AA56" t="n">
        <v>-0.364557508</v>
      </c>
      <c r="AB56" t="n">
        <v/>
      </c>
      <c r="AC56" t="n">
        <v>0.076755078</v>
      </c>
      <c r="AD56" t="n">
        <v>3.843474641</v>
      </c>
      <c r="AE56" t="n">
        <v>0.596298835</v>
      </c>
      <c r="AF56" t="n">
        <v>1.071420882</v>
      </c>
      <c r="AG56" t="n">
        <v/>
      </c>
      <c r="AH56" t="n">
        <v>0.989300033</v>
      </c>
      <c r="AI56" t="n">
        <v>1.112932285</v>
      </c>
      <c r="AJ56" t="n">
        <v>1.668120064</v>
      </c>
      <c r="AK56" t="n">
        <v/>
      </c>
      <c r="AL56" t="n">
        <v/>
      </c>
      <c r="AM56" t="n">
        <v/>
      </c>
      <c r="AN56" t="n">
        <v>1.200127462</v>
      </c>
      <c r="AO56" t="n">
        <v/>
      </c>
      <c r="AP56" t="n">
        <v/>
      </c>
      <c r="AQ56" t="n">
        <v/>
      </c>
      <c r="AR56" t="n">
        <v>1.871301104</v>
      </c>
      <c r="AS56" t="n">
        <v/>
      </c>
      <c r="AT56" t="n">
        <v>-1.283403329</v>
      </c>
      <c r="AU56" t="n">
        <v>0.987063209</v>
      </c>
    </row>
    <row r="57">
      <c r="A57" t="inlineStr">
        <is>
          <t>1961-Q1</t>
        </is>
      </c>
      <c r="B57" s="107" t="n">
        <v>22372</v>
      </c>
      <c r="C57" t="n">
        <v/>
      </c>
      <c r="D57" t="n">
        <v>0.290755966</v>
      </c>
      <c r="E57" t="n">
        <v>2.805841783</v>
      </c>
      <c r="F57" t="n">
        <v>1.193447231</v>
      </c>
      <c r="G57" t="n">
        <v/>
      </c>
      <c r="H57" t="n">
        <v/>
      </c>
      <c r="I57" t="n">
        <v>3.421945777</v>
      </c>
      <c r="J57" t="n">
        <v/>
      </c>
      <c r="K57" t="n">
        <v/>
      </c>
      <c r="L57" t="n">
        <v/>
      </c>
      <c r="M57" t="n">
        <v>1.011727665</v>
      </c>
      <c r="N57" t="n">
        <v>1.77996132</v>
      </c>
      <c r="O57" t="n">
        <v/>
      </c>
      <c r="P57" t="n">
        <v>2.858310798</v>
      </c>
      <c r="Q57" t="n">
        <v/>
      </c>
      <c r="R57" t="n">
        <v/>
      </c>
      <c r="S57" t="n">
        <v>3.483736152</v>
      </c>
      <c r="T57" t="n">
        <v>1.608373557</v>
      </c>
      <c r="U57" t="n">
        <v/>
      </c>
      <c r="V57" t="n">
        <v>1.630408633</v>
      </c>
      <c r="W57" t="n">
        <v>3.097724794</v>
      </c>
      <c r="X57" t="n">
        <v/>
      </c>
      <c r="Y57" t="n">
        <v/>
      </c>
      <c r="Z57" t="n">
        <v>1.30889679</v>
      </c>
      <c r="AA57" t="n">
        <v>-0.352240613</v>
      </c>
      <c r="AB57" t="n">
        <v/>
      </c>
      <c r="AC57" t="n">
        <v>3.582778288</v>
      </c>
      <c r="AD57" t="n">
        <v>3.03976225</v>
      </c>
      <c r="AE57" t="n">
        <v>3.20092662</v>
      </c>
      <c r="AF57" t="n">
        <v>1.04926086</v>
      </c>
      <c r="AG57" t="n">
        <v/>
      </c>
      <c r="AH57" t="n">
        <v>0.973394787</v>
      </c>
      <c r="AI57" t="n">
        <v>0.347489188</v>
      </c>
      <c r="AJ57" t="n">
        <v>2.092317904</v>
      </c>
      <c r="AK57" t="n">
        <v/>
      </c>
      <c r="AL57" t="n">
        <v/>
      </c>
      <c r="AM57" t="n">
        <v/>
      </c>
      <c r="AN57" t="n">
        <v>1.464149497</v>
      </c>
      <c r="AO57" t="n">
        <v/>
      </c>
      <c r="AP57" t="n">
        <v/>
      </c>
      <c r="AQ57" t="n">
        <v/>
      </c>
      <c r="AR57" t="n">
        <v>1.936294986</v>
      </c>
      <c r="AS57" t="n">
        <v/>
      </c>
      <c r="AT57" t="n">
        <v>0.67490454</v>
      </c>
      <c r="AU57" t="n">
        <v>0.725319611</v>
      </c>
    </row>
    <row r="58">
      <c r="A58" t="inlineStr">
        <is>
          <t>1961-Q2</t>
        </is>
      </c>
      <c r="B58" s="107" t="n">
        <v>22463</v>
      </c>
      <c r="C58" t="n">
        <v/>
      </c>
      <c r="D58" t="n">
        <v>-1.106810814</v>
      </c>
      <c r="E58" t="n">
        <v>-0.349958719</v>
      </c>
      <c r="F58" t="n">
        <v>1.167163366</v>
      </c>
      <c r="G58" t="n">
        <v/>
      </c>
      <c r="H58" t="n">
        <v>2.529317084</v>
      </c>
      <c r="I58" t="n">
        <v>1.355571082</v>
      </c>
      <c r="J58" t="n">
        <v/>
      </c>
      <c r="K58" t="n">
        <v/>
      </c>
      <c r="L58" t="n">
        <v/>
      </c>
      <c r="M58" t="n">
        <v>-0.539334482</v>
      </c>
      <c r="N58" t="n">
        <v>1.800290872</v>
      </c>
      <c r="O58" t="n">
        <v/>
      </c>
      <c r="P58" t="n">
        <v>4.441130186</v>
      </c>
      <c r="Q58" t="n">
        <v/>
      </c>
      <c r="R58" t="n">
        <v/>
      </c>
      <c r="S58" t="n">
        <v>0.737143131</v>
      </c>
      <c r="T58" t="n">
        <v>1.600329267</v>
      </c>
      <c r="U58" t="n">
        <v/>
      </c>
      <c r="V58" t="n">
        <v>0.423382052</v>
      </c>
      <c r="W58" t="n">
        <v>2.990153668</v>
      </c>
      <c r="X58" t="n">
        <v/>
      </c>
      <c r="Y58" t="n">
        <v/>
      </c>
      <c r="Z58" t="n">
        <v>1.282233011</v>
      </c>
      <c r="AA58" t="n">
        <v>-0.361198058</v>
      </c>
      <c r="AB58" t="n">
        <v/>
      </c>
      <c r="AC58" t="n">
        <v>2.115493108</v>
      </c>
      <c r="AD58" t="n">
        <v>2.131381825</v>
      </c>
      <c r="AE58" t="n">
        <v>4.316423271</v>
      </c>
      <c r="AF58" t="n">
        <v>1.031951641</v>
      </c>
      <c r="AG58" t="n">
        <v/>
      </c>
      <c r="AH58" t="n">
        <v>0.9543473139999999</v>
      </c>
      <c r="AI58" t="n">
        <v>-1.393059879</v>
      </c>
      <c r="AJ58" t="n">
        <v>1.621275009</v>
      </c>
      <c r="AK58" t="n">
        <v/>
      </c>
      <c r="AL58" t="n">
        <v/>
      </c>
      <c r="AM58" t="n">
        <v/>
      </c>
      <c r="AN58" t="n">
        <v>1.532256747</v>
      </c>
      <c r="AO58" t="n">
        <v/>
      </c>
      <c r="AP58" t="n">
        <v/>
      </c>
      <c r="AQ58" t="n">
        <v/>
      </c>
      <c r="AR58" t="n">
        <v>0.363511886</v>
      </c>
      <c r="AS58" t="n">
        <v/>
      </c>
      <c r="AT58" t="n">
        <v>1.697434269</v>
      </c>
      <c r="AU58" t="n">
        <v>-0.436986588</v>
      </c>
    </row>
    <row r="59">
      <c r="A59" t="inlineStr">
        <is>
          <t>1961-Q3</t>
        </is>
      </c>
      <c r="B59" s="107" t="n">
        <v>22555</v>
      </c>
      <c r="C59" t="n">
        <v/>
      </c>
      <c r="D59" t="n">
        <v>-0.706177974</v>
      </c>
      <c r="E59" t="n">
        <v>1.256451829</v>
      </c>
      <c r="F59" t="n">
        <v>1.275744177</v>
      </c>
      <c r="G59" t="n">
        <v/>
      </c>
      <c r="H59" t="n">
        <v>2.409293109</v>
      </c>
      <c r="I59" t="n">
        <v>1.242126259</v>
      </c>
      <c r="J59" t="n">
        <v/>
      </c>
      <c r="K59" t="n">
        <v/>
      </c>
      <c r="L59" t="n">
        <v/>
      </c>
      <c r="M59" t="n">
        <v>2.052513111</v>
      </c>
      <c r="N59" t="n">
        <v>1.819055683</v>
      </c>
      <c r="O59" t="n">
        <v/>
      </c>
      <c r="P59" t="n">
        <v>2.042474721</v>
      </c>
      <c r="Q59" t="n">
        <v/>
      </c>
      <c r="R59" t="n">
        <v/>
      </c>
      <c r="S59" t="n">
        <v>0.514003459</v>
      </c>
      <c r="T59" t="n">
        <v>1.59221853</v>
      </c>
      <c r="U59" t="n">
        <v/>
      </c>
      <c r="V59" t="n">
        <v>-0.511843107</v>
      </c>
      <c r="W59" t="n">
        <v>1.260397723</v>
      </c>
      <c r="X59" t="n">
        <v/>
      </c>
      <c r="Y59" t="n">
        <v/>
      </c>
      <c r="Z59" t="n">
        <v>0.967543067</v>
      </c>
      <c r="AA59" t="n">
        <v>0.979253613</v>
      </c>
      <c r="AB59" t="n">
        <v/>
      </c>
      <c r="AC59" t="n">
        <v>2.330642273</v>
      </c>
      <c r="AD59" t="n">
        <v>1.918908589</v>
      </c>
      <c r="AE59" t="n">
        <v>-1.825247143</v>
      </c>
      <c r="AF59" t="n">
        <v>0.610606289</v>
      </c>
      <c r="AG59" t="n">
        <v/>
      </c>
      <c r="AH59" t="n">
        <v>1.007541979</v>
      </c>
      <c r="AI59" t="n">
        <v>0.117012238</v>
      </c>
      <c r="AJ59" t="n">
        <v>1.174077826</v>
      </c>
      <c r="AK59" t="n">
        <v/>
      </c>
      <c r="AL59" t="n">
        <v/>
      </c>
      <c r="AM59" t="n">
        <v/>
      </c>
      <c r="AN59" t="n">
        <v>1.596982283</v>
      </c>
      <c r="AO59" t="n">
        <v/>
      </c>
      <c r="AP59" t="n">
        <v/>
      </c>
      <c r="AQ59" t="n">
        <v/>
      </c>
      <c r="AR59" t="n">
        <v>1.386708171</v>
      </c>
      <c r="AS59" t="n">
        <v/>
      </c>
      <c r="AT59" t="n">
        <v>1.919586999</v>
      </c>
      <c r="AU59" t="n">
        <v>2.233624991</v>
      </c>
    </row>
    <row r="60">
      <c r="A60" t="inlineStr">
        <is>
          <t>1961-Q4</t>
        </is>
      </c>
      <c r="B60" s="107" t="n">
        <v>22647</v>
      </c>
      <c r="C60" t="n">
        <v/>
      </c>
      <c r="D60" t="n">
        <v>1.146065128</v>
      </c>
      <c r="E60" t="n">
        <v>0.227988195</v>
      </c>
      <c r="F60" t="n">
        <v>1.381073857</v>
      </c>
      <c r="G60" t="n">
        <v/>
      </c>
      <c r="H60" t="n">
        <v>1.396819941</v>
      </c>
      <c r="I60" t="n">
        <v>1.958044212</v>
      </c>
      <c r="J60" t="n">
        <v/>
      </c>
      <c r="K60" t="n">
        <v/>
      </c>
      <c r="L60" t="n">
        <v/>
      </c>
      <c r="M60" t="n">
        <v>0.455604549</v>
      </c>
      <c r="N60" t="n">
        <v>1.836175694</v>
      </c>
      <c r="O60" t="n">
        <v/>
      </c>
      <c r="P60" t="n">
        <v>2.821708201</v>
      </c>
      <c r="Q60" t="n">
        <v/>
      </c>
      <c r="R60" t="n">
        <v/>
      </c>
      <c r="S60" t="n">
        <v>2.261307499</v>
      </c>
      <c r="T60" t="n">
        <v>1.699021949</v>
      </c>
      <c r="U60" t="n">
        <v/>
      </c>
      <c r="V60" t="n">
        <v>-0.173974263</v>
      </c>
      <c r="W60" t="n">
        <v>-0.5037466390000001</v>
      </c>
      <c r="X60" t="n">
        <v/>
      </c>
      <c r="Y60" t="n">
        <v/>
      </c>
      <c r="Z60" t="n">
        <v>0.6351459310000001</v>
      </c>
      <c r="AA60" t="n">
        <v>2.389212807</v>
      </c>
      <c r="AB60" t="n">
        <v/>
      </c>
      <c r="AC60" t="n">
        <v>1.913144697</v>
      </c>
      <c r="AD60" t="n">
        <v>4.587967502</v>
      </c>
      <c r="AE60" t="n">
        <v>1.297043617</v>
      </c>
      <c r="AF60" t="n">
        <v>0.165050539</v>
      </c>
      <c r="AG60" t="n">
        <v/>
      </c>
      <c r="AH60" t="n">
        <v>1.057329044</v>
      </c>
      <c r="AI60" t="n">
        <v>1.605198657</v>
      </c>
      <c r="AJ60" t="n">
        <v>0.743972014</v>
      </c>
      <c r="AK60" t="n">
        <v/>
      </c>
      <c r="AL60" t="n">
        <v/>
      </c>
      <c r="AM60" t="n">
        <v/>
      </c>
      <c r="AN60" t="n">
        <v>1.658386705</v>
      </c>
      <c r="AO60" t="n">
        <v/>
      </c>
      <c r="AP60" t="n">
        <v/>
      </c>
      <c r="AQ60" t="n">
        <v/>
      </c>
      <c r="AR60" t="n">
        <v>0.5032603329999999</v>
      </c>
      <c r="AS60" t="n">
        <v/>
      </c>
      <c r="AT60" t="n">
        <v>1.961098063</v>
      </c>
      <c r="AU60" t="n">
        <v>0.909000229</v>
      </c>
    </row>
    <row r="61">
      <c r="A61" t="inlineStr">
        <is>
          <t>1962-Q1</t>
        </is>
      </c>
      <c r="B61" s="107" t="n">
        <v>22737</v>
      </c>
      <c r="C61" t="n">
        <v/>
      </c>
      <c r="D61" t="n">
        <v>2.798188223</v>
      </c>
      <c r="E61" t="n">
        <v>1.463309536</v>
      </c>
      <c r="F61" t="n">
        <v>1.346942099</v>
      </c>
      <c r="G61" t="n">
        <v/>
      </c>
      <c r="H61" t="n">
        <v>2.650176195</v>
      </c>
      <c r="I61" t="n">
        <v>0.575396157</v>
      </c>
      <c r="J61" t="n">
        <v/>
      </c>
      <c r="K61" t="n">
        <v/>
      </c>
      <c r="L61" t="n">
        <v/>
      </c>
      <c r="M61" t="n">
        <v>1.47335232</v>
      </c>
      <c r="N61" t="n">
        <v>1.851870187</v>
      </c>
      <c r="O61" t="n">
        <v/>
      </c>
      <c r="P61" t="n">
        <v>2.365594398</v>
      </c>
      <c r="Q61" t="n">
        <v/>
      </c>
      <c r="R61" t="n">
        <v/>
      </c>
      <c r="S61" t="n">
        <v>1.346842612</v>
      </c>
      <c r="T61" t="n">
        <v>1.800279466</v>
      </c>
      <c r="U61" t="n">
        <v/>
      </c>
      <c r="V61" t="n">
        <v>0.447560794</v>
      </c>
      <c r="W61" t="n">
        <v>-0.505156768</v>
      </c>
      <c r="X61" t="n">
        <v/>
      </c>
      <c r="Y61" t="n">
        <v/>
      </c>
      <c r="Z61" t="n">
        <v>0.623614891</v>
      </c>
      <c r="AA61" t="n">
        <v>2.324874544</v>
      </c>
      <c r="AB61" t="n">
        <v/>
      </c>
      <c r="AC61" t="n">
        <v>1.479934673</v>
      </c>
      <c r="AD61" t="n">
        <v>1.342397804</v>
      </c>
      <c r="AE61" t="n">
        <v>1.991930454</v>
      </c>
      <c r="AF61" t="n">
        <v>0.160319072</v>
      </c>
      <c r="AG61" t="n">
        <v/>
      </c>
      <c r="AH61" t="n">
        <v>1.038747449</v>
      </c>
      <c r="AI61" t="n">
        <v>2.720944794</v>
      </c>
      <c r="AJ61" t="n">
        <v>0.325072378</v>
      </c>
      <c r="AK61" t="n">
        <v/>
      </c>
      <c r="AL61" t="n">
        <v/>
      </c>
      <c r="AM61" t="n">
        <v/>
      </c>
      <c r="AN61" t="n">
        <v>1.716390751</v>
      </c>
      <c r="AO61" t="n">
        <v/>
      </c>
      <c r="AP61" t="n">
        <v/>
      </c>
      <c r="AQ61" t="n">
        <v/>
      </c>
      <c r="AR61" t="n">
        <v>0.277189801</v>
      </c>
      <c r="AS61" t="n">
        <v/>
      </c>
      <c r="AT61" t="n">
        <v>1.783648811</v>
      </c>
      <c r="AU61" t="n">
        <v>2.586581337</v>
      </c>
    </row>
    <row r="62">
      <c r="A62" t="inlineStr">
        <is>
          <t>1962-Q2</t>
        </is>
      </c>
      <c r="B62" s="107" t="n">
        <v>22828</v>
      </c>
      <c r="C62" t="n">
        <v/>
      </c>
      <c r="D62" t="n">
        <v>1.909331244</v>
      </c>
      <c r="E62" t="n">
        <v>-0.021812204</v>
      </c>
      <c r="F62" t="n">
        <v>1.322267863</v>
      </c>
      <c r="G62" t="n">
        <v/>
      </c>
      <c r="H62" t="n">
        <v>0.735856142</v>
      </c>
      <c r="I62" t="n">
        <v>1.155195043</v>
      </c>
      <c r="J62" t="n">
        <v/>
      </c>
      <c r="K62" t="n">
        <v/>
      </c>
      <c r="L62" t="n">
        <v/>
      </c>
      <c r="M62" t="n">
        <v>1.042343972</v>
      </c>
      <c r="N62" t="n">
        <v>1.123347161</v>
      </c>
      <c r="O62" t="n">
        <v/>
      </c>
      <c r="P62" t="n">
        <v>2.326175952</v>
      </c>
      <c r="Q62" t="n">
        <v/>
      </c>
      <c r="R62" t="n">
        <v/>
      </c>
      <c r="S62" t="n">
        <v>-2.533564371</v>
      </c>
      <c r="T62" t="n">
        <v>1.615682117</v>
      </c>
      <c r="U62" t="n">
        <v>1.033735</v>
      </c>
      <c r="V62" t="n">
        <v>0.924888271</v>
      </c>
      <c r="W62" t="n">
        <v>-0.501022482</v>
      </c>
      <c r="X62" t="n">
        <v/>
      </c>
      <c r="Y62" t="n">
        <v/>
      </c>
      <c r="Z62" t="n">
        <v>0.616916724</v>
      </c>
      <c r="AA62" t="n">
        <v>2.243606588</v>
      </c>
      <c r="AB62" t="n">
        <v/>
      </c>
      <c r="AC62" t="n">
        <v>1.076640815</v>
      </c>
      <c r="AD62" t="n">
        <v>1.398081898</v>
      </c>
      <c r="AE62" t="n">
        <v>-1.868167524</v>
      </c>
      <c r="AF62" t="n">
        <v>0.161719511</v>
      </c>
      <c r="AG62" t="n">
        <v/>
      </c>
      <c r="AH62" t="n">
        <v>1.018640474</v>
      </c>
      <c r="AI62" t="n">
        <v>2.087974212</v>
      </c>
      <c r="AJ62" t="n">
        <v>0.498362202</v>
      </c>
      <c r="AK62" t="n">
        <v/>
      </c>
      <c r="AL62" t="n">
        <v>1.072472318</v>
      </c>
      <c r="AM62" t="n">
        <v/>
      </c>
      <c r="AN62" t="n">
        <v>1.625878102</v>
      </c>
      <c r="AO62" t="n">
        <v/>
      </c>
      <c r="AP62" t="n">
        <v/>
      </c>
      <c r="AQ62" t="n">
        <v/>
      </c>
      <c r="AR62" t="n">
        <v>1.761047311</v>
      </c>
      <c r="AS62" t="n">
        <v/>
      </c>
      <c r="AT62" t="n">
        <v>0.903663823</v>
      </c>
      <c r="AU62" t="n">
        <v>0.640571076</v>
      </c>
    </row>
    <row r="63">
      <c r="A63" t="inlineStr">
        <is>
          <t>1962-Q3</t>
        </is>
      </c>
      <c r="B63" s="107" t="n">
        <v>22920</v>
      </c>
      <c r="C63" t="n">
        <v/>
      </c>
      <c r="D63" t="n">
        <v>0.816679477</v>
      </c>
      <c r="E63" t="n">
        <v>0.839158414</v>
      </c>
      <c r="F63" t="n">
        <v>1.116325339</v>
      </c>
      <c r="G63" t="n">
        <v/>
      </c>
      <c r="H63" t="n">
        <v>1.316874822</v>
      </c>
      <c r="I63" t="n">
        <v>1.37074095</v>
      </c>
      <c r="J63" t="n">
        <v/>
      </c>
      <c r="K63" t="n">
        <v/>
      </c>
      <c r="L63" t="n">
        <v/>
      </c>
      <c r="M63" t="n">
        <v>2.395209581</v>
      </c>
      <c r="N63" t="n">
        <v>0.423810709</v>
      </c>
      <c r="O63" t="n">
        <v/>
      </c>
      <c r="P63" t="n">
        <v>2.449012722</v>
      </c>
      <c r="Q63" t="n">
        <v/>
      </c>
      <c r="R63" t="n">
        <v/>
      </c>
      <c r="S63" t="n">
        <v>1.952450944</v>
      </c>
      <c r="T63" t="n">
        <v>1.439785328</v>
      </c>
      <c r="U63" t="n">
        <v>1.298646</v>
      </c>
      <c r="V63" t="n">
        <v>0.625434794</v>
      </c>
      <c r="W63" t="n">
        <v>1.289493266</v>
      </c>
      <c r="X63" t="n">
        <v/>
      </c>
      <c r="Y63" t="n">
        <v/>
      </c>
      <c r="Z63" t="n">
        <v>0.9622938170000001</v>
      </c>
      <c r="AA63" t="n">
        <v>2.414549729</v>
      </c>
      <c r="AB63" t="n">
        <v/>
      </c>
      <c r="AC63" t="n">
        <v>0.600370464</v>
      </c>
      <c r="AD63" t="n">
        <v>1.221843407</v>
      </c>
      <c r="AE63" t="n">
        <v>2.927449609</v>
      </c>
      <c r="AF63" t="n">
        <v>0.423164737</v>
      </c>
      <c r="AG63" t="n">
        <v/>
      </c>
      <c r="AH63" t="n">
        <v>1.402493898</v>
      </c>
      <c r="AI63" t="n">
        <v>3.147562475</v>
      </c>
      <c r="AJ63" t="n">
        <v>0.669292009</v>
      </c>
      <c r="AK63" t="n">
        <v/>
      </c>
      <c r="AL63" t="n">
        <v>1.384705331</v>
      </c>
      <c r="AM63" t="n">
        <v/>
      </c>
      <c r="AN63" t="n">
        <v>1.5393379</v>
      </c>
      <c r="AO63" t="n">
        <v/>
      </c>
      <c r="AP63" t="n">
        <v/>
      </c>
      <c r="AQ63" t="n">
        <v/>
      </c>
      <c r="AR63" t="n">
        <v>2.447209631</v>
      </c>
      <c r="AS63" t="n">
        <v/>
      </c>
      <c r="AT63" t="n">
        <v>1.228513048</v>
      </c>
      <c r="AU63" t="n">
        <v>1.95202764</v>
      </c>
    </row>
    <row r="64">
      <c r="A64" t="inlineStr">
        <is>
          <t>1962-Q4</t>
        </is>
      </c>
      <c r="B64" s="107" t="n">
        <v>23012</v>
      </c>
      <c r="C64" t="n">
        <v/>
      </c>
      <c r="D64" t="n">
        <v>1.803923704</v>
      </c>
      <c r="E64" t="n">
        <v>0.090983336</v>
      </c>
      <c r="F64" t="n">
        <v>0.896894853</v>
      </c>
      <c r="G64" t="n">
        <v/>
      </c>
      <c r="H64" t="n">
        <v>2.037445365</v>
      </c>
      <c r="I64" t="n">
        <v>0.64523921</v>
      </c>
      <c r="J64" t="n">
        <v/>
      </c>
      <c r="K64" t="n">
        <v/>
      </c>
      <c r="L64" t="n">
        <v/>
      </c>
      <c r="M64" t="n">
        <v>-0.216173587</v>
      </c>
      <c r="N64" t="n">
        <v>-0.262186258</v>
      </c>
      <c r="O64" t="n">
        <v/>
      </c>
      <c r="P64" t="n">
        <v>0.268262459</v>
      </c>
      <c r="Q64" t="n">
        <v/>
      </c>
      <c r="R64" t="n">
        <v/>
      </c>
      <c r="S64" t="n">
        <v>1.778152118</v>
      </c>
      <c r="T64" t="n">
        <v>1.251796955</v>
      </c>
      <c r="U64" t="n">
        <v>0.589251</v>
      </c>
      <c r="V64" t="n">
        <v>-0.39287115</v>
      </c>
      <c r="W64" t="n">
        <v>3.164249605</v>
      </c>
      <c r="X64" t="n">
        <v/>
      </c>
      <c r="Y64" t="n">
        <v/>
      </c>
      <c r="Z64" t="n">
        <v>1.318174835</v>
      </c>
      <c r="AA64" t="n">
        <v>2.573507349</v>
      </c>
      <c r="AB64" t="n">
        <v/>
      </c>
      <c r="AC64" t="n">
        <v>1.501587062</v>
      </c>
      <c r="AD64" t="n">
        <v>2.089625056</v>
      </c>
      <c r="AE64" t="n">
        <v>2.880017792</v>
      </c>
      <c r="AF64" t="n">
        <v>0.69832778</v>
      </c>
      <c r="AG64" t="n">
        <v/>
      </c>
      <c r="AH64" t="n">
        <v>1.791419668</v>
      </c>
      <c r="AI64" t="n">
        <v>-0.341937111</v>
      </c>
      <c r="AJ64" t="n">
        <v>0.8371290260000001</v>
      </c>
      <c r="AK64" t="n">
        <v/>
      </c>
      <c r="AL64" t="n">
        <v>0.713156011</v>
      </c>
      <c r="AM64" t="n">
        <v/>
      </c>
      <c r="AN64" t="n">
        <v>1.456390797</v>
      </c>
      <c r="AO64" t="n">
        <v/>
      </c>
      <c r="AP64" t="n">
        <v/>
      </c>
      <c r="AQ64" t="n">
        <v/>
      </c>
      <c r="AR64" t="n">
        <v>0.824052305</v>
      </c>
      <c r="AS64" t="n">
        <v/>
      </c>
      <c r="AT64" t="n">
        <v>0.328901576</v>
      </c>
      <c r="AU64" t="n">
        <v>1.280861445</v>
      </c>
    </row>
    <row r="65">
      <c r="A65" t="inlineStr">
        <is>
          <t>1963-Q1</t>
        </is>
      </c>
      <c r="B65" s="107" t="n">
        <v>23102</v>
      </c>
      <c r="C65" t="n">
        <v/>
      </c>
      <c r="D65" t="n">
        <v>2.300203274</v>
      </c>
      <c r="E65" t="n">
        <v>0.367610745</v>
      </c>
      <c r="F65" t="n">
        <v>0.881895777</v>
      </c>
      <c r="G65" t="n">
        <v/>
      </c>
      <c r="H65" t="n">
        <v>0.607109886</v>
      </c>
      <c r="I65" t="n">
        <v>-0.905599119</v>
      </c>
      <c r="J65" t="n">
        <v/>
      </c>
      <c r="K65" t="n">
        <v/>
      </c>
      <c r="L65" t="n">
        <v/>
      </c>
      <c r="M65" t="n">
        <v>-3.498025877</v>
      </c>
      <c r="N65" t="n">
        <v>-0.9488824890000001</v>
      </c>
      <c r="O65" t="n">
        <v/>
      </c>
      <c r="P65" t="n">
        <v>5.752952622</v>
      </c>
      <c r="Q65" t="n">
        <v/>
      </c>
      <c r="R65" t="n">
        <v/>
      </c>
      <c r="S65" t="n">
        <v>-0.934114804</v>
      </c>
      <c r="T65" t="n">
        <v>-1.665799419</v>
      </c>
      <c r="U65" t="n">
        <v>0.161369</v>
      </c>
      <c r="V65" t="n">
        <v>0.419113721</v>
      </c>
      <c r="W65" t="n">
        <v>3.049262433</v>
      </c>
      <c r="X65" t="n">
        <v/>
      </c>
      <c r="Y65" t="n">
        <v/>
      </c>
      <c r="Z65" t="n">
        <v>1.289556448</v>
      </c>
      <c r="AA65" t="n">
        <v>2.485088936</v>
      </c>
      <c r="AB65" t="n">
        <v/>
      </c>
      <c r="AC65" t="n">
        <v>0.663827765</v>
      </c>
      <c r="AD65" t="n">
        <v>1.366700433</v>
      </c>
      <c r="AE65" t="n">
        <v>5.859393765</v>
      </c>
      <c r="AF65" t="n">
        <v>0.696456251</v>
      </c>
      <c r="AG65" t="n">
        <v/>
      </c>
      <c r="AH65" t="n">
        <v>1.750783472</v>
      </c>
      <c r="AI65" t="n">
        <v>-6.27285825</v>
      </c>
      <c r="AJ65" t="n">
        <v>1.001035817</v>
      </c>
      <c r="AK65" t="n">
        <v/>
      </c>
      <c r="AL65" t="n">
        <v>0.375599883</v>
      </c>
      <c r="AM65" t="n">
        <v/>
      </c>
      <c r="AN65" t="n">
        <v>1.376693844</v>
      </c>
      <c r="AO65" t="n">
        <v/>
      </c>
      <c r="AP65" t="n">
        <v/>
      </c>
      <c r="AQ65" t="n">
        <v/>
      </c>
      <c r="AR65" t="n">
        <v>-1.027403198</v>
      </c>
      <c r="AS65" t="n">
        <v/>
      </c>
      <c r="AT65" t="n">
        <v>1.091574332</v>
      </c>
      <c r="AU65" t="n">
        <v>1.32273788</v>
      </c>
    </row>
    <row r="66">
      <c r="A66" t="inlineStr">
        <is>
          <t>1963-Q2</t>
        </is>
      </c>
      <c r="B66" s="107" t="n">
        <v>23193</v>
      </c>
      <c r="C66" t="n">
        <v/>
      </c>
      <c r="D66" t="n">
        <v>-1.307257896</v>
      </c>
      <c r="E66" t="n">
        <v>2.915281409</v>
      </c>
      <c r="F66" t="n">
        <v>0.866731394</v>
      </c>
      <c r="G66" t="n">
        <v/>
      </c>
      <c r="H66" t="n">
        <v>1.462353237</v>
      </c>
      <c r="I66" t="n">
        <v>3.835381388</v>
      </c>
      <c r="J66" t="n">
        <v/>
      </c>
      <c r="K66" t="n">
        <v/>
      </c>
      <c r="L66" t="n">
        <v/>
      </c>
      <c r="M66" t="n">
        <v>4.484411506</v>
      </c>
      <c r="N66" t="n">
        <v>0.138765644</v>
      </c>
      <c r="O66" t="n">
        <v/>
      </c>
      <c r="P66" t="n">
        <v>0.08289023099999999</v>
      </c>
      <c r="Q66" t="n">
        <v/>
      </c>
      <c r="R66" t="n">
        <v/>
      </c>
      <c r="S66" t="n">
        <v>1.982456512</v>
      </c>
      <c r="T66" t="n">
        <v>4.465475469</v>
      </c>
      <c r="U66" t="n">
        <v>2.455126</v>
      </c>
      <c r="V66" t="n">
        <v>4.391631443</v>
      </c>
      <c r="W66" t="n">
        <v>2.928359036</v>
      </c>
      <c r="X66" t="n">
        <v/>
      </c>
      <c r="Y66" t="n">
        <v/>
      </c>
      <c r="Z66" t="n">
        <v>1.263608195</v>
      </c>
      <c r="AA66" t="n">
        <v>2.408236561</v>
      </c>
      <c r="AB66" t="n">
        <v/>
      </c>
      <c r="AC66" t="n">
        <v>2.741399476</v>
      </c>
      <c r="AD66" t="n">
        <v>2.943448429</v>
      </c>
      <c r="AE66" t="n">
        <v>-2.358560133</v>
      </c>
      <c r="AF66" t="n">
        <v>0.6775289289999999</v>
      </c>
      <c r="AG66" t="n">
        <v/>
      </c>
      <c r="AH66" t="n">
        <v>1.701509231</v>
      </c>
      <c r="AI66" t="n">
        <v>8.940364184</v>
      </c>
      <c r="AJ66" t="n">
        <v>1.057420293</v>
      </c>
      <c r="AK66" t="n">
        <v/>
      </c>
      <c r="AL66" t="n">
        <v>2.377953412</v>
      </c>
      <c r="AM66" t="n">
        <v/>
      </c>
      <c r="AN66" t="n">
        <v>1.411943883</v>
      </c>
      <c r="AO66" t="n">
        <v/>
      </c>
      <c r="AP66" t="n">
        <v/>
      </c>
      <c r="AQ66" t="n">
        <v/>
      </c>
      <c r="AR66" t="n">
        <v>3.823815287</v>
      </c>
      <c r="AS66" t="n">
        <v/>
      </c>
      <c r="AT66" t="n">
        <v>1.122121453</v>
      </c>
      <c r="AU66" t="n">
        <v>2.644226981</v>
      </c>
    </row>
    <row r="67">
      <c r="A67" t="inlineStr">
        <is>
          <t>1963-Q3</t>
        </is>
      </c>
      <c r="B67" s="107" t="n">
        <v>23285</v>
      </c>
      <c r="C67" t="n">
        <v/>
      </c>
      <c r="D67" t="n">
        <v>4.115449825</v>
      </c>
      <c r="E67" t="n">
        <v>1.087485258</v>
      </c>
      <c r="F67" t="n">
        <v>1.449746943</v>
      </c>
      <c r="G67" t="n">
        <v/>
      </c>
      <c r="H67" t="n">
        <v>0.7778835549999999</v>
      </c>
      <c r="I67" t="n">
        <v>2.228737774</v>
      </c>
      <c r="J67" t="n">
        <v/>
      </c>
      <c r="K67" t="n">
        <v/>
      </c>
      <c r="L67" t="n">
        <v/>
      </c>
      <c r="M67" t="n">
        <v>3.469247781</v>
      </c>
      <c r="N67" t="n">
        <v>1.233791731</v>
      </c>
      <c r="O67" t="n">
        <v/>
      </c>
      <c r="P67" t="n">
        <v>2.157735448</v>
      </c>
      <c r="Q67" t="n">
        <v/>
      </c>
      <c r="R67" t="n">
        <v/>
      </c>
      <c r="S67" t="n">
        <v>1.044761167</v>
      </c>
      <c r="T67" t="n">
        <v>3.298802433</v>
      </c>
      <c r="U67" t="n">
        <v>2.258504</v>
      </c>
      <c r="V67" t="n">
        <v>0.485115485</v>
      </c>
      <c r="W67" t="n">
        <v>2.367085247</v>
      </c>
      <c r="X67" t="n">
        <v/>
      </c>
      <c r="Y67" t="n">
        <v/>
      </c>
      <c r="Z67" t="n">
        <v>1.121533614</v>
      </c>
      <c r="AA67" t="n">
        <v>2.521477659</v>
      </c>
      <c r="AB67" t="n">
        <v/>
      </c>
      <c r="AC67" t="n">
        <v>1.641304821</v>
      </c>
      <c r="AD67" t="n">
        <v>2.932389591</v>
      </c>
      <c r="AE67" t="n">
        <v>3.295069015</v>
      </c>
      <c r="AF67" t="n">
        <v>1.569826892</v>
      </c>
      <c r="AG67" t="n">
        <v/>
      </c>
      <c r="AH67" t="n">
        <v>2.353728498</v>
      </c>
      <c r="AI67" t="n">
        <v>2.402534165</v>
      </c>
      <c r="AJ67" t="n">
        <v>1.11193064</v>
      </c>
      <c r="AK67" t="n">
        <v/>
      </c>
      <c r="AL67" t="n">
        <v>2.231215362</v>
      </c>
      <c r="AM67" t="n">
        <v/>
      </c>
      <c r="AN67" t="n">
        <v>1.445410635</v>
      </c>
      <c r="AO67" t="n">
        <v/>
      </c>
      <c r="AP67" t="n">
        <v/>
      </c>
      <c r="AQ67" t="n">
        <v/>
      </c>
      <c r="AR67" t="n">
        <v>1.854547042</v>
      </c>
      <c r="AS67" t="n">
        <v/>
      </c>
      <c r="AT67" t="n">
        <v>2.198434459</v>
      </c>
      <c r="AU67" t="n">
        <v>2.639167193</v>
      </c>
    </row>
    <row r="68">
      <c r="A68" t="inlineStr">
        <is>
          <t>1963-Q4</t>
        </is>
      </c>
      <c r="B68" s="107" t="n">
        <v>23377</v>
      </c>
      <c r="C68" t="n">
        <v/>
      </c>
      <c r="D68" t="n">
        <v>2.147500732</v>
      </c>
      <c r="E68" t="n">
        <v>2.038743111</v>
      </c>
      <c r="F68" t="n">
        <v>2.044499523</v>
      </c>
      <c r="G68" t="n">
        <v/>
      </c>
      <c r="H68" t="n">
        <v>3.138726959</v>
      </c>
      <c r="I68" t="n">
        <v>1.086477559</v>
      </c>
      <c r="J68" t="n">
        <v/>
      </c>
      <c r="K68" t="n">
        <v/>
      </c>
      <c r="L68" t="n">
        <v/>
      </c>
      <c r="M68" t="n">
        <v>0.483965882</v>
      </c>
      <c r="N68" t="n">
        <v>2.300600033</v>
      </c>
      <c r="O68" t="n">
        <v/>
      </c>
      <c r="P68" t="n">
        <v>1.861635924</v>
      </c>
      <c r="Q68" t="n">
        <v/>
      </c>
      <c r="R68" t="n">
        <v/>
      </c>
      <c r="S68" t="n">
        <v>2.116155586</v>
      </c>
      <c r="T68" t="n">
        <v>0.311286644</v>
      </c>
      <c r="U68" t="n">
        <v>1.172494</v>
      </c>
      <c r="V68" t="n">
        <v>2.266247672</v>
      </c>
      <c r="W68" t="n">
        <v>1.796958436</v>
      </c>
      <c r="X68" t="n">
        <v/>
      </c>
      <c r="Y68" t="n">
        <v/>
      </c>
      <c r="Z68" t="n">
        <v>0.968148037</v>
      </c>
      <c r="AA68" t="n">
        <v>2.621828944</v>
      </c>
      <c r="AB68" t="n">
        <v/>
      </c>
      <c r="AC68" t="n">
        <v>1.028412174</v>
      </c>
      <c r="AD68" t="n">
        <v>3.445524369</v>
      </c>
      <c r="AE68" t="n">
        <v>0.093359129</v>
      </c>
      <c r="AF68" t="n">
        <v>2.483195981</v>
      </c>
      <c r="AG68" t="n">
        <v/>
      </c>
      <c r="AH68" t="n">
        <v>2.998675381</v>
      </c>
      <c r="AI68" t="n">
        <v>2.105748604</v>
      </c>
      <c r="AJ68" t="n">
        <v>1.164630214</v>
      </c>
      <c r="AK68" t="n">
        <v/>
      </c>
      <c r="AL68" t="n">
        <v>1.303563013</v>
      </c>
      <c r="AM68" t="n">
        <v/>
      </c>
      <c r="AN68" t="n">
        <v>1.477252709</v>
      </c>
      <c r="AO68" t="n">
        <v/>
      </c>
      <c r="AP68" t="n">
        <v/>
      </c>
      <c r="AQ68" t="n">
        <v/>
      </c>
      <c r="AR68" t="n">
        <v>0.877163154</v>
      </c>
      <c r="AS68" t="n">
        <v/>
      </c>
      <c r="AT68" t="n">
        <v>0.655602437</v>
      </c>
      <c r="AU68" t="n">
        <v>1.762170542</v>
      </c>
    </row>
    <row r="69">
      <c r="A69" t="inlineStr">
        <is>
          <t>1964-Q1</t>
        </is>
      </c>
      <c r="B69" s="107" t="n">
        <v>23468</v>
      </c>
      <c r="C69" t="n">
        <v/>
      </c>
      <c r="D69" t="n">
        <v>-0.169383866</v>
      </c>
      <c r="E69" t="n">
        <v>1.006058114</v>
      </c>
      <c r="F69" t="n">
        <v>1.987689142</v>
      </c>
      <c r="G69" t="n">
        <v/>
      </c>
      <c r="H69" t="n">
        <v>2.480651545</v>
      </c>
      <c r="I69" t="n">
        <v>0.124762743</v>
      </c>
      <c r="J69" t="n">
        <v/>
      </c>
      <c r="K69" t="n">
        <v/>
      </c>
      <c r="L69" t="n">
        <v/>
      </c>
      <c r="M69" t="n">
        <v>1.375907483</v>
      </c>
      <c r="N69" t="n">
        <v>3.30640327</v>
      </c>
      <c r="O69" t="n">
        <v/>
      </c>
      <c r="P69" t="n">
        <v>0.565485382</v>
      </c>
      <c r="Q69" t="n">
        <v/>
      </c>
      <c r="R69" t="n">
        <v/>
      </c>
      <c r="S69" t="n">
        <v>1.262608858</v>
      </c>
      <c r="T69" t="n">
        <v>1.882604425</v>
      </c>
      <c r="U69" t="n">
        <v>1.926594</v>
      </c>
      <c r="V69" t="n">
        <v>0.621379674</v>
      </c>
      <c r="W69" t="n">
        <v>1.745428994</v>
      </c>
      <c r="X69" t="n">
        <v/>
      </c>
      <c r="Y69" t="n">
        <v/>
      </c>
      <c r="Z69" t="n">
        <v>0.946943572</v>
      </c>
      <c r="AA69" t="n">
        <v>2.529644189</v>
      </c>
      <c r="AB69" t="n">
        <v/>
      </c>
      <c r="AC69" t="n">
        <v>1.482283155</v>
      </c>
      <c r="AD69" t="n">
        <v>3.189414254</v>
      </c>
      <c r="AE69" t="n">
        <v>5.970535022</v>
      </c>
      <c r="AF69" t="n">
        <v>2.403890946</v>
      </c>
      <c r="AG69" t="n">
        <v/>
      </c>
      <c r="AH69" t="n">
        <v>2.887235401</v>
      </c>
      <c r="AI69" t="n">
        <v>1.337372026</v>
      </c>
      <c r="AJ69" t="n">
        <v>1.215329716</v>
      </c>
      <c r="AK69" t="n">
        <v/>
      </c>
      <c r="AL69" t="n">
        <v>1.824062451</v>
      </c>
      <c r="AM69" t="n">
        <v/>
      </c>
      <c r="AN69" t="n">
        <v>1.507420814</v>
      </c>
      <c r="AO69" t="n">
        <v/>
      </c>
      <c r="AP69" t="n">
        <v/>
      </c>
      <c r="AQ69" t="n">
        <v/>
      </c>
      <c r="AR69" t="n">
        <v>2.477562222</v>
      </c>
      <c r="AS69" t="n">
        <v/>
      </c>
      <c r="AT69" t="n">
        <v>2.108252099</v>
      </c>
      <c r="AU69" t="n">
        <v>1.873091613</v>
      </c>
    </row>
    <row r="70">
      <c r="A70" t="inlineStr">
        <is>
          <t>1964-Q2</t>
        </is>
      </c>
      <c r="B70" s="107" t="n">
        <v>23559</v>
      </c>
      <c r="C70" t="n">
        <v/>
      </c>
      <c r="D70" t="n">
        <v>2.457738132</v>
      </c>
      <c r="E70" t="n">
        <v>1.447898917</v>
      </c>
      <c r="F70" t="n">
        <v>1.943285651</v>
      </c>
      <c r="G70" t="n">
        <v/>
      </c>
      <c r="H70" t="n">
        <v>0.36854719</v>
      </c>
      <c r="I70" t="n">
        <v>3.526248848</v>
      </c>
      <c r="J70" t="n">
        <v/>
      </c>
      <c r="K70" t="n">
        <v/>
      </c>
      <c r="L70" t="n">
        <v/>
      </c>
      <c r="M70" t="n">
        <v>1.221775492</v>
      </c>
      <c r="N70" t="n">
        <v>2.609488113</v>
      </c>
      <c r="O70" t="n">
        <v/>
      </c>
      <c r="P70" t="n">
        <v>1.648014179</v>
      </c>
      <c r="Q70" t="n">
        <v/>
      </c>
      <c r="R70" t="n">
        <v/>
      </c>
      <c r="S70" t="n">
        <v>0.867410838</v>
      </c>
      <c r="T70" t="n">
        <v>0.958920529</v>
      </c>
      <c r="U70" t="n">
        <v>1.113247</v>
      </c>
      <c r="V70" t="n">
        <v>1.863709687</v>
      </c>
      <c r="W70" t="n">
        <v>1.715966667</v>
      </c>
      <c r="X70" t="n">
        <v/>
      </c>
      <c r="Y70" t="n">
        <v/>
      </c>
      <c r="Z70" t="n">
        <v>0.939508463</v>
      </c>
      <c r="AA70" t="n">
        <v>2.464762652</v>
      </c>
      <c r="AB70" t="n">
        <v/>
      </c>
      <c r="AC70" t="n">
        <v>-1.011876839</v>
      </c>
      <c r="AD70" t="n">
        <v>2.412494839</v>
      </c>
      <c r="AE70" t="n">
        <v>-2.874867444</v>
      </c>
      <c r="AF70" t="n">
        <v>2.34065558</v>
      </c>
      <c r="AG70" t="n">
        <v/>
      </c>
      <c r="AH70" t="n">
        <v>2.799082004</v>
      </c>
      <c r="AI70" t="n">
        <v>0.864344699</v>
      </c>
      <c r="AJ70" t="n">
        <v>1.289769828</v>
      </c>
      <c r="AK70" t="n">
        <v/>
      </c>
      <c r="AL70" t="n">
        <v>1.241076993</v>
      </c>
      <c r="AM70" t="n">
        <v/>
      </c>
      <c r="AN70" t="n">
        <v>1.692709544</v>
      </c>
      <c r="AO70" t="n">
        <v/>
      </c>
      <c r="AP70" t="n">
        <v/>
      </c>
      <c r="AQ70" t="n">
        <v/>
      </c>
      <c r="AR70" t="n">
        <v>0.5418442020000001</v>
      </c>
      <c r="AS70" t="n">
        <v/>
      </c>
      <c r="AT70" t="n">
        <v>1.08873369</v>
      </c>
      <c r="AU70" t="n">
        <v>1.809866683</v>
      </c>
    </row>
    <row r="71">
      <c r="A71" t="inlineStr">
        <is>
          <t>1964-Q3</t>
        </is>
      </c>
      <c r="B71" s="107" t="n">
        <v>23651</v>
      </c>
      <c r="C71" t="n">
        <v/>
      </c>
      <c r="D71" t="n">
        <v>0.630745814</v>
      </c>
      <c r="E71" t="n">
        <v>0.900527624</v>
      </c>
      <c r="F71" t="n">
        <v>1.344338307</v>
      </c>
      <c r="G71" t="n">
        <v/>
      </c>
      <c r="H71" t="n">
        <v>1.042062097</v>
      </c>
      <c r="I71" t="n">
        <v>-0.546061046</v>
      </c>
      <c r="J71" t="n">
        <v/>
      </c>
      <c r="K71" t="n">
        <v/>
      </c>
      <c r="L71" t="n">
        <v/>
      </c>
      <c r="M71" t="n">
        <v>1.039093942</v>
      </c>
      <c r="N71" t="n">
        <v>1.967066641</v>
      </c>
      <c r="O71" t="n">
        <v/>
      </c>
      <c r="P71" t="n">
        <v>0.75129305</v>
      </c>
      <c r="Q71" t="n">
        <v/>
      </c>
      <c r="R71" t="n">
        <v/>
      </c>
      <c r="S71" t="n">
        <v>1.604947332</v>
      </c>
      <c r="T71" t="n">
        <v>1.226254685</v>
      </c>
      <c r="U71" t="n">
        <v>1.195554</v>
      </c>
      <c r="V71" t="n">
        <v>0.383813352</v>
      </c>
      <c r="W71" t="n">
        <v>2.157617757</v>
      </c>
      <c r="X71" t="n">
        <v/>
      </c>
      <c r="Y71" t="n">
        <v/>
      </c>
      <c r="Z71" t="n">
        <v>0.720306033</v>
      </c>
      <c r="AA71" t="n">
        <v>1.990517774</v>
      </c>
      <c r="AB71" t="n">
        <v/>
      </c>
      <c r="AC71" t="n">
        <v>-0.168904093</v>
      </c>
      <c r="AD71" t="n">
        <v>1.544361338</v>
      </c>
      <c r="AE71" t="n">
        <v>6.805402395</v>
      </c>
      <c r="AF71" t="n">
        <v>1.266755839</v>
      </c>
      <c r="AG71" t="n">
        <v/>
      </c>
      <c r="AH71" t="n">
        <v>2.101629964</v>
      </c>
      <c r="AI71" t="n">
        <v>1.889446915</v>
      </c>
      <c r="AJ71" t="n">
        <v>1.361210281</v>
      </c>
      <c r="AK71" t="n">
        <v/>
      </c>
      <c r="AL71" t="n">
        <v>1.219448095</v>
      </c>
      <c r="AM71" t="n">
        <v/>
      </c>
      <c r="AN71" t="n">
        <v>1.868849429</v>
      </c>
      <c r="AO71" t="n">
        <v/>
      </c>
      <c r="AP71" t="n">
        <v/>
      </c>
      <c r="AQ71" t="n">
        <v/>
      </c>
      <c r="AR71" t="n">
        <v>1.995749957</v>
      </c>
      <c r="AS71" t="n">
        <v/>
      </c>
      <c r="AT71" t="n">
        <v>1.562300666</v>
      </c>
      <c r="AU71" t="n">
        <v>0.939568527</v>
      </c>
    </row>
    <row r="72">
      <c r="A72" t="inlineStr">
        <is>
          <t>1964-Q4</t>
        </is>
      </c>
      <c r="B72" s="107" t="n">
        <v>23743</v>
      </c>
      <c r="C72" t="n">
        <v/>
      </c>
      <c r="D72" t="n">
        <v>2.845976066</v>
      </c>
      <c r="E72" t="n">
        <v>2.854332243</v>
      </c>
      <c r="F72" t="n">
        <v>0.747161739</v>
      </c>
      <c r="G72" t="n">
        <v/>
      </c>
      <c r="H72" t="n">
        <v>0.5398924389999999</v>
      </c>
      <c r="I72" t="n">
        <v>-0.611582055</v>
      </c>
      <c r="J72" t="n">
        <v/>
      </c>
      <c r="K72" t="n">
        <v/>
      </c>
      <c r="L72" t="n">
        <v/>
      </c>
      <c r="M72" t="n">
        <v>1.360335531</v>
      </c>
      <c r="N72" t="n">
        <v>1.364173526</v>
      </c>
      <c r="O72" t="n">
        <v/>
      </c>
      <c r="P72" t="n">
        <v>2.174160309</v>
      </c>
      <c r="Q72" t="n">
        <v/>
      </c>
      <c r="R72" t="n">
        <v/>
      </c>
      <c r="S72" t="n">
        <v>-0.640689736</v>
      </c>
      <c r="T72" t="n">
        <v>0.9037387019999999</v>
      </c>
      <c r="U72" t="n">
        <v>0.665303</v>
      </c>
      <c r="V72" t="n">
        <v>1.51794316</v>
      </c>
      <c r="W72" t="n">
        <v>2.59261281</v>
      </c>
      <c r="X72" t="n">
        <v/>
      </c>
      <c r="Y72" t="n">
        <v/>
      </c>
      <c r="Z72" t="n">
        <v>0.496768236</v>
      </c>
      <c r="AA72" t="n">
        <v>1.526308194</v>
      </c>
      <c r="AB72" t="n">
        <v/>
      </c>
      <c r="AC72" t="n">
        <v>-0.418482889</v>
      </c>
      <c r="AD72" t="n">
        <v>1.250663295</v>
      </c>
      <c r="AE72" t="n">
        <v>4.019545705</v>
      </c>
      <c r="AF72" t="n">
        <v>0.19834878</v>
      </c>
      <c r="AG72" t="n">
        <v/>
      </c>
      <c r="AH72" t="n">
        <v>1.422456862</v>
      </c>
      <c r="AI72" t="n">
        <v>1.049790249</v>
      </c>
      <c r="AJ72" t="n">
        <v>1.429613923</v>
      </c>
      <c r="AK72" t="n">
        <v/>
      </c>
      <c r="AL72" t="n">
        <v>0.810797415</v>
      </c>
      <c r="AM72" t="n">
        <v/>
      </c>
      <c r="AN72" t="n">
        <v>2.035035329</v>
      </c>
      <c r="AO72" t="n">
        <v/>
      </c>
      <c r="AP72" t="n">
        <v/>
      </c>
      <c r="AQ72" t="n">
        <v/>
      </c>
      <c r="AR72" t="n">
        <v>1.070150373</v>
      </c>
      <c r="AS72" t="n">
        <v/>
      </c>
      <c r="AT72" t="n">
        <v>0.308871858</v>
      </c>
      <c r="AU72" t="n">
        <v>2.92427256</v>
      </c>
    </row>
    <row r="73">
      <c r="A73" t="inlineStr">
        <is>
          <t>1965-Q1</t>
        </is>
      </c>
      <c r="B73" s="107" t="n">
        <v>23833</v>
      </c>
      <c r="C73" t="n">
        <v/>
      </c>
      <c r="D73" t="n">
        <v>0.834166716</v>
      </c>
      <c r="E73" t="n">
        <v>-1.03171585</v>
      </c>
      <c r="F73" t="n">
        <v>0.733465155</v>
      </c>
      <c r="G73" t="n">
        <v/>
      </c>
      <c r="H73" t="n">
        <v>3.147915345</v>
      </c>
      <c r="I73" t="n">
        <v>2.485868997</v>
      </c>
      <c r="J73" t="n">
        <v/>
      </c>
      <c r="K73" t="n">
        <v/>
      </c>
      <c r="L73" t="n">
        <v/>
      </c>
      <c r="M73" t="n">
        <v>1.63656424</v>
      </c>
      <c r="N73" t="n">
        <v>0.788471361</v>
      </c>
      <c r="O73" t="n">
        <v/>
      </c>
      <c r="P73" t="n">
        <v>2.128162749</v>
      </c>
      <c r="Q73" t="n">
        <v/>
      </c>
      <c r="R73" t="n">
        <v/>
      </c>
      <c r="S73" t="n">
        <v>3.226251832</v>
      </c>
      <c r="T73" t="n">
        <v>0.221994873</v>
      </c>
      <c r="U73" t="n">
        <v>1.658182</v>
      </c>
      <c r="V73" t="n">
        <v>-0.303675542</v>
      </c>
      <c r="W73" t="n">
        <v>2.508262128</v>
      </c>
      <c r="X73" t="n">
        <v/>
      </c>
      <c r="Y73" t="n">
        <v/>
      </c>
      <c r="Z73" t="n">
        <v>0.487566055</v>
      </c>
      <c r="AA73" t="n">
        <v>1.496512559</v>
      </c>
      <c r="AB73" t="n">
        <v/>
      </c>
      <c r="AC73" t="n">
        <v>1.350147107</v>
      </c>
      <c r="AD73" t="n">
        <v>0.813162245</v>
      </c>
      <c r="AE73" t="n">
        <v>1.278573815</v>
      </c>
      <c r="AF73" t="n">
        <v>0.191471408</v>
      </c>
      <c r="AG73" t="n">
        <v/>
      </c>
      <c r="AH73" t="n">
        <v>1.390493536</v>
      </c>
      <c r="AI73" t="n">
        <v>2.887565198</v>
      </c>
      <c r="AJ73" t="n">
        <v>1.494925999</v>
      </c>
      <c r="AK73" t="n">
        <v/>
      </c>
      <c r="AL73" t="n">
        <v>1.621900595</v>
      </c>
      <c r="AM73" t="n">
        <v/>
      </c>
      <c r="AN73" t="n">
        <v>2.191014713</v>
      </c>
      <c r="AO73" t="n">
        <v/>
      </c>
      <c r="AP73" t="n">
        <v/>
      </c>
      <c r="AQ73" t="n">
        <v/>
      </c>
      <c r="AR73" t="n">
        <v>1.970918509</v>
      </c>
      <c r="AS73" t="n">
        <v/>
      </c>
      <c r="AT73" t="n">
        <v>2.419751879</v>
      </c>
      <c r="AU73" t="n">
        <v>1.923998284</v>
      </c>
    </row>
    <row r="74">
      <c r="A74" t="inlineStr">
        <is>
          <t>1965-Q2</t>
        </is>
      </c>
      <c r="B74" s="107" t="n">
        <v>23924</v>
      </c>
      <c r="C74" t="n">
        <v/>
      </c>
      <c r="D74" t="n">
        <v>1.558853729</v>
      </c>
      <c r="E74" t="n">
        <v>0.528129233</v>
      </c>
      <c r="F74" t="n">
        <v>0.724151005</v>
      </c>
      <c r="G74" t="n">
        <v/>
      </c>
      <c r="H74" t="n">
        <v>0.958020627</v>
      </c>
      <c r="I74" t="n">
        <v>0.120876874</v>
      </c>
      <c r="J74" t="n">
        <v/>
      </c>
      <c r="K74" t="n">
        <v/>
      </c>
      <c r="L74" t="n">
        <v/>
      </c>
      <c r="M74" t="n">
        <v>1.578070865</v>
      </c>
      <c r="N74" t="n">
        <v>0.7389061649999999</v>
      </c>
      <c r="O74" t="n">
        <v/>
      </c>
      <c r="P74" t="n">
        <v>0.42662027</v>
      </c>
      <c r="Q74" t="n">
        <v/>
      </c>
      <c r="R74" t="n">
        <v/>
      </c>
      <c r="S74" t="n">
        <v>1.382899031</v>
      </c>
      <c r="T74" t="n">
        <v>2.488095418</v>
      </c>
      <c r="U74" t="n">
        <v>1.328122</v>
      </c>
      <c r="V74" t="n">
        <v>0.073770443</v>
      </c>
      <c r="W74" t="n">
        <v>2.425116397</v>
      </c>
      <c r="X74" t="n">
        <v/>
      </c>
      <c r="Y74" t="n">
        <v/>
      </c>
      <c r="Z74" t="n">
        <v>0.483868724</v>
      </c>
      <c r="AA74" t="n">
        <v>1.456997639</v>
      </c>
      <c r="AB74" t="n">
        <v/>
      </c>
      <c r="AC74" t="n">
        <v>1.993828946</v>
      </c>
      <c r="AD74" t="n">
        <v>1.248847841</v>
      </c>
      <c r="AE74" t="n">
        <v>0.226092863</v>
      </c>
      <c r="AF74" t="n">
        <v>0.194235758</v>
      </c>
      <c r="AG74" t="n">
        <v/>
      </c>
      <c r="AH74" t="n">
        <v>1.360647158</v>
      </c>
      <c r="AI74" t="n">
        <v>-1.022037609</v>
      </c>
      <c r="AJ74" t="n">
        <v>1.241228834</v>
      </c>
      <c r="AK74" t="n">
        <v/>
      </c>
      <c r="AL74" t="n">
        <v>1.177137024</v>
      </c>
      <c r="AM74" t="n">
        <v/>
      </c>
      <c r="AN74" t="n">
        <v>1.750541059</v>
      </c>
      <c r="AO74" t="n">
        <v/>
      </c>
      <c r="AP74" t="n">
        <v/>
      </c>
      <c r="AQ74" t="n">
        <v/>
      </c>
      <c r="AR74" t="n">
        <v>-0.73941296</v>
      </c>
      <c r="AS74" t="n">
        <v/>
      </c>
      <c r="AT74" t="n">
        <v>1.263298249</v>
      </c>
      <c r="AU74" t="n">
        <v>0.967394337</v>
      </c>
    </row>
    <row r="75">
      <c r="A75" t="inlineStr">
        <is>
          <t>1965-Q3</t>
        </is>
      </c>
      <c r="B75" s="107" t="n">
        <v>24016</v>
      </c>
      <c r="C75" t="n">
        <v/>
      </c>
      <c r="D75" t="n">
        <v>-0.286075368</v>
      </c>
      <c r="E75" t="n">
        <v>2.021288484</v>
      </c>
      <c r="F75" t="n">
        <v>0.736432615</v>
      </c>
      <c r="G75" t="n">
        <v/>
      </c>
      <c r="H75" t="n">
        <v>1.361815991</v>
      </c>
      <c r="I75" t="n">
        <v>1.059562853</v>
      </c>
      <c r="J75" t="n">
        <v/>
      </c>
      <c r="K75" t="n">
        <v/>
      </c>
      <c r="L75" t="n">
        <v/>
      </c>
      <c r="M75" t="n">
        <v>0.665875619</v>
      </c>
      <c r="N75" t="n">
        <v>0.690385637</v>
      </c>
      <c r="O75" t="n">
        <v/>
      </c>
      <c r="P75" t="n">
        <v>1.018033046</v>
      </c>
      <c r="Q75" t="n">
        <v/>
      </c>
      <c r="R75" t="n">
        <v/>
      </c>
      <c r="S75" t="n">
        <v>1.222783966</v>
      </c>
      <c r="T75" t="n">
        <v>1.445018966</v>
      </c>
      <c r="U75" t="n">
        <v>1.723076</v>
      </c>
      <c r="V75" t="n">
        <v>0.822766374</v>
      </c>
      <c r="W75" t="n">
        <v>1.917831304</v>
      </c>
      <c r="X75" t="n">
        <v/>
      </c>
      <c r="Y75" t="n">
        <v/>
      </c>
      <c r="Z75" t="n">
        <v>0.229256974</v>
      </c>
      <c r="AA75" t="n">
        <v>2.116984581</v>
      </c>
      <c r="AB75" t="n">
        <v/>
      </c>
      <c r="AC75" t="n">
        <v>1.332058082</v>
      </c>
      <c r="AD75" t="n">
        <v>2.265972003</v>
      </c>
      <c r="AE75" t="n">
        <v>-0.790992177</v>
      </c>
      <c r="AF75" t="n">
        <v>0.275605866</v>
      </c>
      <c r="AG75" t="n">
        <v/>
      </c>
      <c r="AH75" t="n">
        <v>1.475944033</v>
      </c>
      <c r="AI75" t="n">
        <v>0.899899217</v>
      </c>
      <c r="AJ75" t="n">
        <v>0.997207065</v>
      </c>
      <c r="AK75" t="n">
        <v/>
      </c>
      <c r="AL75" t="n">
        <v>1.578106188</v>
      </c>
      <c r="AM75" t="n">
        <v/>
      </c>
      <c r="AN75" t="n">
        <v>1.333726909</v>
      </c>
      <c r="AO75" t="n">
        <v/>
      </c>
      <c r="AP75" t="n">
        <v/>
      </c>
      <c r="AQ75" t="n">
        <v/>
      </c>
      <c r="AR75" t="n">
        <v>-0.102962117</v>
      </c>
      <c r="AS75" t="n">
        <v/>
      </c>
      <c r="AT75" t="n">
        <v>2.223252282</v>
      </c>
      <c r="AU75" t="n">
        <v>-0.315747202</v>
      </c>
    </row>
    <row r="76">
      <c r="A76" t="inlineStr">
        <is>
          <t>1965-Q4</t>
        </is>
      </c>
      <c r="B76" s="107" t="n">
        <v>24108</v>
      </c>
      <c r="C76" t="n">
        <v/>
      </c>
      <c r="D76" t="n">
        <v>0.248873731</v>
      </c>
      <c r="E76" t="n">
        <v>0.44959764</v>
      </c>
      <c r="F76" t="n">
        <v>0.745096621</v>
      </c>
      <c r="G76" t="n">
        <v/>
      </c>
      <c r="H76" t="n">
        <v>2.459550179</v>
      </c>
      <c r="I76" t="n">
        <v>-0.261583709</v>
      </c>
      <c r="J76" t="n">
        <v/>
      </c>
      <c r="K76" t="n">
        <v/>
      </c>
      <c r="L76" t="n">
        <v/>
      </c>
      <c r="M76" t="n">
        <v>0.598451791</v>
      </c>
      <c r="N76" t="n">
        <v>0.642868714</v>
      </c>
      <c r="O76" t="n">
        <v/>
      </c>
      <c r="P76" t="n">
        <v>2.989390694</v>
      </c>
      <c r="Q76" t="n">
        <v/>
      </c>
      <c r="R76" t="n">
        <v/>
      </c>
      <c r="S76" t="n">
        <v>-0.701596023</v>
      </c>
      <c r="T76" t="n">
        <v>1.392214333</v>
      </c>
      <c r="U76" t="n">
        <v>1.71497</v>
      </c>
      <c r="V76" t="n">
        <v>0.613218394</v>
      </c>
      <c r="W76" t="n">
        <v>1.396412929</v>
      </c>
      <c r="X76" t="n">
        <v/>
      </c>
      <c r="Y76" t="n">
        <v/>
      </c>
      <c r="Z76" t="n">
        <v>-0.042736612</v>
      </c>
      <c r="AA76" t="n">
        <v>2.775478427</v>
      </c>
      <c r="AB76" t="n">
        <v/>
      </c>
      <c r="AC76" t="n">
        <v>1.50234531</v>
      </c>
      <c r="AD76" t="n">
        <v>1.553909699</v>
      </c>
      <c r="AE76" t="n">
        <v>2.332367206</v>
      </c>
      <c r="AF76" t="n">
        <v>0.360587193</v>
      </c>
      <c r="AG76" t="n">
        <v/>
      </c>
      <c r="AH76" t="n">
        <v>1.586576684</v>
      </c>
      <c r="AI76" t="n">
        <v>2.673000952</v>
      </c>
      <c r="AJ76" t="n">
        <v>0.760749202</v>
      </c>
      <c r="AK76" t="n">
        <v/>
      </c>
      <c r="AL76" t="n">
        <v>1.702516693</v>
      </c>
      <c r="AM76" t="n">
        <v/>
      </c>
      <c r="AN76" t="n">
        <v>0.934594765</v>
      </c>
      <c r="AO76" t="n">
        <v/>
      </c>
      <c r="AP76" t="n">
        <v/>
      </c>
      <c r="AQ76" t="n">
        <v/>
      </c>
      <c r="AR76" t="n">
        <v>1.989428933</v>
      </c>
      <c r="AS76" t="n">
        <v/>
      </c>
      <c r="AT76" t="n">
        <v>2.304040466</v>
      </c>
      <c r="AU76" t="n">
        <v>1.663322974</v>
      </c>
    </row>
    <row r="77">
      <c r="A77" t="inlineStr">
        <is>
          <t>1966-Q1</t>
        </is>
      </c>
      <c r="B77" s="107" t="n">
        <v>24198</v>
      </c>
      <c r="C77" t="n">
        <v/>
      </c>
      <c r="D77" t="n">
        <v>-0.295378533</v>
      </c>
      <c r="E77" t="n">
        <v>3.196666159</v>
      </c>
      <c r="F77" t="n">
        <v>0.732865674</v>
      </c>
      <c r="G77" t="n">
        <v/>
      </c>
      <c r="H77" t="n">
        <v>1.914221546</v>
      </c>
      <c r="I77" t="n">
        <v>-1.34631725</v>
      </c>
      <c r="J77" t="n">
        <v/>
      </c>
      <c r="K77" t="n">
        <v/>
      </c>
      <c r="L77" t="n">
        <v/>
      </c>
      <c r="M77" t="n">
        <v>1.81592055</v>
      </c>
      <c r="N77" t="n">
        <v>0.596230504</v>
      </c>
      <c r="O77" t="n">
        <v/>
      </c>
      <c r="P77" t="n">
        <v>-0.680517619</v>
      </c>
      <c r="Q77" t="n">
        <v/>
      </c>
      <c r="R77" t="n">
        <v/>
      </c>
      <c r="S77" t="n">
        <v>-0.912944245</v>
      </c>
      <c r="T77" t="n">
        <v>0.902205649</v>
      </c>
      <c r="U77" t="n">
        <v>1.91923</v>
      </c>
      <c r="V77" t="n">
        <v>0.165849142</v>
      </c>
      <c r="W77" t="n">
        <v>1.35695634</v>
      </c>
      <c r="X77" t="n">
        <v/>
      </c>
      <c r="Y77" t="n">
        <v/>
      </c>
      <c r="Z77" t="n">
        <v>-0.038760612</v>
      </c>
      <c r="AA77" t="n">
        <v>2.665270118</v>
      </c>
      <c r="AB77" t="n">
        <v/>
      </c>
      <c r="AC77" t="n">
        <v>0.967116445</v>
      </c>
      <c r="AD77" t="n">
        <v>2.676417582</v>
      </c>
      <c r="AE77" t="n">
        <v>6.129066097</v>
      </c>
      <c r="AF77" t="n">
        <v>0.354312876</v>
      </c>
      <c r="AG77" t="n">
        <v/>
      </c>
      <c r="AH77" t="n">
        <v>1.54569495</v>
      </c>
      <c r="AI77" t="n">
        <v>-2.7211587</v>
      </c>
      <c r="AJ77" t="n">
        <v>0.53017089</v>
      </c>
      <c r="AK77" t="n">
        <v/>
      </c>
      <c r="AL77" t="n">
        <v>1.661220429</v>
      </c>
      <c r="AM77" t="n">
        <v/>
      </c>
      <c r="AN77" t="n">
        <v>0.547837083</v>
      </c>
      <c r="AO77" t="n">
        <v/>
      </c>
      <c r="AP77" t="n">
        <v/>
      </c>
      <c r="AQ77" t="n">
        <v/>
      </c>
      <c r="AR77" t="n">
        <v>1.383376129</v>
      </c>
      <c r="AS77" t="n">
        <v/>
      </c>
      <c r="AT77" t="n">
        <v>2.434228759</v>
      </c>
      <c r="AU77" t="n">
        <v>1.404337538</v>
      </c>
    </row>
    <row r="78">
      <c r="A78" t="inlineStr">
        <is>
          <t>1966-Q2</t>
        </is>
      </c>
      <c r="B78" s="107" t="n">
        <v>24289</v>
      </c>
      <c r="C78" t="n">
        <v/>
      </c>
      <c r="D78" t="n">
        <v>1.362536023</v>
      </c>
      <c r="E78" t="n">
        <v>-0.12343989</v>
      </c>
      <c r="F78" t="n">
        <v>0.722237037</v>
      </c>
      <c r="G78" t="n">
        <v/>
      </c>
      <c r="H78" t="n">
        <v>2.11998309</v>
      </c>
      <c r="I78" t="n">
        <v>5.130424486</v>
      </c>
      <c r="J78" t="n">
        <v/>
      </c>
      <c r="K78" t="n">
        <v/>
      </c>
      <c r="L78" t="n">
        <v/>
      </c>
      <c r="M78" t="n">
        <v>0.307484942</v>
      </c>
      <c r="N78" t="n">
        <v>0.681158855</v>
      </c>
      <c r="O78" t="n">
        <v/>
      </c>
      <c r="P78" t="n">
        <v>5.167525676</v>
      </c>
      <c r="Q78" t="n">
        <v/>
      </c>
      <c r="R78" t="n">
        <v/>
      </c>
      <c r="S78" t="n">
        <v>2.059101758</v>
      </c>
      <c r="T78" t="n">
        <v>1.512521587</v>
      </c>
      <c r="U78" t="n">
        <v>0.986606</v>
      </c>
      <c r="V78" t="n">
        <v>0.586239176</v>
      </c>
      <c r="W78" t="n">
        <v>1.336467965</v>
      </c>
      <c r="X78" t="n">
        <v/>
      </c>
      <c r="Y78" t="n">
        <v/>
      </c>
      <c r="Z78" t="n">
        <v>-0.042143613</v>
      </c>
      <c r="AA78" t="n">
        <v>2.587697707</v>
      </c>
      <c r="AB78" t="n">
        <v/>
      </c>
      <c r="AC78" t="n">
        <v>1.424290602</v>
      </c>
      <c r="AD78" t="n">
        <v>3.912582843</v>
      </c>
      <c r="AE78" t="n">
        <v>6.193839408</v>
      </c>
      <c r="AF78" t="n">
        <v>0.352207078</v>
      </c>
      <c r="AG78" t="n">
        <v/>
      </c>
      <c r="AH78" t="n">
        <v>1.512978569</v>
      </c>
      <c r="AI78" t="n">
        <v>2.951838813</v>
      </c>
      <c r="AJ78" t="n">
        <v>0.945991298</v>
      </c>
      <c r="AK78" t="n">
        <v/>
      </c>
      <c r="AL78" t="n">
        <v>1.274281483</v>
      </c>
      <c r="AM78" t="n">
        <v/>
      </c>
      <c r="AN78" t="n">
        <v>0.890694944</v>
      </c>
      <c r="AO78" t="n">
        <v/>
      </c>
      <c r="AP78" t="n">
        <v/>
      </c>
      <c r="AQ78" t="n">
        <v/>
      </c>
      <c r="AR78" t="n">
        <v>-0.65978203</v>
      </c>
      <c r="AS78" t="n">
        <v/>
      </c>
      <c r="AT78" t="n">
        <v>0.341601962</v>
      </c>
      <c r="AU78" t="n">
        <v>1.088242246</v>
      </c>
    </row>
    <row r="79">
      <c r="A79" t="inlineStr">
        <is>
          <t>1966-Q3</t>
        </is>
      </c>
      <c r="B79" s="107" t="n">
        <v>24381</v>
      </c>
      <c r="C79" t="n">
        <v/>
      </c>
      <c r="D79" t="n">
        <v>2.83514534</v>
      </c>
      <c r="E79" t="n">
        <v>0.276640305</v>
      </c>
      <c r="F79" t="n">
        <v>0.867683512</v>
      </c>
      <c r="G79" t="n">
        <v/>
      </c>
      <c r="H79" t="n">
        <v>-0.023977179</v>
      </c>
      <c r="I79" t="n">
        <v>-1.256225564</v>
      </c>
      <c r="J79" t="n">
        <v/>
      </c>
      <c r="K79" t="n">
        <v/>
      </c>
      <c r="L79" t="n">
        <v/>
      </c>
      <c r="M79" t="n">
        <v>0.122676937</v>
      </c>
      <c r="N79" t="n">
        <v>0.764392634</v>
      </c>
      <c r="O79" t="n">
        <v/>
      </c>
      <c r="P79" t="n">
        <v>1.98369138</v>
      </c>
      <c r="Q79" t="n">
        <v/>
      </c>
      <c r="R79" t="n">
        <v/>
      </c>
      <c r="S79" t="n">
        <v>1.073881585</v>
      </c>
      <c r="T79" t="n">
        <v>1.140425464</v>
      </c>
      <c r="U79" t="n">
        <v>1.013168</v>
      </c>
      <c r="V79" t="n">
        <v>0.311187632</v>
      </c>
      <c r="W79" t="n">
        <v>1.342155326</v>
      </c>
      <c r="X79" t="n">
        <v/>
      </c>
      <c r="Y79" t="n">
        <v/>
      </c>
      <c r="Z79" t="n">
        <v>0.736524492</v>
      </c>
      <c r="AA79" t="n">
        <v>1.046335853</v>
      </c>
      <c r="AB79" t="n">
        <v/>
      </c>
      <c r="AC79" t="n">
        <v>2.825008494</v>
      </c>
      <c r="AD79" t="n">
        <v>2.431441883</v>
      </c>
      <c r="AE79" t="n">
        <v>-1.728704276</v>
      </c>
      <c r="AF79" t="n">
        <v>0.118504587</v>
      </c>
      <c r="AG79" t="n">
        <v/>
      </c>
      <c r="AH79" t="n">
        <v>1.453550189</v>
      </c>
      <c r="AI79" t="n">
        <v>2.051649338</v>
      </c>
      <c r="AJ79" t="n">
        <v>1.351786941</v>
      </c>
      <c r="AK79" t="n">
        <v/>
      </c>
      <c r="AL79" t="n">
        <v>1.025439506</v>
      </c>
      <c r="AM79" t="n">
        <v/>
      </c>
      <c r="AN79" t="n">
        <v>1.225592041</v>
      </c>
      <c r="AO79" t="n">
        <v/>
      </c>
      <c r="AP79" t="n">
        <v/>
      </c>
      <c r="AQ79" t="n">
        <v/>
      </c>
      <c r="AR79" t="n">
        <v>-2.560285154</v>
      </c>
      <c r="AS79" t="n">
        <v/>
      </c>
      <c r="AT79" t="n">
        <v>0.846905052</v>
      </c>
      <c r="AU79" t="n">
        <v>1.473290107</v>
      </c>
    </row>
    <row r="80">
      <c r="A80" t="inlineStr">
        <is>
          <t>1966-Q4</t>
        </is>
      </c>
      <c r="B80" s="107" t="n">
        <v>24473</v>
      </c>
      <c r="C80" t="n">
        <v/>
      </c>
      <c r="D80" t="n">
        <v>0.663533315</v>
      </c>
      <c r="E80" t="n">
        <v>0.889976465</v>
      </c>
      <c r="F80" t="n">
        <v>1.015039977</v>
      </c>
      <c r="G80" t="n">
        <v/>
      </c>
      <c r="H80" t="n">
        <v>1.223334365</v>
      </c>
      <c r="I80" t="n">
        <v>1.15061795</v>
      </c>
      <c r="J80" t="n">
        <v/>
      </c>
      <c r="K80" t="n">
        <v/>
      </c>
      <c r="L80" t="n">
        <v/>
      </c>
      <c r="M80" t="n">
        <v>-1.56154042</v>
      </c>
      <c r="N80" t="n">
        <v>0.845812538</v>
      </c>
      <c r="O80" t="n">
        <v/>
      </c>
      <c r="P80" t="n">
        <v>0.270896926</v>
      </c>
      <c r="Q80" t="n">
        <v/>
      </c>
      <c r="R80" t="n">
        <v/>
      </c>
      <c r="S80" t="n">
        <v>3.071027029</v>
      </c>
      <c r="T80" t="n">
        <v>0.545946646</v>
      </c>
      <c r="U80" t="n">
        <v>0.500541</v>
      </c>
      <c r="V80" t="n">
        <v>-0.428512615</v>
      </c>
      <c r="W80" t="n">
        <v>1.340768844</v>
      </c>
      <c r="X80" t="n">
        <v/>
      </c>
      <c r="Y80" t="n">
        <v/>
      </c>
      <c r="Z80" t="n">
        <v>1.555854567</v>
      </c>
      <c r="AA80" t="n">
        <v>-0.538181432</v>
      </c>
      <c r="AB80" t="n">
        <v/>
      </c>
      <c r="AC80" t="n">
        <v>0.479191887</v>
      </c>
      <c r="AD80" t="n">
        <v>1.998277154</v>
      </c>
      <c r="AE80" t="n">
        <v>1.331174981</v>
      </c>
      <c r="AF80" t="n">
        <v>-0.131479192</v>
      </c>
      <c r="AG80" t="n">
        <v/>
      </c>
      <c r="AH80" t="n">
        <v>1.38475762</v>
      </c>
      <c r="AI80" t="n">
        <v>0.328501142</v>
      </c>
      <c r="AJ80" t="n">
        <v>1.742887589</v>
      </c>
      <c r="AK80" t="n">
        <v/>
      </c>
      <c r="AL80" t="n">
        <v>0.629023794</v>
      </c>
      <c r="AM80" t="n">
        <v/>
      </c>
      <c r="AN80" t="n">
        <v>1.549392365</v>
      </c>
      <c r="AO80" t="n">
        <v/>
      </c>
      <c r="AP80" t="n">
        <v/>
      </c>
      <c r="AQ80" t="n">
        <v/>
      </c>
      <c r="AR80" t="n">
        <v>5.06697215</v>
      </c>
      <c r="AS80" t="n">
        <v/>
      </c>
      <c r="AT80" t="n">
        <v>0.820407109</v>
      </c>
      <c r="AU80" t="n">
        <v>0.329041265</v>
      </c>
    </row>
    <row r="81">
      <c r="A81" t="inlineStr">
        <is>
          <t>1967-Q1</t>
        </is>
      </c>
      <c r="B81" s="107" t="n">
        <v>24563</v>
      </c>
      <c r="C81" t="n">
        <v/>
      </c>
      <c r="D81" t="n">
        <v>3.896731667</v>
      </c>
      <c r="E81" t="n">
        <v>0.876896933</v>
      </c>
      <c r="F81" t="n">
        <v>0.995320126</v>
      </c>
      <c r="G81" t="n">
        <v/>
      </c>
      <c r="H81" t="n">
        <v>-0.219920416</v>
      </c>
      <c r="I81" t="n">
        <v>2.805190353</v>
      </c>
      <c r="J81" t="n">
        <v/>
      </c>
      <c r="K81" t="n">
        <v/>
      </c>
      <c r="L81" t="n">
        <v/>
      </c>
      <c r="M81" t="n">
        <v>-0.49772895</v>
      </c>
      <c r="N81" t="n">
        <v>0.925141996</v>
      </c>
      <c r="O81" t="n">
        <v/>
      </c>
      <c r="P81" t="n">
        <v>0.27549265</v>
      </c>
      <c r="Q81" t="n">
        <v/>
      </c>
      <c r="R81" t="n">
        <v/>
      </c>
      <c r="S81" t="n">
        <v>-1.298875678</v>
      </c>
      <c r="T81" t="n">
        <v>1.713639564</v>
      </c>
      <c r="U81" t="n">
        <v>1.052298</v>
      </c>
      <c r="V81" t="n">
        <v>1.348722906</v>
      </c>
      <c r="W81" t="n">
        <v>1.309832395</v>
      </c>
      <c r="X81" t="n">
        <v/>
      </c>
      <c r="Y81" t="n">
        <v/>
      </c>
      <c r="Z81" t="n">
        <v>1.527446559</v>
      </c>
      <c r="AA81" t="n">
        <v>-0.557784155</v>
      </c>
      <c r="AB81" t="n">
        <v/>
      </c>
      <c r="AC81" t="n">
        <v>1.995070372</v>
      </c>
      <c r="AD81" t="n">
        <v>2.650178346</v>
      </c>
      <c r="AE81" t="n">
        <v>3.370041807</v>
      </c>
      <c r="AF81" t="n">
        <v>-0.12891016</v>
      </c>
      <c r="AG81" t="n">
        <v/>
      </c>
      <c r="AH81" t="n">
        <v>1.353178114</v>
      </c>
      <c r="AI81" t="n">
        <v>1.364118813</v>
      </c>
      <c r="AJ81" t="n">
        <v>2.115153055</v>
      </c>
      <c r="AK81" t="n">
        <v/>
      </c>
      <c r="AL81" t="n">
        <v>1.103407781</v>
      </c>
      <c r="AM81" t="n">
        <v/>
      </c>
      <c r="AN81" t="n">
        <v>1.859224895</v>
      </c>
      <c r="AO81" t="n">
        <v/>
      </c>
      <c r="AP81" t="n">
        <v/>
      </c>
      <c r="AQ81" t="n">
        <v/>
      </c>
      <c r="AR81" t="n">
        <v>1.060737594</v>
      </c>
      <c r="AS81" t="n">
        <v/>
      </c>
      <c r="AT81" t="n">
        <v>0.8855525869999999</v>
      </c>
      <c r="AU81" t="n">
        <v>3.635516169</v>
      </c>
    </row>
    <row r="82">
      <c r="A82" t="inlineStr">
        <is>
          <t>1967-Q2</t>
        </is>
      </c>
      <c r="B82" s="107" t="n">
        <v>24654</v>
      </c>
      <c r="C82" t="n">
        <v/>
      </c>
      <c r="D82" t="n">
        <v>-0.151207546</v>
      </c>
      <c r="E82" t="n">
        <v>0.856198071</v>
      </c>
      <c r="F82" t="n">
        <v>0.978753295</v>
      </c>
      <c r="G82" t="n">
        <v/>
      </c>
      <c r="H82" t="n">
        <v>2.104199266</v>
      </c>
      <c r="I82" t="n">
        <v>-0.979198377</v>
      </c>
      <c r="J82" t="n">
        <v/>
      </c>
      <c r="K82" t="n">
        <v/>
      </c>
      <c r="L82" t="n">
        <v/>
      </c>
      <c r="M82" t="n">
        <v>-0.31257933</v>
      </c>
      <c r="N82" t="n">
        <v>0.8757568060000001</v>
      </c>
      <c r="O82" t="n">
        <v/>
      </c>
      <c r="P82" t="n">
        <v>1.201427228</v>
      </c>
      <c r="Q82" t="n">
        <v/>
      </c>
      <c r="R82" t="n">
        <v/>
      </c>
      <c r="S82" t="n">
        <v>0.829482975</v>
      </c>
      <c r="T82" t="n">
        <v>1.094577234</v>
      </c>
      <c r="U82" t="n">
        <v>0.764269</v>
      </c>
      <c r="V82" t="n">
        <v>1.420412103</v>
      </c>
      <c r="W82" t="n">
        <v>1.284634665</v>
      </c>
      <c r="X82" t="n">
        <v/>
      </c>
      <c r="Y82" t="n">
        <v/>
      </c>
      <c r="Z82" t="n">
        <v>1.484569826</v>
      </c>
      <c r="AA82" t="n">
        <v>-0.535663561</v>
      </c>
      <c r="AB82" t="n">
        <v/>
      </c>
      <c r="AC82" t="n">
        <v>2.150865879</v>
      </c>
      <c r="AD82" t="n">
        <v>2.6901539</v>
      </c>
      <c r="AE82" t="n">
        <v>2.087957254</v>
      </c>
      <c r="AF82" t="n">
        <v>-0.129736904</v>
      </c>
      <c r="AG82" t="n">
        <v/>
      </c>
      <c r="AH82" t="n">
        <v>1.325622743</v>
      </c>
      <c r="AI82" t="n">
        <v>1.022579153</v>
      </c>
      <c r="AJ82" t="n">
        <v>1.548682996</v>
      </c>
      <c r="AK82" t="n">
        <v/>
      </c>
      <c r="AL82" t="n">
        <v>0.76392357</v>
      </c>
      <c r="AM82" t="n">
        <v/>
      </c>
      <c r="AN82" t="n">
        <v>2.136933499</v>
      </c>
      <c r="AO82" t="n">
        <v/>
      </c>
      <c r="AP82" t="n">
        <v/>
      </c>
      <c r="AQ82" t="n">
        <v/>
      </c>
      <c r="AR82" t="n">
        <v>0.335866733</v>
      </c>
      <c r="AS82" t="n">
        <v/>
      </c>
      <c r="AT82" t="n">
        <v>0.061297813</v>
      </c>
      <c r="AU82" t="n">
        <v>0.158926296</v>
      </c>
    </row>
    <row r="83">
      <c r="A83" t="inlineStr">
        <is>
          <t>1967-Q3</t>
        </is>
      </c>
      <c r="B83" s="107" t="n">
        <v>24746</v>
      </c>
      <c r="C83" t="n">
        <v/>
      </c>
      <c r="D83" t="n">
        <v>1.885014138</v>
      </c>
      <c r="E83" t="n">
        <v>-0.658889874</v>
      </c>
      <c r="F83" t="n">
        <v>0.954276437</v>
      </c>
      <c r="G83" t="n">
        <v/>
      </c>
      <c r="H83" t="n">
        <v>0.357783887</v>
      </c>
      <c r="I83" t="n">
        <v>-1.163088589</v>
      </c>
      <c r="J83" t="n">
        <v/>
      </c>
      <c r="K83" t="n">
        <v/>
      </c>
      <c r="L83" t="n">
        <v/>
      </c>
      <c r="M83" t="n">
        <v>2.414591866</v>
      </c>
      <c r="N83" t="n">
        <v>0.827583422</v>
      </c>
      <c r="O83" t="n">
        <v/>
      </c>
      <c r="P83" t="n">
        <v>1.715238061</v>
      </c>
      <c r="Q83" t="n">
        <v/>
      </c>
      <c r="R83" t="n">
        <v/>
      </c>
      <c r="S83" t="n">
        <v>-0.603823063</v>
      </c>
      <c r="T83" t="n">
        <v>0.956190097</v>
      </c>
      <c r="U83" t="n">
        <v>1.402614</v>
      </c>
      <c r="V83" t="n">
        <v>0.440778217</v>
      </c>
      <c r="W83" t="n">
        <v>1.408851299</v>
      </c>
      <c r="X83" t="n">
        <v/>
      </c>
      <c r="Y83" t="n">
        <v/>
      </c>
      <c r="Z83" t="n">
        <v>1.858371838</v>
      </c>
      <c r="AA83" t="n">
        <v>-1.180127919</v>
      </c>
      <c r="AB83" t="n">
        <v/>
      </c>
      <c r="AC83" t="n">
        <v>1.541055336</v>
      </c>
      <c r="AD83" t="n">
        <v>3.467643213</v>
      </c>
      <c r="AE83" t="n">
        <v>4.139624768</v>
      </c>
      <c r="AF83" t="n">
        <v>0.35421015</v>
      </c>
      <c r="AG83" t="n">
        <v/>
      </c>
      <c r="AH83" t="n">
        <v>1.646754016</v>
      </c>
      <c r="AI83" t="n">
        <v>1.662570181</v>
      </c>
      <c r="AJ83" t="n">
        <v>1.010316344</v>
      </c>
      <c r="AK83" t="n">
        <v/>
      </c>
      <c r="AL83" t="n">
        <v>1.321931284</v>
      </c>
      <c r="AM83" t="n">
        <v/>
      </c>
      <c r="AN83" t="n">
        <v>2.397430267</v>
      </c>
      <c r="AO83" t="n">
        <v/>
      </c>
      <c r="AP83" t="n">
        <v/>
      </c>
      <c r="AQ83" t="n">
        <v/>
      </c>
      <c r="AR83" t="n">
        <v>-1.597445134</v>
      </c>
      <c r="AS83" t="n">
        <v/>
      </c>
      <c r="AT83" t="n">
        <v>0.946120917</v>
      </c>
      <c r="AU83" t="n">
        <v>5.028337401</v>
      </c>
    </row>
    <row r="84">
      <c r="A84" t="inlineStr">
        <is>
          <t>1967-Q4</t>
        </is>
      </c>
      <c r="B84" s="107" t="n">
        <v>24838</v>
      </c>
      <c r="C84" t="n">
        <v/>
      </c>
      <c r="D84" t="n">
        <v>0.876217402</v>
      </c>
      <c r="E84" t="n">
        <v>1.610119272</v>
      </c>
      <c r="F84" t="n">
        <v>0.923408429</v>
      </c>
      <c r="G84" t="n">
        <v/>
      </c>
      <c r="H84" t="n">
        <v>0.404636985</v>
      </c>
      <c r="I84" t="n">
        <v>0.513219285</v>
      </c>
      <c r="J84" t="n">
        <v/>
      </c>
      <c r="K84" t="n">
        <v/>
      </c>
      <c r="L84" t="n">
        <v/>
      </c>
      <c r="M84" t="n">
        <v>1.285930408</v>
      </c>
      <c r="N84" t="n">
        <v>0.780553225</v>
      </c>
      <c r="O84" t="n">
        <v/>
      </c>
      <c r="P84" t="n">
        <v>-0.719103301</v>
      </c>
      <c r="Q84" t="n">
        <v/>
      </c>
      <c r="R84" t="n">
        <v/>
      </c>
      <c r="S84" t="n">
        <v>-0.607758264</v>
      </c>
      <c r="T84" t="n">
        <v>0.974727457</v>
      </c>
      <c r="U84" t="n">
        <v>1.038215</v>
      </c>
      <c r="V84" t="n">
        <v>0.5020193590000001</v>
      </c>
      <c r="W84" t="n">
        <v>1.52923067</v>
      </c>
      <c r="X84" t="n">
        <v/>
      </c>
      <c r="Y84" t="n">
        <v/>
      </c>
      <c r="Z84" t="n">
        <v>2.229628887</v>
      </c>
      <c r="AA84" t="n">
        <v>-1.883272844</v>
      </c>
      <c r="AB84" t="n">
        <v/>
      </c>
      <c r="AC84" t="n">
        <v>1.975952573</v>
      </c>
      <c r="AD84" t="n">
        <v>1.933249747</v>
      </c>
      <c r="AE84" t="n">
        <v>0.660321191</v>
      </c>
      <c r="AF84" t="n">
        <v>0.868292486</v>
      </c>
      <c r="AG84" t="n">
        <v/>
      </c>
      <c r="AH84" t="n">
        <v>1.967176392</v>
      </c>
      <c r="AI84" t="n">
        <v>0.912321876</v>
      </c>
      <c r="AJ84" t="n">
        <v>0.490641617</v>
      </c>
      <c r="AK84" t="n">
        <v/>
      </c>
      <c r="AL84" t="n">
        <v>1.037424663</v>
      </c>
      <c r="AM84" t="n">
        <v/>
      </c>
      <c r="AN84" t="n">
        <v>2.63927989</v>
      </c>
      <c r="AO84" t="n">
        <v/>
      </c>
      <c r="AP84" t="n">
        <v/>
      </c>
      <c r="AQ84" t="n">
        <v/>
      </c>
      <c r="AR84" t="n">
        <v>2.331611251</v>
      </c>
      <c r="AS84" t="n">
        <v/>
      </c>
      <c r="AT84" t="n">
        <v>0.754017127</v>
      </c>
      <c r="AU84" t="n">
        <v>-1.815747866</v>
      </c>
    </row>
    <row r="85">
      <c r="A85" t="inlineStr">
        <is>
          <t>1968-Q1</t>
        </is>
      </c>
      <c r="B85" s="107" t="n">
        <v>24929</v>
      </c>
      <c r="C85" t="n">
        <v/>
      </c>
      <c r="D85" t="n">
        <v>-0.895396282</v>
      </c>
      <c r="E85" t="n">
        <v>1.264305303</v>
      </c>
      <c r="F85" t="n">
        <v>0.9084294939999999</v>
      </c>
      <c r="G85" t="n">
        <v/>
      </c>
      <c r="H85" t="n">
        <v>0.8290921999999999</v>
      </c>
      <c r="I85" t="n">
        <v>1.588529578</v>
      </c>
      <c r="J85" t="n">
        <v/>
      </c>
      <c r="K85" t="n">
        <v/>
      </c>
      <c r="L85" t="n">
        <v/>
      </c>
      <c r="M85" t="n">
        <v>1.170303986</v>
      </c>
      <c r="N85" t="n">
        <v>0.734581953</v>
      </c>
      <c r="O85" t="n">
        <v/>
      </c>
      <c r="P85" t="n">
        <v>2.133945021</v>
      </c>
      <c r="Q85" t="n">
        <v/>
      </c>
      <c r="R85" t="n">
        <v/>
      </c>
      <c r="S85" t="n">
        <v>1.016885402</v>
      </c>
      <c r="T85" t="n">
        <v>2.909618399</v>
      </c>
      <c r="U85" t="n">
        <v>1.988635</v>
      </c>
      <c r="V85" t="n">
        <v>3.650364251</v>
      </c>
      <c r="W85" t="n">
        <v>1.496908356</v>
      </c>
      <c r="X85" t="n">
        <v/>
      </c>
      <c r="Y85" t="n">
        <v/>
      </c>
      <c r="Z85" t="n">
        <v>2.162924681</v>
      </c>
      <c r="AA85" t="n">
        <v>-1.901361332</v>
      </c>
      <c r="AB85" t="n">
        <v/>
      </c>
      <c r="AC85" t="n">
        <v>0.243127406</v>
      </c>
      <c r="AD85" t="n">
        <v>2.385972606</v>
      </c>
      <c r="AE85" t="n">
        <v>6.363252295</v>
      </c>
      <c r="AF85" t="n">
        <v>0.864826129</v>
      </c>
      <c r="AG85" t="n">
        <v/>
      </c>
      <c r="AH85" t="n">
        <v>1.912980034</v>
      </c>
      <c r="AI85" t="n">
        <v>3.305850221</v>
      </c>
      <c r="AJ85" t="n">
        <v>-0.018835401</v>
      </c>
      <c r="AK85" t="n">
        <v/>
      </c>
      <c r="AL85" t="n">
        <v>1.88269616</v>
      </c>
      <c r="AM85" t="n">
        <v/>
      </c>
      <c r="AN85" t="n">
        <v>2.861783243</v>
      </c>
      <c r="AO85" t="n">
        <v/>
      </c>
      <c r="AP85" t="n">
        <v/>
      </c>
      <c r="AQ85" t="n">
        <v/>
      </c>
      <c r="AR85" t="n">
        <v>-1.684102017</v>
      </c>
      <c r="AS85" t="n">
        <v/>
      </c>
      <c r="AT85" t="n">
        <v>2.039507129</v>
      </c>
      <c r="AU85" t="n">
        <v>1.641868589</v>
      </c>
    </row>
    <row r="86">
      <c r="A86" t="inlineStr">
        <is>
          <t>1968-Q2</t>
        </is>
      </c>
      <c r="B86" s="107" t="n">
        <v>25020</v>
      </c>
      <c r="C86" t="n">
        <v/>
      </c>
      <c r="D86" t="n">
        <v>3.841635216</v>
      </c>
      <c r="E86" t="n">
        <v>1.182700351</v>
      </c>
      <c r="F86" t="n">
        <v>0.896860205</v>
      </c>
      <c r="G86" t="n">
        <v/>
      </c>
      <c r="H86" t="n">
        <v>2.717634791</v>
      </c>
      <c r="I86" t="n">
        <v>0.553383765</v>
      </c>
      <c r="J86" t="n">
        <v/>
      </c>
      <c r="K86" t="n">
        <v/>
      </c>
      <c r="L86" t="n">
        <v/>
      </c>
      <c r="M86" t="n">
        <v>0.7772795219999999</v>
      </c>
      <c r="N86" t="n">
        <v>1.082175153</v>
      </c>
      <c r="O86" t="n">
        <v/>
      </c>
      <c r="P86" t="n">
        <v>3.034022523</v>
      </c>
      <c r="Q86" t="n">
        <v/>
      </c>
      <c r="R86" t="n">
        <v/>
      </c>
      <c r="S86" t="n">
        <v>1.623891844</v>
      </c>
      <c r="T86" t="n">
        <v>-7.580956365</v>
      </c>
      <c r="U86" t="n">
        <v>0.944207</v>
      </c>
      <c r="V86" t="n">
        <v>-0.3952826</v>
      </c>
      <c r="W86" t="n">
        <v>1.467886199</v>
      </c>
      <c r="X86" t="n">
        <v/>
      </c>
      <c r="Y86" t="n">
        <v/>
      </c>
      <c r="Z86" t="n">
        <v>2.111718256</v>
      </c>
      <c r="AA86" t="n">
        <v>-1.935537198</v>
      </c>
      <c r="AB86" t="n">
        <v/>
      </c>
      <c r="AC86" t="n">
        <v>2.09466276</v>
      </c>
      <c r="AD86" t="n">
        <v>3.411931155</v>
      </c>
      <c r="AE86" t="n">
        <v>1.471809575</v>
      </c>
      <c r="AF86" t="n">
        <v>0.84429005</v>
      </c>
      <c r="AG86" t="n">
        <v/>
      </c>
      <c r="AH86" t="n">
        <v>1.87251932</v>
      </c>
      <c r="AI86" t="n">
        <v>0.110424316</v>
      </c>
      <c r="AJ86" t="n">
        <v>0.396580941</v>
      </c>
      <c r="AK86" t="n">
        <v/>
      </c>
      <c r="AL86" t="n">
        <v>1.156347679</v>
      </c>
      <c r="AM86" t="n">
        <v/>
      </c>
      <c r="AN86" t="n">
        <v>1.941333828</v>
      </c>
      <c r="AO86" t="n">
        <v/>
      </c>
      <c r="AP86" t="n">
        <v/>
      </c>
      <c r="AQ86" t="n">
        <v/>
      </c>
      <c r="AR86" t="n">
        <v>5.495456771</v>
      </c>
      <c r="AS86" t="n">
        <v/>
      </c>
      <c r="AT86" t="n">
        <v>1.67079955</v>
      </c>
      <c r="AU86" t="n">
        <v>0.443369439</v>
      </c>
    </row>
    <row r="87">
      <c r="A87" t="inlineStr">
        <is>
          <t>1968-Q3</t>
        </is>
      </c>
      <c r="B87" s="107" t="n">
        <v>25112</v>
      </c>
      <c r="C87" t="n">
        <v/>
      </c>
      <c r="D87" t="n">
        <v>1.328620918</v>
      </c>
      <c r="E87" t="n">
        <v>1.811362605</v>
      </c>
      <c r="F87" t="n">
        <v>1.331804315</v>
      </c>
      <c r="G87" t="n">
        <v/>
      </c>
      <c r="H87" t="n">
        <v>1.367720948</v>
      </c>
      <c r="I87" t="n">
        <v>2.761789356</v>
      </c>
      <c r="J87" t="n">
        <v/>
      </c>
      <c r="K87" t="n">
        <v/>
      </c>
      <c r="L87" t="n">
        <v/>
      </c>
      <c r="M87" t="n">
        <v>2.195194304</v>
      </c>
      <c r="N87" t="n">
        <v>1.419760811</v>
      </c>
      <c r="O87" t="n">
        <v/>
      </c>
      <c r="P87" t="n">
        <v>0.806297493</v>
      </c>
      <c r="Q87" t="n">
        <v/>
      </c>
      <c r="R87" t="n">
        <v/>
      </c>
      <c r="S87" t="n">
        <v>0.277279201</v>
      </c>
      <c r="T87" t="n">
        <v>11.373243098</v>
      </c>
      <c r="U87" t="n">
        <v>2.147984</v>
      </c>
      <c r="V87" t="n">
        <v>1.963054776</v>
      </c>
      <c r="W87" t="n">
        <v>2.089823519</v>
      </c>
      <c r="X87" t="n">
        <v/>
      </c>
      <c r="Y87" t="n">
        <v/>
      </c>
      <c r="Z87" t="n">
        <v>1.810612589</v>
      </c>
      <c r="AA87" t="n">
        <v>-0.59385709</v>
      </c>
      <c r="AB87" t="n">
        <v/>
      </c>
      <c r="AC87" t="n">
        <v>2.404436429</v>
      </c>
      <c r="AD87" t="n">
        <v>2.263971456</v>
      </c>
      <c r="AE87" t="n">
        <v>5.132128648</v>
      </c>
      <c r="AF87" t="n">
        <v>2.024062829</v>
      </c>
      <c r="AG87" t="n">
        <v/>
      </c>
      <c r="AH87" t="n">
        <v>1.584134361</v>
      </c>
      <c r="AI87" t="n">
        <v>0.596632224</v>
      </c>
      <c r="AJ87" t="n">
        <v>0.8087633360000001</v>
      </c>
      <c r="AK87" t="n">
        <v/>
      </c>
      <c r="AL87" t="n">
        <v>1.999489639</v>
      </c>
      <c r="AM87" t="n">
        <v/>
      </c>
      <c r="AN87" t="n">
        <v>1.079496897</v>
      </c>
      <c r="AO87" t="n">
        <v/>
      </c>
      <c r="AP87" t="n">
        <v/>
      </c>
      <c r="AQ87" t="n">
        <v/>
      </c>
      <c r="AR87" t="n">
        <v>0.726611088</v>
      </c>
      <c r="AS87" t="n">
        <v/>
      </c>
      <c r="AT87" t="n">
        <v>0.774955663</v>
      </c>
      <c r="AU87" t="n">
        <v>1.07932653</v>
      </c>
    </row>
    <row r="88">
      <c r="A88" t="inlineStr">
        <is>
          <t>1968-Q4</t>
        </is>
      </c>
      <c r="B88" s="107" t="n">
        <v>25204</v>
      </c>
      <c r="C88" t="n">
        <v/>
      </c>
      <c r="D88" t="n">
        <v>3.734005237</v>
      </c>
      <c r="E88" t="n">
        <v>0.8958352979999999</v>
      </c>
      <c r="F88" t="n">
        <v>1.770448655</v>
      </c>
      <c r="G88" t="n">
        <v/>
      </c>
      <c r="H88" t="n">
        <v>1.380832934</v>
      </c>
      <c r="I88" t="n">
        <v>2.432073896</v>
      </c>
      <c r="J88" t="n">
        <v/>
      </c>
      <c r="K88" t="n">
        <v/>
      </c>
      <c r="L88" t="n">
        <v/>
      </c>
      <c r="M88" t="n">
        <v>1.509433962</v>
      </c>
      <c r="N88" t="n">
        <v>1.744169093</v>
      </c>
      <c r="O88" t="n">
        <v/>
      </c>
      <c r="P88" t="n">
        <v>4.05340748</v>
      </c>
      <c r="Q88" t="n">
        <v/>
      </c>
      <c r="R88" t="n">
        <v/>
      </c>
      <c r="S88" t="n">
        <v>1.87516964</v>
      </c>
      <c r="T88" t="n">
        <v>1.024590164</v>
      </c>
      <c r="U88" t="n">
        <v>1.437234</v>
      </c>
      <c r="V88" t="n">
        <v>0.394009352</v>
      </c>
      <c r="W88" t="n">
        <v>2.704475894</v>
      </c>
      <c r="X88" t="n">
        <v/>
      </c>
      <c r="Y88" t="n">
        <v/>
      </c>
      <c r="Z88" t="n">
        <v>1.51391931</v>
      </c>
      <c r="AA88" t="n">
        <v>0.852386252</v>
      </c>
      <c r="AB88" t="n">
        <v/>
      </c>
      <c r="AC88" t="n">
        <v>2.340948619</v>
      </c>
      <c r="AD88" t="n">
        <v>5.69754582</v>
      </c>
      <c r="AE88" t="n">
        <v>-1.706630201</v>
      </c>
      <c r="AF88" t="n">
        <v>3.198278434</v>
      </c>
      <c r="AG88" t="n">
        <v/>
      </c>
      <c r="AH88" t="n">
        <v>1.297967474</v>
      </c>
      <c r="AI88" t="n">
        <v>3.344473898</v>
      </c>
      <c r="AJ88" t="n">
        <v>1.212763844</v>
      </c>
      <c r="AK88" t="n">
        <v/>
      </c>
      <c r="AL88" t="n">
        <v>1.56453149</v>
      </c>
      <c r="AM88" t="n">
        <v/>
      </c>
      <c r="AN88" t="n">
        <v>0.2519351</v>
      </c>
      <c r="AO88" t="n">
        <v/>
      </c>
      <c r="AP88" t="n">
        <v/>
      </c>
      <c r="AQ88" t="n">
        <v/>
      </c>
      <c r="AR88" t="n">
        <v>-0.542022594</v>
      </c>
      <c r="AS88" t="n">
        <v/>
      </c>
      <c r="AT88" t="n">
        <v>0.393320041</v>
      </c>
      <c r="AU88" t="n">
        <v>1.890612969</v>
      </c>
    </row>
    <row r="89">
      <c r="A89" t="inlineStr">
        <is>
          <t>1969-Q1</t>
        </is>
      </c>
      <c r="B89" s="107" t="n">
        <v>25294</v>
      </c>
      <c r="C89" t="n">
        <v/>
      </c>
      <c r="D89" t="n">
        <v>-0.697249105</v>
      </c>
      <c r="E89" t="n">
        <v>0.9736351130000001</v>
      </c>
      <c r="F89" t="n">
        <v>1.730253792</v>
      </c>
      <c r="G89" t="n">
        <v/>
      </c>
      <c r="H89" t="n">
        <v>1.308093201</v>
      </c>
      <c r="I89" t="n">
        <v>-2.393514965</v>
      </c>
      <c r="J89" t="n">
        <v/>
      </c>
      <c r="K89" t="n">
        <v/>
      </c>
      <c r="L89" t="n">
        <v/>
      </c>
      <c r="M89" t="n">
        <v>2.516442665</v>
      </c>
      <c r="N89" t="n">
        <v>2.052670203</v>
      </c>
      <c r="O89" t="n">
        <v/>
      </c>
      <c r="P89" t="n">
        <v>3.548013804</v>
      </c>
      <c r="Q89" t="n">
        <v/>
      </c>
      <c r="R89" t="n">
        <v/>
      </c>
      <c r="S89" t="n">
        <v>4.889795577</v>
      </c>
      <c r="T89" t="n">
        <v>0.183745183</v>
      </c>
      <c r="U89" t="n">
        <v>1.318707</v>
      </c>
      <c r="V89" t="n">
        <v>-0.250135424</v>
      </c>
      <c r="W89" t="n">
        <v>2.616588706</v>
      </c>
      <c r="X89" t="n">
        <v/>
      </c>
      <c r="Y89" t="n">
        <v/>
      </c>
      <c r="Z89" t="n">
        <v>1.47588051</v>
      </c>
      <c r="AA89" t="n">
        <v>0.850857228</v>
      </c>
      <c r="AB89" t="n">
        <v/>
      </c>
      <c r="AC89" t="n">
        <v>1.566157064</v>
      </c>
      <c r="AD89" t="n">
        <v>0.879461273</v>
      </c>
      <c r="AE89" t="n">
        <v>5.110987142</v>
      </c>
      <c r="AF89" t="n">
        <v>3.071908424</v>
      </c>
      <c r="AG89" t="n">
        <v/>
      </c>
      <c r="AH89" t="n">
        <v>1.273835347</v>
      </c>
      <c r="AI89" t="n">
        <v>0.365411807</v>
      </c>
      <c r="AJ89" t="n">
        <v>1.603743763</v>
      </c>
      <c r="AK89" t="n">
        <v/>
      </c>
      <c r="AL89" t="n">
        <v>1.306493274</v>
      </c>
      <c r="AM89" t="n">
        <v/>
      </c>
      <c r="AN89" t="n">
        <v>-0.591962823</v>
      </c>
      <c r="AO89" t="n">
        <v/>
      </c>
      <c r="AP89" t="n">
        <v/>
      </c>
      <c r="AQ89" t="n">
        <v/>
      </c>
      <c r="AR89" t="n">
        <v>-0.43319199</v>
      </c>
      <c r="AS89" t="n">
        <v/>
      </c>
      <c r="AT89" t="n">
        <v>1.565115509</v>
      </c>
      <c r="AU89" t="n">
        <v>0.718687689</v>
      </c>
    </row>
    <row r="90">
      <c r="A90" t="inlineStr">
        <is>
          <t>1969-Q2</t>
        </is>
      </c>
      <c r="B90" s="107" t="n">
        <v>25385</v>
      </c>
      <c r="C90" t="n">
        <v/>
      </c>
      <c r="D90" t="n">
        <v>1.973103634</v>
      </c>
      <c r="E90" t="n">
        <v>1.892345365</v>
      </c>
      <c r="F90" t="n">
        <v>1.682228847</v>
      </c>
      <c r="G90" t="n">
        <v/>
      </c>
      <c r="H90" t="n">
        <v>0.492845147</v>
      </c>
      <c r="I90" t="n">
        <v>3.518600422</v>
      </c>
      <c r="J90" t="n">
        <v/>
      </c>
      <c r="K90" t="n">
        <v/>
      </c>
      <c r="L90" t="n">
        <v/>
      </c>
      <c r="M90" t="n">
        <v>1.283087905</v>
      </c>
      <c r="N90" t="n">
        <v>1.547739496</v>
      </c>
      <c r="O90" t="n">
        <v/>
      </c>
      <c r="P90" t="n">
        <v>-0.337860483</v>
      </c>
      <c r="Q90" t="n">
        <v/>
      </c>
      <c r="R90" t="n">
        <v/>
      </c>
      <c r="S90" t="n">
        <v>0.942349385</v>
      </c>
      <c r="T90" t="n">
        <v>2.453037118</v>
      </c>
      <c r="U90" t="n">
        <v>1.098075</v>
      </c>
      <c r="V90" t="n">
        <v>0.792218371</v>
      </c>
      <c r="W90" t="n">
        <v>2.524346623</v>
      </c>
      <c r="X90" t="n">
        <v/>
      </c>
      <c r="Y90" t="n">
        <v/>
      </c>
      <c r="Z90" t="n">
        <v>1.445659153</v>
      </c>
      <c r="AA90" t="n">
        <v>0.824550929</v>
      </c>
      <c r="AB90" t="n">
        <v/>
      </c>
      <c r="AC90" t="n">
        <v>1.805751378</v>
      </c>
      <c r="AD90" t="n">
        <v>2.911657781</v>
      </c>
      <c r="AE90" t="n">
        <v>3.452410594</v>
      </c>
      <c r="AF90" t="n">
        <v>2.957898403</v>
      </c>
      <c r="AG90" t="n">
        <v/>
      </c>
      <c r="AH90" t="n">
        <v>1.24456066</v>
      </c>
      <c r="AI90" t="n">
        <v>1.565815092</v>
      </c>
      <c r="AJ90" t="n">
        <v>1.200889303</v>
      </c>
      <c r="AK90" t="n">
        <v/>
      </c>
      <c r="AL90" t="n">
        <v>1.178542931</v>
      </c>
      <c r="AM90" t="n">
        <v/>
      </c>
      <c r="AN90" t="n">
        <v>-0.183559099</v>
      </c>
      <c r="AO90" t="n">
        <v/>
      </c>
      <c r="AP90" t="n">
        <v/>
      </c>
      <c r="AQ90" t="n">
        <v/>
      </c>
      <c r="AR90" t="n">
        <v>2.642603177</v>
      </c>
      <c r="AS90" t="n">
        <v/>
      </c>
      <c r="AT90" t="n">
        <v>0.303995321</v>
      </c>
      <c r="AU90" t="n">
        <v>-0.08433149</v>
      </c>
    </row>
    <row r="91">
      <c r="A91" t="inlineStr">
        <is>
          <t>1969-Q3</t>
        </is>
      </c>
      <c r="B91" s="107" t="n">
        <v>25477</v>
      </c>
      <c r="C91" t="n">
        <v/>
      </c>
      <c r="D91" t="n">
        <v>1.664017158</v>
      </c>
      <c r="E91" t="n">
        <v>2.406025964</v>
      </c>
      <c r="F91" t="n">
        <v>1.672651599</v>
      </c>
      <c r="G91" t="n">
        <v/>
      </c>
      <c r="H91" t="n">
        <v>1.073698927</v>
      </c>
      <c r="I91" t="n">
        <v>4.158556848</v>
      </c>
      <c r="J91" t="n">
        <v/>
      </c>
      <c r="K91" t="n">
        <v/>
      </c>
      <c r="L91" t="n">
        <v/>
      </c>
      <c r="M91" t="n">
        <v>2.148261051</v>
      </c>
      <c r="N91" t="n">
        <v>1.067553796</v>
      </c>
      <c r="O91" t="n">
        <v/>
      </c>
      <c r="P91" t="n">
        <v>1.86545295</v>
      </c>
      <c r="Q91" t="n">
        <v/>
      </c>
      <c r="R91" t="n">
        <v/>
      </c>
      <c r="S91" t="n">
        <v>2.772064896</v>
      </c>
      <c r="T91" t="n">
        <v>0.94538382</v>
      </c>
      <c r="U91" t="n">
        <v>1.072646</v>
      </c>
      <c r="V91" t="n">
        <v>0.551990069</v>
      </c>
      <c r="W91" t="n">
        <v>2.234752685</v>
      </c>
      <c r="X91" t="n">
        <v/>
      </c>
      <c r="Y91" t="n">
        <v/>
      </c>
      <c r="Z91" t="n">
        <v>0.993699739</v>
      </c>
      <c r="AA91" t="n">
        <v>1.239112657</v>
      </c>
      <c r="AB91" t="n">
        <v/>
      </c>
      <c r="AC91" t="n">
        <v>0.239159209</v>
      </c>
      <c r="AD91" t="n">
        <v>2.395415623</v>
      </c>
      <c r="AE91" t="n">
        <v>8.061461678000001</v>
      </c>
      <c r="AF91" t="n">
        <v>1.483481111</v>
      </c>
      <c r="AG91" t="n">
        <v/>
      </c>
      <c r="AH91" t="n">
        <v>1.554237647</v>
      </c>
      <c r="AI91" t="n">
        <v>2.325832786</v>
      </c>
      <c r="AJ91" t="n">
        <v>0.813607206</v>
      </c>
      <c r="AK91" t="n">
        <v/>
      </c>
      <c r="AL91" t="n">
        <v>1.309055459</v>
      </c>
      <c r="AM91" t="n">
        <v/>
      </c>
      <c r="AN91" t="n">
        <v>1.947746713</v>
      </c>
      <c r="AO91" t="n">
        <v/>
      </c>
      <c r="AP91" t="n">
        <v/>
      </c>
      <c r="AQ91" t="n">
        <v/>
      </c>
      <c r="AR91" t="n">
        <v>3.838758903</v>
      </c>
      <c r="AS91" t="n">
        <v/>
      </c>
      <c r="AT91" t="n">
        <v>0.660514205</v>
      </c>
      <c r="AU91" t="n">
        <v>4.566766309</v>
      </c>
    </row>
    <row r="92">
      <c r="A92" t="inlineStr">
        <is>
          <t>1969-Q4</t>
        </is>
      </c>
      <c r="B92" s="107" t="n">
        <v>25569</v>
      </c>
      <c r="C92" t="n">
        <v/>
      </c>
      <c r="D92" t="n">
        <v>2.310368438</v>
      </c>
      <c r="E92" t="n">
        <v>1.01780905</v>
      </c>
      <c r="F92" t="n">
        <v>1.654095727</v>
      </c>
      <c r="G92" t="n">
        <v/>
      </c>
      <c r="H92" t="n">
        <v>1.431339988</v>
      </c>
      <c r="I92" t="n">
        <v>-0.223326193</v>
      </c>
      <c r="J92" t="n">
        <v/>
      </c>
      <c r="K92" t="n">
        <v/>
      </c>
      <c r="L92" t="n">
        <v/>
      </c>
      <c r="M92" t="n">
        <v>1.536742829</v>
      </c>
      <c r="N92" t="n">
        <v>0.60450455</v>
      </c>
      <c r="O92" t="n">
        <v/>
      </c>
      <c r="P92" t="n">
        <v>1.119478214</v>
      </c>
      <c r="Q92" t="n">
        <v/>
      </c>
      <c r="R92" t="n">
        <v/>
      </c>
      <c r="S92" t="n">
        <v>1.4877672</v>
      </c>
      <c r="T92" t="n">
        <v>0.790251715</v>
      </c>
      <c r="U92" t="n">
        <v>0.493334</v>
      </c>
      <c r="V92" t="n">
        <v>0.468060517</v>
      </c>
      <c r="W92" t="n">
        <v>1.93354717</v>
      </c>
      <c r="X92" t="n">
        <v/>
      </c>
      <c r="Y92" t="n">
        <v/>
      </c>
      <c r="Z92" t="n">
        <v>0.51954077</v>
      </c>
      <c r="AA92" t="n">
        <v>1.662742073</v>
      </c>
      <c r="AB92" t="n">
        <v/>
      </c>
      <c r="AC92" t="n">
        <v>-2.021337956</v>
      </c>
      <c r="AD92" t="n">
        <v>3.90301332</v>
      </c>
      <c r="AE92" t="n">
        <v>2.010960349</v>
      </c>
      <c r="AF92" t="n">
        <v>-0.01620282</v>
      </c>
      <c r="AG92" t="n">
        <v/>
      </c>
      <c r="AH92" t="n">
        <v>1.864178652</v>
      </c>
      <c r="AI92" t="n">
        <v>3.002685485</v>
      </c>
      <c r="AJ92" t="n">
        <v>0.436963025</v>
      </c>
      <c r="AK92" t="n">
        <v/>
      </c>
      <c r="AL92" t="n">
        <v>0.699194266</v>
      </c>
      <c r="AM92" t="n">
        <v/>
      </c>
      <c r="AN92" t="n">
        <v>2.637683227</v>
      </c>
      <c r="AO92" t="n">
        <v/>
      </c>
      <c r="AP92" t="n">
        <v/>
      </c>
      <c r="AQ92" t="n">
        <v/>
      </c>
      <c r="AR92" t="n">
        <v>0.718573728</v>
      </c>
      <c r="AS92" t="n">
        <v/>
      </c>
      <c r="AT92" t="n">
        <v>-0.487694588</v>
      </c>
      <c r="AU92" t="n">
        <v>-1.349816884</v>
      </c>
    </row>
    <row r="93">
      <c r="A93" t="inlineStr">
        <is>
          <t>1970-Q1</t>
        </is>
      </c>
      <c r="B93" s="107" t="n">
        <v>25659</v>
      </c>
      <c r="C93" t="n">
        <v/>
      </c>
      <c r="D93" t="n">
        <v>2.07641872</v>
      </c>
      <c r="E93" t="n">
        <v>1.887640264</v>
      </c>
      <c r="F93" t="n">
        <v>1.606117273</v>
      </c>
      <c r="G93" t="n">
        <v/>
      </c>
      <c r="H93" t="n">
        <v>0.6461740070000001</v>
      </c>
      <c r="I93" t="n">
        <v>1.996142378</v>
      </c>
      <c r="J93" t="n">
        <v/>
      </c>
      <c r="K93" t="n">
        <v/>
      </c>
      <c r="L93" t="n">
        <v/>
      </c>
      <c r="M93" t="n">
        <v>-1.595662151</v>
      </c>
      <c r="N93" t="n">
        <v>0.151850918</v>
      </c>
      <c r="O93" t="n">
        <v/>
      </c>
      <c r="P93" t="n">
        <v>1.869665315</v>
      </c>
      <c r="Q93" t="n">
        <v/>
      </c>
      <c r="R93" t="n">
        <v/>
      </c>
      <c r="S93" t="n">
        <v>0.868338751</v>
      </c>
      <c r="T93" t="n">
        <v>1.911374445</v>
      </c>
      <c r="U93" t="n">
        <v>0.736317</v>
      </c>
      <c r="V93" t="n">
        <v>-0.63424505</v>
      </c>
      <c r="W93" t="n">
        <v>0.989272916</v>
      </c>
      <c r="X93" t="n">
        <v/>
      </c>
      <c r="Y93" t="n">
        <v/>
      </c>
      <c r="Z93" t="n">
        <v>1.70089772</v>
      </c>
      <c r="AA93" t="n">
        <v>-2.71169364</v>
      </c>
      <c r="AB93" t="n">
        <v/>
      </c>
      <c r="AC93" t="n">
        <v>5.99645822</v>
      </c>
      <c r="AD93" t="n">
        <v>3.064074178</v>
      </c>
      <c r="AE93" t="n">
        <v>-1.694379647</v>
      </c>
      <c r="AF93" t="n">
        <v>0.570228979</v>
      </c>
      <c r="AG93" t="n">
        <v/>
      </c>
      <c r="AH93" t="n">
        <v>1.809210142</v>
      </c>
      <c r="AI93" t="n">
        <v>-1.492127041</v>
      </c>
      <c r="AJ93" t="n">
        <v>0.066650432</v>
      </c>
      <c r="AK93" t="n">
        <v/>
      </c>
      <c r="AL93" t="n">
        <v>0.836108698</v>
      </c>
      <c r="AM93" t="n">
        <v/>
      </c>
      <c r="AN93" t="n">
        <v>2.917470963</v>
      </c>
      <c r="AO93" t="n">
        <v/>
      </c>
      <c r="AP93" t="n">
        <v/>
      </c>
      <c r="AQ93" t="n">
        <v/>
      </c>
      <c r="AR93" t="n">
        <v>1.335154332</v>
      </c>
      <c r="AS93" t="n">
        <v/>
      </c>
      <c r="AT93" t="n">
        <v>-0.148470701</v>
      </c>
      <c r="AU93" t="n">
        <v>2.15249064</v>
      </c>
    </row>
    <row r="94">
      <c r="A94" t="inlineStr">
        <is>
          <t>1970-Q2</t>
        </is>
      </c>
      <c r="B94" s="107" t="n">
        <v>25750</v>
      </c>
      <c r="C94" t="n">
        <v/>
      </c>
      <c r="D94" t="n">
        <v>2.003171762</v>
      </c>
      <c r="E94" t="n">
        <v>2.591039183</v>
      </c>
      <c r="F94" t="n">
        <v>1.575348532</v>
      </c>
      <c r="G94" t="n">
        <v/>
      </c>
      <c r="H94" t="n">
        <v>-0.004057869</v>
      </c>
      <c r="I94" t="n">
        <v>1.186440678</v>
      </c>
      <c r="J94" t="n">
        <v/>
      </c>
      <c r="K94" t="n">
        <v/>
      </c>
      <c r="L94" t="n">
        <v/>
      </c>
      <c r="M94" t="n">
        <v>3.975817699</v>
      </c>
      <c r="N94" t="n">
        <v>0.258883952</v>
      </c>
      <c r="O94" t="n">
        <v/>
      </c>
      <c r="P94" t="n">
        <v>0.158864024</v>
      </c>
      <c r="Q94" t="n">
        <v/>
      </c>
      <c r="R94" t="n">
        <v/>
      </c>
      <c r="S94" t="n">
        <v>3.461852771</v>
      </c>
      <c r="T94" t="n">
        <v>1.262038455</v>
      </c>
      <c r="U94" t="n">
        <v>1.091568</v>
      </c>
      <c r="V94" t="n">
        <v>2.361106726</v>
      </c>
      <c r="W94" t="n">
        <v>3.689916583</v>
      </c>
      <c r="X94" t="n">
        <v/>
      </c>
      <c r="Y94" t="n">
        <v/>
      </c>
      <c r="Z94" t="n">
        <v>-0.590195222</v>
      </c>
      <c r="AA94" t="n">
        <v>6.150968655</v>
      </c>
      <c r="AB94" t="n">
        <v/>
      </c>
      <c r="AC94" t="n">
        <v>0.729986912</v>
      </c>
      <c r="AD94" t="n">
        <v>1.212645697</v>
      </c>
      <c r="AE94" t="n">
        <v>4.021110832</v>
      </c>
      <c r="AF94" t="n">
        <v>-0.5022631279999999</v>
      </c>
      <c r="AG94" t="n">
        <v/>
      </c>
      <c r="AH94" t="n">
        <v>1.768313857</v>
      </c>
      <c r="AI94" t="n">
        <v>2.729327461</v>
      </c>
      <c r="AJ94" t="n">
        <v>0.382575838</v>
      </c>
      <c r="AK94" t="n">
        <v/>
      </c>
      <c r="AL94" t="n">
        <v>1.197478184</v>
      </c>
      <c r="AM94" t="n">
        <v/>
      </c>
      <c r="AN94" t="n">
        <v>2.993325677</v>
      </c>
      <c r="AO94" t="n">
        <v/>
      </c>
      <c r="AP94" t="n">
        <v/>
      </c>
      <c r="AQ94" t="n">
        <v/>
      </c>
      <c r="AR94" t="n">
        <v>0.769958413</v>
      </c>
      <c r="AS94" t="n">
        <v/>
      </c>
      <c r="AT94" t="n">
        <v>0.141930001</v>
      </c>
      <c r="AU94" t="n">
        <v>2.040587606</v>
      </c>
    </row>
    <row r="95">
      <c r="A95" t="inlineStr">
        <is>
          <t>1970-Q3</t>
        </is>
      </c>
      <c r="B95" s="107" t="n">
        <v>25842</v>
      </c>
      <c r="C95" t="n">
        <v/>
      </c>
      <c r="D95" t="n">
        <v>-0.205850676</v>
      </c>
      <c r="E95" t="n">
        <v>1.93572997</v>
      </c>
      <c r="F95" t="n">
        <v>1.176552013</v>
      </c>
      <c r="G95" t="n">
        <v/>
      </c>
      <c r="H95" t="n">
        <v>1.032504848</v>
      </c>
      <c r="I95" t="n">
        <v>1.39676879</v>
      </c>
      <c r="J95" t="n">
        <v/>
      </c>
      <c r="K95" t="n">
        <v/>
      </c>
      <c r="L95" t="n">
        <v/>
      </c>
      <c r="M95" t="n">
        <v>1.867836292</v>
      </c>
      <c r="N95" t="n">
        <v>0.365220202</v>
      </c>
      <c r="O95" t="n">
        <v/>
      </c>
      <c r="P95" t="n">
        <v>0.511083262</v>
      </c>
      <c r="Q95" t="n">
        <v/>
      </c>
      <c r="R95" t="n">
        <v/>
      </c>
      <c r="S95" t="n">
        <v>1.867733054</v>
      </c>
      <c r="T95" t="n">
        <v>1.377238609</v>
      </c>
      <c r="U95" t="n">
        <v>1.427322</v>
      </c>
      <c r="V95" t="n">
        <v>0.993702609</v>
      </c>
      <c r="W95" t="n">
        <v>1.891983963</v>
      </c>
      <c r="X95" t="n">
        <v/>
      </c>
      <c r="Y95" t="n">
        <v/>
      </c>
      <c r="Z95" t="n">
        <v>0.019110094</v>
      </c>
      <c r="AA95" t="n">
        <v>4.817922748</v>
      </c>
      <c r="AB95" t="n">
        <v/>
      </c>
      <c r="AC95" t="n">
        <v>2.006337881</v>
      </c>
      <c r="AD95" t="n">
        <v>2.680797035</v>
      </c>
      <c r="AE95" t="n">
        <v>0.61861926</v>
      </c>
      <c r="AF95" t="n">
        <v>-0.057051895</v>
      </c>
      <c r="AG95" t="n">
        <v/>
      </c>
      <c r="AH95" t="n">
        <v>1.243409286</v>
      </c>
      <c r="AI95" t="n">
        <v>1.530088662</v>
      </c>
      <c r="AJ95" t="n">
        <v>0.695855263</v>
      </c>
      <c r="AK95" t="n">
        <v/>
      </c>
      <c r="AL95" t="n">
        <v>1.359355648</v>
      </c>
      <c r="AM95" t="n">
        <v/>
      </c>
      <c r="AN95" t="n">
        <v>0.646107063</v>
      </c>
      <c r="AO95" t="n">
        <v/>
      </c>
      <c r="AP95" t="n">
        <v/>
      </c>
      <c r="AQ95" t="n">
        <v/>
      </c>
      <c r="AR95" t="n">
        <v>2.920683149</v>
      </c>
      <c r="AS95" t="n">
        <v/>
      </c>
      <c r="AT95" t="n">
        <v>0.92155083</v>
      </c>
      <c r="AU95" t="n">
        <v>-1.154461151</v>
      </c>
    </row>
    <row r="96">
      <c r="A96" t="inlineStr">
        <is>
          <t>1970-Q4</t>
        </is>
      </c>
      <c r="B96" s="107" t="n">
        <v>25934</v>
      </c>
      <c r="C96" t="n">
        <v/>
      </c>
      <c r="D96" t="n">
        <v>0.482179381</v>
      </c>
      <c r="E96" t="n">
        <v>1.242164369</v>
      </c>
      <c r="F96" t="n">
        <v>0.75863011</v>
      </c>
      <c r="G96" t="n">
        <v/>
      </c>
      <c r="H96" t="n">
        <v>0.178300435</v>
      </c>
      <c r="I96" t="n">
        <v>0.404998535</v>
      </c>
      <c r="J96" t="n">
        <v/>
      </c>
      <c r="K96" t="n">
        <v/>
      </c>
      <c r="L96" t="n">
        <v/>
      </c>
      <c r="M96" t="n">
        <v>0.847606644</v>
      </c>
      <c r="N96" t="n">
        <v>0.470506545</v>
      </c>
      <c r="O96" t="n">
        <v/>
      </c>
      <c r="P96" t="n">
        <v>0.789027645</v>
      </c>
      <c r="Q96" t="n">
        <v/>
      </c>
      <c r="R96" t="n">
        <v/>
      </c>
      <c r="S96" t="n">
        <v>1.012939233</v>
      </c>
      <c r="T96" t="n">
        <v>1.570186063</v>
      </c>
      <c r="U96" t="n">
        <v>-0.19518</v>
      </c>
      <c r="V96" t="n">
        <v>0.87143308</v>
      </c>
      <c r="W96" t="n">
        <v>-0.565799964</v>
      </c>
      <c r="X96" t="n">
        <v/>
      </c>
      <c r="Y96" t="n">
        <v/>
      </c>
      <c r="Z96" t="n">
        <v>0.552682428</v>
      </c>
      <c r="AA96" t="n">
        <v>3.756189481</v>
      </c>
      <c r="AB96" t="n">
        <v/>
      </c>
      <c r="AC96" t="n">
        <v>0.11182118</v>
      </c>
      <c r="AD96" t="n">
        <v>-0.322008363</v>
      </c>
      <c r="AE96" t="n">
        <v>7.704463977</v>
      </c>
      <c r="AF96" t="n">
        <v>0.357558921</v>
      </c>
      <c r="AG96" t="n">
        <v/>
      </c>
      <c r="AH96" t="n">
        <v>0.696789668</v>
      </c>
      <c r="AI96" t="n">
        <v>2.075317548</v>
      </c>
      <c r="AJ96" t="n">
        <v>1.003664882</v>
      </c>
      <c r="AK96" t="n">
        <v/>
      </c>
      <c r="AL96" t="n">
        <v>0.070128528</v>
      </c>
      <c r="AM96" t="n">
        <v/>
      </c>
      <c r="AN96" t="n">
        <v>1.772498017</v>
      </c>
      <c r="AO96" t="n">
        <v/>
      </c>
      <c r="AP96" t="n">
        <v/>
      </c>
      <c r="AQ96" t="n">
        <v/>
      </c>
      <c r="AR96" t="n">
        <v>0.462520988</v>
      </c>
      <c r="AS96" t="n">
        <v/>
      </c>
      <c r="AT96" t="n">
        <v>-1.071638106</v>
      </c>
      <c r="AU96" t="n">
        <v>3.51849898</v>
      </c>
    </row>
    <row r="97">
      <c r="A97" t="inlineStr">
        <is>
          <t>1971-Q1</t>
        </is>
      </c>
      <c r="B97" s="107" t="n">
        <v>26024</v>
      </c>
      <c r="C97" t="n">
        <v/>
      </c>
      <c r="D97" t="n">
        <v>1.207459571</v>
      </c>
      <c r="E97" t="n">
        <v>0.171116297</v>
      </c>
      <c r="F97" t="n">
        <v>0.742862293</v>
      </c>
      <c r="G97" t="n">
        <v/>
      </c>
      <c r="H97" t="n">
        <v>-0.573694762</v>
      </c>
      <c r="I97" t="n">
        <v>1.114560943</v>
      </c>
      <c r="J97" t="n">
        <v/>
      </c>
      <c r="K97" t="n">
        <v/>
      </c>
      <c r="L97" t="n">
        <v/>
      </c>
      <c r="M97" t="n">
        <v>-1.921102523</v>
      </c>
      <c r="N97" t="n">
        <v>0.574419212</v>
      </c>
      <c r="O97" t="n">
        <v/>
      </c>
      <c r="P97" t="n">
        <v>0.780917772</v>
      </c>
      <c r="Q97" t="n">
        <v/>
      </c>
      <c r="R97" t="n">
        <v/>
      </c>
      <c r="S97" t="n">
        <v>-4.650448573</v>
      </c>
      <c r="T97" t="n">
        <v>0.129083296</v>
      </c>
      <c r="U97" t="n">
        <v>0.966974</v>
      </c>
      <c r="V97" t="n">
        <v>-0.49502952</v>
      </c>
      <c r="W97" t="n">
        <v>2.61748959</v>
      </c>
      <c r="X97" t="n">
        <v/>
      </c>
      <c r="Y97" t="n">
        <v/>
      </c>
      <c r="Z97" t="n">
        <v>0.989664495</v>
      </c>
      <c r="AA97" t="n">
        <v>2.862524703</v>
      </c>
      <c r="AB97" t="n">
        <v/>
      </c>
      <c r="AC97" t="n">
        <v>-0.523040927</v>
      </c>
      <c r="AD97" t="n">
        <v>0.910971913</v>
      </c>
      <c r="AE97" t="n">
        <v>0.560985094</v>
      </c>
      <c r="AF97" t="n">
        <v>0.729430049</v>
      </c>
      <c r="AG97" t="n">
        <v/>
      </c>
      <c r="AH97" t="n">
        <v>0.685514904</v>
      </c>
      <c r="AI97" t="n">
        <v>0.488355633</v>
      </c>
      <c r="AJ97" t="n">
        <v>1.30320339</v>
      </c>
      <c r="AK97" t="n">
        <v/>
      </c>
      <c r="AL97" t="n">
        <v>0.897698868</v>
      </c>
      <c r="AM97" t="n">
        <v/>
      </c>
      <c r="AN97" t="n">
        <v>-0.022926399</v>
      </c>
      <c r="AO97" t="n">
        <v/>
      </c>
      <c r="AP97" t="n">
        <v/>
      </c>
      <c r="AQ97" t="n">
        <v/>
      </c>
      <c r="AR97" t="n">
        <v>-1.089008897</v>
      </c>
      <c r="AS97" t="n">
        <v/>
      </c>
      <c r="AT97" t="n">
        <v>2.715992789</v>
      </c>
      <c r="AU97" t="n">
        <v>1.481127915</v>
      </c>
    </row>
    <row r="98">
      <c r="A98" t="inlineStr">
        <is>
          <t>1971-Q2</t>
        </is>
      </c>
      <c r="B98" s="107" t="n">
        <v>26115</v>
      </c>
      <c r="C98" t="n">
        <v/>
      </c>
      <c r="D98" t="n">
        <v>0.424501254</v>
      </c>
      <c r="E98" t="n">
        <v>2.154848553</v>
      </c>
      <c r="F98" t="n">
        <v>0.735078006</v>
      </c>
      <c r="G98" t="n">
        <v/>
      </c>
      <c r="H98" t="n">
        <v>2.900629253</v>
      </c>
      <c r="I98" t="n">
        <v>1.590425951</v>
      </c>
      <c r="J98" t="n">
        <v/>
      </c>
      <c r="K98" t="n">
        <v/>
      </c>
      <c r="L98" t="n">
        <v/>
      </c>
      <c r="M98" t="n">
        <v>2.098640828</v>
      </c>
      <c r="N98" t="n">
        <v>0.816535071</v>
      </c>
      <c r="O98" t="n">
        <v/>
      </c>
      <c r="P98" t="n">
        <v>1.950592658</v>
      </c>
      <c r="Q98" t="n">
        <v/>
      </c>
      <c r="R98" t="n">
        <v/>
      </c>
      <c r="S98" t="n">
        <v>6.09449275</v>
      </c>
      <c r="T98" t="n">
        <v>1.821986785</v>
      </c>
      <c r="U98" t="n">
        <v>1.186273</v>
      </c>
      <c r="V98" t="n">
        <v>1.793203475</v>
      </c>
      <c r="W98" t="n">
        <v>2.316320101</v>
      </c>
      <c r="X98" t="n">
        <v/>
      </c>
      <c r="Y98" t="n">
        <v/>
      </c>
      <c r="Z98" t="n">
        <v>1.292765027</v>
      </c>
      <c r="AA98" t="n">
        <v>2.260075501</v>
      </c>
      <c r="AB98" t="n">
        <v/>
      </c>
      <c r="AC98" t="n">
        <v>0.421992045</v>
      </c>
      <c r="AD98" t="n">
        <v>1.613126047</v>
      </c>
      <c r="AE98" t="n">
        <v>3.257423037</v>
      </c>
      <c r="AF98" t="n">
        <v>1.022278013</v>
      </c>
      <c r="AG98" t="n">
        <v/>
      </c>
      <c r="AH98" t="n">
        <v>0.675916427</v>
      </c>
      <c r="AI98" t="n">
        <v>0.85825148</v>
      </c>
      <c r="AJ98" t="n">
        <v>1.320492305</v>
      </c>
      <c r="AK98" t="n">
        <v/>
      </c>
      <c r="AL98" t="n">
        <v>1.218137684</v>
      </c>
      <c r="AM98" t="n">
        <v/>
      </c>
      <c r="AN98" t="n">
        <v>3.964731978</v>
      </c>
      <c r="AO98" t="n">
        <v/>
      </c>
      <c r="AP98" t="n">
        <v/>
      </c>
      <c r="AQ98" t="n">
        <v/>
      </c>
      <c r="AR98" t="n">
        <v>-1.175994276</v>
      </c>
      <c r="AS98" t="n">
        <v/>
      </c>
      <c r="AT98" t="n">
        <v>0.54112008</v>
      </c>
      <c r="AU98" t="n">
        <v>-0.815230002</v>
      </c>
    </row>
    <row r="99">
      <c r="A99" t="inlineStr">
        <is>
          <t>1971-Q3</t>
        </is>
      </c>
      <c r="B99" s="107" t="n">
        <v>26207</v>
      </c>
      <c r="C99" t="n">
        <v/>
      </c>
      <c r="D99" t="n">
        <v>3.143882256</v>
      </c>
      <c r="E99" t="n">
        <v>1.60398934</v>
      </c>
      <c r="F99" t="n">
        <v>1.041139476</v>
      </c>
      <c r="G99" t="n">
        <v/>
      </c>
      <c r="H99" t="n">
        <v>2.780357231</v>
      </c>
      <c r="I99" t="n">
        <v>0.6174274709999999</v>
      </c>
      <c r="J99" t="n">
        <v/>
      </c>
      <c r="K99" t="n">
        <v/>
      </c>
      <c r="L99" t="n">
        <v/>
      </c>
      <c r="M99" t="n">
        <v>1.730037193</v>
      </c>
      <c r="N99" t="n">
        <v>1.053312822</v>
      </c>
      <c r="O99" t="n">
        <v/>
      </c>
      <c r="P99" t="n">
        <v>1.839902173</v>
      </c>
      <c r="Q99" t="n">
        <v/>
      </c>
      <c r="R99" t="n">
        <v/>
      </c>
      <c r="S99" t="n">
        <v>-0.025945738</v>
      </c>
      <c r="T99" t="n">
        <v>1.630601407</v>
      </c>
      <c r="U99" t="n">
        <v>1.273826</v>
      </c>
      <c r="V99" t="n">
        <v>1.77655997</v>
      </c>
      <c r="W99" t="n">
        <v>4.660787308</v>
      </c>
      <c r="X99" t="n">
        <v/>
      </c>
      <c r="Y99" t="n">
        <v/>
      </c>
      <c r="Z99" t="n">
        <v>1.532577418</v>
      </c>
      <c r="AA99" t="n">
        <v>1.832168664</v>
      </c>
      <c r="AB99" t="n">
        <v/>
      </c>
      <c r="AC99" t="n">
        <v>1.464775733</v>
      </c>
      <c r="AD99" t="n">
        <v>1.218442597</v>
      </c>
      <c r="AE99" t="n">
        <v>0.193234303</v>
      </c>
      <c r="AF99" t="n">
        <v>1.295414973</v>
      </c>
      <c r="AG99" t="n">
        <v/>
      </c>
      <c r="AH99" t="n">
        <v>1.492963048</v>
      </c>
      <c r="AI99" t="n">
        <v>0.674313443</v>
      </c>
      <c r="AJ99" t="n">
        <v>1.336919477</v>
      </c>
      <c r="AK99" t="n">
        <v/>
      </c>
      <c r="AL99" t="n">
        <v>1.340639502</v>
      </c>
      <c r="AM99" t="n">
        <v/>
      </c>
      <c r="AN99" t="n">
        <v>0.580976999</v>
      </c>
      <c r="AO99" t="n">
        <v/>
      </c>
      <c r="AP99" t="n">
        <v/>
      </c>
      <c r="AQ99" t="n">
        <v/>
      </c>
      <c r="AR99" t="n">
        <v>1.82754224</v>
      </c>
      <c r="AS99" t="n">
        <v/>
      </c>
      <c r="AT99" t="n">
        <v>0.822967085</v>
      </c>
      <c r="AU99" t="n">
        <v>1.302659119</v>
      </c>
    </row>
    <row r="100">
      <c r="A100" t="inlineStr">
        <is>
          <t>1971-Q4</t>
        </is>
      </c>
      <c r="B100" s="107" t="n">
        <v>26299</v>
      </c>
      <c r="C100" t="n">
        <v/>
      </c>
      <c r="D100" t="n">
        <v>-0.316455696</v>
      </c>
      <c r="E100" t="n">
        <v>-0.364435447</v>
      </c>
      <c r="F100" t="n">
        <v>1.354625558</v>
      </c>
      <c r="G100" t="n">
        <v/>
      </c>
      <c r="H100" t="n">
        <v>1.105730736</v>
      </c>
      <c r="I100" t="n">
        <v>0.749717572</v>
      </c>
      <c r="J100" t="n">
        <v/>
      </c>
      <c r="K100" t="n">
        <v/>
      </c>
      <c r="L100" t="n">
        <v/>
      </c>
      <c r="M100" t="n">
        <v>-0.084182124</v>
      </c>
      <c r="N100" t="n">
        <v>1.283205719</v>
      </c>
      <c r="O100" t="n">
        <v/>
      </c>
      <c r="P100" t="n">
        <v>2.013559197</v>
      </c>
      <c r="Q100" t="n">
        <v/>
      </c>
      <c r="R100" t="n">
        <v/>
      </c>
      <c r="S100" t="n">
        <v>-0.611894491</v>
      </c>
      <c r="T100" t="n">
        <v>0.856781066</v>
      </c>
      <c r="U100" t="n">
        <v>0.416288</v>
      </c>
      <c r="V100" t="n">
        <v>0.385234788</v>
      </c>
      <c r="W100" t="n">
        <v>-1.812361719</v>
      </c>
      <c r="X100" t="n">
        <v/>
      </c>
      <c r="Y100" t="n">
        <v/>
      </c>
      <c r="Z100" t="n">
        <v>1.669549894</v>
      </c>
      <c r="AA100" t="n">
        <v>1.534907377</v>
      </c>
      <c r="AB100" t="n">
        <v/>
      </c>
      <c r="AC100" t="n">
        <v>0.56453477</v>
      </c>
      <c r="AD100" t="n">
        <v>0.911049697</v>
      </c>
      <c r="AE100" t="n">
        <v>0.751014143</v>
      </c>
      <c r="AF100" t="n">
        <v>1.515131032</v>
      </c>
      <c r="AG100" t="n">
        <v/>
      </c>
      <c r="AH100" t="n">
        <v>2.330250104</v>
      </c>
      <c r="AI100" t="n">
        <v>-1.106227566</v>
      </c>
      <c r="AJ100" t="n">
        <v>1.352474895</v>
      </c>
      <c r="AK100" t="n">
        <v/>
      </c>
      <c r="AL100" t="n">
        <v>0.527825235</v>
      </c>
      <c r="AM100" t="n">
        <v/>
      </c>
      <c r="AN100" t="n">
        <v>3.421453661</v>
      </c>
      <c r="AO100" t="n">
        <v/>
      </c>
      <c r="AP100" t="n">
        <v/>
      </c>
      <c r="AQ100" t="n">
        <v/>
      </c>
      <c r="AR100" t="n">
        <v>-0.9805238469999999</v>
      </c>
      <c r="AS100" t="n">
        <v/>
      </c>
      <c r="AT100" t="n">
        <v>0.235783839</v>
      </c>
      <c r="AU100" t="n">
        <v>0.718762237</v>
      </c>
    </row>
    <row r="101">
      <c r="A101" t="inlineStr">
        <is>
          <t>1972-Q1</t>
        </is>
      </c>
      <c r="B101" s="107" t="n">
        <v>26390</v>
      </c>
      <c r="C101" t="n">
        <v/>
      </c>
      <c r="D101" t="n">
        <v>-1.215964192</v>
      </c>
      <c r="E101" t="n">
        <v>3.257067641</v>
      </c>
      <c r="F101" t="n">
        <v>1.328109516</v>
      </c>
      <c r="G101" t="n">
        <v/>
      </c>
      <c r="H101" t="n">
        <v>-0.349406697</v>
      </c>
      <c r="I101" t="n">
        <v>0.917431193</v>
      </c>
      <c r="J101" t="n">
        <v/>
      </c>
      <c r="K101" t="n">
        <v/>
      </c>
      <c r="L101" t="n">
        <v/>
      </c>
      <c r="M101" t="n">
        <v>0.101102707</v>
      </c>
      <c r="N101" t="n">
        <v>1.504750769</v>
      </c>
      <c r="O101" t="n">
        <v/>
      </c>
      <c r="P101" t="n">
        <v>1.622512359</v>
      </c>
      <c r="Q101" t="n">
        <v/>
      </c>
      <c r="R101" t="n">
        <v/>
      </c>
      <c r="S101" t="n">
        <v>4.909210676</v>
      </c>
      <c r="T101" t="n">
        <v>1.309796145</v>
      </c>
      <c r="U101" t="n">
        <v>1.479864</v>
      </c>
      <c r="V101" t="n">
        <v>0.113615307</v>
      </c>
      <c r="W101" t="n">
        <v>5.062805638</v>
      </c>
      <c r="X101" t="n">
        <v/>
      </c>
      <c r="Y101" t="n">
        <v/>
      </c>
      <c r="Z101" t="n">
        <v>1.687688006</v>
      </c>
      <c r="AA101" t="n">
        <v>1.348162449</v>
      </c>
      <c r="AB101" t="n">
        <v/>
      </c>
      <c r="AC101" t="n">
        <v>1.104811466</v>
      </c>
      <c r="AD101" t="n">
        <v>3.258014557</v>
      </c>
      <c r="AE101" t="n">
        <v>1.437411275</v>
      </c>
      <c r="AF101" t="n">
        <v>1.664932254</v>
      </c>
      <c r="AG101" t="n">
        <v/>
      </c>
      <c r="AH101" t="n">
        <v>2.264728797</v>
      </c>
      <c r="AI101" t="n">
        <v>2.850949081</v>
      </c>
      <c r="AJ101" t="n">
        <v>1.367177317</v>
      </c>
      <c r="AK101" t="n">
        <v/>
      </c>
      <c r="AL101" t="n">
        <v>1.535463927</v>
      </c>
      <c r="AM101" t="n">
        <v/>
      </c>
      <c r="AN101" t="n">
        <v>-0.052890599</v>
      </c>
      <c r="AO101" t="n">
        <v/>
      </c>
      <c r="AP101" t="n">
        <v/>
      </c>
      <c r="AQ101" t="n">
        <v/>
      </c>
      <c r="AR101" t="n">
        <v>0.473547083</v>
      </c>
      <c r="AS101" t="n">
        <v/>
      </c>
      <c r="AT101" t="n">
        <v>1.838958884</v>
      </c>
      <c r="AU101" t="n">
        <v>-0.589519975</v>
      </c>
    </row>
    <row r="102">
      <c r="A102" t="inlineStr">
        <is>
          <t>1972-Q2</t>
        </is>
      </c>
      <c r="B102" s="107" t="n">
        <v>26481</v>
      </c>
      <c r="C102" t="n">
        <v/>
      </c>
      <c r="D102" t="n">
        <v>2.233633724</v>
      </c>
      <c r="E102" t="n">
        <v>-0.037419387</v>
      </c>
      <c r="F102" t="n">
        <v>1.304745354</v>
      </c>
      <c r="G102" t="n">
        <v/>
      </c>
      <c r="H102" t="n">
        <v>2.830064499</v>
      </c>
      <c r="I102" t="n">
        <v>0.285353536</v>
      </c>
      <c r="J102" t="n">
        <v/>
      </c>
      <c r="K102" t="n">
        <v/>
      </c>
      <c r="L102" t="n">
        <v/>
      </c>
      <c r="M102" t="n">
        <v>1.632999089</v>
      </c>
      <c r="N102" t="n">
        <v>1.389444007</v>
      </c>
      <c r="O102" t="n">
        <v/>
      </c>
      <c r="P102" t="n">
        <v>2.362836116</v>
      </c>
      <c r="Q102" t="n">
        <v/>
      </c>
      <c r="R102" t="n">
        <v/>
      </c>
      <c r="S102" t="n">
        <v>-0.039025583</v>
      </c>
      <c r="T102" t="n">
        <v>0.38417729</v>
      </c>
      <c r="U102" t="n">
        <v>1.849983</v>
      </c>
      <c r="V102" t="n">
        <v>2.643794049</v>
      </c>
      <c r="W102" t="n">
        <v>2.984393538</v>
      </c>
      <c r="X102" t="n">
        <v/>
      </c>
      <c r="Y102" t="n">
        <v/>
      </c>
      <c r="Z102" t="n">
        <v>1.629577966</v>
      </c>
      <c r="AA102" t="n">
        <v>1.31288888</v>
      </c>
      <c r="AB102" t="n">
        <v/>
      </c>
      <c r="AC102" t="n">
        <v>-0.045308383</v>
      </c>
      <c r="AD102" t="n">
        <v>1.881993872</v>
      </c>
      <c r="AE102" t="n">
        <v>2.955504084</v>
      </c>
      <c r="AF102" t="n">
        <v>1.767206835</v>
      </c>
      <c r="AG102" t="n">
        <v/>
      </c>
      <c r="AH102" t="n">
        <v>2.20276042</v>
      </c>
      <c r="AI102" t="n">
        <v>0.460245494</v>
      </c>
      <c r="AJ102" t="n">
        <v>1.221700663</v>
      </c>
      <c r="AK102" t="n">
        <v/>
      </c>
      <c r="AL102" t="n">
        <v>1.798056769</v>
      </c>
      <c r="AM102" t="n">
        <v/>
      </c>
      <c r="AN102" t="n">
        <v>1.942276308</v>
      </c>
      <c r="AO102" t="n">
        <v/>
      </c>
      <c r="AP102" t="n">
        <v/>
      </c>
      <c r="AQ102" t="n">
        <v/>
      </c>
      <c r="AR102" t="n">
        <v>0.189989184</v>
      </c>
      <c r="AS102" t="n">
        <v/>
      </c>
      <c r="AT102" t="n">
        <v>2.269772354</v>
      </c>
      <c r="AU102" t="n">
        <v>1.046169957</v>
      </c>
    </row>
    <row r="103">
      <c r="A103" t="inlineStr">
        <is>
          <t>1972-Q3</t>
        </is>
      </c>
      <c r="B103" s="107" t="n">
        <v>26573</v>
      </c>
      <c r="C103" t="n">
        <v/>
      </c>
      <c r="D103" t="n">
        <v>-0.502298096</v>
      </c>
      <c r="E103" t="n">
        <v>1.352706757</v>
      </c>
      <c r="F103" t="n">
        <v>1.448760528</v>
      </c>
      <c r="G103" t="n">
        <v/>
      </c>
      <c r="H103" t="n">
        <v>0.278737839</v>
      </c>
      <c r="I103" t="n">
        <v>0.841034422</v>
      </c>
      <c r="J103" t="n">
        <v/>
      </c>
      <c r="K103" t="n">
        <v/>
      </c>
      <c r="L103" t="n">
        <v/>
      </c>
      <c r="M103" t="n">
        <v>2.335604225</v>
      </c>
      <c r="N103" t="n">
        <v>1.278677816</v>
      </c>
      <c r="O103" t="n">
        <v/>
      </c>
      <c r="P103" t="n">
        <v>2.196883976</v>
      </c>
      <c r="Q103" t="n">
        <v/>
      </c>
      <c r="R103" t="n">
        <v/>
      </c>
      <c r="S103" t="n">
        <v>2.143043783</v>
      </c>
      <c r="T103" t="n">
        <v>0.887960161</v>
      </c>
      <c r="U103" t="n">
        <v>1.237596</v>
      </c>
      <c r="V103" t="n">
        <v>0.270476751</v>
      </c>
      <c r="W103" t="n">
        <v>-0.622562921</v>
      </c>
      <c r="X103" t="n">
        <v/>
      </c>
      <c r="Y103" t="n">
        <v/>
      </c>
      <c r="Z103" t="n">
        <v>1.504128019</v>
      </c>
      <c r="AA103" t="n">
        <v>1.398144255</v>
      </c>
      <c r="AB103" t="n">
        <v/>
      </c>
      <c r="AC103" t="n">
        <v>1.348168499</v>
      </c>
      <c r="AD103" t="n">
        <v>2.13452832</v>
      </c>
      <c r="AE103" t="n">
        <v>1.648226735</v>
      </c>
      <c r="AF103" t="n">
        <v>1.843768121</v>
      </c>
      <c r="AG103" t="n">
        <v/>
      </c>
      <c r="AH103" t="n">
        <v>2.189293583</v>
      </c>
      <c r="AI103" t="n">
        <v>0.151999372</v>
      </c>
      <c r="AJ103" t="n">
        <v>1.081400474</v>
      </c>
      <c r="AK103" t="n">
        <v/>
      </c>
      <c r="AL103" t="n">
        <v>1.281010989</v>
      </c>
      <c r="AM103" t="n">
        <v/>
      </c>
      <c r="AN103" t="n">
        <v>4.900383771</v>
      </c>
      <c r="AO103" t="n">
        <v/>
      </c>
      <c r="AP103" t="n">
        <v/>
      </c>
      <c r="AQ103" t="n">
        <v/>
      </c>
      <c r="AR103" t="n">
        <v>2.848964976</v>
      </c>
      <c r="AS103" t="n">
        <v/>
      </c>
      <c r="AT103" t="n">
        <v>0.944381888</v>
      </c>
      <c r="AU103" t="n">
        <v>0.061773482</v>
      </c>
    </row>
    <row r="104">
      <c r="A104" t="inlineStr">
        <is>
          <t>1972-Q4</t>
        </is>
      </c>
      <c r="B104" s="107" t="n">
        <v>26665</v>
      </c>
      <c r="C104" t="n">
        <v/>
      </c>
      <c r="D104" t="n">
        <v>1.064935493</v>
      </c>
      <c r="E104" t="n">
        <v>4.511312077</v>
      </c>
      <c r="F104" t="n">
        <v>1.593273827</v>
      </c>
      <c r="G104" t="n">
        <v/>
      </c>
      <c r="H104" t="n">
        <v>2.369387683</v>
      </c>
      <c r="I104" t="n">
        <v>1.765425625</v>
      </c>
      <c r="J104" t="n">
        <v/>
      </c>
      <c r="K104" t="n">
        <v/>
      </c>
      <c r="L104" t="n">
        <v/>
      </c>
      <c r="M104" t="n">
        <v>1.553896295</v>
      </c>
      <c r="N104" t="n">
        <v>1.171983819</v>
      </c>
      <c r="O104" t="n">
        <v/>
      </c>
      <c r="P104" t="n">
        <v>1.981024409</v>
      </c>
      <c r="Q104" t="n">
        <v/>
      </c>
      <c r="R104" t="n">
        <v/>
      </c>
      <c r="S104" t="n">
        <v>2.066012205</v>
      </c>
      <c r="T104" t="n">
        <v>1.660236385</v>
      </c>
      <c r="U104" t="n">
        <v>1.707119</v>
      </c>
      <c r="V104" t="n">
        <v>1.554122162</v>
      </c>
      <c r="W104" t="n">
        <v>5.586891094</v>
      </c>
      <c r="X104" t="n">
        <v/>
      </c>
      <c r="Y104" t="n">
        <v/>
      </c>
      <c r="Z104" t="n">
        <v>1.338081409</v>
      </c>
      <c r="AA104" t="n">
        <v>1.542472372</v>
      </c>
      <c r="AB104" t="n">
        <v/>
      </c>
      <c r="AC104" t="n">
        <v>0.475253324</v>
      </c>
      <c r="AD104" t="n">
        <v>2.515679627</v>
      </c>
      <c r="AE104" t="n">
        <v>4.251313975</v>
      </c>
      <c r="AF104" t="n">
        <v>1.917260019</v>
      </c>
      <c r="AG104" t="n">
        <v/>
      </c>
      <c r="AH104" t="n">
        <v>2.17662679</v>
      </c>
      <c r="AI104" t="n">
        <v>1.243391832</v>
      </c>
      <c r="AJ104" t="n">
        <v>0.945670252</v>
      </c>
      <c r="AK104" t="n">
        <v/>
      </c>
      <c r="AL104" t="n">
        <v>1.756107724</v>
      </c>
      <c r="AM104" t="n">
        <v/>
      </c>
      <c r="AN104" t="n">
        <v>0.540745608</v>
      </c>
      <c r="AO104" t="n">
        <v/>
      </c>
      <c r="AP104" t="n">
        <v/>
      </c>
      <c r="AQ104" t="n">
        <v/>
      </c>
      <c r="AR104" t="n">
        <v>1.704581047</v>
      </c>
      <c r="AS104" t="n">
        <v/>
      </c>
      <c r="AT104" t="n">
        <v>1.674458738</v>
      </c>
      <c r="AU104" t="n">
        <v>1.770998777</v>
      </c>
    </row>
    <row r="105">
      <c r="A105" t="inlineStr">
        <is>
          <t>1973-Q1</t>
        </is>
      </c>
      <c r="B105" s="107" t="n">
        <v>26755</v>
      </c>
      <c r="C105" t="n">
        <v/>
      </c>
      <c r="D105" t="n">
        <v>2.578375599</v>
      </c>
      <c r="E105" t="n">
        <v>-1.417131378</v>
      </c>
      <c r="F105" t="n">
        <v>1.557743371</v>
      </c>
      <c r="G105" t="n">
        <v/>
      </c>
      <c r="H105" t="n">
        <v>2.61132786</v>
      </c>
      <c r="I105" t="n">
        <v>0.498110615</v>
      </c>
      <c r="J105" t="n">
        <v/>
      </c>
      <c r="K105" t="n">
        <v/>
      </c>
      <c r="L105" t="n">
        <v/>
      </c>
      <c r="M105" t="n">
        <v>1.382723679</v>
      </c>
      <c r="N105" t="n">
        <v>1.068889461</v>
      </c>
      <c r="O105" t="n">
        <v/>
      </c>
      <c r="P105" t="n">
        <v>1.840654752</v>
      </c>
      <c r="Q105" t="n">
        <v/>
      </c>
      <c r="R105" t="n">
        <v/>
      </c>
      <c r="S105" t="n">
        <v>3.574796133</v>
      </c>
      <c r="T105" t="n">
        <v>1.99228223</v>
      </c>
      <c r="U105" t="n">
        <v>2.520645</v>
      </c>
      <c r="V105" t="n">
        <v>4.964747219</v>
      </c>
      <c r="W105" t="n">
        <v>0.356833682</v>
      </c>
      <c r="X105" t="n">
        <v/>
      </c>
      <c r="Y105" t="n">
        <v/>
      </c>
      <c r="Z105" t="n">
        <v>1.151515719</v>
      </c>
      <c r="AA105" t="n">
        <v>1.671396055</v>
      </c>
      <c r="AB105" t="n">
        <v/>
      </c>
      <c r="AC105" t="n">
        <v>0.901496317</v>
      </c>
      <c r="AD105" t="n">
        <v>3.344675477</v>
      </c>
      <c r="AE105" t="n">
        <v>3.307410387</v>
      </c>
      <c r="AF105" t="n">
        <v>2.00175876</v>
      </c>
      <c r="AG105" t="n">
        <v/>
      </c>
      <c r="AH105" t="n">
        <v>2.113477478</v>
      </c>
      <c r="AI105" t="n">
        <v>3.158903435</v>
      </c>
      <c r="AJ105" t="n">
        <v>0.813763153</v>
      </c>
      <c r="AK105" t="n">
        <v/>
      </c>
      <c r="AL105" t="n">
        <v>2.328565059</v>
      </c>
      <c r="AM105" t="n">
        <v/>
      </c>
      <c r="AN105" t="n">
        <v>3.996567313</v>
      </c>
      <c r="AO105" t="n">
        <v/>
      </c>
      <c r="AP105" t="n">
        <v/>
      </c>
      <c r="AQ105" t="n">
        <v/>
      </c>
      <c r="AR105" t="n">
        <v>0.664999096</v>
      </c>
      <c r="AS105" t="n">
        <v/>
      </c>
      <c r="AT105" t="n">
        <v>2.474806377</v>
      </c>
      <c r="AU105" t="n">
        <v>1.289677636</v>
      </c>
    </row>
    <row r="106">
      <c r="A106" t="inlineStr">
        <is>
          <t>1973-Q2</t>
        </is>
      </c>
      <c r="B106" s="107" t="n">
        <v>26846</v>
      </c>
      <c r="C106" t="n">
        <v/>
      </c>
      <c r="D106" t="n">
        <v>0.185394421</v>
      </c>
      <c r="E106" t="n">
        <v>2.047167789</v>
      </c>
      <c r="F106" t="n">
        <v>1.51907132</v>
      </c>
      <c r="G106" t="n">
        <v/>
      </c>
      <c r="H106" t="n">
        <v>1.084605289</v>
      </c>
      <c r="I106" t="n">
        <v>-0.087897063</v>
      </c>
      <c r="J106" t="n">
        <v/>
      </c>
      <c r="K106" t="n">
        <v/>
      </c>
      <c r="L106" t="n">
        <v/>
      </c>
      <c r="M106" t="n">
        <v>0.738877462</v>
      </c>
      <c r="N106" t="n">
        <v>0.688149787</v>
      </c>
      <c r="O106" t="n">
        <v/>
      </c>
      <c r="P106" t="n">
        <v>1.782785541</v>
      </c>
      <c r="Q106" t="n">
        <v/>
      </c>
      <c r="R106" t="n">
        <v/>
      </c>
      <c r="S106" t="n">
        <v>-3.086633172</v>
      </c>
      <c r="T106" t="n">
        <v>1.080382169</v>
      </c>
      <c r="U106" t="n">
        <v>1.080485</v>
      </c>
      <c r="V106" t="n">
        <v>0.134075038</v>
      </c>
      <c r="W106" t="n">
        <v>3.463075952</v>
      </c>
      <c r="X106" t="n">
        <v/>
      </c>
      <c r="Y106" t="n">
        <v/>
      </c>
      <c r="Z106" t="n">
        <v>0.976855111</v>
      </c>
      <c r="AA106" t="n">
        <v>1.781959172</v>
      </c>
      <c r="AB106" t="n">
        <v/>
      </c>
      <c r="AC106" t="n">
        <v>2.996680537</v>
      </c>
      <c r="AD106" t="n">
        <v>0.91447627</v>
      </c>
      <c r="AE106" t="n">
        <v>4.202215108</v>
      </c>
      <c r="AF106" t="n">
        <v>2.106209441</v>
      </c>
      <c r="AG106" t="n">
        <v/>
      </c>
      <c r="AH106" t="n">
        <v>2.05215716</v>
      </c>
      <c r="AI106" t="n">
        <v>-0.328806944</v>
      </c>
      <c r="AJ106" t="n">
        <v>0.999672088</v>
      </c>
      <c r="AK106" t="n">
        <v/>
      </c>
      <c r="AL106" t="n">
        <v>1.101218022</v>
      </c>
      <c r="AM106" t="n">
        <v/>
      </c>
      <c r="AN106" t="n">
        <v>2.114461523</v>
      </c>
      <c r="AO106" t="n">
        <v/>
      </c>
      <c r="AP106" t="n">
        <v/>
      </c>
      <c r="AQ106" t="n">
        <v/>
      </c>
      <c r="AR106" t="n">
        <v>0.036354188</v>
      </c>
      <c r="AS106" t="n">
        <v/>
      </c>
      <c r="AT106" t="n">
        <v>1.08866253</v>
      </c>
      <c r="AU106" t="n">
        <v>-0.444748341</v>
      </c>
    </row>
    <row r="107">
      <c r="A107" t="inlineStr">
        <is>
          <t>1973-Q3</t>
        </is>
      </c>
      <c r="B107" s="107" t="n">
        <v>26938</v>
      </c>
      <c r="C107" t="n">
        <v/>
      </c>
      <c r="D107" t="n">
        <v>1.012620025</v>
      </c>
      <c r="E107" t="n">
        <v>0.398009616</v>
      </c>
      <c r="F107" t="n">
        <v>1.426949406</v>
      </c>
      <c r="G107" t="n">
        <v/>
      </c>
      <c r="H107" t="n">
        <v>0.362013934</v>
      </c>
      <c r="I107" t="n">
        <v>0.923731092</v>
      </c>
      <c r="J107" t="n">
        <v/>
      </c>
      <c r="K107" t="n">
        <v/>
      </c>
      <c r="L107" t="n">
        <v/>
      </c>
      <c r="M107" t="n">
        <v>0.327712697</v>
      </c>
      <c r="N107" t="n">
        <v>0.316519876</v>
      </c>
      <c r="O107" t="n">
        <v/>
      </c>
      <c r="P107" t="n">
        <v>1.651654071</v>
      </c>
      <c r="Q107" t="n">
        <v/>
      </c>
      <c r="R107" t="n">
        <v/>
      </c>
      <c r="S107" t="n">
        <v>4.437518319</v>
      </c>
      <c r="T107" t="n">
        <v>0.858845143</v>
      </c>
      <c r="U107" t="n">
        <v>0.10297</v>
      </c>
      <c r="V107" t="n">
        <v>-0.944805785</v>
      </c>
      <c r="W107" t="n">
        <v>0.593785586</v>
      </c>
      <c r="X107" t="n">
        <v/>
      </c>
      <c r="Y107" t="n">
        <v/>
      </c>
      <c r="Z107" t="n">
        <v>0.826587472</v>
      </c>
      <c r="AA107" t="n">
        <v>1.918032306</v>
      </c>
      <c r="AB107" t="n">
        <v/>
      </c>
      <c r="AC107" t="n">
        <v>3.18178299</v>
      </c>
      <c r="AD107" t="n">
        <v>0.291681205</v>
      </c>
      <c r="AE107" t="n">
        <v>5.090241766</v>
      </c>
      <c r="AF107" t="n">
        <v>2.264656679</v>
      </c>
      <c r="AG107" t="n">
        <v/>
      </c>
      <c r="AH107" t="n">
        <v>1.753957612</v>
      </c>
      <c r="AI107" t="n">
        <v>-0.72573153</v>
      </c>
      <c r="AJ107" t="n">
        <v>1.18030089</v>
      </c>
      <c r="AK107" t="n">
        <v/>
      </c>
      <c r="AL107" t="n">
        <v>0.366180457</v>
      </c>
      <c r="AM107" t="n">
        <v/>
      </c>
      <c r="AN107" t="n">
        <v>2.984993782</v>
      </c>
      <c r="AO107" t="n">
        <v/>
      </c>
      <c r="AP107" t="n">
        <v/>
      </c>
      <c r="AQ107" t="n">
        <v/>
      </c>
      <c r="AR107" t="n">
        <v>0.781539966</v>
      </c>
      <c r="AS107" t="n">
        <v/>
      </c>
      <c r="AT107" t="n">
        <v>-0.525898536</v>
      </c>
      <c r="AU107" t="n">
        <v>2.892126309</v>
      </c>
    </row>
    <row r="108">
      <c r="A108" t="inlineStr">
        <is>
          <t>1973-Q4</t>
        </is>
      </c>
      <c r="B108" s="107" t="n">
        <v>27030</v>
      </c>
      <c r="C108" t="n">
        <v/>
      </c>
      <c r="D108" t="n">
        <v>2.501847688</v>
      </c>
      <c r="E108" t="n">
        <v>2.114916666</v>
      </c>
      <c r="F108" t="n">
        <v>1.324668226</v>
      </c>
      <c r="G108" t="n">
        <v/>
      </c>
      <c r="H108" t="n">
        <v>1.868824427</v>
      </c>
      <c r="I108" t="n">
        <v>1.762754546</v>
      </c>
      <c r="J108" t="n">
        <v/>
      </c>
      <c r="K108" t="n">
        <v/>
      </c>
      <c r="L108" t="n">
        <v/>
      </c>
      <c r="M108" t="n">
        <v>0.24886882</v>
      </c>
      <c r="N108" t="n">
        <v>-0.050231497</v>
      </c>
      <c r="O108" t="n">
        <v/>
      </c>
      <c r="P108" t="n">
        <v>1.645425147</v>
      </c>
      <c r="Q108" t="n">
        <v/>
      </c>
      <c r="R108" t="n">
        <v/>
      </c>
      <c r="S108" t="n">
        <v>1.879384958</v>
      </c>
      <c r="T108" t="n">
        <v>1.278319135</v>
      </c>
      <c r="U108" t="n">
        <v>0.970456</v>
      </c>
      <c r="V108" t="n">
        <v>-0.436401722</v>
      </c>
      <c r="W108" t="n">
        <v>0.400258753</v>
      </c>
      <c r="X108" t="n">
        <v/>
      </c>
      <c r="Y108" t="n">
        <v/>
      </c>
      <c r="Z108" t="n">
        <v>0.760770828</v>
      </c>
      <c r="AA108" t="n">
        <v>1.916533234</v>
      </c>
      <c r="AB108" t="n">
        <v/>
      </c>
      <c r="AC108" t="n">
        <v>2.442616376</v>
      </c>
      <c r="AD108" t="n">
        <v>1.235735789</v>
      </c>
      <c r="AE108" t="n">
        <v>1.447179718</v>
      </c>
      <c r="AF108" t="n">
        <v>2.167429275</v>
      </c>
      <c r="AG108" t="n">
        <v/>
      </c>
      <c r="AH108" t="n">
        <v>1.442038019</v>
      </c>
      <c r="AI108" t="n">
        <v>3.903124023</v>
      </c>
      <c r="AJ108" t="n">
        <v>1.354833115</v>
      </c>
      <c r="AK108" t="n">
        <v/>
      </c>
      <c r="AL108" t="n">
        <v>1.135108306</v>
      </c>
      <c r="AM108" t="n">
        <v/>
      </c>
      <c r="AN108" t="n">
        <v>1.593790761</v>
      </c>
      <c r="AO108" t="n">
        <v/>
      </c>
      <c r="AP108" t="n">
        <v/>
      </c>
      <c r="AQ108" t="n">
        <v/>
      </c>
      <c r="AR108" t="n">
        <v>1.365484011</v>
      </c>
      <c r="AS108" t="n">
        <v/>
      </c>
      <c r="AT108" t="n">
        <v>0.949216043</v>
      </c>
      <c r="AU108" t="n">
        <v>1.92621499</v>
      </c>
    </row>
    <row r="109">
      <c r="A109" t="inlineStr">
        <is>
          <t>1974-Q1</t>
        </is>
      </c>
      <c r="B109" s="107" t="n">
        <v>27120</v>
      </c>
      <c r="C109" t="n">
        <v/>
      </c>
      <c r="D109" t="n">
        <v>0.013807069</v>
      </c>
      <c r="E109" t="n">
        <v>2.01668466</v>
      </c>
      <c r="F109" t="n">
        <v>1.282729029</v>
      </c>
      <c r="G109" t="n">
        <v/>
      </c>
      <c r="H109" t="n">
        <v>0.741400547</v>
      </c>
      <c r="I109" t="n">
        <v>1.46096557</v>
      </c>
      <c r="J109" t="n">
        <v/>
      </c>
      <c r="K109" t="n">
        <v/>
      </c>
      <c r="L109" t="n">
        <v/>
      </c>
      <c r="M109" t="n">
        <v>0.845690319</v>
      </c>
      <c r="N109" t="n">
        <v>-0.416193242</v>
      </c>
      <c r="O109" t="n">
        <v/>
      </c>
      <c r="P109" t="n">
        <v>1.698325068</v>
      </c>
      <c r="Q109" t="n">
        <v/>
      </c>
      <c r="R109" t="n">
        <v/>
      </c>
      <c r="S109" t="n">
        <v>-0.5818975830000001</v>
      </c>
      <c r="T109" t="n">
        <v>0.959287031</v>
      </c>
      <c r="U109" t="n">
        <v>-0.842913</v>
      </c>
      <c r="V109" t="n">
        <v>-2.737780016</v>
      </c>
      <c r="W109" t="n">
        <v>-2.013449845</v>
      </c>
      <c r="X109" t="n">
        <v/>
      </c>
      <c r="Y109" t="n">
        <v/>
      </c>
      <c r="Z109" t="n">
        <v>0.861614055</v>
      </c>
      <c r="AA109" t="n">
        <v>1.640139287</v>
      </c>
      <c r="AB109" t="n">
        <v/>
      </c>
      <c r="AC109" t="n">
        <v>0.8109958739999999</v>
      </c>
      <c r="AD109" t="n">
        <v>-3.435981747</v>
      </c>
      <c r="AE109" t="n">
        <v>4.175234446</v>
      </c>
      <c r="AF109" t="n">
        <v>1.538048882</v>
      </c>
      <c r="AG109" t="n">
        <v/>
      </c>
      <c r="AH109" t="n">
        <v>1.403345049</v>
      </c>
      <c r="AI109" t="n">
        <v>0.575004502</v>
      </c>
      <c r="AJ109" t="n">
        <v>1.522530474</v>
      </c>
      <c r="AK109" t="n">
        <v/>
      </c>
      <c r="AL109" t="n">
        <v>-0.434768926</v>
      </c>
      <c r="AM109" t="n">
        <v/>
      </c>
      <c r="AN109" t="n">
        <v>0.547245244</v>
      </c>
      <c r="AO109" t="n">
        <v/>
      </c>
      <c r="AP109" t="n">
        <v/>
      </c>
      <c r="AQ109" t="n">
        <v/>
      </c>
      <c r="AR109" t="n">
        <v>-0.532074444</v>
      </c>
      <c r="AS109" t="n">
        <v/>
      </c>
      <c r="AT109" t="n">
        <v>-0.859772574</v>
      </c>
      <c r="AU109" t="n">
        <v>1.868574967</v>
      </c>
    </row>
    <row r="110">
      <c r="A110" t="inlineStr">
        <is>
          <t>1974-Q2</t>
        </is>
      </c>
      <c r="B110" s="107" t="n">
        <v>27211</v>
      </c>
      <c r="C110" t="n">
        <v/>
      </c>
      <c r="D110" t="n">
        <v>-2.032426794</v>
      </c>
      <c r="E110" t="n">
        <v>-0.421365581</v>
      </c>
      <c r="F110" t="n">
        <v>1.269724956</v>
      </c>
      <c r="G110" t="n">
        <v/>
      </c>
      <c r="H110" t="n">
        <v>1.094286656</v>
      </c>
      <c r="I110" t="n">
        <v>0.302525739</v>
      </c>
      <c r="J110" t="n">
        <v/>
      </c>
      <c r="K110" t="n">
        <v/>
      </c>
      <c r="L110" t="n">
        <v/>
      </c>
      <c r="M110" t="n">
        <v>-0.076938462</v>
      </c>
      <c r="N110" t="n">
        <v>-0.490190037</v>
      </c>
      <c r="O110" t="n">
        <v/>
      </c>
      <c r="P110" t="n">
        <v>1.263590499</v>
      </c>
      <c r="Q110" t="n">
        <v/>
      </c>
      <c r="R110" t="n">
        <v/>
      </c>
      <c r="S110" t="n">
        <v>0.308619595</v>
      </c>
      <c r="T110" t="n">
        <v>0.500642661</v>
      </c>
      <c r="U110" t="n">
        <v>0.483871</v>
      </c>
      <c r="V110" t="n">
        <v>1.429145887</v>
      </c>
      <c r="W110" t="n">
        <v>-5.264455677</v>
      </c>
      <c r="X110" t="n">
        <v/>
      </c>
      <c r="Y110" t="n">
        <v/>
      </c>
      <c r="Z110" t="n">
        <v>1.126914412</v>
      </c>
      <c r="AA110" t="n">
        <v>1.177278438</v>
      </c>
      <c r="AB110" t="n">
        <v/>
      </c>
      <c r="AC110" t="n">
        <v>0.955063814</v>
      </c>
      <c r="AD110" t="n">
        <v>0.720303476</v>
      </c>
      <c r="AE110" t="n">
        <v>-0.263554358</v>
      </c>
      <c r="AF110" t="n">
        <v>0.526564292</v>
      </c>
      <c r="AG110" t="n">
        <v/>
      </c>
      <c r="AH110" t="n">
        <v>1.378937292</v>
      </c>
      <c r="AI110" t="n">
        <v>1.146852459</v>
      </c>
      <c r="AJ110" t="n">
        <v>1.292526514</v>
      </c>
      <c r="AK110" t="n">
        <v/>
      </c>
      <c r="AL110" t="n">
        <v>0.462765085</v>
      </c>
      <c r="AM110" t="n">
        <v/>
      </c>
      <c r="AN110" t="n">
        <v>-2.033564478</v>
      </c>
      <c r="AO110" t="n">
        <v/>
      </c>
      <c r="AP110" t="n">
        <v/>
      </c>
      <c r="AQ110" t="n">
        <v/>
      </c>
      <c r="AR110" t="n">
        <v>1.702633011</v>
      </c>
      <c r="AS110" t="n">
        <v/>
      </c>
      <c r="AT110" t="n">
        <v>0.237683227</v>
      </c>
      <c r="AU110" t="n">
        <v>1.374417468</v>
      </c>
    </row>
    <row r="111">
      <c r="A111" t="inlineStr">
        <is>
          <t>1974-Q3</t>
        </is>
      </c>
      <c r="B111" s="107" t="n">
        <v>27303</v>
      </c>
      <c r="C111" t="n">
        <v/>
      </c>
      <c r="D111" t="n">
        <v>1.196217198</v>
      </c>
      <c r="E111" t="n">
        <v>0.466238085</v>
      </c>
      <c r="F111" t="n">
        <v>0.165849972</v>
      </c>
      <c r="G111" t="n">
        <v/>
      </c>
      <c r="H111" t="n">
        <v>-0.087894261</v>
      </c>
      <c r="I111" t="n">
        <v>-2.42459668</v>
      </c>
      <c r="J111" t="n">
        <v/>
      </c>
      <c r="K111" t="n">
        <v/>
      </c>
      <c r="L111" t="n">
        <v/>
      </c>
      <c r="M111" t="n">
        <v>4.35e-06</v>
      </c>
      <c r="N111" t="n">
        <v>-0.565185038</v>
      </c>
      <c r="O111" t="n">
        <v/>
      </c>
      <c r="P111" t="n">
        <v>0.705686378</v>
      </c>
      <c r="Q111" t="n">
        <v/>
      </c>
      <c r="R111" t="n">
        <v/>
      </c>
      <c r="S111" t="n">
        <v>1.235448193</v>
      </c>
      <c r="T111" t="n">
        <v>0.943450926</v>
      </c>
      <c r="U111" t="n">
        <v>-0.083969</v>
      </c>
      <c r="V111" t="n">
        <v>0.623390827</v>
      </c>
      <c r="W111" t="n">
        <v>-6.511365608</v>
      </c>
      <c r="X111" t="n">
        <v/>
      </c>
      <c r="Y111" t="n">
        <v/>
      </c>
      <c r="Z111" t="n">
        <v>1.562881945</v>
      </c>
      <c r="AA111" t="n">
        <v>0.526714883</v>
      </c>
      <c r="AB111" t="n">
        <v/>
      </c>
      <c r="AC111" t="n">
        <v>0.16671244</v>
      </c>
      <c r="AD111" t="n">
        <v>1.279660157</v>
      </c>
      <c r="AE111" t="n">
        <v>1.56076644</v>
      </c>
      <c r="AF111" t="n">
        <v>-0.9174168660000001</v>
      </c>
      <c r="AG111" t="n">
        <v/>
      </c>
      <c r="AH111" t="n">
        <v>1.420328024</v>
      </c>
      <c r="AI111" t="n">
        <v>0.7879786</v>
      </c>
      <c r="AJ111" t="n">
        <v>1.071506394</v>
      </c>
      <c r="AK111" t="n">
        <v/>
      </c>
      <c r="AL111" t="n">
        <v>0.016826775</v>
      </c>
      <c r="AM111" t="n">
        <v/>
      </c>
      <c r="AN111" t="n">
        <v>-1.658835446</v>
      </c>
      <c r="AO111" t="n">
        <v/>
      </c>
      <c r="AP111" t="n">
        <v/>
      </c>
      <c r="AQ111" t="n">
        <v/>
      </c>
      <c r="AR111" t="n">
        <v>1.408670212</v>
      </c>
      <c r="AS111" t="n">
        <v/>
      </c>
      <c r="AT111" t="n">
        <v>-0.945142778</v>
      </c>
      <c r="AU111" t="n">
        <v>1.132567196</v>
      </c>
    </row>
    <row r="112">
      <c r="A112" t="inlineStr">
        <is>
          <t>1974-Q4</t>
        </is>
      </c>
      <c r="B112" s="107" t="n">
        <v>27395</v>
      </c>
      <c r="C112" t="n">
        <v/>
      </c>
      <c r="D112" t="n">
        <v>0.105984652</v>
      </c>
      <c r="E112" t="n">
        <v>-1.224199014</v>
      </c>
      <c r="F112" t="n">
        <v>-1.000723354</v>
      </c>
      <c r="G112" t="n">
        <v/>
      </c>
      <c r="H112" t="n">
        <v>-0.463837034</v>
      </c>
      <c r="I112" t="n">
        <v>-3.572712242</v>
      </c>
      <c r="J112" t="n">
        <v/>
      </c>
      <c r="K112" t="n">
        <v/>
      </c>
      <c r="L112" t="n">
        <v/>
      </c>
      <c r="M112" t="n">
        <v>-1.262707459</v>
      </c>
      <c r="N112" t="n">
        <v>-0.641423598</v>
      </c>
      <c r="O112" t="n">
        <v/>
      </c>
      <c r="P112" t="n">
        <v>0.066164419</v>
      </c>
      <c r="Q112" t="n">
        <v/>
      </c>
      <c r="R112" t="n">
        <v/>
      </c>
      <c r="S112" t="n">
        <v>0.023032177</v>
      </c>
      <c r="T112" t="n">
        <v>-1.510183316</v>
      </c>
      <c r="U112" t="n">
        <v>-0.849862</v>
      </c>
      <c r="V112" t="n">
        <v>-1.463229067</v>
      </c>
      <c r="W112" t="n">
        <v>5.234095866</v>
      </c>
      <c r="X112" t="n">
        <v/>
      </c>
      <c r="Y112" t="n">
        <v/>
      </c>
      <c r="Z112" t="n">
        <v>1.877960383</v>
      </c>
      <c r="AA112" t="n">
        <v>-0.055508009</v>
      </c>
      <c r="AB112" t="n">
        <v/>
      </c>
      <c r="AC112" t="n">
        <v>-2.090374618</v>
      </c>
      <c r="AD112" t="n">
        <v>-0.542348904</v>
      </c>
      <c r="AE112" t="n">
        <v>-0.341014777</v>
      </c>
      <c r="AF112" t="n">
        <v>-2.215836913</v>
      </c>
      <c r="AG112" t="n">
        <v/>
      </c>
      <c r="AH112" t="n">
        <v>1.455293632</v>
      </c>
      <c r="AI112" t="n">
        <v>-1.385399516</v>
      </c>
      <c r="AJ112" t="n">
        <v>0.85781115</v>
      </c>
      <c r="AK112" t="n">
        <v/>
      </c>
      <c r="AL112" t="n">
        <v>-0.611865055</v>
      </c>
      <c r="AM112" t="n">
        <v/>
      </c>
      <c r="AN112" t="n">
        <v>-0.772746094</v>
      </c>
      <c r="AO112" t="n">
        <v/>
      </c>
      <c r="AP112" t="n">
        <v/>
      </c>
      <c r="AQ112" t="n">
        <v/>
      </c>
      <c r="AR112" t="n">
        <v>1.360991524</v>
      </c>
      <c r="AS112" t="n">
        <v/>
      </c>
      <c r="AT112" t="n">
        <v>-0.388140783</v>
      </c>
      <c r="AU112" t="n">
        <v>-0.943914052</v>
      </c>
    </row>
    <row r="113">
      <c r="A113" t="inlineStr">
        <is>
          <t>1975-Q1</t>
        </is>
      </c>
      <c r="B113" s="107" t="n">
        <v>27485</v>
      </c>
      <c r="C113" t="n">
        <v/>
      </c>
      <c r="D113" t="n">
        <v>0.389486944</v>
      </c>
      <c r="E113" t="n">
        <v>0.13912639</v>
      </c>
      <c r="F113" t="n">
        <v>-1.000148554</v>
      </c>
      <c r="G113" t="n">
        <v/>
      </c>
      <c r="H113" t="n">
        <v>-0.628394126</v>
      </c>
      <c r="I113" t="n">
        <v>-2.127130858</v>
      </c>
      <c r="J113" t="n">
        <v/>
      </c>
      <c r="K113" t="n">
        <v/>
      </c>
      <c r="L113" t="n">
        <v/>
      </c>
      <c r="M113" t="n">
        <v>-0.5770053510000001</v>
      </c>
      <c r="N113" t="n">
        <v>-0.719045178</v>
      </c>
      <c r="O113" t="n">
        <v/>
      </c>
      <c r="P113" t="n">
        <v>-0.501915997</v>
      </c>
      <c r="Q113" t="n">
        <v/>
      </c>
      <c r="R113" t="n">
        <v/>
      </c>
      <c r="S113" t="n">
        <v>1.603501804</v>
      </c>
      <c r="T113" t="n">
        <v>-0.44990402</v>
      </c>
      <c r="U113" t="n">
        <v>-0.782137</v>
      </c>
      <c r="V113" t="n">
        <v>0.060207186</v>
      </c>
      <c r="W113" t="n">
        <v>7.943471934</v>
      </c>
      <c r="X113" t="n">
        <v/>
      </c>
      <c r="Y113" t="n">
        <v/>
      </c>
      <c r="Z113" t="n">
        <v>1.782215968</v>
      </c>
      <c r="AA113" t="n">
        <v>-0.274496285</v>
      </c>
      <c r="AB113" t="n">
        <v/>
      </c>
      <c r="AC113" t="n">
        <v>-1.739606011</v>
      </c>
      <c r="AD113" t="n">
        <v>0.130852508</v>
      </c>
      <c r="AE113" t="n">
        <v>1.414647153</v>
      </c>
      <c r="AF113" t="n">
        <v>-2.690011007</v>
      </c>
      <c r="AG113" t="n">
        <v/>
      </c>
      <c r="AH113" t="n">
        <v>1.41808582</v>
      </c>
      <c r="AI113" t="n">
        <v>-1.96350355</v>
      </c>
      <c r="AJ113" t="n">
        <v>0.649877665</v>
      </c>
      <c r="AK113" t="n">
        <v/>
      </c>
      <c r="AL113" t="n">
        <v>-0.521269432</v>
      </c>
      <c r="AM113" t="n">
        <v/>
      </c>
      <c r="AN113" t="n">
        <v>-1.987540613</v>
      </c>
      <c r="AO113" t="n">
        <v/>
      </c>
      <c r="AP113" t="n">
        <v/>
      </c>
      <c r="AQ113" t="n">
        <v/>
      </c>
      <c r="AR113" t="n">
        <v>0.638731136</v>
      </c>
      <c r="AS113" t="n">
        <v/>
      </c>
      <c r="AT113" t="n">
        <v>-1.217285876</v>
      </c>
      <c r="AU113" t="n">
        <v>-0.400466152</v>
      </c>
    </row>
    <row r="114">
      <c r="A114" t="inlineStr">
        <is>
          <t>1975-Q2</t>
        </is>
      </c>
      <c r="B114" s="107" t="n">
        <v>27576</v>
      </c>
      <c r="C114" t="n">
        <v/>
      </c>
      <c r="D114" t="n">
        <v>3.15076402</v>
      </c>
      <c r="E114" t="n">
        <v>-1.030183642</v>
      </c>
      <c r="F114" t="n">
        <v>-1.004706808</v>
      </c>
      <c r="G114" t="n">
        <v/>
      </c>
      <c r="H114" t="n">
        <v>1.299640149</v>
      </c>
      <c r="I114" t="n">
        <v>-1.071446707</v>
      </c>
      <c r="J114" t="n">
        <v/>
      </c>
      <c r="K114" t="n">
        <v/>
      </c>
      <c r="L114" t="n">
        <v/>
      </c>
      <c r="M114" t="n">
        <v>-0.501954515</v>
      </c>
      <c r="N114" t="n">
        <v>0.092145804</v>
      </c>
      <c r="O114" t="n">
        <v/>
      </c>
      <c r="P114" t="n">
        <v>-0.083067768</v>
      </c>
      <c r="Q114" t="n">
        <v/>
      </c>
      <c r="R114" t="n">
        <v/>
      </c>
      <c r="S114" t="n">
        <v>-0.710065894</v>
      </c>
      <c r="T114" t="n">
        <v>0.252750122</v>
      </c>
      <c r="U114" t="n">
        <v>0.512772</v>
      </c>
      <c r="V114" t="n">
        <v>-1.648500549</v>
      </c>
      <c r="W114" t="n">
        <v>-1.00896632</v>
      </c>
      <c r="X114" t="n">
        <v/>
      </c>
      <c r="Y114" t="n">
        <v/>
      </c>
      <c r="Z114" t="n">
        <v>1.347474683</v>
      </c>
      <c r="AA114" t="n">
        <v>-0.105422218</v>
      </c>
      <c r="AB114" t="n">
        <v/>
      </c>
      <c r="AC114" t="n">
        <v>-0.051609537</v>
      </c>
      <c r="AD114" t="n">
        <v>2.220142359</v>
      </c>
      <c r="AE114" t="n">
        <v>4.708017469</v>
      </c>
      <c r="AF114" t="n">
        <v>-2.268514261</v>
      </c>
      <c r="AG114" t="n">
        <v/>
      </c>
      <c r="AH114" t="n">
        <v>1.391313202</v>
      </c>
      <c r="AI114" t="n">
        <v>1.370993416</v>
      </c>
      <c r="AJ114" t="n">
        <v>1.045183624</v>
      </c>
      <c r="AK114" t="n">
        <v/>
      </c>
      <c r="AL114" t="n">
        <v>0.530706576</v>
      </c>
      <c r="AM114" t="n">
        <v/>
      </c>
      <c r="AN114" t="n">
        <v>-1.492100144</v>
      </c>
      <c r="AO114" t="n">
        <v/>
      </c>
      <c r="AP114" t="n">
        <v/>
      </c>
      <c r="AQ114" t="n">
        <v/>
      </c>
      <c r="AR114" t="n">
        <v>-1.154452753</v>
      </c>
      <c r="AS114" t="n">
        <v/>
      </c>
      <c r="AT114" t="n">
        <v>0.7145362159999999</v>
      </c>
      <c r="AU114" t="n">
        <v>1.723782844</v>
      </c>
    </row>
    <row r="115">
      <c r="A115" t="inlineStr">
        <is>
          <t>1975-Q3</t>
        </is>
      </c>
      <c r="B115" s="107" t="n">
        <v>27668</v>
      </c>
      <c r="C115" t="n">
        <v/>
      </c>
      <c r="D115" t="n">
        <v>-1.09180734</v>
      </c>
      <c r="E115" t="n">
        <v>0.960338551</v>
      </c>
      <c r="F115" t="n">
        <v>0.507866459</v>
      </c>
      <c r="G115" t="n">
        <v/>
      </c>
      <c r="H115" t="n">
        <v>1.877954578</v>
      </c>
      <c r="I115" t="n">
        <v>-1.136946925</v>
      </c>
      <c r="J115" t="n">
        <v/>
      </c>
      <c r="K115" t="n">
        <v/>
      </c>
      <c r="L115" t="n">
        <v/>
      </c>
      <c r="M115" t="n">
        <v>1.087808729</v>
      </c>
      <c r="N115" t="n">
        <v>0.9076912539999999</v>
      </c>
      <c r="O115" t="n">
        <v/>
      </c>
      <c r="P115" t="n">
        <v>0.436846242</v>
      </c>
      <c r="Q115" t="n">
        <v/>
      </c>
      <c r="R115" t="n">
        <v/>
      </c>
      <c r="S115" t="n">
        <v>-0.915384175</v>
      </c>
      <c r="T115" t="n">
        <v>0.38735228</v>
      </c>
      <c r="U115" t="n">
        <v>1.249048</v>
      </c>
      <c r="V115" t="n">
        <v>-0.350264333</v>
      </c>
      <c r="W115" t="n">
        <v>-1.815668393</v>
      </c>
      <c r="X115" t="n">
        <v/>
      </c>
      <c r="Y115" t="n">
        <v/>
      </c>
      <c r="Z115" t="n">
        <v>0.612944177</v>
      </c>
      <c r="AA115" t="n">
        <v>0.426649868</v>
      </c>
      <c r="AB115" t="n">
        <v/>
      </c>
      <c r="AC115" t="n">
        <v>1.421426377</v>
      </c>
      <c r="AD115" t="n">
        <v>1.138138264</v>
      </c>
      <c r="AE115" t="n">
        <v>2.857939982</v>
      </c>
      <c r="AF115" t="n">
        <v>-0.960290519</v>
      </c>
      <c r="AG115" t="n">
        <v/>
      </c>
      <c r="AH115" t="n">
        <v>1.242050696</v>
      </c>
      <c r="AI115" t="n">
        <v>0.5698554850000001</v>
      </c>
      <c r="AJ115" t="n">
        <v>1.42976477</v>
      </c>
      <c r="AK115" t="n">
        <v/>
      </c>
      <c r="AL115" t="n">
        <v>1.097110242</v>
      </c>
      <c r="AM115" t="n">
        <v/>
      </c>
      <c r="AN115" t="n">
        <v>0.104980707</v>
      </c>
      <c r="AO115" t="n">
        <v/>
      </c>
      <c r="AP115" t="n">
        <v/>
      </c>
      <c r="AQ115" t="n">
        <v/>
      </c>
      <c r="AR115" t="n">
        <v>0.911620997</v>
      </c>
      <c r="AS115" t="n">
        <v/>
      </c>
      <c r="AT115" t="n">
        <v>1.711651967</v>
      </c>
      <c r="AU115" t="n">
        <v>0.8006653460000001</v>
      </c>
    </row>
    <row r="116">
      <c r="A116" t="inlineStr">
        <is>
          <t>1975-Q4</t>
        </is>
      </c>
      <c r="B116" s="107" t="n">
        <v>27760</v>
      </c>
      <c r="C116" t="n">
        <v/>
      </c>
      <c r="D116" t="n">
        <v>-1.50224469</v>
      </c>
      <c r="E116" t="n">
        <v>2.376262245</v>
      </c>
      <c r="F116" t="n">
        <v>2.127560608</v>
      </c>
      <c r="G116" t="n">
        <v/>
      </c>
      <c r="H116" t="n">
        <v>1.166484824</v>
      </c>
      <c r="I116" t="n">
        <v>-0.713896316</v>
      </c>
      <c r="J116" t="n">
        <v/>
      </c>
      <c r="K116" t="n">
        <v/>
      </c>
      <c r="L116" t="n">
        <v/>
      </c>
      <c r="M116" t="n">
        <v>1.965054968</v>
      </c>
      <c r="N116" t="n">
        <v>1.707836474</v>
      </c>
      <c r="O116" t="n">
        <v/>
      </c>
      <c r="P116" t="n">
        <v>0.7028369330000001</v>
      </c>
      <c r="Q116" t="n">
        <v/>
      </c>
      <c r="R116" t="n">
        <v/>
      </c>
      <c r="S116" t="n">
        <v>-0.970032912</v>
      </c>
      <c r="T116" t="n">
        <v>1.350335463</v>
      </c>
      <c r="U116" t="n">
        <v>1.336256</v>
      </c>
      <c r="V116" t="n">
        <v>1.145875318</v>
      </c>
      <c r="W116" t="n">
        <v>4.826948536</v>
      </c>
      <c r="X116" t="n">
        <v/>
      </c>
      <c r="Y116" t="n">
        <v/>
      </c>
      <c r="Z116" t="n">
        <v>-0.051897778</v>
      </c>
      <c r="AA116" t="n">
        <v>1.094263387</v>
      </c>
      <c r="AB116" t="n">
        <v/>
      </c>
      <c r="AC116" t="n">
        <v>1.120331647</v>
      </c>
      <c r="AD116" t="n">
        <v>1.051509853</v>
      </c>
      <c r="AE116" t="n">
        <v>3.085712348</v>
      </c>
      <c r="AF116" t="n">
        <v>0.572463046</v>
      </c>
      <c r="AG116" t="n">
        <v/>
      </c>
      <c r="AH116" t="n">
        <v>1.081194488</v>
      </c>
      <c r="AI116" t="n">
        <v>3.81341154</v>
      </c>
      <c r="AJ116" t="n">
        <v>1.799407238</v>
      </c>
      <c r="AK116" t="n">
        <v/>
      </c>
      <c r="AL116" t="n">
        <v>1.371390248</v>
      </c>
      <c r="AM116" t="n">
        <v/>
      </c>
      <c r="AN116" t="n">
        <v>2.344304561</v>
      </c>
      <c r="AO116" t="n">
        <v/>
      </c>
      <c r="AP116" t="n">
        <v/>
      </c>
      <c r="AQ116" t="n">
        <v/>
      </c>
      <c r="AR116" t="n">
        <v>1.276689307</v>
      </c>
      <c r="AS116" t="n">
        <v/>
      </c>
      <c r="AT116" t="n">
        <v>1.346524152</v>
      </c>
      <c r="AU116" t="n">
        <v>0.824466409</v>
      </c>
    </row>
    <row r="117">
      <c r="A117" t="inlineStr">
        <is>
          <t>1976-Q1</t>
        </is>
      </c>
      <c r="B117" s="107" t="n">
        <v>27851</v>
      </c>
      <c r="C117" t="n">
        <v/>
      </c>
      <c r="D117" t="n">
        <v>4.410773379</v>
      </c>
      <c r="E117" t="n">
        <v>-0.363839304</v>
      </c>
      <c r="F117" t="n">
        <v>2.074298549</v>
      </c>
      <c r="G117" t="n">
        <v/>
      </c>
      <c r="H117" t="n">
        <v>1.732839462</v>
      </c>
      <c r="I117" t="n">
        <v>-0.088898186</v>
      </c>
      <c r="J117" t="n">
        <v/>
      </c>
      <c r="K117" t="n">
        <v/>
      </c>
      <c r="L117" t="n">
        <v/>
      </c>
      <c r="M117" t="n">
        <v>0.898503341</v>
      </c>
      <c r="N117" t="n">
        <v>2.473896509</v>
      </c>
      <c r="O117" t="n">
        <v/>
      </c>
      <c r="P117" t="n">
        <v>0.993842659</v>
      </c>
      <c r="Q117" t="n">
        <v/>
      </c>
      <c r="R117" t="n">
        <v/>
      </c>
      <c r="S117" t="n">
        <v>0.373156084</v>
      </c>
      <c r="T117" t="n">
        <v>1.467728516</v>
      </c>
      <c r="U117" t="n">
        <v>1.691103</v>
      </c>
      <c r="V117" t="n">
        <v>1.653237203</v>
      </c>
      <c r="W117" t="n">
        <v>3.279608692</v>
      </c>
      <c r="X117" t="n">
        <v/>
      </c>
      <c r="Y117" t="n">
        <v/>
      </c>
      <c r="Z117" t="n">
        <v>-0.231437253</v>
      </c>
      <c r="AA117" t="n">
        <v>1.628424846</v>
      </c>
      <c r="AB117" t="n">
        <v/>
      </c>
      <c r="AC117" t="n">
        <v>1.761832697</v>
      </c>
      <c r="AD117" t="n">
        <v>0.847324585</v>
      </c>
      <c r="AE117" t="n">
        <v>2.888755135</v>
      </c>
      <c r="AF117" t="n">
        <v>1.449331581</v>
      </c>
      <c r="AG117" t="n">
        <v/>
      </c>
      <c r="AH117" t="n">
        <v>1.056566621</v>
      </c>
      <c r="AI117" t="n">
        <v>0.188830121</v>
      </c>
      <c r="AJ117" t="n">
        <v>2.150529207</v>
      </c>
      <c r="AK117" t="n">
        <v/>
      </c>
      <c r="AL117" t="n">
        <v>1.639196325</v>
      </c>
      <c r="AM117" t="n">
        <v/>
      </c>
      <c r="AN117" t="n">
        <v>2.404369543</v>
      </c>
      <c r="AO117" t="n">
        <v/>
      </c>
      <c r="AP117" t="n">
        <v/>
      </c>
      <c r="AQ117" t="n">
        <v/>
      </c>
      <c r="AR117" t="n">
        <v>-1.66619471</v>
      </c>
      <c r="AS117" t="n">
        <v/>
      </c>
      <c r="AT117" t="n">
        <v>2.248760121</v>
      </c>
      <c r="AU117" t="n">
        <v>1.314343738</v>
      </c>
    </row>
    <row r="118">
      <c r="A118" t="inlineStr">
        <is>
          <t>1976-Q2</t>
        </is>
      </c>
      <c r="B118" s="107" t="n">
        <v>27942</v>
      </c>
      <c r="C118" t="n">
        <v/>
      </c>
      <c r="D118" t="n">
        <v>0.304470954</v>
      </c>
      <c r="E118" t="n">
        <v>1.845980491</v>
      </c>
      <c r="F118" t="n">
        <v>2.019118099</v>
      </c>
      <c r="G118" t="n">
        <v/>
      </c>
      <c r="H118" t="n">
        <v>2.163803961</v>
      </c>
      <c r="I118" t="n">
        <v>0.512927876</v>
      </c>
      <c r="J118" t="n">
        <v/>
      </c>
      <c r="K118" t="n">
        <v/>
      </c>
      <c r="L118" t="n">
        <v/>
      </c>
      <c r="M118" t="n">
        <v>1.485514999</v>
      </c>
      <c r="N118" t="n">
        <v>1.810285415</v>
      </c>
      <c r="O118" t="n">
        <v/>
      </c>
      <c r="P118" t="n">
        <v>1.154238868</v>
      </c>
      <c r="Q118" t="n">
        <v/>
      </c>
      <c r="R118" t="n">
        <v/>
      </c>
      <c r="S118" t="n">
        <v>0.534417659</v>
      </c>
      <c r="T118" t="n">
        <v>1.192260978</v>
      </c>
      <c r="U118" t="n">
        <v>0.921384</v>
      </c>
      <c r="V118" t="n">
        <v>-0.129451608</v>
      </c>
      <c r="W118" t="n">
        <v>0.514363354</v>
      </c>
      <c r="X118" t="n">
        <v/>
      </c>
      <c r="Y118" t="n">
        <v/>
      </c>
      <c r="Z118" t="n">
        <v>0.112618598</v>
      </c>
      <c r="AA118" t="n">
        <v>1.983566671</v>
      </c>
      <c r="AB118" t="n">
        <v/>
      </c>
      <c r="AC118" t="n">
        <v>1.807450363</v>
      </c>
      <c r="AD118" t="n">
        <v>0.590800499</v>
      </c>
      <c r="AE118" t="n">
        <v>4.80717592</v>
      </c>
      <c r="AF118" t="n">
        <v>1.531738731</v>
      </c>
      <c r="AG118" t="n">
        <v/>
      </c>
      <c r="AH118" t="n">
        <v>1.046903478</v>
      </c>
      <c r="AI118" t="n">
        <v>0.099520108</v>
      </c>
      <c r="AJ118" t="n">
        <v>1.718176292</v>
      </c>
      <c r="AK118" t="n">
        <v/>
      </c>
      <c r="AL118" t="n">
        <v>1.025459848</v>
      </c>
      <c r="AM118" t="n">
        <v/>
      </c>
      <c r="AN118" t="n">
        <v>2.487970122</v>
      </c>
      <c r="AO118" t="n">
        <v/>
      </c>
      <c r="AP118" t="n">
        <v/>
      </c>
      <c r="AQ118" t="n">
        <v/>
      </c>
      <c r="AR118" t="n">
        <v>1.766900116</v>
      </c>
      <c r="AS118" t="n">
        <v/>
      </c>
      <c r="AT118" t="n">
        <v>0.733700577</v>
      </c>
      <c r="AU118" t="n">
        <v>-1.995152109</v>
      </c>
    </row>
    <row r="119">
      <c r="A119" t="inlineStr">
        <is>
          <t>1976-Q3</t>
        </is>
      </c>
      <c r="B119" s="107" t="n">
        <v>28034</v>
      </c>
      <c r="C119" t="n">
        <v/>
      </c>
      <c r="D119" t="n">
        <v>0.812627544</v>
      </c>
      <c r="E119" t="n">
        <v>2.295540148</v>
      </c>
      <c r="F119" t="n">
        <v>0.8736708480000001</v>
      </c>
      <c r="G119" t="n">
        <v/>
      </c>
      <c r="H119" t="n">
        <v>0.445344075</v>
      </c>
      <c r="I119" t="n">
        <v>1.658508644</v>
      </c>
      <c r="J119" t="n">
        <v/>
      </c>
      <c r="K119" t="n">
        <v/>
      </c>
      <c r="L119" t="n">
        <v/>
      </c>
      <c r="M119" t="n">
        <v>0.029868819</v>
      </c>
      <c r="N119" t="n">
        <v>1.184947516</v>
      </c>
      <c r="O119" t="n">
        <v/>
      </c>
      <c r="P119" t="n">
        <v>0.969907983</v>
      </c>
      <c r="Q119" t="n">
        <v/>
      </c>
      <c r="R119" t="n">
        <v/>
      </c>
      <c r="S119" t="n">
        <v>1.115155717</v>
      </c>
      <c r="T119" t="n">
        <v>0.472915631</v>
      </c>
      <c r="U119" t="n">
        <v>0.82308</v>
      </c>
      <c r="V119" t="n">
        <v>1.272004491</v>
      </c>
      <c r="W119" t="n">
        <v>-2.48720672</v>
      </c>
      <c r="X119" t="n">
        <v/>
      </c>
      <c r="Y119" t="n">
        <v/>
      </c>
      <c r="Z119" t="n">
        <v>0.941474492</v>
      </c>
      <c r="AA119" t="n">
        <v>2.218361227</v>
      </c>
      <c r="AB119" t="n">
        <v/>
      </c>
      <c r="AC119" t="n">
        <v>2.541459042</v>
      </c>
      <c r="AD119" t="n">
        <v>1.406011224</v>
      </c>
      <c r="AE119" t="n">
        <v>1.940145549</v>
      </c>
      <c r="AF119" t="n">
        <v>0.974239657</v>
      </c>
      <c r="AG119" t="n">
        <v/>
      </c>
      <c r="AH119" t="n">
        <v>0.820824926</v>
      </c>
      <c r="AI119" t="n">
        <v>3.533003443</v>
      </c>
      <c r="AJ119" t="n">
        <v>1.308634174</v>
      </c>
      <c r="AK119" t="n">
        <v/>
      </c>
      <c r="AL119" t="n">
        <v>0.884748617</v>
      </c>
      <c r="AM119" t="n">
        <v/>
      </c>
      <c r="AN119" t="n">
        <v>0.463687651</v>
      </c>
      <c r="AO119" t="n">
        <v/>
      </c>
      <c r="AP119" t="n">
        <v/>
      </c>
      <c r="AQ119" t="n">
        <v/>
      </c>
      <c r="AR119" t="n">
        <v>-0.541325725</v>
      </c>
      <c r="AS119" t="n">
        <v/>
      </c>
      <c r="AT119" t="n">
        <v>0.548705764</v>
      </c>
      <c r="AU119" t="n">
        <v>2.379248149</v>
      </c>
    </row>
    <row r="120">
      <c r="A120" t="inlineStr">
        <is>
          <t>1976-Q4</t>
        </is>
      </c>
      <c r="B120" s="107" t="n">
        <v>28126</v>
      </c>
      <c r="C120" t="n">
        <v/>
      </c>
      <c r="D120" t="n">
        <v>0.87935688</v>
      </c>
      <c r="E120" t="n">
        <v>1.361666685</v>
      </c>
      <c r="F120" t="n">
        <v>-0.278586554</v>
      </c>
      <c r="G120" t="n">
        <v/>
      </c>
      <c r="H120" t="n">
        <v>0.206075061</v>
      </c>
      <c r="I120" t="n">
        <v>1.119221411</v>
      </c>
      <c r="J120" t="n">
        <v/>
      </c>
      <c r="K120" t="n">
        <v/>
      </c>
      <c r="L120" t="n">
        <v/>
      </c>
      <c r="M120" t="n">
        <v>1.85157959</v>
      </c>
      <c r="N120" t="n">
        <v>0.584883391</v>
      </c>
      <c r="O120" t="n">
        <v/>
      </c>
      <c r="P120" t="n">
        <v>0.767893364</v>
      </c>
      <c r="Q120" t="n">
        <v/>
      </c>
      <c r="R120" t="n">
        <v/>
      </c>
      <c r="S120" t="n">
        <v>0.834285714</v>
      </c>
      <c r="T120" t="n">
        <v>1.245840306</v>
      </c>
      <c r="U120" t="n">
        <v>0.988864</v>
      </c>
      <c r="V120" t="n">
        <v>2.118166659</v>
      </c>
      <c r="W120" t="n">
        <v>7.826207497</v>
      </c>
      <c r="X120" t="n">
        <v/>
      </c>
      <c r="Y120" t="n">
        <v/>
      </c>
      <c r="Z120" t="n">
        <v>1.853283189</v>
      </c>
      <c r="AA120" t="n">
        <v>2.318748639</v>
      </c>
      <c r="AB120" t="n">
        <v/>
      </c>
      <c r="AC120" t="n">
        <v>1.734669506</v>
      </c>
      <c r="AD120" t="n">
        <v>0.118914049</v>
      </c>
      <c r="AE120" t="n">
        <v>1.124698181</v>
      </c>
      <c r="AF120" t="n">
        <v>0.275677506</v>
      </c>
      <c r="AG120" t="n">
        <v/>
      </c>
      <c r="AH120" t="n">
        <v>0.591004129</v>
      </c>
      <c r="AI120" t="n">
        <v>-1.692871864</v>
      </c>
      <c r="AJ120" t="n">
        <v>0.916125955</v>
      </c>
      <c r="AK120" t="n">
        <v/>
      </c>
      <c r="AL120" t="n">
        <v>0.952505117</v>
      </c>
      <c r="AM120" t="n">
        <v/>
      </c>
      <c r="AN120" t="n">
        <v>3.207685852</v>
      </c>
      <c r="AO120" t="n">
        <v/>
      </c>
      <c r="AP120" t="n">
        <v/>
      </c>
      <c r="AQ120" t="n">
        <v/>
      </c>
      <c r="AR120" t="n">
        <v>-0.462996332</v>
      </c>
      <c r="AS120" t="n">
        <v/>
      </c>
      <c r="AT120" t="n">
        <v>0.724850978</v>
      </c>
      <c r="AU120" t="n">
        <v>-0.7308368240000001</v>
      </c>
    </row>
    <row r="121">
      <c r="A121" t="inlineStr">
        <is>
          <t>1977-Q1</t>
        </is>
      </c>
      <c r="B121" s="107" t="n">
        <v>28216</v>
      </c>
      <c r="C121" t="n">
        <v/>
      </c>
      <c r="D121" t="n">
        <v>-0.550201381</v>
      </c>
      <c r="E121" t="n">
        <v>0.186590103</v>
      </c>
      <c r="F121" t="n">
        <v>-0.278875151</v>
      </c>
      <c r="G121" t="n">
        <v/>
      </c>
      <c r="H121" t="n">
        <v>1.422042393</v>
      </c>
      <c r="I121" t="n">
        <v>-0.058254394</v>
      </c>
      <c r="J121" t="n">
        <v/>
      </c>
      <c r="K121" t="n">
        <v/>
      </c>
      <c r="L121" t="n">
        <v/>
      </c>
      <c r="M121" t="n">
        <v>0.853943577</v>
      </c>
      <c r="N121" t="n">
        <v>-1.198126636</v>
      </c>
      <c r="O121" t="n">
        <v/>
      </c>
      <c r="P121" t="n">
        <v>0.792235802</v>
      </c>
      <c r="Q121" t="n">
        <v/>
      </c>
      <c r="R121" t="n">
        <v/>
      </c>
      <c r="S121" t="n">
        <v>-0.8613850159999999</v>
      </c>
      <c r="T121" t="n">
        <v>1.105448055</v>
      </c>
      <c r="U121" t="n">
        <v>1.105962</v>
      </c>
      <c r="V121" t="n">
        <v>0.018535681</v>
      </c>
      <c r="W121" t="n">
        <v>-0.466491579</v>
      </c>
      <c r="X121" t="n">
        <v/>
      </c>
      <c r="Y121" t="n">
        <v/>
      </c>
      <c r="Z121" t="n">
        <v>2.400262301</v>
      </c>
      <c r="AA121" t="n">
        <v>2.267105536</v>
      </c>
      <c r="AB121" t="n">
        <v/>
      </c>
      <c r="AC121" t="n">
        <v>0.039609619</v>
      </c>
      <c r="AD121" t="n">
        <v>2.187257002</v>
      </c>
      <c r="AE121" t="n">
        <v>1.000940879</v>
      </c>
      <c r="AF121" t="n">
        <v>-0.050324567</v>
      </c>
      <c r="AG121" t="n">
        <v/>
      </c>
      <c r="AH121" t="n">
        <v>0.589218726</v>
      </c>
      <c r="AI121" t="n">
        <v>1.21384212</v>
      </c>
      <c r="AJ121" t="n">
        <v>0.535594358</v>
      </c>
      <c r="AK121" t="n">
        <v/>
      </c>
      <c r="AL121" t="n">
        <v>0.906941806</v>
      </c>
      <c r="AM121" t="n">
        <v/>
      </c>
      <c r="AN121" t="n">
        <v>0.921982026</v>
      </c>
      <c r="AO121" t="n">
        <v/>
      </c>
      <c r="AP121" t="n">
        <v/>
      </c>
      <c r="AQ121" t="n">
        <v/>
      </c>
      <c r="AR121" t="n">
        <v>-2.032863483</v>
      </c>
      <c r="AS121" t="n">
        <v/>
      </c>
      <c r="AT121" t="n">
        <v>1.181483598</v>
      </c>
      <c r="AU121" t="n">
        <v>-0.218388293</v>
      </c>
    </row>
    <row r="122">
      <c r="A122" t="inlineStr">
        <is>
          <t>1977-Q2</t>
        </is>
      </c>
      <c r="B122" s="107" t="n">
        <v>28307</v>
      </c>
      <c r="C122" t="n">
        <v/>
      </c>
      <c r="D122" t="n">
        <v>1.410956427</v>
      </c>
      <c r="E122" t="n">
        <v>1.426332979</v>
      </c>
      <c r="F122" t="n">
        <v>-0.275710685</v>
      </c>
      <c r="G122" t="n">
        <v/>
      </c>
      <c r="H122" t="n">
        <v>0.537242437</v>
      </c>
      <c r="I122" t="n">
        <v>-0.005068553</v>
      </c>
      <c r="J122" t="n">
        <v/>
      </c>
      <c r="K122" t="n">
        <v/>
      </c>
      <c r="L122" t="n">
        <v/>
      </c>
      <c r="M122" t="n">
        <v>0.566949156</v>
      </c>
      <c r="N122" t="n">
        <v>-0.069879794</v>
      </c>
      <c r="O122" t="n">
        <v/>
      </c>
      <c r="P122" t="n">
        <v>0.453631189</v>
      </c>
      <c r="Q122" t="n">
        <v/>
      </c>
      <c r="R122" t="n">
        <v/>
      </c>
      <c r="S122" t="n">
        <v>-0.120041157</v>
      </c>
      <c r="T122" t="n">
        <v>0.434796121</v>
      </c>
      <c r="U122" t="n">
        <v>0.9754969999999999</v>
      </c>
      <c r="V122" t="n">
        <v>-0.717021427</v>
      </c>
      <c r="W122" t="n">
        <v>-3.651628379</v>
      </c>
      <c r="X122" t="n">
        <v/>
      </c>
      <c r="Y122" t="n">
        <v/>
      </c>
      <c r="Z122" t="n">
        <v>2.549489505</v>
      </c>
      <c r="AA122" t="n">
        <v>2.108320871</v>
      </c>
      <c r="AB122" t="n">
        <v/>
      </c>
      <c r="AC122" t="n">
        <v>-0.55686306</v>
      </c>
      <c r="AD122" t="n">
        <v>0.703787517</v>
      </c>
      <c r="AE122" t="n">
        <v>5.073162158</v>
      </c>
      <c r="AF122" t="n">
        <v>0.036882423</v>
      </c>
      <c r="AG122" t="n">
        <v/>
      </c>
      <c r="AH122" t="n">
        <v>0.574541288</v>
      </c>
      <c r="AI122" t="n">
        <v>0.013692467</v>
      </c>
      <c r="AJ122" t="n">
        <v>0.71004957</v>
      </c>
      <c r="AK122" t="n">
        <v/>
      </c>
      <c r="AL122" t="n">
        <v>0.873061982</v>
      </c>
      <c r="AM122" t="n">
        <v/>
      </c>
      <c r="AN122" t="n">
        <v>0.889026235</v>
      </c>
      <c r="AO122" t="n">
        <v/>
      </c>
      <c r="AP122" t="n">
        <v/>
      </c>
      <c r="AQ122" t="n">
        <v/>
      </c>
      <c r="AR122" t="n">
        <v>1.010680614</v>
      </c>
      <c r="AS122" t="n">
        <v/>
      </c>
      <c r="AT122" t="n">
        <v>1.944113078</v>
      </c>
      <c r="AU122" t="n">
        <v>0.09606388</v>
      </c>
    </row>
    <row r="123">
      <c r="A123" t="inlineStr">
        <is>
          <t>1977-Q3</t>
        </is>
      </c>
      <c r="B123" s="107" t="n">
        <v>28399</v>
      </c>
      <c r="C123" t="n">
        <v/>
      </c>
      <c r="D123" t="n">
        <v>-0.424315034</v>
      </c>
      <c r="E123" t="n">
        <v>0.315146692</v>
      </c>
      <c r="F123" t="n">
        <v>0.312929842</v>
      </c>
      <c r="G123" t="n">
        <v/>
      </c>
      <c r="H123" t="n">
        <v>0.528995067</v>
      </c>
      <c r="I123" t="n">
        <v>0.780596599</v>
      </c>
      <c r="J123" t="n">
        <v/>
      </c>
      <c r="K123" t="n">
        <v/>
      </c>
      <c r="L123" t="n">
        <v/>
      </c>
      <c r="M123" t="n">
        <v>-0.028904963</v>
      </c>
      <c r="N123" t="n">
        <v>3.290039473</v>
      </c>
      <c r="O123" t="n">
        <v/>
      </c>
      <c r="P123" t="n">
        <v>0.332296681</v>
      </c>
      <c r="Q123" t="n">
        <v/>
      </c>
      <c r="R123" t="n">
        <v/>
      </c>
      <c r="S123" t="n">
        <v>0.6180964920000001</v>
      </c>
      <c r="T123" t="n">
        <v>0.458443057</v>
      </c>
      <c r="U123" t="n">
        <v>0.928157</v>
      </c>
      <c r="V123" t="n">
        <v>0.680867706</v>
      </c>
      <c r="W123" t="n">
        <v>0.360042899</v>
      </c>
      <c r="X123" t="n">
        <v/>
      </c>
      <c r="Y123" t="n">
        <v/>
      </c>
      <c r="Z123" t="n">
        <v>2.433546544</v>
      </c>
      <c r="AA123" t="n">
        <v>1.896654856</v>
      </c>
      <c r="AB123" t="n">
        <v/>
      </c>
      <c r="AC123" t="n">
        <v>-0.9353476040000001</v>
      </c>
      <c r="AD123" t="n">
        <v>0.681686576</v>
      </c>
      <c r="AE123" t="n">
        <v>6.0092059</v>
      </c>
      <c r="AF123" t="n">
        <v>0.50605461</v>
      </c>
      <c r="AG123" t="n">
        <v/>
      </c>
      <c r="AH123" t="n">
        <v>1.396296342</v>
      </c>
      <c r="AI123" t="n">
        <v>0.825347154</v>
      </c>
      <c r="AJ123" t="n">
        <v>0.88106137</v>
      </c>
      <c r="AK123" t="n">
        <v/>
      </c>
      <c r="AL123" t="n">
        <v>0.92247382</v>
      </c>
      <c r="AM123" t="n">
        <v/>
      </c>
      <c r="AN123" t="n">
        <v>1.004016479</v>
      </c>
      <c r="AO123" t="n">
        <v/>
      </c>
      <c r="AP123" t="n">
        <v/>
      </c>
      <c r="AQ123" t="n">
        <v/>
      </c>
      <c r="AR123" t="n">
        <v>0.143075842</v>
      </c>
      <c r="AS123" t="n">
        <v/>
      </c>
      <c r="AT123" t="n">
        <v>1.804355899</v>
      </c>
      <c r="AU123" t="n">
        <v>-0.385872981</v>
      </c>
    </row>
    <row r="124">
      <c r="A124" t="inlineStr">
        <is>
          <t>1977-Q4</t>
        </is>
      </c>
      <c r="B124" s="107" t="n">
        <v>28491</v>
      </c>
      <c r="C124" t="n">
        <v/>
      </c>
      <c r="D124" t="n">
        <v>-0.307954537</v>
      </c>
      <c r="E124" t="n">
        <v>2.305531958</v>
      </c>
      <c r="F124" t="n">
        <v>0.94035917</v>
      </c>
      <c r="G124" t="n">
        <v/>
      </c>
      <c r="H124" t="n">
        <v>1.58111274</v>
      </c>
      <c r="I124" t="n">
        <v>-0.062869357</v>
      </c>
      <c r="J124" t="n">
        <v/>
      </c>
      <c r="K124" t="n">
        <v/>
      </c>
      <c r="L124" t="n">
        <v/>
      </c>
      <c r="M124" t="n">
        <v>1.720636701</v>
      </c>
      <c r="N124" t="n">
        <v>-0.905907355</v>
      </c>
      <c r="O124" t="n">
        <v/>
      </c>
      <c r="P124" t="n">
        <v>0.668053727</v>
      </c>
      <c r="Q124" t="n">
        <v/>
      </c>
      <c r="R124" t="n">
        <v/>
      </c>
      <c r="S124" t="n">
        <v>-0.233206302</v>
      </c>
      <c r="T124" t="n">
        <v>0.228252482</v>
      </c>
      <c r="U124" t="n">
        <v>0.709605</v>
      </c>
      <c r="V124" t="n">
        <v>1.703459448</v>
      </c>
      <c r="W124" t="n">
        <v>6.031982291</v>
      </c>
      <c r="X124" t="n">
        <v/>
      </c>
      <c r="Y124" t="n">
        <v/>
      </c>
      <c r="Z124" t="n">
        <v>2.132613612</v>
      </c>
      <c r="AA124" t="n">
        <v>1.647309678</v>
      </c>
      <c r="AB124" t="n">
        <v/>
      </c>
      <c r="AC124" t="n">
        <v>0.856853295</v>
      </c>
      <c r="AD124" t="n">
        <v>1.356456852</v>
      </c>
      <c r="AE124" t="n">
        <v>3.768176164</v>
      </c>
      <c r="AF124" t="n">
        <v>1.047038045</v>
      </c>
      <c r="AG124" t="n">
        <v/>
      </c>
      <c r="AH124" t="n">
        <v>2.24138602</v>
      </c>
      <c r="AI124" t="n">
        <v>0.9970515210000001</v>
      </c>
      <c r="AJ124" t="n">
        <v>1.047887281</v>
      </c>
      <c r="AK124" t="n">
        <v/>
      </c>
      <c r="AL124" t="n">
        <v>0.8149124169999999</v>
      </c>
      <c r="AM124" t="n">
        <v/>
      </c>
      <c r="AN124" t="n">
        <v>0.702947075</v>
      </c>
      <c r="AO124" t="n">
        <v/>
      </c>
      <c r="AP124" t="n">
        <v/>
      </c>
      <c r="AQ124" t="n">
        <v/>
      </c>
      <c r="AR124" t="n">
        <v>-0.591868443</v>
      </c>
      <c r="AS124" t="n">
        <v/>
      </c>
      <c r="AT124" t="n">
        <v>0.002185772</v>
      </c>
      <c r="AU124" t="n">
        <v>0.5135061909999999</v>
      </c>
    </row>
    <row r="125">
      <c r="A125" t="inlineStr">
        <is>
          <t>1978-Q1</t>
        </is>
      </c>
      <c r="B125" s="107" t="n">
        <v>28581</v>
      </c>
      <c r="C125" t="n">
        <v/>
      </c>
      <c r="D125" t="n">
        <v>0.700426003</v>
      </c>
      <c r="E125" t="n">
        <v>-4.375787184</v>
      </c>
      <c r="F125" t="n">
        <v>0.92598361</v>
      </c>
      <c r="G125" t="n">
        <v/>
      </c>
      <c r="H125" t="n">
        <v>0.840853027</v>
      </c>
      <c r="I125" t="n">
        <v>-0.012581782</v>
      </c>
      <c r="J125" t="n">
        <v/>
      </c>
      <c r="K125" t="n">
        <v/>
      </c>
      <c r="L125" t="n">
        <v/>
      </c>
      <c r="M125" t="n">
        <v>0.412115378</v>
      </c>
      <c r="N125" t="n">
        <v>-1.907817704</v>
      </c>
      <c r="O125" t="n">
        <v/>
      </c>
      <c r="P125" t="n">
        <v>0.624253076</v>
      </c>
      <c r="Q125" t="n">
        <v/>
      </c>
      <c r="R125" t="n">
        <v/>
      </c>
      <c r="S125" t="n">
        <v>1.083238312</v>
      </c>
      <c r="T125" t="n">
        <v>1.389138596</v>
      </c>
      <c r="U125" t="n">
        <v>0.829511</v>
      </c>
      <c r="V125" t="n">
        <v>0.883254195</v>
      </c>
      <c r="W125" t="n">
        <v>3.917933951</v>
      </c>
      <c r="X125" t="n">
        <v/>
      </c>
      <c r="Y125" t="n">
        <v/>
      </c>
      <c r="Z125" t="n">
        <v>1.764624843</v>
      </c>
      <c r="AA125" t="n">
        <v>1.410812098</v>
      </c>
      <c r="AB125" t="n">
        <v/>
      </c>
      <c r="AC125" t="n">
        <v>1.634293921</v>
      </c>
      <c r="AD125" t="n">
        <v>1.889184999</v>
      </c>
      <c r="AE125" t="n">
        <v>-0.809499069</v>
      </c>
      <c r="AF125" t="n">
        <v>1.311099693</v>
      </c>
      <c r="AG125" t="n">
        <v/>
      </c>
      <c r="AH125" t="n">
        <v>2.178848345</v>
      </c>
      <c r="AI125" t="n">
        <v>0.253524373</v>
      </c>
      <c r="AJ125" t="n">
        <v>1.532138371</v>
      </c>
      <c r="AK125" t="n">
        <v/>
      </c>
      <c r="AL125" t="n">
        <v>0.803633217</v>
      </c>
      <c r="AM125" t="n">
        <v/>
      </c>
      <c r="AN125" t="n">
        <v>0.481313774</v>
      </c>
      <c r="AO125" t="n">
        <v/>
      </c>
      <c r="AP125" t="n">
        <v/>
      </c>
      <c r="AQ125" t="n">
        <v/>
      </c>
      <c r="AR125" t="n">
        <v>1.622628005</v>
      </c>
      <c r="AS125" t="n">
        <v/>
      </c>
      <c r="AT125" t="n">
        <v>0.319163241</v>
      </c>
      <c r="AU125" t="n">
        <v>1.644337137</v>
      </c>
    </row>
    <row r="126">
      <c r="A126" t="inlineStr">
        <is>
          <t>1978-Q2</t>
        </is>
      </c>
      <c r="B126" s="107" t="n">
        <v>28672</v>
      </c>
      <c r="C126" t="n">
        <v/>
      </c>
      <c r="D126" t="n">
        <v>0.8168302710000001</v>
      </c>
      <c r="E126" t="n">
        <v>1.884672549</v>
      </c>
      <c r="F126" t="n">
        <v>0.908158404</v>
      </c>
      <c r="G126" t="n">
        <v/>
      </c>
      <c r="H126" t="n">
        <v>0.685996478</v>
      </c>
      <c r="I126" t="n">
        <v>0.226500567</v>
      </c>
      <c r="J126" t="n">
        <v/>
      </c>
      <c r="K126" t="n">
        <v/>
      </c>
      <c r="L126" t="n">
        <v/>
      </c>
      <c r="M126" t="n">
        <v>0.396382149</v>
      </c>
      <c r="N126" t="n">
        <v>2.178223156</v>
      </c>
      <c r="O126" t="n">
        <v/>
      </c>
      <c r="P126" t="n">
        <v>0.202601685</v>
      </c>
      <c r="Q126" t="n">
        <v/>
      </c>
      <c r="R126" t="n">
        <v/>
      </c>
      <c r="S126" t="n">
        <v>0.705019741</v>
      </c>
      <c r="T126" t="n">
        <v>1.662617478</v>
      </c>
      <c r="U126" t="n">
        <v>2.282302</v>
      </c>
      <c r="V126" t="n">
        <v>1.168508775</v>
      </c>
      <c r="W126" t="n">
        <v>-1.586366943</v>
      </c>
      <c r="X126" t="n">
        <v/>
      </c>
      <c r="Y126" t="n">
        <v/>
      </c>
      <c r="Z126" t="n">
        <v>1.42637876</v>
      </c>
      <c r="AA126" t="n">
        <v>1.247333233</v>
      </c>
      <c r="AB126" t="n">
        <v/>
      </c>
      <c r="AC126" t="n">
        <v>1.729759053</v>
      </c>
      <c r="AD126" t="n">
        <v>0.972000933</v>
      </c>
      <c r="AE126" t="n">
        <v>3.082241658</v>
      </c>
      <c r="AF126" t="n">
        <v>1.285131054</v>
      </c>
      <c r="AG126" t="n">
        <v/>
      </c>
      <c r="AH126" t="n">
        <v>2.110729874</v>
      </c>
      <c r="AI126" t="n">
        <v>0.183915093</v>
      </c>
      <c r="AJ126" t="n">
        <v>1.621609917</v>
      </c>
      <c r="AK126" t="n">
        <v/>
      </c>
      <c r="AL126" t="n">
        <v>1.981343146</v>
      </c>
      <c r="AM126" t="n">
        <v/>
      </c>
      <c r="AN126" t="n">
        <v>0.477280992</v>
      </c>
      <c r="AO126" t="n">
        <v/>
      </c>
      <c r="AP126" t="n">
        <v/>
      </c>
      <c r="AQ126" t="n">
        <v/>
      </c>
      <c r="AR126" t="n">
        <v>1.557888566</v>
      </c>
      <c r="AS126" t="n">
        <v/>
      </c>
      <c r="AT126" t="n">
        <v>3.864270188</v>
      </c>
      <c r="AU126" t="n">
        <v>1.932724731</v>
      </c>
    </row>
    <row r="127">
      <c r="A127" t="inlineStr">
        <is>
          <t>1978-Q3</t>
        </is>
      </c>
      <c r="B127" s="107" t="n">
        <v>28764</v>
      </c>
      <c r="C127" t="n">
        <v/>
      </c>
      <c r="D127" t="n">
        <v>1.522774393</v>
      </c>
      <c r="E127" t="n">
        <v>0.657607036</v>
      </c>
      <c r="F127" t="n">
        <v>0.644272881</v>
      </c>
      <c r="G127" t="n">
        <v/>
      </c>
      <c r="H127" t="n">
        <v>0.954509352</v>
      </c>
      <c r="I127" t="n">
        <v>0.035153798</v>
      </c>
      <c r="J127" t="n">
        <v/>
      </c>
      <c r="K127" t="n">
        <v/>
      </c>
      <c r="L127" t="n">
        <v/>
      </c>
      <c r="M127" t="n">
        <v>1.311340647</v>
      </c>
      <c r="N127" t="n">
        <v>1.622225334</v>
      </c>
      <c r="O127" t="n">
        <v/>
      </c>
      <c r="P127" t="n">
        <v>-0.122709652</v>
      </c>
      <c r="Q127" t="n">
        <v/>
      </c>
      <c r="R127" t="n">
        <v/>
      </c>
      <c r="S127" t="n">
        <v>0.436852422</v>
      </c>
      <c r="T127" t="n">
        <v>-0.087958221</v>
      </c>
      <c r="U127" t="n">
        <v>0.987209</v>
      </c>
      <c r="V127" t="n">
        <v>1.377849789</v>
      </c>
      <c r="W127" t="n">
        <v>-3.179882448</v>
      </c>
      <c r="X127" t="n">
        <v/>
      </c>
      <c r="Y127" t="n">
        <v/>
      </c>
      <c r="Z127" t="n">
        <v>1.090713181</v>
      </c>
      <c r="AA127" t="n">
        <v>1.142055205</v>
      </c>
      <c r="AB127" t="n">
        <v/>
      </c>
      <c r="AC127" t="n">
        <v>0.526216337</v>
      </c>
      <c r="AD127" t="n">
        <v>1.293282486</v>
      </c>
      <c r="AE127" t="n">
        <v>1.859288012</v>
      </c>
      <c r="AF127" t="n">
        <v>1.0318009</v>
      </c>
      <c r="AG127" t="n">
        <v/>
      </c>
      <c r="AH127" t="n">
        <v>2.237664759</v>
      </c>
      <c r="AI127" t="n">
        <v>0.935097717</v>
      </c>
      <c r="AJ127" t="n">
        <v>1.199691934</v>
      </c>
      <c r="AK127" t="n">
        <v/>
      </c>
      <c r="AL127" t="n">
        <v>0.90137868</v>
      </c>
      <c r="AM127" t="n">
        <v/>
      </c>
      <c r="AN127" t="n">
        <v>0.536667144</v>
      </c>
      <c r="AO127" t="n">
        <v/>
      </c>
      <c r="AP127" t="n">
        <v/>
      </c>
      <c r="AQ127" t="n">
        <v/>
      </c>
      <c r="AR127" t="n">
        <v>-2.062251777</v>
      </c>
      <c r="AS127" t="n">
        <v/>
      </c>
      <c r="AT127" t="n">
        <v>1.005517127</v>
      </c>
      <c r="AU127" t="n">
        <v>-1.07584401</v>
      </c>
    </row>
    <row r="128">
      <c r="A128" t="inlineStr">
        <is>
          <t>1978-Q4</t>
        </is>
      </c>
      <c r="B128" s="107" t="n">
        <v>28856</v>
      </c>
      <c r="C128" t="n">
        <v/>
      </c>
      <c r="D128" t="n">
        <v>0.83987928</v>
      </c>
      <c r="E128" t="n">
        <v>0.665147304</v>
      </c>
      <c r="F128" t="n">
        <v>0.363560447</v>
      </c>
      <c r="G128" t="n">
        <v/>
      </c>
      <c r="H128" t="n">
        <v>0.87695671</v>
      </c>
      <c r="I128" t="n">
        <v>0.386555887</v>
      </c>
      <c r="J128" t="n">
        <v/>
      </c>
      <c r="K128" t="n">
        <v/>
      </c>
      <c r="L128" t="n">
        <v/>
      </c>
      <c r="M128" t="n">
        <v>1.169104613</v>
      </c>
      <c r="N128" t="n">
        <v>0.198663907</v>
      </c>
      <c r="O128" t="n">
        <v/>
      </c>
      <c r="P128" t="n">
        <v>-0.147990953</v>
      </c>
      <c r="Q128" t="n">
        <v/>
      </c>
      <c r="R128" t="n">
        <v/>
      </c>
      <c r="S128" t="n">
        <v>2.174761613</v>
      </c>
      <c r="T128" t="n">
        <v>0.851110816</v>
      </c>
      <c r="U128" t="n">
        <v>1.257638</v>
      </c>
      <c r="V128" t="n">
        <v>0.903984664</v>
      </c>
      <c r="W128" t="n">
        <v>9.64212363</v>
      </c>
      <c r="X128" t="n">
        <v/>
      </c>
      <c r="Y128" t="n">
        <v/>
      </c>
      <c r="Z128" t="n">
        <v>0.799293581</v>
      </c>
      <c r="AA128" t="n">
        <v>1.091053182</v>
      </c>
      <c r="AB128" t="n">
        <v/>
      </c>
      <c r="AC128" t="n">
        <v>1.52383092</v>
      </c>
      <c r="AD128" t="n">
        <v>1.443061634</v>
      </c>
      <c r="AE128" t="n">
        <v>4.797352379</v>
      </c>
      <c r="AF128" t="n">
        <v>0.696244528</v>
      </c>
      <c r="AG128" t="n">
        <v/>
      </c>
      <c r="AH128" t="n">
        <v>2.35397061</v>
      </c>
      <c r="AI128" t="n">
        <v>1.756247277</v>
      </c>
      <c r="AJ128" t="n">
        <v>0.131752306</v>
      </c>
      <c r="AK128" t="n">
        <v/>
      </c>
      <c r="AL128" t="n">
        <v>1.316284543</v>
      </c>
      <c r="AM128" t="n">
        <v/>
      </c>
      <c r="AN128" t="n">
        <v>1.716846424</v>
      </c>
      <c r="AO128" t="n">
        <v/>
      </c>
      <c r="AP128" t="n">
        <v/>
      </c>
      <c r="AQ128" t="n">
        <v/>
      </c>
      <c r="AR128" t="n">
        <v>1.628870517</v>
      </c>
      <c r="AS128" t="n">
        <v/>
      </c>
      <c r="AT128" t="n">
        <v>1.344143064</v>
      </c>
      <c r="AU128" t="n">
        <v>0.910144681</v>
      </c>
    </row>
    <row r="129">
      <c r="A129" t="inlineStr">
        <is>
          <t>1979-Q1</t>
        </is>
      </c>
      <c r="B129" s="107" t="n">
        <v>28946</v>
      </c>
      <c r="C129" t="n">
        <v/>
      </c>
      <c r="D129" t="n">
        <v>2.73296562</v>
      </c>
      <c r="E129" t="n">
        <v>2.316319435</v>
      </c>
      <c r="F129" t="n">
        <v>0.360280483</v>
      </c>
      <c r="G129" t="n">
        <v/>
      </c>
      <c r="H129" t="n">
        <v>0.831951715</v>
      </c>
      <c r="I129" t="n">
        <v>0.725126897</v>
      </c>
      <c r="J129" t="n">
        <v/>
      </c>
      <c r="K129" t="n">
        <v/>
      </c>
      <c r="L129" t="n">
        <v/>
      </c>
      <c r="M129" t="n">
        <v>0.123655596</v>
      </c>
      <c r="N129" t="n">
        <v>0.922835579</v>
      </c>
      <c r="O129" t="n">
        <v/>
      </c>
      <c r="P129" t="n">
        <v>-0.159395973</v>
      </c>
      <c r="Q129" t="n">
        <v/>
      </c>
      <c r="R129" t="n">
        <v/>
      </c>
      <c r="S129" t="n">
        <v>2.030235223</v>
      </c>
      <c r="T129" t="n">
        <v>0.860055009</v>
      </c>
      <c r="U129" t="n">
        <v>0.524551</v>
      </c>
      <c r="V129" t="n">
        <v>-0.355860051</v>
      </c>
      <c r="W129" t="n">
        <v>0.419401896</v>
      </c>
      <c r="X129" t="n">
        <v/>
      </c>
      <c r="Y129" t="n">
        <v/>
      </c>
      <c r="Z129" t="n">
        <v>0.6138020320000001</v>
      </c>
      <c r="AA129" t="n">
        <v>1.103744556</v>
      </c>
      <c r="AB129" t="n">
        <v/>
      </c>
      <c r="AC129" t="n">
        <v>1.579975193</v>
      </c>
      <c r="AD129" t="n">
        <v>1.495580739</v>
      </c>
      <c r="AE129" t="n">
        <v>4.486019937</v>
      </c>
      <c r="AF129" t="n">
        <v>0.451987485</v>
      </c>
      <c r="AG129" t="n">
        <v/>
      </c>
      <c r="AH129" t="n">
        <v>2.275444904</v>
      </c>
      <c r="AI129" t="n">
        <v>-4.905976541</v>
      </c>
      <c r="AJ129" t="n">
        <v>-0.43679404</v>
      </c>
      <c r="AK129" t="n">
        <v/>
      </c>
      <c r="AL129" t="n">
        <v>0.584230238</v>
      </c>
      <c r="AM129" t="n">
        <v/>
      </c>
      <c r="AN129" t="n">
        <v>1.063669162</v>
      </c>
      <c r="AO129" t="n">
        <v/>
      </c>
      <c r="AP129" t="n">
        <v/>
      </c>
      <c r="AQ129" t="n">
        <v/>
      </c>
      <c r="AR129" t="n">
        <v>2.064018273</v>
      </c>
      <c r="AS129" t="n">
        <v/>
      </c>
      <c r="AT129" t="n">
        <v>0.179787288</v>
      </c>
      <c r="AU129" t="n">
        <v>1.750362876</v>
      </c>
    </row>
    <row r="130">
      <c r="A130" t="inlineStr">
        <is>
          <t>1979-Q2</t>
        </is>
      </c>
      <c r="B130" s="107" t="n">
        <v>29037</v>
      </c>
      <c r="C130" t="n">
        <v/>
      </c>
      <c r="D130" t="n">
        <v>-1.609343883</v>
      </c>
      <c r="E130" t="n">
        <v>1.288999833</v>
      </c>
      <c r="F130" t="n">
        <v>0.354987306</v>
      </c>
      <c r="G130" t="n">
        <v/>
      </c>
      <c r="H130" t="n">
        <v>1.347063852</v>
      </c>
      <c r="I130" t="n">
        <v>0.561030708</v>
      </c>
      <c r="J130" t="n">
        <v/>
      </c>
      <c r="K130" t="n">
        <v/>
      </c>
      <c r="L130" t="n">
        <v/>
      </c>
      <c r="M130" t="n">
        <v>3.10525348</v>
      </c>
      <c r="N130" t="n">
        <v>1.737239004</v>
      </c>
      <c r="O130" t="n">
        <v/>
      </c>
      <c r="P130" t="n">
        <v>0.155449122</v>
      </c>
      <c r="Q130" t="n">
        <v/>
      </c>
      <c r="R130" t="n">
        <v/>
      </c>
      <c r="S130" t="n">
        <v>2.374966569</v>
      </c>
      <c r="T130" t="n">
        <v>0.955992372</v>
      </c>
      <c r="U130" t="n">
        <v>1.247461</v>
      </c>
      <c r="V130" t="n">
        <v>4.397800474</v>
      </c>
      <c r="W130" t="n">
        <v>-0.564570712</v>
      </c>
      <c r="X130" t="n">
        <v/>
      </c>
      <c r="Y130" t="n">
        <v/>
      </c>
      <c r="Z130" t="n">
        <v>0.566558783</v>
      </c>
      <c r="AA130" t="n">
        <v>1.195865755</v>
      </c>
      <c r="AB130" t="n">
        <v/>
      </c>
      <c r="AC130" t="n">
        <v>0.727095866</v>
      </c>
      <c r="AD130" t="n">
        <v>1.827155452</v>
      </c>
      <c r="AE130" t="n">
        <v>0.755831526</v>
      </c>
      <c r="AF130" t="n">
        <v>0.345323703</v>
      </c>
      <c r="AG130" t="n">
        <v/>
      </c>
      <c r="AH130" t="n">
        <v>2.212040322</v>
      </c>
      <c r="AI130" t="n">
        <v>5.824767499</v>
      </c>
      <c r="AJ130" t="n">
        <v>2.990411133</v>
      </c>
      <c r="AK130" t="n">
        <v/>
      </c>
      <c r="AL130" t="n">
        <v>1.22764315</v>
      </c>
      <c r="AM130" t="n">
        <v/>
      </c>
      <c r="AN130" t="n">
        <v>2.126871436</v>
      </c>
      <c r="AO130" t="n">
        <v/>
      </c>
      <c r="AP130" t="n">
        <v/>
      </c>
      <c r="AQ130" t="n">
        <v/>
      </c>
      <c r="AR130" t="n">
        <v>1.605590277</v>
      </c>
      <c r="AS130" t="n">
        <v/>
      </c>
      <c r="AT130" t="n">
        <v>0.106919831</v>
      </c>
      <c r="AU130" t="n">
        <v>0.6460303590000001</v>
      </c>
    </row>
    <row r="131">
      <c r="A131" t="inlineStr">
        <is>
          <t>1979-Q3</t>
        </is>
      </c>
      <c r="B131" s="107" t="n">
        <v>29129</v>
      </c>
      <c r="C131" t="n">
        <v/>
      </c>
      <c r="D131" t="n">
        <v>0.93202954</v>
      </c>
      <c r="E131" t="n">
        <v>0.879435791</v>
      </c>
      <c r="F131" t="n">
        <v>0.953921557</v>
      </c>
      <c r="G131" t="n">
        <v/>
      </c>
      <c r="H131" t="n">
        <v>0.691984333</v>
      </c>
      <c r="I131" t="n">
        <v>0.940531734</v>
      </c>
      <c r="J131" t="n">
        <v/>
      </c>
      <c r="K131" t="n">
        <v/>
      </c>
      <c r="L131" t="n">
        <v/>
      </c>
      <c r="M131" t="n">
        <v>7.53e-06</v>
      </c>
      <c r="N131" t="n">
        <v>-0.667477188</v>
      </c>
      <c r="O131" t="n">
        <v/>
      </c>
      <c r="P131" t="n">
        <v>0.240502258</v>
      </c>
      <c r="Q131" t="n">
        <v/>
      </c>
      <c r="R131" t="n">
        <v/>
      </c>
      <c r="S131" t="n">
        <v>0.856889075</v>
      </c>
      <c r="T131" t="n">
        <v>1.143098761</v>
      </c>
      <c r="U131" t="n">
        <v>0.519946</v>
      </c>
      <c r="V131" t="n">
        <v>-2.232754797</v>
      </c>
      <c r="W131" t="n">
        <v>-5.363991035</v>
      </c>
      <c r="X131" t="n">
        <v/>
      </c>
      <c r="Y131" t="n">
        <v/>
      </c>
      <c r="Z131" t="n">
        <v>0.636799193</v>
      </c>
      <c r="AA131" t="n">
        <v>1.376404142</v>
      </c>
      <c r="AB131" t="n">
        <v/>
      </c>
      <c r="AC131" t="n">
        <v>1.730408441</v>
      </c>
      <c r="AD131" t="n">
        <v>0.762663736</v>
      </c>
      <c r="AE131" t="n">
        <v>-2.767723422</v>
      </c>
      <c r="AF131" t="n">
        <v>0.34475206</v>
      </c>
      <c r="AG131" t="n">
        <v/>
      </c>
      <c r="AH131" t="n">
        <v>2.070864933</v>
      </c>
      <c r="AI131" t="n">
        <v>0.740055504</v>
      </c>
      <c r="AJ131" t="n">
        <v>2.6071009</v>
      </c>
      <c r="AK131" t="n">
        <v/>
      </c>
      <c r="AL131" t="n">
        <v>0.483135265</v>
      </c>
      <c r="AM131" t="n">
        <v/>
      </c>
      <c r="AN131" t="n">
        <v>1.329439771</v>
      </c>
      <c r="AO131" t="n">
        <v/>
      </c>
      <c r="AP131" t="n">
        <v/>
      </c>
      <c r="AQ131" t="n">
        <v/>
      </c>
      <c r="AR131" t="n">
        <v>0.275914039</v>
      </c>
      <c r="AS131" t="n">
        <v/>
      </c>
      <c r="AT131" t="n">
        <v>0.742871468</v>
      </c>
      <c r="AU131" t="n">
        <v>0.746384808</v>
      </c>
    </row>
    <row r="132">
      <c r="A132" t="inlineStr">
        <is>
          <t>1979-Q4</t>
        </is>
      </c>
      <c r="B132" s="107" t="n">
        <v>29221</v>
      </c>
      <c r="C132" t="n">
        <v/>
      </c>
      <c r="D132" t="n">
        <v>1.941694952</v>
      </c>
      <c r="E132" t="n">
        <v>1.328876082</v>
      </c>
      <c r="F132" t="n">
        <v>1.576811915</v>
      </c>
      <c r="G132" t="n">
        <v/>
      </c>
      <c r="H132" t="n">
        <v>0.665624679</v>
      </c>
      <c r="I132" t="n">
        <v>1.530936659</v>
      </c>
      <c r="J132" t="n">
        <v/>
      </c>
      <c r="K132" t="n">
        <v/>
      </c>
      <c r="L132" t="n">
        <v/>
      </c>
      <c r="M132" t="n">
        <v>0.6129933400000001</v>
      </c>
      <c r="N132" t="n">
        <v>0.506337955</v>
      </c>
      <c r="O132" t="n">
        <v/>
      </c>
      <c r="P132" t="n">
        <v>0.351518364</v>
      </c>
      <c r="Q132" t="n">
        <v/>
      </c>
      <c r="R132" t="n">
        <v/>
      </c>
      <c r="S132" t="n">
        <v>1.196705175</v>
      </c>
      <c r="T132" t="n">
        <v>0.190206929</v>
      </c>
      <c r="U132" t="n">
        <v>0.570148</v>
      </c>
      <c r="V132" t="n">
        <v>1.039069334</v>
      </c>
      <c r="W132" t="n">
        <v>4.631253947</v>
      </c>
      <c r="X132" t="n">
        <v/>
      </c>
      <c r="Y132" t="n">
        <v/>
      </c>
      <c r="Z132" t="n">
        <v>0.743497736</v>
      </c>
      <c r="AA132" t="n">
        <v>1.525694765</v>
      </c>
      <c r="AB132" t="n">
        <v/>
      </c>
      <c r="AC132" t="n">
        <v>2.353893536</v>
      </c>
      <c r="AD132" t="n">
        <v>0.434649</v>
      </c>
      <c r="AE132" t="n">
        <v>-1.518757047</v>
      </c>
      <c r="AF132" t="n">
        <v>0.35933326</v>
      </c>
      <c r="AG132" t="n">
        <v/>
      </c>
      <c r="AH132" t="n">
        <v>1.918080757</v>
      </c>
      <c r="AI132" t="n">
        <v>1.53902663</v>
      </c>
      <c r="AJ132" t="n">
        <v>0.897109378</v>
      </c>
      <c r="AK132" t="n">
        <v/>
      </c>
      <c r="AL132" t="n">
        <v>0.6802351599999999</v>
      </c>
      <c r="AM132" t="n">
        <v/>
      </c>
      <c r="AN132" t="n">
        <v>2.064941605</v>
      </c>
      <c r="AO132" t="n">
        <v/>
      </c>
      <c r="AP132" t="n">
        <v/>
      </c>
      <c r="AQ132" t="n">
        <v/>
      </c>
      <c r="AR132" t="n">
        <v>0.106838671</v>
      </c>
      <c r="AS132" t="n">
        <v/>
      </c>
      <c r="AT132" t="n">
        <v>0.250075034</v>
      </c>
      <c r="AU132" t="n">
        <v>2.052155792</v>
      </c>
    </row>
    <row r="133">
      <c r="A133" t="inlineStr">
        <is>
          <t>1980-Q1</t>
        </is>
      </c>
      <c r="B133" s="107" t="n">
        <v>29312</v>
      </c>
      <c r="C133" t="n">
        <v/>
      </c>
      <c r="D133" t="n">
        <v>0.439293143</v>
      </c>
      <c r="E133" t="n">
        <v>1.069759922</v>
      </c>
      <c r="F133" t="n">
        <v>3.762455451</v>
      </c>
      <c r="G133" t="n">
        <v/>
      </c>
      <c r="H133" t="n">
        <v>0.700189435</v>
      </c>
      <c r="I133" t="n">
        <v>1.902427391</v>
      </c>
      <c r="J133" t="n">
        <v/>
      </c>
      <c r="K133" t="n">
        <v/>
      </c>
      <c r="L133" t="n">
        <v/>
      </c>
      <c r="M133" t="n">
        <v>0.801235019</v>
      </c>
      <c r="N133" t="n">
        <v>1.530983651</v>
      </c>
      <c r="O133" t="n">
        <v/>
      </c>
      <c r="P133" t="n">
        <v>0.669637966</v>
      </c>
      <c r="Q133" t="n">
        <v/>
      </c>
      <c r="R133" t="n">
        <v/>
      </c>
      <c r="S133" t="n">
        <v>1.6740043</v>
      </c>
      <c r="T133" t="n">
        <v>1.167721708</v>
      </c>
      <c r="U133" t="n">
        <v>0.327575</v>
      </c>
      <c r="V133" t="n">
        <v>-0.952731568</v>
      </c>
      <c r="W133" t="n">
        <v>3.408557441</v>
      </c>
      <c r="X133" t="n">
        <v/>
      </c>
      <c r="Y133" t="n">
        <v/>
      </c>
      <c r="Z133" t="n">
        <v>0.803466035</v>
      </c>
      <c r="AA133" t="n">
        <v>1.534589831</v>
      </c>
      <c r="AB133" t="n">
        <v/>
      </c>
      <c r="AC133" t="n">
        <v>-0.183599872</v>
      </c>
      <c r="AD133" t="n">
        <v>0.38255242</v>
      </c>
      <c r="AE133" t="n">
        <v>0.886148261</v>
      </c>
      <c r="AF133" t="n">
        <v>0.291943658</v>
      </c>
      <c r="AG133" t="n">
        <v/>
      </c>
      <c r="AH133" t="n">
        <v>2.769102252</v>
      </c>
      <c r="AI133" t="n">
        <v>-0.057878744</v>
      </c>
      <c r="AJ133" t="n">
        <v>3.881396125</v>
      </c>
      <c r="AK133" t="n">
        <v/>
      </c>
      <c r="AL133" t="n">
        <v>0.581015704</v>
      </c>
      <c r="AM133" t="n">
        <v/>
      </c>
      <c r="AN133" t="n">
        <v>1.57446299</v>
      </c>
      <c r="AO133" t="n">
        <v/>
      </c>
      <c r="AP133" t="n">
        <v/>
      </c>
      <c r="AQ133" t="n">
        <v/>
      </c>
      <c r="AR133" t="n">
        <v>3.127839726</v>
      </c>
      <c r="AS133" t="n">
        <v/>
      </c>
      <c r="AT133" t="n">
        <v>0.314519076</v>
      </c>
      <c r="AU133" t="n">
        <v>2.054445467</v>
      </c>
    </row>
    <row r="134">
      <c r="A134" t="inlineStr">
        <is>
          <t>1980-Q2</t>
        </is>
      </c>
      <c r="B134" s="107" t="n">
        <v>29403</v>
      </c>
      <c r="C134" t="n">
        <v/>
      </c>
      <c r="D134" t="n">
        <v>0.256732614</v>
      </c>
      <c r="E134" t="n">
        <v>-1.048999564</v>
      </c>
      <c r="F134" t="n">
        <v>-0.666234698</v>
      </c>
      <c r="G134" t="n">
        <v/>
      </c>
      <c r="H134" t="n">
        <v>-0.031789499</v>
      </c>
      <c r="I134" t="n">
        <v>0.358729624</v>
      </c>
      <c r="J134" t="n">
        <v/>
      </c>
      <c r="K134" t="n">
        <v/>
      </c>
      <c r="L134" t="n">
        <v/>
      </c>
      <c r="M134" t="n">
        <v>-0.64380222</v>
      </c>
      <c r="N134" t="n">
        <v>-2.548940321</v>
      </c>
      <c r="O134" t="n">
        <v/>
      </c>
      <c r="P134" t="n">
        <v>0.339903035</v>
      </c>
      <c r="Q134" t="n">
        <v/>
      </c>
      <c r="R134" t="n">
        <v/>
      </c>
      <c r="S134" t="n">
        <v>-0.468254368</v>
      </c>
      <c r="T134" t="n">
        <v>-0.55232668</v>
      </c>
      <c r="U134" t="n">
        <v>-1.19894</v>
      </c>
      <c r="V134" t="n">
        <v>-1.996903962</v>
      </c>
      <c r="W134" t="n">
        <v>-1.914814274</v>
      </c>
      <c r="X134" t="n">
        <v/>
      </c>
      <c r="Y134" t="n">
        <v/>
      </c>
      <c r="Z134" t="n">
        <v>0.823204992</v>
      </c>
      <c r="AA134" t="n">
        <v>1.437157604</v>
      </c>
      <c r="AB134" t="n">
        <v/>
      </c>
      <c r="AC134" t="n">
        <v>0.776049009</v>
      </c>
      <c r="AD134" t="n">
        <v>-0.527155036</v>
      </c>
      <c r="AE134" t="n">
        <v>-0.539530976</v>
      </c>
      <c r="AF134" t="n">
        <v>0.151425932</v>
      </c>
      <c r="AG134" t="n">
        <v/>
      </c>
      <c r="AH134" t="n">
        <v>0.652366114</v>
      </c>
      <c r="AI134" t="n">
        <v>-1.851382655</v>
      </c>
      <c r="AJ134" t="n">
        <v>-2.042801026</v>
      </c>
      <c r="AK134" t="n">
        <v/>
      </c>
      <c r="AL134" t="n">
        <v>-1.056248889</v>
      </c>
      <c r="AM134" t="n">
        <v/>
      </c>
      <c r="AN134" t="n">
        <v>-0.026077098</v>
      </c>
      <c r="AO134" t="n">
        <v/>
      </c>
      <c r="AP134" t="n">
        <v/>
      </c>
      <c r="AQ134" t="n">
        <v/>
      </c>
      <c r="AR134" t="n">
        <v>-4.767321461</v>
      </c>
      <c r="AS134" t="n">
        <v/>
      </c>
      <c r="AT134" t="n">
        <v>-2.060472164</v>
      </c>
      <c r="AU134" t="n">
        <v>1.901048713</v>
      </c>
    </row>
    <row r="135">
      <c r="A135" t="inlineStr">
        <is>
          <t>1980-Q3</t>
        </is>
      </c>
      <c r="B135" s="107" t="n">
        <v>29495</v>
      </c>
      <c r="C135" t="n">
        <v/>
      </c>
      <c r="D135" t="n">
        <v>0.529970037</v>
      </c>
      <c r="E135" t="n">
        <v>0.521108012</v>
      </c>
      <c r="F135" t="n">
        <v>-0.97938113</v>
      </c>
      <c r="G135" t="n">
        <v/>
      </c>
      <c r="H135" t="n">
        <v>-0.114812067</v>
      </c>
      <c r="I135" t="n">
        <v>0.459638532</v>
      </c>
      <c r="J135" t="n">
        <v/>
      </c>
      <c r="K135" t="n">
        <v/>
      </c>
      <c r="L135" t="n">
        <v/>
      </c>
      <c r="M135" t="n">
        <v>-0.396722368</v>
      </c>
      <c r="N135" t="n">
        <v>-1.327637339</v>
      </c>
      <c r="O135" t="n">
        <v/>
      </c>
      <c r="P135" t="n">
        <v>-0.396523201</v>
      </c>
      <c r="Q135" t="n">
        <v/>
      </c>
      <c r="R135" t="n">
        <v/>
      </c>
      <c r="S135" t="n">
        <v>4.987859166</v>
      </c>
      <c r="T135" t="n">
        <v>-0.08916722000000001</v>
      </c>
      <c r="U135" t="n">
        <v>0.235933</v>
      </c>
      <c r="V135" t="n">
        <v>-0.104192715</v>
      </c>
      <c r="W135" t="n">
        <v>-5.248280878</v>
      </c>
      <c r="X135" t="n">
        <v/>
      </c>
      <c r="Y135" t="n">
        <v/>
      </c>
      <c r="Z135" t="n">
        <v>0.811706142</v>
      </c>
      <c r="AA135" t="n">
        <v>1.246395178</v>
      </c>
      <c r="AB135" t="n">
        <v/>
      </c>
      <c r="AC135" t="n">
        <v>0.083677275</v>
      </c>
      <c r="AD135" t="n">
        <v>2.239931727</v>
      </c>
      <c r="AE135" t="n">
        <v>1.892977664</v>
      </c>
      <c r="AF135" t="n">
        <v>-0.063224119</v>
      </c>
      <c r="AG135" t="n">
        <v/>
      </c>
      <c r="AH135" t="n">
        <v>2.158764803</v>
      </c>
      <c r="AI135" t="n">
        <v>-0.671178065</v>
      </c>
      <c r="AJ135" t="n">
        <v>-1.801471099</v>
      </c>
      <c r="AK135" t="n">
        <v/>
      </c>
      <c r="AL135" t="n">
        <v>0.285604556</v>
      </c>
      <c r="AM135" t="n">
        <v/>
      </c>
      <c r="AN135" t="n">
        <v>-0.342024614</v>
      </c>
      <c r="AO135" t="n">
        <v/>
      </c>
      <c r="AP135" t="n">
        <v/>
      </c>
      <c r="AQ135" t="n">
        <v/>
      </c>
      <c r="AR135" t="n">
        <v>3.796627783</v>
      </c>
      <c r="AS135" t="n">
        <v/>
      </c>
      <c r="AT135" t="n">
        <v>-0.118847117</v>
      </c>
      <c r="AU135" t="n">
        <v>1.712013689</v>
      </c>
    </row>
    <row r="136">
      <c r="A136" t="inlineStr">
        <is>
          <t>1980-Q4</t>
        </is>
      </c>
      <c r="B136" s="107" t="n">
        <v>29587</v>
      </c>
      <c r="C136" t="n">
        <v/>
      </c>
      <c r="D136" t="n">
        <v>1.735151424</v>
      </c>
      <c r="E136" t="n">
        <v>0.055054768</v>
      </c>
      <c r="F136" t="n">
        <v>-0.20455512</v>
      </c>
      <c r="G136" t="n">
        <v/>
      </c>
      <c r="H136" t="n">
        <v>1.380163092</v>
      </c>
      <c r="I136" t="n">
        <v>0.616918805</v>
      </c>
      <c r="J136" t="n">
        <v/>
      </c>
      <c r="K136" t="n">
        <v/>
      </c>
      <c r="L136" t="n">
        <v/>
      </c>
      <c r="M136" t="n">
        <v>-0.132760006</v>
      </c>
      <c r="N136" t="n">
        <v>0.635820231</v>
      </c>
      <c r="O136" t="n">
        <v/>
      </c>
      <c r="P136" t="n">
        <v>0.580015819</v>
      </c>
      <c r="Q136" t="n">
        <v/>
      </c>
      <c r="R136" t="n">
        <v/>
      </c>
      <c r="S136" t="n">
        <v>-2.717548424</v>
      </c>
      <c r="T136" t="n">
        <v>-0.13836713</v>
      </c>
      <c r="U136" t="n">
        <v>1.160037</v>
      </c>
      <c r="V136" t="n">
        <v>-1.092661354</v>
      </c>
      <c r="W136" t="n">
        <v>3.933985799</v>
      </c>
      <c r="X136" t="n">
        <v/>
      </c>
      <c r="Y136" t="n">
        <v/>
      </c>
      <c r="Z136" t="n">
        <v>0.794660096</v>
      </c>
      <c r="AA136" t="n">
        <v>1.053250514</v>
      </c>
      <c r="AB136" t="n">
        <v/>
      </c>
      <c r="AC136" t="n">
        <v>0.852303473</v>
      </c>
      <c r="AD136" t="n">
        <v>2.125487999</v>
      </c>
      <c r="AE136" t="n">
        <v>-2.765761869</v>
      </c>
      <c r="AF136" t="n">
        <v>-0.250089534</v>
      </c>
      <c r="AG136" t="n">
        <v/>
      </c>
      <c r="AH136" t="n">
        <v>2.895866373</v>
      </c>
      <c r="AI136" t="n">
        <v>2.32044404</v>
      </c>
      <c r="AJ136" t="n">
        <v>2.159624147</v>
      </c>
      <c r="AK136" t="n">
        <v/>
      </c>
      <c r="AL136" t="n">
        <v>1.161960248</v>
      </c>
      <c r="AM136" t="n">
        <v/>
      </c>
      <c r="AN136" t="n">
        <v>1.670542679</v>
      </c>
      <c r="AO136" t="n">
        <v/>
      </c>
      <c r="AP136" t="n">
        <v/>
      </c>
      <c r="AQ136" t="n">
        <v/>
      </c>
      <c r="AR136" t="n">
        <v>-1.956995266</v>
      </c>
      <c r="AS136" t="n">
        <v/>
      </c>
      <c r="AT136" t="n">
        <v>1.864925605</v>
      </c>
      <c r="AU136" t="n">
        <v>0.22477213</v>
      </c>
    </row>
    <row r="137">
      <c r="A137" t="inlineStr">
        <is>
          <t>1981-Q1</t>
        </is>
      </c>
      <c r="B137" s="107" t="n">
        <v>29677</v>
      </c>
      <c r="C137" t="n">
        <v/>
      </c>
      <c r="D137" t="n">
        <v>0.376216412</v>
      </c>
      <c r="E137" t="n">
        <v>-0.692629498</v>
      </c>
      <c r="F137" t="n">
        <v>0.022401138</v>
      </c>
      <c r="G137" t="n">
        <v/>
      </c>
      <c r="H137" t="n">
        <v>2.20395557</v>
      </c>
      <c r="I137" t="n">
        <v>-0.107765661</v>
      </c>
      <c r="J137" t="n">
        <v/>
      </c>
      <c r="K137" t="n">
        <v/>
      </c>
      <c r="L137" t="n">
        <v/>
      </c>
      <c r="M137" t="n">
        <v>1.189866492</v>
      </c>
      <c r="N137" t="n">
        <v>0.156386759</v>
      </c>
      <c r="O137" t="n">
        <v/>
      </c>
      <c r="P137" t="n">
        <v>-0.566186107</v>
      </c>
      <c r="Q137" t="n">
        <v/>
      </c>
      <c r="R137" t="n">
        <v/>
      </c>
      <c r="S137" t="n">
        <v>-0.188211986</v>
      </c>
      <c r="T137" t="n">
        <v>0.446159495</v>
      </c>
      <c r="U137" t="n">
        <v>1.171361</v>
      </c>
      <c r="V137" t="n">
        <v>-0.053992264</v>
      </c>
      <c r="W137" t="n">
        <v>-1.9655566</v>
      </c>
      <c r="X137" t="n">
        <v/>
      </c>
      <c r="Y137" t="n">
        <v/>
      </c>
      <c r="Z137" t="n">
        <v>0.795555584</v>
      </c>
      <c r="AA137" t="n">
        <v>0.9449466399999999</v>
      </c>
      <c r="AB137" t="n">
        <v/>
      </c>
      <c r="AC137" t="n">
        <v>-0.570495427</v>
      </c>
      <c r="AD137" t="n">
        <v>0.613078575</v>
      </c>
      <c r="AE137" t="n">
        <v>4.115111914</v>
      </c>
      <c r="AF137" t="n">
        <v>-0.2974888</v>
      </c>
      <c r="AG137" t="n">
        <v/>
      </c>
      <c r="AH137" t="n">
        <v>2.232972009</v>
      </c>
      <c r="AI137" t="n">
        <v>-0.963370163</v>
      </c>
      <c r="AJ137" t="n">
        <v>1.693172147</v>
      </c>
      <c r="AK137" t="n">
        <v/>
      </c>
      <c r="AL137" t="n">
        <v>1.055454754</v>
      </c>
      <c r="AM137" t="n">
        <v/>
      </c>
      <c r="AN137" t="n">
        <v>0.447068635</v>
      </c>
      <c r="AO137" t="n">
        <v/>
      </c>
      <c r="AP137" t="n">
        <v/>
      </c>
      <c r="AQ137" t="n">
        <v/>
      </c>
      <c r="AR137" t="n">
        <v>0.614161716</v>
      </c>
      <c r="AS137" t="n">
        <v/>
      </c>
      <c r="AT137" t="n">
        <v>1.959429461</v>
      </c>
      <c r="AU137" t="n">
        <v>1.242016816</v>
      </c>
    </row>
    <row r="138">
      <c r="A138" t="inlineStr">
        <is>
          <t>1981-Q2</t>
        </is>
      </c>
      <c r="B138" s="107" t="n">
        <v>29768</v>
      </c>
      <c r="C138" t="n">
        <v/>
      </c>
      <c r="D138" t="n">
        <v>1.545513575</v>
      </c>
      <c r="E138" t="n">
        <v>1.006343855</v>
      </c>
      <c r="F138" t="n">
        <v>1.457925747</v>
      </c>
      <c r="G138" t="n">
        <v/>
      </c>
      <c r="H138" t="n">
        <v>1.123957546</v>
      </c>
      <c r="I138" t="n">
        <v>1.038152504</v>
      </c>
      <c r="J138" t="n">
        <v/>
      </c>
      <c r="K138" t="n">
        <v/>
      </c>
      <c r="L138" t="n">
        <v/>
      </c>
      <c r="M138" t="n">
        <v>-0.249632331</v>
      </c>
      <c r="N138" t="n">
        <v>-0.734481366</v>
      </c>
      <c r="O138" t="n">
        <v/>
      </c>
      <c r="P138" t="n">
        <v>-0.110718617</v>
      </c>
      <c r="Q138" t="n">
        <v/>
      </c>
      <c r="R138" t="n">
        <v/>
      </c>
      <c r="S138" t="n">
        <v>1.171099643</v>
      </c>
      <c r="T138" t="n">
        <v>0.652127432</v>
      </c>
      <c r="U138" t="n">
        <v>-0.02385</v>
      </c>
      <c r="V138" t="n">
        <v>0.226214744</v>
      </c>
      <c r="W138" t="n">
        <v>-2.213851554</v>
      </c>
      <c r="X138" t="n">
        <v/>
      </c>
      <c r="Y138" t="n">
        <v/>
      </c>
      <c r="Z138" t="n">
        <v>0.821783501</v>
      </c>
      <c r="AA138" t="n">
        <v>0.93939076</v>
      </c>
      <c r="AB138" t="n">
        <v/>
      </c>
      <c r="AC138" t="n">
        <v>0.194997387</v>
      </c>
      <c r="AD138" t="n">
        <v>1.223762939</v>
      </c>
      <c r="AE138" t="n">
        <v>2.415542796</v>
      </c>
      <c r="AF138" t="n">
        <v>-0.203181542</v>
      </c>
      <c r="AG138" t="n">
        <v/>
      </c>
      <c r="AH138" t="n">
        <v>2.591142862</v>
      </c>
      <c r="AI138" t="n">
        <v>-0.025646662</v>
      </c>
      <c r="AJ138" t="n">
        <v>0.414882336</v>
      </c>
      <c r="AK138" t="n">
        <v/>
      </c>
      <c r="AL138" t="n">
        <v>0.213288882</v>
      </c>
      <c r="AM138" t="n">
        <v/>
      </c>
      <c r="AN138" t="n">
        <v>0.08063390300000001</v>
      </c>
      <c r="AO138" t="n">
        <v/>
      </c>
      <c r="AP138" t="n">
        <v/>
      </c>
      <c r="AQ138" t="n">
        <v/>
      </c>
      <c r="AR138" t="n">
        <v>-0.062042613</v>
      </c>
      <c r="AS138" t="n">
        <v/>
      </c>
      <c r="AT138" t="n">
        <v>-0.741063613</v>
      </c>
      <c r="AU138" t="n">
        <v>2.183854895</v>
      </c>
    </row>
    <row r="139">
      <c r="A139" t="inlineStr">
        <is>
          <t>1981-Q3</t>
        </is>
      </c>
      <c r="B139" s="107" t="n">
        <v>29860</v>
      </c>
      <c r="C139" t="n">
        <v/>
      </c>
      <c r="D139" t="n">
        <v>2.010750169</v>
      </c>
      <c r="E139" t="n">
        <v>-0.069449232</v>
      </c>
      <c r="F139" t="n">
        <v>-0.428832296</v>
      </c>
      <c r="G139" t="n">
        <v/>
      </c>
      <c r="H139" t="n">
        <v>-0.897752489</v>
      </c>
      <c r="I139" t="n">
        <v>0.517566134</v>
      </c>
      <c r="J139" t="n">
        <v/>
      </c>
      <c r="K139" t="n">
        <v/>
      </c>
      <c r="L139" t="n">
        <v/>
      </c>
      <c r="M139" t="n">
        <v>0.263433962</v>
      </c>
      <c r="N139" t="n">
        <v>0.612585924</v>
      </c>
      <c r="O139" t="n">
        <v/>
      </c>
      <c r="P139" t="n">
        <v>0.444684894</v>
      </c>
      <c r="Q139" t="n">
        <v/>
      </c>
      <c r="R139" t="n">
        <v/>
      </c>
      <c r="S139" t="n">
        <v>0.495389445</v>
      </c>
      <c r="T139" t="n">
        <v>0.642762921</v>
      </c>
      <c r="U139" t="n">
        <v>0.613244</v>
      </c>
      <c r="V139" t="n">
        <v>1.093149289</v>
      </c>
      <c r="W139" t="n">
        <v>2.852290237</v>
      </c>
      <c r="X139" t="n">
        <v/>
      </c>
      <c r="Y139" t="n">
        <v/>
      </c>
      <c r="Z139" t="n">
        <v>0.886525853</v>
      </c>
      <c r="AA139" t="n">
        <v>1.036372629</v>
      </c>
      <c r="AB139" t="n">
        <v/>
      </c>
      <c r="AC139" t="n">
        <v>0.046310302</v>
      </c>
      <c r="AD139" t="n">
        <v>-0.222416724</v>
      </c>
      <c r="AE139" t="n">
        <v>4.162809598</v>
      </c>
      <c r="AF139" t="n">
        <v>0.023791301</v>
      </c>
      <c r="AG139" t="n">
        <v/>
      </c>
      <c r="AH139" t="n">
        <v>0.522758414</v>
      </c>
      <c r="AI139" t="n">
        <v>-0.914354821</v>
      </c>
      <c r="AJ139" t="n">
        <v>-1.247105515</v>
      </c>
      <c r="AK139" t="n">
        <v/>
      </c>
      <c r="AL139" t="n">
        <v>0.644087144</v>
      </c>
      <c r="AM139" t="n">
        <v/>
      </c>
      <c r="AN139" t="n">
        <v>-0.171095832</v>
      </c>
      <c r="AO139" t="n">
        <v/>
      </c>
      <c r="AP139" t="n">
        <v/>
      </c>
      <c r="AQ139" t="n">
        <v/>
      </c>
      <c r="AR139" t="n">
        <v>0.767286781</v>
      </c>
      <c r="AS139" t="n">
        <v/>
      </c>
      <c r="AT139" t="n">
        <v>1.19752521</v>
      </c>
      <c r="AU139" t="n">
        <v>1.455404361</v>
      </c>
    </row>
    <row r="140">
      <c r="A140" t="inlineStr">
        <is>
          <t>1981-Q4</t>
        </is>
      </c>
      <c r="B140" s="107" t="n">
        <v>29952</v>
      </c>
      <c r="C140" t="n">
        <v/>
      </c>
      <c r="D140" t="n">
        <v>-0.388513409</v>
      </c>
      <c r="E140" t="n">
        <v>-0.631448105</v>
      </c>
      <c r="F140" t="n">
        <v>0.267780554</v>
      </c>
      <c r="G140" t="n">
        <v/>
      </c>
      <c r="H140" t="n">
        <v>-0.457822775</v>
      </c>
      <c r="I140" t="n">
        <v>-0.436565019</v>
      </c>
      <c r="J140" t="n">
        <v/>
      </c>
      <c r="K140" t="n">
        <v/>
      </c>
      <c r="L140" t="n">
        <v/>
      </c>
      <c r="M140" t="n">
        <v>-0.078831451</v>
      </c>
      <c r="N140" t="n">
        <v>0.186660427</v>
      </c>
      <c r="O140" t="n">
        <v/>
      </c>
      <c r="P140" t="n">
        <v>-0.099841043</v>
      </c>
      <c r="Q140" t="n">
        <v/>
      </c>
      <c r="R140" t="n">
        <v/>
      </c>
      <c r="S140" t="n">
        <v>0.395334082</v>
      </c>
      <c r="T140" t="n">
        <v>0.498057813</v>
      </c>
      <c r="U140" t="n">
        <v>-0.271365</v>
      </c>
      <c r="V140" t="n">
        <v>0.122461731</v>
      </c>
      <c r="W140" t="n">
        <v>4.002315248</v>
      </c>
      <c r="X140" t="n">
        <v/>
      </c>
      <c r="Y140" t="n">
        <v/>
      </c>
      <c r="Z140" t="n">
        <v>0.884651392</v>
      </c>
      <c r="AA140" t="n">
        <v>1.048177078</v>
      </c>
      <c r="AB140" t="n">
        <v/>
      </c>
      <c r="AC140" t="n">
        <v>0.811647168</v>
      </c>
      <c r="AD140" t="n">
        <v>0.729939813</v>
      </c>
      <c r="AE140" t="n">
        <v>1.568787799</v>
      </c>
      <c r="AF140" t="n">
        <v>0.271147484</v>
      </c>
      <c r="AG140" t="n">
        <v/>
      </c>
      <c r="AH140" t="n">
        <v>1.791577285</v>
      </c>
      <c r="AI140" t="n">
        <v>0.07951918600000001</v>
      </c>
      <c r="AJ140" t="n">
        <v>-0.025564972</v>
      </c>
      <c r="AK140" t="n">
        <v/>
      </c>
      <c r="AL140" t="n">
        <v>-0.065603494</v>
      </c>
      <c r="AM140" t="n">
        <v/>
      </c>
      <c r="AN140" t="n">
        <v>0.486619108</v>
      </c>
      <c r="AO140" t="n">
        <v/>
      </c>
      <c r="AP140" t="n">
        <v/>
      </c>
      <c r="AQ140" t="n">
        <v/>
      </c>
      <c r="AR140" t="n">
        <v>-1.122507363</v>
      </c>
      <c r="AS140" t="n">
        <v/>
      </c>
      <c r="AT140" t="n">
        <v>-1.089564087</v>
      </c>
      <c r="AU140" t="n">
        <v>0.623884852</v>
      </c>
    </row>
    <row r="141">
      <c r="A141" t="inlineStr">
        <is>
          <t>1982-Q1</t>
        </is>
      </c>
      <c r="B141" s="107" t="n">
        <v>30042</v>
      </c>
      <c r="C141" t="n">
        <v/>
      </c>
      <c r="D141" t="n">
        <v>-0.823670881</v>
      </c>
      <c r="E141" t="n">
        <v>2.028279293</v>
      </c>
      <c r="F141" t="n">
        <v>0.133523775</v>
      </c>
      <c r="G141" t="n">
        <v/>
      </c>
      <c r="H141" t="n">
        <v>-1.176410874</v>
      </c>
      <c r="I141" t="n">
        <v>-0.744492301</v>
      </c>
      <c r="J141" t="n">
        <v/>
      </c>
      <c r="K141" t="n">
        <v/>
      </c>
      <c r="L141" t="n">
        <v/>
      </c>
      <c r="M141" t="n">
        <v>0.37467052</v>
      </c>
      <c r="N141" t="n">
        <v>1.317726467</v>
      </c>
      <c r="O141" t="n">
        <v/>
      </c>
      <c r="P141" t="n">
        <v>0.411598396</v>
      </c>
      <c r="Q141" t="n">
        <v/>
      </c>
      <c r="R141" t="n">
        <v/>
      </c>
      <c r="S141" t="n">
        <v>0.622265435</v>
      </c>
      <c r="T141" t="n">
        <v>0.8712619069999999</v>
      </c>
      <c r="U141" t="n">
        <v>-0.346972</v>
      </c>
      <c r="V141" t="n">
        <v>0.178475594</v>
      </c>
      <c r="W141" t="n">
        <v>-1.929876252</v>
      </c>
      <c r="X141" t="n">
        <v/>
      </c>
      <c r="Y141" t="n">
        <v/>
      </c>
      <c r="Z141" t="n">
        <v>0.718008324</v>
      </c>
      <c r="AA141" t="n">
        <v>0.79154092</v>
      </c>
      <c r="AB141" t="n">
        <v/>
      </c>
      <c r="AC141" t="n">
        <v>-0.039523113</v>
      </c>
      <c r="AD141" t="n">
        <v>1.532500574</v>
      </c>
      <c r="AE141" t="n">
        <v>0.678619182</v>
      </c>
      <c r="AF141" t="n">
        <v>0.406863649</v>
      </c>
      <c r="AG141" t="n">
        <v/>
      </c>
      <c r="AH141" t="n">
        <v>-1.92678781</v>
      </c>
      <c r="AI141" t="n">
        <v>0.93868953</v>
      </c>
      <c r="AJ141" t="n">
        <v>0.700604368</v>
      </c>
      <c r="AK141" t="n">
        <v/>
      </c>
      <c r="AL141" t="n">
        <v>-0.29485195</v>
      </c>
      <c r="AM141" t="n">
        <v/>
      </c>
      <c r="AN141" t="n">
        <v>2.426235309</v>
      </c>
      <c r="AO141" t="n">
        <v/>
      </c>
      <c r="AP141" t="n">
        <v/>
      </c>
      <c r="AQ141" t="n">
        <v/>
      </c>
      <c r="AR141" t="n">
        <v>0.284035978</v>
      </c>
      <c r="AS141" t="n">
        <v/>
      </c>
      <c r="AT141" t="n">
        <v>-1.553544479</v>
      </c>
      <c r="AU141" t="n">
        <v>-0.926379164</v>
      </c>
    </row>
    <row r="142">
      <c r="A142" t="inlineStr">
        <is>
          <t>1982-Q2</t>
        </is>
      </c>
      <c r="B142" s="107" t="n">
        <v>30133</v>
      </c>
      <c r="C142" t="n">
        <v/>
      </c>
      <c r="D142" t="n">
        <v>0.901500826</v>
      </c>
      <c r="E142" t="n">
        <v>0.293478183</v>
      </c>
      <c r="F142" t="n">
        <v>0.269399923</v>
      </c>
      <c r="G142" t="n">
        <v/>
      </c>
      <c r="H142" t="n">
        <v>-1.157146926</v>
      </c>
      <c r="I142" t="n">
        <v>-0.574067716</v>
      </c>
      <c r="J142" t="n">
        <v/>
      </c>
      <c r="K142" t="n">
        <v/>
      </c>
      <c r="L142" t="n">
        <v/>
      </c>
      <c r="M142" t="n">
        <v>-0.615593473</v>
      </c>
      <c r="N142" t="n">
        <v>1.182819965</v>
      </c>
      <c r="O142" t="n">
        <v/>
      </c>
      <c r="P142" t="n">
        <v>0.379789937</v>
      </c>
      <c r="Q142" t="n">
        <v/>
      </c>
      <c r="R142" t="n">
        <v/>
      </c>
      <c r="S142" t="n">
        <v>0.985602474</v>
      </c>
      <c r="T142" t="n">
        <v>0.642093386</v>
      </c>
      <c r="U142" t="n">
        <v>0.292986</v>
      </c>
      <c r="V142" t="n">
        <v>1.052334322</v>
      </c>
      <c r="W142" t="n">
        <v>-4.11262998</v>
      </c>
      <c r="X142" t="n">
        <v/>
      </c>
      <c r="Y142" t="n">
        <v/>
      </c>
      <c r="Z142" t="n">
        <v>0.428377027</v>
      </c>
      <c r="AA142" t="n">
        <v>0.324272604</v>
      </c>
      <c r="AB142" t="n">
        <v/>
      </c>
      <c r="AC142" t="n">
        <v>-0.284173742</v>
      </c>
      <c r="AD142" t="n">
        <v>0.686562871</v>
      </c>
      <c r="AE142" t="n">
        <v>2.348344979</v>
      </c>
      <c r="AF142" t="n">
        <v>0.416661926</v>
      </c>
      <c r="AG142" t="n">
        <v/>
      </c>
      <c r="AH142" t="n">
        <v>0.152382125</v>
      </c>
      <c r="AI142" t="n">
        <v>-2.432907407</v>
      </c>
      <c r="AJ142" t="n">
        <v>0.01010283</v>
      </c>
      <c r="AK142" t="n">
        <v/>
      </c>
      <c r="AL142" t="n">
        <v>0.249133824</v>
      </c>
      <c r="AM142" t="n">
        <v/>
      </c>
      <c r="AN142" t="n">
        <v>-1.344646584</v>
      </c>
      <c r="AO142" t="n">
        <v/>
      </c>
      <c r="AP142" t="n">
        <v/>
      </c>
      <c r="AQ142" t="n">
        <v/>
      </c>
      <c r="AR142" t="n">
        <v>2.112290025</v>
      </c>
      <c r="AS142" t="n">
        <v/>
      </c>
      <c r="AT142" t="n">
        <v>0.456198515</v>
      </c>
      <c r="AU142" t="n">
        <v>-0.83441653</v>
      </c>
    </row>
    <row r="143">
      <c r="A143" t="inlineStr">
        <is>
          <t>1982-Q3</t>
        </is>
      </c>
      <c r="B143" s="107" t="n">
        <v>30225</v>
      </c>
      <c r="C143" t="n">
        <v/>
      </c>
      <c r="D143" t="n">
        <v>-0.67241959</v>
      </c>
      <c r="E143" t="n">
        <v>-0.067676747</v>
      </c>
      <c r="F143" t="n">
        <v>0.112673273</v>
      </c>
      <c r="G143" t="n">
        <v/>
      </c>
      <c r="H143" t="n">
        <v>-0.876514444</v>
      </c>
      <c r="I143" t="n">
        <v>-0.763398653</v>
      </c>
      <c r="J143" t="n">
        <v/>
      </c>
      <c r="K143" t="n">
        <v/>
      </c>
      <c r="L143" t="n">
        <v/>
      </c>
      <c r="M143" t="n">
        <v>-0.988403773</v>
      </c>
      <c r="N143" t="n">
        <v>1.034116321</v>
      </c>
      <c r="O143" t="n">
        <v/>
      </c>
      <c r="P143" t="n">
        <v>0.67320739</v>
      </c>
      <c r="Q143" t="n">
        <v/>
      </c>
      <c r="R143" t="n">
        <v/>
      </c>
      <c r="S143" t="n">
        <v>1.086020477</v>
      </c>
      <c r="T143" t="n">
        <v>0.062064547</v>
      </c>
      <c r="U143" t="n">
        <v>-0.228098</v>
      </c>
      <c r="V143" t="n">
        <v>0.244521888</v>
      </c>
      <c r="W143" t="n">
        <v>-1.02351651</v>
      </c>
      <c r="X143" t="n">
        <v/>
      </c>
      <c r="Y143" t="n">
        <v/>
      </c>
      <c r="Z143" t="n">
        <v>0.010146713</v>
      </c>
      <c r="AA143" t="n">
        <v>-0.367662187</v>
      </c>
      <c r="AB143" t="n">
        <v/>
      </c>
      <c r="AC143" t="n">
        <v>-0.053487539</v>
      </c>
      <c r="AD143" t="n">
        <v>0.437004283</v>
      </c>
      <c r="AE143" t="n">
        <v>2.07400645</v>
      </c>
      <c r="AF143" t="n">
        <v>0.333060201</v>
      </c>
      <c r="AG143" t="n">
        <v/>
      </c>
      <c r="AH143" t="n">
        <v>-0.719204541</v>
      </c>
      <c r="AI143" t="n">
        <v>1.108880425</v>
      </c>
      <c r="AJ143" t="n">
        <v>-0.029486364</v>
      </c>
      <c r="AK143" t="n">
        <v/>
      </c>
      <c r="AL143" t="n">
        <v>-0.152137725</v>
      </c>
      <c r="AM143" t="n">
        <v/>
      </c>
      <c r="AN143" t="n">
        <v>0.459236425</v>
      </c>
      <c r="AO143" t="n">
        <v/>
      </c>
      <c r="AP143" t="n">
        <v/>
      </c>
      <c r="AQ143" t="n">
        <v/>
      </c>
      <c r="AR143" t="n">
        <v>-1.241488584</v>
      </c>
      <c r="AS143" t="n">
        <v/>
      </c>
      <c r="AT143" t="n">
        <v>-0.382299274</v>
      </c>
      <c r="AU143" t="n">
        <v>-0.025570619</v>
      </c>
    </row>
    <row r="144">
      <c r="A144" t="inlineStr">
        <is>
          <t>1982-Q4</t>
        </is>
      </c>
      <c r="B144" s="107" t="n">
        <v>30317</v>
      </c>
      <c r="C144" t="n">
        <v/>
      </c>
      <c r="D144" t="n">
        <v>-1.572078679</v>
      </c>
      <c r="E144" t="n">
        <v>-0.174900526</v>
      </c>
      <c r="F144" t="n">
        <v>-0.633301019</v>
      </c>
      <c r="G144" t="n">
        <v/>
      </c>
      <c r="H144" t="n">
        <v>-0.922628586</v>
      </c>
      <c r="I144" t="n">
        <v>-0.300590204</v>
      </c>
      <c r="J144" t="n">
        <v/>
      </c>
      <c r="K144" t="n">
        <v/>
      </c>
      <c r="L144" t="n">
        <v/>
      </c>
      <c r="M144" t="n">
        <v>0.239588883</v>
      </c>
      <c r="N144" t="n">
        <v>0.019956408</v>
      </c>
      <c r="O144" t="n">
        <v/>
      </c>
      <c r="P144" t="n">
        <v>0.352495983</v>
      </c>
      <c r="Q144" t="n">
        <v/>
      </c>
      <c r="R144" t="n">
        <v/>
      </c>
      <c r="S144" t="n">
        <v>1.268398883</v>
      </c>
      <c r="T144" t="n">
        <v>0.537892582</v>
      </c>
      <c r="U144" t="n">
        <v>0.313567</v>
      </c>
      <c r="V144" t="n">
        <v>0.696929819</v>
      </c>
      <c r="W144" t="n">
        <v>2.824431508</v>
      </c>
      <c r="X144" t="n">
        <v/>
      </c>
      <c r="Y144" t="n">
        <v/>
      </c>
      <c r="Z144" t="n">
        <v>-0.340809339</v>
      </c>
      <c r="AA144" t="n">
        <v>-0.961782849</v>
      </c>
      <c r="AB144" t="n">
        <v/>
      </c>
      <c r="AC144" t="n">
        <v>-0.290768813</v>
      </c>
      <c r="AD144" t="n">
        <v>1.389602027</v>
      </c>
      <c r="AE144" t="n">
        <v>3.146901625</v>
      </c>
      <c r="AF144" t="n">
        <v>0.304403446</v>
      </c>
      <c r="AG144" t="n">
        <v/>
      </c>
      <c r="AH144" t="n">
        <v>-2.194228615</v>
      </c>
      <c r="AI144" t="n">
        <v>-2.100653207</v>
      </c>
      <c r="AJ144" t="n">
        <v>0.319802929</v>
      </c>
      <c r="AK144" t="n">
        <v/>
      </c>
      <c r="AL144" t="n">
        <v>0.198987214</v>
      </c>
      <c r="AM144" t="n">
        <v/>
      </c>
      <c r="AN144" t="n">
        <v>0.810506112</v>
      </c>
      <c r="AO144" t="n">
        <v/>
      </c>
      <c r="AP144" t="n">
        <v/>
      </c>
      <c r="AQ144" t="n">
        <v/>
      </c>
      <c r="AR144" t="n">
        <v>1.948384164</v>
      </c>
      <c r="AS144" t="n">
        <v/>
      </c>
      <c r="AT144" t="n">
        <v>0.039946274</v>
      </c>
      <c r="AU144" t="n">
        <v>-2.114040461</v>
      </c>
    </row>
    <row r="145">
      <c r="A145" t="inlineStr">
        <is>
          <t>1983-Q1</t>
        </is>
      </c>
      <c r="B145" s="107" t="n">
        <v>30407</v>
      </c>
      <c r="C145" t="n">
        <v/>
      </c>
      <c r="D145" t="n">
        <v>-1.010023818</v>
      </c>
      <c r="E145" t="n">
        <v>1.213791378</v>
      </c>
      <c r="F145" t="n">
        <v>0.018049094</v>
      </c>
      <c r="G145" t="n">
        <v/>
      </c>
      <c r="H145" t="n">
        <v>1.672805457</v>
      </c>
      <c r="I145" t="n">
        <v>0.878616947</v>
      </c>
      <c r="J145" t="n">
        <v/>
      </c>
      <c r="K145" t="n">
        <v/>
      </c>
      <c r="L145" t="n">
        <v/>
      </c>
      <c r="M145" t="n">
        <v>0.906269548</v>
      </c>
      <c r="N145" t="n">
        <v>0.5138536970000001</v>
      </c>
      <c r="O145" t="n">
        <v/>
      </c>
      <c r="P145" t="n">
        <v>0.365463092</v>
      </c>
      <c r="Q145" t="n">
        <v/>
      </c>
      <c r="R145" t="n">
        <v/>
      </c>
      <c r="S145" t="n">
        <v>0.116838809</v>
      </c>
      <c r="T145" t="n">
        <v>0.540321805</v>
      </c>
      <c r="U145" t="n">
        <v>0.964257</v>
      </c>
      <c r="V145" t="n">
        <v>1.852809341</v>
      </c>
      <c r="W145" t="n">
        <v>-1.198966939</v>
      </c>
      <c r="X145" t="n">
        <v/>
      </c>
      <c r="Y145" t="n">
        <v/>
      </c>
      <c r="Z145" t="n">
        <v>-0.399075644</v>
      </c>
      <c r="AA145" t="n">
        <v>-1.086195675</v>
      </c>
      <c r="AB145" t="n">
        <v/>
      </c>
      <c r="AC145" t="n">
        <v>0.279768455</v>
      </c>
      <c r="AD145" t="n">
        <v>0.06306144</v>
      </c>
      <c r="AE145" t="n">
        <v>4.430468416</v>
      </c>
      <c r="AF145" t="n">
        <v>0.500740065</v>
      </c>
      <c r="AG145" t="n">
        <v/>
      </c>
      <c r="AH145" t="n">
        <v>-0.739376103</v>
      </c>
      <c r="AI145" t="n">
        <v>0.832132838</v>
      </c>
      <c r="AJ145" t="n">
        <v>1.892555549</v>
      </c>
      <c r="AK145" t="n">
        <v/>
      </c>
      <c r="AL145" t="n">
        <v>0.807743278</v>
      </c>
      <c r="AM145" t="n">
        <v/>
      </c>
      <c r="AN145" t="n">
        <v>0.922716297</v>
      </c>
      <c r="AO145" t="n">
        <v/>
      </c>
      <c r="AP145" t="n">
        <v/>
      </c>
      <c r="AQ145" t="n">
        <v/>
      </c>
      <c r="AR145" t="n">
        <v>-1.131415266</v>
      </c>
      <c r="AS145" t="n">
        <v/>
      </c>
      <c r="AT145" t="n">
        <v>1.317847576</v>
      </c>
      <c r="AU145" t="n">
        <v>-1.54348066</v>
      </c>
    </row>
    <row r="146">
      <c r="A146" t="inlineStr">
        <is>
          <t>1983-Q2</t>
        </is>
      </c>
      <c r="B146" s="107" t="n">
        <v>30498</v>
      </c>
      <c r="C146" t="n">
        <v/>
      </c>
      <c r="D146" t="n">
        <v>-0.183993824</v>
      </c>
      <c r="E146" t="n">
        <v>1.308601504</v>
      </c>
      <c r="F146" t="n">
        <v>0.047185122</v>
      </c>
      <c r="G146" t="n">
        <v/>
      </c>
      <c r="H146" t="n">
        <v>1.965445626</v>
      </c>
      <c r="I146" t="n">
        <v>0.186722737</v>
      </c>
      <c r="J146" t="n">
        <v/>
      </c>
      <c r="K146" t="n">
        <v/>
      </c>
      <c r="L146" t="n">
        <v/>
      </c>
      <c r="M146" t="n">
        <v>1.052777518</v>
      </c>
      <c r="N146" t="n">
        <v>1.641518999</v>
      </c>
      <c r="O146" t="n">
        <v/>
      </c>
      <c r="P146" t="n">
        <v>0.617609594</v>
      </c>
      <c r="Q146" t="n">
        <v/>
      </c>
      <c r="R146" t="n">
        <v/>
      </c>
      <c r="S146" t="n">
        <v>1.050322099</v>
      </c>
      <c r="T146" t="n">
        <v>-0.033650484</v>
      </c>
      <c r="U146" t="n">
        <v>1.359951</v>
      </c>
      <c r="V146" t="n">
        <v>0.827410883</v>
      </c>
      <c r="W146" t="n">
        <v>-3.124675415</v>
      </c>
      <c r="X146" t="n">
        <v/>
      </c>
      <c r="Y146" t="n">
        <v/>
      </c>
      <c r="Z146" t="n">
        <v>-0.160622964</v>
      </c>
      <c r="AA146" t="n">
        <v>-0.728979951</v>
      </c>
      <c r="AB146" t="n">
        <v/>
      </c>
      <c r="AC146" t="n">
        <v>-0.120408691</v>
      </c>
      <c r="AD146" t="n">
        <v>0.751951743</v>
      </c>
      <c r="AE146" t="n">
        <v>3.087699961</v>
      </c>
      <c r="AF146" t="n">
        <v>0.904903114</v>
      </c>
      <c r="AG146" t="n">
        <v/>
      </c>
      <c r="AH146" t="n">
        <v>-2.01071468</v>
      </c>
      <c r="AI146" t="n">
        <v>2.716420716</v>
      </c>
      <c r="AJ146" t="n">
        <v>1.103167097</v>
      </c>
      <c r="AK146" t="n">
        <v/>
      </c>
      <c r="AL146" t="n">
        <v>1.104776723</v>
      </c>
      <c r="AM146" t="n">
        <v/>
      </c>
      <c r="AN146" t="n">
        <v>-0.894686478</v>
      </c>
      <c r="AO146" t="n">
        <v/>
      </c>
      <c r="AP146" t="n">
        <v/>
      </c>
      <c r="AQ146" t="n">
        <v/>
      </c>
      <c r="AR146" t="n">
        <v>0.78839975</v>
      </c>
      <c r="AS146" t="n">
        <v/>
      </c>
      <c r="AT146" t="n">
        <v>2.275612439</v>
      </c>
      <c r="AU146" t="n">
        <v>0.415254266</v>
      </c>
    </row>
    <row r="147">
      <c r="A147" t="inlineStr">
        <is>
          <t>1983-Q3</t>
        </is>
      </c>
      <c r="B147" s="107" t="n">
        <v>30590</v>
      </c>
      <c r="C147" t="n">
        <v/>
      </c>
      <c r="D147" t="n">
        <v>2.788197533</v>
      </c>
      <c r="E147" t="n">
        <v>0.838428419</v>
      </c>
      <c r="F147" t="n">
        <v>0.834639932</v>
      </c>
      <c r="G147" t="n">
        <v/>
      </c>
      <c r="H147" t="n">
        <v>1.118398007</v>
      </c>
      <c r="I147" t="n">
        <v>0.435536475</v>
      </c>
      <c r="J147" t="n">
        <v/>
      </c>
      <c r="K147" t="n">
        <v/>
      </c>
      <c r="L147" t="n">
        <v/>
      </c>
      <c r="M147" t="n">
        <v>-0.208367803</v>
      </c>
      <c r="N147" t="n">
        <v>-1.290314265</v>
      </c>
      <c r="O147" t="n">
        <v/>
      </c>
      <c r="P147" t="n">
        <v>0.147060704</v>
      </c>
      <c r="Q147" t="n">
        <v/>
      </c>
      <c r="R147" t="n">
        <v/>
      </c>
      <c r="S147" t="n">
        <v>0.919295976</v>
      </c>
      <c r="T147" t="n">
        <v>0.095375131</v>
      </c>
      <c r="U147" t="n">
        <v>1.377016</v>
      </c>
      <c r="V147" t="n">
        <v>1.08345755</v>
      </c>
      <c r="W147" t="n">
        <v>2.355211665</v>
      </c>
      <c r="X147" t="n">
        <v/>
      </c>
      <c r="Y147" t="n">
        <v/>
      </c>
      <c r="Z147" t="n">
        <v>0.365866648</v>
      </c>
      <c r="AA147" t="n">
        <v>0.095576801</v>
      </c>
      <c r="AB147" t="n">
        <v/>
      </c>
      <c r="AC147" t="n">
        <v>1.862228848</v>
      </c>
      <c r="AD147" t="n">
        <v>1.496253621</v>
      </c>
      <c r="AE147" t="n">
        <v>3.713597355</v>
      </c>
      <c r="AF147" t="n">
        <v>1.530275988</v>
      </c>
      <c r="AG147" t="n">
        <v/>
      </c>
      <c r="AH147" t="n">
        <v>0.830142741</v>
      </c>
      <c r="AI147" t="n">
        <v>1.47510981</v>
      </c>
      <c r="AJ147" t="n">
        <v>1.38234478</v>
      </c>
      <c r="AK147" t="n">
        <v/>
      </c>
      <c r="AL147" t="n">
        <v>1.319459089</v>
      </c>
      <c r="AM147" t="n">
        <v/>
      </c>
      <c r="AN147" t="n">
        <v>-1.500339839</v>
      </c>
      <c r="AO147" t="n">
        <v/>
      </c>
      <c r="AP147" t="n">
        <v/>
      </c>
      <c r="AQ147" t="n">
        <v/>
      </c>
      <c r="AR147" t="n">
        <v>1.127330251</v>
      </c>
      <c r="AS147" t="n">
        <v/>
      </c>
      <c r="AT147" t="n">
        <v>1.999064294</v>
      </c>
      <c r="AU147" t="n">
        <v>1.152778503</v>
      </c>
    </row>
    <row r="148">
      <c r="A148" t="inlineStr">
        <is>
          <t>1983-Q4</t>
        </is>
      </c>
      <c r="B148" s="107" t="n">
        <v>30682</v>
      </c>
      <c r="C148" t="n">
        <v/>
      </c>
      <c r="D148" t="n">
        <v>1.677953348</v>
      </c>
      <c r="E148" t="n">
        <v>1.013589137</v>
      </c>
      <c r="F148" t="n">
        <v>1.11730004</v>
      </c>
      <c r="G148" t="n">
        <v/>
      </c>
      <c r="H148" t="n">
        <v>1.260197667</v>
      </c>
      <c r="I148" t="n">
        <v>0.349783064</v>
      </c>
      <c r="J148" t="n">
        <v/>
      </c>
      <c r="K148" t="n">
        <v/>
      </c>
      <c r="L148" t="n">
        <v/>
      </c>
      <c r="M148" t="n">
        <v>1.383273921</v>
      </c>
      <c r="N148" t="n">
        <v>2.339343054</v>
      </c>
      <c r="O148" t="n">
        <v/>
      </c>
      <c r="P148" t="n">
        <v>0.646116914</v>
      </c>
      <c r="Q148" t="n">
        <v/>
      </c>
      <c r="R148" t="n">
        <v/>
      </c>
      <c r="S148" t="n">
        <v>-0.242607342</v>
      </c>
      <c r="T148" t="n">
        <v>0.576321368</v>
      </c>
      <c r="U148" t="n">
        <v>1.552792</v>
      </c>
      <c r="V148" t="n">
        <v>0.852220362</v>
      </c>
      <c r="W148" t="n">
        <v>3.310113654</v>
      </c>
      <c r="X148" t="n">
        <v/>
      </c>
      <c r="Y148" t="n">
        <v/>
      </c>
      <c r="Z148" t="n">
        <v>0.9494425949999999</v>
      </c>
      <c r="AA148" t="n">
        <v>0.9919697119999999</v>
      </c>
      <c r="AB148" t="n">
        <v/>
      </c>
      <c r="AC148" t="n">
        <v>2.216799557</v>
      </c>
      <c r="AD148" t="n">
        <v>0.83312633</v>
      </c>
      <c r="AE148" t="n">
        <v>0.715888069</v>
      </c>
      <c r="AF148" t="n">
        <v>2.017614358</v>
      </c>
      <c r="AG148" t="n">
        <v/>
      </c>
      <c r="AH148" t="n">
        <v>1.150445915</v>
      </c>
      <c r="AI148" t="n">
        <v>-0.701583523</v>
      </c>
      <c r="AJ148" t="n">
        <v>0.037273945</v>
      </c>
      <c r="AK148" t="n">
        <v/>
      </c>
      <c r="AL148" t="n">
        <v>1.435205354</v>
      </c>
      <c r="AM148" t="n">
        <v/>
      </c>
      <c r="AN148" t="n">
        <v>-0.652490849</v>
      </c>
      <c r="AO148" t="n">
        <v/>
      </c>
      <c r="AP148" t="n">
        <v/>
      </c>
      <c r="AQ148" t="n">
        <v/>
      </c>
      <c r="AR148" t="n">
        <v>2.014711165</v>
      </c>
      <c r="AS148" t="n">
        <v/>
      </c>
      <c r="AT148" t="n">
        <v>2.086217479</v>
      </c>
      <c r="AU148" t="n">
        <v>2.536371796</v>
      </c>
    </row>
    <row r="149">
      <c r="A149" t="inlineStr">
        <is>
          <t>1984-Q1</t>
        </is>
      </c>
      <c r="B149" s="107" t="n">
        <v>30773</v>
      </c>
      <c r="C149" t="n">
        <v/>
      </c>
      <c r="D149" t="n">
        <v>2.50869533</v>
      </c>
      <c r="E149" t="n">
        <v>-1.317603741</v>
      </c>
      <c r="F149" t="n">
        <v>0.404556436</v>
      </c>
      <c r="G149" t="n">
        <v/>
      </c>
      <c r="H149" t="n">
        <v>1.720298067</v>
      </c>
      <c r="I149" t="n">
        <v>1.19473237</v>
      </c>
      <c r="J149" t="n">
        <v/>
      </c>
      <c r="K149" t="n">
        <v/>
      </c>
      <c r="L149" t="n">
        <v/>
      </c>
      <c r="M149" t="n">
        <v>1.322572601</v>
      </c>
      <c r="N149" t="n">
        <v>1.298158981</v>
      </c>
      <c r="O149" t="n">
        <v/>
      </c>
      <c r="P149" t="n">
        <v>0.827201218</v>
      </c>
      <c r="Q149" t="n">
        <v/>
      </c>
      <c r="R149" t="n">
        <v/>
      </c>
      <c r="S149" t="n">
        <v>1.578488505</v>
      </c>
      <c r="T149" t="n">
        <v>0.616618205</v>
      </c>
      <c r="U149" t="n">
        <v>1.35707</v>
      </c>
      <c r="V149" t="n">
        <v>0.697636436</v>
      </c>
      <c r="W149" t="n">
        <v>-0.643852978</v>
      </c>
      <c r="X149" t="n">
        <v/>
      </c>
      <c r="Y149" t="n">
        <v/>
      </c>
      <c r="Z149" t="n">
        <v>1.323472594</v>
      </c>
      <c r="AA149" t="n">
        <v>1.488003664</v>
      </c>
      <c r="AB149" t="n">
        <v/>
      </c>
      <c r="AC149" t="n">
        <v>-0.196112871</v>
      </c>
      <c r="AD149" t="n">
        <v>1.15167553</v>
      </c>
      <c r="AE149" t="n">
        <v>4.381299676</v>
      </c>
      <c r="AF149" t="n">
        <v>2.008825017</v>
      </c>
      <c r="AG149" t="n">
        <v/>
      </c>
      <c r="AH149" t="n">
        <v>2.760114021</v>
      </c>
      <c r="AI149" t="n">
        <v>1.676444412</v>
      </c>
      <c r="AJ149" t="n">
        <v>2.682463541</v>
      </c>
      <c r="AK149" t="n">
        <v/>
      </c>
      <c r="AL149" t="n">
        <v>1.448686646</v>
      </c>
      <c r="AM149" t="n">
        <v/>
      </c>
      <c r="AN149" t="n">
        <v>-0.770611829</v>
      </c>
      <c r="AO149" t="n">
        <v/>
      </c>
      <c r="AP149" t="n">
        <v/>
      </c>
      <c r="AQ149" t="n">
        <v/>
      </c>
      <c r="AR149" t="n">
        <v>2.256875815</v>
      </c>
      <c r="AS149" t="n">
        <v/>
      </c>
      <c r="AT149" t="n">
        <v>1.954770289</v>
      </c>
      <c r="AU149" t="n">
        <v>1.696766485</v>
      </c>
    </row>
    <row r="150">
      <c r="A150" t="inlineStr">
        <is>
          <t>1984-Q2</t>
        </is>
      </c>
      <c r="B150" s="107" t="n">
        <v>30864</v>
      </c>
      <c r="C150" t="n">
        <v/>
      </c>
      <c r="D150" t="n">
        <v>1.122581577</v>
      </c>
      <c r="E150" t="n">
        <v>-0.705957587</v>
      </c>
      <c r="F150" t="n">
        <v>0.152870268</v>
      </c>
      <c r="G150" t="n">
        <v/>
      </c>
      <c r="H150" t="n">
        <v>1.955921331</v>
      </c>
      <c r="I150" t="n">
        <v>0.497644414</v>
      </c>
      <c r="J150" t="n">
        <v/>
      </c>
      <c r="K150" t="n">
        <v/>
      </c>
      <c r="L150" t="n">
        <v/>
      </c>
      <c r="M150" t="n">
        <v>-1.575206402</v>
      </c>
      <c r="N150" t="n">
        <v>1.267804499</v>
      </c>
      <c r="O150" t="n">
        <v/>
      </c>
      <c r="P150" t="n">
        <v>-0.308284679</v>
      </c>
      <c r="Q150" t="n">
        <v/>
      </c>
      <c r="R150" t="n">
        <v/>
      </c>
      <c r="S150" t="n">
        <v>0.135519718</v>
      </c>
      <c r="T150" t="n">
        <v>0.367182307</v>
      </c>
      <c r="U150" t="n">
        <v>0.89009</v>
      </c>
      <c r="V150" t="n">
        <v>-0.882030369</v>
      </c>
      <c r="W150" t="n">
        <v>-2.588699527</v>
      </c>
      <c r="X150" t="n">
        <v/>
      </c>
      <c r="Y150" t="n">
        <v/>
      </c>
      <c r="Z150" t="n">
        <v>1.460845341</v>
      </c>
      <c r="AA150" t="n">
        <v>1.535971926</v>
      </c>
      <c r="AB150" t="n">
        <v/>
      </c>
      <c r="AC150" t="n">
        <v>0.321964637</v>
      </c>
      <c r="AD150" t="n">
        <v>1.514425641</v>
      </c>
      <c r="AE150" t="n">
        <v>2.506439485</v>
      </c>
      <c r="AF150" t="n">
        <v>1.562180116</v>
      </c>
      <c r="AG150" t="n">
        <v/>
      </c>
      <c r="AH150" t="n">
        <v>-1.471891339</v>
      </c>
      <c r="AI150" t="n">
        <v>-0.058949625</v>
      </c>
      <c r="AJ150" t="n">
        <v>0.620679855</v>
      </c>
      <c r="AK150" t="n">
        <v/>
      </c>
      <c r="AL150" t="n">
        <v>0.669643357</v>
      </c>
      <c r="AM150" t="n">
        <v/>
      </c>
      <c r="AN150" t="n">
        <v>-1.034333756</v>
      </c>
      <c r="AO150" t="n">
        <v/>
      </c>
      <c r="AP150" t="n">
        <v/>
      </c>
      <c r="AQ150" t="n">
        <v/>
      </c>
      <c r="AR150" t="n">
        <v>-1.513563096</v>
      </c>
      <c r="AS150" t="n">
        <v/>
      </c>
      <c r="AT150" t="n">
        <v>1.727792663</v>
      </c>
      <c r="AU150" t="n">
        <v>2.077491808</v>
      </c>
    </row>
    <row r="151">
      <c r="A151" t="inlineStr">
        <is>
          <t>1984-Q3</t>
        </is>
      </c>
      <c r="B151" s="107" t="n">
        <v>30956</v>
      </c>
      <c r="C151" t="n">
        <v/>
      </c>
      <c r="D151" t="n">
        <v>0.8483550479999999</v>
      </c>
      <c r="E151" t="n">
        <v>0.91992237</v>
      </c>
      <c r="F151" t="n">
        <v>0.286767681</v>
      </c>
      <c r="G151" t="n">
        <v/>
      </c>
      <c r="H151" t="n">
        <v>0.420533849</v>
      </c>
      <c r="I151" t="n">
        <v>1.7509008</v>
      </c>
      <c r="J151" t="n">
        <v/>
      </c>
      <c r="K151" t="n">
        <v/>
      </c>
      <c r="L151" t="n">
        <v/>
      </c>
      <c r="M151" t="n">
        <v>2.723287578</v>
      </c>
      <c r="N151" t="n">
        <v>0.912187488</v>
      </c>
      <c r="O151" t="n">
        <v/>
      </c>
      <c r="P151" t="n">
        <v>0.870915218</v>
      </c>
      <c r="Q151" t="n">
        <v/>
      </c>
      <c r="R151" t="n">
        <v/>
      </c>
      <c r="S151" t="n">
        <v>0.893219651</v>
      </c>
      <c r="T151" t="n">
        <v>0.463547567</v>
      </c>
      <c r="U151" t="n">
        <v>1.138343</v>
      </c>
      <c r="V151" t="n">
        <v>0.64091575</v>
      </c>
      <c r="W151" t="n">
        <v>3.039879871</v>
      </c>
      <c r="X151" t="n">
        <v/>
      </c>
      <c r="Y151" t="n">
        <v/>
      </c>
      <c r="Z151" t="n">
        <v>1.409504901</v>
      </c>
      <c r="AA151" t="n">
        <v>1.224880414</v>
      </c>
      <c r="AB151" t="n">
        <v/>
      </c>
      <c r="AC151" t="n">
        <v>1.177467534</v>
      </c>
      <c r="AD151" t="n">
        <v>1.222067612</v>
      </c>
      <c r="AE151" t="n">
        <v>1.363243714</v>
      </c>
      <c r="AF151" t="n">
        <v>0.740315982</v>
      </c>
      <c r="AG151" t="n">
        <v/>
      </c>
      <c r="AH151" t="n">
        <v>2.421554744</v>
      </c>
      <c r="AI151" t="n">
        <v>1.093892434</v>
      </c>
      <c r="AJ151" t="n">
        <v>2.895367311</v>
      </c>
      <c r="AK151" t="n">
        <v/>
      </c>
      <c r="AL151" t="n">
        <v>1.215428471</v>
      </c>
      <c r="AM151" t="n">
        <v/>
      </c>
      <c r="AN151" t="n">
        <v>2.404084272</v>
      </c>
      <c r="AO151" t="n">
        <v/>
      </c>
      <c r="AP151" t="n">
        <v/>
      </c>
      <c r="AQ151" t="n">
        <v/>
      </c>
      <c r="AR151" t="n">
        <v>1.322052833</v>
      </c>
      <c r="AS151" t="n">
        <v/>
      </c>
      <c r="AT151" t="n">
        <v>0.964063628</v>
      </c>
      <c r="AU151" t="n">
        <v>-1.657470107</v>
      </c>
    </row>
    <row r="152">
      <c r="A152" t="inlineStr">
        <is>
          <t>1984-Q4</t>
        </is>
      </c>
      <c r="B152" s="107" t="n">
        <v>31048</v>
      </c>
      <c r="C152" t="n">
        <v/>
      </c>
      <c r="D152" t="n">
        <v>0.701998631</v>
      </c>
      <c r="E152" t="n">
        <v>0.95028883</v>
      </c>
      <c r="F152" t="n">
        <v>0.644336748</v>
      </c>
      <c r="G152" t="n">
        <v/>
      </c>
      <c r="H152" t="n">
        <v>1.584483871</v>
      </c>
      <c r="I152" t="n">
        <v>0.811258481</v>
      </c>
      <c r="J152" t="n">
        <v/>
      </c>
      <c r="K152" t="n">
        <v/>
      </c>
      <c r="L152" t="n">
        <v/>
      </c>
      <c r="M152" t="n">
        <v>0.841814285</v>
      </c>
      <c r="N152" t="n">
        <v>0.465100265</v>
      </c>
      <c r="O152" t="n">
        <v/>
      </c>
      <c r="P152" t="n">
        <v>0.127632419</v>
      </c>
      <c r="Q152" t="n">
        <v/>
      </c>
      <c r="R152" t="n">
        <v/>
      </c>
      <c r="S152" t="n">
        <v>1.180415828</v>
      </c>
      <c r="T152" t="n">
        <v>0.283695276</v>
      </c>
      <c r="U152" t="n">
        <v>0.729511</v>
      </c>
      <c r="V152" t="n">
        <v>1.960829859</v>
      </c>
      <c r="W152" t="n">
        <v>1.199735651</v>
      </c>
      <c r="X152" t="n">
        <v/>
      </c>
      <c r="Y152" t="n">
        <v/>
      </c>
      <c r="Z152" t="n">
        <v>1.201564066</v>
      </c>
      <c r="AA152" t="n">
        <v>0.819432844</v>
      </c>
      <c r="AB152" t="n">
        <v/>
      </c>
      <c r="AC152" t="n">
        <v>0.01604437</v>
      </c>
      <c r="AD152" t="n">
        <v>0.172601927</v>
      </c>
      <c r="AE152" t="n">
        <v>0.486023902</v>
      </c>
      <c r="AF152" t="n">
        <v>0.038899643</v>
      </c>
      <c r="AG152" t="n">
        <v/>
      </c>
      <c r="AH152" t="n">
        <v>-0.881230455</v>
      </c>
      <c r="AI152" t="n">
        <v>0.183878781</v>
      </c>
      <c r="AJ152" t="n">
        <v>2.077149881</v>
      </c>
      <c r="AK152" t="n">
        <v/>
      </c>
      <c r="AL152" t="n">
        <v>0.64438269</v>
      </c>
      <c r="AM152" t="n">
        <v/>
      </c>
      <c r="AN152" t="n">
        <v>-0.2316478</v>
      </c>
      <c r="AO152" t="n">
        <v/>
      </c>
      <c r="AP152" t="n">
        <v/>
      </c>
      <c r="AQ152" t="n">
        <v/>
      </c>
      <c r="AR152" t="n">
        <v>0.9298325079999999</v>
      </c>
      <c r="AS152" t="n">
        <v/>
      </c>
      <c r="AT152" t="n">
        <v>0.820857146</v>
      </c>
      <c r="AU152" t="n">
        <v>0.154612647</v>
      </c>
    </row>
    <row r="153">
      <c r="A153" t="inlineStr">
        <is>
          <t>1985-Q1</t>
        </is>
      </c>
      <c r="B153" s="107" t="n">
        <v>31138</v>
      </c>
      <c r="C153" t="n">
        <v/>
      </c>
      <c r="D153" t="n">
        <v>1.44634635</v>
      </c>
      <c r="E153" t="n">
        <v>0.480319771</v>
      </c>
      <c r="F153" t="n">
        <v>0.427656259</v>
      </c>
      <c r="G153" t="n">
        <v/>
      </c>
      <c r="H153" t="n">
        <v>1.51940209</v>
      </c>
      <c r="I153" t="n">
        <v>1.1747838</v>
      </c>
      <c r="J153" t="n">
        <v/>
      </c>
      <c r="K153" t="n">
        <v/>
      </c>
      <c r="L153" t="n">
        <v/>
      </c>
      <c r="M153" t="n">
        <v>-0.545070922</v>
      </c>
      <c r="N153" t="n">
        <v>0.317686043</v>
      </c>
      <c r="O153" t="n">
        <v/>
      </c>
      <c r="P153" t="n">
        <v>1.115984954</v>
      </c>
      <c r="Q153" t="n">
        <v/>
      </c>
      <c r="R153" t="n">
        <v/>
      </c>
      <c r="S153" t="n">
        <v>0.689380883</v>
      </c>
      <c r="T153" t="n">
        <v>0.132746927</v>
      </c>
      <c r="U153" t="n">
        <v>0.952202</v>
      </c>
      <c r="V153" t="n">
        <v>0.799623349</v>
      </c>
      <c r="W153" t="n">
        <v>-2.684147955</v>
      </c>
      <c r="X153" t="n">
        <v/>
      </c>
      <c r="Y153" t="n">
        <v/>
      </c>
      <c r="Z153" t="n">
        <v>0.866556749</v>
      </c>
      <c r="AA153" t="n">
        <v>0.5889643919999999</v>
      </c>
      <c r="AB153" t="n">
        <v/>
      </c>
      <c r="AC153" t="n">
        <v>0.571727581</v>
      </c>
      <c r="AD153" t="n">
        <v>2.450569896</v>
      </c>
      <c r="AE153" t="n">
        <v>2.810896317</v>
      </c>
      <c r="AF153" t="n">
        <v>-0.025472148</v>
      </c>
      <c r="AG153" t="n">
        <v/>
      </c>
      <c r="AH153" t="n">
        <v>1.829112115</v>
      </c>
      <c r="AI153" t="n">
        <v>0.368847396</v>
      </c>
      <c r="AJ153" t="n">
        <v>1.960690155</v>
      </c>
      <c r="AK153" t="n">
        <v/>
      </c>
      <c r="AL153" t="n">
        <v>0.969657781</v>
      </c>
      <c r="AM153" t="n">
        <v/>
      </c>
      <c r="AN153" t="n">
        <v>1.088803087</v>
      </c>
      <c r="AO153" t="n">
        <v/>
      </c>
      <c r="AP153" t="n">
        <v/>
      </c>
      <c r="AQ153" t="n">
        <v/>
      </c>
      <c r="AR153" t="n">
        <v>0.138870664</v>
      </c>
      <c r="AS153" t="n">
        <v/>
      </c>
      <c r="AT153" t="n">
        <v>0.969072301</v>
      </c>
      <c r="AU153" t="n">
        <v>-0.595775596</v>
      </c>
    </row>
    <row r="154">
      <c r="A154" t="inlineStr">
        <is>
          <t>1985-Q2</t>
        </is>
      </c>
      <c r="B154" s="107" t="n">
        <v>31229</v>
      </c>
      <c r="C154" t="n">
        <v/>
      </c>
      <c r="D154" t="n">
        <v>2.211635629</v>
      </c>
      <c r="E154" t="n">
        <v>0.155684194</v>
      </c>
      <c r="F154" t="n">
        <v>0.365211577</v>
      </c>
      <c r="G154" t="n">
        <v/>
      </c>
      <c r="H154" t="n">
        <v>0.318739387</v>
      </c>
      <c r="I154" t="n">
        <v>0.855004022</v>
      </c>
      <c r="J154" t="n">
        <v/>
      </c>
      <c r="K154" t="n">
        <v/>
      </c>
      <c r="L154" t="n">
        <v/>
      </c>
      <c r="M154" t="n">
        <v>1.002247959</v>
      </c>
      <c r="N154" t="n">
        <v>1.610371546</v>
      </c>
      <c r="O154" t="n">
        <v/>
      </c>
      <c r="P154" t="n">
        <v>-0.093929207</v>
      </c>
      <c r="Q154" t="n">
        <v/>
      </c>
      <c r="R154" t="n">
        <v/>
      </c>
      <c r="S154" t="n">
        <v>1.127935045</v>
      </c>
      <c r="T154" t="n">
        <v>0.627137787</v>
      </c>
      <c r="U154" t="n">
        <v>1.175405</v>
      </c>
      <c r="V154" t="n">
        <v>2.137637487</v>
      </c>
      <c r="W154" t="n">
        <v>0.154857359</v>
      </c>
      <c r="X154" t="n">
        <v/>
      </c>
      <c r="Y154" t="n">
        <v/>
      </c>
      <c r="Z154" t="n">
        <v>0.461224127</v>
      </c>
      <c r="AA154" t="n">
        <v>0.564402476</v>
      </c>
      <c r="AB154" t="n">
        <v/>
      </c>
      <c r="AC154" t="n">
        <v>1.320883135</v>
      </c>
      <c r="AD154" t="n">
        <v>2.024950032</v>
      </c>
      <c r="AE154" t="n">
        <v>2.408892709</v>
      </c>
      <c r="AF154" t="n">
        <v>0.546865216</v>
      </c>
      <c r="AG154" t="n">
        <v/>
      </c>
      <c r="AH154" t="n">
        <v>-0.08664116600000001</v>
      </c>
      <c r="AI154" t="n">
        <v>1.972851315</v>
      </c>
      <c r="AJ154" t="n">
        <v>-1.373830807</v>
      </c>
      <c r="AK154" t="n">
        <v/>
      </c>
      <c r="AL154" t="n">
        <v>1.069893946</v>
      </c>
      <c r="AM154" t="n">
        <v/>
      </c>
      <c r="AN154" t="n">
        <v>0.973922931</v>
      </c>
      <c r="AO154" t="n">
        <v/>
      </c>
      <c r="AP154" t="n">
        <v/>
      </c>
      <c r="AQ154" t="n">
        <v/>
      </c>
      <c r="AR154" t="n">
        <v>1.056977679</v>
      </c>
      <c r="AS154" t="n">
        <v/>
      </c>
      <c r="AT154" t="n">
        <v>0.880466353</v>
      </c>
      <c r="AU154" t="n">
        <v>-0.727141963</v>
      </c>
    </row>
    <row r="155">
      <c r="A155" t="inlineStr">
        <is>
          <t>1985-Q3</t>
        </is>
      </c>
      <c r="B155" s="107" t="n">
        <v>31321</v>
      </c>
      <c r="C155" t="n">
        <v/>
      </c>
      <c r="D155" t="n">
        <v>1.351374255</v>
      </c>
      <c r="E155" t="n">
        <v>1.484461339</v>
      </c>
      <c r="F155" t="n">
        <v>0.677149728</v>
      </c>
      <c r="G155" t="n">
        <v/>
      </c>
      <c r="H155" t="n">
        <v>1.268698772</v>
      </c>
      <c r="I155" t="n">
        <v>0.139898325</v>
      </c>
      <c r="J155" t="n">
        <v/>
      </c>
      <c r="K155" t="n">
        <v/>
      </c>
      <c r="L155" t="n">
        <v/>
      </c>
      <c r="M155" t="n">
        <v>1.302408149</v>
      </c>
      <c r="N155" t="n">
        <v>2.179652219</v>
      </c>
      <c r="O155" t="n">
        <v/>
      </c>
      <c r="P155" t="n">
        <v>1.036666832</v>
      </c>
      <c r="Q155" t="n">
        <v/>
      </c>
      <c r="R155" t="n">
        <v/>
      </c>
      <c r="S155" t="n">
        <v>0.499088621</v>
      </c>
      <c r="T155" t="n">
        <v>0.7441018659999999</v>
      </c>
      <c r="U155" t="n">
        <v>1.223927</v>
      </c>
      <c r="V155" t="n">
        <v>0.09182939599999999</v>
      </c>
      <c r="W155" t="n">
        <v>4.801745465</v>
      </c>
      <c r="X155" t="n">
        <v/>
      </c>
      <c r="Y155" t="n">
        <v/>
      </c>
      <c r="Z155" t="n">
        <v>-0.025823585</v>
      </c>
      <c r="AA155" t="n">
        <v>0.742035808</v>
      </c>
      <c r="AB155" t="n">
        <v/>
      </c>
      <c r="AC155" t="n">
        <v>0.801015883</v>
      </c>
      <c r="AD155" t="n">
        <v>1.308559679</v>
      </c>
      <c r="AE155" t="n">
        <v>1.137674121</v>
      </c>
      <c r="AF155" t="n">
        <v>1.739756298</v>
      </c>
      <c r="AG155" t="n">
        <v/>
      </c>
      <c r="AH155" t="n">
        <v>0.625404543</v>
      </c>
      <c r="AI155" t="n">
        <v>-0.974238714</v>
      </c>
      <c r="AJ155" t="n">
        <v>2.907229393</v>
      </c>
      <c r="AK155" t="n">
        <v/>
      </c>
      <c r="AL155" t="n">
        <v>1.160409873</v>
      </c>
      <c r="AM155" t="n">
        <v/>
      </c>
      <c r="AN155" t="n">
        <v>-0.373988317</v>
      </c>
      <c r="AO155" t="n">
        <v/>
      </c>
      <c r="AP155" t="n">
        <v/>
      </c>
      <c r="AQ155" t="n">
        <v/>
      </c>
      <c r="AR155" t="n">
        <v>1.103460017</v>
      </c>
      <c r="AS155" t="n">
        <v/>
      </c>
      <c r="AT155" t="n">
        <v>1.527121263</v>
      </c>
      <c r="AU155" t="n">
        <v>-0.263979032</v>
      </c>
    </row>
    <row r="156">
      <c r="A156" t="inlineStr">
        <is>
          <t>1985-Q4</t>
        </is>
      </c>
      <c r="B156" s="107" t="n">
        <v>31413</v>
      </c>
      <c r="C156" t="n">
        <v/>
      </c>
      <c r="D156" t="n">
        <v>-0.245823509</v>
      </c>
      <c r="E156" t="n">
        <v>-0.416358753</v>
      </c>
      <c r="F156" t="n">
        <v>0.517968412</v>
      </c>
      <c r="G156" t="n">
        <v/>
      </c>
      <c r="H156" t="n">
        <v>1.534781494</v>
      </c>
      <c r="I156" t="n">
        <v>0.9132554000000001</v>
      </c>
      <c r="J156" t="n">
        <v/>
      </c>
      <c r="K156" t="n">
        <v/>
      </c>
      <c r="L156" t="n">
        <v/>
      </c>
      <c r="M156" t="n">
        <v>0.599977251</v>
      </c>
      <c r="N156" t="n">
        <v>1.901622049</v>
      </c>
      <c r="O156" t="n">
        <v/>
      </c>
      <c r="P156" t="n">
        <v>1.148468301</v>
      </c>
      <c r="Q156" t="n">
        <v/>
      </c>
      <c r="R156" t="n">
        <v/>
      </c>
      <c r="S156" t="n">
        <v>0.168415598</v>
      </c>
      <c r="T156" t="n">
        <v>0.349465011</v>
      </c>
      <c r="U156" t="n">
        <v>0.7847460000000001</v>
      </c>
      <c r="V156" t="n">
        <v>0.236179275</v>
      </c>
      <c r="W156" t="n">
        <v>3.88341557</v>
      </c>
      <c r="X156" t="n">
        <v/>
      </c>
      <c r="Y156" t="n">
        <v/>
      </c>
      <c r="Z156" t="n">
        <v>-0.411335987</v>
      </c>
      <c r="AA156" t="n">
        <v>1.061648587</v>
      </c>
      <c r="AB156" t="n">
        <v/>
      </c>
      <c r="AC156" t="n">
        <v>0.666795973</v>
      </c>
      <c r="AD156" t="n">
        <v>1.328426309</v>
      </c>
      <c r="AE156" t="n">
        <v>3.048656647</v>
      </c>
      <c r="AF156" t="n">
        <v>2.866838608</v>
      </c>
      <c r="AG156" t="n">
        <v/>
      </c>
      <c r="AH156" t="n">
        <v>-0.271496552</v>
      </c>
      <c r="AI156" t="n">
        <v>2.446499155</v>
      </c>
      <c r="AJ156" t="n">
        <v>0.964978631</v>
      </c>
      <c r="AK156" t="n">
        <v/>
      </c>
      <c r="AL156" t="n">
        <v>0.821489866</v>
      </c>
      <c r="AM156" t="n">
        <v/>
      </c>
      <c r="AN156" t="n">
        <v>1.587131687</v>
      </c>
      <c r="AO156" t="n">
        <v/>
      </c>
      <c r="AP156" t="n">
        <v/>
      </c>
      <c r="AQ156" t="n">
        <v/>
      </c>
      <c r="AR156" t="n">
        <v>-1.004893611</v>
      </c>
      <c r="AS156" t="n">
        <v/>
      </c>
      <c r="AT156" t="n">
        <v>0.743327344</v>
      </c>
      <c r="AU156" t="n">
        <v>1.069340316</v>
      </c>
    </row>
    <row r="157">
      <c r="A157" t="inlineStr">
        <is>
          <t>1986-Q1</t>
        </is>
      </c>
      <c r="B157" s="107" t="n">
        <v>31503</v>
      </c>
      <c r="C157" t="n">
        <v/>
      </c>
      <c r="D157" t="n">
        <v>0.638704486</v>
      </c>
      <c r="E157" t="n">
        <v>0.89439608</v>
      </c>
      <c r="F157" t="n">
        <v>0.547889625</v>
      </c>
      <c r="G157" t="n">
        <v/>
      </c>
      <c r="H157" t="n">
        <v>-0.030061903</v>
      </c>
      <c r="I157" t="n">
        <v>0.534149395</v>
      </c>
      <c r="J157" t="n">
        <v/>
      </c>
      <c r="K157" t="n">
        <v/>
      </c>
      <c r="L157" t="n">
        <v/>
      </c>
      <c r="M157" t="n">
        <v>-0.57204937</v>
      </c>
      <c r="N157" t="n">
        <v>0.8650818139999999</v>
      </c>
      <c r="O157" t="n">
        <v/>
      </c>
      <c r="P157" t="n">
        <v>0.28204135</v>
      </c>
      <c r="Q157" t="n">
        <v/>
      </c>
      <c r="R157" t="n">
        <v/>
      </c>
      <c r="S157" t="n">
        <v>0.060355234</v>
      </c>
      <c r="T157" t="n">
        <v>0.338126356</v>
      </c>
      <c r="U157" t="n">
        <v>0.574594</v>
      </c>
      <c r="V157" t="n">
        <v>1.132900807</v>
      </c>
      <c r="W157" t="n">
        <v>-6.376633213</v>
      </c>
      <c r="X157" t="n">
        <v/>
      </c>
      <c r="Y157" t="n">
        <v/>
      </c>
      <c r="Z157" t="n">
        <v>-0.476883795</v>
      </c>
      <c r="AA157" t="n">
        <v>1.461927375</v>
      </c>
      <c r="AB157" t="n">
        <v/>
      </c>
      <c r="AC157" t="n">
        <v>0.6231799</v>
      </c>
      <c r="AD157" t="n">
        <v>0.397646389</v>
      </c>
      <c r="AE157" t="n">
        <v>1.925429551</v>
      </c>
      <c r="AF157" t="n">
        <v>3.202975963</v>
      </c>
      <c r="AG157" t="n">
        <v/>
      </c>
      <c r="AH157" t="n">
        <v>-1.92823854</v>
      </c>
      <c r="AI157" t="n">
        <v>0.176768535</v>
      </c>
      <c r="AJ157" t="n">
        <v>1.874972711</v>
      </c>
      <c r="AK157" t="n">
        <v/>
      </c>
      <c r="AL157" t="n">
        <v>0.441587122</v>
      </c>
      <c r="AM157" t="n">
        <v/>
      </c>
      <c r="AN157" t="n">
        <v>1.321063257</v>
      </c>
      <c r="AO157" t="n">
        <v/>
      </c>
      <c r="AP157" t="n">
        <v/>
      </c>
      <c r="AQ157" t="n">
        <v/>
      </c>
      <c r="AR157" t="n">
        <v>2.023470286</v>
      </c>
      <c r="AS157" t="n">
        <v/>
      </c>
      <c r="AT157" t="n">
        <v>0.933524708</v>
      </c>
      <c r="AU157" t="n">
        <v>-1.191395651</v>
      </c>
    </row>
    <row r="158">
      <c r="A158" t="inlineStr">
        <is>
          <t>1986-Q2</t>
        </is>
      </c>
      <c r="B158" s="107" t="n">
        <v>31594</v>
      </c>
      <c r="C158" t="n">
        <v/>
      </c>
      <c r="D158" t="n">
        <v>-0.177680054</v>
      </c>
      <c r="E158" t="n">
        <v>1.209921631</v>
      </c>
      <c r="F158" t="n">
        <v>0.203576123</v>
      </c>
      <c r="G158" t="n">
        <v/>
      </c>
      <c r="H158" t="n">
        <v>0.568484015</v>
      </c>
      <c r="I158" t="n">
        <v>0.480621358</v>
      </c>
      <c r="J158" t="n">
        <v/>
      </c>
      <c r="K158" t="n">
        <v/>
      </c>
      <c r="L158" t="n">
        <v/>
      </c>
      <c r="M158" t="n">
        <v>1.150684662</v>
      </c>
      <c r="N158" t="n">
        <v>-0.296741302</v>
      </c>
      <c r="O158" t="n">
        <v/>
      </c>
      <c r="P158" t="n">
        <v>2.381555918</v>
      </c>
      <c r="Q158" t="n">
        <v/>
      </c>
      <c r="R158" t="n">
        <v/>
      </c>
      <c r="S158" t="n">
        <v>0.43515726</v>
      </c>
      <c r="T158" t="n">
        <v>1.122554165</v>
      </c>
      <c r="U158" t="n">
        <v>0.505069</v>
      </c>
      <c r="V158" t="n">
        <v>0.741475755</v>
      </c>
      <c r="W158" t="n">
        <v>2.67650975</v>
      </c>
      <c r="X158" t="n">
        <v/>
      </c>
      <c r="Y158" t="n">
        <v/>
      </c>
      <c r="Z158" t="n">
        <v>-0.220145043</v>
      </c>
      <c r="AA158" t="n">
        <v>1.905118594</v>
      </c>
      <c r="AB158" t="n">
        <v/>
      </c>
      <c r="AC158" t="n">
        <v>0.646812678</v>
      </c>
      <c r="AD158" t="n">
        <v>-0.245688838</v>
      </c>
      <c r="AE158" t="n">
        <v>3.897172975</v>
      </c>
      <c r="AF158" t="n">
        <v>2.819251519</v>
      </c>
      <c r="AG158" t="n">
        <v/>
      </c>
      <c r="AH158" t="n">
        <v>-0.373519773</v>
      </c>
      <c r="AI158" t="n">
        <v>1.732328888</v>
      </c>
      <c r="AJ158" t="n">
        <v>-1.356155484</v>
      </c>
      <c r="AK158" t="n">
        <v/>
      </c>
      <c r="AL158" t="n">
        <v>0.641583953</v>
      </c>
      <c r="AM158" t="n">
        <v/>
      </c>
      <c r="AN158" t="n">
        <v>1.128379966</v>
      </c>
      <c r="AO158" t="n">
        <v/>
      </c>
      <c r="AP158" t="n">
        <v/>
      </c>
      <c r="AQ158" t="n">
        <v/>
      </c>
      <c r="AR158" t="n">
        <v>0.500524353</v>
      </c>
      <c r="AS158" t="n">
        <v/>
      </c>
      <c r="AT158" t="n">
        <v>0.450377363</v>
      </c>
      <c r="AU158" t="n">
        <v>0.690410026</v>
      </c>
    </row>
    <row r="159">
      <c r="A159" t="inlineStr">
        <is>
          <t>1986-Q3</t>
        </is>
      </c>
      <c r="B159" s="107" t="n">
        <v>31686</v>
      </c>
      <c r="C159" t="n">
        <v/>
      </c>
      <c r="D159" t="n">
        <v>0.282012916</v>
      </c>
      <c r="E159" t="n">
        <v>0.08147199199999999</v>
      </c>
      <c r="F159" t="n">
        <v>1.230936529</v>
      </c>
      <c r="G159" t="n">
        <v/>
      </c>
      <c r="H159" t="n">
        <v>0.126214599</v>
      </c>
      <c r="I159" t="n">
        <v>-0.088404836</v>
      </c>
      <c r="J159" t="n">
        <v/>
      </c>
      <c r="K159" t="n">
        <v/>
      </c>
      <c r="L159" t="n">
        <v/>
      </c>
      <c r="M159" t="n">
        <v>0.738239227</v>
      </c>
      <c r="N159" t="n">
        <v>-0.039017767</v>
      </c>
      <c r="O159" t="n">
        <v/>
      </c>
      <c r="P159" t="n">
        <v>-0.705039025</v>
      </c>
      <c r="Q159" t="n">
        <v/>
      </c>
      <c r="R159" t="n">
        <v/>
      </c>
      <c r="S159" t="n">
        <v>4.358457381</v>
      </c>
      <c r="T159" t="n">
        <v>0.345403761</v>
      </c>
      <c r="U159" t="n">
        <v>0.7524189999999999</v>
      </c>
      <c r="V159" t="n">
        <v>0.4585683</v>
      </c>
      <c r="W159" t="n">
        <v>-1.460956352</v>
      </c>
      <c r="X159" t="n">
        <v/>
      </c>
      <c r="Y159" t="n">
        <v/>
      </c>
      <c r="Z159" t="n">
        <v>0.349549576</v>
      </c>
      <c r="AA159" t="n">
        <v>2.438086319</v>
      </c>
      <c r="AB159" t="n">
        <v/>
      </c>
      <c r="AC159" t="n">
        <v>0.998122617</v>
      </c>
      <c r="AD159" t="n">
        <v>0.585787749</v>
      </c>
      <c r="AE159" t="n">
        <v>4.317175112</v>
      </c>
      <c r="AF159" t="n">
        <v>1.88521542</v>
      </c>
      <c r="AG159" t="n">
        <v/>
      </c>
      <c r="AH159" t="n">
        <v>-1.898208827</v>
      </c>
      <c r="AI159" t="n">
        <v>0.253506563</v>
      </c>
      <c r="AJ159" t="n">
        <v>2.610107478</v>
      </c>
      <c r="AK159" t="n">
        <v/>
      </c>
      <c r="AL159" t="n">
        <v>0.6755915689999999</v>
      </c>
      <c r="AM159" t="n">
        <v/>
      </c>
      <c r="AN159" t="n">
        <v>0.5352335070000001</v>
      </c>
      <c r="AO159" t="n">
        <v/>
      </c>
      <c r="AP159" t="n">
        <v/>
      </c>
      <c r="AQ159" t="n">
        <v/>
      </c>
      <c r="AR159" t="n">
        <v>0.489035763</v>
      </c>
      <c r="AS159" t="n">
        <v/>
      </c>
      <c r="AT159" t="n">
        <v>0.956992886</v>
      </c>
      <c r="AU159" t="n">
        <v>0.225035091</v>
      </c>
    </row>
    <row r="160">
      <c r="A160" t="inlineStr">
        <is>
          <t>1986-Q4</t>
        </is>
      </c>
      <c r="B160" s="107" t="n">
        <v>31778</v>
      </c>
      <c r="C160" t="n">
        <v/>
      </c>
      <c r="D160" t="n">
        <v>1.657921303</v>
      </c>
      <c r="E160" t="n">
        <v>0.074006433</v>
      </c>
      <c r="F160" t="n">
        <v>-1.156201418</v>
      </c>
      <c r="G160" t="n">
        <v/>
      </c>
      <c r="H160" t="n">
        <v>-0.722101968</v>
      </c>
      <c r="I160" t="n">
        <v>-0.130248837</v>
      </c>
      <c r="J160" t="n">
        <v/>
      </c>
      <c r="K160" t="n">
        <v/>
      </c>
      <c r="L160" t="n">
        <v/>
      </c>
      <c r="M160" t="n">
        <v>0.997108218</v>
      </c>
      <c r="N160" t="n">
        <v>0.367632584</v>
      </c>
      <c r="O160" t="n">
        <v/>
      </c>
      <c r="P160" t="n">
        <v>0.638803135</v>
      </c>
      <c r="Q160" t="n">
        <v/>
      </c>
      <c r="R160" t="n">
        <v/>
      </c>
      <c r="S160" t="n">
        <v>-1.874460476</v>
      </c>
      <c r="T160" t="n">
        <v>0.358194674</v>
      </c>
      <c r="U160" t="n">
        <v>0.65161</v>
      </c>
      <c r="V160" t="n">
        <v>1.791063001</v>
      </c>
      <c r="W160" t="n">
        <v>2.718685968</v>
      </c>
      <c r="X160" t="n">
        <v/>
      </c>
      <c r="Y160" t="n">
        <v/>
      </c>
      <c r="Z160" t="n">
        <v>0.987010685</v>
      </c>
      <c r="AA160" t="n">
        <v>2.747322694</v>
      </c>
      <c r="AB160" t="n">
        <v/>
      </c>
      <c r="AC160" t="n">
        <v>0.410590175</v>
      </c>
      <c r="AD160" t="n">
        <v>0.7887211079999999</v>
      </c>
      <c r="AE160" t="n">
        <v>1.559825819</v>
      </c>
      <c r="AF160" t="n">
        <v>0.897677378</v>
      </c>
      <c r="AG160" t="n">
        <v/>
      </c>
      <c r="AH160" t="n">
        <v>-0.273023038</v>
      </c>
      <c r="AI160" t="n">
        <v>-1.274309195</v>
      </c>
      <c r="AJ160" t="n">
        <v>0.547564819</v>
      </c>
      <c r="AK160" t="n">
        <v/>
      </c>
      <c r="AL160" t="n">
        <v>0.613478787</v>
      </c>
      <c r="AM160" t="n">
        <v/>
      </c>
      <c r="AN160" t="n">
        <v>1.600706368</v>
      </c>
      <c r="AO160" t="n">
        <v/>
      </c>
      <c r="AP160" t="n">
        <v/>
      </c>
      <c r="AQ160" t="n">
        <v/>
      </c>
      <c r="AR160" t="n">
        <v>0.303682301</v>
      </c>
      <c r="AS160" t="n">
        <v/>
      </c>
      <c r="AT160" t="n">
        <v>0.5369857179999999</v>
      </c>
      <c r="AU160" t="n">
        <v>0.419882585</v>
      </c>
    </row>
    <row r="161">
      <c r="A161" t="inlineStr">
        <is>
          <t>1987-Q1</t>
        </is>
      </c>
      <c r="B161" s="107" t="n">
        <v>31868</v>
      </c>
      <c r="C161" t="n">
        <v/>
      </c>
      <c r="D161" t="n">
        <v>0.955394898</v>
      </c>
      <c r="E161" t="n">
        <v>-0.8528270570000001</v>
      </c>
      <c r="F161" t="n">
        <v>0.706357821</v>
      </c>
      <c r="G161" t="n">
        <v/>
      </c>
      <c r="H161" t="n">
        <v>2.307193327</v>
      </c>
      <c r="I161" t="n">
        <v>0.175169724</v>
      </c>
      <c r="J161" t="n">
        <v/>
      </c>
      <c r="K161" t="n">
        <v/>
      </c>
      <c r="L161" t="n">
        <v/>
      </c>
      <c r="M161" t="n">
        <v>-2.509804892</v>
      </c>
      <c r="N161" t="n">
        <v>-1.569174494</v>
      </c>
      <c r="O161" t="n">
        <v/>
      </c>
      <c r="P161" t="n">
        <v>2.048184242</v>
      </c>
      <c r="Q161" t="n">
        <v/>
      </c>
      <c r="R161" t="n">
        <v/>
      </c>
      <c r="S161" t="n">
        <v>0.766620586</v>
      </c>
      <c r="T161" t="n">
        <v>0.237118668</v>
      </c>
      <c r="U161" t="n">
        <v>0.252011</v>
      </c>
      <c r="V161" t="n">
        <v>0.939931199</v>
      </c>
      <c r="W161" t="n">
        <v>-4.286339826</v>
      </c>
      <c r="X161" t="n">
        <v/>
      </c>
      <c r="Y161" t="n">
        <v/>
      </c>
      <c r="Z161" t="n">
        <v>1.404725829</v>
      </c>
      <c r="AA161" t="n">
        <v>2.547970949</v>
      </c>
      <c r="AB161" t="n">
        <v/>
      </c>
      <c r="AC161" t="n">
        <v>0.40962454</v>
      </c>
      <c r="AD161" t="n">
        <v>-0.07172563799999999</v>
      </c>
      <c r="AE161" t="n">
        <v>3.211522029</v>
      </c>
      <c r="AF161" t="n">
        <v>0.39014948</v>
      </c>
      <c r="AG161" t="n">
        <v/>
      </c>
      <c r="AH161" t="n">
        <v>0.597476046</v>
      </c>
      <c r="AI161" t="n">
        <v>0.239278793</v>
      </c>
      <c r="AJ161" t="n">
        <v>-0.418688258</v>
      </c>
      <c r="AK161" t="n">
        <v/>
      </c>
      <c r="AL161" t="n">
        <v>0.325693403</v>
      </c>
      <c r="AM161" t="n">
        <v/>
      </c>
      <c r="AN161" t="n">
        <v>1.805396508</v>
      </c>
      <c r="AO161" t="n">
        <v/>
      </c>
      <c r="AP161" t="n">
        <v/>
      </c>
      <c r="AQ161" t="n">
        <v/>
      </c>
      <c r="AR161" t="n">
        <v>0.45626201</v>
      </c>
      <c r="AS161" t="n">
        <v/>
      </c>
      <c r="AT161" t="n">
        <v>0.74501963</v>
      </c>
      <c r="AU161" t="n">
        <v>0.72728254</v>
      </c>
    </row>
    <row r="162">
      <c r="A162" t="inlineStr">
        <is>
          <t>1987-Q2</t>
        </is>
      </c>
      <c r="B162" s="107" t="n">
        <v>31959</v>
      </c>
      <c r="C162" t="n">
        <v/>
      </c>
      <c r="D162" t="n">
        <v>1.572751938</v>
      </c>
      <c r="E162" t="n">
        <v>1.764855166</v>
      </c>
      <c r="F162" t="n">
        <v>1.111189178</v>
      </c>
      <c r="G162" t="n">
        <v/>
      </c>
      <c r="H162" t="n">
        <v>1.291592995</v>
      </c>
      <c r="I162" t="n">
        <v>0.754633327</v>
      </c>
      <c r="J162" t="n">
        <v/>
      </c>
      <c r="K162" t="n">
        <v/>
      </c>
      <c r="L162" t="n">
        <v/>
      </c>
      <c r="M162" t="n">
        <v>2.244993958</v>
      </c>
      <c r="N162" t="n">
        <v>3.024836903</v>
      </c>
      <c r="O162" t="n">
        <v/>
      </c>
      <c r="P162" t="n">
        <v>1.49605753</v>
      </c>
      <c r="Q162" t="n">
        <v/>
      </c>
      <c r="R162" t="n">
        <v/>
      </c>
      <c r="S162" t="n">
        <v>1.741914027</v>
      </c>
      <c r="T162" t="n">
        <v>1.160862355</v>
      </c>
      <c r="U162" t="n">
        <v>1.459178</v>
      </c>
      <c r="V162" t="n">
        <v>1.463181038</v>
      </c>
      <c r="W162" t="n">
        <v>-1.894337321</v>
      </c>
      <c r="X162" t="n">
        <v/>
      </c>
      <c r="Y162" t="n">
        <v/>
      </c>
      <c r="Z162" t="n">
        <v>1.567871274</v>
      </c>
      <c r="AA162" t="n">
        <v>1.964998593</v>
      </c>
      <c r="AB162" t="n">
        <v/>
      </c>
      <c r="AC162" t="n">
        <v>1.514381795</v>
      </c>
      <c r="AD162" t="n">
        <v>2.0955948</v>
      </c>
      <c r="AE162" t="n">
        <v>4.953211831</v>
      </c>
      <c r="AF162" t="n">
        <v>0.428521307</v>
      </c>
      <c r="AG162" t="n">
        <v/>
      </c>
      <c r="AH162" t="n">
        <v>2.736231087</v>
      </c>
      <c r="AI162" t="n">
        <v>1.642375645</v>
      </c>
      <c r="AJ162" t="n">
        <v>2.197283666</v>
      </c>
      <c r="AK162" t="n">
        <v/>
      </c>
      <c r="AL162" t="n">
        <v>1.633267953</v>
      </c>
      <c r="AM162" t="n">
        <v/>
      </c>
      <c r="AN162" t="n">
        <v>1.60081077</v>
      </c>
      <c r="AO162" t="n">
        <v/>
      </c>
      <c r="AP162" t="n">
        <v/>
      </c>
      <c r="AQ162" t="n">
        <v/>
      </c>
      <c r="AR162" t="n">
        <v>2.212031342</v>
      </c>
      <c r="AS162" t="n">
        <v/>
      </c>
      <c r="AT162" t="n">
        <v>1.078842316</v>
      </c>
      <c r="AU162" t="n">
        <v>0.356603187</v>
      </c>
    </row>
    <row r="163">
      <c r="A163" t="inlineStr">
        <is>
          <t>1987-Q3</t>
        </is>
      </c>
      <c r="B163" s="107" t="n">
        <v>32051</v>
      </c>
      <c r="C163" t="n">
        <v/>
      </c>
      <c r="D163" t="n">
        <v>1.813383279</v>
      </c>
      <c r="E163" t="n">
        <v>1.214960389</v>
      </c>
      <c r="F163" t="n">
        <v>1.397512752</v>
      </c>
      <c r="G163" t="n">
        <v/>
      </c>
      <c r="H163" t="n">
        <v>1.522052283</v>
      </c>
      <c r="I163" t="n">
        <v>1.259434287</v>
      </c>
      <c r="J163" t="n">
        <v/>
      </c>
      <c r="K163" t="n">
        <v/>
      </c>
      <c r="L163" t="n">
        <v/>
      </c>
      <c r="M163" t="n">
        <v>0.69212071</v>
      </c>
      <c r="N163" t="n">
        <v>-1.381495735</v>
      </c>
      <c r="O163" t="n">
        <v/>
      </c>
      <c r="P163" t="n">
        <v>2.065202533</v>
      </c>
      <c r="Q163" t="n">
        <v/>
      </c>
      <c r="R163" t="n">
        <v/>
      </c>
      <c r="S163" t="n">
        <v>0.388182895</v>
      </c>
      <c r="T163" t="n">
        <v>0.693897488</v>
      </c>
      <c r="U163" t="n">
        <v>1.131001</v>
      </c>
      <c r="V163" t="n">
        <v>2.421152356</v>
      </c>
      <c r="W163" t="n">
        <v>0.298791019</v>
      </c>
      <c r="X163" t="n">
        <v/>
      </c>
      <c r="Y163" t="n">
        <v/>
      </c>
      <c r="Z163" t="n">
        <v>1.556645286</v>
      </c>
      <c r="AA163" t="n">
        <v>1.039469583</v>
      </c>
      <c r="AB163" t="n">
        <v/>
      </c>
      <c r="AC163" t="n">
        <v>0.288641596</v>
      </c>
      <c r="AD163" t="n">
        <v>2.000277551</v>
      </c>
      <c r="AE163" t="n">
        <v>0.975698471</v>
      </c>
      <c r="AF163" t="n">
        <v>0.946731365</v>
      </c>
      <c r="AG163" t="n">
        <v/>
      </c>
      <c r="AH163" t="n">
        <v>0.107060851</v>
      </c>
      <c r="AI163" t="n">
        <v>1.146136544</v>
      </c>
      <c r="AJ163" t="n">
        <v>-2.607621844</v>
      </c>
      <c r="AK163" t="n">
        <v>0.542744666</v>
      </c>
      <c r="AL163" t="n">
        <v>1.10533753</v>
      </c>
      <c r="AM163" t="n">
        <v/>
      </c>
      <c r="AN163" t="n">
        <v>1.547363343</v>
      </c>
      <c r="AO163" t="n">
        <v/>
      </c>
      <c r="AP163" t="n">
        <v/>
      </c>
      <c r="AQ163" t="n">
        <v/>
      </c>
      <c r="AR163" t="n">
        <v>1.136551934</v>
      </c>
      <c r="AS163" t="n">
        <v/>
      </c>
      <c r="AT163" t="n">
        <v>0.8675668560000001</v>
      </c>
      <c r="AU163" t="n">
        <v>0.364927876</v>
      </c>
    </row>
    <row r="164">
      <c r="A164" t="inlineStr">
        <is>
          <t>1987-Q4</t>
        </is>
      </c>
      <c r="B164" s="107" t="n">
        <v>32143</v>
      </c>
      <c r="C164" t="n">
        <v/>
      </c>
      <c r="D164" t="n">
        <v>2.028806756</v>
      </c>
      <c r="E164" t="n">
        <v>0.8101848109999999</v>
      </c>
      <c r="F164" t="n">
        <v>1.290633452</v>
      </c>
      <c r="G164" t="n">
        <v/>
      </c>
      <c r="H164" t="n">
        <v>1.291892412</v>
      </c>
      <c r="I164" t="n">
        <v>0.782846691</v>
      </c>
      <c r="J164" t="n">
        <v/>
      </c>
      <c r="K164" t="n">
        <v/>
      </c>
      <c r="L164" t="n">
        <v/>
      </c>
      <c r="M164" t="n">
        <v>1.599900168</v>
      </c>
      <c r="N164" t="n">
        <v>0.595971644</v>
      </c>
      <c r="O164" t="n">
        <v/>
      </c>
      <c r="P164" t="n">
        <v>2.045736097</v>
      </c>
      <c r="Q164" t="n">
        <v/>
      </c>
      <c r="R164" t="n">
        <v/>
      </c>
      <c r="S164" t="n">
        <v>1.970042331</v>
      </c>
      <c r="T164" t="n">
        <v>1.693836158</v>
      </c>
      <c r="U164" t="n">
        <v>1.731453</v>
      </c>
      <c r="V164" t="n">
        <v>1.11098778</v>
      </c>
      <c r="W164" t="n">
        <v>5.882251649</v>
      </c>
      <c r="X164" t="n">
        <v/>
      </c>
      <c r="Y164" t="n">
        <v/>
      </c>
      <c r="Z164" t="n">
        <v>1.428591408</v>
      </c>
      <c r="AA164" t="n">
        <v>0.103175991</v>
      </c>
      <c r="AB164" t="n">
        <v/>
      </c>
      <c r="AC164" t="n">
        <v>1.075995276</v>
      </c>
      <c r="AD164" t="n">
        <v>2.574799235</v>
      </c>
      <c r="AE164" t="n">
        <v>2.035328587</v>
      </c>
      <c r="AF164" t="n">
        <v>1.654540177</v>
      </c>
      <c r="AG164" t="n">
        <v/>
      </c>
      <c r="AH164" t="n">
        <v>1.208326572</v>
      </c>
      <c r="AI164" t="n">
        <v>0.814297627</v>
      </c>
      <c r="AJ164" t="n">
        <v>1.813583314</v>
      </c>
      <c r="AK164" t="n">
        <v>0.461263204</v>
      </c>
      <c r="AL164" t="n">
        <v>1.820270585</v>
      </c>
      <c r="AM164" t="n">
        <v/>
      </c>
      <c r="AN164" t="n">
        <v>1.19749144</v>
      </c>
      <c r="AO164" t="n">
        <v/>
      </c>
      <c r="AP164" t="n">
        <v/>
      </c>
      <c r="AQ164" t="n">
        <v/>
      </c>
      <c r="AR164" t="n">
        <v>0.311079872</v>
      </c>
      <c r="AS164" t="n">
        <v/>
      </c>
      <c r="AT164" t="n">
        <v>1.717036096</v>
      </c>
      <c r="AU164" t="n">
        <v>1.227631694</v>
      </c>
    </row>
    <row r="165">
      <c r="A165" t="inlineStr">
        <is>
          <t>1988-Q1</t>
        </is>
      </c>
      <c r="B165" s="107" t="n">
        <v>32234</v>
      </c>
      <c r="C165" t="n">
        <v/>
      </c>
      <c r="D165" t="n">
        <v>0.424636063</v>
      </c>
      <c r="E165" t="n">
        <v>-1.010978113</v>
      </c>
      <c r="F165" t="n">
        <v>0.990360014</v>
      </c>
      <c r="G165" t="n">
        <v/>
      </c>
      <c r="H165" t="n">
        <v>1.457933086</v>
      </c>
      <c r="I165" t="n">
        <v>0.249713375</v>
      </c>
      <c r="J165" t="n">
        <v/>
      </c>
      <c r="K165" t="n">
        <v/>
      </c>
      <c r="L165" t="n">
        <v/>
      </c>
      <c r="M165" t="n">
        <v>-0.906972722</v>
      </c>
      <c r="N165" t="n">
        <v>0.98007254</v>
      </c>
      <c r="O165" t="n">
        <v/>
      </c>
      <c r="P165" t="n">
        <v>0.321543408</v>
      </c>
      <c r="Q165" t="n">
        <v/>
      </c>
      <c r="R165" t="n">
        <v/>
      </c>
      <c r="S165" t="n">
        <v>1.273351429</v>
      </c>
      <c r="T165" t="n">
        <v>1.224398533</v>
      </c>
      <c r="U165" t="n">
        <v>0.944318</v>
      </c>
      <c r="V165" t="n">
        <v>1.735826963</v>
      </c>
      <c r="W165" t="n">
        <v>2.302850916</v>
      </c>
      <c r="X165" t="n">
        <v/>
      </c>
      <c r="Y165" t="n">
        <v/>
      </c>
      <c r="Z165" t="n">
        <v>1.270740591</v>
      </c>
      <c r="AA165" t="n">
        <v>-0.472976227</v>
      </c>
      <c r="AB165" t="n">
        <v/>
      </c>
      <c r="AC165" t="n">
        <v>1.471709696</v>
      </c>
      <c r="AD165" t="n">
        <v>2.387212705</v>
      </c>
      <c r="AE165" t="n">
        <v>7.703239327</v>
      </c>
      <c r="AF165" t="n">
        <v>2.22271802</v>
      </c>
      <c r="AG165" t="n">
        <v/>
      </c>
      <c r="AH165" t="n">
        <v>-0.675506228</v>
      </c>
      <c r="AI165" t="n">
        <v>0.131301948</v>
      </c>
      <c r="AJ165" t="n">
        <v>-0.37338757</v>
      </c>
      <c r="AK165" t="n">
        <v>-0.387802387</v>
      </c>
      <c r="AL165" t="n">
        <v>0.830979427</v>
      </c>
      <c r="AM165" t="n">
        <v/>
      </c>
      <c r="AN165" t="n">
        <v>4.556632001</v>
      </c>
      <c r="AO165" t="n">
        <v/>
      </c>
      <c r="AP165" t="n">
        <v/>
      </c>
      <c r="AQ165" t="n">
        <v/>
      </c>
      <c r="AR165" t="n">
        <v>0.47846826</v>
      </c>
      <c r="AS165" t="n">
        <v/>
      </c>
      <c r="AT165" t="n">
        <v>0.516654167</v>
      </c>
      <c r="AU165" t="n">
        <v>1.502943309</v>
      </c>
    </row>
    <row r="166">
      <c r="A166" t="inlineStr">
        <is>
          <t>1988-Q2</t>
        </is>
      </c>
      <c r="B166" s="107" t="n">
        <v>32325</v>
      </c>
      <c r="C166" t="n">
        <v/>
      </c>
      <c r="D166" t="n">
        <v>0.071918594</v>
      </c>
      <c r="E166" t="n">
        <v>1.835161278</v>
      </c>
      <c r="F166" t="n">
        <v>0.932079886</v>
      </c>
      <c r="G166" t="n">
        <v/>
      </c>
      <c r="H166" t="n">
        <v>0.885658372</v>
      </c>
      <c r="I166" t="n">
        <v>0.626401069</v>
      </c>
      <c r="J166" t="n">
        <v/>
      </c>
      <c r="K166" t="n">
        <v/>
      </c>
      <c r="L166" t="n">
        <v/>
      </c>
      <c r="M166" t="n">
        <v>1.812832048</v>
      </c>
      <c r="N166" t="n">
        <v>0.055030685</v>
      </c>
      <c r="O166" t="n">
        <v/>
      </c>
      <c r="P166" t="n">
        <v>1.22318158</v>
      </c>
      <c r="Q166" t="n">
        <v/>
      </c>
      <c r="R166" t="n">
        <v/>
      </c>
      <c r="S166" t="n">
        <v>0.804067636</v>
      </c>
      <c r="T166" t="n">
        <v>0.599640098</v>
      </c>
      <c r="U166" t="n">
        <v>0.9275139999999999</v>
      </c>
      <c r="V166" t="n">
        <v>0.548027624</v>
      </c>
      <c r="W166" t="n">
        <v>-3.711946586</v>
      </c>
      <c r="X166" t="n">
        <v/>
      </c>
      <c r="Y166" t="n">
        <v/>
      </c>
      <c r="Z166" t="n">
        <v>1.136569822</v>
      </c>
      <c r="AA166" t="n">
        <v>-0.62217562</v>
      </c>
      <c r="AB166" t="n">
        <v/>
      </c>
      <c r="AC166" t="n">
        <v>0.635269809</v>
      </c>
      <c r="AD166" t="n">
        <v>-0.145997226</v>
      </c>
      <c r="AE166" t="n">
        <v>-2.1607374</v>
      </c>
      <c r="AF166" t="n">
        <v>2.612814571</v>
      </c>
      <c r="AG166" t="n">
        <v/>
      </c>
      <c r="AH166" t="n">
        <v>-0.320852788</v>
      </c>
      <c r="AI166" t="n">
        <v>0.7618721899999999</v>
      </c>
      <c r="AJ166" t="n">
        <v>-1.533099202</v>
      </c>
      <c r="AK166" t="n">
        <v>-0.473643597</v>
      </c>
      <c r="AL166" t="n">
        <v>0.70184788</v>
      </c>
      <c r="AM166" t="n">
        <v/>
      </c>
      <c r="AN166" t="n">
        <v>0.454994464</v>
      </c>
      <c r="AO166" t="n">
        <v/>
      </c>
      <c r="AP166" t="n">
        <v/>
      </c>
      <c r="AQ166" t="n">
        <v/>
      </c>
      <c r="AR166" t="n">
        <v>0.193406783</v>
      </c>
      <c r="AS166" t="n">
        <v/>
      </c>
      <c r="AT166" t="n">
        <v>1.313900617</v>
      </c>
      <c r="AU166" t="n">
        <v>0.710055327</v>
      </c>
    </row>
    <row r="167">
      <c r="A167" t="inlineStr">
        <is>
          <t>1988-Q3</t>
        </is>
      </c>
      <c r="B167" s="107" t="n">
        <v>32417</v>
      </c>
      <c r="C167" t="n">
        <v/>
      </c>
      <c r="D167" t="n">
        <v>0.817040103</v>
      </c>
      <c r="E167" t="n">
        <v>1.661264342</v>
      </c>
      <c r="F167" t="n">
        <v>1.228906465</v>
      </c>
      <c r="G167" t="n">
        <v/>
      </c>
      <c r="H167" t="n">
        <v>0.009098695</v>
      </c>
      <c r="I167" t="n">
        <v>1.136737564</v>
      </c>
      <c r="J167" t="n">
        <v/>
      </c>
      <c r="K167" t="n">
        <v/>
      </c>
      <c r="L167" t="n">
        <v/>
      </c>
      <c r="M167" t="n">
        <v>1.133075704</v>
      </c>
      <c r="N167" t="n">
        <v>-1.90125445</v>
      </c>
      <c r="O167" t="n">
        <v/>
      </c>
      <c r="P167" t="n">
        <v>1.802907916</v>
      </c>
      <c r="Q167" t="n">
        <v/>
      </c>
      <c r="R167" t="n">
        <v/>
      </c>
      <c r="S167" t="n">
        <v>1.231671554</v>
      </c>
      <c r="T167" t="n">
        <v>1.299868549</v>
      </c>
      <c r="U167" t="n">
        <v>1.087017</v>
      </c>
      <c r="V167" t="n">
        <v>1.484552846</v>
      </c>
      <c r="W167" t="n">
        <v>0.739640086</v>
      </c>
      <c r="X167" t="n">
        <v/>
      </c>
      <c r="Y167" t="n">
        <v/>
      </c>
      <c r="Z167" t="n">
        <v>1.018049402</v>
      </c>
      <c r="AA167" t="n">
        <v>-0.413715371</v>
      </c>
      <c r="AB167" t="n">
        <v/>
      </c>
      <c r="AC167" t="n">
        <v>1.313966057</v>
      </c>
      <c r="AD167" t="n">
        <v>2.230947392</v>
      </c>
      <c r="AE167" t="n">
        <v>3.145655266</v>
      </c>
      <c r="AF167" t="n">
        <v>2.880656406</v>
      </c>
      <c r="AG167" t="n">
        <v/>
      </c>
      <c r="AH167" t="n">
        <v>0.123422488</v>
      </c>
      <c r="AI167" t="n">
        <v>0.851588504</v>
      </c>
      <c r="AJ167" t="n">
        <v>0.844981495</v>
      </c>
      <c r="AK167" t="n">
        <v>0.228717109</v>
      </c>
      <c r="AL167" t="n">
        <v>1.059573151</v>
      </c>
      <c r="AM167" t="n">
        <v/>
      </c>
      <c r="AN167" t="n">
        <v>0.762612717</v>
      </c>
      <c r="AO167" t="n">
        <v/>
      </c>
      <c r="AP167" t="n">
        <v/>
      </c>
      <c r="AQ167" t="n">
        <v/>
      </c>
      <c r="AR167" t="n">
        <v>0.165338555</v>
      </c>
      <c r="AS167" t="n">
        <v/>
      </c>
      <c r="AT167" t="n">
        <v>0.585928314</v>
      </c>
      <c r="AU167" t="n">
        <v>1.34491922</v>
      </c>
    </row>
    <row r="168">
      <c r="A168" t="inlineStr">
        <is>
          <t>1988-Q4</t>
        </is>
      </c>
      <c r="B168" s="107" t="n">
        <v>32509</v>
      </c>
      <c r="C168" t="n">
        <v/>
      </c>
      <c r="D168" t="n">
        <v>1.58089778</v>
      </c>
      <c r="E168" t="n">
        <v>1.183299725</v>
      </c>
      <c r="F168" t="n">
        <v>0.979884921</v>
      </c>
      <c r="G168" t="n">
        <v/>
      </c>
      <c r="H168" t="n">
        <v>0.697440592</v>
      </c>
      <c r="I168" t="n">
        <v>1.750111656</v>
      </c>
      <c r="J168" t="n">
        <v/>
      </c>
      <c r="K168" t="n">
        <v/>
      </c>
      <c r="L168" t="n">
        <v/>
      </c>
      <c r="M168" t="n">
        <v>1.177546594</v>
      </c>
      <c r="N168" t="n">
        <v>2.460192868</v>
      </c>
      <c r="O168" t="n">
        <v/>
      </c>
      <c r="P168" t="n">
        <v>-0.224281664</v>
      </c>
      <c r="Q168" t="n">
        <v/>
      </c>
      <c r="R168" t="n">
        <v/>
      </c>
      <c r="S168" t="n">
        <v>1.850135187</v>
      </c>
      <c r="T168" t="n">
        <v>1.051116577</v>
      </c>
      <c r="U168" t="n">
        <v>1.167971</v>
      </c>
      <c r="V168" t="n">
        <v>0.832518866</v>
      </c>
      <c r="W168" t="n">
        <v>1.817496476</v>
      </c>
      <c r="X168" t="n">
        <v/>
      </c>
      <c r="Y168" t="n">
        <v/>
      </c>
      <c r="Z168" t="n">
        <v>1.010502067</v>
      </c>
      <c r="AA168" t="n">
        <v>-0.057924087</v>
      </c>
      <c r="AB168" t="n">
        <v/>
      </c>
      <c r="AC168" t="n">
        <v>1.193897196</v>
      </c>
      <c r="AD168" t="n">
        <v>1.053823715</v>
      </c>
      <c r="AE168" t="n">
        <v>3.254636181</v>
      </c>
      <c r="AF168" t="n">
        <v>2.926296302</v>
      </c>
      <c r="AG168" t="n">
        <v/>
      </c>
      <c r="AH168" t="n">
        <v>1.992230561</v>
      </c>
      <c r="AI168" t="n">
        <v>0.930330374</v>
      </c>
      <c r="AJ168" t="n">
        <v>0.143202542</v>
      </c>
      <c r="AK168" t="n">
        <v>-0.874530439</v>
      </c>
      <c r="AL168" t="n">
        <v>1.172949698</v>
      </c>
      <c r="AM168" t="n">
        <v/>
      </c>
      <c r="AN168" t="n">
        <v>1.319190173</v>
      </c>
      <c r="AO168" t="n">
        <v/>
      </c>
      <c r="AP168" t="n">
        <v/>
      </c>
      <c r="AQ168" t="n">
        <v/>
      </c>
      <c r="AR168" t="n">
        <v>2.116756794</v>
      </c>
      <c r="AS168" t="n">
        <v/>
      </c>
      <c r="AT168" t="n">
        <v>1.332500553</v>
      </c>
      <c r="AU168" t="n">
        <v>0.938980474</v>
      </c>
    </row>
    <row r="169">
      <c r="A169" t="inlineStr">
        <is>
          <t>1989-Q1</t>
        </is>
      </c>
      <c r="B169" s="107" t="n">
        <v>32599</v>
      </c>
      <c r="C169" t="n">
        <v/>
      </c>
      <c r="D169" t="n">
        <v>1.014801469</v>
      </c>
      <c r="E169" t="n">
        <v>0.823139698</v>
      </c>
      <c r="F169" t="n">
        <v>0.76019039</v>
      </c>
      <c r="G169" t="n">
        <v/>
      </c>
      <c r="H169" t="n">
        <v>1.14072018</v>
      </c>
      <c r="I169" t="n">
        <v>0.317756372</v>
      </c>
      <c r="J169" t="n">
        <v/>
      </c>
      <c r="K169" t="n">
        <v/>
      </c>
      <c r="L169" t="n">
        <v/>
      </c>
      <c r="M169" t="n">
        <v>1.045142904</v>
      </c>
      <c r="N169" t="n">
        <v>1.130299648</v>
      </c>
      <c r="O169" t="n">
        <v/>
      </c>
      <c r="P169" t="n">
        <v>2.358130461</v>
      </c>
      <c r="Q169" t="n">
        <v/>
      </c>
      <c r="R169" t="n">
        <v/>
      </c>
      <c r="S169" t="n">
        <v>1.19458455</v>
      </c>
      <c r="T169" t="n">
        <v>1.271557272</v>
      </c>
      <c r="U169" t="n">
        <v>1.256679</v>
      </c>
      <c r="V169" t="n">
        <v>0.407737802</v>
      </c>
      <c r="W169" t="n">
        <v>3.492845301</v>
      </c>
      <c r="X169" t="n">
        <v/>
      </c>
      <c r="Y169" t="n">
        <v/>
      </c>
      <c r="Z169" t="n">
        <v>1.206530316</v>
      </c>
      <c r="AA169" t="n">
        <v>0.198630532</v>
      </c>
      <c r="AB169" t="n">
        <v/>
      </c>
      <c r="AC169" t="n">
        <v>0.621204493</v>
      </c>
      <c r="AD169" t="n">
        <v>2.698039962</v>
      </c>
      <c r="AE169" t="n">
        <v>0.043277553</v>
      </c>
      <c r="AF169" t="n">
        <v>2.648368327</v>
      </c>
      <c r="AG169" t="n">
        <v/>
      </c>
      <c r="AH169" t="n">
        <v>1.873677883</v>
      </c>
      <c r="AI169" t="n">
        <v>1.517731509</v>
      </c>
      <c r="AJ169" t="n">
        <v>-0.653577383</v>
      </c>
      <c r="AK169" t="n">
        <v>1.275417715</v>
      </c>
      <c r="AL169" t="n">
        <v>1.222768277</v>
      </c>
      <c r="AM169" t="n">
        <v/>
      </c>
      <c r="AN169" t="n">
        <v>3.766029175</v>
      </c>
      <c r="AO169" t="n">
        <v/>
      </c>
      <c r="AP169" t="n">
        <v/>
      </c>
      <c r="AQ169" t="n">
        <v/>
      </c>
      <c r="AR169" t="n">
        <v>0.164711547</v>
      </c>
      <c r="AS169" t="n">
        <v/>
      </c>
      <c r="AT169" t="n">
        <v>1.016597674</v>
      </c>
      <c r="AU169" t="n">
        <v>0.619315947</v>
      </c>
    </row>
    <row r="170">
      <c r="A170" t="inlineStr">
        <is>
          <t>1989-Q2</t>
        </is>
      </c>
      <c r="B170" s="107" t="n">
        <v>32690</v>
      </c>
      <c r="C170" t="n">
        <v/>
      </c>
      <c r="D170" t="n">
        <v>2.10873796</v>
      </c>
      <c r="E170" t="n">
        <v>0.475649301</v>
      </c>
      <c r="F170" t="n">
        <v>0.961123679</v>
      </c>
      <c r="G170" t="n">
        <v/>
      </c>
      <c r="H170" t="n">
        <v>0.382183085</v>
      </c>
      <c r="I170" t="n">
        <v>1.809704335</v>
      </c>
      <c r="J170" t="n">
        <v/>
      </c>
      <c r="K170" t="n">
        <v/>
      </c>
      <c r="L170" t="n">
        <v/>
      </c>
      <c r="M170" t="n">
        <v>0.402547977</v>
      </c>
      <c r="N170" t="n">
        <v>-2.001584299</v>
      </c>
      <c r="O170" t="n">
        <v/>
      </c>
      <c r="P170" t="n">
        <v>0.984088837</v>
      </c>
      <c r="Q170" t="n">
        <v/>
      </c>
      <c r="R170" t="n">
        <v/>
      </c>
      <c r="S170" t="n">
        <v>1.757607555</v>
      </c>
      <c r="T170" t="n">
        <v>0.823223081</v>
      </c>
      <c r="U170" t="n">
        <v>0.310337</v>
      </c>
      <c r="V170" t="n">
        <v>0.626372861</v>
      </c>
      <c r="W170" t="n">
        <v>-1.108916435</v>
      </c>
      <c r="X170" t="n">
        <v/>
      </c>
      <c r="Y170" t="n">
        <v/>
      </c>
      <c r="Z170" t="n">
        <v>1.581667362</v>
      </c>
      <c r="AA170" t="n">
        <v>0.315227277</v>
      </c>
      <c r="AB170" t="n">
        <v/>
      </c>
      <c r="AC170" t="n">
        <v>0.432396865</v>
      </c>
      <c r="AD170" t="n">
        <v>-1.30573169</v>
      </c>
      <c r="AE170" t="n">
        <v>1.460586398</v>
      </c>
      <c r="AF170" t="n">
        <v>2.140820765</v>
      </c>
      <c r="AG170" t="n">
        <v/>
      </c>
      <c r="AH170" t="n">
        <v>0.038205539</v>
      </c>
      <c r="AI170" t="n">
        <v>1.245802409</v>
      </c>
      <c r="AJ170" t="n">
        <v>1.17940318</v>
      </c>
      <c r="AK170" t="n">
        <v>0.580148223</v>
      </c>
      <c r="AL170" t="n">
        <v>0.394589969</v>
      </c>
      <c r="AM170" t="n">
        <v/>
      </c>
      <c r="AN170" t="n">
        <v>-1.41413539</v>
      </c>
      <c r="AO170" t="n">
        <v/>
      </c>
      <c r="AP170" t="n">
        <v/>
      </c>
      <c r="AQ170" t="n">
        <v/>
      </c>
      <c r="AR170" t="n">
        <v>0.675412149</v>
      </c>
      <c r="AS170" t="n">
        <v/>
      </c>
      <c r="AT170" t="n">
        <v>0.763265657</v>
      </c>
      <c r="AU170" t="n">
        <v>0.433857416</v>
      </c>
    </row>
    <row r="171">
      <c r="A171" t="inlineStr">
        <is>
          <t>1989-Q3</t>
        </is>
      </c>
      <c r="B171" s="107" t="n">
        <v>32782</v>
      </c>
      <c r="C171" t="n">
        <v/>
      </c>
      <c r="D171" t="n">
        <v>0.8424811210000001</v>
      </c>
      <c r="E171" t="n">
        <v>0.829097953</v>
      </c>
      <c r="F171" t="n">
        <v>0.37144843</v>
      </c>
      <c r="G171" t="n">
        <v/>
      </c>
      <c r="H171" t="n">
        <v>0.357792585</v>
      </c>
      <c r="I171" t="n">
        <v>0.715132684</v>
      </c>
      <c r="J171" t="n">
        <v/>
      </c>
      <c r="K171" t="n">
        <v/>
      </c>
      <c r="L171" t="n">
        <v/>
      </c>
      <c r="M171" t="n">
        <v>0.9132452559999999</v>
      </c>
      <c r="N171" t="n">
        <v>-1.486353377</v>
      </c>
      <c r="O171" t="n">
        <v/>
      </c>
      <c r="P171" t="n">
        <v>1.339679544</v>
      </c>
      <c r="Q171" t="n">
        <v/>
      </c>
      <c r="R171" t="n">
        <v/>
      </c>
      <c r="S171" t="n">
        <v>1.178506979</v>
      </c>
      <c r="T171" t="n">
        <v>1.077837938</v>
      </c>
      <c r="U171" t="n">
        <v>0.914071</v>
      </c>
      <c r="V171" t="n">
        <v>0.067311473</v>
      </c>
      <c r="W171" t="n">
        <v>-1.374559638</v>
      </c>
      <c r="X171" t="n">
        <v/>
      </c>
      <c r="Y171" t="n">
        <v/>
      </c>
      <c r="Z171" t="n">
        <v>2.164625023</v>
      </c>
      <c r="AA171" t="n">
        <v>0.322138084</v>
      </c>
      <c r="AB171" t="n">
        <v/>
      </c>
      <c r="AC171" t="n">
        <v>1.042437027</v>
      </c>
      <c r="AD171" t="n">
        <v>1.749678162</v>
      </c>
      <c r="AE171" t="n">
        <v>2.564383464</v>
      </c>
      <c r="AF171" t="n">
        <v>1.463473366</v>
      </c>
      <c r="AG171" t="n">
        <v/>
      </c>
      <c r="AH171" t="n">
        <v>1.864123977</v>
      </c>
      <c r="AI171" t="n">
        <v>0.87768189</v>
      </c>
      <c r="AJ171" t="n">
        <v>0.972886657</v>
      </c>
      <c r="AK171" t="n">
        <v>-1.124522744</v>
      </c>
      <c r="AL171" t="n">
        <v>0.984101023</v>
      </c>
      <c r="AM171" t="n">
        <v/>
      </c>
      <c r="AN171" t="n">
        <v>1.972954215</v>
      </c>
      <c r="AO171" t="n">
        <v/>
      </c>
      <c r="AP171" t="n">
        <v/>
      </c>
      <c r="AQ171" t="n">
        <v/>
      </c>
      <c r="AR171" t="n">
        <v>0.030821689</v>
      </c>
      <c r="AS171" t="n">
        <v/>
      </c>
      <c r="AT171" t="n">
        <v>0.740876994</v>
      </c>
      <c r="AU171" t="n">
        <v>0.080345162</v>
      </c>
    </row>
    <row r="172">
      <c r="A172" t="inlineStr">
        <is>
          <t>1989-Q4</t>
        </is>
      </c>
      <c r="B172" s="107" t="n">
        <v>32874</v>
      </c>
      <c r="C172" t="n">
        <v/>
      </c>
      <c r="D172" t="n">
        <v>-0.26986808</v>
      </c>
      <c r="E172" t="n">
        <v>1.300395898</v>
      </c>
      <c r="F172" t="n">
        <v>1.298638289</v>
      </c>
      <c r="G172" t="n">
        <v/>
      </c>
      <c r="H172" t="n">
        <v>-0.213453123</v>
      </c>
      <c r="I172" t="n">
        <v>1.31966816</v>
      </c>
      <c r="J172" t="n">
        <v/>
      </c>
      <c r="K172" t="n">
        <v/>
      </c>
      <c r="L172" t="n">
        <v/>
      </c>
      <c r="M172" t="n">
        <v>1.158805549</v>
      </c>
      <c r="N172" t="n">
        <v>1.6576394</v>
      </c>
      <c r="O172" t="n">
        <v/>
      </c>
      <c r="P172" t="n">
        <v>-0.166005345</v>
      </c>
      <c r="Q172" t="n">
        <v/>
      </c>
      <c r="R172" t="n">
        <v/>
      </c>
      <c r="S172" t="n">
        <v>0.047319186</v>
      </c>
      <c r="T172" t="n">
        <v>1.525526591</v>
      </c>
      <c r="U172" t="n">
        <v>0.947897</v>
      </c>
      <c r="V172" t="n">
        <v>0.06789485100000001</v>
      </c>
      <c r="W172" t="n">
        <v>4.286397704</v>
      </c>
      <c r="X172" t="n">
        <v/>
      </c>
      <c r="Y172" t="n">
        <v/>
      </c>
      <c r="Z172" t="n">
        <v>2.593530417</v>
      </c>
      <c r="AA172" t="n">
        <v>0.280219594</v>
      </c>
      <c r="AB172" t="n">
        <v/>
      </c>
      <c r="AC172" t="n">
        <v>1.029139679</v>
      </c>
      <c r="AD172" t="n">
        <v>3.098252201</v>
      </c>
      <c r="AE172" t="n">
        <v>4.129775627</v>
      </c>
      <c r="AF172" t="n">
        <v>0.900854462</v>
      </c>
      <c r="AG172" t="n">
        <v/>
      </c>
      <c r="AH172" t="n">
        <v>-0.881771666</v>
      </c>
      <c r="AI172" t="n">
        <v>0.80527414</v>
      </c>
      <c r="AJ172" t="n">
        <v>0.700081257</v>
      </c>
      <c r="AK172" t="n">
        <v>-0.193050362</v>
      </c>
      <c r="AL172" t="n">
        <v>0.9661867159999999</v>
      </c>
      <c r="AM172" t="n">
        <v/>
      </c>
      <c r="AN172" t="n">
        <v>0.832613301</v>
      </c>
      <c r="AO172" t="n">
        <v/>
      </c>
      <c r="AP172" t="n">
        <v/>
      </c>
      <c r="AQ172" t="n">
        <v/>
      </c>
      <c r="AR172" t="n">
        <v>1.307210199</v>
      </c>
      <c r="AS172" t="n">
        <v/>
      </c>
      <c r="AT172" t="n">
        <v>0.197050974</v>
      </c>
      <c r="AU172" t="n">
        <v>-0.618832123</v>
      </c>
    </row>
    <row r="173">
      <c r="A173" t="inlineStr">
        <is>
          <t>1990-Q1</t>
        </is>
      </c>
      <c r="B173" s="107" t="n">
        <v>32964</v>
      </c>
      <c r="C173" t="n">
        <v/>
      </c>
      <c r="D173" t="n">
        <v>0.794042998</v>
      </c>
      <c r="E173" t="n">
        <v>1.232355365</v>
      </c>
      <c r="F173" t="n">
        <v>1.563246317</v>
      </c>
      <c r="G173" t="n">
        <v/>
      </c>
      <c r="H173" t="n">
        <v>0.9427601410000001</v>
      </c>
      <c r="I173" t="n">
        <v>1.718724572</v>
      </c>
      <c r="J173" t="n">
        <v/>
      </c>
      <c r="K173" t="n">
        <v/>
      </c>
      <c r="L173" t="n">
        <v/>
      </c>
      <c r="M173" t="n">
        <v>2.075706554</v>
      </c>
      <c r="N173" t="n">
        <v>-0.555739332</v>
      </c>
      <c r="O173" t="n">
        <v/>
      </c>
      <c r="P173" t="n">
        <v>0.87601898</v>
      </c>
      <c r="Q173" t="n">
        <v/>
      </c>
      <c r="R173" t="n">
        <v/>
      </c>
      <c r="S173" t="n">
        <v>1.354072902</v>
      </c>
      <c r="T173" t="n">
        <v>0.503870468</v>
      </c>
      <c r="U173" t="n">
        <v>0.781271</v>
      </c>
      <c r="V173" t="n">
        <v>0.648018721</v>
      </c>
      <c r="W173" t="n">
        <v>0.9434539280000001</v>
      </c>
      <c r="X173" t="n">
        <v/>
      </c>
      <c r="Y173" t="n">
        <v/>
      </c>
      <c r="Z173" t="n">
        <v>2.525290337</v>
      </c>
      <c r="AA173" t="n">
        <v>0.261792364</v>
      </c>
      <c r="AB173" t="n">
        <v/>
      </c>
      <c r="AC173" t="n">
        <v>0.398617358</v>
      </c>
      <c r="AD173" t="n">
        <v>-0.475764015</v>
      </c>
      <c r="AE173" t="n">
        <v>1.01855052</v>
      </c>
      <c r="AF173" t="n">
        <v>0.788354081</v>
      </c>
      <c r="AG173" t="n">
        <v/>
      </c>
      <c r="AH173" t="n">
        <v>2.174244872</v>
      </c>
      <c r="AI173" t="n">
        <v>1.253436712</v>
      </c>
      <c r="AJ173" t="n">
        <v>-0.363767302</v>
      </c>
      <c r="AK173" t="n">
        <v>-0.171716375</v>
      </c>
      <c r="AL173" t="n">
        <v>0.955055891</v>
      </c>
      <c r="AM173" t="n">
        <v/>
      </c>
      <c r="AN173" t="n">
        <v>1.017439357</v>
      </c>
      <c r="AO173" t="n">
        <v/>
      </c>
      <c r="AP173" t="n">
        <v/>
      </c>
      <c r="AQ173" t="n">
        <v/>
      </c>
      <c r="AR173" t="n">
        <v>0.212357079</v>
      </c>
      <c r="AS173" t="n">
        <v/>
      </c>
      <c r="AT173" t="n">
        <v>1.092795416</v>
      </c>
      <c r="AU173" t="n">
        <v>0.080051424</v>
      </c>
    </row>
    <row r="174">
      <c r="A174" t="inlineStr">
        <is>
          <t>1990-Q2</t>
        </is>
      </c>
      <c r="B174" s="107" t="n">
        <v>33055</v>
      </c>
      <c r="C174" t="n">
        <v/>
      </c>
      <c r="D174" t="n">
        <v>0.126141221</v>
      </c>
      <c r="E174" t="n">
        <v>1.078142771</v>
      </c>
      <c r="F174" t="n">
        <v>-0.353727874</v>
      </c>
      <c r="G174" t="n">
        <v/>
      </c>
      <c r="H174" t="n">
        <v>-0.41411306</v>
      </c>
      <c r="I174" t="n">
        <v>0.583434107</v>
      </c>
      <c r="J174" t="n">
        <v/>
      </c>
      <c r="K174" t="n">
        <v/>
      </c>
      <c r="L174" t="n">
        <v/>
      </c>
      <c r="M174" t="n">
        <v>0.491660084</v>
      </c>
      <c r="N174" t="n">
        <v>2.248686049</v>
      </c>
      <c r="O174" t="n">
        <v/>
      </c>
      <c r="P174" t="n">
        <v>1.699634141</v>
      </c>
      <c r="Q174" t="n">
        <v/>
      </c>
      <c r="R174" t="n">
        <v/>
      </c>
      <c r="S174" t="n">
        <v>-1.376299839</v>
      </c>
      <c r="T174" t="n">
        <v>0.391352761</v>
      </c>
      <c r="U174" t="n">
        <v>0.845563</v>
      </c>
      <c r="V174" t="n">
        <v>0.490921234</v>
      </c>
      <c r="W174" t="n">
        <v>-2.784215709</v>
      </c>
      <c r="X174" t="n">
        <v/>
      </c>
      <c r="Y174" t="n">
        <v/>
      </c>
      <c r="Z174" t="n">
        <v>2.059279618</v>
      </c>
      <c r="AA174" t="n">
        <v>0.279188306</v>
      </c>
      <c r="AB174" t="n">
        <v/>
      </c>
      <c r="AC174" t="n">
        <v>0.304784304</v>
      </c>
      <c r="AD174" t="n">
        <v>3.153970057</v>
      </c>
      <c r="AE174" t="n">
        <v>2.23062202</v>
      </c>
      <c r="AF174" t="n">
        <v>1.144335786</v>
      </c>
      <c r="AG174" t="n">
        <v/>
      </c>
      <c r="AH174" t="n">
        <v>2.169802353</v>
      </c>
      <c r="AI174" t="n">
        <v>0.83691369</v>
      </c>
      <c r="AJ174" t="n">
        <v>1.080264384</v>
      </c>
      <c r="AK174" t="n">
        <v>-0.014950672</v>
      </c>
      <c r="AL174" t="n">
        <v>0.913797802</v>
      </c>
      <c r="AM174" t="n">
        <v/>
      </c>
      <c r="AN174" t="n">
        <v>1.870296778</v>
      </c>
      <c r="AO174" t="n">
        <v/>
      </c>
      <c r="AP174" t="n">
        <v/>
      </c>
      <c r="AQ174" t="n">
        <v/>
      </c>
      <c r="AR174" t="n">
        <v>-0.305109459</v>
      </c>
      <c r="AS174" t="n">
        <v/>
      </c>
      <c r="AT174" t="n">
        <v>0.36291179</v>
      </c>
      <c r="AU174" t="n">
        <v>-0.08252201100000001</v>
      </c>
    </row>
    <row r="175">
      <c r="A175" t="inlineStr">
        <is>
          <t>1990-Q3</t>
        </is>
      </c>
      <c r="B175" s="107" t="n">
        <v>33147</v>
      </c>
      <c r="C175" t="n">
        <v/>
      </c>
      <c r="D175" t="n">
        <v>-0.570961316</v>
      </c>
      <c r="E175" t="n">
        <v>0.826362616</v>
      </c>
      <c r="F175" t="n">
        <v>0.132864989</v>
      </c>
      <c r="G175" t="n">
        <v/>
      </c>
      <c r="H175" t="n">
        <v>-0.707548459</v>
      </c>
      <c r="I175" t="n">
        <v>-0.365506245</v>
      </c>
      <c r="J175" t="n">
        <v/>
      </c>
      <c r="K175" t="n">
        <v/>
      </c>
      <c r="L175" t="n">
        <v/>
      </c>
      <c r="M175" t="n">
        <v>2.105934971</v>
      </c>
      <c r="N175" t="n">
        <v>0.288459453</v>
      </c>
      <c r="O175" t="n">
        <v/>
      </c>
      <c r="P175" t="n">
        <v>-0.29846911</v>
      </c>
      <c r="Q175" t="n">
        <v/>
      </c>
      <c r="R175" t="n">
        <v/>
      </c>
      <c r="S175" t="n">
        <v>-2.14259536</v>
      </c>
      <c r="T175" t="n">
        <v>0.458540623</v>
      </c>
      <c r="U175" t="n">
        <v>0.501905</v>
      </c>
      <c r="V175" t="n">
        <v>-1.059967515</v>
      </c>
      <c r="W175" t="n">
        <v>-6.848247815</v>
      </c>
      <c r="X175" t="n">
        <v/>
      </c>
      <c r="Y175" t="n">
        <v/>
      </c>
      <c r="Z175" t="n">
        <v>1.257670078</v>
      </c>
      <c r="AA175" t="n">
        <v>0.327839303</v>
      </c>
      <c r="AB175" t="n">
        <v/>
      </c>
      <c r="AC175" t="n">
        <v>0.160344602</v>
      </c>
      <c r="AD175" t="n">
        <v>1.676741547</v>
      </c>
      <c r="AE175" t="n">
        <v>3.232927558</v>
      </c>
      <c r="AF175" t="n">
        <v>1.933530546</v>
      </c>
      <c r="AG175" t="n">
        <v/>
      </c>
      <c r="AH175" t="n">
        <v>1.364136563</v>
      </c>
      <c r="AI175" t="n">
        <v>1.362324985</v>
      </c>
      <c r="AJ175" t="n">
        <v>-0.983428603</v>
      </c>
      <c r="AK175" t="n">
        <v>0.913524688</v>
      </c>
      <c r="AL175" t="n">
        <v>0.367520065</v>
      </c>
      <c r="AM175" t="n">
        <v/>
      </c>
      <c r="AN175" t="n">
        <v>0.698606862</v>
      </c>
      <c r="AO175" t="n">
        <v/>
      </c>
      <c r="AP175" t="n">
        <v/>
      </c>
      <c r="AQ175" t="n">
        <v/>
      </c>
      <c r="AR175" t="n">
        <v>-0.792884966</v>
      </c>
      <c r="AS175" t="n">
        <v/>
      </c>
      <c r="AT175" t="n">
        <v>0.066512432</v>
      </c>
      <c r="AU175" t="n">
        <v>-0.08404234100000001</v>
      </c>
    </row>
    <row r="176">
      <c r="A176" t="inlineStr">
        <is>
          <t>1990-Q4</t>
        </is>
      </c>
      <c r="B176" s="107" t="n">
        <v>33239</v>
      </c>
      <c r="C176" t="n">
        <v/>
      </c>
      <c r="D176" t="n">
        <v>0.592887265</v>
      </c>
      <c r="E176" t="n">
        <v>0.6837512019999999</v>
      </c>
      <c r="F176" t="n">
        <v>1.213353942</v>
      </c>
      <c r="G176" t="n">
        <v/>
      </c>
      <c r="H176" t="n">
        <v>-0.891196884</v>
      </c>
      <c r="I176" t="n">
        <v>-0.432186418</v>
      </c>
      <c r="J176" t="n">
        <v/>
      </c>
      <c r="K176" t="n">
        <v/>
      </c>
      <c r="L176" t="n">
        <v/>
      </c>
      <c r="M176" t="n">
        <v>1.760421133</v>
      </c>
      <c r="N176" t="n">
        <v>-1.073961938</v>
      </c>
      <c r="O176" t="n">
        <v/>
      </c>
      <c r="P176" t="n">
        <v>3.78168337</v>
      </c>
      <c r="Q176" t="n">
        <v/>
      </c>
      <c r="R176" t="n">
        <v/>
      </c>
      <c r="S176" t="n">
        <v>-0.573305292</v>
      </c>
      <c r="T176" t="n">
        <v>0.361657322</v>
      </c>
      <c r="U176" t="n">
        <v>-0.318429</v>
      </c>
      <c r="V176" t="n">
        <v>-0.360665206</v>
      </c>
      <c r="W176" t="n">
        <v>10.427887993</v>
      </c>
      <c r="X176" t="n">
        <v/>
      </c>
      <c r="Y176" t="n">
        <v/>
      </c>
      <c r="Z176" t="n">
        <v>0.45468201</v>
      </c>
      <c r="AA176" t="n">
        <v>0.31654637</v>
      </c>
      <c r="AB176" t="n">
        <v/>
      </c>
      <c r="AC176" t="n">
        <v>-0.649584431</v>
      </c>
      <c r="AD176" t="n">
        <v>-0.189979697</v>
      </c>
      <c r="AE176" t="n">
        <v>2.033266271</v>
      </c>
      <c r="AF176" t="n">
        <v>2.632888285</v>
      </c>
      <c r="AG176" t="n">
        <v/>
      </c>
      <c r="AH176" t="n">
        <v>1.270953872</v>
      </c>
      <c r="AI176" t="n">
        <v>0.792733374</v>
      </c>
      <c r="AJ176" t="n">
        <v>2.677670275</v>
      </c>
      <c r="AK176" t="n">
        <v>1.168901551</v>
      </c>
      <c r="AL176" t="n">
        <v>0.252393947</v>
      </c>
      <c r="AM176" t="n">
        <v/>
      </c>
      <c r="AN176" t="n">
        <v>2.658981232</v>
      </c>
      <c r="AO176" t="n">
        <v/>
      </c>
      <c r="AP176" t="n">
        <v/>
      </c>
      <c r="AQ176" t="n">
        <v/>
      </c>
      <c r="AR176" t="n">
        <v>1.13594325</v>
      </c>
      <c r="AS176" t="n">
        <v/>
      </c>
      <c r="AT176" t="n">
        <v>-0.9103945409999999</v>
      </c>
      <c r="AU176" t="n">
        <v>0.092815014</v>
      </c>
    </row>
    <row r="177">
      <c r="A177" t="inlineStr">
        <is>
          <t>1991-Q1</t>
        </is>
      </c>
      <c r="B177" s="107" t="n">
        <v>33329</v>
      </c>
      <c r="C177" t="n">
        <v/>
      </c>
      <c r="D177" t="n">
        <v>-1.291435742</v>
      </c>
      <c r="E177" t="n">
        <v>0.692705087</v>
      </c>
      <c r="F177" t="n">
        <v>-0.431525413</v>
      </c>
      <c r="G177" t="n">
        <v/>
      </c>
      <c r="H177" t="n">
        <v>-1.427068555</v>
      </c>
      <c r="I177" t="n">
        <v>0.14597322</v>
      </c>
      <c r="J177" t="n">
        <v/>
      </c>
      <c r="K177" t="n">
        <v/>
      </c>
      <c r="L177" t="n">
        <v/>
      </c>
      <c r="M177" t="n">
        <v>2.834538856</v>
      </c>
      <c r="N177" t="n">
        <v>0.295591234</v>
      </c>
      <c r="O177" t="n">
        <v/>
      </c>
      <c r="P177" t="n">
        <v>-1.921754413</v>
      </c>
      <c r="Q177" t="n">
        <v/>
      </c>
      <c r="R177" t="n">
        <v/>
      </c>
      <c r="S177" t="n">
        <v>-1.950046361</v>
      </c>
      <c r="T177" t="n">
        <v>-0.143014685</v>
      </c>
      <c r="U177" t="n">
        <v>0.342461</v>
      </c>
      <c r="V177" t="n">
        <v>-0.315031078</v>
      </c>
      <c r="W177" t="n">
        <v>0.425654387</v>
      </c>
      <c r="X177" t="n">
        <v/>
      </c>
      <c r="Y177" t="n">
        <v/>
      </c>
      <c r="Z177" t="n">
        <v>0.02482338</v>
      </c>
      <c r="AA177" t="n">
        <v>0.148932074</v>
      </c>
      <c r="AB177" t="n">
        <v/>
      </c>
      <c r="AC177" t="n">
        <v>1.973555466</v>
      </c>
      <c r="AD177" t="n">
        <v>0.871317214</v>
      </c>
      <c r="AE177" t="n">
        <v>3.750176278</v>
      </c>
      <c r="AF177" t="n">
        <v>2.708053464</v>
      </c>
      <c r="AG177" t="n">
        <v/>
      </c>
      <c r="AH177" t="n">
        <v>0.275608267</v>
      </c>
      <c r="AI177" t="n">
        <v>-0.406317571</v>
      </c>
      <c r="AJ177" t="n">
        <v>0.848660489</v>
      </c>
      <c r="AK177" t="n">
        <v>-2.422719941</v>
      </c>
      <c r="AL177" t="n">
        <v>0.116230495</v>
      </c>
      <c r="AM177" t="n">
        <v/>
      </c>
      <c r="AN177" t="n">
        <v>-2.330576906</v>
      </c>
      <c r="AO177" t="n">
        <v/>
      </c>
      <c r="AP177" t="n">
        <v/>
      </c>
      <c r="AQ177" t="n">
        <v/>
      </c>
      <c r="AR177" t="n">
        <v>-0.31136664</v>
      </c>
      <c r="AS177" t="n">
        <v/>
      </c>
      <c r="AT177" t="n">
        <v>-0.467867584</v>
      </c>
      <c r="AU177" t="n">
        <v>-0.795422603</v>
      </c>
    </row>
    <row r="178">
      <c r="A178" t="inlineStr">
        <is>
          <t>1991-Q2</t>
        </is>
      </c>
      <c r="B178" s="107" t="n">
        <v>33420</v>
      </c>
      <c r="C178" t="n">
        <v/>
      </c>
      <c r="D178" t="n">
        <v>-0.164203612</v>
      </c>
      <c r="E178" t="n">
        <v>0.9121643</v>
      </c>
      <c r="F178" t="n">
        <v>1.167532986</v>
      </c>
      <c r="G178" t="n">
        <v/>
      </c>
      <c r="H178" t="n">
        <v>0.466260689</v>
      </c>
      <c r="I178" t="n">
        <v>-0.95559206</v>
      </c>
      <c r="J178" t="n">
        <v/>
      </c>
      <c r="K178" t="n">
        <v/>
      </c>
      <c r="L178" t="n">
        <v/>
      </c>
      <c r="M178" t="n">
        <v>-0.529306039</v>
      </c>
      <c r="N178" t="n">
        <v>1.078705412</v>
      </c>
      <c r="O178" t="n">
        <v/>
      </c>
      <c r="P178" t="n">
        <v>1.219274668</v>
      </c>
      <c r="Q178" t="n">
        <v/>
      </c>
      <c r="R178" t="n">
        <v/>
      </c>
      <c r="S178" t="n">
        <v>-1.196843878</v>
      </c>
      <c r="T178" t="n">
        <v>0.287513838</v>
      </c>
      <c r="U178" t="n">
        <v>0.475701</v>
      </c>
      <c r="V178" t="n">
        <v>-0.148848557</v>
      </c>
      <c r="W178" t="n">
        <v>-1.718026457</v>
      </c>
      <c r="X178" t="n">
        <v/>
      </c>
      <c r="Y178" t="n">
        <v/>
      </c>
      <c r="Z178" t="n">
        <v>0.022640762</v>
      </c>
      <c r="AA178" t="n">
        <v>-0.147785638</v>
      </c>
      <c r="AB178" t="n">
        <v/>
      </c>
      <c r="AC178" t="n">
        <v>-0.547240957</v>
      </c>
      <c r="AD178" t="n">
        <v>1.186411273</v>
      </c>
      <c r="AE178" t="n">
        <v>1.661478045</v>
      </c>
      <c r="AF178" t="n">
        <v>2.245888829</v>
      </c>
      <c r="AG178" t="n">
        <v/>
      </c>
      <c r="AH178" t="n">
        <v>1.530225799</v>
      </c>
      <c r="AI178" t="n">
        <v>1.172009654</v>
      </c>
      <c r="AJ178" t="n">
        <v>0.522850829</v>
      </c>
      <c r="AK178" t="n">
        <v>-0.679455408</v>
      </c>
      <c r="AL178" t="n">
        <v>0.577788359</v>
      </c>
      <c r="AM178" t="n">
        <v/>
      </c>
      <c r="AN178" t="n">
        <v>1.962589301</v>
      </c>
      <c r="AO178" t="n">
        <v/>
      </c>
      <c r="AP178" t="n">
        <v/>
      </c>
      <c r="AQ178" t="n">
        <v/>
      </c>
      <c r="AR178" t="n">
        <v>-1.147189466</v>
      </c>
      <c r="AS178" t="n">
        <v/>
      </c>
      <c r="AT178" t="n">
        <v>0.7797180379999999</v>
      </c>
      <c r="AU178" t="n">
        <v>-0.225649346</v>
      </c>
    </row>
    <row r="179">
      <c r="A179" t="inlineStr">
        <is>
          <t>1991-Q3</t>
        </is>
      </c>
      <c r="B179" s="107" t="n">
        <v>33512</v>
      </c>
      <c r="C179" t="n">
        <v/>
      </c>
      <c r="D179" t="n">
        <v>0.435059423</v>
      </c>
      <c r="E179" t="n">
        <v>1.109097288</v>
      </c>
      <c r="F179" t="n">
        <v>0.674732007</v>
      </c>
      <c r="G179" t="n">
        <v/>
      </c>
      <c r="H179" t="n">
        <v>0.133908241</v>
      </c>
      <c r="I179" t="n">
        <v>0.000120258</v>
      </c>
      <c r="J179" t="n">
        <v/>
      </c>
      <c r="K179" t="n">
        <v/>
      </c>
      <c r="L179" t="n">
        <v/>
      </c>
      <c r="M179" t="n">
        <v>-0.218317666</v>
      </c>
      <c r="N179" t="n">
        <v>0.740823925</v>
      </c>
      <c r="O179" t="n">
        <v/>
      </c>
      <c r="P179" t="n">
        <v>0.7552724750000001</v>
      </c>
      <c r="Q179" t="n">
        <v/>
      </c>
      <c r="R179" t="n">
        <v/>
      </c>
      <c r="S179" t="n">
        <v>-2.057785488</v>
      </c>
      <c r="T179" t="n">
        <v>0.294459657</v>
      </c>
      <c r="U179" t="n">
        <v>0.162793</v>
      </c>
      <c r="V179" t="n">
        <v>-0.242120788</v>
      </c>
      <c r="W179" t="n">
        <v>1.849350809</v>
      </c>
      <c r="X179" t="n">
        <v/>
      </c>
      <c r="Y179" t="n">
        <v/>
      </c>
      <c r="Z179" t="n">
        <v>0.387840267</v>
      </c>
      <c r="AA179" t="n">
        <v>-0.591563996</v>
      </c>
      <c r="AB179" t="n">
        <v/>
      </c>
      <c r="AC179" t="n">
        <v>0.035820181</v>
      </c>
      <c r="AD179" t="n">
        <v>-0.22137912</v>
      </c>
      <c r="AE179" t="n">
        <v>2.145297059</v>
      </c>
      <c r="AF179" t="n">
        <v>1.345213026</v>
      </c>
      <c r="AG179" t="n">
        <v/>
      </c>
      <c r="AH179" t="n">
        <v>0.185943273</v>
      </c>
      <c r="AI179" t="n">
        <v>0.408864799</v>
      </c>
      <c r="AJ179" t="n">
        <v>-0.244288273</v>
      </c>
      <c r="AK179" t="n">
        <v>0.31863776</v>
      </c>
      <c r="AL179" t="n">
        <v>0.291065208</v>
      </c>
      <c r="AM179" t="n">
        <v/>
      </c>
      <c r="AN179" t="n">
        <v>1.073590737</v>
      </c>
      <c r="AO179" t="n">
        <v/>
      </c>
      <c r="AP179" t="n">
        <v/>
      </c>
      <c r="AQ179" t="n">
        <v/>
      </c>
      <c r="AR179" t="n">
        <v>-0.485888327</v>
      </c>
      <c r="AS179" t="n">
        <v/>
      </c>
      <c r="AT179" t="n">
        <v>0.505338431</v>
      </c>
      <c r="AU179" t="n">
        <v>-0.038785793</v>
      </c>
    </row>
    <row r="180">
      <c r="A180" t="inlineStr">
        <is>
          <t>1991-Q4</t>
        </is>
      </c>
      <c r="B180" s="107" t="n">
        <v>33604</v>
      </c>
      <c r="C180" t="n">
        <v/>
      </c>
      <c r="D180" t="n">
        <v>0.060990251</v>
      </c>
      <c r="E180" t="n">
        <v>0.611831277</v>
      </c>
      <c r="F180" t="n">
        <v>0.5059043560000001</v>
      </c>
      <c r="G180" t="n">
        <v/>
      </c>
      <c r="H180" t="n">
        <v>0.184531308</v>
      </c>
      <c r="I180" t="n">
        <v>0.354934987</v>
      </c>
      <c r="J180" t="n">
        <v/>
      </c>
      <c r="K180" t="n">
        <v/>
      </c>
      <c r="L180" t="n">
        <v/>
      </c>
      <c r="M180" t="n">
        <v>1.299062392</v>
      </c>
      <c r="N180" t="n">
        <v>-0.985146169</v>
      </c>
      <c r="O180" t="n">
        <v/>
      </c>
      <c r="P180" t="n">
        <v>0.497512438</v>
      </c>
      <c r="Q180" t="n">
        <v/>
      </c>
      <c r="R180" t="n">
        <v/>
      </c>
      <c r="S180" t="n">
        <v>-1.17266231</v>
      </c>
      <c r="T180" t="n">
        <v>0.49475723</v>
      </c>
      <c r="U180" t="n">
        <v>0.577904</v>
      </c>
      <c r="V180" t="n">
        <v>0.151018582</v>
      </c>
      <c r="W180" t="n">
        <v>-0.378222805</v>
      </c>
      <c r="X180" t="n">
        <v/>
      </c>
      <c r="Y180" t="n">
        <v/>
      </c>
      <c r="Z180" t="n">
        <v>0.84502496</v>
      </c>
      <c r="AA180" t="n">
        <v>-0.98579378</v>
      </c>
      <c r="AB180" t="n">
        <v/>
      </c>
      <c r="AC180" t="n">
        <v>1.173646349</v>
      </c>
      <c r="AD180" t="n">
        <v>0.7023334959999999</v>
      </c>
      <c r="AE180" t="n">
        <v>2.503572026</v>
      </c>
      <c r="AF180" t="n">
        <v>0.419942052</v>
      </c>
      <c r="AG180" t="n">
        <v/>
      </c>
      <c r="AH180" t="n">
        <v>1.806169428</v>
      </c>
      <c r="AI180" t="n">
        <v>1.109336867</v>
      </c>
      <c r="AJ180" t="n">
        <v>0.7331931189999999</v>
      </c>
      <c r="AK180" t="n">
        <v>0.645469542</v>
      </c>
      <c r="AL180" t="n">
        <v>0.6377125380000001</v>
      </c>
      <c r="AM180" t="n">
        <v/>
      </c>
      <c r="AN180" t="n">
        <v>0.023666545</v>
      </c>
      <c r="AO180" t="n">
        <v/>
      </c>
      <c r="AP180" t="n">
        <v/>
      </c>
      <c r="AQ180" t="n">
        <v/>
      </c>
      <c r="AR180" t="n">
        <v>-0.154936158</v>
      </c>
      <c r="AS180" t="n">
        <v/>
      </c>
      <c r="AT180" t="n">
        <v>0.348563902</v>
      </c>
      <c r="AU180" t="n">
        <v>-0.172064954</v>
      </c>
    </row>
    <row r="181">
      <c r="A181" t="inlineStr">
        <is>
          <t>1992-Q1</t>
        </is>
      </c>
      <c r="B181" s="107" t="n">
        <v>33695</v>
      </c>
      <c r="C181" t="n">
        <v/>
      </c>
      <c r="D181" t="n">
        <v>0.7635932560000001</v>
      </c>
      <c r="E181" t="n">
        <v>0.383703805</v>
      </c>
      <c r="F181" t="n">
        <v>1.401939339</v>
      </c>
      <c r="G181" t="n">
        <v/>
      </c>
      <c r="H181" t="n">
        <v>0.07289356700000001</v>
      </c>
      <c r="I181" t="n">
        <v>0.755019268</v>
      </c>
      <c r="J181" t="n">
        <v/>
      </c>
      <c r="K181" t="n">
        <v/>
      </c>
      <c r="L181" t="n">
        <v/>
      </c>
      <c r="M181" t="n">
        <v>1.52198092</v>
      </c>
      <c r="N181" t="n">
        <v>1.441056024</v>
      </c>
      <c r="O181" t="n">
        <v/>
      </c>
      <c r="P181" t="n">
        <v>0.997700538</v>
      </c>
      <c r="Q181" t="n">
        <v/>
      </c>
      <c r="R181" t="n">
        <v/>
      </c>
      <c r="S181" t="n">
        <v>0.321364563</v>
      </c>
      <c r="T181" t="n">
        <v>0.981187048</v>
      </c>
      <c r="U181" t="n">
        <v>0.797096</v>
      </c>
      <c r="V181" t="n">
        <v>-0.012037926</v>
      </c>
      <c r="W181" t="n">
        <v>2.217449177</v>
      </c>
      <c r="X181" t="n">
        <v/>
      </c>
      <c r="Y181" t="n">
        <v/>
      </c>
      <c r="Z181" t="n">
        <v>1.078896145</v>
      </c>
      <c r="AA181" t="n">
        <v>-1.109030913</v>
      </c>
      <c r="AB181" t="n">
        <v/>
      </c>
      <c r="AC181" t="n">
        <v>0.268945671</v>
      </c>
      <c r="AD181" t="n">
        <v>0.031100621</v>
      </c>
      <c r="AE181" t="n">
        <v>1.780392603</v>
      </c>
      <c r="AF181" t="n">
        <v>-0.075740707</v>
      </c>
      <c r="AG181" t="n">
        <v/>
      </c>
      <c r="AH181" t="n">
        <v>-0.008741364999999999</v>
      </c>
      <c r="AI181" t="n">
        <v>0.707698191</v>
      </c>
      <c r="AJ181" t="n">
        <v>2.126588807</v>
      </c>
      <c r="AK181" t="n">
        <v>0.297902272</v>
      </c>
      <c r="AL181" t="n">
        <v>0.87485534</v>
      </c>
      <c r="AM181" t="n">
        <v/>
      </c>
      <c r="AN181" t="n">
        <v>1.768950341</v>
      </c>
      <c r="AO181" t="n">
        <v/>
      </c>
      <c r="AP181" t="n">
        <v/>
      </c>
      <c r="AQ181" t="n">
        <v/>
      </c>
      <c r="AR181" t="n">
        <v>0.91757324</v>
      </c>
      <c r="AS181" t="n">
        <v/>
      </c>
      <c r="AT181" t="n">
        <v>1.197157574</v>
      </c>
      <c r="AU181" t="n">
        <v>-0.700747897</v>
      </c>
    </row>
    <row r="182">
      <c r="A182" t="inlineStr">
        <is>
          <t>1992-Q2</t>
        </is>
      </c>
      <c r="B182" s="107" t="n">
        <v>33786</v>
      </c>
      <c r="C182" t="n">
        <v/>
      </c>
      <c r="D182" t="n">
        <v>0.716367863</v>
      </c>
      <c r="E182" t="n">
        <v>0.479170189</v>
      </c>
      <c r="F182" t="n">
        <v>-1.215734014</v>
      </c>
      <c r="G182" t="n">
        <v/>
      </c>
      <c r="H182" t="n">
        <v>0.122114907</v>
      </c>
      <c r="I182" t="n">
        <v>-0.398921486</v>
      </c>
      <c r="J182" t="n">
        <v/>
      </c>
      <c r="K182" t="n">
        <v/>
      </c>
      <c r="L182" t="n">
        <v/>
      </c>
      <c r="M182" t="n">
        <v>-0.7711803229999999</v>
      </c>
      <c r="N182" t="n">
        <v>-0.7980383720000001</v>
      </c>
      <c r="O182" t="n">
        <v/>
      </c>
      <c r="P182" t="n">
        <v>-1.303955142</v>
      </c>
      <c r="Q182" t="n">
        <v/>
      </c>
      <c r="R182" t="n">
        <v/>
      </c>
      <c r="S182" t="n">
        <v>-1.124253065</v>
      </c>
      <c r="T182" t="n">
        <v>-0.06344309099999999</v>
      </c>
      <c r="U182" t="n">
        <v>0.427055</v>
      </c>
      <c r="V182" t="n">
        <v>-0.137819162</v>
      </c>
      <c r="W182" t="n">
        <v>-3.066086596</v>
      </c>
      <c r="X182" t="n">
        <v/>
      </c>
      <c r="Y182" t="n">
        <v/>
      </c>
      <c r="Z182" t="n">
        <v>1.070612909</v>
      </c>
      <c r="AA182" t="n">
        <v>-0.95095968</v>
      </c>
      <c r="AB182" t="n">
        <v/>
      </c>
      <c r="AC182" t="n">
        <v>-0.057245116</v>
      </c>
      <c r="AD182" t="n">
        <v>0.35015406</v>
      </c>
      <c r="AE182" t="n">
        <v>0.701694982</v>
      </c>
      <c r="AF182" t="n">
        <v>-0.073511391</v>
      </c>
      <c r="AG182" t="n">
        <v/>
      </c>
      <c r="AH182" t="n">
        <v>1.639826199</v>
      </c>
      <c r="AI182" t="n">
        <v>-0.918964154</v>
      </c>
      <c r="AJ182" t="n">
        <v>0.521493005</v>
      </c>
      <c r="AK182" t="n">
        <v>0.007259348</v>
      </c>
      <c r="AL182" t="n">
        <v>0.297376577</v>
      </c>
      <c r="AM182" t="n">
        <v/>
      </c>
      <c r="AN182" t="n">
        <v>-0.9193720359999999</v>
      </c>
      <c r="AO182" t="n">
        <v/>
      </c>
      <c r="AP182" t="n">
        <v/>
      </c>
      <c r="AQ182" t="n">
        <v/>
      </c>
      <c r="AR182" t="n">
        <v>-0.513647649</v>
      </c>
      <c r="AS182" t="n">
        <v/>
      </c>
      <c r="AT182" t="n">
        <v>1.084320604</v>
      </c>
      <c r="AU182" t="n">
        <v>-0.613372611</v>
      </c>
    </row>
    <row r="183">
      <c r="A183" t="inlineStr">
        <is>
          <t>1992-Q3</t>
        </is>
      </c>
      <c r="B183" s="107" t="n">
        <v>33878</v>
      </c>
      <c r="C183" t="n">
        <v/>
      </c>
      <c r="D183" t="n">
        <v>0.988403988</v>
      </c>
      <c r="E183" t="n">
        <v>0.079118778</v>
      </c>
      <c r="F183" t="n">
        <v>0.308941233</v>
      </c>
      <c r="G183" t="n">
        <v/>
      </c>
      <c r="H183" t="n">
        <v>0.53698518</v>
      </c>
      <c r="I183" t="n">
        <v>-1.018233447</v>
      </c>
      <c r="J183" t="n">
        <v/>
      </c>
      <c r="K183" t="n">
        <v/>
      </c>
      <c r="L183" t="n">
        <v/>
      </c>
      <c r="M183" t="n">
        <v>-0.174189929</v>
      </c>
      <c r="N183" t="n">
        <v>2.712643035</v>
      </c>
      <c r="O183" t="n">
        <v/>
      </c>
      <c r="P183" t="n">
        <v>0.0638667</v>
      </c>
      <c r="Q183" t="n">
        <v/>
      </c>
      <c r="R183" t="n">
        <v/>
      </c>
      <c r="S183" t="n">
        <v>-0.816173951</v>
      </c>
      <c r="T183" t="n">
        <v>0.0208099</v>
      </c>
      <c r="U183" t="n">
        <v>0.482651</v>
      </c>
      <c r="V183" t="n">
        <v>0.61390373</v>
      </c>
      <c r="W183" t="n">
        <v>1.547949806</v>
      </c>
      <c r="X183" t="n">
        <v/>
      </c>
      <c r="Y183" t="n">
        <v/>
      </c>
      <c r="Z183" t="n">
        <v>0.8626600129999999</v>
      </c>
      <c r="AA183" t="n">
        <v>-0.519061305</v>
      </c>
      <c r="AB183" t="n">
        <v/>
      </c>
      <c r="AC183" t="n">
        <v>-0.222055678</v>
      </c>
      <c r="AD183" t="n">
        <v>0.117664944</v>
      </c>
      <c r="AE183" t="n">
        <v>0.067624061</v>
      </c>
      <c r="AF183" t="n">
        <v>0.357165266</v>
      </c>
      <c r="AG183" t="n">
        <v/>
      </c>
      <c r="AH183" t="n">
        <v>0.928578032</v>
      </c>
      <c r="AI183" t="n">
        <v>0.30420957</v>
      </c>
      <c r="AJ183" t="n">
        <v>1.310034822</v>
      </c>
      <c r="AK183" t="n">
        <v>-0.768668861</v>
      </c>
      <c r="AL183" t="n">
        <v>0.507181561</v>
      </c>
      <c r="AM183" t="n">
        <v/>
      </c>
      <c r="AN183" t="n">
        <v>-0.345960037</v>
      </c>
      <c r="AO183" t="n">
        <v/>
      </c>
      <c r="AP183" t="n">
        <v/>
      </c>
      <c r="AQ183" t="n">
        <v/>
      </c>
      <c r="AR183" t="n">
        <v>-1.447435642</v>
      </c>
      <c r="AS183" t="n">
        <v/>
      </c>
      <c r="AT183" t="n">
        <v>0.9881071890000001</v>
      </c>
      <c r="AU183" t="n">
        <v>-1.157736308</v>
      </c>
    </row>
    <row r="184">
      <c r="A184" t="inlineStr">
        <is>
          <t>1992-Q4</t>
        </is>
      </c>
      <c r="B184" s="107" t="n">
        <v>33970</v>
      </c>
      <c r="C184" t="n">
        <v/>
      </c>
      <c r="D184" t="n">
        <v>2.069850428</v>
      </c>
      <c r="E184" t="n">
        <v>-0.302467443</v>
      </c>
      <c r="F184" t="n">
        <v>-1.232574249</v>
      </c>
      <c r="G184" t="n">
        <v/>
      </c>
      <c r="H184" t="n">
        <v>0.568910538</v>
      </c>
      <c r="I184" t="n">
        <v>-0.7655758539999999</v>
      </c>
      <c r="J184" t="n">
        <v/>
      </c>
      <c r="K184" t="n">
        <v/>
      </c>
      <c r="L184" t="n">
        <v/>
      </c>
      <c r="M184" t="n">
        <v>-0.322148143</v>
      </c>
      <c r="N184" t="n">
        <v>-0.440450662</v>
      </c>
      <c r="O184" t="n">
        <v/>
      </c>
      <c r="P184" t="n">
        <v>-0.651596125</v>
      </c>
      <c r="Q184" t="n">
        <v/>
      </c>
      <c r="R184" t="n">
        <v/>
      </c>
      <c r="S184" t="n">
        <v>-0.706680486</v>
      </c>
      <c r="T184" t="n">
        <v>-0.220433704</v>
      </c>
      <c r="U184" t="n">
        <v>0.306343</v>
      </c>
      <c r="V184" t="n">
        <v>0.66754748</v>
      </c>
      <c r="W184" t="n">
        <v>-0.532170776</v>
      </c>
      <c r="X184" t="n">
        <v/>
      </c>
      <c r="Y184" t="n">
        <v/>
      </c>
      <c r="Z184" t="n">
        <v>0.616840493</v>
      </c>
      <c r="AA184" t="n">
        <v>0.034808005</v>
      </c>
      <c r="AB184" t="n">
        <v/>
      </c>
      <c r="AC184" t="n">
        <v>-0.689307199</v>
      </c>
      <c r="AD184" t="n">
        <v>-0.63750149</v>
      </c>
      <c r="AE184" t="n">
        <v>1.560677644</v>
      </c>
      <c r="AF184" t="n">
        <v>0.920053031</v>
      </c>
      <c r="AG184" t="n">
        <v/>
      </c>
      <c r="AH184" t="n">
        <v>0.08330747099999999</v>
      </c>
      <c r="AI184" t="n">
        <v>0.376704761</v>
      </c>
      <c r="AJ184" t="n">
        <v>-0.715831064</v>
      </c>
      <c r="AK184" t="n">
        <v>1.260872291</v>
      </c>
      <c r="AL184" t="n">
        <v>0.265112694</v>
      </c>
      <c r="AM184" t="n">
        <v/>
      </c>
      <c r="AN184" t="n">
        <v>-0.159542129</v>
      </c>
      <c r="AO184" t="n">
        <v/>
      </c>
      <c r="AP184" t="n">
        <v/>
      </c>
      <c r="AQ184" t="n">
        <v/>
      </c>
      <c r="AR184" t="n">
        <v>-1.372299789</v>
      </c>
      <c r="AS184" t="n">
        <v/>
      </c>
      <c r="AT184" t="n">
        <v>1.042879871</v>
      </c>
      <c r="AU184" t="n">
        <v>-0.849714498</v>
      </c>
    </row>
    <row r="185">
      <c r="A185" t="inlineStr">
        <is>
          <t>1993-Q1</t>
        </is>
      </c>
      <c r="B185" s="107" t="n">
        <v>34060</v>
      </c>
      <c r="C185" t="n">
        <v/>
      </c>
      <c r="D185" t="n">
        <v>0.709297951</v>
      </c>
      <c r="E185" t="n">
        <v>-0.239480654</v>
      </c>
      <c r="F185" t="n">
        <v>-0.759719272</v>
      </c>
      <c r="G185" t="n">
        <v/>
      </c>
      <c r="H185" t="n">
        <v>0.639946265</v>
      </c>
      <c r="I185" t="n">
        <v>-0.155093687</v>
      </c>
      <c r="J185" t="n">
        <v/>
      </c>
      <c r="K185" t="n">
        <v/>
      </c>
      <c r="L185" t="n">
        <v/>
      </c>
      <c r="M185" t="n">
        <v>-0.720495046</v>
      </c>
      <c r="N185" t="n">
        <v>-1.201042066</v>
      </c>
      <c r="O185" t="n">
        <v/>
      </c>
      <c r="P185" t="n">
        <v>-0.932984303</v>
      </c>
      <c r="Q185" t="n">
        <v/>
      </c>
      <c r="R185" t="n">
        <v/>
      </c>
      <c r="S185" t="n">
        <v>0.234073512</v>
      </c>
      <c r="T185" t="n">
        <v>-0.553225521</v>
      </c>
      <c r="U185" t="n">
        <v>0.218267</v>
      </c>
      <c r="V185" t="n">
        <v>0.690059139</v>
      </c>
      <c r="W185" t="n">
        <v>-2.653931022</v>
      </c>
      <c r="X185" t="n">
        <v/>
      </c>
      <c r="Y185" t="n">
        <v/>
      </c>
      <c r="Z185" t="n">
        <v>0.500612148</v>
      </c>
      <c r="AA185" t="n">
        <v>0.530908061</v>
      </c>
      <c r="AB185" t="n">
        <v/>
      </c>
      <c r="AC185" t="n">
        <v>-0.13946524</v>
      </c>
      <c r="AD185" t="n">
        <v>1.126858466</v>
      </c>
      <c r="AE185" t="n">
        <v>1.990657829</v>
      </c>
      <c r="AF185" t="n">
        <v>1.277108781</v>
      </c>
      <c r="AG185" t="n">
        <v/>
      </c>
      <c r="AH185" t="n">
        <v>-0.03218742</v>
      </c>
      <c r="AI185" t="n">
        <v>0.615912517</v>
      </c>
      <c r="AJ185" t="n">
        <v>-0.657955685</v>
      </c>
      <c r="AK185" t="n">
        <v>1.646058532</v>
      </c>
      <c r="AL185" t="n">
        <v>0.214766127</v>
      </c>
      <c r="AM185" t="n">
        <v/>
      </c>
      <c r="AN185" t="n">
        <v>-1.318634595</v>
      </c>
      <c r="AO185" t="n">
        <v/>
      </c>
      <c r="AP185" t="n">
        <v/>
      </c>
      <c r="AQ185" t="n">
        <v/>
      </c>
      <c r="AR185" t="n">
        <v>-1.828342023</v>
      </c>
      <c r="AS185" t="n">
        <v/>
      </c>
      <c r="AT185" t="n">
        <v>0.166979092</v>
      </c>
      <c r="AU185" t="n">
        <v>1.285733289</v>
      </c>
    </row>
    <row r="186">
      <c r="A186" t="inlineStr">
        <is>
          <t>1993-Q2</t>
        </is>
      </c>
      <c r="B186" s="107" t="n">
        <v>34151</v>
      </c>
      <c r="C186" t="n">
        <v>2.852959296</v>
      </c>
      <c r="D186" t="n">
        <v>0.5835778190000001</v>
      </c>
      <c r="E186" t="n">
        <v>0.570548661</v>
      </c>
      <c r="F186" t="n">
        <v>1.010258312</v>
      </c>
      <c r="G186" t="n">
        <v/>
      </c>
      <c r="H186" t="n">
        <v>0.910433228</v>
      </c>
      <c r="I186" t="n">
        <v>1.105270328</v>
      </c>
      <c r="J186" t="n">
        <v/>
      </c>
      <c r="K186" t="n">
        <v/>
      </c>
      <c r="L186" t="n">
        <v/>
      </c>
      <c r="M186" t="n">
        <v>-0.027127149</v>
      </c>
      <c r="N186" t="n">
        <v>-0.413519134</v>
      </c>
      <c r="O186" t="n">
        <v/>
      </c>
      <c r="P186" t="n">
        <v>-0.00677533</v>
      </c>
      <c r="Q186" t="n">
        <v/>
      </c>
      <c r="R186" t="n">
        <v/>
      </c>
      <c r="S186" t="n">
        <v>-0.192501893</v>
      </c>
      <c r="T186" t="n">
        <v>0.041669653</v>
      </c>
      <c r="U186" t="n">
        <v>0.195087</v>
      </c>
      <c r="V186" t="n">
        <v>0.47472243</v>
      </c>
      <c r="W186" t="n">
        <v>1.7093619</v>
      </c>
      <c r="X186" t="n">
        <v/>
      </c>
      <c r="Y186" t="n">
        <v/>
      </c>
      <c r="Z186" t="n">
        <v>0.530791567</v>
      </c>
      <c r="AA186" t="n">
        <v>0.904943833</v>
      </c>
      <c r="AB186" t="n">
        <v/>
      </c>
      <c r="AC186" t="n">
        <v>-0.241254257</v>
      </c>
      <c r="AD186" t="n">
        <v>-0.633145863</v>
      </c>
      <c r="AE186" t="n">
        <v>2.565331673</v>
      </c>
      <c r="AF186" t="n">
        <v>1.392368245</v>
      </c>
      <c r="AG186" t="n">
        <v/>
      </c>
      <c r="AH186" t="n">
        <v>0.264788121</v>
      </c>
      <c r="AI186" t="n">
        <v>0.249895847</v>
      </c>
      <c r="AJ186" t="n">
        <v>1.736165313</v>
      </c>
      <c r="AK186" t="n">
        <v>2.21149533</v>
      </c>
      <c r="AL186" t="n">
        <v>0.428727722</v>
      </c>
      <c r="AM186" t="n">
        <v/>
      </c>
      <c r="AN186" t="n">
        <v>0.050113557</v>
      </c>
      <c r="AO186" t="n">
        <v/>
      </c>
      <c r="AP186" t="n">
        <v>1.3909376</v>
      </c>
      <c r="AQ186" t="n">
        <v/>
      </c>
      <c r="AR186" t="n">
        <v>1.306280455</v>
      </c>
      <c r="AS186" t="n">
        <v/>
      </c>
      <c r="AT186" t="n">
        <v>0.5821134529999999</v>
      </c>
      <c r="AU186" t="n">
        <v>0.6827638620000001</v>
      </c>
    </row>
    <row r="187">
      <c r="A187" t="inlineStr">
        <is>
          <t>1993-Q3</t>
        </is>
      </c>
      <c r="B187" s="107" t="n">
        <v>34243</v>
      </c>
      <c r="C187" t="n">
        <v>2.010235835</v>
      </c>
      <c r="D187" t="n">
        <v>0.122741622</v>
      </c>
      <c r="E187" t="n">
        <v>1.019556979</v>
      </c>
      <c r="F187" t="n">
        <v>0.31644804</v>
      </c>
      <c r="G187" t="n">
        <v/>
      </c>
      <c r="H187" t="n">
        <v>0.953047096</v>
      </c>
      <c r="I187" t="n">
        <v>0.354940896</v>
      </c>
      <c r="J187" t="n">
        <v/>
      </c>
      <c r="K187" t="n">
        <v/>
      </c>
      <c r="L187" t="n">
        <v/>
      </c>
      <c r="M187" t="n">
        <v>0.59701302</v>
      </c>
      <c r="N187" t="n">
        <v>0.165747008</v>
      </c>
      <c r="O187" t="n">
        <v/>
      </c>
      <c r="P187" t="n">
        <v>1.203186557</v>
      </c>
      <c r="Q187" t="n">
        <v/>
      </c>
      <c r="R187" t="n">
        <v/>
      </c>
      <c r="S187" t="n">
        <v>0.572295823</v>
      </c>
      <c r="T187" t="n">
        <v>0.124160985</v>
      </c>
      <c r="U187" t="n">
        <v>0.244462</v>
      </c>
      <c r="V187" t="n">
        <v>0.784885611</v>
      </c>
      <c r="W187" t="n">
        <v>0.340400849</v>
      </c>
      <c r="X187" t="n">
        <v/>
      </c>
      <c r="Y187" t="n">
        <v/>
      </c>
      <c r="Z187" t="n">
        <v>0.713412997</v>
      </c>
      <c r="AA187" t="n">
        <v>1.210698929</v>
      </c>
      <c r="AB187" t="n">
        <v/>
      </c>
      <c r="AC187" t="n">
        <v>-0.157708891</v>
      </c>
      <c r="AD187" t="n">
        <v>-0.717862391</v>
      </c>
      <c r="AE187" t="n">
        <v>1.843683328</v>
      </c>
      <c r="AF187" t="n">
        <v>1.336455741</v>
      </c>
      <c r="AG187" t="n">
        <v/>
      </c>
      <c r="AH187" t="n">
        <v>1.018229373</v>
      </c>
      <c r="AI187" t="n">
        <v>0.817258299</v>
      </c>
      <c r="AJ187" t="n">
        <v>1.992487571</v>
      </c>
      <c r="AK187" t="n">
        <v>2.026419276</v>
      </c>
      <c r="AL187" t="n">
        <v>0.394524207</v>
      </c>
      <c r="AM187" t="n">
        <v/>
      </c>
      <c r="AN187" t="n">
        <v>0.695529051</v>
      </c>
      <c r="AO187" t="n">
        <v/>
      </c>
      <c r="AP187" t="n">
        <v>1.159824799</v>
      </c>
      <c r="AQ187" t="n">
        <v/>
      </c>
      <c r="AR187" t="n">
        <v>1.372513582</v>
      </c>
      <c r="AS187" t="n">
        <v/>
      </c>
      <c r="AT187" t="n">
        <v>0.477156587</v>
      </c>
      <c r="AU187" t="n">
        <v>1.282386428</v>
      </c>
    </row>
    <row r="188">
      <c r="A188" t="inlineStr">
        <is>
          <t>1993-Q4</t>
        </is>
      </c>
      <c r="B188" s="107" t="n">
        <v>34335</v>
      </c>
      <c r="C188" t="n">
        <v>0.8054548</v>
      </c>
      <c r="D188" t="n">
        <v>1.836605446</v>
      </c>
      <c r="E188" t="n">
        <v>0.70270054</v>
      </c>
      <c r="F188" t="n">
        <v>0.952396909</v>
      </c>
      <c r="G188" t="n">
        <v/>
      </c>
      <c r="H188" t="n">
        <v>0.431683602</v>
      </c>
      <c r="I188" t="n">
        <v>0.595240256</v>
      </c>
      <c r="J188" t="n">
        <v/>
      </c>
      <c r="K188" t="n">
        <v/>
      </c>
      <c r="L188" t="n">
        <v/>
      </c>
      <c r="M188" t="n">
        <v>-0.09441251000000001</v>
      </c>
      <c r="N188" t="n">
        <v>2.188264271</v>
      </c>
      <c r="O188" t="n">
        <v/>
      </c>
      <c r="P188" t="n">
        <v>0.376845971</v>
      </c>
      <c r="Q188" t="n">
        <v/>
      </c>
      <c r="R188" t="n">
        <v/>
      </c>
      <c r="S188" t="n">
        <v>0.754527163</v>
      </c>
      <c r="T188" t="n">
        <v>0.275571148</v>
      </c>
      <c r="U188" t="n">
        <v>0.8475009999999999</v>
      </c>
      <c r="V188" t="n">
        <v>0.66848534</v>
      </c>
      <c r="W188" t="n">
        <v>0.19928804</v>
      </c>
      <c r="X188" t="n">
        <v/>
      </c>
      <c r="Y188" t="n">
        <v/>
      </c>
      <c r="Z188" t="n">
        <v>1.002046454</v>
      </c>
      <c r="AA188" t="n">
        <v>1.34170469</v>
      </c>
      <c r="AB188" t="n">
        <v/>
      </c>
      <c r="AC188" t="n">
        <v>0.73313065</v>
      </c>
      <c r="AD188" t="n">
        <v>0.630002484</v>
      </c>
      <c r="AE188" t="n">
        <v>1.913663988</v>
      </c>
      <c r="AF188" t="n">
        <v>1.162644387</v>
      </c>
      <c r="AG188" t="n">
        <v/>
      </c>
      <c r="AH188" t="n">
        <v>1.317613589</v>
      </c>
      <c r="AI188" t="n">
        <v>-0.620387229</v>
      </c>
      <c r="AJ188" t="n">
        <v>3.557989504</v>
      </c>
      <c r="AK188" t="n">
        <v>0.932306106</v>
      </c>
      <c r="AL188" t="n">
        <v>0.871538612</v>
      </c>
      <c r="AM188" t="n">
        <v/>
      </c>
      <c r="AN188" t="n">
        <v>0.335461909</v>
      </c>
      <c r="AO188" t="n">
        <v/>
      </c>
      <c r="AP188" t="n">
        <v>1.506506636</v>
      </c>
      <c r="AQ188" t="n">
        <v/>
      </c>
      <c r="AR188" t="n">
        <v>-0.177837307</v>
      </c>
      <c r="AS188" t="n">
        <v/>
      </c>
      <c r="AT188" t="n">
        <v>1.36007556</v>
      </c>
      <c r="AU188" t="n">
        <v>0.853492158</v>
      </c>
    </row>
    <row r="189">
      <c r="A189" t="inlineStr">
        <is>
          <t>1994-Q1</t>
        </is>
      </c>
      <c r="B189" s="107" t="n">
        <v>34425</v>
      </c>
      <c r="C189" t="n">
        <v>1.421339214</v>
      </c>
      <c r="D189" t="n">
        <v>1.633351102</v>
      </c>
      <c r="E189" t="n">
        <v>0.321515999</v>
      </c>
      <c r="F189" t="n">
        <v>0.70359509</v>
      </c>
      <c r="G189" t="n">
        <v/>
      </c>
      <c r="H189" t="n">
        <v>1.473568699</v>
      </c>
      <c r="I189" t="n">
        <v>0.496256096</v>
      </c>
      <c r="J189" t="n">
        <v/>
      </c>
      <c r="K189" t="n">
        <v/>
      </c>
      <c r="L189" t="n">
        <v/>
      </c>
      <c r="M189" t="n">
        <v>1.397299051</v>
      </c>
      <c r="N189" t="n">
        <v>1.222447407</v>
      </c>
      <c r="O189" t="n">
        <v/>
      </c>
      <c r="P189" t="n">
        <v>0.827092028</v>
      </c>
      <c r="Q189" t="n">
        <v/>
      </c>
      <c r="R189" t="n">
        <v/>
      </c>
      <c r="S189" t="n">
        <v>0.664628058</v>
      </c>
      <c r="T189" t="n">
        <v>0.729049408</v>
      </c>
      <c r="U189" t="n">
        <v>1.008491</v>
      </c>
      <c r="V189" t="n">
        <v>1.165132687</v>
      </c>
      <c r="W189" t="n">
        <v>-0.792530175</v>
      </c>
      <c r="X189" t="n">
        <v/>
      </c>
      <c r="Y189" t="n">
        <v/>
      </c>
      <c r="Z189" t="n">
        <v>1.350757536</v>
      </c>
      <c r="AA189" t="n">
        <v>1.202459074</v>
      </c>
      <c r="AB189" t="n">
        <v/>
      </c>
      <c r="AC189" t="n">
        <v>0.7616686110000001</v>
      </c>
      <c r="AD189" t="n">
        <v>0.901326294</v>
      </c>
      <c r="AE189" t="n">
        <v>2.916855703</v>
      </c>
      <c r="AF189" t="n">
        <v>0.949749123</v>
      </c>
      <c r="AG189" t="n">
        <v/>
      </c>
      <c r="AH189" t="n">
        <v>1.029432141</v>
      </c>
      <c r="AI189" t="n">
        <v>1.49653161</v>
      </c>
      <c r="AJ189" t="n">
        <v>-1.140091879</v>
      </c>
      <c r="AK189" t="n">
        <v>1.515846218</v>
      </c>
      <c r="AL189" t="n">
        <v>0.947008383</v>
      </c>
      <c r="AM189" t="n">
        <v/>
      </c>
      <c r="AN189" t="n">
        <v>0.33869414</v>
      </c>
      <c r="AO189" t="n">
        <v/>
      </c>
      <c r="AP189" t="n">
        <v>1.788229087</v>
      </c>
      <c r="AQ189" t="n">
        <v/>
      </c>
      <c r="AR189" t="n">
        <v>1.146670229</v>
      </c>
      <c r="AS189" t="n">
        <v/>
      </c>
      <c r="AT189" t="n">
        <v>0.97031284</v>
      </c>
      <c r="AU189" t="n">
        <v>-0.047133474</v>
      </c>
    </row>
    <row r="190">
      <c r="A190" t="inlineStr">
        <is>
          <t>1994-Q2</t>
        </is>
      </c>
      <c r="B190" s="107" t="n">
        <v>34516</v>
      </c>
      <c r="C190" t="n">
        <v>2.06825957</v>
      </c>
      <c r="D190" t="n">
        <v>1.198442287</v>
      </c>
      <c r="E190" t="n">
        <v>0.172232155</v>
      </c>
      <c r="F190" t="n">
        <v>1.149795769</v>
      </c>
      <c r="G190" t="n">
        <v/>
      </c>
      <c r="H190" t="n">
        <v>1.461328599</v>
      </c>
      <c r="I190" t="n">
        <v>-1.035444843</v>
      </c>
      <c r="J190" t="n">
        <v/>
      </c>
      <c r="K190" t="n">
        <v/>
      </c>
      <c r="L190" t="n">
        <v>0.967110121</v>
      </c>
      <c r="M190" t="n">
        <v>0.239649208</v>
      </c>
      <c r="N190" t="n">
        <v>2.928826792</v>
      </c>
      <c r="O190" t="n">
        <v/>
      </c>
      <c r="P190" t="n">
        <v>0.219252651</v>
      </c>
      <c r="Q190" t="n">
        <v/>
      </c>
      <c r="R190" t="n">
        <v/>
      </c>
      <c r="S190" t="n">
        <v>0.867921019</v>
      </c>
      <c r="T190" t="n">
        <v>1.085003292</v>
      </c>
      <c r="U190" t="n">
        <v>0.806937</v>
      </c>
      <c r="V190" t="n">
        <v>1.142664085</v>
      </c>
      <c r="W190" t="n">
        <v>1.218187105</v>
      </c>
      <c r="X190" t="n">
        <v/>
      </c>
      <c r="Y190" t="n">
        <v/>
      </c>
      <c r="Z190" t="n">
        <v>1.729523864</v>
      </c>
      <c r="AA190" t="n">
        <v>0.853415134</v>
      </c>
      <c r="AB190" t="n">
        <v/>
      </c>
      <c r="AC190" t="n">
        <v>0.723639097</v>
      </c>
      <c r="AD190" t="n">
        <v>-0.575179431</v>
      </c>
      <c r="AE190" t="n">
        <v>1.631592096</v>
      </c>
      <c r="AF190" t="n">
        <v>0.753364699</v>
      </c>
      <c r="AG190" t="n">
        <v/>
      </c>
      <c r="AH190" t="n">
        <v>2.103200845</v>
      </c>
      <c r="AI190" t="n">
        <v>1.150384582</v>
      </c>
      <c r="AJ190" t="n">
        <v>2.328807905</v>
      </c>
      <c r="AK190" t="n">
        <v>0.665316557</v>
      </c>
      <c r="AL190" t="n">
        <v>0.5542996</v>
      </c>
      <c r="AM190" t="n">
        <v/>
      </c>
      <c r="AN190" t="n">
        <v>1.295817808</v>
      </c>
      <c r="AO190" t="n">
        <v/>
      </c>
      <c r="AP190" t="n">
        <v>1.218534052</v>
      </c>
      <c r="AQ190" t="n">
        <v/>
      </c>
      <c r="AR190" t="n">
        <v>1.015110169</v>
      </c>
      <c r="AS190" t="n">
        <v/>
      </c>
      <c r="AT190" t="n">
        <v>1.355099752</v>
      </c>
      <c r="AU190" t="n">
        <v>0.975661962</v>
      </c>
    </row>
    <row r="191">
      <c r="A191" t="inlineStr">
        <is>
          <t>1994-Q3</t>
        </is>
      </c>
      <c r="B191" s="107" t="n">
        <v>34608</v>
      </c>
      <c r="C191" t="n">
        <v>0.252390576</v>
      </c>
      <c r="D191" t="n">
        <v>0.771360332</v>
      </c>
      <c r="E191" t="n">
        <v>0.906741452</v>
      </c>
      <c r="F191" t="n">
        <v>0.279731148</v>
      </c>
      <c r="G191" t="n">
        <v/>
      </c>
      <c r="H191" t="n">
        <v>1.278408105</v>
      </c>
      <c r="I191" t="n">
        <v>1.074304501</v>
      </c>
      <c r="J191" t="n">
        <v/>
      </c>
      <c r="K191" t="n">
        <v/>
      </c>
      <c r="L191" t="n">
        <v>1.359144477</v>
      </c>
      <c r="M191" t="n">
        <v>0.70394541</v>
      </c>
      <c r="N191" t="n">
        <v>-0.468871678</v>
      </c>
      <c r="O191" t="n">
        <v/>
      </c>
      <c r="P191" t="n">
        <v>0.793995059</v>
      </c>
      <c r="Q191" t="n">
        <v/>
      </c>
      <c r="R191" t="n">
        <v/>
      </c>
      <c r="S191" t="n">
        <v>2.283273409</v>
      </c>
      <c r="T191" t="n">
        <v>0.540830918</v>
      </c>
      <c r="U191" t="n">
        <v>0.766859</v>
      </c>
      <c r="V191" t="n">
        <v>1.088298627</v>
      </c>
      <c r="W191" t="n">
        <v>2.682229849</v>
      </c>
      <c r="X191" t="n">
        <v/>
      </c>
      <c r="Y191" t="n">
        <v/>
      </c>
      <c r="Z191" t="n">
        <v>2.188891878</v>
      </c>
      <c r="AA191" t="n">
        <v>0.306349476</v>
      </c>
      <c r="AB191" t="n">
        <v/>
      </c>
      <c r="AC191" t="n">
        <v>0.6234692590000001</v>
      </c>
      <c r="AD191" t="n">
        <v>1.172157573</v>
      </c>
      <c r="AE191" t="n">
        <v>1.682199111</v>
      </c>
      <c r="AF191" t="n">
        <v>0.557057233</v>
      </c>
      <c r="AG191" t="n">
        <v/>
      </c>
      <c r="AH191" t="n">
        <v>0.766440421</v>
      </c>
      <c r="AI191" t="n">
        <v>0.758168233</v>
      </c>
      <c r="AJ191" t="n">
        <v>-1.358435673</v>
      </c>
      <c r="AK191" t="n">
        <v>1.711957235</v>
      </c>
      <c r="AL191" t="n">
        <v>0.896810146</v>
      </c>
      <c r="AM191" t="n">
        <v/>
      </c>
      <c r="AN191" t="n">
        <v>0.452189918</v>
      </c>
      <c r="AO191" t="n">
        <v/>
      </c>
      <c r="AP191" t="n">
        <v>1.899671272</v>
      </c>
      <c r="AQ191" t="n">
        <v/>
      </c>
      <c r="AR191" t="n">
        <v>1.164290394</v>
      </c>
      <c r="AS191" t="n">
        <v/>
      </c>
      <c r="AT191" t="n">
        <v>0.584536016</v>
      </c>
      <c r="AU191" t="n">
        <v>1.124515257</v>
      </c>
    </row>
    <row r="192">
      <c r="A192" t="inlineStr">
        <is>
          <t>1994-Q4</t>
        </is>
      </c>
      <c r="B192" s="107" t="n">
        <v>34700</v>
      </c>
      <c r="C192" t="n">
        <v>1.240934576</v>
      </c>
      <c r="D192" t="n">
        <v>1.044894461</v>
      </c>
      <c r="E192" t="n">
        <v>1.350074333</v>
      </c>
      <c r="F192" t="n">
        <v>1.682112024</v>
      </c>
      <c r="G192" t="n">
        <v/>
      </c>
      <c r="H192" t="n">
        <v>0.729647389</v>
      </c>
      <c r="I192" t="n">
        <v>0.49572577</v>
      </c>
      <c r="J192" t="n">
        <v/>
      </c>
      <c r="K192" t="n">
        <v/>
      </c>
      <c r="L192" t="n">
        <v>2.186255117</v>
      </c>
      <c r="M192" t="n">
        <v>1.17382955</v>
      </c>
      <c r="N192" t="n">
        <v>2.508937106</v>
      </c>
      <c r="O192" t="n">
        <v/>
      </c>
      <c r="P192" t="n">
        <v>0.374223486</v>
      </c>
      <c r="Q192" t="n">
        <v/>
      </c>
      <c r="R192" t="n">
        <v/>
      </c>
      <c r="S192" t="n">
        <v>2.517726235</v>
      </c>
      <c r="T192" t="n">
        <v>0.887932125</v>
      </c>
      <c r="U192" t="n">
        <v>0.781033</v>
      </c>
      <c r="V192" t="n">
        <v>0.5422740700000001</v>
      </c>
      <c r="W192" t="n">
        <v>-0.82163945</v>
      </c>
      <c r="X192" t="n">
        <v/>
      </c>
      <c r="Y192" t="n">
        <v/>
      </c>
      <c r="Z192" t="n">
        <v>2.532276072</v>
      </c>
      <c r="AA192" t="n">
        <v>-0.182250763</v>
      </c>
      <c r="AB192" t="n">
        <v/>
      </c>
      <c r="AC192" t="n">
        <v>0.938947453</v>
      </c>
      <c r="AD192" t="n">
        <v>-0.39597084</v>
      </c>
      <c r="AE192" t="n">
        <v>3.930438208</v>
      </c>
      <c r="AF192" t="n">
        <v>0.383915746</v>
      </c>
      <c r="AG192" t="n">
        <v/>
      </c>
      <c r="AH192" t="n">
        <v>1.159217201</v>
      </c>
      <c r="AI192" t="n">
        <v>0.946897658</v>
      </c>
      <c r="AJ192" t="n">
        <v>3.952007956</v>
      </c>
      <c r="AK192" t="n">
        <v>1.330066303</v>
      </c>
      <c r="AL192" t="n">
        <v>0.9712835399999999</v>
      </c>
      <c r="AM192" t="n">
        <v/>
      </c>
      <c r="AN192" t="n">
        <v>1.201951322</v>
      </c>
      <c r="AO192" t="n">
        <v/>
      </c>
      <c r="AP192" t="n">
        <v>1.416354765</v>
      </c>
      <c r="AQ192" t="n">
        <v/>
      </c>
      <c r="AR192" t="n">
        <v>1.518112806</v>
      </c>
      <c r="AS192" t="n">
        <v/>
      </c>
      <c r="AT192" t="n">
        <v>1.145518265</v>
      </c>
      <c r="AU192" t="n">
        <v>1.858295375</v>
      </c>
    </row>
    <row r="193">
      <c r="A193" t="inlineStr">
        <is>
          <t>1995-Q1</t>
        </is>
      </c>
      <c r="B193" s="107" t="n">
        <v>34790</v>
      </c>
      <c r="C193" t="n">
        <v>-1.543121762</v>
      </c>
      <c r="D193" t="n">
        <v>0.039870548</v>
      </c>
      <c r="E193" t="n">
        <v>0.836180191</v>
      </c>
      <c r="F193" t="n">
        <v>-0.055348257</v>
      </c>
      <c r="G193" t="n">
        <v/>
      </c>
      <c r="H193" t="n">
        <v>0.929487425</v>
      </c>
      <c r="I193" t="n">
        <v>-0.388178465</v>
      </c>
      <c r="J193" t="n">
        <v/>
      </c>
      <c r="K193" t="n">
        <v/>
      </c>
      <c r="L193" t="n">
        <v>1.708041588</v>
      </c>
      <c r="M193" t="n">
        <v>-0.332409422</v>
      </c>
      <c r="N193" t="n">
        <v>0.514218948</v>
      </c>
      <c r="O193" t="n">
        <v/>
      </c>
      <c r="P193" t="n">
        <v>1.142035499</v>
      </c>
      <c r="Q193" t="n">
        <v/>
      </c>
      <c r="R193" t="n">
        <v/>
      </c>
      <c r="S193" t="n">
        <v>-0.8264462809999999</v>
      </c>
      <c r="T193" t="n">
        <v>0.571820384</v>
      </c>
      <c r="U193" t="n">
        <v>0.514224</v>
      </c>
      <c r="V193" t="n">
        <v>0.368565149</v>
      </c>
      <c r="W193" t="n">
        <v>-0.040633383</v>
      </c>
      <c r="X193" t="n">
        <v/>
      </c>
      <c r="Y193" t="n">
        <v/>
      </c>
      <c r="Z193" t="n">
        <v>6.297910321</v>
      </c>
      <c r="AA193" t="n">
        <v>-3.004450734</v>
      </c>
      <c r="AB193" t="n">
        <v/>
      </c>
      <c r="AC193" t="n">
        <v>1.255574938</v>
      </c>
      <c r="AD193" t="n">
        <v>1.106828619</v>
      </c>
      <c r="AE193" t="n">
        <v>2.090489418</v>
      </c>
      <c r="AF193" t="n">
        <v>1.175591279</v>
      </c>
      <c r="AG193" t="n">
        <v/>
      </c>
      <c r="AH193" t="n">
        <v>-5.746706155</v>
      </c>
      <c r="AI193" t="n">
        <v>0.680302747</v>
      </c>
      <c r="AJ193" t="n">
        <v>-0.781159062</v>
      </c>
      <c r="AK193" t="n">
        <v>1.212418045</v>
      </c>
      <c r="AL193" t="n">
        <v>0.381104663</v>
      </c>
      <c r="AM193" t="n">
        <v/>
      </c>
      <c r="AN193" t="n">
        <v>0.174836529</v>
      </c>
      <c r="AO193" t="n">
        <v/>
      </c>
      <c r="AP193" t="n">
        <v>1.516137119</v>
      </c>
      <c r="AQ193" t="n">
        <v/>
      </c>
      <c r="AR193" t="n">
        <v>1.288298893</v>
      </c>
      <c r="AS193" t="n">
        <v/>
      </c>
      <c r="AT193" t="n">
        <v>0.35469547</v>
      </c>
      <c r="AU193" t="n">
        <v>0.24994674</v>
      </c>
    </row>
    <row r="194">
      <c r="A194" t="inlineStr">
        <is>
          <t>1995-Q2</t>
        </is>
      </c>
      <c r="B194" s="107" t="n">
        <v>34881</v>
      </c>
      <c r="C194" t="n">
        <v>-3.790303996</v>
      </c>
      <c r="D194" t="n">
        <v>0.401938463</v>
      </c>
      <c r="E194" t="n">
        <v>0.424044226</v>
      </c>
      <c r="F194" t="n">
        <v>0.42061728</v>
      </c>
      <c r="G194" t="n">
        <v/>
      </c>
      <c r="H194" t="n">
        <v>0.040377509</v>
      </c>
      <c r="I194" t="n">
        <v>0.060417016</v>
      </c>
      <c r="J194" t="n">
        <v>2.757814856</v>
      </c>
      <c r="K194" t="n">
        <v/>
      </c>
      <c r="L194" t="n">
        <v>0.395624855</v>
      </c>
      <c r="M194" t="n">
        <v>0.732503229</v>
      </c>
      <c r="N194" t="n">
        <v>-0.286098332</v>
      </c>
      <c r="O194" t="n">
        <v>0.557234</v>
      </c>
      <c r="P194" t="n">
        <v>0.620257229</v>
      </c>
      <c r="Q194" t="n">
        <v>-0.988347898</v>
      </c>
      <c r="R194" t="n">
        <v>1.081356</v>
      </c>
      <c r="S194" t="n">
        <v>2.686170213</v>
      </c>
      <c r="T194" t="n">
        <v>0.481312263</v>
      </c>
      <c r="U194" t="n">
        <v>0.446449</v>
      </c>
      <c r="V194" t="n">
        <v>0.36311861</v>
      </c>
      <c r="W194" t="n">
        <v>0.947533377</v>
      </c>
      <c r="X194" t="n">
        <v>-0.154806261</v>
      </c>
      <c r="Y194" t="n">
        <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0.362753266</v>
      </c>
      <c r="AM194" t="n">
        <v>1.807801519</v>
      </c>
      <c r="AN194" t="n">
        <v>1.179121107</v>
      </c>
      <c r="AO194" t="n">
        <v/>
      </c>
      <c r="AP194" t="n">
        <v>1.665255225</v>
      </c>
      <c r="AQ194" t="n">
        <v>0.211693192</v>
      </c>
      <c r="AR194" t="n">
        <v>0.426748156</v>
      </c>
      <c r="AS194" t="n">
        <v/>
      </c>
      <c r="AT194" t="n">
        <v>0.298305699</v>
      </c>
      <c r="AU194" t="n">
        <v>0.287484075</v>
      </c>
    </row>
    <row r="195">
      <c r="A195" t="inlineStr">
        <is>
          <t>1995-Q3</t>
        </is>
      </c>
      <c r="B195" s="107" t="n">
        <v>34973</v>
      </c>
      <c r="C195" t="n">
        <v>-0.386299513</v>
      </c>
      <c r="D195" t="n">
        <v>2.256286818</v>
      </c>
      <c r="E195" t="n">
        <v>0.226812689</v>
      </c>
      <c r="F195" t="n">
        <v>0.599565735</v>
      </c>
      <c r="G195" t="n">
        <v/>
      </c>
      <c r="H195" t="n">
        <v>0.131784833</v>
      </c>
      <c r="I195" t="n">
        <v>0.505237364</v>
      </c>
      <c r="J195" t="n">
        <v>0.489260671</v>
      </c>
      <c r="K195" t="n">
        <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Y195" t="n">
        <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0.8523063910000001</v>
      </c>
      <c r="AM195" t="n">
        <v>3.560391399</v>
      </c>
      <c r="AN195" t="n">
        <v>0.433832717</v>
      </c>
      <c r="AO195" t="n">
        <v/>
      </c>
      <c r="AP195" t="n">
        <v>0.584375334</v>
      </c>
      <c r="AQ195" t="n">
        <v>0.199606322</v>
      </c>
      <c r="AR195" t="n">
        <v>0.501850477</v>
      </c>
      <c r="AS195" t="n">
        <v/>
      </c>
      <c r="AT195" t="n">
        <v>0.850664868</v>
      </c>
      <c r="AU195" t="n">
        <v>0.663462949</v>
      </c>
    </row>
    <row r="196">
      <c r="A196" t="inlineStr">
        <is>
          <t>1995-Q4</t>
        </is>
      </c>
      <c r="B196" s="107" t="n">
        <v>35065</v>
      </c>
      <c r="C196" t="n">
        <v>0.766784665</v>
      </c>
      <c r="D196" t="n">
        <v>-0.026017147</v>
      </c>
      <c r="E196" t="n">
        <v>0.344772176</v>
      </c>
      <c r="F196" t="n">
        <v>0.206090819</v>
      </c>
      <c r="G196" t="n">
        <v/>
      </c>
      <c r="H196" t="n">
        <v>0.409812959</v>
      </c>
      <c r="I196" t="n">
        <v>0.06707283999999999</v>
      </c>
      <c r="J196" t="n">
        <v>1.839741522</v>
      </c>
      <c r="K196" t="n">
        <v/>
      </c>
      <c r="L196" t="n">
        <v>-0.770604418</v>
      </c>
      <c r="M196" t="n">
        <v>0.025917782</v>
      </c>
      <c r="N196" t="n">
        <v>0.731687334</v>
      </c>
      <c r="O196" t="n">
        <v>0.354275</v>
      </c>
      <c r="P196" t="n">
        <v>0.76005554</v>
      </c>
      <c r="Q196" t="n">
        <v>1.170002692</v>
      </c>
      <c r="R196" t="n">
        <v>0.545443</v>
      </c>
      <c r="S196" t="n">
        <v>0.049144311</v>
      </c>
      <c r="T196" t="n">
        <v>0.17329488</v>
      </c>
      <c r="U196" t="n">
        <v>0.459358</v>
      </c>
      <c r="V196" t="n">
        <v>0.231353272</v>
      </c>
      <c r="W196" t="n">
        <v>0.579167974</v>
      </c>
      <c r="X196" t="n">
        <v>-0.420267331</v>
      </c>
      <c r="Y196" t="n">
        <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0.5617412510000001</v>
      </c>
      <c r="AM196" t="n">
        <v>-0.1477293</v>
      </c>
      <c r="AN196" t="n">
        <v>0.677522441</v>
      </c>
      <c r="AO196" t="n">
        <v/>
      </c>
      <c r="AP196" t="n">
        <v>1.902765321</v>
      </c>
      <c r="AQ196" t="n">
        <v>0.22918909</v>
      </c>
      <c r="AR196" t="n">
        <v>1.022613913</v>
      </c>
      <c r="AS196" t="n">
        <v/>
      </c>
      <c r="AT196" t="n">
        <v>0.679036536</v>
      </c>
      <c r="AU196" t="n">
        <v>0.336366655</v>
      </c>
    </row>
    <row r="197">
      <c r="A197" t="inlineStr">
        <is>
          <t>1996-Q1</t>
        </is>
      </c>
      <c r="B197" s="107" t="n">
        <v>35156</v>
      </c>
      <c r="C197" t="n">
        <v>2.749659958</v>
      </c>
      <c r="D197" t="n">
        <v>1.643637565</v>
      </c>
      <c r="E197" t="n">
        <v>0.698423959</v>
      </c>
      <c r="F197" t="n">
        <v>-0.201498034</v>
      </c>
      <c r="G197" t="n">
        <v/>
      </c>
      <c r="H197" t="n">
        <v>0.06880559</v>
      </c>
      <c r="I197" t="n">
        <v>0.5389663649999999</v>
      </c>
      <c r="J197" t="n">
        <v>3.079251895</v>
      </c>
      <c r="K197" t="n">
        <v/>
      </c>
      <c r="L197" t="n">
        <v>2.387550883</v>
      </c>
      <c r="M197" t="n">
        <v>-0.829258591</v>
      </c>
      <c r="N197" t="n">
        <v>0.015030293</v>
      </c>
      <c r="O197" t="n">
        <v>0.19427</v>
      </c>
      <c r="P197" t="n">
        <v>0.591061032</v>
      </c>
      <c r="Q197" t="n">
        <v>0.899314058</v>
      </c>
      <c r="R197" t="n">
        <v>-0.002432</v>
      </c>
      <c r="S197" t="n">
        <v>1.80299922</v>
      </c>
      <c r="T197" t="n">
        <v>0.626317983</v>
      </c>
      <c r="U197" t="n">
        <v>0.492955</v>
      </c>
      <c r="V197" t="n">
        <v>0.5543116</v>
      </c>
      <c r="W197" t="n">
        <v>0.542957052</v>
      </c>
      <c r="X197" t="n">
        <v>0.564369407</v>
      </c>
      <c r="Y197" t="n">
        <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0.726970144</v>
      </c>
      <c r="AM197" t="n">
        <v>2.958097363</v>
      </c>
      <c r="AN197" t="n">
        <v>0.78990095</v>
      </c>
      <c r="AO197" t="n">
        <v/>
      </c>
      <c r="AP197" t="n">
        <v>1.689970417</v>
      </c>
      <c r="AQ197" t="n">
        <v>0.6726954429999999</v>
      </c>
      <c r="AR197" t="n">
        <v>0.696631517</v>
      </c>
      <c r="AS197" t="n">
        <v/>
      </c>
      <c r="AT197" t="n">
        <v>0.748971329</v>
      </c>
      <c r="AU197" t="n">
        <v>1.852498307</v>
      </c>
    </row>
    <row r="198">
      <c r="A198" t="inlineStr">
        <is>
          <t>1996-Q2</t>
        </is>
      </c>
      <c r="B198" s="107" t="n">
        <v>35247</v>
      </c>
      <c r="C198" t="n">
        <v>2.228766023</v>
      </c>
      <c r="D198" t="n">
        <v>0.686406788</v>
      </c>
      <c r="E198" t="n">
        <v>0.856961661</v>
      </c>
      <c r="F198" t="n">
        <v>0.701793472</v>
      </c>
      <c r="G198" t="n">
        <v>0.894191566</v>
      </c>
      <c r="H198" t="n">
        <v>0.696292748</v>
      </c>
      <c r="I198" t="n">
        <v>-0.404260729</v>
      </c>
      <c r="J198" t="n">
        <v>1.184746178</v>
      </c>
      <c r="K198" t="n">
        <v/>
      </c>
      <c r="L198" t="n">
        <v>0.704964345</v>
      </c>
      <c r="M198" t="n">
        <v>1.358769899</v>
      </c>
      <c r="N198" t="n">
        <v>2.708013266</v>
      </c>
      <c r="O198" t="n">
        <v>0.707701</v>
      </c>
      <c r="P198" t="n">
        <v>0.738336268</v>
      </c>
      <c r="Q198" t="n">
        <v>1.702637973</v>
      </c>
      <c r="R198" t="n">
        <v>0.721537</v>
      </c>
      <c r="S198" t="n">
        <v>0.789033009</v>
      </c>
      <c r="T198" t="n">
        <v>0.173173211</v>
      </c>
      <c r="U198" t="n">
        <v>1.177615</v>
      </c>
      <c r="V198" t="n">
        <v>0.21065647</v>
      </c>
      <c r="W198" t="n">
        <v>0.573881042</v>
      </c>
      <c r="X198" t="n">
        <v>-0.57312385</v>
      </c>
      <c r="Y198" t="n">
        <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1.136004309</v>
      </c>
      <c r="AM198" t="n">
        <v>2.194478818</v>
      </c>
      <c r="AN198" t="n">
        <v>1.199491897</v>
      </c>
      <c r="AO198" t="n">
        <v/>
      </c>
      <c r="AP198" t="n">
        <v>1.181136607</v>
      </c>
      <c r="AQ198" t="n">
        <v>1.147734537</v>
      </c>
      <c r="AR198" t="n">
        <v>-0.8543811100000001</v>
      </c>
      <c r="AS198" t="n">
        <v/>
      </c>
      <c r="AT198" t="n">
        <v>1.667883947</v>
      </c>
      <c r="AU198" t="n">
        <v>1.19135893</v>
      </c>
    </row>
    <row r="199">
      <c r="A199" t="inlineStr">
        <is>
          <t>1996-Q3</t>
        </is>
      </c>
      <c r="B199" s="107" t="n">
        <v>35339</v>
      </c>
      <c r="C199" t="n">
        <v>2.296677959</v>
      </c>
      <c r="D199" t="n">
        <v>0.774158133</v>
      </c>
      <c r="E199" t="n">
        <v>0.328155225</v>
      </c>
      <c r="F199" t="n">
        <v>0.46045354</v>
      </c>
      <c r="G199" t="n">
        <v>3.916354095</v>
      </c>
      <c r="H199" t="n">
        <v>0.863973279</v>
      </c>
      <c r="I199" t="n">
        <v>-0.298916827</v>
      </c>
      <c r="J199" t="n">
        <v>1.171627832</v>
      </c>
      <c r="K199" t="n">
        <v/>
      </c>
      <c r="L199" t="n">
        <v>0.42206663</v>
      </c>
      <c r="M199" t="n">
        <v>0.360923854</v>
      </c>
      <c r="N199" t="n">
        <v>0.282819107</v>
      </c>
      <c r="O199" t="n">
        <v>0.540876</v>
      </c>
      <c r="P199" t="n">
        <v>0.856899433</v>
      </c>
      <c r="Q199" t="n">
        <v>3.180539411</v>
      </c>
      <c r="R199" t="n">
        <v>0.524705</v>
      </c>
      <c r="S199" t="n">
        <v>0.58010194</v>
      </c>
      <c r="T199" t="n">
        <v>0.612324151</v>
      </c>
      <c r="U199" t="n">
        <v>0.639615</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0.740972006</v>
      </c>
      <c r="AM199" t="n">
        <v>0.870047668</v>
      </c>
      <c r="AN199" t="n">
        <v>1.356809474</v>
      </c>
      <c r="AO199" t="n">
        <v/>
      </c>
      <c r="AP199" t="n">
        <v>2.50228209</v>
      </c>
      <c r="AQ199" t="n">
        <v>1.303051911</v>
      </c>
      <c r="AR199" t="n">
        <v>0.485389755</v>
      </c>
      <c r="AS199" t="n">
        <v/>
      </c>
      <c r="AT199" t="n">
        <v>0.897010936</v>
      </c>
      <c r="AU199" t="n">
        <v>1.191484164</v>
      </c>
    </row>
    <row r="200">
      <c r="A200" t="inlineStr">
        <is>
          <t>1996-Q4</t>
        </is>
      </c>
      <c r="B200" s="107" t="n">
        <v>35431</v>
      </c>
      <c r="C200" t="n">
        <v>1.822265983</v>
      </c>
      <c r="D200" t="n">
        <v>0.924016005</v>
      </c>
      <c r="E200" t="n">
        <v>0.147480442</v>
      </c>
      <c r="F200" t="n">
        <v>0.78868044</v>
      </c>
      <c r="G200" t="n">
        <v>-1.026346399</v>
      </c>
      <c r="H200" t="n">
        <v>0.8053663599999999</v>
      </c>
      <c r="I200" t="n">
        <v>0.631363898</v>
      </c>
      <c r="J200" t="n">
        <v>1.323898587</v>
      </c>
      <c r="K200" t="n">
        <v/>
      </c>
      <c r="L200" t="n">
        <v>0.124436712</v>
      </c>
      <c r="M200" t="n">
        <v>0.73207547</v>
      </c>
      <c r="N200" t="n">
        <v>0.034009024</v>
      </c>
      <c r="O200" t="n">
        <v>0.438996</v>
      </c>
      <c r="P200" t="n">
        <v>0.5333809859999999</v>
      </c>
      <c r="Q200" t="n">
        <v>2.032043533</v>
      </c>
      <c r="R200" t="n">
        <v>0.356387</v>
      </c>
      <c r="S200" t="n">
        <v>1.873057648</v>
      </c>
      <c r="T200" t="n">
        <v>0.12724769</v>
      </c>
      <c r="U200" t="n">
        <v>0.881308</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0.975254336</v>
      </c>
      <c r="AM200" t="n">
        <v>-4.057864163</v>
      </c>
      <c r="AN200" t="n">
        <v>0.282339693</v>
      </c>
      <c r="AO200" t="n">
        <v/>
      </c>
      <c r="AP200" t="n">
        <v>1.96749614</v>
      </c>
      <c r="AQ200" t="n">
        <v>1.743258551</v>
      </c>
      <c r="AR200" t="n">
        <v>0.674523685</v>
      </c>
      <c r="AS200" t="n">
        <v/>
      </c>
      <c r="AT200" t="n">
        <v>1.038397649</v>
      </c>
      <c r="AU200" t="n">
        <v>0.938171466</v>
      </c>
    </row>
    <row r="201">
      <c r="A201" t="inlineStr">
        <is>
          <t>1997-Q1</t>
        </is>
      </c>
      <c r="B201" s="107" t="n">
        <v>35521</v>
      </c>
      <c r="C201" t="n">
        <v>2.100205284</v>
      </c>
      <c r="D201" t="n">
        <v>0.621085968</v>
      </c>
      <c r="E201" t="n">
        <v>0.584179755</v>
      </c>
      <c r="F201" t="n">
        <v>1.002376205</v>
      </c>
      <c r="G201" t="n">
        <v>0.9827603150000001</v>
      </c>
      <c r="H201" t="n">
        <v>1.319174451</v>
      </c>
      <c r="I201" t="n">
        <v>0.829579921</v>
      </c>
      <c r="J201" t="n">
        <v>1.094454032</v>
      </c>
      <c r="K201" t="n">
        <v/>
      </c>
      <c r="L201" t="n">
        <v>-0.395369789</v>
      </c>
      <c r="M201" t="n">
        <v>-0.5355613930000001</v>
      </c>
      <c r="N201" t="n">
        <v>1.255106285</v>
      </c>
      <c r="O201" t="n">
        <v>0.257645</v>
      </c>
      <c r="P201" t="n">
        <v>1.015318654</v>
      </c>
      <c r="Q201" t="n">
        <v>3.62571911</v>
      </c>
      <c r="R201" t="n">
        <v>0.40456</v>
      </c>
      <c r="S201" t="n">
        <v>1.1790249</v>
      </c>
      <c r="T201" t="n">
        <v>0.303663359</v>
      </c>
      <c r="U201" t="n">
        <v>0.509749</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0.623044865</v>
      </c>
      <c r="AM201" t="n">
        <v>7.209693681</v>
      </c>
      <c r="AN201" t="n">
        <v>1.644745127</v>
      </c>
      <c r="AO201" t="n">
        <v/>
      </c>
      <c r="AP201" t="n">
        <v>0.990933663</v>
      </c>
      <c r="AQ201" t="n">
        <v>0.5327588170000001</v>
      </c>
      <c r="AR201" t="n">
        <v>0.882826031</v>
      </c>
      <c r="AS201" t="n">
        <v/>
      </c>
      <c r="AT201" t="n">
        <v>0.645560777</v>
      </c>
      <c r="AU201" t="n">
        <v>0.46421678</v>
      </c>
    </row>
    <row r="202">
      <c r="A202" t="inlineStr">
        <is>
          <t>1997-Q2</t>
        </is>
      </c>
      <c r="B202" s="107" t="n">
        <v>35612</v>
      </c>
      <c r="C202" t="n">
        <v>1.487513881</v>
      </c>
      <c r="D202" t="n">
        <v>2.973460123</v>
      </c>
      <c r="E202" t="n">
        <v>0.313537643</v>
      </c>
      <c r="F202" t="n">
        <v>1.546782044</v>
      </c>
      <c r="G202" t="n">
        <v>0.677028777</v>
      </c>
      <c r="H202" t="n">
        <v>1.129631513</v>
      </c>
      <c r="I202" t="n">
        <v>0.490919655</v>
      </c>
      <c r="J202" t="n">
        <v>2.347896321</v>
      </c>
      <c r="K202" t="n">
        <v/>
      </c>
      <c r="L202" t="n">
        <v>-0.32452368</v>
      </c>
      <c r="M202" t="n">
        <v>1.294704697</v>
      </c>
      <c r="N202" t="n">
        <v>1.717487195</v>
      </c>
      <c r="O202" t="n">
        <v>1.239738</v>
      </c>
      <c r="P202" t="n">
        <v>0.907001669</v>
      </c>
      <c r="Q202" t="n">
        <v>4.202834368</v>
      </c>
      <c r="R202" t="n">
        <v>1.224764</v>
      </c>
      <c r="S202" t="n">
        <v>1.518402825</v>
      </c>
      <c r="T202" t="n">
        <v>1.15022898</v>
      </c>
      <c r="U202" t="n">
        <v>1.05175</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1.277012143</v>
      </c>
      <c r="AM202" t="n">
        <v>1.372434043</v>
      </c>
      <c r="AN202" t="n">
        <v>0.908618014</v>
      </c>
      <c r="AO202" t="n">
        <v/>
      </c>
      <c r="AP202" t="n">
        <v>1.485837377</v>
      </c>
      <c r="AQ202" t="n">
        <v>2.267982722</v>
      </c>
      <c r="AR202" t="n">
        <v>1.216006264</v>
      </c>
      <c r="AS202" t="n">
        <v/>
      </c>
      <c r="AT202" t="n">
        <v>1.661978105</v>
      </c>
      <c r="AU202" t="n">
        <v>0.627410873</v>
      </c>
    </row>
    <row r="203">
      <c r="A203" t="inlineStr">
        <is>
          <t>1997-Q3</t>
        </is>
      </c>
      <c r="B203" s="107" t="n">
        <v>35704</v>
      </c>
      <c r="C203" t="n">
        <v>2.517217344</v>
      </c>
      <c r="D203" t="n">
        <v>0.140951885</v>
      </c>
      <c r="E203" t="n">
        <v>1.234146566</v>
      </c>
      <c r="F203" t="n">
        <v>0.881444397</v>
      </c>
      <c r="G203" t="n">
        <v>1.242090664</v>
      </c>
      <c r="H203" t="n">
        <v>1.183433842</v>
      </c>
      <c r="I203" t="n">
        <v>1.222178246</v>
      </c>
      <c r="J203" t="n">
        <v>2.369164555</v>
      </c>
      <c r="K203" t="n">
        <v/>
      </c>
      <c r="L203" t="n">
        <v>-0.679383788</v>
      </c>
      <c r="M203" t="n">
        <v>0.341682942</v>
      </c>
      <c r="N203" t="n">
        <v>-0.282299164</v>
      </c>
      <c r="O203" t="n">
        <v>0.775377</v>
      </c>
      <c r="P203" t="n">
        <v>1.18948225</v>
      </c>
      <c r="Q203" t="n">
        <v>2.69331139</v>
      </c>
      <c r="R203" t="n">
        <v>0.7101420000000001</v>
      </c>
      <c r="S203" t="n">
        <v>2.357253706</v>
      </c>
      <c r="T203" t="n">
        <v>0.78367447</v>
      </c>
      <c r="U203" t="n">
        <v>0.850518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0.902581175</v>
      </c>
      <c r="AM203" t="n">
        <v>-0.257967265</v>
      </c>
      <c r="AN203" t="n">
        <v>1.300962327</v>
      </c>
      <c r="AO203" t="n">
        <v/>
      </c>
      <c r="AP203" t="n">
        <v>1.65897196</v>
      </c>
      <c r="AQ203" t="n">
        <v>0.880829783</v>
      </c>
      <c r="AR203" t="n">
        <v>0.7507053809999999</v>
      </c>
      <c r="AS203" t="n">
        <v/>
      </c>
      <c r="AT203" t="n">
        <v>1.250778573</v>
      </c>
      <c r="AU203" t="n">
        <v>0.099423795</v>
      </c>
    </row>
    <row r="204">
      <c r="A204" t="inlineStr">
        <is>
          <t>1997-Q4</t>
        </is>
      </c>
      <c r="B204" s="107" t="n">
        <v>35796</v>
      </c>
      <c r="C204" t="n">
        <v>1.351457572</v>
      </c>
      <c r="D204" t="n">
        <v>1.446165615</v>
      </c>
      <c r="E204" t="n">
        <v>1.058748215</v>
      </c>
      <c r="F204" t="n">
        <v>0.5569780640000001</v>
      </c>
      <c r="G204" t="n">
        <v>0.775265903</v>
      </c>
      <c r="H204" t="n">
        <v>0.968322222</v>
      </c>
      <c r="I204" t="n">
        <v>0.732903244</v>
      </c>
      <c r="J204" t="n">
        <v>2.045482837</v>
      </c>
      <c r="K204" t="n">
        <v/>
      </c>
      <c r="L204" t="n">
        <v>-0.173625038</v>
      </c>
      <c r="M204" t="n">
        <v>0.718877903</v>
      </c>
      <c r="N204" t="n">
        <v>-0.013656432</v>
      </c>
      <c r="O204" t="n">
        <v>1.127905</v>
      </c>
      <c r="P204" t="n">
        <v>1.379162685</v>
      </c>
      <c r="Q204" t="n">
        <v>3.131919271</v>
      </c>
      <c r="R204" t="n">
        <v>1.120165</v>
      </c>
      <c r="S204" t="n">
        <v>2.946020128</v>
      </c>
      <c r="T204" t="n">
        <v>1.09352616</v>
      </c>
      <c r="U204" t="n">
        <v>0.815512</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0.9307609100000001</v>
      </c>
      <c r="AM204" t="n">
        <v>1.676103622</v>
      </c>
      <c r="AN204" t="n">
        <v>0.672324286</v>
      </c>
      <c r="AO204" t="n">
        <v/>
      </c>
      <c r="AP204" t="n">
        <v>-0.527184735</v>
      </c>
      <c r="AQ204" t="n">
        <v>0.382963078</v>
      </c>
      <c r="AR204" t="n">
        <v>2.025397782</v>
      </c>
      <c r="AS204" t="n">
        <v/>
      </c>
      <c r="AT204" t="n">
        <v>0.858743563</v>
      </c>
      <c r="AU204" t="n">
        <v>0.013815329</v>
      </c>
    </row>
    <row r="205">
      <c r="A205" t="inlineStr">
        <is>
          <t>1998-Q1</t>
        </is>
      </c>
      <c r="B205" s="107" t="n">
        <v>35886</v>
      </c>
      <c r="C205" t="n">
        <v>0.5174215639999999</v>
      </c>
      <c r="D205" t="n">
        <v>0.673752314</v>
      </c>
      <c r="E205" t="n">
        <v>0.7681150329999999</v>
      </c>
      <c r="F205" t="n">
        <v>0.259883446</v>
      </c>
      <c r="G205" t="n">
        <v>-1.932210973</v>
      </c>
      <c r="H205" t="n">
        <v>1.41241503</v>
      </c>
      <c r="I205" t="n">
        <v>1.017619942</v>
      </c>
      <c r="J205" t="n">
        <v>-0.405949578</v>
      </c>
      <c r="K205" t="n">
        <v/>
      </c>
      <c r="L205" t="n">
        <v>0.013075171</v>
      </c>
      <c r="M205" t="n">
        <v>0.9453307480000001</v>
      </c>
      <c r="N205" t="n">
        <v>1.507787696</v>
      </c>
      <c r="O205" t="n">
        <v>0.644821</v>
      </c>
      <c r="P205" t="n">
        <v>0.8761989140000001</v>
      </c>
      <c r="Q205" t="n">
        <v>0.818750189</v>
      </c>
      <c r="R205" t="n">
        <v>0.705717</v>
      </c>
      <c r="S205" t="n">
        <v>-0.728759332</v>
      </c>
      <c r="T205" t="n">
        <v>0.839422293</v>
      </c>
      <c r="U205" t="n">
        <v>0.47025</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0.417944879</v>
      </c>
      <c r="AM205" t="n">
        <v>2.775265236</v>
      </c>
      <c r="AN205" t="n">
        <v>1.447666569</v>
      </c>
      <c r="AO205" t="n">
        <v/>
      </c>
      <c r="AP205" t="n">
        <v>1.763985437</v>
      </c>
      <c r="AQ205" t="n">
        <v>0.630747315</v>
      </c>
      <c r="AR205" t="n">
        <v>0.39102817</v>
      </c>
      <c r="AS205" t="n">
        <v/>
      </c>
      <c r="AT205" t="n">
        <v>0.999375401</v>
      </c>
      <c r="AU205" t="n">
        <v>0.262703844</v>
      </c>
    </row>
    <row r="206">
      <c r="A206" t="inlineStr">
        <is>
          <t>1998-Q2</t>
        </is>
      </c>
      <c r="B206" s="107" t="n">
        <v>35977</v>
      </c>
      <c r="C206" t="n">
        <v>1.959505358</v>
      </c>
      <c r="D206" t="n">
        <v>0.917166633</v>
      </c>
      <c r="E206" t="n">
        <v>1.077008051</v>
      </c>
      <c r="F206" t="n">
        <v>0.332521666</v>
      </c>
      <c r="G206" t="n">
        <v>1.622806426</v>
      </c>
      <c r="H206" t="n">
        <v>0.053398141</v>
      </c>
      <c r="I206" t="n">
        <v>0.971189783</v>
      </c>
      <c r="J206" t="n">
        <v>2.002304607</v>
      </c>
      <c r="K206" t="n">
        <v/>
      </c>
      <c r="L206" t="n">
        <v>0.266507969</v>
      </c>
      <c r="M206" t="n">
        <v>-0.434128062</v>
      </c>
      <c r="N206" t="n">
        <v>-0.7552173</v>
      </c>
      <c r="O206" t="n">
        <v>0.461618</v>
      </c>
      <c r="P206" t="n">
        <v>1.1279904</v>
      </c>
      <c r="Q206" t="n">
        <v>-0.565285321</v>
      </c>
      <c r="R206" t="n">
        <v>0.436393</v>
      </c>
      <c r="S206" t="n">
        <v>2.01816089</v>
      </c>
      <c r="T206" t="n">
        <v>0.931210215</v>
      </c>
      <c r="U206" t="n">
        <v>0.470914</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0.468625659</v>
      </c>
      <c r="AM206" t="n">
        <v>-0.267009039</v>
      </c>
      <c r="AN206" t="n">
        <v>1.535719128</v>
      </c>
      <c r="AO206" t="n">
        <v/>
      </c>
      <c r="AP206" t="n">
        <v>0.015615062</v>
      </c>
      <c r="AQ206" t="n">
        <v>0.69526742</v>
      </c>
      <c r="AR206" t="n">
        <v>1.362291794</v>
      </c>
      <c r="AS206" t="n">
        <v>-0.796542956</v>
      </c>
      <c r="AT206" t="n">
        <v>0.925820507</v>
      </c>
      <c r="AU206" t="n">
        <v>0.141425317</v>
      </c>
    </row>
    <row r="207">
      <c r="A207" t="inlineStr">
        <is>
          <t>1998-Q3</t>
        </is>
      </c>
      <c r="B207" s="107" t="n">
        <v>36069</v>
      </c>
      <c r="C207" t="n">
        <v>-0.304614298</v>
      </c>
      <c r="D207" t="n">
        <v>1.888914041</v>
      </c>
      <c r="E207" t="n">
        <v>0.610903094</v>
      </c>
      <c r="F207" t="n">
        <v>0.292275574</v>
      </c>
      <c r="G207" t="n">
        <v>0.061477771</v>
      </c>
      <c r="H207" t="n">
        <v>0.91021039</v>
      </c>
      <c r="I207" t="n">
        <v>0.090706887</v>
      </c>
      <c r="J207" t="n">
        <v>-0.463898366</v>
      </c>
      <c r="K207" t="n">
        <v/>
      </c>
      <c r="L207" t="n">
        <v>-0.057180188</v>
      </c>
      <c r="M207" t="n">
        <v>0.498318833</v>
      </c>
      <c r="N207" t="n">
        <v>1.837315059</v>
      </c>
      <c r="O207" t="n">
        <v>0.594086</v>
      </c>
      <c r="P207" t="n">
        <v>0.944739553</v>
      </c>
      <c r="Q207" t="n">
        <v>-0.101683815</v>
      </c>
      <c r="R207" t="n">
        <v>0.618443</v>
      </c>
      <c r="S207" t="n">
        <v>1.256142814</v>
      </c>
      <c r="T207" t="n">
        <v>0.688595506</v>
      </c>
      <c r="U207" t="n">
        <v>0.805913</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0.715078279</v>
      </c>
      <c r="AM207" t="n">
        <v>0.843701907</v>
      </c>
      <c r="AN207" t="n">
        <v>1.108503881</v>
      </c>
      <c r="AO207" t="n">
        <v/>
      </c>
      <c r="AP207" t="n">
        <v>-0.816682172</v>
      </c>
      <c r="AQ207" t="n">
        <v>0.8779499200000001</v>
      </c>
      <c r="AR207" t="n">
        <v>0.537439063</v>
      </c>
      <c r="AS207" t="n">
        <v>-1.407074898</v>
      </c>
      <c r="AT207" t="n">
        <v>1.252764553</v>
      </c>
      <c r="AU207" t="n">
        <v>-0.219033432</v>
      </c>
    </row>
    <row r="208">
      <c r="A208" t="inlineStr">
        <is>
          <t>1998-Q4</t>
        </is>
      </c>
      <c r="B208" s="107" t="n">
        <v>36161</v>
      </c>
      <c r="C208" t="n">
        <v>-2.549266052</v>
      </c>
      <c r="D208" t="n">
        <v>1.501327593</v>
      </c>
      <c r="E208" t="n">
        <v>0.394671767</v>
      </c>
      <c r="F208" t="n">
        <v>0.223771857</v>
      </c>
      <c r="G208" t="n">
        <v>-1.185586722</v>
      </c>
      <c r="H208" t="n">
        <v>1.360670376</v>
      </c>
      <c r="I208" t="n">
        <v>-0.275672537</v>
      </c>
      <c r="J208" t="n">
        <v>-3.508287312</v>
      </c>
      <c r="K208" t="n">
        <v/>
      </c>
      <c r="L208" t="n">
        <v>0.09077961800000001</v>
      </c>
      <c r="M208" t="n">
        <v>-0.43387042</v>
      </c>
      <c r="N208" t="n">
        <v>0.320757081</v>
      </c>
      <c r="O208" t="n">
        <v>0.139823</v>
      </c>
      <c r="P208" t="n">
        <v>1.098466848</v>
      </c>
      <c r="Q208" t="n">
        <v>-1.820651625</v>
      </c>
      <c r="R208" t="n">
        <v>0.183766</v>
      </c>
      <c r="S208" t="n">
        <v>0.8864677480000001</v>
      </c>
      <c r="T208" t="n">
        <v>0.763003935</v>
      </c>
      <c r="U208" t="n">
        <v>0.973625</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0.849112812</v>
      </c>
      <c r="AM208" t="n">
        <v>0.211827153</v>
      </c>
      <c r="AN208" t="n">
        <v>0.753210152</v>
      </c>
      <c r="AO208" t="n">
        <v/>
      </c>
      <c r="AP208" t="n">
        <v>7.524898443</v>
      </c>
      <c r="AQ208" t="n">
        <v>0.764041842</v>
      </c>
      <c r="AR208" t="n">
        <v>1.176019871</v>
      </c>
      <c r="AS208" t="n">
        <v>-0.258688159</v>
      </c>
      <c r="AT208" t="n">
        <v>1.616190702</v>
      </c>
      <c r="AU208" t="n">
        <v>0.096284366</v>
      </c>
    </row>
    <row r="209">
      <c r="A209" t="inlineStr">
        <is>
          <t>1999-Q1</t>
        </is>
      </c>
      <c r="B209" s="107" t="n">
        <v>36251</v>
      </c>
      <c r="C209" t="n">
        <v>-1.245853391</v>
      </c>
      <c r="D209" t="n">
        <v>0.744584271</v>
      </c>
      <c r="E209" t="n">
        <v>0.692026521</v>
      </c>
      <c r="F209" t="n">
        <v>1.04496599</v>
      </c>
      <c r="G209" t="n">
        <v>0.325656119</v>
      </c>
      <c r="H209" t="n">
        <v>1.813816174</v>
      </c>
      <c r="I209" t="n">
        <v>0.195232231</v>
      </c>
      <c r="J209" t="n">
        <v>-0.318760794</v>
      </c>
      <c r="K209" t="n">
        <v/>
      </c>
      <c r="L209" t="n">
        <v>0.089339539</v>
      </c>
      <c r="M209" t="n">
        <v>1.157924524</v>
      </c>
      <c r="N209" t="n">
        <v>0.906036323</v>
      </c>
      <c r="O209" t="n">
        <v>0.9903459999999999</v>
      </c>
      <c r="P209" t="n">
        <v>0.998461242</v>
      </c>
      <c r="Q209" t="n">
        <v>-0.757951036</v>
      </c>
      <c r="R209" t="n">
        <v>0.940779</v>
      </c>
      <c r="S209" t="n">
        <v>1.649363081</v>
      </c>
      <c r="T209" t="n">
        <v>0.504196198</v>
      </c>
      <c r="U209" t="n">
        <v>0.536297</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0.63210503</v>
      </c>
      <c r="AM209" t="n">
        <v>0.589141986</v>
      </c>
      <c r="AN209" t="n">
        <v>1.32919639</v>
      </c>
      <c r="AO209" t="n">
        <v/>
      </c>
      <c r="AP209" t="n">
        <v>-3.336699414</v>
      </c>
      <c r="AQ209" t="n">
        <v>1.641921732</v>
      </c>
      <c r="AR209" t="n">
        <v>1.114387194</v>
      </c>
      <c r="AS209" t="n">
        <v>-1.685820218</v>
      </c>
      <c r="AT209" t="n">
        <v>0.943826615</v>
      </c>
      <c r="AU209" t="n">
        <v>0.961068944</v>
      </c>
    </row>
    <row r="210">
      <c r="A210" t="inlineStr">
        <is>
          <t>1999-Q2</t>
        </is>
      </c>
      <c r="B210" s="107" t="n">
        <v>36342</v>
      </c>
      <c r="C210" t="n">
        <v>-1.129907359</v>
      </c>
      <c r="D210" t="n">
        <v>0.322702437</v>
      </c>
      <c r="E210" t="n">
        <v>1.286765712</v>
      </c>
      <c r="F210" t="n">
        <v>1.368173585</v>
      </c>
      <c r="G210" t="n">
        <v>0.237722371</v>
      </c>
      <c r="H210" t="n">
        <v>0.836544698</v>
      </c>
      <c r="I210" t="n">
        <v>0.6589044120000001</v>
      </c>
      <c r="J210" t="n">
        <v>0.273996438</v>
      </c>
      <c r="K210" t="n">
        <v/>
      </c>
      <c r="L210" t="n">
        <v>0.346458231</v>
      </c>
      <c r="M210" t="n">
        <v>8.134e-06</v>
      </c>
      <c r="N210" t="n">
        <v>0.516383093</v>
      </c>
      <c r="O210" t="n">
        <v>0.576804</v>
      </c>
      <c r="P210" t="n">
        <v>1.186014726</v>
      </c>
      <c r="Q210" t="n">
        <v>0.87740796</v>
      </c>
      <c r="R210" t="n">
        <v>0.608716</v>
      </c>
      <c r="S210" t="n">
        <v>0.531208499</v>
      </c>
      <c r="T210" t="n">
        <v>0.826915676</v>
      </c>
      <c r="U210" t="n">
        <v>0.598709</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0.740386295</v>
      </c>
      <c r="AM210" t="n">
        <v>2.32123686</v>
      </c>
      <c r="AN210" t="n">
        <v>0.52210511</v>
      </c>
      <c r="AO210" t="n">
        <v/>
      </c>
      <c r="AP210" t="n">
        <v>-1.697182763</v>
      </c>
      <c r="AQ210" t="n">
        <v>4.264112324</v>
      </c>
      <c r="AR210" t="n">
        <v>0.664084394</v>
      </c>
      <c r="AS210" t="n">
        <v>-0.563715666</v>
      </c>
      <c r="AT210" t="n">
        <v>0.83500003</v>
      </c>
      <c r="AU210" t="n">
        <v>0.795890222</v>
      </c>
    </row>
    <row r="211">
      <c r="A211" t="inlineStr">
        <is>
          <t>1999-Q3</t>
        </is>
      </c>
      <c r="B211" s="107" t="n">
        <v>36434</v>
      </c>
      <c r="C211" t="n">
        <v>-0.288150498</v>
      </c>
      <c r="D211" t="n">
        <v>1.154938578</v>
      </c>
      <c r="E211" t="n">
        <v>1.30652955</v>
      </c>
      <c r="F211" t="n">
        <v>1.452361037</v>
      </c>
      <c r="G211" t="n">
        <v>0.168849113</v>
      </c>
      <c r="H211" t="n">
        <v>1.56467609</v>
      </c>
      <c r="I211" t="n">
        <v>0.565188671</v>
      </c>
      <c r="J211" t="n">
        <v>2.503274545</v>
      </c>
      <c r="K211" t="n">
        <v/>
      </c>
      <c r="L211" t="n">
        <v>0.987795514</v>
      </c>
      <c r="M211" t="n">
        <v>1.15692041</v>
      </c>
      <c r="N211" t="n">
        <v>0.618053367</v>
      </c>
      <c r="O211" t="n">
        <v>1.15392</v>
      </c>
      <c r="P211" t="n">
        <v>1.329460179</v>
      </c>
      <c r="Q211" t="n">
        <v>1.031388083</v>
      </c>
      <c r="R211" t="n">
        <v>1.144568</v>
      </c>
      <c r="S211" t="n">
        <v>0.533205236</v>
      </c>
      <c r="T211" t="n">
        <v>1.225717301</v>
      </c>
      <c r="U211" t="n">
        <v>1.168677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1.165570783</v>
      </c>
      <c r="AM211" t="n">
        <v>2.212682812</v>
      </c>
      <c r="AN211" t="n">
        <v>0.9803988729999999</v>
      </c>
      <c r="AO211" t="n">
        <v/>
      </c>
      <c r="AP211" t="n">
        <v>-0.623582755</v>
      </c>
      <c r="AQ211" t="n">
        <v>-2.581356091</v>
      </c>
      <c r="AR211" t="n">
        <v>0.766719203</v>
      </c>
      <c r="AS211" t="n">
        <v>-1.686618055</v>
      </c>
      <c r="AT211" t="n">
        <v>1.323027026</v>
      </c>
      <c r="AU211" t="n">
        <v>1.091897244</v>
      </c>
    </row>
    <row r="212">
      <c r="A212" t="inlineStr">
        <is>
          <t>1999-Q4</t>
        </is>
      </c>
      <c r="B212" s="107" t="n">
        <v>36526</v>
      </c>
      <c r="C212" t="n">
        <v>1.672821014</v>
      </c>
      <c r="D212" t="n">
        <v>1.706134855</v>
      </c>
      <c r="E212" t="n">
        <v>0.573167183</v>
      </c>
      <c r="F212" t="n">
        <v>1.18423025</v>
      </c>
      <c r="G212" t="n">
        <v>1.401893752</v>
      </c>
      <c r="H212" t="n">
        <v>1.40669634</v>
      </c>
      <c r="I212" t="n">
        <v>2.461727073</v>
      </c>
      <c r="J212" t="n">
        <v>2.235365843</v>
      </c>
      <c r="K212" t="n">
        <v/>
      </c>
      <c r="L212" t="n">
        <v>1.045600273</v>
      </c>
      <c r="M212" t="n">
        <v>0.766508856</v>
      </c>
      <c r="N212" t="n">
        <v>1.398796059</v>
      </c>
      <c r="O212" t="n">
        <v>1.149953</v>
      </c>
      <c r="P212" t="n">
        <v>1.134278725</v>
      </c>
      <c r="Q212" t="n">
        <v>2.589981789</v>
      </c>
      <c r="R212" t="n">
        <v>1.198253</v>
      </c>
      <c r="S212" t="n">
        <v>0.8529039349999999</v>
      </c>
      <c r="T212" t="n">
        <v>1.397810385</v>
      </c>
      <c r="U212" t="n">
        <v>1.238834</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1.330196123</v>
      </c>
      <c r="AM212" t="n">
        <v>1.953620888</v>
      </c>
      <c r="AN212" t="n">
        <v>0.57433716</v>
      </c>
      <c r="AO212" t="n">
        <v/>
      </c>
      <c r="AP212" t="n">
        <v>-0.452630729</v>
      </c>
      <c r="AQ212" t="n">
        <v>1.756916327</v>
      </c>
      <c r="AR212" t="n">
        <v>1.892553095</v>
      </c>
      <c r="AS212" t="n">
        <v>2.987420294</v>
      </c>
      <c r="AT212" t="n">
        <v>1.642779005</v>
      </c>
      <c r="AU212" t="n">
        <v>1.099982162</v>
      </c>
    </row>
    <row r="213">
      <c r="A213" t="inlineStr">
        <is>
          <t>2000-Q1</t>
        </is>
      </c>
      <c r="B213" s="107" t="n">
        <v>36617</v>
      </c>
      <c r="C213" t="n">
        <v>-0.340002407</v>
      </c>
      <c r="D213" t="n">
        <v>0.403417836</v>
      </c>
      <c r="E213" t="n">
        <v>1.128929189</v>
      </c>
      <c r="F213" t="n">
        <v>0.711111111</v>
      </c>
      <c r="G213" t="n">
        <v>1.050074887</v>
      </c>
      <c r="H213" t="n">
        <v>1.59973568</v>
      </c>
      <c r="I213" t="n">
        <v>0.775610709</v>
      </c>
      <c r="J213" t="n">
        <v>0.370176255</v>
      </c>
      <c r="K213" t="n">
        <v/>
      </c>
      <c r="L213" t="n">
        <v>1.357098004</v>
      </c>
      <c r="M213" t="n">
        <v>1.430876974</v>
      </c>
      <c r="N213" t="n">
        <v>0.975099668</v>
      </c>
      <c r="O213" t="n">
        <v>1.212351</v>
      </c>
      <c r="P213" t="n">
        <v>1.599659848</v>
      </c>
      <c r="Q213" t="n">
        <v>3.798031698</v>
      </c>
      <c r="R213" t="n">
        <v>1.152489</v>
      </c>
      <c r="S213" t="n">
        <v>2.982422893</v>
      </c>
      <c r="T213" t="n">
        <v>0.907453619</v>
      </c>
      <c r="U213" t="n">
        <v>0.871359</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0.992192084</v>
      </c>
      <c r="AM213" t="n">
        <v>-0.341017105</v>
      </c>
      <c r="AN213" t="n">
        <v>2.225468585</v>
      </c>
      <c r="AO213" t="n">
        <v/>
      </c>
      <c r="AP213" t="n">
        <v>1.064260957</v>
      </c>
      <c r="AQ213" t="n">
        <v>1.046926722</v>
      </c>
      <c r="AR213" t="n">
        <v>0.659311461</v>
      </c>
      <c r="AS213" t="n">
        <v>1.574851379</v>
      </c>
      <c r="AT213" t="n">
        <v>0.364447361</v>
      </c>
      <c r="AU213" t="n">
        <v>1.168839972</v>
      </c>
    </row>
    <row r="214">
      <c r="A214" t="inlineStr">
        <is>
          <t>2000-Q2</t>
        </is>
      </c>
      <c r="B214" s="107" t="n">
        <v>36708</v>
      </c>
      <c r="C214" t="n">
        <v>-1.60889246</v>
      </c>
      <c r="D214" t="n">
        <v>0.9369532860000001</v>
      </c>
      <c r="E214" t="n">
        <v>0.632128429</v>
      </c>
      <c r="F214" t="n">
        <v>0.719574385</v>
      </c>
      <c r="G214" t="n">
        <v>1.41107736</v>
      </c>
      <c r="H214" t="n">
        <v>1.188584709</v>
      </c>
      <c r="I214" t="n">
        <v>0.404782217</v>
      </c>
      <c r="J214" t="n">
        <v>-0.018166162</v>
      </c>
      <c r="K214" t="n">
        <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1.260361805</v>
      </c>
      <c r="AM214" t="n">
        <v>1.204583059</v>
      </c>
      <c r="AN214" t="n">
        <v>-0.528487831</v>
      </c>
      <c r="AO214" t="n">
        <v/>
      </c>
      <c r="AP214" t="n">
        <v>0.990647992</v>
      </c>
      <c r="AQ214" t="n">
        <v>1.415358143</v>
      </c>
      <c r="AR214" t="n">
        <v>2.517145723</v>
      </c>
      <c r="AS214" t="n">
        <v>3.893370357</v>
      </c>
      <c r="AT214" t="n">
        <v>1.820583008</v>
      </c>
      <c r="AU214" t="n">
        <v>0.9199907859999999</v>
      </c>
    </row>
    <row r="215">
      <c r="A215" t="inlineStr">
        <is>
          <t>2000-Q3</t>
        </is>
      </c>
      <c r="B215" s="107" t="n">
        <v>36800</v>
      </c>
      <c r="C215" t="n">
        <v>-0.255185082</v>
      </c>
      <c r="D215" t="n">
        <v>0.246876586</v>
      </c>
      <c r="E215" t="n">
        <v>0.451733077</v>
      </c>
      <c r="F215" t="n">
        <v>0.463712377</v>
      </c>
      <c r="G215" t="n">
        <v>1.179862953</v>
      </c>
      <c r="H215" t="n">
        <v>1.016981788</v>
      </c>
      <c r="I215" t="n">
        <v>0.767230538</v>
      </c>
      <c r="J215" t="n">
        <v>1.503206778</v>
      </c>
      <c r="K215" t="n">
        <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0.470600359</v>
      </c>
      <c r="AM215" t="n">
        <v>0.387226759</v>
      </c>
      <c r="AN215" t="n">
        <v>1.464864525</v>
      </c>
      <c r="AO215" t="n">
        <v/>
      </c>
      <c r="AP215" t="n">
        <v>0.608602889</v>
      </c>
      <c r="AQ215" t="n">
        <v>1.166126863</v>
      </c>
      <c r="AR215" t="n">
        <v>0.789538671</v>
      </c>
      <c r="AS215" t="n">
        <v>1.489316422</v>
      </c>
      <c r="AT215" t="n">
        <v>0.099774128</v>
      </c>
      <c r="AU215" t="n">
        <v>0.990394283</v>
      </c>
    </row>
    <row r="216">
      <c r="A216" t="inlineStr">
        <is>
          <t>2000-Q4</t>
        </is>
      </c>
      <c r="B216" s="107" t="n">
        <v>36892</v>
      </c>
      <c r="C216" t="n">
        <v>0.306858135</v>
      </c>
      <c r="D216" t="n">
        <v>-0.354287112</v>
      </c>
      <c r="E216" t="n">
        <v>1.57765397</v>
      </c>
      <c r="F216" t="n">
        <v>0.977660399</v>
      </c>
      <c r="G216" t="n">
        <v>1.227003215</v>
      </c>
      <c r="H216" t="n">
        <v>0.1712074</v>
      </c>
      <c r="I216" t="n">
        <v>1.086996684</v>
      </c>
      <c r="J216" t="n">
        <v>1.249744518</v>
      </c>
      <c r="K216" t="n">
        <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0.584234307</v>
      </c>
      <c r="AM216" t="n">
        <v>2.932086152</v>
      </c>
      <c r="AN216" t="n">
        <v>0.669401591</v>
      </c>
      <c r="AO216" t="n">
        <v/>
      </c>
      <c r="AP216" t="n">
        <v>0.568828935</v>
      </c>
      <c r="AQ216" t="n">
        <v>0.682837051</v>
      </c>
      <c r="AR216" t="n">
        <v>-0.298315429</v>
      </c>
      <c r="AS216" t="n">
        <v>1.436633405</v>
      </c>
      <c r="AT216" t="n">
        <v>0.594361755</v>
      </c>
      <c r="AU216" t="n">
        <v>0.850954686</v>
      </c>
    </row>
    <row r="217">
      <c r="A217" t="inlineStr">
        <is>
          <t>2001-Q1</t>
        </is>
      </c>
      <c r="B217" s="107" t="n">
        <v>36982</v>
      </c>
      <c r="C217" t="n">
        <v>0.163646159</v>
      </c>
      <c r="D217" t="n">
        <v>1.035278557</v>
      </c>
      <c r="E217" t="n">
        <v>-0.351158494</v>
      </c>
      <c r="F217" t="n">
        <v>0.056388046</v>
      </c>
      <c r="G217" t="n">
        <v>0.372809122</v>
      </c>
      <c r="H217" t="n">
        <v>0.529651011</v>
      </c>
      <c r="I217" t="n">
        <v>0.05327005</v>
      </c>
      <c r="J217" t="n">
        <v>1.125861501</v>
      </c>
      <c r="K217" t="n">
        <v/>
      </c>
      <c r="L217" t="n">
        <v>1.152829325</v>
      </c>
      <c r="M217" t="n">
        <v>2.010957903</v>
      </c>
      <c r="N217" t="n">
        <v>-1.085721803</v>
      </c>
      <c r="O217" t="n">
        <v>1.022949</v>
      </c>
      <c r="P217" t="n">
        <v>1.061758264</v>
      </c>
      <c r="Q217" t="n">
        <v>1.44279995</v>
      </c>
      <c r="R217" t="n">
        <v>0.904631</v>
      </c>
      <c r="S217" t="n">
        <v>0.489247671</v>
      </c>
      <c r="T217" t="n">
        <v>0.541715331</v>
      </c>
      <c r="U217" t="n">
        <v>0.345042</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0.258839571</v>
      </c>
      <c r="AM217" t="n">
        <v>-1.348296185</v>
      </c>
      <c r="AN217" t="n">
        <v>-0.312683656</v>
      </c>
      <c r="AO217" t="n">
        <v/>
      </c>
      <c r="AP217" t="n">
        <v>0.7095832</v>
      </c>
      <c r="AQ217" t="n">
        <v>1.262127672</v>
      </c>
      <c r="AR217" t="n">
        <v>0.365595155</v>
      </c>
      <c r="AS217" t="n">
        <v>-5.125129608</v>
      </c>
      <c r="AT217" t="n">
        <v>-0.324221003</v>
      </c>
      <c r="AU217" t="n">
        <v>0.614511833</v>
      </c>
    </row>
    <row r="218">
      <c r="A218" t="inlineStr">
        <is>
          <t>2001-Q2</t>
        </is>
      </c>
      <c r="B218" s="107" t="n">
        <v>37073</v>
      </c>
      <c r="C218" t="n">
        <v>-0.829817774</v>
      </c>
      <c r="D218" t="n">
        <v>0.8121111519999999</v>
      </c>
      <c r="E218" t="n">
        <v>-0.24617582</v>
      </c>
      <c r="F218" t="n">
        <v>0.017986043</v>
      </c>
      <c r="G218" t="n">
        <v>-0.495293062</v>
      </c>
      <c r="H218" t="n">
        <v>0.269490025</v>
      </c>
      <c r="I218" t="n">
        <v>0.536983228</v>
      </c>
      <c r="J218" t="n">
        <v>0.789490825</v>
      </c>
      <c r="K218" t="n">
        <v/>
      </c>
      <c r="L218" t="n">
        <v>0.277069223</v>
      </c>
      <c r="M218" t="n">
        <v>-0.058069487</v>
      </c>
      <c r="N218" t="n">
        <v>0.488181251</v>
      </c>
      <c r="O218" t="n">
        <v>0.095263</v>
      </c>
      <c r="P218" t="n">
        <v>0.7391157310000001</v>
      </c>
      <c r="Q218" t="n">
        <v>0.124261573</v>
      </c>
      <c r="R218" t="n">
        <v>0.101611</v>
      </c>
      <c r="S218" t="n">
        <v>0.119503397</v>
      </c>
      <c r="T218" t="n">
        <v>0.188794324</v>
      </c>
      <c r="U218" t="n">
        <v>0.196836</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0.144784509</v>
      </c>
      <c r="AM218" t="n">
        <v>-0.453090304</v>
      </c>
      <c r="AN218" t="n">
        <v>0.967446145</v>
      </c>
      <c r="AO218" t="n">
        <v/>
      </c>
      <c r="AP218" t="n">
        <v>1.053496946</v>
      </c>
      <c r="AQ218" t="n">
        <v>0.268400157</v>
      </c>
      <c r="AR218" t="n">
        <v>0.009515642</v>
      </c>
      <c r="AS218" t="n">
        <v>-4.844038717</v>
      </c>
      <c r="AT218" t="n">
        <v>0.621389215</v>
      </c>
      <c r="AU218" t="n">
        <v>0.499704416</v>
      </c>
    </row>
    <row r="219">
      <c r="A219" t="inlineStr">
        <is>
          <t>2001-Q3</t>
        </is>
      </c>
      <c r="B219" s="107" t="n">
        <v>37165</v>
      </c>
      <c r="C219" t="n">
        <v>-4.645878876</v>
      </c>
      <c r="D219" t="n">
        <v>1.195133787</v>
      </c>
      <c r="E219" t="n">
        <v>0.057537908</v>
      </c>
      <c r="F219" t="n">
        <v>-0.190617769</v>
      </c>
      <c r="G219" t="n">
        <v>-0.5181256440000001</v>
      </c>
      <c r="H219" t="n">
        <v>-0.066614244</v>
      </c>
      <c r="I219" t="n">
        <v>-0.170241803</v>
      </c>
      <c r="J219" t="n">
        <v>-0.629860669</v>
      </c>
      <c r="K219" t="n">
        <v/>
      </c>
      <c r="L219" t="n">
        <v>0.496594761</v>
      </c>
      <c r="M219" t="n">
        <v>-0.162669071</v>
      </c>
      <c r="N219" t="n">
        <v>0.897826274</v>
      </c>
      <c r="O219" t="n">
        <v>0.099605</v>
      </c>
      <c r="P219" t="n">
        <v>0.932024082</v>
      </c>
      <c r="Q219" t="n">
        <v>2.065119881</v>
      </c>
      <c r="R219" t="n">
        <v>0.167106</v>
      </c>
      <c r="S219" t="n">
        <v>0.632169934</v>
      </c>
      <c r="T219" t="n">
        <v>0.274913794</v>
      </c>
      <c r="U219" t="n">
        <v>-0.350076</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-0.084671542</v>
      </c>
      <c r="AM219" t="n">
        <v>0.782919295</v>
      </c>
      <c r="AN219" t="n">
        <v>0.146341395</v>
      </c>
      <c r="AO219" t="n">
        <v/>
      </c>
      <c r="AP219" t="n">
        <v>0.388533175</v>
      </c>
      <c r="AQ219" t="n">
        <v>0.594822009</v>
      </c>
      <c r="AR219" t="n">
        <v>0.384882708</v>
      </c>
      <c r="AS219" t="n">
        <v>1.251785772</v>
      </c>
      <c r="AT219" t="n">
        <v>-0.400349016</v>
      </c>
      <c r="AU219" t="n">
        <v>0.265747943</v>
      </c>
    </row>
    <row r="220">
      <c r="A220" t="inlineStr">
        <is>
          <t>2001-Q4</t>
        </is>
      </c>
      <c r="B220" s="107" t="n">
        <v>37257</v>
      </c>
      <c r="C220" t="n">
        <v>-5.694872931</v>
      </c>
      <c r="D220" t="n">
        <v>1.213760806</v>
      </c>
      <c r="E220" t="n">
        <v>0.56853562</v>
      </c>
      <c r="F220" t="n">
        <v>-0.09969491</v>
      </c>
      <c r="G220" t="n">
        <v>-0.27944447</v>
      </c>
      <c r="H220" t="n">
        <v>0.608829247</v>
      </c>
      <c r="I220" t="n">
        <v>-0.120988653</v>
      </c>
      <c r="J220" t="n">
        <v>0.9341774349999999</v>
      </c>
      <c r="K220" t="n">
        <v/>
      </c>
      <c r="L220" t="n">
        <v>0.602744645</v>
      </c>
      <c r="M220" t="n">
        <v>-0.116388103</v>
      </c>
      <c r="N220" t="n">
        <v>-0.197216541</v>
      </c>
      <c r="O220" t="n">
        <v>0.118312</v>
      </c>
      <c r="P220" t="n">
        <v>0.691906748</v>
      </c>
      <c r="Q220" t="n">
        <v>1.467102391</v>
      </c>
      <c r="R220" t="n">
        <v>0.158151</v>
      </c>
      <c r="S220" t="n">
        <v>-0.281151844</v>
      </c>
      <c r="T220" t="n">
        <v>0.021023231</v>
      </c>
      <c r="U220" t="n">
        <v>0.096343</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0.185305642</v>
      </c>
      <c r="AM220" t="n">
        <v>0.295692165</v>
      </c>
      <c r="AN220" t="n">
        <v>1.399039679</v>
      </c>
      <c r="AO220" t="n">
        <v/>
      </c>
      <c r="AP220" t="n">
        <v>2.16104045</v>
      </c>
      <c r="AQ220" t="n">
        <v>0.976382815</v>
      </c>
      <c r="AR220" t="n">
        <v>0.850153386</v>
      </c>
      <c r="AS220" t="n">
        <v>-1.682896271</v>
      </c>
      <c r="AT220" t="n">
        <v>0.277314358</v>
      </c>
      <c r="AU220" t="n">
        <v>0.769322925</v>
      </c>
    </row>
    <row r="221">
      <c r="A221" t="inlineStr">
        <is>
          <t>2002-Q1</t>
        </is>
      </c>
      <c r="B221" s="107" t="n">
        <v>37347</v>
      </c>
      <c r="C221" t="n">
        <v>-4.931018536</v>
      </c>
      <c r="D221" t="n">
        <v>0.764615928</v>
      </c>
      <c r="E221" t="n">
        <v>0.852335042</v>
      </c>
      <c r="F221" t="n">
        <v>0.859674646</v>
      </c>
      <c r="G221" t="n">
        <v>2.308552095</v>
      </c>
      <c r="H221" t="n">
        <v>1.484226046</v>
      </c>
      <c r="I221" t="n">
        <v>-0.07699075700000001</v>
      </c>
      <c r="J221" t="n">
        <v>0.915960738</v>
      </c>
      <c r="K221" t="n">
        <v/>
      </c>
      <c r="L221" t="n">
        <v>-0.125180955</v>
      </c>
      <c r="M221" t="n">
        <v>-0.5243559840000001</v>
      </c>
      <c r="N221" t="n">
        <v>-0.033566445</v>
      </c>
      <c r="O221" t="n">
        <v>0.094414</v>
      </c>
      <c r="P221" t="n">
        <v>0.425504172</v>
      </c>
      <c r="Q221" t="n">
        <v>0.696996693</v>
      </c>
      <c r="R221" t="n">
        <v>0.12252</v>
      </c>
      <c r="S221" t="n">
        <v>0.654199432</v>
      </c>
      <c r="T221" t="n">
        <v>0.371689805</v>
      </c>
      <c r="U221" t="n">
        <v>0.50369</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0.550853739</v>
      </c>
      <c r="AM221" t="n">
        <v>0.211495959</v>
      </c>
      <c r="AN221" t="n">
        <v>0.177808538</v>
      </c>
      <c r="AO221" t="n">
        <v/>
      </c>
      <c r="AP221" t="n">
        <v>0.322354662</v>
      </c>
      <c r="AQ221" t="n">
        <v>1.343626615</v>
      </c>
      <c r="AR221" t="n">
        <v>-0.153812122</v>
      </c>
      <c r="AS221" t="n">
        <v>3.777582554</v>
      </c>
      <c r="AT221" t="n">
        <v>0.828227216</v>
      </c>
      <c r="AU221" t="n">
        <v>1.08600902</v>
      </c>
    </row>
    <row r="222">
      <c r="A222" t="inlineStr">
        <is>
          <t>2002-Q2</t>
        </is>
      </c>
      <c r="B222" s="107" t="n">
        <v>37438</v>
      </c>
      <c r="C222" t="n">
        <v>0.423986148</v>
      </c>
      <c r="D222" t="n">
        <v>1.70733131</v>
      </c>
      <c r="E222" t="n">
        <v>0.5097768110000001</v>
      </c>
      <c r="F222" t="n">
        <v>0.855923515</v>
      </c>
      <c r="G222" t="n">
        <v>0.555925026</v>
      </c>
      <c r="H222" t="n">
        <v>0.589373312</v>
      </c>
      <c r="I222" t="n">
        <v>0.203533984</v>
      </c>
      <c r="J222" t="n">
        <v>-0.245208565</v>
      </c>
      <c r="K222" t="n">
        <v/>
      </c>
      <c r="L222" t="n">
        <v>0.513016522</v>
      </c>
      <c r="M222" t="n">
        <v>0.445116442</v>
      </c>
      <c r="N222" t="n">
        <v>-0.009920152999999999</v>
      </c>
      <c r="O222" t="n">
        <v>0.542615</v>
      </c>
      <c r="P222" t="n">
        <v>0.814943369</v>
      </c>
      <c r="Q222" t="n">
        <v>3.497038095</v>
      </c>
      <c r="R222" t="n">
        <v>0.581688</v>
      </c>
      <c r="S222" t="n">
        <v>0.989145658</v>
      </c>
      <c r="T222" t="n">
        <v>0.462624631</v>
      </c>
      <c r="U222" t="n">
        <v>0.60359</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0.802634574</v>
      </c>
      <c r="AM222" t="n">
        <v>0.904434924</v>
      </c>
      <c r="AN222" t="n">
        <v>-0.463985813</v>
      </c>
      <c r="AO222" t="n">
        <v/>
      </c>
      <c r="AP222" t="n">
        <v>1.006510923</v>
      </c>
      <c r="AQ222" t="n">
        <v>-0.095101198</v>
      </c>
      <c r="AR222" t="n">
        <v>1.588128809</v>
      </c>
      <c r="AS222" t="n">
        <v>4.316415446</v>
      </c>
      <c r="AT222" t="n">
        <v>0.615502456</v>
      </c>
      <c r="AU222" t="n">
        <v>1.268859181</v>
      </c>
    </row>
    <row r="223">
      <c r="A223" t="inlineStr">
        <is>
          <t>2002-Q3</t>
        </is>
      </c>
      <c r="B223" s="107" t="n">
        <v>37530</v>
      </c>
      <c r="C223" t="n">
        <v>0.074497309</v>
      </c>
      <c r="D223" t="n">
        <v>0.300981058</v>
      </c>
      <c r="E223" t="n">
        <v>0.354199979</v>
      </c>
      <c r="F223" t="n">
        <v>0.5354356770000001</v>
      </c>
      <c r="G223" t="n">
        <v>1.238309316</v>
      </c>
      <c r="H223" t="n">
        <v>0.86544944</v>
      </c>
      <c r="I223" t="n">
        <v>0.230205218</v>
      </c>
      <c r="J223" t="n">
        <v>0.6469699799999999</v>
      </c>
      <c r="K223" t="n">
        <v/>
      </c>
      <c r="L223" t="n">
        <v>0.521880201</v>
      </c>
      <c r="M223" t="n">
        <v>0.489797642</v>
      </c>
      <c r="N223" t="n">
        <v>0.340052292</v>
      </c>
      <c r="O223" t="n">
        <v>0.415112</v>
      </c>
      <c r="P223" t="n">
        <v>0.616462467</v>
      </c>
      <c r="Q223" t="n">
        <v>2.004469336</v>
      </c>
      <c r="R223" t="n">
        <v>0.45305</v>
      </c>
      <c r="S223" t="n">
        <v>-0.234029644</v>
      </c>
      <c r="T223" t="n">
        <v>0.419230581</v>
      </c>
      <c r="U223" t="n">
        <v>0.428917</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0.513525926</v>
      </c>
      <c r="AM223" t="n">
        <v>1.232643575</v>
      </c>
      <c r="AN223" t="n">
        <v>-0.453600128</v>
      </c>
      <c r="AO223" t="n">
        <v/>
      </c>
      <c r="AP223" t="n">
        <v>2.240056321</v>
      </c>
      <c r="AQ223" t="n">
        <v>1.157995313</v>
      </c>
      <c r="AR223" t="n">
        <v>0.595715638</v>
      </c>
      <c r="AS223" t="n">
        <v>1.366468032</v>
      </c>
      <c r="AT223" t="n">
        <v>0.403528704</v>
      </c>
      <c r="AU223" t="n">
        <v>1.131829481</v>
      </c>
    </row>
    <row r="224">
      <c r="A224" t="inlineStr">
        <is>
          <t>2002-Q4</t>
        </is>
      </c>
      <c r="B224" s="107" t="n">
        <v>37622</v>
      </c>
      <c r="C224" t="n">
        <v>1.019056942</v>
      </c>
      <c r="D224" t="n">
        <v>0.820128105</v>
      </c>
      <c r="E224" t="n">
        <v>-0.450656719</v>
      </c>
      <c r="F224" t="n">
        <v>0.373866936</v>
      </c>
      <c r="G224" t="n">
        <v>1.009189913</v>
      </c>
      <c r="H224" t="n">
        <v>0.548620905</v>
      </c>
      <c r="I224" t="n">
        <v>-0.468790999</v>
      </c>
      <c r="J224" t="n">
        <v>2.06484308</v>
      </c>
      <c r="K224" t="n">
        <v/>
      </c>
      <c r="L224" t="n">
        <v>0.753393279</v>
      </c>
      <c r="M224" t="n">
        <v>-0.139252859</v>
      </c>
      <c r="N224" t="n">
        <v>-0.330022229</v>
      </c>
      <c r="O224" t="n">
        <v>0.157597</v>
      </c>
      <c r="P224" t="n">
        <v>0.760736929</v>
      </c>
      <c r="Q224" t="n">
        <v>0.732022344</v>
      </c>
      <c r="R224" t="n">
        <v>0.172825</v>
      </c>
      <c r="S224" t="n">
        <v>1.138140747</v>
      </c>
      <c r="T224" t="n">
        <v>-0.050622937</v>
      </c>
      <c r="U224" t="n">
        <v>0.202773</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0.326362758</v>
      </c>
      <c r="AM224" t="n">
        <v>0.09431539</v>
      </c>
      <c r="AN224" t="n">
        <v>-0.746441208</v>
      </c>
      <c r="AO224" t="n">
        <v/>
      </c>
      <c r="AP224" t="n">
        <v>0.668846888</v>
      </c>
      <c r="AQ224" t="n">
        <v>1.67829881</v>
      </c>
      <c r="AR224" t="n">
        <v>0.140745716</v>
      </c>
      <c r="AS224" t="n">
        <v>2.13363529</v>
      </c>
      <c r="AT224" t="n">
        <v>0.130655767</v>
      </c>
      <c r="AU224" t="n">
        <v>0.831988659</v>
      </c>
    </row>
    <row r="225">
      <c r="A225" t="inlineStr">
        <is>
          <t>2003-Q1</t>
        </is>
      </c>
      <c r="B225" s="107" t="n">
        <v>37712</v>
      </c>
      <c r="C225" t="n">
        <v>3.695017177</v>
      </c>
      <c r="D225" t="n">
        <v>0.204625353</v>
      </c>
      <c r="E225" t="n">
        <v>0.7100487599999999</v>
      </c>
      <c r="F225" t="n">
        <v>-0.263543192</v>
      </c>
      <c r="G225" t="n">
        <v>-0.420802862</v>
      </c>
      <c r="H225" t="n">
        <v>0.553325235</v>
      </c>
      <c r="I225" t="n">
        <v>-0.740575563</v>
      </c>
      <c r="J225" t="n">
        <v>0.945707504</v>
      </c>
      <c r="K225" t="n">
        <v/>
      </c>
      <c r="L225" t="n">
        <v>1.077754088</v>
      </c>
      <c r="M225" t="n">
        <v>-1.490397208</v>
      </c>
      <c r="N225" t="n">
        <v>0.5359057820000001</v>
      </c>
      <c r="O225" t="n">
        <v>-0.306649</v>
      </c>
      <c r="P225" t="n">
        <v>0.9307209910000001</v>
      </c>
      <c r="Q225" t="n">
        <v>2.29380683</v>
      </c>
      <c r="R225" t="n">
        <v>-0.196957</v>
      </c>
      <c r="S225" t="n">
        <v>-0.70655442</v>
      </c>
      <c r="T225" t="n">
        <v>0.196872503</v>
      </c>
      <c r="U225" t="n">
        <v>0.15511</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0.19959871</v>
      </c>
      <c r="AM225" t="n">
        <v>0.349509187</v>
      </c>
      <c r="AN225" t="n">
        <v>0.105061371</v>
      </c>
      <c r="AO225" t="n">
        <v/>
      </c>
      <c r="AP225" t="n">
        <v>1.775973192</v>
      </c>
      <c r="AQ225" t="n">
        <v>-0.018000073</v>
      </c>
      <c r="AR225" t="n">
        <v>1.184954532</v>
      </c>
      <c r="AS225" t="n">
        <v>0.083600699</v>
      </c>
      <c r="AT225" t="n">
        <v>0.516723187</v>
      </c>
      <c r="AU225" t="n">
        <v>0.63476228</v>
      </c>
    </row>
    <row r="226">
      <c r="A226" t="inlineStr">
        <is>
          <t>2003-Q2</t>
        </is>
      </c>
      <c r="B226" s="107" t="n">
        <v>37803</v>
      </c>
      <c r="C226" t="n">
        <v>3.164325049</v>
      </c>
      <c r="D226" t="n">
        <v>0.411876129</v>
      </c>
      <c r="E226" t="n">
        <v>0.137756233</v>
      </c>
      <c r="F226" t="n">
        <v>0.213740458</v>
      </c>
      <c r="G226" t="n">
        <v>-0.869468485</v>
      </c>
      <c r="H226" t="n">
        <v>-0.147463728</v>
      </c>
      <c r="I226" t="n">
        <v>0.071934928</v>
      </c>
      <c r="J226" t="n">
        <v>0.838950581</v>
      </c>
      <c r="K226" t="n">
        <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0.518067447</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107" t="n">
        <v>37895</v>
      </c>
      <c r="C227" t="n">
        <v>2.443638131</v>
      </c>
      <c r="D227" t="n">
        <v>1.730994005</v>
      </c>
      <c r="E227" t="n">
        <v>0.348187951</v>
      </c>
      <c r="F227" t="n">
        <v>0.408990765</v>
      </c>
      <c r="G227" t="n">
        <v>0.9494370600000001</v>
      </c>
      <c r="H227" t="n">
        <v>0.373654347</v>
      </c>
      <c r="I227" t="n">
        <v>0.992839391</v>
      </c>
      <c r="J227" t="n">
        <v>0.655179761</v>
      </c>
      <c r="K227" t="n">
        <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1.047849095</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107" t="n">
        <v>37987</v>
      </c>
      <c r="C228" t="n">
        <v>1.87649889</v>
      </c>
      <c r="D228" t="n">
        <v>1.649791928</v>
      </c>
      <c r="E228" t="n">
        <v>0.143951015</v>
      </c>
      <c r="F228" t="n">
        <v>0.695603459</v>
      </c>
      <c r="G228" t="n">
        <v>1.034544091</v>
      </c>
      <c r="H228" t="n">
        <v>0.689959181</v>
      </c>
      <c r="I228" t="n">
        <v>1.205372245</v>
      </c>
      <c r="J228" t="n">
        <v>0.780432571</v>
      </c>
      <c r="K228" t="n">
        <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1.070487896</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107" t="n">
        <v>38078</v>
      </c>
      <c r="C229" t="n">
        <v>3.274583293</v>
      </c>
      <c r="D229" t="n">
        <v>0.789992818</v>
      </c>
      <c r="E229" t="n">
        <v>0.928661131</v>
      </c>
      <c r="F229" t="n">
        <v>1.498661289</v>
      </c>
      <c r="G229" t="n">
        <v>1.410589958</v>
      </c>
      <c r="H229" t="n">
        <v>0.720267587</v>
      </c>
      <c r="I229" t="n">
        <v>0.5755018</v>
      </c>
      <c r="J229" t="n">
        <v>2.462144957</v>
      </c>
      <c r="K229" t="n">
        <v/>
      </c>
      <c r="L229" t="n">
        <v>0.973754181</v>
      </c>
      <c r="M229" t="n">
        <v>-0.171994531</v>
      </c>
      <c r="N229" t="n">
        <v>0.481617502</v>
      </c>
      <c r="O229" t="n">
        <v>0.492944</v>
      </c>
      <c r="P229" t="n">
        <v>0.603043582</v>
      </c>
      <c r="Q229" t="n">
        <v>2.319078268</v>
      </c>
      <c r="R229" t="n">
        <v>0.638338</v>
      </c>
      <c r="S229" t="n">
        <v>1.276604694</v>
      </c>
      <c r="T229" t="n">
        <v>0.930787689</v>
      </c>
      <c r="U229" t="n">
        <v>0.52012</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0.7725446459999999</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107" t="n">
        <v>38169</v>
      </c>
      <c r="C230" t="n">
        <v>-1.144049651</v>
      </c>
      <c r="D230" t="n">
        <v>0.653017047</v>
      </c>
      <c r="E230" t="n">
        <v>0.848174769</v>
      </c>
      <c r="F230" t="n">
        <v>0.961516501</v>
      </c>
      <c r="G230" t="n">
        <v>2.739004139</v>
      </c>
      <c r="H230" t="n">
        <v>1.187819015</v>
      </c>
      <c r="I230" t="n">
        <v>0.739732075</v>
      </c>
      <c r="J230" t="n">
        <v>2.179740016</v>
      </c>
      <c r="K230" t="n">
        <v/>
      </c>
      <c r="L230" t="n">
        <v>1.16878509</v>
      </c>
      <c r="M230" t="n">
        <v>0.502329716</v>
      </c>
      <c r="N230" t="n">
        <v>0.595381652</v>
      </c>
      <c r="O230" t="n">
        <v>0.634112</v>
      </c>
      <c r="P230" t="n">
        <v>0.97698308</v>
      </c>
      <c r="Q230" t="n">
        <v>-0.679634162</v>
      </c>
      <c r="R230" t="n">
        <v>0.6491710000000001</v>
      </c>
      <c r="S230" t="n">
        <v>0.859723809</v>
      </c>
      <c r="T230" t="n">
        <v>0.649871082</v>
      </c>
      <c r="U230" t="n">
        <v>0.5968020000000001</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0.702265536</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107" t="n">
        <v>38261</v>
      </c>
      <c r="C231" t="n">
        <v>4.980561677</v>
      </c>
      <c r="D231" t="n">
        <v>0.765572821</v>
      </c>
      <c r="E231" t="n">
        <v>0.996638287</v>
      </c>
      <c r="F231" t="n">
        <v>0.872053567</v>
      </c>
      <c r="G231" t="n">
        <v>1.254194764</v>
      </c>
      <c r="H231" t="n">
        <v>1.180435577</v>
      </c>
      <c r="I231" t="n">
        <v>0.044870353</v>
      </c>
      <c r="J231" t="n">
        <v>2.819638427</v>
      </c>
      <c r="K231" t="n">
        <v/>
      </c>
      <c r="L231" t="n">
        <v>1.570060767</v>
      </c>
      <c r="M231" t="n">
        <v>-0.185975188</v>
      </c>
      <c r="N231" t="n">
        <v>0.235625688</v>
      </c>
      <c r="O231" t="n">
        <v>0.241684</v>
      </c>
      <c r="P231" t="n">
        <v>0.940418575</v>
      </c>
      <c r="Q231" t="n">
        <v>2.261348872</v>
      </c>
      <c r="R231" t="n">
        <v>0.292705</v>
      </c>
      <c r="S231" t="n">
        <v>1.085054253</v>
      </c>
      <c r="T231" t="n">
        <v>0.258640379</v>
      </c>
      <c r="U231" t="n">
        <v>0.617578</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0.604515774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107" t="n">
        <v>38353</v>
      </c>
      <c r="C232" t="n">
        <v>1.494785552</v>
      </c>
      <c r="D232" t="n">
        <v>0.766574279</v>
      </c>
      <c r="E232" t="n">
        <v>0.343985798</v>
      </c>
      <c r="F232" t="n">
        <v>0.356570198</v>
      </c>
      <c r="G232" t="n">
        <v>0.767335214</v>
      </c>
      <c r="H232" t="n">
        <v>0.7184265439999999</v>
      </c>
      <c r="I232" t="n">
        <v>0.160727491</v>
      </c>
      <c r="J232" t="n">
        <v>1.407967843</v>
      </c>
      <c r="K232" t="n">
        <v/>
      </c>
      <c r="L232" t="n">
        <v>1.786929327</v>
      </c>
      <c r="M232" t="n">
        <v>-0.104814134</v>
      </c>
      <c r="N232" t="n">
        <v>1.08087338</v>
      </c>
      <c r="O232" t="n">
        <v>0.363801</v>
      </c>
      <c r="P232" t="n">
        <v>0.6843109590000001</v>
      </c>
      <c r="Q232" t="n">
        <v>2.078501213</v>
      </c>
      <c r="R232" t="n">
        <v>0.443054</v>
      </c>
      <c r="S232" t="n">
        <v>1.505214274</v>
      </c>
      <c r="T232" t="n">
        <v>0.752986085</v>
      </c>
      <c r="U232" t="n">
        <v>0.583305</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0.686225687</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107" t="n">
        <v>38443</v>
      </c>
      <c r="C233" t="n">
        <v>2.904430455</v>
      </c>
      <c r="D233" t="n">
        <v>0.769862119</v>
      </c>
      <c r="E233" t="n">
        <v>-0.066373457</v>
      </c>
      <c r="F233" t="n">
        <v>0.526251103</v>
      </c>
      <c r="G233" t="n">
        <v>0.748019081</v>
      </c>
      <c r="H233" t="n">
        <v>0.346066595</v>
      </c>
      <c r="I233" t="n">
        <v>0.775657292</v>
      </c>
      <c r="J233" t="n">
        <v>-0.038142698</v>
      </c>
      <c r="K233" t="n">
        <v/>
      </c>
      <c r="L233" t="n">
        <v>1.787486046</v>
      </c>
      <c r="M233" t="n">
        <v>0.002889219</v>
      </c>
      <c r="N233" t="n">
        <v>-0.362985061</v>
      </c>
      <c r="O233" t="n">
        <v>0.237321</v>
      </c>
      <c r="P233" t="n">
        <v>0.976289542</v>
      </c>
      <c r="Q233" t="n">
        <v>1.75625878</v>
      </c>
      <c r="R233" t="n">
        <v>0.272598</v>
      </c>
      <c r="S233" t="n">
        <v>0.989264573</v>
      </c>
      <c r="T233" t="n">
        <v>0.269489071</v>
      </c>
      <c r="U233" t="n">
        <v>0.687037</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0.753541423</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107" t="n">
        <v>38534</v>
      </c>
      <c r="C234" t="n">
        <v>2.095928156</v>
      </c>
      <c r="D234" t="n">
        <v>0.423590271</v>
      </c>
      <c r="E234" t="n">
        <v>1.143137812</v>
      </c>
      <c r="F234" t="n">
        <v>0.599075268</v>
      </c>
      <c r="G234" t="n">
        <v>1.374869448</v>
      </c>
      <c r="H234" t="n">
        <v>0.725522707</v>
      </c>
      <c r="I234" t="n">
        <v>1.213189158</v>
      </c>
      <c r="J234" t="n">
        <v>1.622082911</v>
      </c>
      <c r="K234" t="n">
        <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0.666339699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107" t="n">
        <v>38626</v>
      </c>
      <c r="C235" t="n">
        <v>0.662115453</v>
      </c>
      <c r="D235" t="n">
        <v>1.114247425</v>
      </c>
      <c r="E235" t="n">
        <v>0.735518946</v>
      </c>
      <c r="F235" t="n">
        <v>0.395532035</v>
      </c>
      <c r="G235" t="n">
        <v>-0.7623013910000001</v>
      </c>
      <c r="H235" t="n">
        <v>1.211374835</v>
      </c>
      <c r="I235" t="n">
        <v>1.139719043</v>
      </c>
      <c r="J235" t="n">
        <v>2.32627958</v>
      </c>
      <c r="K235" t="n">
        <v/>
      </c>
      <c r="L235" t="n">
        <v>1.672700078</v>
      </c>
      <c r="M235" t="n">
        <v>0.858172363</v>
      </c>
      <c r="N235" t="n">
        <v>0.111335017</v>
      </c>
      <c r="O235" t="n">
        <v>0.7447589999999999</v>
      </c>
      <c r="P235" t="n">
        <v>0.966995513</v>
      </c>
      <c r="Q235" t="n">
        <v>2.394842446</v>
      </c>
      <c r="R235" t="n">
        <v>0.792655</v>
      </c>
      <c r="S235" t="n">
        <v>1.447934682</v>
      </c>
      <c r="T235" t="n">
        <v>0.49861406</v>
      </c>
      <c r="U235" t="n">
        <v>0.8227910000000001</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0.901129934</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107" t="n">
        <v>38718</v>
      </c>
      <c r="C236" t="n">
        <v>2.008210933</v>
      </c>
      <c r="D236" t="n">
        <v>0.785436648</v>
      </c>
      <c r="E236" t="n">
        <v>0.909524716</v>
      </c>
      <c r="F236" t="n">
        <v>0.767038264</v>
      </c>
      <c r="G236" t="n">
        <v>1.258276617</v>
      </c>
      <c r="H236" t="n">
        <v>0.988734322</v>
      </c>
      <c r="I236" t="n">
        <v>0.941064732</v>
      </c>
      <c r="J236" t="n">
        <v>1.389589059</v>
      </c>
      <c r="K236" t="n">
        <v/>
      </c>
      <c r="L236" t="n">
        <v>1.827485844</v>
      </c>
      <c r="M236" t="n">
        <v>0.47142782</v>
      </c>
      <c r="N236" t="n">
        <v>0.324723372</v>
      </c>
      <c r="O236" t="n">
        <v>0.651345</v>
      </c>
      <c r="P236" t="n">
        <v>1.01386663</v>
      </c>
      <c r="Q236" t="n">
        <v>2.309237081</v>
      </c>
      <c r="R236" t="n">
        <v>0.705236</v>
      </c>
      <c r="S236" t="n">
        <v>0.28743607</v>
      </c>
      <c r="T236" t="n">
        <v>0.782041297</v>
      </c>
      <c r="U236" t="n">
        <v>0.542528</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0.760865008</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107" t="n">
        <v>38808</v>
      </c>
      <c r="C237" t="n">
        <v>2.621456171</v>
      </c>
      <c r="D237" t="n">
        <v>0.118665921</v>
      </c>
      <c r="E237" t="n">
        <v>1.097198655</v>
      </c>
      <c r="F237" t="n">
        <v>0.614857043</v>
      </c>
      <c r="G237" t="n">
        <v>1.705368624</v>
      </c>
      <c r="H237" t="n">
        <v>0.8109954110000001</v>
      </c>
      <c r="I237" t="n">
        <v>1.11056701</v>
      </c>
      <c r="J237" t="n">
        <v>0.852661662</v>
      </c>
      <c r="K237" t="n">
        <v/>
      </c>
      <c r="L237" t="n">
        <v>1.757843717</v>
      </c>
      <c r="M237" t="n">
        <v>0.967042019</v>
      </c>
      <c r="N237" t="n">
        <v>1.256661041</v>
      </c>
      <c r="O237" t="n">
        <v>0.876109</v>
      </c>
      <c r="P237" t="n">
        <v>1.145103991</v>
      </c>
      <c r="Q237" t="n">
        <v>2.297257648</v>
      </c>
      <c r="R237" t="n">
        <v>0.945913</v>
      </c>
      <c r="S237" t="n">
        <v>2.494514835</v>
      </c>
      <c r="T237" t="n">
        <v>0.765962899</v>
      </c>
      <c r="U237" t="n">
        <v>0.925376</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1.032457321</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107" t="n">
        <v>38899</v>
      </c>
      <c r="C238" t="n">
        <v>1.187491236</v>
      </c>
      <c r="D238" t="n">
        <v>0.18747507</v>
      </c>
      <c r="E238" t="n">
        <v>0.367833728</v>
      </c>
      <c r="F238" t="n">
        <v>0.354937099</v>
      </c>
      <c r="G238" t="n">
        <v>0.250768951</v>
      </c>
      <c r="H238" t="n">
        <v>0.051646385</v>
      </c>
      <c r="I238" t="n">
        <v>0.855379568</v>
      </c>
      <c r="J238" t="n">
        <v>2.076144644</v>
      </c>
      <c r="K238" t="n">
        <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0.679871244</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107" t="n">
        <v>38991</v>
      </c>
      <c r="C239" t="n">
        <v>2.77681064</v>
      </c>
      <c r="D239" t="n">
        <v>1.489031333</v>
      </c>
      <c r="E239" t="n">
        <v>1.145486884</v>
      </c>
      <c r="F239" t="n">
        <v>0.880418794</v>
      </c>
      <c r="G239" t="n">
        <v>1.629846101</v>
      </c>
      <c r="H239" t="n">
        <v>0.279245485</v>
      </c>
      <c r="I239" t="n">
        <v>0.855399401</v>
      </c>
      <c r="J239" t="n">
        <v>1.306408175</v>
      </c>
      <c r="K239" t="n">
        <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0.370852599</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107" t="n">
        <v>39083</v>
      </c>
      <c r="C240" t="n">
        <v>2.197461991</v>
      </c>
      <c r="D240" t="n">
        <v>1.310266369</v>
      </c>
      <c r="E240" t="n">
        <v>1.052167156</v>
      </c>
      <c r="F240" t="n">
        <v>1.135413316</v>
      </c>
      <c r="G240" t="n">
        <v>1.186842045</v>
      </c>
      <c r="H240" t="n">
        <v>0.398598242</v>
      </c>
      <c r="I240" t="n">
        <v>1.295481642</v>
      </c>
      <c r="J240" t="n">
        <v>2.038671021</v>
      </c>
      <c r="K240" t="n">
        <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0.9766006860000001</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107" t="n">
        <v>39173</v>
      </c>
      <c r="C241" t="n">
        <v>2.338531794</v>
      </c>
      <c r="D241" t="n">
        <v>1.390955608</v>
      </c>
      <c r="E241" t="n">
        <v>0.928838845</v>
      </c>
      <c r="F241" t="n">
        <v>1.417379597</v>
      </c>
      <c r="G241" t="n">
        <v>1.988596275</v>
      </c>
      <c r="H241" t="n">
        <v>0.639626644</v>
      </c>
      <c r="I241" t="n">
        <v>0.564536065</v>
      </c>
      <c r="J241" t="n">
        <v>0.9524869969999999</v>
      </c>
      <c r="K241" t="n">
        <v/>
      </c>
      <c r="L241" t="n">
        <v>1.683401928</v>
      </c>
      <c r="M241" t="n">
        <v>0.076329825</v>
      </c>
      <c r="N241" t="n">
        <v>0.33129799</v>
      </c>
      <c r="O241" t="n">
        <v>0.62618</v>
      </c>
      <c r="P241" t="n">
        <v>0.914765508</v>
      </c>
      <c r="Q241" t="n">
        <v>3.315681577</v>
      </c>
      <c r="R241" t="n">
        <v>0.755319</v>
      </c>
      <c r="S241" t="n">
        <v>1.932458496</v>
      </c>
      <c r="T241" t="n">
        <v>0.743640227</v>
      </c>
      <c r="U241" t="n">
        <v>0.383266</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0.6803522829999999</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107" t="n">
        <v>39264</v>
      </c>
      <c r="C242" t="n">
        <v>2.164104939</v>
      </c>
      <c r="D242" t="n">
        <v>0.607781679</v>
      </c>
      <c r="E242" t="n">
        <v>1.181642347</v>
      </c>
      <c r="F242" t="n">
        <v>0.456797608</v>
      </c>
      <c r="G242" t="n">
        <v>1.561620969</v>
      </c>
      <c r="H242" t="n">
        <v>0.968907263</v>
      </c>
      <c r="I242" t="n">
        <v>1.447048433</v>
      </c>
      <c r="J242" t="n">
        <v>0.933992464</v>
      </c>
      <c r="K242" t="n">
        <v/>
      </c>
      <c r="L242" t="n">
        <v>0.8488043320000001</v>
      </c>
      <c r="M242" t="n">
        <v>0.838052558</v>
      </c>
      <c r="N242" t="n">
        <v>-0.447886765</v>
      </c>
      <c r="O242" t="n">
        <v>0.718757</v>
      </c>
      <c r="P242" t="n">
        <v>0.896255506</v>
      </c>
      <c r="Q242" t="n">
        <v>0.390307976</v>
      </c>
      <c r="R242" t="n">
        <v>0.708304</v>
      </c>
      <c r="S242" t="n">
        <v>1.797506864</v>
      </c>
      <c r="T242" t="n">
        <v>0.756357861</v>
      </c>
      <c r="U242" t="n">
        <v>0.547526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0.650833322</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107" t="n">
        <v>39356</v>
      </c>
      <c r="C243" t="n">
        <v>1.316499198</v>
      </c>
      <c r="D243" t="n">
        <v>1.141247319</v>
      </c>
      <c r="E243" t="n">
        <v>0.307780559</v>
      </c>
      <c r="F243" t="n">
        <v>0.77208828</v>
      </c>
      <c r="G243" t="n">
        <v>1.030095501</v>
      </c>
      <c r="H243" t="n">
        <v>0.419854575</v>
      </c>
      <c r="I243" t="n">
        <v>0.9429421529999999</v>
      </c>
      <c r="J243" t="n">
        <v>0.146846209</v>
      </c>
      <c r="K243" t="n">
        <v/>
      </c>
      <c r="L243" t="n">
        <v>1.461881039</v>
      </c>
      <c r="M243" t="n">
        <v>0.49649169</v>
      </c>
      <c r="N243" t="n">
        <v>0.939515371</v>
      </c>
      <c r="O243" t="n">
        <v>0.42925</v>
      </c>
      <c r="P243" t="n">
        <v>0.766768541</v>
      </c>
      <c r="Q243" t="n">
        <v>0.201066983</v>
      </c>
      <c r="R243" t="n">
        <v>0.510059</v>
      </c>
      <c r="S243" t="n">
        <v>0.918417552</v>
      </c>
      <c r="T243" t="n">
        <v>0.357750459</v>
      </c>
      <c r="U243" t="n">
        <v>0.372871</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0.519212545</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107" t="n">
        <v>39448</v>
      </c>
      <c r="C244" t="n">
        <v>3.083338983</v>
      </c>
      <c r="D244" t="n">
        <v>0.43885517</v>
      </c>
      <c r="E244" t="n">
        <v>0.867301892</v>
      </c>
      <c r="F244" t="n">
        <v>0.405803087</v>
      </c>
      <c r="G244" t="n">
        <v>1.549056439</v>
      </c>
      <c r="H244" t="n">
        <v>0.113617046</v>
      </c>
      <c r="I244" t="n">
        <v>1.062714002</v>
      </c>
      <c r="J244" t="n">
        <v>1.682407434</v>
      </c>
      <c r="K244" t="n">
        <v/>
      </c>
      <c r="L244" t="n">
        <v>1.186412736</v>
      </c>
      <c r="M244" t="n">
        <v>0.665882926</v>
      </c>
      <c r="N244" t="n">
        <v>1.005988508</v>
      </c>
      <c r="O244" t="n">
        <v>0.537608</v>
      </c>
      <c r="P244" t="n">
        <v>0.642845606</v>
      </c>
      <c r="Q244" t="n">
        <v>-0.600339009</v>
      </c>
      <c r="R244" t="n">
        <v>0.627676</v>
      </c>
      <c r="S244" t="n">
        <v>1.319947274</v>
      </c>
      <c r="T244" t="n">
        <v>0.23675621</v>
      </c>
      <c r="U244" t="n">
        <v>0.457841</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0.7007106400000001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107" t="n">
        <v>39539</v>
      </c>
      <c r="C245" t="n">
        <v>0.92097469</v>
      </c>
      <c r="D245" t="n">
        <v>1.035091138</v>
      </c>
      <c r="E245" t="n">
        <v>0.668826669</v>
      </c>
      <c r="F245" t="n">
        <v>0.431929904</v>
      </c>
      <c r="G245" t="n">
        <v>1.133942088</v>
      </c>
      <c r="H245" t="n">
        <v>0.07664056700000001</v>
      </c>
      <c r="I245" t="n">
        <v>0.855826194</v>
      </c>
      <c r="J245" t="n">
        <v>2.562235415</v>
      </c>
      <c r="K245" t="n">
        <v/>
      </c>
      <c r="L245" t="n">
        <v>0.530801089</v>
      </c>
      <c r="M245" t="n">
        <v>0.6294767020000001</v>
      </c>
      <c r="N245" t="n">
        <v>-0.041561001</v>
      </c>
      <c r="O245" t="n">
        <v>0.474136</v>
      </c>
      <c r="P245" t="n">
        <v>0.215766273</v>
      </c>
      <c r="Q245" t="n">
        <v>-2.220162076</v>
      </c>
      <c r="R245" t="n">
        <v>0.539524</v>
      </c>
      <c r="S245" t="n">
        <v>-0.122968349</v>
      </c>
      <c r="T245" t="n">
        <v>0.393852763</v>
      </c>
      <c r="U245" t="n">
        <v>0.067866</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0.190830617</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107" t="n">
        <v>39630</v>
      </c>
      <c r="C246" t="n">
        <v>0.593733654</v>
      </c>
      <c r="D246" t="n">
        <v>0.285841847</v>
      </c>
      <c r="E246" t="n">
        <v>0.832212557</v>
      </c>
      <c r="F246" t="n">
        <v>0.06348686200000001</v>
      </c>
      <c r="G246" t="n">
        <v>2.322126207</v>
      </c>
      <c r="H246" t="n">
        <v>0.361671897</v>
      </c>
      <c r="I246" t="n">
        <v>0.898160891</v>
      </c>
      <c r="J246" t="n">
        <v>0.059955903</v>
      </c>
      <c r="K246" t="n">
        <v/>
      </c>
      <c r="L246" t="n">
        <v>0.681591325</v>
      </c>
      <c r="M246" t="n">
        <v>-0.233242288</v>
      </c>
      <c r="N246" t="n">
        <v>-0.922683985</v>
      </c>
      <c r="O246" t="n">
        <v>-0.325912</v>
      </c>
      <c r="P246" t="n">
        <v>0.10925228</v>
      </c>
      <c r="Q246" t="n">
        <v>1.015879716</v>
      </c>
      <c r="R246" t="n">
        <v>-0.255055</v>
      </c>
      <c r="S246" t="n">
        <v>-0.802954874</v>
      </c>
      <c r="T246" t="n">
        <v>-0.42714137</v>
      </c>
      <c r="U246" t="n">
        <v>0.056846</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0.018535802</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107" t="n">
        <v>39722</v>
      </c>
      <c r="C247" t="n">
        <v>0.741470439</v>
      </c>
      <c r="D247" t="n">
        <v>0.709143259</v>
      </c>
      <c r="E247" t="n">
        <v>-0.6495619419999999</v>
      </c>
      <c r="F247" t="n">
        <v>-0.584322554</v>
      </c>
      <c r="G247" t="n">
        <v>1.461927783</v>
      </c>
      <c r="H247" t="n">
        <v>0.820044012</v>
      </c>
      <c r="I247" t="n">
        <v>0.382527889</v>
      </c>
      <c r="J247" t="n">
        <v>-0.846287345</v>
      </c>
      <c r="K247" t="n">
        <v/>
      </c>
      <c r="L247" t="n">
        <v>0.163162275</v>
      </c>
      <c r="M247" t="n">
        <v>-0.648249182</v>
      </c>
      <c r="N247" t="n">
        <v>-0.584136662</v>
      </c>
      <c r="O247" t="n">
        <v>-0.535435</v>
      </c>
      <c r="P247" t="n">
        <v>-0.184139804</v>
      </c>
      <c r="Q247" t="n">
        <v>0.047697592</v>
      </c>
      <c r="R247" t="n">
        <v>-0.5074149999999999</v>
      </c>
      <c r="S247" t="n">
        <v>0.345367222</v>
      </c>
      <c r="T247" t="n">
        <v>-0.276806555</v>
      </c>
      <c r="U247" t="n">
        <v>-0.687508</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-0.503025969</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107" t="n">
        <v>39814</v>
      </c>
      <c r="C248" t="n">
        <v>-4.721966497</v>
      </c>
      <c r="D248" t="n">
        <v>-0.445194282</v>
      </c>
      <c r="E248" t="n">
        <v>-2.232902085</v>
      </c>
      <c r="F248" t="n">
        <v>-2.168833441</v>
      </c>
      <c r="G248" t="n">
        <v>-3.781774675</v>
      </c>
      <c r="H248" t="n">
        <v>-1.159518489</v>
      </c>
      <c r="I248" t="n">
        <v>-2.821142148</v>
      </c>
      <c r="J248" t="n">
        <v>-0.97242042</v>
      </c>
      <c r="K248" t="n">
        <v/>
      </c>
      <c r="L248" t="n">
        <v>-1.814962737</v>
      </c>
      <c r="M248" t="n">
        <v>-1.593756296</v>
      </c>
      <c r="N248" t="n">
        <v>-2.361480698</v>
      </c>
      <c r="O248" t="n">
        <v>-1.781544</v>
      </c>
      <c r="P248" t="n">
        <v>-1.614017593</v>
      </c>
      <c r="Q248" t="n">
        <v>-11.798106461</v>
      </c>
      <c r="R248" t="n">
        <v>-1.797303</v>
      </c>
      <c r="S248" t="n">
        <v>-2.145738102</v>
      </c>
      <c r="T248" t="n">
        <v>-1.451517365</v>
      </c>
      <c r="U248" t="n">
        <v>-2.083224</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-1.993120621</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107" t="n">
        <v>39904</v>
      </c>
      <c r="C249" t="n">
        <v>-3.652029894</v>
      </c>
      <c r="D249" t="n">
        <v>0.9117111530000001</v>
      </c>
      <c r="E249" t="n">
        <v>-1.729885102</v>
      </c>
      <c r="F249" t="n">
        <v>-0.97325393</v>
      </c>
      <c r="G249" t="n">
        <v>-1.383844741</v>
      </c>
      <c r="H249" t="n">
        <v>-2.259686183</v>
      </c>
      <c r="I249" t="n">
        <v>-1.555135326</v>
      </c>
      <c r="J249" t="n">
        <v>-0.815451483</v>
      </c>
      <c r="K249" t="n">
        <v/>
      </c>
      <c r="L249" t="n">
        <v>-3.381670366</v>
      </c>
      <c r="M249" t="n">
        <v>-4.682227055</v>
      </c>
      <c r="N249" t="n">
        <v>-1.423447795</v>
      </c>
      <c r="O249" t="n">
        <v>-3.110198</v>
      </c>
      <c r="P249" t="n">
        <v>-2.605535405</v>
      </c>
      <c r="Q249" t="n">
        <v>-2.651968524</v>
      </c>
      <c r="R249" t="n">
        <v>-2.897143</v>
      </c>
      <c r="S249" t="n">
        <v>-6.477614128</v>
      </c>
      <c r="T249" t="n">
        <v>-1.645240416</v>
      </c>
      <c r="U249" t="n">
        <v>-2.303053</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-2.314668737</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107" t="n">
        <v>39995</v>
      </c>
      <c r="C250" t="n">
        <v>-2.162715783</v>
      </c>
      <c r="D250" t="n">
        <v>0.747253777</v>
      </c>
      <c r="E250" t="n">
        <v>-0.778724972</v>
      </c>
      <c r="F250" t="n">
        <v>0.047812829</v>
      </c>
      <c r="G250" t="n">
        <v>1.804567832</v>
      </c>
      <c r="H250" t="n">
        <v>-1.091258596</v>
      </c>
      <c r="I250" t="n">
        <v>0.600697029</v>
      </c>
      <c r="J250" t="n">
        <v>-0.596197472</v>
      </c>
      <c r="K250" t="n">
        <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0.196386097</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107" t="n">
        <v>40087</v>
      </c>
      <c r="C251" t="n">
        <v>3.868023656</v>
      </c>
      <c r="D251" t="n">
        <v>0.283762725</v>
      </c>
      <c r="E251" t="n">
        <v>0.445805934</v>
      </c>
      <c r="F251" t="n">
        <v>1.263779444</v>
      </c>
      <c r="G251" t="n">
        <v>2.345837446</v>
      </c>
      <c r="H251" t="n">
        <v>0.44993852</v>
      </c>
      <c r="I251" t="n">
        <v>1.145387645</v>
      </c>
      <c r="J251" t="n">
        <v>1.11519886</v>
      </c>
      <c r="K251" t="n">
        <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0.583284764</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107" t="n">
        <v>40179</v>
      </c>
      <c r="C252" t="n">
        <v>1.88827776</v>
      </c>
      <c r="D252" t="n">
        <v>0.787545646</v>
      </c>
      <c r="E252" t="n">
        <v>0.466032491</v>
      </c>
      <c r="F252" t="n">
        <v>0.802290461</v>
      </c>
      <c r="G252" t="n">
        <v>2.531021125</v>
      </c>
      <c r="H252" t="n">
        <v>1.166157024</v>
      </c>
      <c r="I252" t="n">
        <v>0.831658703</v>
      </c>
      <c r="J252" t="n">
        <v>1.23689424</v>
      </c>
      <c r="K252" t="n">
        <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0.9012004260000001</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107" t="n">
        <v>40269</v>
      </c>
      <c r="C253" t="n">
        <v>3.030979099</v>
      </c>
      <c r="D253" t="n">
        <v>0.434419083</v>
      </c>
      <c r="E253" t="n">
        <v>-0.427643037</v>
      </c>
      <c r="F253" t="n">
        <v>0.518118543</v>
      </c>
      <c r="G253" t="n">
        <v>2.279979912</v>
      </c>
      <c r="H253" t="n">
        <v>1.206341487</v>
      </c>
      <c r="I253" t="n">
        <v>0.71617919</v>
      </c>
      <c r="J253" t="n">
        <v>0.357802556</v>
      </c>
      <c r="K253" t="n">
        <v/>
      </c>
      <c r="L253" t="n">
        <v>0.699970782</v>
      </c>
      <c r="M253" t="n">
        <v>0.806515425</v>
      </c>
      <c r="N253" t="n">
        <v>0.863569079</v>
      </c>
      <c r="O253" t="n">
        <v>0.400829</v>
      </c>
      <c r="P253" t="n">
        <v>-0.028195768</v>
      </c>
      <c r="Q253" t="n">
        <v>1.378153533</v>
      </c>
      <c r="R253" t="n">
        <v>0.406322</v>
      </c>
      <c r="S253" t="n">
        <v>1.001905585</v>
      </c>
      <c r="T253" t="n">
        <v>0.355262099</v>
      </c>
      <c r="U253" t="n">
        <v>0.629758</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0.602045366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107" t="n">
        <v>40360</v>
      </c>
      <c r="C254" t="n">
        <v>4.533181051</v>
      </c>
      <c r="D254" t="n">
        <v>0.640536054</v>
      </c>
      <c r="E254" t="n">
        <v>1.354215248</v>
      </c>
      <c r="F254" t="n">
        <v>0.985354241</v>
      </c>
      <c r="G254" t="n">
        <v>0.973766282</v>
      </c>
      <c r="H254" t="n">
        <v>0.523260909</v>
      </c>
      <c r="I254" t="n">
        <v>0.831262919</v>
      </c>
      <c r="J254" t="n">
        <v>3.422238008</v>
      </c>
      <c r="K254" t="n">
        <v/>
      </c>
      <c r="L254" t="n">
        <v>1.123545104</v>
      </c>
      <c r="M254" t="n">
        <v>2.241046536</v>
      </c>
      <c r="N254" t="n">
        <v>0.683517919</v>
      </c>
      <c r="O254" t="n">
        <v>0.970591</v>
      </c>
      <c r="P254" t="n">
        <v>0.149925037</v>
      </c>
      <c r="Q254" t="n">
        <v>1.267530988</v>
      </c>
      <c r="R254" t="n">
        <v>0.994142</v>
      </c>
      <c r="S254" t="n">
        <v>2.761947367</v>
      </c>
      <c r="T254" t="n">
        <v>0.511057261</v>
      </c>
      <c r="U254" t="n">
        <v>1.074803</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1.104745022</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107" t="n">
        <v>40452</v>
      </c>
      <c r="C255" t="n">
        <v>0.466851055</v>
      </c>
      <c r="D255" t="n">
        <v>0.700459384</v>
      </c>
      <c r="E255" t="n">
        <v>0.889631876</v>
      </c>
      <c r="F255" t="n">
        <v>0.417149241</v>
      </c>
      <c r="G255" t="n">
        <v>1.024357987</v>
      </c>
      <c r="H255" t="n">
        <v>0.7086949219999999</v>
      </c>
      <c r="I255" t="n">
        <v>0.584384664</v>
      </c>
      <c r="J255" t="n">
        <v>2.332971188</v>
      </c>
      <c r="K255" t="n">
        <v/>
      </c>
      <c r="L255" t="n">
        <v>0.838015454</v>
      </c>
      <c r="M255" t="n">
        <v>0.839699329</v>
      </c>
      <c r="N255" t="n">
        <v>1.585373276</v>
      </c>
      <c r="O255" t="n">
        <v>0.440331</v>
      </c>
      <c r="P255" t="n">
        <v>-0.051135353</v>
      </c>
      <c r="Q255" t="n">
        <v>1.465733355</v>
      </c>
      <c r="R255" t="n">
        <v>0.509836</v>
      </c>
      <c r="S255" t="n">
        <v>-0.410728143</v>
      </c>
      <c r="T255" t="n">
        <v>0.655567361</v>
      </c>
      <c r="U255" t="n">
        <v>0.895829</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0.853789903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107" t="n">
        <v>40544</v>
      </c>
      <c r="C256" t="n">
        <v>1.374888085</v>
      </c>
      <c r="D256" t="n">
        <v>0.918657258</v>
      </c>
      <c r="E256" t="n">
        <v>1.155355749</v>
      </c>
      <c r="F256" t="n">
        <v>0.505236083</v>
      </c>
      <c r="G256" t="n">
        <v>1.355199772</v>
      </c>
      <c r="H256" t="n">
        <v>1.117505154</v>
      </c>
      <c r="I256" t="n">
        <v>0.745948509</v>
      </c>
      <c r="J256" t="n">
        <v>1.236961951</v>
      </c>
      <c r="K256" t="n">
        <v/>
      </c>
      <c r="L256" t="n">
        <v>0.375699874</v>
      </c>
      <c r="M256" t="n">
        <v>0.811076295</v>
      </c>
      <c r="N256" t="n">
        <v>-0.225049653</v>
      </c>
      <c r="O256" t="n">
        <v>0.626051</v>
      </c>
      <c r="P256" t="n">
        <v>0.067103146</v>
      </c>
      <c r="Q256" t="n">
        <v>2.101125282</v>
      </c>
      <c r="R256" t="n">
        <v>0.63768</v>
      </c>
      <c r="S256" t="n">
        <v>2.100121636</v>
      </c>
      <c r="T256" t="n">
        <v>0.709680537</v>
      </c>
      <c r="U256" t="n">
        <v>0.364739</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0.568645105</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107" t="n">
        <v>40634</v>
      </c>
      <c r="C257" t="n">
        <v>2.388716688</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0.10239</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0.279763488</v>
      </c>
      <c r="AM257" t="n">
        <v>1.128087042</v>
      </c>
      <c r="AN257" t="n">
        <v>-0.660768312</v>
      </c>
      <c r="AO257" t="n">
        <v>1.067089035</v>
      </c>
      <c r="AP257" t="n">
        <v>0.338307263</v>
      </c>
      <c r="AQ257" t="n">
        <v>0.631276139</v>
      </c>
      <c r="AR257" t="n">
        <v>0.362423328</v>
      </c>
      <c r="AS257" t="n">
        <v>2.253858177</v>
      </c>
      <c r="AT257" t="n">
        <v>-0.240916068</v>
      </c>
      <c r="AU257" t="n">
        <v>0.98480168</v>
      </c>
    </row>
    <row r="258">
      <c r="A258" t="inlineStr">
        <is>
          <t>2011-Q2</t>
        </is>
      </c>
      <c r="B258" s="107" t="n">
        <v>40725</v>
      </c>
      <c r="C258" t="n">
        <v>0.972305184</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0.236131</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0.377342979</v>
      </c>
      <c r="AM258" t="n">
        <v>1.334879658</v>
      </c>
      <c r="AN258" t="n">
        <v>-0.428915528</v>
      </c>
      <c r="AO258" t="n">
        <v>1.016610892</v>
      </c>
      <c r="AP258" t="n">
        <v>0.690547712</v>
      </c>
      <c r="AQ258" t="n">
        <v>-0.514372398</v>
      </c>
      <c r="AR258" t="n">
        <v>0.320039049</v>
      </c>
      <c r="AS258" t="n">
        <v>2.747690817</v>
      </c>
      <c r="AT258" t="n">
        <v>0.678050751</v>
      </c>
      <c r="AU258" t="n">
        <v>0.559671531</v>
      </c>
    </row>
    <row r="259">
      <c r="A259" t="inlineStr">
        <is>
          <t>2011-Q3</t>
        </is>
      </c>
      <c r="B259" s="107" t="n">
        <v>40817</v>
      </c>
      <c r="C259" t="n">
        <v>0.760723872</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0.5013649999999999</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0.593220729</v>
      </c>
      <c r="AM259" t="n">
        <v>1.288387714</v>
      </c>
      <c r="AN259" t="n">
        <v>-0.780836238</v>
      </c>
      <c r="AO259" t="n">
        <v>1.210094209</v>
      </c>
      <c r="AP259" t="n">
        <v>0.464077902</v>
      </c>
      <c r="AQ259" t="n">
        <v>-0.196196338</v>
      </c>
      <c r="AR259" t="n">
        <v>1.32518728</v>
      </c>
      <c r="AS259" t="n">
        <v>2.658843122</v>
      </c>
      <c r="AT259" t="n">
        <v>-0.038767163</v>
      </c>
      <c r="AU259" t="n">
        <v>0.413771114</v>
      </c>
    </row>
    <row r="260">
      <c r="A260" t="inlineStr">
        <is>
          <t>2011-Q4</t>
        </is>
      </c>
      <c r="B260" s="107" t="n">
        <v>40909</v>
      </c>
      <c r="C260" t="n">
        <v>0.09893044500000001</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0.486045</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0.427820458</v>
      </c>
      <c r="AM260" t="n">
        <v>0.633576743</v>
      </c>
      <c r="AN260" t="n">
        <v>-1.478454706</v>
      </c>
      <c r="AO260" t="n">
        <v>1.232644265</v>
      </c>
      <c r="AP260" t="n">
        <v>0.766048296</v>
      </c>
      <c r="AQ260" t="n">
        <v>0.0335137</v>
      </c>
      <c r="AR260" t="n">
        <v>-1.422921678</v>
      </c>
      <c r="AS260" t="n">
        <v>1.357311969</v>
      </c>
      <c r="AT260" t="n">
        <v>1.121678183</v>
      </c>
      <c r="AU260" t="n">
        <v>0.68408624</v>
      </c>
    </row>
    <row r="261">
      <c r="A261" t="inlineStr">
        <is>
          <t>2012-Q1</t>
        </is>
      </c>
      <c r="B261" s="107" t="n">
        <v>41000</v>
      </c>
      <c r="C261" t="n">
        <v>-1.088045391</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0.605442</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0.482615626</v>
      </c>
      <c r="AM261" t="n">
        <v>0.06918255</v>
      </c>
      <c r="AN261" t="n">
        <v>-0.545801608</v>
      </c>
      <c r="AO261" t="n">
        <v>1.512262779</v>
      </c>
      <c r="AP261" t="n">
        <v>0.237895554</v>
      </c>
      <c r="AQ261" t="n">
        <v>-0.628912377</v>
      </c>
      <c r="AR261" t="n">
        <v>0.199998162</v>
      </c>
      <c r="AS261" t="n">
        <v>-0.8897737570000001</v>
      </c>
      <c r="AT261" t="n">
        <v>0.817922845</v>
      </c>
      <c r="AU261" t="n">
        <v>0.5668432450000001</v>
      </c>
    </row>
    <row r="262">
      <c r="A262" t="inlineStr">
        <is>
          <t>2012-Q2</t>
        </is>
      </c>
      <c r="B262" s="107" t="n">
        <v>41091</v>
      </c>
      <c r="C262" t="n">
        <v>-3.428374735</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0.140457945</v>
      </c>
      <c r="AM262" t="n">
        <v>-0.245562465</v>
      </c>
      <c r="AN262" t="n">
        <v>-1.347954513</v>
      </c>
      <c r="AO262" t="n">
        <v>0.403925378</v>
      </c>
      <c r="AP262" t="n">
        <v>0.161969812</v>
      </c>
      <c r="AQ262" t="n">
        <v>-1.773770038</v>
      </c>
      <c r="AR262" t="n">
        <v>0.121080256</v>
      </c>
      <c r="AS262" t="n">
        <v>1.727526866</v>
      </c>
      <c r="AT262" t="n">
        <v>0.455859987</v>
      </c>
      <c r="AU262" t="n">
        <v>0.834733519</v>
      </c>
    </row>
    <row r="263">
      <c r="A263" t="inlineStr">
        <is>
          <t>2012-Q3</t>
        </is>
      </c>
      <c r="B263" s="107" t="n">
        <v>41183</v>
      </c>
      <c r="C263" t="n">
        <v>3.139763921</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0.179282723</v>
      </c>
      <c r="AM263" t="n">
        <v>0.438252333</v>
      </c>
      <c r="AN263" t="n">
        <v>-1.129418955</v>
      </c>
      <c r="AO263" t="n">
        <v>0.515817078</v>
      </c>
      <c r="AP263" t="n">
        <v>0.091103369</v>
      </c>
      <c r="AQ263" t="n">
        <v>0.199924898</v>
      </c>
      <c r="AR263" t="n">
        <v>-0.118276949</v>
      </c>
      <c r="AS263" t="n">
        <v>1.764793881</v>
      </c>
      <c r="AT263" t="n">
        <v>0.174882978</v>
      </c>
      <c r="AU263" t="n">
        <v>0.406558429</v>
      </c>
    </row>
    <row r="264">
      <c r="A264" t="inlineStr">
        <is>
          <t>2012-Q4</t>
        </is>
      </c>
      <c r="B264" s="107" t="n">
        <v>41275</v>
      </c>
      <c r="C264" t="n">
        <v>1.715476924</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0.038629452</v>
      </c>
      <c r="AM264" t="n">
        <v>-0.526822882</v>
      </c>
      <c r="AN264" t="n">
        <v>-1.580457377</v>
      </c>
      <c r="AO264" t="n">
        <v>0.067202083</v>
      </c>
      <c r="AP264" t="n">
        <v>-0.115711274</v>
      </c>
      <c r="AQ264" t="n">
        <v>-1.993365585</v>
      </c>
      <c r="AR264" t="n">
        <v>-0.735176089</v>
      </c>
      <c r="AS264" t="n">
        <v>1.602891829</v>
      </c>
      <c r="AT264" t="n">
        <v>0.109838067</v>
      </c>
      <c r="AU264" t="n">
        <v>0.476942783</v>
      </c>
    </row>
    <row r="265">
      <c r="A265" t="inlineStr">
        <is>
          <t>2013-Q1</t>
        </is>
      </c>
      <c r="B265" s="107" t="n">
        <v>41365</v>
      </c>
      <c r="C265" t="n">
        <v>-0.034304702</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0.583268556</v>
      </c>
      <c r="AM265" t="n">
        <v>0.064151401</v>
      </c>
      <c r="AN265" t="n">
        <v>0.416147358</v>
      </c>
      <c r="AO265" t="n">
        <v>0.7406446169999999</v>
      </c>
      <c r="AP265" t="n">
        <v>0.037224419</v>
      </c>
      <c r="AQ265" t="n">
        <v>0.18847448</v>
      </c>
      <c r="AR265" t="n">
        <v>1.41609684</v>
      </c>
      <c r="AS265" t="n">
        <v>2.92988564</v>
      </c>
      <c r="AT265" t="n">
        <v>0.867789548</v>
      </c>
      <c r="AU265" t="n">
        <v>0.776024712</v>
      </c>
    </row>
    <row r="266">
      <c r="A266" t="inlineStr">
        <is>
          <t>2013-Q2</t>
        </is>
      </c>
      <c r="B266" s="107" t="n">
        <v>41456</v>
      </c>
      <c r="C266" t="n">
        <v>0.551135961</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0.538722777</v>
      </c>
      <c r="AM266" t="n">
        <v>1.076102095</v>
      </c>
      <c r="AN266" t="n">
        <v>0.75837044</v>
      </c>
      <c r="AO266" t="n">
        <v>0.340534385</v>
      </c>
      <c r="AP266" t="n">
        <v>0.321670114</v>
      </c>
      <c r="AQ266" t="n">
        <v>0.307999802</v>
      </c>
      <c r="AR266" t="n">
        <v>-0.10250336</v>
      </c>
      <c r="AS266" t="n">
        <v>2.935776113</v>
      </c>
      <c r="AT266" t="n">
        <v>0.13938522</v>
      </c>
      <c r="AU266" t="n">
        <v>0.727378584</v>
      </c>
    </row>
    <row r="267">
      <c r="A267" t="inlineStr">
        <is>
          <t>2013-Q3</t>
        </is>
      </c>
      <c r="B267" s="107" t="n">
        <v>41548</v>
      </c>
      <c r="C267" t="n">
        <v>0.6290487890000001</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0.717220903</v>
      </c>
      <c r="AM267" t="n">
        <v>0.756958578</v>
      </c>
      <c r="AN267" t="n">
        <v>-0.139296447</v>
      </c>
      <c r="AO267" t="n">
        <v>0.040524088</v>
      </c>
      <c r="AP267" t="n">
        <v>0.460652334</v>
      </c>
      <c r="AQ267" t="n">
        <v>0.01300749</v>
      </c>
      <c r="AR267" t="n">
        <v>0.459686246</v>
      </c>
      <c r="AS267" t="n">
        <v>1.465976155</v>
      </c>
      <c r="AT267" t="n">
        <v>0.791653411</v>
      </c>
      <c r="AU267" t="n">
        <v>0.474459609</v>
      </c>
    </row>
    <row r="268">
      <c r="A268" t="inlineStr">
        <is>
          <t>2013-Q4</t>
        </is>
      </c>
      <c r="B268" s="107" t="n">
        <v>41640</v>
      </c>
      <c r="C268" t="n">
        <v>-0.99314949</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0.484519479</v>
      </c>
      <c r="AM268" t="n">
        <v>0.263685579</v>
      </c>
      <c r="AN268" t="n">
        <v>1.094967331</v>
      </c>
      <c r="AO268" t="n">
        <v>0.577422247</v>
      </c>
      <c r="AP268" t="n">
        <v>0.578985795</v>
      </c>
      <c r="AQ268" t="n">
        <v>1.932971535</v>
      </c>
      <c r="AR268" t="n">
        <v>0.683468913</v>
      </c>
      <c r="AS268" t="n">
        <v>0.193829518</v>
      </c>
      <c r="AT268" t="n">
        <v>0.7111710020000001</v>
      </c>
      <c r="AU268" t="n">
        <v>0.538352036</v>
      </c>
    </row>
    <row r="269">
      <c r="A269" t="inlineStr">
        <is>
          <t>2014-Q1</t>
        </is>
      </c>
      <c r="B269" s="107" t="n">
        <v>41730</v>
      </c>
      <c r="C269" t="n">
        <v>-1.506490201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0.359730328</v>
      </c>
      <c r="AM269" t="n">
        <v>1.033707396</v>
      </c>
      <c r="AN269" t="n">
        <v>-0.641839267</v>
      </c>
      <c r="AO269" t="n">
        <v>-0.007230698</v>
      </c>
      <c r="AP269" t="n">
        <v>0.617397086</v>
      </c>
      <c r="AQ269" t="n">
        <v>0.085869349</v>
      </c>
      <c r="AR269" t="n">
        <v>0.841503091</v>
      </c>
      <c r="AS269" t="n">
        <v>2.901075638</v>
      </c>
      <c r="AT269" t="n">
        <v>-0.350109737</v>
      </c>
      <c r="AU269" t="n">
        <v>-0.13793496</v>
      </c>
    </row>
    <row r="270">
      <c r="A270" t="inlineStr">
        <is>
          <t>2014-Q2</t>
        </is>
      </c>
      <c r="B270" s="107" t="n">
        <v>41821</v>
      </c>
      <c r="C270" t="n">
        <v>-0.587720289</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0.48201247</v>
      </c>
      <c r="AM270" t="n">
        <v>1.136911695</v>
      </c>
      <c r="AN270" t="n">
        <v>0.332717028</v>
      </c>
      <c r="AO270" t="n">
        <v>0.48178079</v>
      </c>
      <c r="AP270" t="n">
        <v>0.763525702</v>
      </c>
      <c r="AQ270" t="n">
        <v>0.852837208</v>
      </c>
      <c r="AR270" t="n">
        <v>0.811320755</v>
      </c>
      <c r="AS270" t="n">
        <v>-1.62240622</v>
      </c>
      <c r="AT270" t="n">
        <v>1.284128907</v>
      </c>
      <c r="AU270" t="n">
        <v>0.394666602</v>
      </c>
    </row>
    <row r="271">
      <c r="A271" t="inlineStr">
        <is>
          <t>2014-Q3</t>
        </is>
      </c>
      <c r="B271" s="107" t="n">
        <v>41913</v>
      </c>
      <c r="C271" t="n">
        <v>-0.820135611</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0.776674262</v>
      </c>
      <c r="AM271" t="n">
        <v>0.837149226</v>
      </c>
      <c r="AN271" t="n">
        <v>0.094687166</v>
      </c>
      <c r="AO271" t="n">
        <v>-0.318068221</v>
      </c>
      <c r="AP271" t="n">
        <v>0.964600821</v>
      </c>
      <c r="AQ271" t="n">
        <v>0.604877171</v>
      </c>
      <c r="AR271" t="n">
        <v>0.731080131</v>
      </c>
      <c r="AS271" t="n">
        <v>2.458184399</v>
      </c>
      <c r="AT271" t="n">
        <v>1.164961644</v>
      </c>
      <c r="AU271" t="n">
        <v>0.480579252</v>
      </c>
    </row>
    <row r="272">
      <c r="A272" t="inlineStr">
        <is>
          <t>2014-Q4</t>
        </is>
      </c>
      <c r="B272" s="107" t="n">
        <v>42005</v>
      </c>
      <c r="C272" t="n">
        <v>0.498922767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0.551035746</v>
      </c>
      <c r="AM272" t="n">
        <v>0.6534796899999999</v>
      </c>
      <c r="AN272" t="n">
        <v>0.808968919</v>
      </c>
      <c r="AO272" t="n">
        <v>-0.235634331</v>
      </c>
      <c r="AP272" t="n">
        <v>1.104522391</v>
      </c>
      <c r="AQ272" t="n">
        <v>0.134668322</v>
      </c>
      <c r="AR272" t="n">
        <v>0.763286853</v>
      </c>
      <c r="AS272" t="n">
        <v>1.347559385</v>
      </c>
      <c r="AT272" t="n">
        <v>0.448993402</v>
      </c>
      <c r="AU272" t="n">
        <v>0.748775643</v>
      </c>
    </row>
    <row r="273">
      <c r="A273" t="inlineStr">
        <is>
          <t>2015-Q1</t>
        </is>
      </c>
      <c r="B273" s="107" t="n">
        <v>42095</v>
      </c>
      <c r="C273" t="n">
        <v>1.462516779</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0.817659512</v>
      </c>
      <c r="AM273" t="n">
        <v>1.418384342</v>
      </c>
      <c r="AN273" t="n">
        <v>0.644836282</v>
      </c>
      <c r="AO273" t="n">
        <v>-1.017760253</v>
      </c>
      <c r="AP273" t="n">
        <v>1.926848333</v>
      </c>
      <c r="AQ273" t="n">
        <v>0.485522796</v>
      </c>
      <c r="AR273" t="n">
        <v>1.408392854</v>
      </c>
      <c r="AS273" t="n">
        <v>1.890749754</v>
      </c>
      <c r="AT273" t="n">
        <v>0.813313626</v>
      </c>
      <c r="AU273" t="n">
        <v>0.722352176</v>
      </c>
    </row>
    <row r="274">
      <c r="A274" t="inlineStr">
        <is>
          <t>2015-Q2</t>
        </is>
      </c>
      <c r="B274" s="107" t="n">
        <v>42186</v>
      </c>
      <c r="C274" t="n">
        <v>2.352208911</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0.548475749</v>
      </c>
      <c r="AM274" t="n">
        <v>0.783089104</v>
      </c>
      <c r="AN274" t="n">
        <v>0.29763901</v>
      </c>
      <c r="AO274" t="n">
        <v>-0.670149532</v>
      </c>
      <c r="AP274" t="n">
        <v>1.245723779</v>
      </c>
      <c r="AQ274" t="n">
        <v>0.66969254</v>
      </c>
      <c r="AR274" t="n">
        <v>0.995433467</v>
      </c>
      <c r="AS274" t="n">
        <v>1.523769405</v>
      </c>
      <c r="AT274" t="n">
        <v>0.580001432</v>
      </c>
      <c r="AU274" t="n">
        <v>-0.844262633</v>
      </c>
    </row>
    <row r="275">
      <c r="A275" t="inlineStr">
        <is>
          <t>2015-Q3</t>
        </is>
      </c>
      <c r="B275" s="107" t="n">
        <v>42278</v>
      </c>
      <c r="C275" t="n">
        <v>-0.073229085</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0.533386664</v>
      </c>
      <c r="AM275" t="n">
        <v>1.26877576</v>
      </c>
      <c r="AN275" t="n">
        <v>0.113767651</v>
      </c>
      <c r="AO275" t="n">
        <v>0.193522444</v>
      </c>
      <c r="AP275" t="n">
        <v>1.151285535</v>
      </c>
      <c r="AQ275" t="n">
        <v>0.640374236</v>
      </c>
      <c r="AR275" t="n">
        <v>1.394684074</v>
      </c>
      <c r="AS275" t="n">
        <v>1.401513902</v>
      </c>
      <c r="AT275" t="n">
        <v>0.323372673</v>
      </c>
      <c r="AU275" t="n">
        <v>0.450424009</v>
      </c>
    </row>
    <row r="276">
      <c r="A276" t="inlineStr">
        <is>
          <t>2015-Q4</t>
        </is>
      </c>
      <c r="B276" s="107" t="n">
        <v>42370</v>
      </c>
      <c r="C276" t="n">
        <v>-1.120988718</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0.307065764</v>
      </c>
      <c r="AM276" t="n">
        <v>1.242040513</v>
      </c>
      <c r="AN276" t="n">
        <v>0.479259937</v>
      </c>
      <c r="AO276" t="n">
        <v>-0.257675367</v>
      </c>
      <c r="AP276" t="n">
        <v>0.72047205</v>
      </c>
      <c r="AQ276" t="n">
        <v>0.161745491</v>
      </c>
      <c r="AR276" t="n">
        <v>0.754694752</v>
      </c>
      <c r="AS276" t="n">
        <v>1.166866867</v>
      </c>
      <c r="AT276" t="n">
        <v>0.146234347</v>
      </c>
      <c r="AU276" t="n">
        <v>0.433466201</v>
      </c>
    </row>
    <row r="277">
      <c r="A277" t="inlineStr">
        <is>
          <t>2016-Q1</t>
        </is>
      </c>
      <c r="B277" s="107" t="n">
        <v>42461</v>
      </c>
      <c r="C277" t="n">
        <v>-0.921896387</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0.545337031</v>
      </c>
      <c r="AM277" t="n">
        <v>-0.295617842</v>
      </c>
      <c r="AN277" t="n">
        <v>0.466787525</v>
      </c>
      <c r="AO277" t="n">
        <v>0.190062001</v>
      </c>
      <c r="AP277" t="n">
        <v>-0.023395424</v>
      </c>
      <c r="AQ277" t="n">
        <v>1.022204597</v>
      </c>
      <c r="AR277" t="n">
        <v>-0.109165655</v>
      </c>
      <c r="AS277" t="n">
        <v>0.361537968</v>
      </c>
      <c r="AT277" t="n">
        <v>0.589179869</v>
      </c>
      <c r="AU277" t="n">
        <v>0.238864759</v>
      </c>
    </row>
    <row r="278">
      <c r="A278" t="inlineStr">
        <is>
          <t>2016-Q2</t>
        </is>
      </c>
      <c r="B278" s="107" t="n">
        <v>42552</v>
      </c>
      <c r="C278" t="n">
        <v>-1.575021895</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0.364587745</v>
      </c>
      <c r="AM278" t="n">
        <v>1.304925685</v>
      </c>
      <c r="AN278" t="n">
        <v>0.299561897</v>
      </c>
      <c r="AO278" t="n">
        <v>0.053808427</v>
      </c>
      <c r="AP278" t="n">
        <v>0.246709693</v>
      </c>
      <c r="AQ278" t="n">
        <v>1.282970601</v>
      </c>
      <c r="AR278" t="n">
        <v>0.090387941</v>
      </c>
      <c r="AS278" t="n">
        <v>1.430886402</v>
      </c>
      <c r="AT278" t="n">
        <v>0.302388807</v>
      </c>
      <c r="AU278" t="n">
        <v>0.096213854</v>
      </c>
    </row>
    <row r="279">
      <c r="A279" t="inlineStr">
        <is>
          <t>2016-Q3</t>
        </is>
      </c>
      <c r="B279" s="107" t="n">
        <v>42644</v>
      </c>
      <c r="C279" t="n">
        <v>0.311218777</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0.393535945</v>
      </c>
      <c r="AM279" t="n">
        <v>0.258302575</v>
      </c>
      <c r="AN279" t="n">
        <v>1.17409239</v>
      </c>
      <c r="AO279" t="n">
        <v>0.100766133</v>
      </c>
      <c r="AP279" t="n">
        <v>0.37067168</v>
      </c>
      <c r="AQ279" t="n">
        <v>0.880016685</v>
      </c>
      <c r="AR279" t="n">
        <v>0.301912138</v>
      </c>
      <c r="AS279" t="n">
        <v>-2.867673426</v>
      </c>
      <c r="AT279" t="n">
        <v>0.601115379</v>
      </c>
      <c r="AU279" t="n">
        <v>-0.012183122</v>
      </c>
    </row>
    <row r="280">
      <c r="A280" t="inlineStr">
        <is>
          <t>2016-Q4</t>
        </is>
      </c>
      <c r="B280" s="107" t="n">
        <v>42736</v>
      </c>
      <c r="C280" t="n">
        <v>0.652980549</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0.813928622</v>
      </c>
      <c r="AM280" t="n">
        <v>2.292670213</v>
      </c>
      <c r="AN280" t="n">
        <v>0.931975429</v>
      </c>
      <c r="AO280" t="n">
        <v>0.825217581</v>
      </c>
      <c r="AP280" t="n">
        <v>0.611547296</v>
      </c>
      <c r="AQ280" t="n">
        <v>0.793186238</v>
      </c>
      <c r="AR280" t="n">
        <v>0.913254559</v>
      </c>
      <c r="AS280" t="n">
        <v>5.509611596</v>
      </c>
      <c r="AT280" t="n">
        <v>0.496888796</v>
      </c>
      <c r="AU280" t="n">
        <v>0.08491357400000001</v>
      </c>
    </row>
    <row r="281">
      <c r="A281" t="inlineStr">
        <is>
          <t>2017-Q1</t>
        </is>
      </c>
      <c r="B281" s="107" t="n">
        <v>42826</v>
      </c>
      <c r="C281" t="n">
        <v>0.871685999</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1.175525701</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0.644724702</v>
      </c>
      <c r="AM281" t="n">
        <v>0.943520193</v>
      </c>
      <c r="AN281" t="n">
        <v>1.170816047</v>
      </c>
      <c r="AO281" t="n">
        <v>0.201805652</v>
      </c>
      <c r="AP281" t="n">
        <v>0.846324522</v>
      </c>
      <c r="AQ281" t="n">
        <v>1.784979372</v>
      </c>
      <c r="AR281" t="n">
        <v>0.417211394</v>
      </c>
      <c r="AS281" t="n">
        <v>1.368865306</v>
      </c>
      <c r="AT281" t="n">
        <v>0.471931042</v>
      </c>
      <c r="AU281" t="n">
        <v>0.472125691</v>
      </c>
    </row>
    <row r="282">
      <c r="A282" t="inlineStr">
        <is>
          <t>2017-Q2</t>
        </is>
      </c>
      <c r="B282" s="107" t="n">
        <v>42917</v>
      </c>
      <c r="C282" t="n">
        <v>1.038779189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1.015732121</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0.724028998</v>
      </c>
      <c r="AM282" t="n">
        <v>0.86743973</v>
      </c>
      <c r="AN282" t="n">
        <v>0.505247849</v>
      </c>
      <c r="AO282" t="n">
        <v>0.690515031</v>
      </c>
      <c r="AP282" t="n">
        <v>0.9359635039999999</v>
      </c>
      <c r="AQ282" t="n">
        <v>1.216824167</v>
      </c>
      <c r="AR282" t="n">
        <v>1.282351597</v>
      </c>
      <c r="AS282" t="n">
        <v>2.28031882</v>
      </c>
      <c r="AT282" t="n">
        <v>0.559764823</v>
      </c>
      <c r="AU282" t="n">
        <v>0.545302926</v>
      </c>
    </row>
    <row r="283">
      <c r="A283" t="inlineStr">
        <is>
          <t>2017-Q3</t>
        </is>
      </c>
      <c r="B283" s="107" t="n">
        <v>43009</v>
      </c>
      <c r="C283" t="n">
        <v>1.225282163</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0.33755425</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0.726336432</v>
      </c>
      <c r="AM283" t="n">
        <v>1.133009151</v>
      </c>
      <c r="AN283" t="n">
        <v>0.6949899899999999</v>
      </c>
      <c r="AO283" t="n">
        <v>0.679435198</v>
      </c>
      <c r="AP283" t="n">
        <v>0.810525502</v>
      </c>
      <c r="AQ283" t="n">
        <v>0.800960554</v>
      </c>
      <c r="AR283" t="n">
        <v>0.964883593</v>
      </c>
      <c r="AS283" t="n">
        <v>1.515918521</v>
      </c>
      <c r="AT283" t="n">
        <v>0.719149991</v>
      </c>
      <c r="AU283" t="n">
        <v>0.183895972</v>
      </c>
    </row>
    <row r="284">
      <c r="A284" t="inlineStr">
        <is>
          <t>2017-Q4</t>
        </is>
      </c>
      <c r="B284" s="107" t="n">
        <v>43101</v>
      </c>
      <c r="C284" t="n">
        <v>1.105766457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0.872196511</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0.800165269</v>
      </c>
      <c r="AM284" t="n">
        <v>1.767528005</v>
      </c>
      <c r="AN284" t="n">
        <v>0.825446682</v>
      </c>
      <c r="AO284" t="n">
        <v>0.021038896</v>
      </c>
      <c r="AP284" t="n">
        <v>1.139139288</v>
      </c>
      <c r="AQ284" t="n">
        <v>2.27961723</v>
      </c>
      <c r="AR284" t="n">
        <v>0.226578029</v>
      </c>
      <c r="AS284" t="n">
        <v>1.882761165</v>
      </c>
      <c r="AT284" t="n">
        <v>0.940399838</v>
      </c>
      <c r="AU284" t="n">
        <v>0.393361099</v>
      </c>
    </row>
    <row r="285">
      <c r="A285" t="inlineStr">
        <is>
          <t>2018-Q1</t>
        </is>
      </c>
      <c r="B285" s="107" t="n">
        <v>43191</v>
      </c>
      <c r="C285" t="n">
        <v>-0.387248252</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0.08293629800000001</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0.572227148</v>
      </c>
      <c r="AM285" t="n">
        <v>1.262744029</v>
      </c>
      <c r="AN285" t="n">
        <v>0.727368109</v>
      </c>
      <c r="AO285" t="n">
        <v>1.356233626</v>
      </c>
      <c r="AP285" t="n">
        <v>0.772602841</v>
      </c>
      <c r="AQ285" t="n">
        <v>0.208646969</v>
      </c>
      <c r="AR285" t="n">
        <v>0.234887111</v>
      </c>
      <c r="AS285" t="n">
        <v>1.491462538</v>
      </c>
      <c r="AT285" t="n">
        <v>0.762854036</v>
      </c>
      <c r="AU285" t="n">
        <v>0.439006178</v>
      </c>
    </row>
    <row r="286">
      <c r="A286" t="inlineStr">
        <is>
          <t>2018-Q2</t>
        </is>
      </c>
      <c r="B286" s="107" t="n">
        <v>43282</v>
      </c>
      <c r="C286" t="n">
        <v>-4.681434336</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-0.012341979</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0.633795394</v>
      </c>
      <c r="AM286" t="n">
        <v>1.296092819</v>
      </c>
      <c r="AN286" t="n">
        <v>0.779536523</v>
      </c>
      <c r="AO286" t="n">
        <v>0.558095453</v>
      </c>
      <c r="AP286" t="n">
        <v>1.139016799</v>
      </c>
      <c r="AQ286" t="n">
        <v>1.245745306</v>
      </c>
      <c r="AR286" t="n">
        <v>1.077036685</v>
      </c>
      <c r="AS286" t="n">
        <v>0.508445895</v>
      </c>
      <c r="AT286" t="n">
        <v>0.833910909</v>
      </c>
      <c r="AU286" t="n">
        <v>-0.134146881</v>
      </c>
    </row>
    <row r="287">
      <c r="A287" t="inlineStr">
        <is>
          <t>2018-Q3</t>
        </is>
      </c>
      <c r="B287" s="107" t="n">
        <v>43374</v>
      </c>
      <c r="C287" t="n">
        <v>-0.102073763</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-0.111091518</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0.207748371</v>
      </c>
      <c r="AM287" t="n">
        <v>1.396614884</v>
      </c>
      <c r="AN287" t="n">
        <v>0.5257239420000001</v>
      </c>
      <c r="AO287" t="n">
        <v>0.241265834</v>
      </c>
      <c r="AP287" t="n">
        <v>0.980137419</v>
      </c>
      <c r="AQ287" t="n">
        <v>1.154177269</v>
      </c>
      <c r="AR287" t="n">
        <v>-0.715544815</v>
      </c>
      <c r="AS287" t="n">
        <v>-1.590548448</v>
      </c>
      <c r="AT287" t="n">
        <v>0.481952559</v>
      </c>
      <c r="AU287" t="n">
        <v>1.096245511</v>
      </c>
    </row>
    <row r="288">
      <c r="A288" t="inlineStr">
        <is>
          <t>2018-Q4</t>
        </is>
      </c>
      <c r="B288" s="107" t="n">
        <v>43466</v>
      </c>
      <c r="C288" t="n">
        <v>-1.309388342</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0.188889085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0.2237229</v>
      </c>
      <c r="AM288" t="n">
        <v>0.8941008539999999</v>
      </c>
      <c r="AN288" t="n">
        <v>0.608994992</v>
      </c>
      <c r="AO288" t="n">
        <v>0.66387084</v>
      </c>
      <c r="AP288" t="n">
        <v>0.529065094</v>
      </c>
      <c r="AQ288" t="n">
        <v>1.352243324</v>
      </c>
      <c r="AR288" t="n">
        <v>1.465878678</v>
      </c>
      <c r="AS288" t="n">
        <v>-2.989464596</v>
      </c>
      <c r="AT288" t="n">
        <v>0.223141835</v>
      </c>
      <c r="AU288" t="n">
        <v>0.284185813</v>
      </c>
    </row>
    <row r="289">
      <c r="A289" t="inlineStr">
        <is>
          <t>2019-Q1</t>
        </is>
      </c>
      <c r="B289" s="107" t="n">
        <v>43556</v>
      </c>
      <c r="C289" t="n">
        <v>-0.029007513</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0.738273954</v>
      </c>
      <c r="T289" t="n">
        <v>0.619836142</v>
      </c>
      <c r="U289" t="n">
        <v>0.570377</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0.617387218</v>
      </c>
      <c r="AM289" t="n">
        <v>1.850055278</v>
      </c>
      <c r="AN289" t="n">
        <v>0.881510282</v>
      </c>
      <c r="AO289" t="n">
        <v>-0.037485913</v>
      </c>
      <c r="AP289" t="n">
        <v>0.9083081160000001</v>
      </c>
      <c r="AQ289" t="n">
        <v>0.53444558</v>
      </c>
      <c r="AR289" t="n">
        <v>0.518260104</v>
      </c>
      <c r="AS289" t="n">
        <v>1.785917694</v>
      </c>
      <c r="AT289" t="n">
        <v>0.5977902899999999</v>
      </c>
      <c r="AU289" t="n">
        <v>-0.976457995</v>
      </c>
    </row>
    <row r="290">
      <c r="A290" t="inlineStr">
        <is>
          <t>2019-Q2</t>
        </is>
      </c>
      <c r="B290" s="107" t="n">
        <v>43647</v>
      </c>
      <c r="C290" t="n">
        <v>0.440486375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0.827313592</v>
      </c>
      <c r="T290" t="n">
        <v>0.555620561</v>
      </c>
      <c r="U290" t="n">
        <v>0.505095</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0.580529103</v>
      </c>
      <c r="AM290" t="n">
        <v>0.679669226</v>
      </c>
      <c r="AN290" t="n">
        <v>0.56465027</v>
      </c>
      <c r="AO290" t="n">
        <v>2.262386329</v>
      </c>
      <c r="AP290" t="n">
        <v>0.345908913</v>
      </c>
      <c r="AQ290" t="n">
        <v>-0.285919304</v>
      </c>
      <c r="AR290" t="n">
        <v>0.483852309</v>
      </c>
      <c r="AS290" t="n">
        <v>2.379951147</v>
      </c>
      <c r="AT290" t="n">
        <v>0.792924408</v>
      </c>
      <c r="AU290" t="n">
        <v>0.488060389</v>
      </c>
    </row>
    <row r="291">
      <c r="A291" t="inlineStr">
        <is>
          <t>2019-Q3</t>
        </is>
      </c>
      <c r="B291" s="107" t="n">
        <v>43739</v>
      </c>
      <c r="C291" t="n">
        <v>0.650972114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-0.060715401</v>
      </c>
      <c r="T291" t="n">
        <v>0.062630373</v>
      </c>
      <c r="U291" t="n">
        <v>0.433337</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0.44529838</v>
      </c>
      <c r="AM291" t="n">
        <v>1.067604608</v>
      </c>
      <c r="AN291" t="n">
        <v>0.46238778</v>
      </c>
      <c r="AO291" t="n">
        <v>-0.978145343</v>
      </c>
      <c r="AP291" t="n">
        <v>0.237851052</v>
      </c>
      <c r="AQ291" t="n">
        <v>1.2744739</v>
      </c>
      <c r="AR291" t="n">
        <v>0.124386817</v>
      </c>
      <c r="AS291" t="n">
        <v>0.050625441</v>
      </c>
      <c r="AT291" t="n">
        <v>0.685498791</v>
      </c>
      <c r="AU291" t="n">
        <v>-0.019313641</v>
      </c>
    </row>
    <row r="292">
      <c r="A292" t="inlineStr">
        <is>
          <t>2019-Q4</t>
        </is>
      </c>
      <c r="B292" s="107" t="n">
        <v>43831</v>
      </c>
      <c r="C292" t="n">
        <v>-1.61567951</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-0.291610977</v>
      </c>
      <c r="T292" t="n">
        <v>-0.326294962</v>
      </c>
      <c r="U292" t="n">
        <v>-0.119888</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0.036418898</v>
      </c>
      <c r="AM292" t="n">
        <v>0.383954102</v>
      </c>
      <c r="AN292" t="n">
        <v>0.824613982</v>
      </c>
      <c r="AO292" t="n">
        <v>-0.453005108</v>
      </c>
      <c r="AP292" t="n">
        <v>0.512124896</v>
      </c>
      <c r="AQ292" t="n">
        <v>1.406335605</v>
      </c>
      <c r="AR292" t="n">
        <v>0.250406921</v>
      </c>
      <c r="AS292" t="n">
        <v>1.364629963</v>
      </c>
      <c r="AT292" t="n">
        <v>0.469097618</v>
      </c>
      <c r="AU292" t="n">
        <v>0.063450117</v>
      </c>
    </row>
    <row r="293">
      <c r="A293" t="inlineStr">
        <is>
          <t>2020-Q1</t>
        </is>
      </c>
      <c r="B293" s="107" t="n">
        <v>43922</v>
      </c>
      <c r="C293" t="n">
        <v>-4.318956508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-0.409101196</v>
      </c>
      <c r="T293" t="n">
        <v>-5.697113611</v>
      </c>
      <c r="U293" t="n">
        <v>-1.918385</v>
      </c>
      <c r="V293" t="n">
        <v>-2.699125301</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-1.729492476</v>
      </c>
      <c r="AM293" t="n">
        <v>0.074834126</v>
      </c>
      <c r="AN293" t="n">
        <v>-4.414527861</v>
      </c>
      <c r="AO293" t="n">
        <v>-0.197973877</v>
      </c>
      <c r="AP293" t="n">
        <v>-3.869966262</v>
      </c>
      <c r="AQ293" t="n">
        <v>-4.649634927</v>
      </c>
      <c r="AR293" t="n">
        <v>-0.8272315260000001</v>
      </c>
      <c r="AS293" t="n">
        <v>0.446242923</v>
      </c>
      <c r="AT293" t="n">
        <v>-1.303582746</v>
      </c>
      <c r="AU293" t="n">
        <v>0.136212206</v>
      </c>
    </row>
    <row r="294">
      <c r="A294" t="inlineStr">
        <is>
          <t>2020-Q2</t>
        </is>
      </c>
      <c r="B294" s="107" t="n">
        <v>44013</v>
      </c>
      <c r="C294" t="n">
        <v>-15.470492228</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-6.378478534</v>
      </c>
      <c r="T294" t="n">
        <v>-13.464232562</v>
      </c>
      <c r="U294" t="n">
        <v>-10.425621</v>
      </c>
      <c r="V294" t="n">
        <v>-19.565486236</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-10.471071518</v>
      </c>
      <c r="AM294" t="n">
        <v>-9.216432037000001</v>
      </c>
      <c r="AN294" t="n">
        <v>-15.249695489</v>
      </c>
      <c r="AO294" t="n">
        <v>-4.38651241</v>
      </c>
      <c r="AP294" t="n">
        <v>-7.221938842</v>
      </c>
      <c r="AQ294" t="n">
        <v>-9.440727033</v>
      </c>
      <c r="AR294" t="n">
        <v>-7.870017989</v>
      </c>
      <c r="AS294" t="n">
        <v>-10.769850757</v>
      </c>
      <c r="AT294" t="n">
        <v>-8.937250500999999</v>
      </c>
      <c r="AU294" t="n">
        <v>-17.39410026</v>
      </c>
    </row>
    <row r="295">
      <c r="A295" t="inlineStr">
        <is>
          <t>2020-Q3</t>
        </is>
      </c>
      <c r="B295" s="107" t="n">
        <v>44105</v>
      </c>
      <c r="C295" t="n">
        <v>12.878151215</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4.643477287</v>
      </c>
      <c r="T295" t="n">
        <v>18.5217501</v>
      </c>
      <c r="U295" t="n">
        <v>9.407387</v>
      </c>
      <c r="V295" t="n">
        <v>17.436249927</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9.40419286</v>
      </c>
      <c r="AM295" t="n">
        <v>7.536392641</v>
      </c>
      <c r="AN295" t="n">
        <v>14.672635056</v>
      </c>
      <c r="AO295" t="n">
        <v>2.360610753</v>
      </c>
      <c r="AP295" t="n">
        <v>9.079292112999999</v>
      </c>
      <c r="AQ295" t="n">
        <v>11.892216732</v>
      </c>
      <c r="AR295" t="n">
        <v>6.899812968</v>
      </c>
      <c r="AS295" t="n">
        <v>16.400501819</v>
      </c>
      <c r="AT295" t="n">
        <v>7.547534636</v>
      </c>
      <c r="AU295" t="n">
        <v>13.892531694</v>
      </c>
    </row>
    <row r="296">
      <c r="A296" t="inlineStr">
        <is>
          <t>2020-Q4</t>
        </is>
      </c>
      <c r="B296" s="107" t="n">
        <v>44197</v>
      </c>
      <c r="C296" t="n">
        <v>4.519210266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0.749384434</v>
      </c>
      <c r="T296" t="n">
        <v>-1.053527873</v>
      </c>
      <c r="U296" t="n">
        <v>0.9308110000000001</v>
      </c>
      <c r="V296" t="n">
        <v>1.107067907</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1.042125409</v>
      </c>
      <c r="AM296" t="n">
        <v>-0.240019218</v>
      </c>
      <c r="AN296" t="n">
        <v>0.275105523</v>
      </c>
      <c r="AO296" t="n">
        <v>1.059309167</v>
      </c>
      <c r="AP296" t="n">
        <v>0.44844978</v>
      </c>
      <c r="AQ296" t="n">
        <v>-0.165896491</v>
      </c>
      <c r="AR296" t="n">
        <v>0.322465464</v>
      </c>
      <c r="AS296" t="n">
        <v>1.202524785</v>
      </c>
      <c r="AT296" t="n">
        <v>1.115276766</v>
      </c>
      <c r="AU296" t="n">
        <v>2.548716912</v>
      </c>
    </row>
    <row r="297">
      <c r="A297" t="inlineStr">
        <is>
          <t>2021-Q1</t>
        </is>
      </c>
      <c r="B297" s="107" t="n">
        <v>44287</v>
      </c>
      <c r="C297" t="n">
        <v>2.787122494</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0.14699111</v>
      </c>
      <c r="T297" t="n">
        <v>0.054859749</v>
      </c>
      <c r="U297" t="n">
        <v>0.455125</v>
      </c>
      <c r="V297" t="n">
        <v>-1.360018281</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0.724093855</v>
      </c>
      <c r="AM297" t="n">
        <v>1.561996353</v>
      </c>
      <c r="AN297" t="n">
        <v>-3.259662244</v>
      </c>
      <c r="AO297" t="n">
        <v>0.9742242250000001</v>
      </c>
      <c r="AP297" t="n">
        <v>-1.352691213</v>
      </c>
      <c r="AQ297" t="n">
        <v>1.530003644</v>
      </c>
      <c r="AR297" t="n">
        <v>1.2171433</v>
      </c>
      <c r="AS297" t="n">
        <v>2.428416455</v>
      </c>
      <c r="AT297" t="n">
        <v>1.533889627</v>
      </c>
      <c r="AU297" t="n">
        <v>0.924971075</v>
      </c>
    </row>
    <row r="298">
      <c r="A298" t="inlineStr">
        <is>
          <t>2021-Q2</t>
        </is>
      </c>
      <c r="B298" s="107" t="n">
        <v>44378</v>
      </c>
      <c r="C298" t="n">
        <v>-1.392679684</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2.222850979</v>
      </c>
      <c r="T298" t="n">
        <v>1.266637042</v>
      </c>
      <c r="U298" t="n">
        <v>1.747563</v>
      </c>
      <c r="V298" t="n">
        <v>5.513148699</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1.68370848</v>
      </c>
      <c r="AM298" t="n">
        <v>1.799566922</v>
      </c>
      <c r="AN298" t="n">
        <v>4.394549712</v>
      </c>
      <c r="AO298" t="n">
        <v>3.459070111</v>
      </c>
      <c r="AP298" t="n">
        <v>1.890770751</v>
      </c>
      <c r="AQ298" t="n">
        <v>2.015757126</v>
      </c>
      <c r="AR298" t="n">
        <v>0.959411382</v>
      </c>
      <c r="AS298" t="n">
        <v>1.501480423</v>
      </c>
      <c r="AT298" t="n">
        <v>1.64074654</v>
      </c>
      <c r="AU298" t="n">
        <v>1.05664782</v>
      </c>
    </row>
    <row r="299">
      <c r="A299" t="inlineStr">
        <is>
          <t>2021-Q3</t>
        </is>
      </c>
      <c r="B299" s="107" t="n">
        <v>44470</v>
      </c>
      <c r="C299" t="n">
        <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0.81825416</v>
      </c>
      <c r="T299" t="n">
        <v>3.011177346</v>
      </c>
      <c r="U299" t="n">
        <v>0.883281</v>
      </c>
      <c r="V299" t="n">
        <v>1.254400281</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
      </c>
      <c r="AP299" t="n">
        <v>0.374491642</v>
      </c>
      <c r="AQ299" t="n">
        <v>1.324025237</v>
      </c>
      <c r="AR299" t="n">
        <v>1.980230971</v>
      </c>
      <c r="AS299" t="n">
        <v>2.709424091</v>
      </c>
      <c r="AT299" t="n">
        <v>0.521924732</v>
      </c>
      <c r="AU299" t="n">
        <v>-1.489657575</v>
      </c>
    </row>
    <row r="300">
      <c r="A300" t="inlineStr">
        <is>
          <t>2021-Q4</t>
        </is>
      </c>
      <c r="B300" s="107" t="n">
        <v>44562</v>
      </c>
      <c r="C300" t="n">
        <v/>
      </c>
      <c r="D300" t="n">
        <v/>
      </c>
      <c r="E300" t="n">
        <v/>
      </c>
      <c r="F300" t="n">
        <v/>
      </c>
      <c r="G300" t="n">
        <v/>
      </c>
      <c r="H300" t="n">
        <v/>
      </c>
      <c r="I300" t="n">
        <v/>
      </c>
      <c r="J300" t="n">
        <v/>
      </c>
      <c r="K300" t="n">
        <v/>
      </c>
      <c r="L300" t="n">
        <v/>
      </c>
      <c r="M300" t="n">
        <v/>
      </c>
      <c r="N300" t="n">
        <v/>
      </c>
      <c r="O300" t="n">
        <v/>
      </c>
      <c r="P300" t="n">
        <v/>
      </c>
      <c r="Q300" t="n">
        <v/>
      </c>
      <c r="R300" t="n">
        <v/>
      </c>
      <c r="S300" t="n">
        <v/>
      </c>
      <c r="T300" t="n">
        <v/>
      </c>
      <c r="U300" t="n">
        <v/>
      </c>
      <c r="V300" t="n">
        <v/>
      </c>
      <c r="W300" t="n">
        <v/>
      </c>
      <c r="X300" t="n">
        <v/>
      </c>
      <c r="Y300" t="n">
        <v/>
      </c>
      <c r="Z300" t="n">
        <v/>
      </c>
      <c r="AA300" t="n">
        <v/>
      </c>
      <c r="AB300" t="n">
        <v/>
      </c>
      <c r="AC300" t="n">
        <v/>
      </c>
      <c r="AD300" t="n">
        <v/>
      </c>
      <c r="AE300" t="n">
        <v/>
      </c>
      <c r="AF300" t="n">
        <v/>
      </c>
      <c r="AG300" t="n">
        <v/>
      </c>
      <c r="AH300" t="n">
        <v/>
      </c>
      <c r="AI300" t="n">
        <v/>
      </c>
      <c r="AJ300" t="n">
        <v/>
      </c>
      <c r="AK300" t="n">
        <v/>
      </c>
      <c r="AL300" t="n">
        <v/>
      </c>
      <c r="AM300" t="n">
        <v/>
      </c>
      <c r="AN300" t="n">
        <v/>
      </c>
      <c r="AO300" t="n">
        <v/>
      </c>
      <c r="AP300" t="n">
        <v/>
      </c>
      <c r="AQ300" t="n">
        <v/>
      </c>
      <c r="AR300" t="n">
        <v/>
      </c>
      <c r="AS300" t="n">
        <v/>
      </c>
      <c r="AT300" t="n">
        <v/>
      </c>
      <c r="AU300" t="n">
        <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U298"/>
  <sheetViews>
    <sheetView tabSelected="1" workbookViewId="0">
      <selection activeCell="S30" sqref="S30"/>
    </sheetView>
  </sheetViews>
  <sheetFormatPr baseColWidth="10" defaultColWidth="9.1640625" defaultRowHeight="15"/>
  <cols>
    <col width="9.1640625" customWidth="1" style="89" min="1" max="1"/>
    <col width="11.1640625" customWidth="1" style="89" min="2" max="2"/>
    <col width="9.1640625" customWidth="1" style="2" min="3" max="5"/>
    <col width="10.6640625" bestFit="1" customWidth="1" style="2" min="6" max="6"/>
    <col width="10.6640625" customWidth="1" style="2" min="7" max="7"/>
    <col width="9.1640625" customWidth="1" style="2" min="8" max="46"/>
    <col width="9.1640625" customWidth="1" style="89" min="47" max="48"/>
    <col width="9.1640625" customWidth="1" style="89" min="49" max="16384"/>
  </cols>
  <sheetData>
    <row r="1">
      <c r="A1" t="inlineStr">
        <is>
          <t>QTR</t>
        </is>
      </c>
      <c r="B1" t="inlineStr">
        <is>
          <t>DATE</t>
        </is>
      </c>
      <c r="C1" s="2" t="inlineStr">
        <is>
          <t>AUS</t>
        </is>
      </c>
      <c r="D1" s="2" t="inlineStr">
        <is>
          <t>AUT</t>
        </is>
      </c>
      <c r="E1" s="2" t="inlineStr">
        <is>
          <t>BEL</t>
        </is>
      </c>
      <c r="F1" s="2" t="inlineStr">
        <is>
          <t>CAN</t>
        </is>
      </c>
      <c r="G1" s="2" t="inlineStr">
        <is>
          <t>CHL</t>
        </is>
      </c>
      <c r="H1" s="2" t="inlineStr">
        <is>
          <t>CZE</t>
        </is>
      </c>
      <c r="I1" s="2" t="inlineStr">
        <is>
          <t>DEU</t>
        </is>
      </c>
      <c r="J1" s="2" t="inlineStr">
        <is>
          <t>DNK</t>
        </is>
      </c>
      <c r="K1" s="2" t="inlineStr">
        <is>
          <t>ESP</t>
        </is>
      </c>
      <c r="L1" s="2" t="inlineStr">
        <is>
          <t>EST</t>
        </is>
      </c>
      <c r="M1" s="2" t="inlineStr">
        <is>
          <t>FIN</t>
        </is>
      </c>
      <c r="N1" s="2" t="inlineStr">
        <is>
          <t>FRA</t>
        </is>
      </c>
      <c r="O1" s="2" t="inlineStr">
        <is>
          <t>GBR</t>
        </is>
      </c>
      <c r="P1" s="2" t="inlineStr">
        <is>
          <t>GRC</t>
        </is>
      </c>
      <c r="Q1" s="2" t="inlineStr">
        <is>
          <t>HUN</t>
        </is>
      </c>
      <c r="R1" s="2" t="inlineStr">
        <is>
          <t>IRL</t>
        </is>
      </c>
      <c r="S1" s="2" t="inlineStr">
        <is>
          <t>ISL</t>
        </is>
      </c>
      <c r="T1" s="2" t="inlineStr">
        <is>
          <t>ISR</t>
        </is>
      </c>
      <c r="U1" s="2" t="inlineStr">
        <is>
          <t>ITA</t>
        </is>
      </c>
      <c r="V1" s="2" t="inlineStr">
        <is>
          <t>JPN</t>
        </is>
      </c>
      <c r="W1" s="2" t="inlineStr">
        <is>
          <t>KOR</t>
        </is>
      </c>
      <c r="X1" s="2" t="inlineStr">
        <is>
          <t>LUX</t>
        </is>
      </c>
      <c r="Y1" s="2" t="inlineStr">
        <is>
          <t>LVA</t>
        </is>
      </c>
      <c r="Z1" s="2" t="inlineStr">
        <is>
          <t>MEX</t>
        </is>
      </c>
      <c r="AA1" s="2" t="inlineStr">
        <is>
          <t>NLD</t>
        </is>
      </c>
      <c r="AB1" s="2" t="inlineStr">
        <is>
          <t>NOR</t>
        </is>
      </c>
      <c r="AC1" s="2" t="inlineStr">
        <is>
          <t>OECD</t>
        </is>
      </c>
      <c r="AD1" s="2" t="inlineStr">
        <is>
          <t>POL</t>
        </is>
      </c>
      <c r="AE1" s="2" t="inlineStr">
        <is>
          <t>PRT</t>
        </is>
      </c>
      <c r="AF1" s="2" t="inlineStr">
        <is>
          <t>SVK</t>
        </is>
      </c>
      <c r="AG1" s="2" t="inlineStr">
        <is>
          <t>SVN</t>
        </is>
      </c>
      <c r="AH1" s="2" t="inlineStr">
        <is>
          <t>SWE</t>
        </is>
      </c>
      <c r="AI1" s="2" t="inlineStr">
        <is>
          <t>NZL</t>
        </is>
      </c>
      <c r="AJ1" s="2" t="inlineStr">
        <is>
          <t>USA</t>
        </is>
      </c>
      <c r="AK1" s="2" t="inlineStr">
        <is>
          <t>EA19</t>
        </is>
      </c>
      <c r="AL1" t="inlineStr">
        <is>
          <t>EU27_2020</t>
        </is>
      </c>
      <c r="AM1" t="inlineStr">
        <is>
          <t>G-7</t>
        </is>
      </c>
      <c r="AN1" s="2" t="inlineStr">
        <is>
          <t>CHE</t>
        </is>
      </c>
      <c r="AO1" s="2" t="inlineStr">
        <is>
          <t>IND</t>
        </is>
      </c>
      <c r="AP1" s="2" t="inlineStr">
        <is>
          <t>ZAF</t>
        </is>
      </c>
      <c r="AQ1" s="2" t="inlineStr">
        <is>
          <t>RUS</t>
        </is>
      </c>
      <c r="AR1" s="2" t="inlineStr">
        <is>
          <t>CHN</t>
        </is>
      </c>
      <c r="AS1" s="2" t="inlineStr">
        <is>
          <t>TUR</t>
        </is>
      </c>
      <c r="AT1" s="2" t="inlineStr">
        <is>
          <t>BRA</t>
        </is>
      </c>
      <c r="AU1" s="2" t="inlineStr">
        <is>
          <t>ARG</t>
        </is>
      </c>
    </row>
    <row r="2">
      <c r="A2" t="inlineStr">
        <is>
          <t>1947-Q2</t>
        </is>
      </c>
      <c r="B2" s="3" t="n">
        <v>17349</v>
      </c>
    </row>
    <row r="3">
      <c r="A3" t="inlineStr">
        <is>
          <t>1947-Q3</t>
        </is>
      </c>
      <c r="B3" s="3" t="n">
        <v>17441</v>
      </c>
    </row>
    <row r="4">
      <c r="A4" t="inlineStr">
        <is>
          <t>1947-Q4</t>
        </is>
      </c>
      <c r="B4" s="3" t="n">
        <v>17533</v>
      </c>
    </row>
    <row r="5">
      <c r="A5" t="inlineStr">
        <is>
          <t>1948-Q1</t>
        </is>
      </c>
      <c r="B5" s="3" t="n">
        <v>17624</v>
      </c>
      <c r="AJ5" s="2" t="n">
        <v>2.604733466</v>
      </c>
    </row>
    <row r="6">
      <c r="A6" t="inlineStr">
        <is>
          <t>1948-Q2</t>
        </is>
      </c>
      <c r="B6" s="3" t="n">
        <v>17715</v>
      </c>
      <c r="AJ6" s="2" t="n">
        <v>4.577323876</v>
      </c>
    </row>
    <row r="7">
      <c r="A7" t="inlineStr">
        <is>
          <t>1948-Q3</t>
        </is>
      </c>
      <c r="B7" s="3" t="n">
        <v>17807</v>
      </c>
      <c r="AJ7" s="2" t="n">
        <v>5.394121197</v>
      </c>
    </row>
    <row r="8">
      <c r="A8" t="inlineStr">
        <is>
          <t>1948-Q4</t>
        </is>
      </c>
      <c r="B8" s="3" t="n">
        <v>17899</v>
      </c>
      <c r="AJ8" s="2" t="n">
        <v>3.886782838</v>
      </c>
    </row>
    <row r="9">
      <c r="A9" t="inlineStr">
        <is>
          <t>1949-Q1</t>
        </is>
      </c>
      <c r="B9" s="3" t="n">
        <v>17989</v>
      </c>
      <c r="AJ9" s="2" t="n">
        <v>0.9369841169999999</v>
      </c>
    </row>
    <row r="10">
      <c r="A10" t="inlineStr">
        <is>
          <t>1949-Q2</t>
        </is>
      </c>
      <c r="B10" s="3" t="n">
        <v>18080</v>
      </c>
      <c r="AJ10" s="2" t="n">
        <v>-1.04081297</v>
      </c>
    </row>
    <row r="11">
      <c r="A11" t="inlineStr">
        <is>
          <t>1949-Q3</t>
        </is>
      </c>
      <c r="B11" s="3" t="n">
        <v>18172</v>
      </c>
      <c r="AJ11" s="2" t="n">
        <v>-0.588691206</v>
      </c>
    </row>
    <row r="12">
      <c r="A12" t="inlineStr">
        <is>
          <t>1949-Q4</t>
        </is>
      </c>
      <c r="B12" s="3" t="n">
        <v>18264</v>
      </c>
      <c r="AJ12" s="2" t="n">
        <v>-1.533017543</v>
      </c>
    </row>
    <row r="13">
      <c r="A13" t="inlineStr">
        <is>
          <t>1950-Q1</t>
        </is>
      </c>
      <c r="B13" s="3" t="n">
        <v>18354</v>
      </c>
      <c r="AJ13" s="2" t="n">
        <v>3.766680699</v>
      </c>
    </row>
    <row r="14">
      <c r="A14" t="inlineStr">
        <is>
          <t>1950-Q2</t>
        </is>
      </c>
      <c r="B14" s="3" t="n">
        <v>18445</v>
      </c>
      <c r="AJ14" s="2" t="n">
        <v>7.297360623</v>
      </c>
    </row>
    <row r="15">
      <c r="A15" t="inlineStr">
        <is>
          <t>1950-Q3</t>
        </is>
      </c>
      <c r="B15" s="3" t="n">
        <v>18537</v>
      </c>
      <c r="AJ15" s="2" t="n">
        <v>10.304959762</v>
      </c>
    </row>
    <row r="16">
      <c r="A16" t="inlineStr">
        <is>
          <t>1950-Q4</t>
        </is>
      </c>
      <c r="B16" s="3" t="n">
        <v>18629</v>
      </c>
      <c r="AJ16" s="2" t="n">
        <v>13.368522328</v>
      </c>
    </row>
    <row r="17">
      <c r="A17" t="inlineStr">
        <is>
          <t>1951-Q1</t>
        </is>
      </c>
      <c r="B17" s="3" t="n">
        <v>18719</v>
      </c>
      <c r="AJ17" s="2" t="n">
        <v>10.563012123</v>
      </c>
    </row>
    <row r="18">
      <c r="A18" t="inlineStr">
        <is>
          <t>1951-Q2</t>
        </is>
      </c>
      <c r="B18" s="3" t="n">
        <v>18810</v>
      </c>
      <c r="AJ18" s="2" t="n">
        <v>9.149883824</v>
      </c>
    </row>
    <row r="19">
      <c r="A19" t="inlineStr">
        <is>
          <t>1951-Q3</t>
        </is>
      </c>
      <c r="B19" s="3" t="n">
        <v>18902</v>
      </c>
      <c r="AJ19" s="2" t="n">
        <v>7.254695502</v>
      </c>
    </row>
    <row r="20">
      <c r="A20" t="inlineStr">
        <is>
          <t>1951-Q4</t>
        </is>
      </c>
      <c r="B20" s="3" t="n">
        <v>18994</v>
      </c>
      <c r="AJ20" s="2" t="n">
        <v>5.471378495</v>
      </c>
    </row>
    <row r="21">
      <c r="A21" t="inlineStr">
        <is>
          <t>1952-Q1</t>
        </is>
      </c>
      <c r="B21" s="3" t="n">
        <v>19085</v>
      </c>
      <c r="AJ21" s="2" t="n">
        <v>5.170000881</v>
      </c>
    </row>
    <row r="22">
      <c r="A22" t="inlineStr">
        <is>
          <t>1952-Q2</t>
        </is>
      </c>
      <c r="B22" s="3" t="n">
        <v>19176</v>
      </c>
      <c r="AJ22" s="2" t="n">
        <v>3.601420952</v>
      </c>
    </row>
    <row r="23">
      <c r="A23" t="inlineStr">
        <is>
          <t>1952-Q3</t>
        </is>
      </c>
      <c r="B23" s="3" t="n">
        <v>19268</v>
      </c>
      <c r="AJ23" s="2" t="n">
        <v>2.242059381</v>
      </c>
    </row>
    <row r="24">
      <c r="A24" t="inlineStr">
        <is>
          <t>1952-Q4</t>
        </is>
      </c>
      <c r="B24" s="3" t="n">
        <v>19360</v>
      </c>
      <c r="AJ24" s="2" t="n">
        <v>5.367836947</v>
      </c>
    </row>
    <row r="25">
      <c r="A25" t="inlineStr">
        <is>
          <t>1953-Q1</t>
        </is>
      </c>
      <c r="B25" s="3" t="n">
        <v>19450</v>
      </c>
      <c r="AJ25" s="2" t="n">
        <v>6.191789594</v>
      </c>
    </row>
    <row r="26">
      <c r="A26" t="inlineStr">
        <is>
          <t>1953-Q2</t>
        </is>
      </c>
      <c r="B26" s="3" t="n">
        <v>19541</v>
      </c>
      <c r="AJ26" s="2" t="n">
        <v>6.782580163</v>
      </c>
    </row>
    <row r="27">
      <c r="A27" t="inlineStr">
        <is>
          <t>1953-Q3</t>
        </is>
      </c>
      <c r="B27" s="3" t="n">
        <v>19633</v>
      </c>
      <c r="AJ27" s="2" t="n">
        <v>5.420760181</v>
      </c>
    </row>
    <row r="28">
      <c r="A28" t="inlineStr">
        <is>
          <t>1953-Q4</t>
        </is>
      </c>
      <c r="B28" s="3" t="n">
        <v>19725</v>
      </c>
      <c r="AJ28" s="2" t="n">
        <v>0.523348844</v>
      </c>
    </row>
    <row r="29">
      <c r="A29" t="inlineStr">
        <is>
          <t>1954-Q1</t>
        </is>
      </c>
      <c r="B29" s="3" t="n">
        <v>19815</v>
      </c>
      <c r="AJ29" s="2" t="n">
        <v>-1.782902464</v>
      </c>
    </row>
    <row r="30">
      <c r="A30" t="inlineStr">
        <is>
          <t>1954-Q2</t>
        </is>
      </c>
      <c r="B30" s="3" t="n">
        <v>19906</v>
      </c>
      <c r="AJ30" s="2" t="n">
        <v>-2.43000905</v>
      </c>
    </row>
    <row r="31">
      <c r="A31" t="inlineStr">
        <is>
          <t>1954-Q3</t>
        </is>
      </c>
      <c r="B31" s="3" t="n">
        <v>19998</v>
      </c>
      <c r="AJ31" s="2" t="n">
        <v>-0.769760223</v>
      </c>
    </row>
    <row r="32">
      <c r="A32" t="inlineStr">
        <is>
          <t>1954-Q4</t>
        </is>
      </c>
      <c r="B32" s="3" t="n">
        <v>20090</v>
      </c>
      <c r="AJ32" s="2" t="n">
        <v>2.72709325</v>
      </c>
    </row>
    <row r="33">
      <c r="A33" t="inlineStr">
        <is>
          <t>1955-Q1</t>
        </is>
      </c>
      <c r="B33" s="3" t="n">
        <v>20180</v>
      </c>
      <c r="AJ33" s="2" t="n">
        <v>6.168731987</v>
      </c>
    </row>
    <row r="34">
      <c r="A34" t="inlineStr">
        <is>
          <t>1955-Q2</t>
        </is>
      </c>
      <c r="B34" s="3" t="n">
        <v>20271</v>
      </c>
      <c r="AJ34" s="2" t="n">
        <v>7.778844328</v>
      </c>
    </row>
    <row r="35">
      <c r="A35" t="inlineStr">
        <is>
          <t>1955-Q3</t>
        </is>
      </c>
      <c r="B35" s="3" t="n">
        <v>20363</v>
      </c>
      <c r="AJ35" s="2" t="n">
        <v>8.014501381000001</v>
      </c>
    </row>
    <row r="36">
      <c r="A36" t="inlineStr">
        <is>
          <t>1955-Q4</t>
        </is>
      </c>
      <c r="B36" s="3" t="n">
        <v>20455</v>
      </c>
      <c r="AJ36" s="2" t="n">
        <v>6.577553198</v>
      </c>
    </row>
    <row r="37">
      <c r="A37" t="inlineStr">
        <is>
          <t>1956-Q1</t>
        </is>
      </c>
      <c r="B37" s="3" t="n">
        <v>20546</v>
      </c>
      <c r="O37" s="2" t="n">
        <v>2.748601243</v>
      </c>
      <c r="AJ37" s="2" t="n">
        <v>3.215548532</v>
      </c>
    </row>
    <row r="38">
      <c r="A38" t="inlineStr">
        <is>
          <t>1956-Q2</t>
        </is>
      </c>
      <c r="B38" s="3" t="n">
        <v>20637</v>
      </c>
      <c r="O38" s="2" t="n">
        <v>2.433190154</v>
      </c>
      <c r="AJ38" s="2" t="n">
        <v>2.402145867</v>
      </c>
    </row>
    <row r="39">
      <c r="A39" t="inlineStr">
        <is>
          <t>1956-Q3</t>
        </is>
      </c>
      <c r="B39" s="3" t="n">
        <v>20729</v>
      </c>
      <c r="O39" s="2" t="n">
        <v>0.302528635</v>
      </c>
      <c r="AJ39" s="2" t="n">
        <v>0.94689641</v>
      </c>
    </row>
    <row r="40">
      <c r="A40" t="inlineStr">
        <is>
          <t>1956-Q4</t>
        </is>
      </c>
      <c r="B40" s="3" t="n">
        <v>20821</v>
      </c>
      <c r="O40" s="2" t="n">
        <v>1.301214185</v>
      </c>
      <c r="AJ40" s="2" t="n">
        <v>1.996033576</v>
      </c>
    </row>
    <row r="41">
      <c r="A41" t="inlineStr">
        <is>
          <t>1957-Q1</t>
        </is>
      </c>
      <c r="B41" s="3" t="n">
        <v>20911</v>
      </c>
      <c r="O41" s="2" t="n">
        <v>2.133878983</v>
      </c>
      <c r="AJ41" s="2" t="n">
        <v>3.04932862</v>
      </c>
    </row>
    <row r="42">
      <c r="A42" t="inlineStr">
        <is>
          <t>1957-Q2</t>
        </is>
      </c>
      <c r="B42" s="3" t="n">
        <v>21002</v>
      </c>
      <c r="O42" s="2" t="n">
        <v>2.36702239</v>
      </c>
      <c r="AJ42" s="2" t="n">
        <v>1.98087427</v>
      </c>
    </row>
    <row r="43">
      <c r="A43" t="inlineStr">
        <is>
          <t>1957-Q3</t>
        </is>
      </c>
      <c r="B43" s="3" t="n">
        <v>21094</v>
      </c>
      <c r="O43" s="2" t="n">
        <v>1.839858576</v>
      </c>
      <c r="AJ43" s="2" t="n">
        <v>3.072905884</v>
      </c>
    </row>
    <row r="44">
      <c r="A44" t="inlineStr">
        <is>
          <t>1957-Q4</t>
        </is>
      </c>
      <c r="B44" s="3" t="n">
        <v>21186</v>
      </c>
      <c r="O44" s="2" t="n">
        <v>1.570593289</v>
      </c>
      <c r="AJ44" s="2" t="n">
        <v>0.355134715</v>
      </c>
    </row>
    <row r="45">
      <c r="A45" t="inlineStr">
        <is>
          <t>1958-Q1</t>
        </is>
      </c>
      <c r="B45" s="3" t="n">
        <v>21276</v>
      </c>
      <c r="O45" s="2" t="n">
        <v>1.734401832</v>
      </c>
      <c r="AJ45" s="2" t="n">
        <v>-2.87142829</v>
      </c>
    </row>
    <row r="46">
      <c r="A46" t="inlineStr">
        <is>
          <t>1958-Q2</t>
        </is>
      </c>
      <c r="B46" s="3" t="n">
        <v>21367</v>
      </c>
      <c r="O46" s="2" t="n">
        <v>-0.640213241</v>
      </c>
      <c r="AJ46" s="2" t="n">
        <v>-2.018409485</v>
      </c>
    </row>
    <row r="47">
      <c r="A47" t="inlineStr">
        <is>
          <t>1958-Q3</t>
        </is>
      </c>
      <c r="B47" s="3" t="n">
        <v>21459</v>
      </c>
      <c r="O47" s="2" t="n">
        <v>2.175182842</v>
      </c>
      <c r="AJ47" s="2" t="n">
        <v>-0.7247978859999999</v>
      </c>
    </row>
    <row r="48">
      <c r="A48" t="inlineStr">
        <is>
          <t>1958-Q4</t>
        </is>
      </c>
      <c r="B48" s="3" t="n">
        <v>21551</v>
      </c>
      <c r="O48" s="2" t="n">
        <v>2.10800335</v>
      </c>
      <c r="AJ48" s="2" t="n">
        <v>2.658137335</v>
      </c>
    </row>
    <row r="49">
      <c r="A49" t="inlineStr">
        <is>
          <t>1959-Q1</t>
        </is>
      </c>
      <c r="B49" s="3" t="n">
        <v>21641</v>
      </c>
      <c r="O49" s="2" t="n">
        <v>0.588372411</v>
      </c>
      <c r="AJ49" s="2" t="n">
        <v>7.416649216</v>
      </c>
    </row>
    <row r="50">
      <c r="A50" t="inlineStr">
        <is>
          <t>1959-Q2</t>
        </is>
      </c>
      <c r="B50" s="3" t="n">
        <v>21732</v>
      </c>
      <c r="O50" s="2" t="n">
        <v>4.688940092</v>
      </c>
      <c r="AJ50" s="2" t="n">
        <v>9.12189848</v>
      </c>
    </row>
    <row r="51">
      <c r="A51" t="inlineStr">
        <is>
          <t>1959-Q3</t>
        </is>
      </c>
      <c r="B51" s="3" t="n">
        <v>21824</v>
      </c>
      <c r="O51" s="2" t="n">
        <v>4.631351804</v>
      </c>
      <c r="AJ51" s="2" t="n">
        <v>6.729998745</v>
      </c>
    </row>
    <row r="52">
      <c r="A52" t="inlineStr">
        <is>
          <t>1959-Q4</t>
        </is>
      </c>
      <c r="B52" s="3" t="n">
        <v>21916</v>
      </c>
      <c r="O52" s="2" t="n">
        <v>7.18668822</v>
      </c>
      <c r="AJ52" s="2" t="n">
        <v>4.588663295</v>
      </c>
    </row>
    <row r="53">
      <c r="A53" t="inlineStr">
        <is>
          <t>1960-Q1</t>
        </is>
      </c>
      <c r="B53" s="3" t="n">
        <v>22007</v>
      </c>
      <c r="O53" s="2" t="n">
        <v>9.154327449</v>
      </c>
      <c r="AJ53" s="2" t="n">
        <v>4.925418809</v>
      </c>
    </row>
    <row r="54">
      <c r="A54" t="inlineStr">
        <is>
          <t>1960-Q2</t>
        </is>
      </c>
      <c r="B54" s="3" t="n">
        <v>22098</v>
      </c>
      <c r="O54" s="2" t="n">
        <v>6.551745822</v>
      </c>
      <c r="AJ54" s="2" t="n">
        <v>2.058208212</v>
      </c>
    </row>
    <row r="55">
      <c r="A55" t="inlineStr">
        <is>
          <t>1960-Q3</t>
        </is>
      </c>
      <c r="B55" s="3" t="n">
        <v>22190</v>
      </c>
      <c r="O55" s="2" t="n">
        <v>5.890772534</v>
      </c>
      <c r="AJ55" s="2" t="n">
        <v>2.485388761</v>
      </c>
    </row>
    <row r="56">
      <c r="A56" t="inlineStr">
        <is>
          <t>1960-Q4</t>
        </is>
      </c>
      <c r="B56" s="3" t="n">
        <v>22282</v>
      </c>
      <c r="O56" s="2" t="n">
        <v>3.863382279</v>
      </c>
      <c r="AJ56" s="2" t="n">
        <v>0.882684143</v>
      </c>
    </row>
    <row r="57">
      <c r="A57" t="inlineStr">
        <is>
          <t>1961-Q1</t>
        </is>
      </c>
      <c r="B57" s="3" t="n">
        <v>22372</v>
      </c>
      <c r="C57" s="2" t="n">
        <v>3.099905792</v>
      </c>
      <c r="E57" s="2" t="n">
        <v>4.953327546</v>
      </c>
      <c r="I57" s="2" t="n">
        <v>7.450289556</v>
      </c>
      <c r="J57" s="2" t="n">
        <v>4.915217313</v>
      </c>
      <c r="K57" s="2" t="n">
        <v>10.081656102</v>
      </c>
      <c r="M57" s="2" t="n">
        <v>9.042962538999999</v>
      </c>
      <c r="N57" s="2" t="n">
        <v>3.971438385</v>
      </c>
      <c r="O57" s="2" t="n">
        <v>3.003682311</v>
      </c>
      <c r="P57" s="2" t="n">
        <v>13.732300912</v>
      </c>
      <c r="R57" s="2" t="n">
        <v>5.464306105</v>
      </c>
      <c r="S57" s="2" t="n">
        <v>-1.428355688</v>
      </c>
      <c r="U57" s="2" t="n">
        <v>6.72839745</v>
      </c>
      <c r="V57" s="2" t="n">
        <v>10.879027492</v>
      </c>
      <c r="W57" s="2" t="n">
        <v>7.27803275</v>
      </c>
      <c r="X57" s="2" t="n">
        <v>4.349744991</v>
      </c>
      <c r="Z57" s="2" t="n">
        <v>4.013559701</v>
      </c>
      <c r="AA57" s="2" t="n">
        <v>2.057126582</v>
      </c>
      <c r="AB57" s="2" t="n">
        <v>5.869164351</v>
      </c>
      <c r="AE57" s="2" t="n">
        <v>4.304230975</v>
      </c>
      <c r="AH57" s="2" t="n">
        <v>6.96272897</v>
      </c>
      <c r="AJ57" s="2" t="n">
        <v>-0.669128242</v>
      </c>
      <c r="AN57" s="2" t="n">
        <v>9.435370532</v>
      </c>
      <c r="AP57" s="2" t="n">
        <v>5.283162054</v>
      </c>
    </row>
    <row r="58">
      <c r="A58" t="inlineStr">
        <is>
          <t>1961-Q2</t>
        </is>
      </c>
      <c r="B58" s="3" t="n">
        <v>22463</v>
      </c>
      <c r="C58" s="2" t="n">
        <v>-0.771245634</v>
      </c>
      <c r="E58" s="2" t="n">
        <v>4.886372094</v>
      </c>
      <c r="I58" s="2" t="n">
        <v>5.00209888</v>
      </c>
      <c r="J58" s="2" t="n">
        <v>6.142935511</v>
      </c>
      <c r="K58" s="2" t="n">
        <v>12.654501031</v>
      </c>
      <c r="M58" s="2" t="n">
        <v>7.459675384</v>
      </c>
      <c r="N58" s="2" t="n">
        <v>5.239926785</v>
      </c>
      <c r="O58" s="2" t="n">
        <v>4.221227121</v>
      </c>
      <c r="P58" s="2" t="n">
        <v>13.260075956</v>
      </c>
      <c r="R58" s="2" t="n">
        <v>5.383629892</v>
      </c>
      <c r="S58" s="2" t="n">
        <v>-1.431513525</v>
      </c>
      <c r="U58" s="2" t="n">
        <v>7.409878847</v>
      </c>
      <c r="V58" s="2" t="n">
        <v>13.033911709</v>
      </c>
      <c r="W58" s="2" t="n">
        <v>7.093669513</v>
      </c>
      <c r="X58" s="2" t="n">
        <v>4.297265319</v>
      </c>
      <c r="Z58" s="2" t="n">
        <v>3.968464812</v>
      </c>
      <c r="AA58" s="2" t="n">
        <v>-1.660569264</v>
      </c>
      <c r="AB58" s="2" t="n">
        <v>6.768961388</v>
      </c>
      <c r="AE58" s="2" t="n">
        <v>5.22169497</v>
      </c>
      <c r="AH58" s="2" t="n">
        <v>5.916115027</v>
      </c>
      <c r="AJ58" s="2" t="n">
        <v>1.564454936</v>
      </c>
      <c r="AN58" s="2" t="n">
        <v>8.714370874</v>
      </c>
      <c r="AP58" s="2" t="n">
        <v>3.141132323</v>
      </c>
    </row>
    <row r="59">
      <c r="A59" t="inlineStr">
        <is>
          <t>1961-Q3</t>
        </is>
      </c>
      <c r="B59" s="3" t="n">
        <v>22555</v>
      </c>
      <c r="C59" s="2" t="n">
        <v>-1.703085299</v>
      </c>
      <c r="E59" s="2" t="n">
        <v>4.940566124</v>
      </c>
      <c r="I59" s="2" t="n">
        <v>3.576950295</v>
      </c>
      <c r="J59" s="2" t="n">
        <v>6.98204323</v>
      </c>
      <c r="K59" s="2" t="n">
        <v>11.82722116</v>
      </c>
      <c r="M59" s="2" t="n">
        <v>6.819939345</v>
      </c>
      <c r="N59" s="2" t="n">
        <v>6.121194558</v>
      </c>
      <c r="O59" s="2" t="n">
        <v>2.144559751</v>
      </c>
      <c r="P59" s="2" t="n">
        <v>10.997320481</v>
      </c>
      <c r="R59" s="2" t="n">
        <v>4.987092314</v>
      </c>
      <c r="S59" s="2" t="n">
        <v>-0.105392457</v>
      </c>
      <c r="U59" s="2" t="n">
        <v>8.322359036</v>
      </c>
      <c r="V59" s="2" t="n">
        <v>11.377645181</v>
      </c>
      <c r="W59" s="2" t="n">
        <v>6.320767649</v>
      </c>
      <c r="X59" s="2" t="n">
        <v>3.815935253</v>
      </c>
      <c r="Z59" s="2" t="n">
        <v>3.98271383</v>
      </c>
      <c r="AA59" s="2" t="n">
        <v>0.16790221</v>
      </c>
      <c r="AB59" s="2" t="n">
        <v>6.716543806</v>
      </c>
      <c r="AE59" s="2" t="n">
        <v>5.920135217</v>
      </c>
      <c r="AH59" s="2" t="n">
        <v>5.66656015</v>
      </c>
      <c r="AJ59" s="2" t="n">
        <v>3.009920537</v>
      </c>
      <c r="AN59" s="2" t="n">
        <v>6.172528144</v>
      </c>
      <c r="AP59" s="2" t="n">
        <v>3.537146061</v>
      </c>
    </row>
    <row r="60">
      <c r="A60" t="inlineStr">
        <is>
          <t>1961-Q4</t>
        </is>
      </c>
      <c r="B60" s="3" t="n">
        <v>22647</v>
      </c>
      <c r="C60" s="2" t="n">
        <v>-0.388425784</v>
      </c>
      <c r="E60" s="2" t="n">
        <v>5.112482658</v>
      </c>
      <c r="I60" s="2" t="n">
        <v>2.996160574</v>
      </c>
      <c r="J60" s="2" t="n">
        <v>7.434173455</v>
      </c>
      <c r="K60" s="2" t="n">
        <v>12.713710728</v>
      </c>
      <c r="M60" s="2" t="n">
        <v>7.151842376</v>
      </c>
      <c r="N60" s="2" t="n">
        <v>6.660062972</v>
      </c>
      <c r="O60" s="2" t="n">
        <v>1.361738402</v>
      </c>
      <c r="P60" s="2" t="n">
        <v>6.977179513</v>
      </c>
      <c r="R60" s="2" t="n">
        <v>4.258704214</v>
      </c>
      <c r="S60" s="2" t="n">
        <v>2.655540781</v>
      </c>
      <c r="U60" s="2" t="n">
        <v>10.310053935</v>
      </c>
      <c r="V60" s="2" t="n">
        <v>12.17615334</v>
      </c>
      <c r="W60" s="2" t="n">
        <v>7.061388567</v>
      </c>
      <c r="X60" s="2" t="n">
        <v>2.884953141</v>
      </c>
      <c r="Z60" s="2" t="n">
        <v>4.052759283</v>
      </c>
      <c r="AA60" s="2" t="n">
        <v>0.655567721</v>
      </c>
      <c r="AB60" s="2" t="n">
        <v>5.746506337</v>
      </c>
      <c r="AE60" s="2" t="n">
        <v>6.399767825</v>
      </c>
      <c r="AH60" s="2" t="n">
        <v>4.247552433</v>
      </c>
      <c r="AJ60" s="2" t="n">
        <v>6.395529867</v>
      </c>
      <c r="AN60" s="2" t="n">
        <v>8.203942002</v>
      </c>
      <c r="AP60" s="2" t="n">
        <v>3.457111867</v>
      </c>
    </row>
    <row r="61">
      <c r="A61" t="inlineStr">
        <is>
          <t>1962-Q1</t>
        </is>
      </c>
      <c r="B61" s="3" t="n">
        <v>22737</v>
      </c>
      <c r="C61" s="2" t="n">
        <v>2.100194355</v>
      </c>
      <c r="E61" s="2" t="n">
        <v>5.271922099</v>
      </c>
      <c r="F61" s="2" t="n">
        <v>9.287745472999999</v>
      </c>
      <c r="I61" s="2" t="n">
        <v>3.466854108</v>
      </c>
      <c r="J61" s="2" t="n">
        <v>7.510077096</v>
      </c>
      <c r="K61" s="2" t="n">
        <v>12.173784558</v>
      </c>
      <c r="M61" s="2" t="n">
        <v>4.939204059</v>
      </c>
      <c r="N61" s="2" t="n">
        <v>6.861509915</v>
      </c>
      <c r="O61" s="2" t="n">
        <v>0.169862546</v>
      </c>
      <c r="P61" s="2" t="n">
        <v>3.238725456</v>
      </c>
      <c r="R61" s="2" t="n">
        <v>3.553468987</v>
      </c>
      <c r="S61" s="2" t="n">
        <v>5.413462342</v>
      </c>
      <c r="U61" s="2" t="n">
        <v>8.070639272999999</v>
      </c>
      <c r="V61" s="2" t="n">
        <v>10.328285972</v>
      </c>
      <c r="W61" s="2" t="n">
        <v>5.80716719</v>
      </c>
      <c r="X61" s="2" t="n">
        <v>1.97986256</v>
      </c>
      <c r="Z61" s="2" t="n">
        <v>4.120104991</v>
      </c>
      <c r="AA61" s="2" t="n">
        <v>3.036310113</v>
      </c>
      <c r="AB61" s="2" t="n">
        <v>3.916005825</v>
      </c>
      <c r="AE61" s="2" t="n">
        <v>6.664279093</v>
      </c>
      <c r="AH61" s="2" t="n">
        <v>2.550829447</v>
      </c>
      <c r="AJ61" s="2" t="n">
        <v>7.56727604</v>
      </c>
      <c r="AN61" s="2" t="n">
        <v>5.225774383</v>
      </c>
      <c r="AP61" s="2" t="n">
        <v>5.368853258</v>
      </c>
    </row>
    <row r="62">
      <c r="A62" t="inlineStr">
        <is>
          <t>1962-Q2</t>
        </is>
      </c>
      <c r="B62" s="3" t="n">
        <v>22828</v>
      </c>
      <c r="C62" s="2" t="n">
        <v>5.210441414</v>
      </c>
      <c r="E62" s="2" t="n">
        <v>5.433319809</v>
      </c>
      <c r="F62" s="2" t="n">
        <v>7.376064906</v>
      </c>
      <c r="I62" s="2" t="n">
        <v>5.112241186</v>
      </c>
      <c r="J62" s="2" t="n">
        <v>6.795164891</v>
      </c>
      <c r="K62" s="2" t="n">
        <v>9.902242491999999</v>
      </c>
      <c r="M62" s="2" t="n">
        <v>1.53206513</v>
      </c>
      <c r="N62" s="2" t="n">
        <v>6.877657784</v>
      </c>
      <c r="O62" s="2" t="n">
        <v>0.68731198</v>
      </c>
      <c r="P62" s="2" t="n">
        <v>-0.26087682</v>
      </c>
      <c r="R62" s="2" t="n">
        <v>2.873233101</v>
      </c>
      <c r="S62" s="2" t="n">
        <v>8.169230889</v>
      </c>
      <c r="U62" s="2" t="n">
        <v>6.971203447</v>
      </c>
      <c r="V62" s="2" t="n">
        <v>9.536132545999999</v>
      </c>
      <c r="W62" s="2" t="n">
        <v>-0.465805096</v>
      </c>
      <c r="X62" s="2" t="n">
        <v>1.101465661</v>
      </c>
      <c r="Z62" s="2" t="n">
        <v>4.186414275</v>
      </c>
      <c r="AA62" s="2" t="n">
        <v>6.673710357</v>
      </c>
      <c r="AB62" s="2" t="n">
        <v>2.767736294</v>
      </c>
      <c r="AE62" s="2" t="n">
        <v>6.762632608</v>
      </c>
      <c r="AH62" s="2" t="n">
        <v>3.978822693</v>
      </c>
      <c r="AJ62" s="2" t="n">
        <v>6.727690211</v>
      </c>
      <c r="AN62" s="2" t="n">
        <v>5.017747102</v>
      </c>
      <c r="AP62" s="2" t="n">
        <v>6.509246778</v>
      </c>
    </row>
    <row r="63">
      <c r="A63" t="inlineStr">
        <is>
          <t>1962-Q3</t>
        </is>
      </c>
      <c r="B63" s="3" t="n">
        <v>22920</v>
      </c>
      <c r="C63" s="2" t="n">
        <v>6.825499985</v>
      </c>
      <c r="E63" s="2" t="n">
        <v>5.267356503</v>
      </c>
      <c r="F63" s="2" t="n">
        <v>6.230665173</v>
      </c>
      <c r="I63" s="2" t="n">
        <v>5.465212346</v>
      </c>
      <c r="J63" s="2" t="n">
        <v>5.33173139</v>
      </c>
      <c r="K63" s="2" t="n">
        <v>10.340093868</v>
      </c>
      <c r="M63" s="2" t="n">
        <v>2.985082011</v>
      </c>
      <c r="N63" s="2" t="n">
        <v>6.717294088</v>
      </c>
      <c r="O63" s="2" t="n">
        <v>1.837003308</v>
      </c>
      <c r="P63" s="2" t="n">
        <v>-0.23221839</v>
      </c>
      <c r="R63" s="2" t="n">
        <v>2.867884776</v>
      </c>
      <c r="S63" s="2" t="n">
        <v>9.706723706</v>
      </c>
      <c r="U63" s="2" t="n">
        <v>5.162466069</v>
      </c>
      <c r="V63" s="2" t="n">
        <v>8.786970048000001</v>
      </c>
      <c r="W63" s="2" t="n">
        <v>4.352703034</v>
      </c>
      <c r="X63" s="2" t="n">
        <v>0.913109619</v>
      </c>
      <c r="Z63" s="2" t="n">
        <v>4.593795977</v>
      </c>
      <c r="AA63" s="2" t="n">
        <v>9.902732388</v>
      </c>
      <c r="AB63" s="2" t="n">
        <v>2.254999269</v>
      </c>
      <c r="AE63" s="2" t="n">
        <v>6.702057323</v>
      </c>
      <c r="AH63" s="2" t="n">
        <v>5.066437582</v>
      </c>
      <c r="AJ63" s="2" t="n">
        <v>6.004014529</v>
      </c>
      <c r="AN63" s="2" t="n">
        <v>5.151158218</v>
      </c>
      <c r="AP63" s="2" t="n">
        <v>6.215872443</v>
      </c>
    </row>
    <row r="64">
      <c r="A64" t="inlineStr">
        <is>
          <t>1962-Q4</t>
        </is>
      </c>
      <c r="B64" s="3" t="n">
        <v>23012</v>
      </c>
      <c r="C64" s="2" t="n">
        <v>7.519862133</v>
      </c>
      <c r="E64" s="2" t="n">
        <v>4.764617265</v>
      </c>
      <c r="F64" s="2" t="n">
        <v>6.901830847</v>
      </c>
      <c r="I64" s="2" t="n">
        <v>4.759933392</v>
      </c>
      <c r="J64" s="2" t="n">
        <v>3.161342568</v>
      </c>
      <c r="K64" s="2" t="n">
        <v>7.599938625</v>
      </c>
      <c r="M64" s="2" t="n">
        <v>2.498507002</v>
      </c>
      <c r="N64" s="2" t="n">
        <v>6.248001067</v>
      </c>
      <c r="O64" s="2" t="n">
        <v>1.612133047</v>
      </c>
      <c r="P64" s="2" t="n">
        <v>3.445787925</v>
      </c>
      <c r="R64" s="2" t="n">
        <v>3.566067681</v>
      </c>
      <c r="S64" s="2" t="n">
        <v>9.904189335</v>
      </c>
      <c r="U64" s="2" t="n">
        <v>4.737786642</v>
      </c>
      <c r="V64" s="2" t="n">
        <v>6.188324034</v>
      </c>
      <c r="W64" s="2" t="n">
        <v>5.983428157</v>
      </c>
      <c r="X64" s="2" t="n">
        <v>1.450369515</v>
      </c>
      <c r="Z64" s="2" t="n">
        <v>5.353575853</v>
      </c>
      <c r="AA64" s="2" t="n">
        <v>7.796584828</v>
      </c>
      <c r="AB64" s="2" t="n">
        <v>2.349553513</v>
      </c>
      <c r="AE64" s="2" t="n">
        <v>6.490039608</v>
      </c>
      <c r="AH64" s="2" t="n">
        <v>5.40179456</v>
      </c>
      <c r="AJ64" s="2" t="n">
        <v>4.307098907</v>
      </c>
      <c r="AN64" s="2" t="n">
        <v>3.797238893</v>
      </c>
      <c r="AP64" s="2" t="n">
        <v>6.607290092</v>
      </c>
    </row>
    <row r="65">
      <c r="A65" t="inlineStr">
        <is>
          <t>1963-Q1</t>
        </is>
      </c>
      <c r="B65" s="3" t="n">
        <v>23102</v>
      </c>
      <c r="C65" s="2" t="n">
        <v>7.000596642</v>
      </c>
      <c r="E65" s="2" t="n">
        <v>4.283888405</v>
      </c>
      <c r="F65" s="2" t="n">
        <v>4.774143033</v>
      </c>
      <c r="I65" s="2" t="n">
        <v>-0.372460846</v>
      </c>
      <c r="J65" s="2" t="n">
        <v>0.324581636</v>
      </c>
      <c r="K65" s="2" t="n">
        <v>11.160505427</v>
      </c>
      <c r="M65" s="2" t="n">
        <v>0.191629712</v>
      </c>
      <c r="N65" s="2" t="n">
        <v>2.630486901</v>
      </c>
      <c r="O65" s="2" t="n">
        <v>1.582222348</v>
      </c>
      <c r="P65" s="2" t="n">
        <v>7.141353272</v>
      </c>
      <c r="R65" s="2" t="n">
        <v>4.251482814</v>
      </c>
      <c r="S65" s="2" t="n">
        <v>10.076270981</v>
      </c>
      <c r="U65" s="2" t="n">
        <v>3.895479919</v>
      </c>
      <c r="V65" s="2" t="n">
        <v>6.21378875</v>
      </c>
      <c r="W65" s="2" t="n">
        <v>10.002246294</v>
      </c>
      <c r="X65" s="2" t="n">
        <v>1.993412063</v>
      </c>
      <c r="Z65" s="2" t="n">
        <v>6.096019154</v>
      </c>
      <c r="AA65" s="2" t="n">
        <v>-1.641619373</v>
      </c>
      <c r="AB65" s="2" t="n">
        <v>3.039157364</v>
      </c>
      <c r="AC65" s="2" t="n">
        <v>3.590402164</v>
      </c>
      <c r="AE65" s="2" t="n">
        <v>6.134400396</v>
      </c>
      <c r="AH65" s="2" t="n">
        <v>4.030531129</v>
      </c>
      <c r="AJ65" s="2" t="n">
        <v>3.597866315</v>
      </c>
      <c r="AN65" s="2" t="n">
        <v>2.26880126</v>
      </c>
      <c r="AP65" s="2" t="n">
        <v>5.293912413</v>
      </c>
    </row>
    <row r="66">
      <c r="A66" t="inlineStr">
        <is>
          <t>1963-Q2</t>
        </is>
      </c>
      <c r="B66" s="3" t="n">
        <v>23193</v>
      </c>
      <c r="C66" s="2" t="n">
        <v>3.621259217</v>
      </c>
      <c r="E66" s="2" t="n">
        <v>3.815036736</v>
      </c>
      <c r="F66" s="2" t="n">
        <v>5.529763856</v>
      </c>
      <c r="I66" s="2" t="n">
        <v>3.02141052</v>
      </c>
      <c r="J66" s="2" t="n">
        <v>-0.652222748</v>
      </c>
      <c r="K66" s="2" t="n">
        <v>8.723545653</v>
      </c>
      <c r="M66" s="2" t="n">
        <v>4.833920046</v>
      </c>
      <c r="N66" s="2" t="n">
        <v>5.508740269</v>
      </c>
      <c r="O66" s="2" t="n">
        <v>5.070792852</v>
      </c>
      <c r="P66" s="2" t="n">
        <v>10.834140735</v>
      </c>
      <c r="R66" s="2" t="n">
        <v>4.9215346</v>
      </c>
      <c r="S66" s="2" t="n">
        <v>10.253512905</v>
      </c>
      <c r="U66" s="2" t="n">
        <v>5.606665596</v>
      </c>
      <c r="V66" s="2" t="n">
        <v>7.832549491</v>
      </c>
      <c r="W66" s="2" t="n">
        <v>9.452533859000001</v>
      </c>
      <c r="X66" s="2" t="n">
        <v>2.518654269</v>
      </c>
      <c r="Z66" s="2" t="n">
        <v>6.813210124</v>
      </c>
      <c r="AA66" s="2" t="n">
        <v>4.960431322</v>
      </c>
      <c r="AB66" s="2" t="n">
        <v>3.612349537</v>
      </c>
      <c r="AC66" s="2" t="n">
        <v>4.928375297</v>
      </c>
      <c r="AE66" s="2" t="n">
        <v>5.910975215</v>
      </c>
      <c r="AH66" s="2" t="n">
        <v>6.139303137</v>
      </c>
      <c r="AJ66" s="2" t="n">
        <v>3.822156925</v>
      </c>
      <c r="AN66" s="2" t="n">
        <v>4.978493477</v>
      </c>
      <c r="AP66" s="2" t="n">
        <v>7.39021182</v>
      </c>
    </row>
    <row r="67">
      <c r="A67" t="inlineStr">
        <is>
          <t>1963-Q3</t>
        </is>
      </c>
      <c r="B67" s="3" t="n">
        <v>23285</v>
      </c>
      <c r="C67" s="2" t="n">
        <v>7.008835364</v>
      </c>
      <c r="E67" s="2" t="n">
        <v>4.157357088</v>
      </c>
      <c r="F67" s="2" t="n">
        <v>4.968360624</v>
      </c>
      <c r="I67" s="2" t="n">
        <v>4.102017033</v>
      </c>
      <c r="J67" s="2" t="n">
        <v>0.149079388</v>
      </c>
      <c r="K67" s="2" t="n">
        <v>8.41442898</v>
      </c>
      <c r="M67" s="2" t="n">
        <v>3.900576349</v>
      </c>
      <c r="N67" s="2" t="n">
        <v>7.442326311</v>
      </c>
      <c r="O67" s="2" t="n">
        <v>4.92185808</v>
      </c>
      <c r="P67" s="2" t="n">
        <v>12.013275682</v>
      </c>
      <c r="R67" s="2" t="n">
        <v>5.087018992</v>
      </c>
      <c r="S67" s="2" t="n">
        <v>10.368625258</v>
      </c>
      <c r="U67" s="2" t="n">
        <v>6.6994012</v>
      </c>
      <c r="V67" s="2" t="n">
        <v>9.654809883</v>
      </c>
      <c r="W67" s="2" t="n">
        <v>9.843458492</v>
      </c>
      <c r="X67" s="2" t="n">
        <v>3.68924336</v>
      </c>
      <c r="Z67" s="2" t="n">
        <v>7.815201468</v>
      </c>
      <c r="AA67" s="2" t="n">
        <v>4.202308775</v>
      </c>
      <c r="AB67" s="2" t="n">
        <v>4.067928667</v>
      </c>
      <c r="AC67" s="2" t="n">
        <v>5.804221849</v>
      </c>
      <c r="AE67" s="2" t="n">
        <v>5.81300404</v>
      </c>
      <c r="AH67" s="2" t="n">
        <v>5.52528159</v>
      </c>
      <c r="AJ67" s="2" t="n">
        <v>4.816929346</v>
      </c>
      <c r="AN67" s="2" t="n">
        <v>5.867026136</v>
      </c>
      <c r="AP67" s="2" t="n">
        <v>8.114003821000001</v>
      </c>
    </row>
    <row r="68">
      <c r="A68" t="inlineStr">
        <is>
          <t>1963-Q4</t>
        </is>
      </c>
      <c r="B68" s="3" t="n">
        <v>23377</v>
      </c>
      <c r="C68" s="2" t="n">
        <v>7.374254628</v>
      </c>
      <c r="E68" s="2" t="n">
        <v>5.342046364</v>
      </c>
      <c r="F68" s="2" t="n">
        <v>6.10127534</v>
      </c>
      <c r="I68" s="2" t="n">
        <v>4.832455357</v>
      </c>
      <c r="J68" s="2" t="n">
        <v>2.722433245</v>
      </c>
      <c r="K68" s="2" t="n">
        <v>10.13725403</v>
      </c>
      <c r="M68" s="2" t="n">
        <v>4.245628351</v>
      </c>
      <c r="N68" s="2" t="n">
        <v>6.444313251</v>
      </c>
      <c r="O68" s="2" t="n">
        <v>7.725165354</v>
      </c>
      <c r="P68" s="2" t="n">
        <v>10.52870362</v>
      </c>
      <c r="R68" s="2" t="n">
        <v>4.72397186</v>
      </c>
      <c r="S68" s="2" t="n">
        <v>10.420619074</v>
      </c>
      <c r="U68" s="2" t="n">
        <v>6.201995409</v>
      </c>
      <c r="V68" s="2" t="n">
        <v>11.111185898</v>
      </c>
      <c r="W68" s="2" t="n">
        <v>6.868184657</v>
      </c>
      <c r="X68" s="2" t="n">
        <v>5.527125252</v>
      </c>
      <c r="Z68" s="2" t="n">
        <v>9.093899794</v>
      </c>
      <c r="AA68" s="2" t="n">
        <v>6.761604986</v>
      </c>
      <c r="AB68" s="2" t="n">
        <v>4.405922922</v>
      </c>
      <c r="AC68" s="2" t="n">
        <v>6.424749978</v>
      </c>
      <c r="AE68" s="2" t="n">
        <v>5.834761778</v>
      </c>
      <c r="AH68" s="2" t="n">
        <v>5.580868895</v>
      </c>
      <c r="AJ68" s="2" t="n">
        <v>5.158244565</v>
      </c>
      <c r="AN68" s="2" t="n">
        <v>6.331157297</v>
      </c>
      <c r="AP68" s="2" t="n">
        <v>8.627785524</v>
      </c>
    </row>
    <row r="69">
      <c r="A69" t="inlineStr">
        <is>
          <t>1964-Q1</t>
        </is>
      </c>
      <c r="B69" s="3" t="n">
        <v>23468</v>
      </c>
      <c r="C69" s="2" t="n">
        <v>4.780807732</v>
      </c>
      <c r="E69" s="2" t="n">
        <v>6.49672863</v>
      </c>
      <c r="F69" s="2" t="n">
        <v>8.077131316999999</v>
      </c>
      <c r="I69" s="2" t="n">
        <v>10.127128404</v>
      </c>
      <c r="J69" s="2" t="n">
        <v>7.135440572</v>
      </c>
      <c r="K69" s="2" t="n">
        <v>4.734724994</v>
      </c>
      <c r="M69" s="2" t="n">
        <v>6.557209558</v>
      </c>
      <c r="N69" s="2" t="n">
        <v>10.285371683</v>
      </c>
      <c r="O69" s="2" t="n">
        <v>7.954823253</v>
      </c>
      <c r="P69" s="2" t="n">
        <v>9.13023636</v>
      </c>
      <c r="R69" s="2" t="n">
        <v>4.369742043</v>
      </c>
      <c r="S69" s="2" t="n">
        <v>10.468624289</v>
      </c>
      <c r="U69" s="2" t="n">
        <v>7.065479318</v>
      </c>
      <c r="V69" s="2" t="n">
        <v>13.109119079</v>
      </c>
      <c r="W69" s="2" t="n">
        <v>6.980385039</v>
      </c>
      <c r="X69" s="2" t="n">
        <v>7.316469998</v>
      </c>
      <c r="Z69" s="2" t="n">
        <v>10.312366804</v>
      </c>
      <c r="AA69" s="2" t="n">
        <v>15.430176153</v>
      </c>
      <c r="AB69" s="2" t="n">
        <v>4.62744097</v>
      </c>
      <c r="AC69" s="2" t="n">
        <v>7.961521765</v>
      </c>
      <c r="AE69" s="2" t="n">
        <v>5.971237502</v>
      </c>
      <c r="AH69" s="2" t="n">
        <v>9.319856316999999</v>
      </c>
      <c r="AJ69" s="2" t="n">
        <v>6.215820827</v>
      </c>
      <c r="AN69" s="2" t="n">
        <v>7.436765366</v>
      </c>
      <c r="AP69" s="2" t="n">
        <v>9.217818014000001</v>
      </c>
    </row>
    <row r="70">
      <c r="A70" t="inlineStr">
        <is>
          <t>1964-Q2</t>
        </is>
      </c>
      <c r="B70" s="3" t="n">
        <v>23559</v>
      </c>
      <c r="C70" s="2" t="n">
        <v>8.783847406</v>
      </c>
      <c r="E70" s="2" t="n">
        <v>7.63337205</v>
      </c>
      <c r="F70" s="2" t="n">
        <v>6.912015232</v>
      </c>
      <c r="I70" s="2" t="n">
        <v>6.688292601</v>
      </c>
      <c r="J70" s="2" t="n">
        <v>9.778791911000001</v>
      </c>
      <c r="K70" s="2" t="n">
        <v>6.372595622</v>
      </c>
      <c r="M70" s="2" t="n">
        <v>5.392144903</v>
      </c>
      <c r="N70" s="2" t="n">
        <v>6.583462385</v>
      </c>
      <c r="O70" s="2" t="n">
        <v>5.313831887</v>
      </c>
      <c r="P70" s="2" t="n">
        <v>7.844792124</v>
      </c>
      <c r="R70" s="2" t="n">
        <v>4.035700958</v>
      </c>
      <c r="S70" s="2" t="n">
        <v>10.529599457</v>
      </c>
      <c r="U70" s="2" t="n">
        <v>3.154238769</v>
      </c>
      <c r="V70" s="2" t="n">
        <v>12.525733796</v>
      </c>
      <c r="W70" s="2" t="n">
        <v>6.414695357</v>
      </c>
      <c r="X70" s="2" t="n">
        <v>9.089267595000001</v>
      </c>
      <c r="Z70" s="2" t="n">
        <v>11.502868805</v>
      </c>
      <c r="AA70" s="2" t="n">
        <v>6.873050805</v>
      </c>
      <c r="AB70" s="2" t="n">
        <v>4.867998637</v>
      </c>
      <c r="AC70" s="2" t="n">
        <v>6.760642074</v>
      </c>
      <c r="AE70" s="2" t="n">
        <v>6.264625869</v>
      </c>
      <c r="AH70" s="2" t="n">
        <v>5.864150066</v>
      </c>
      <c r="AJ70" s="2" t="n">
        <v>6.180751263</v>
      </c>
      <c r="AN70" s="2" t="n">
        <v>7.116911</v>
      </c>
      <c r="AP70" s="2" t="n">
        <v>8.330023211</v>
      </c>
    </row>
    <row r="71">
      <c r="A71" t="inlineStr">
        <is>
          <t>1964-Q3</t>
        </is>
      </c>
      <c r="B71" s="3" t="n">
        <v>23651</v>
      </c>
      <c r="C71" s="2" t="n">
        <v>5.142650403</v>
      </c>
      <c r="E71" s="2" t="n">
        <v>7.521538485</v>
      </c>
      <c r="F71" s="2" t="n">
        <v>7.19227375</v>
      </c>
      <c r="I71" s="2" t="n">
        <v>4.182533938</v>
      </c>
      <c r="J71" s="2" t="n">
        <v>10.573961513</v>
      </c>
      <c r="K71" s="2" t="n">
        <v>4.908125724</v>
      </c>
      <c r="M71" s="2" t="n">
        <v>5.976432706</v>
      </c>
      <c r="N71" s="2" t="n">
        <v>4.445012473</v>
      </c>
      <c r="O71" s="2" t="n">
        <v>5.218335087</v>
      </c>
      <c r="P71" s="2" t="n">
        <v>7.624115939</v>
      </c>
      <c r="R71" s="2" t="n">
        <v>3.622910614</v>
      </c>
      <c r="S71" s="2" t="n">
        <v>9.957165419000001</v>
      </c>
      <c r="U71" s="2" t="n">
        <v>1.31708484</v>
      </c>
      <c r="V71" s="2" t="n">
        <v>11.008340696</v>
      </c>
      <c r="W71" s="2" t="n">
        <v>10.031044722</v>
      </c>
      <c r="X71" s="2" t="n">
        <v>8.763759516</v>
      </c>
      <c r="Z71" s="2" t="n">
        <v>11.228235822</v>
      </c>
      <c r="AA71" s="2" t="n">
        <v>6.33756406</v>
      </c>
      <c r="AB71" s="2" t="n">
        <v>5.126538425</v>
      </c>
      <c r="AC71" s="2" t="n">
        <v>5.704869787</v>
      </c>
      <c r="AE71" s="2" t="n">
        <v>6.708180336</v>
      </c>
      <c r="AH71" s="2" t="n">
        <v>6.010911571</v>
      </c>
      <c r="AJ71" s="2" t="n">
        <v>5.519829554</v>
      </c>
      <c r="AN71" s="2" t="n">
        <v>4.209432294</v>
      </c>
      <c r="AP71" s="2" t="n">
        <v>6.536189845</v>
      </c>
    </row>
    <row r="72">
      <c r="A72" t="inlineStr">
        <is>
          <t>1964-Q4</t>
        </is>
      </c>
      <c r="B72" s="3" t="n">
        <v>23743</v>
      </c>
      <c r="C72" s="2" t="n">
        <v>5.864642631</v>
      </c>
      <c r="E72" s="2" t="n">
        <v>6.154568633</v>
      </c>
      <c r="F72" s="2" t="n">
        <v>4.491300125</v>
      </c>
      <c r="I72" s="2" t="n">
        <v>5.091160602</v>
      </c>
      <c r="J72" s="2" t="n">
        <v>9.561803339000001</v>
      </c>
      <c r="K72" s="2" t="n">
        <v>5.229997125</v>
      </c>
      <c r="M72" s="2" t="n">
        <v>3.115370897</v>
      </c>
      <c r="N72" s="2" t="n">
        <v>5.061878877</v>
      </c>
      <c r="O72" s="2" t="n">
        <v>4.456106311</v>
      </c>
      <c r="P72" s="2" t="n">
        <v>8.465315910999999</v>
      </c>
      <c r="R72" s="2" t="n">
        <v>3.139136791</v>
      </c>
      <c r="S72" s="2" t="n">
        <v>8.783337612</v>
      </c>
      <c r="U72" s="2" t="n">
        <v>-0.133944496</v>
      </c>
      <c r="V72" s="2" t="n">
        <v>8.653015152</v>
      </c>
      <c r="W72" s="2" t="n">
        <v>14.347039455</v>
      </c>
      <c r="X72" s="2" t="n">
        <v>6.338888111</v>
      </c>
      <c r="Z72" s="2" t="n">
        <v>9.52607796</v>
      </c>
      <c r="AA72" s="2" t="n">
        <v>5.237841069</v>
      </c>
      <c r="AB72" s="2" t="n">
        <v>5.401899686</v>
      </c>
      <c r="AC72" s="2" t="n">
        <v>5.191267603</v>
      </c>
      <c r="AE72" s="2" t="n">
        <v>7.294715415</v>
      </c>
      <c r="AH72" s="2" t="n">
        <v>6.213720119</v>
      </c>
      <c r="AJ72" s="2" t="n">
        <v>5.156343065</v>
      </c>
      <c r="AN72" s="2" t="n">
        <v>2.458913009</v>
      </c>
      <c r="AP72" s="2" t="n">
        <v>7.752810132</v>
      </c>
    </row>
    <row r="73">
      <c r="A73" t="inlineStr">
        <is>
          <t>1965-Q1</t>
        </is>
      </c>
      <c r="B73" s="3" t="n">
        <v>23833</v>
      </c>
      <c r="C73" s="2" t="n">
        <v>6.924470687</v>
      </c>
      <c r="E73" s="2" t="n">
        <v>4.849101204</v>
      </c>
      <c r="F73" s="2" t="n">
        <v>5.171655499</v>
      </c>
      <c r="I73" s="2" t="n">
        <v>5.361369982</v>
      </c>
      <c r="J73" s="2" t="n">
        <v>6.891405842</v>
      </c>
      <c r="K73" s="2" t="n">
        <v>6.865155889</v>
      </c>
      <c r="M73" s="2" t="n">
        <v>5.114941872</v>
      </c>
      <c r="N73" s="2" t="n">
        <v>3.349449551</v>
      </c>
      <c r="O73" s="2" t="n">
        <v>3.49055383</v>
      </c>
      <c r="P73" s="2" t="n">
        <v>9.278531185</v>
      </c>
      <c r="R73" s="2" t="n">
        <v>2.669783297</v>
      </c>
      <c r="S73" s="2" t="n">
        <v>7.687191149</v>
      </c>
      <c r="U73" s="2" t="n">
        <v>-0.263976118</v>
      </c>
      <c r="V73" s="2" t="n">
        <v>6.150947015</v>
      </c>
      <c r="W73" s="2" t="n">
        <v>9.284199363999999</v>
      </c>
      <c r="X73" s="2" t="n">
        <v>4.041453594</v>
      </c>
      <c r="Z73" s="2" t="n">
        <v>7.932758191</v>
      </c>
      <c r="AA73" s="2" t="n">
        <v>6.847701078</v>
      </c>
      <c r="AB73" s="2" t="n">
        <v>5.69306091</v>
      </c>
      <c r="AC73" s="2" t="n">
        <v>4.981878743</v>
      </c>
      <c r="AE73" s="2" t="n">
        <v>8.017283403</v>
      </c>
      <c r="AH73" s="2" t="n">
        <v>5.688605036</v>
      </c>
      <c r="AJ73" s="2" t="n">
        <v>5.477141601</v>
      </c>
      <c r="AN73" s="2" t="n">
        <v>4.875062358</v>
      </c>
      <c r="AP73" s="2" t="n">
        <v>7.806654938</v>
      </c>
    </row>
    <row r="74">
      <c r="A74" t="inlineStr">
        <is>
          <t>1965-Q2</t>
        </is>
      </c>
      <c r="B74" s="3" t="n">
        <v>23924</v>
      </c>
      <c r="C74" s="2" t="n">
        <v>5.984840054</v>
      </c>
      <c r="E74" s="2" t="n">
        <v>3.595216056</v>
      </c>
      <c r="F74" s="2" t="n">
        <v>5.78933802</v>
      </c>
      <c r="I74" s="2" t="n">
        <v>5.732236512</v>
      </c>
      <c r="J74" s="2" t="n">
        <v>4.942764076</v>
      </c>
      <c r="K74" s="2" t="n">
        <v>5.581073249</v>
      </c>
      <c r="M74" s="2" t="n">
        <v>5.652137295</v>
      </c>
      <c r="N74" s="2" t="n">
        <v>4.914832602</v>
      </c>
      <c r="O74" s="2" t="n">
        <v>1.682327304</v>
      </c>
      <c r="P74" s="2" t="n">
        <v>10.040406075</v>
      </c>
      <c r="R74" s="2" t="n">
        <v>2.206333118</v>
      </c>
      <c r="S74" s="2" t="n">
        <v>6.628062325</v>
      </c>
      <c r="U74" s="2" t="n">
        <v>2.764439154</v>
      </c>
      <c r="V74" s="2" t="n">
        <v>4.944822401</v>
      </c>
      <c r="W74" s="2" t="n">
        <v>12.773367981</v>
      </c>
      <c r="X74" s="2" t="n">
        <v>1.859362449</v>
      </c>
      <c r="Z74" s="2" t="n">
        <v>6.422489448</v>
      </c>
      <c r="AA74" s="2" t="n">
        <v>4.849417011</v>
      </c>
      <c r="AB74" s="2" t="n">
        <v>5.642409731</v>
      </c>
      <c r="AC74" s="2" t="n">
        <v>4.916397608</v>
      </c>
      <c r="AE74" s="2" t="n">
        <v>8.078711632999999</v>
      </c>
      <c r="AH74" s="2" t="n">
        <v>4.341760016</v>
      </c>
      <c r="AJ74" s="2" t="n">
        <v>5.659284259</v>
      </c>
      <c r="AN74" s="2" t="n">
        <v>1.425322778</v>
      </c>
      <c r="AP74" s="2" t="n">
        <v>6.914559422</v>
      </c>
    </row>
    <row r="75">
      <c r="A75" t="inlineStr">
        <is>
          <t>1965-Q3</t>
        </is>
      </c>
      <c r="B75" s="3" t="n">
        <v>24016</v>
      </c>
      <c r="C75" s="2" t="n">
        <v>5.025070049</v>
      </c>
      <c r="E75" s="2" t="n">
        <v>2.973808658</v>
      </c>
      <c r="F75" s="2" t="n">
        <v>6.124114964</v>
      </c>
      <c r="I75" s="2" t="n">
        <v>5.341682654</v>
      </c>
      <c r="J75" s="2" t="n">
        <v>3.628825783</v>
      </c>
      <c r="K75" s="2" t="n">
        <v>5.860600134</v>
      </c>
      <c r="M75" s="2" t="n">
        <v>5.254751366</v>
      </c>
      <c r="N75" s="2" t="n">
        <v>5.141568422</v>
      </c>
      <c r="O75" s="2" t="n">
        <v>2.117466887</v>
      </c>
      <c r="P75" s="2" t="n">
        <v>9.782116979</v>
      </c>
      <c r="R75" s="2" t="n">
        <v>1.708039123</v>
      </c>
      <c r="S75" s="2" t="n">
        <v>6.760279622</v>
      </c>
      <c r="U75" s="2" t="n">
        <v>4.309504193</v>
      </c>
      <c r="V75" s="2" t="n">
        <v>5.690597963</v>
      </c>
      <c r="W75" s="2" t="n">
        <v>4.75250966</v>
      </c>
      <c r="X75" s="2" t="n">
        <v>0.8624123299999999</v>
      </c>
      <c r="Z75" s="2" t="n">
        <v>5.770324987</v>
      </c>
      <c r="AA75" s="2" t="n">
        <v>3.831122158</v>
      </c>
      <c r="AB75" s="2" t="n">
        <v>5.263032089</v>
      </c>
      <c r="AC75" s="2" t="n">
        <v>5.287596203</v>
      </c>
      <c r="AE75" s="2" t="n">
        <v>7.510968374</v>
      </c>
      <c r="AH75" s="2" t="n">
        <v>2.194775346</v>
      </c>
      <c r="AJ75" s="2" t="n">
        <v>6.346898404</v>
      </c>
      <c r="AN75" s="2" t="n">
        <v>3.062773481</v>
      </c>
      <c r="AP75" s="2" t="n">
        <v>5.584936856</v>
      </c>
    </row>
    <row r="76">
      <c r="A76" t="inlineStr">
        <is>
          <t>1965-Q4</t>
        </is>
      </c>
      <c r="B76" s="3" t="n">
        <v>24108</v>
      </c>
      <c r="C76" s="2" t="n">
        <v>2.369571971</v>
      </c>
      <c r="E76" s="2" t="n">
        <v>2.971697898</v>
      </c>
      <c r="F76" s="2" t="n">
        <v>8.150395017999999</v>
      </c>
      <c r="I76" s="2" t="n">
        <v>4.549872774</v>
      </c>
      <c r="J76" s="2" t="n">
        <v>2.891405765</v>
      </c>
      <c r="K76" s="2" t="n">
        <v>6.705244</v>
      </c>
      <c r="M76" s="2" t="n">
        <v>5.190231232</v>
      </c>
      <c r="N76" s="2" t="n">
        <v>5.650559413</v>
      </c>
      <c r="O76" s="2" t="n">
        <v>1.198646147</v>
      </c>
      <c r="P76" s="2" t="n">
        <v>8.50208958</v>
      </c>
      <c r="R76" s="2" t="n">
        <v>1.162031714</v>
      </c>
      <c r="S76" s="2" t="n">
        <v>8.073848152</v>
      </c>
      <c r="U76" s="2" t="n">
        <v>6.32153055</v>
      </c>
      <c r="V76" s="2" t="n">
        <v>6.007142001</v>
      </c>
      <c r="W76" s="2" t="n">
        <v>3.053442617</v>
      </c>
      <c r="X76" s="2" t="n">
        <v>1.025725976</v>
      </c>
      <c r="Z76" s="2" t="n">
        <v>5.941480444</v>
      </c>
      <c r="AA76" s="2" t="n">
        <v>5.499010714</v>
      </c>
      <c r="AB76" s="2" t="n">
        <v>4.568888378</v>
      </c>
      <c r="AC76" s="2" t="n">
        <v>6.218274143</v>
      </c>
      <c r="AE76" s="2" t="n">
        <v>6.351470263</v>
      </c>
      <c r="AH76" s="2" t="n">
        <v>3.124282877</v>
      </c>
      <c r="AJ76" s="2" t="n">
        <v>8.462164874000001</v>
      </c>
      <c r="AN76" s="2" t="n">
        <v>3.425711145</v>
      </c>
      <c r="AP76" s="2" t="n">
        <v>4.291390843</v>
      </c>
    </row>
    <row r="77">
      <c r="A77" t="inlineStr">
        <is>
          <t>1966-Q1</t>
        </is>
      </c>
      <c r="B77" s="3" t="n">
        <v>24198</v>
      </c>
      <c r="C77" s="2" t="n">
        <v>1.225292696</v>
      </c>
      <c r="E77" s="2" t="n">
        <v>2.971085097</v>
      </c>
      <c r="F77" s="2" t="n">
        <v>6.856869393</v>
      </c>
      <c r="I77" s="2" t="n">
        <v>4.73437015</v>
      </c>
      <c r="J77" s="2" t="n">
        <v>2.695153835</v>
      </c>
      <c r="K77" s="2" t="n">
        <v>3.770686911</v>
      </c>
      <c r="M77" s="2" t="n">
        <v>0.972282941</v>
      </c>
      <c r="N77" s="2" t="n">
        <v>6.367614078</v>
      </c>
      <c r="O77" s="2" t="n">
        <v>1.660467006</v>
      </c>
      <c r="P77" s="2" t="n">
        <v>7.28346504</v>
      </c>
      <c r="R77" s="2" t="n">
        <v>0.632172378</v>
      </c>
      <c r="S77" s="2" t="n">
        <v>9.318345364000001</v>
      </c>
      <c r="U77" s="2" t="n">
        <v>5.919711635</v>
      </c>
      <c r="V77" s="2" t="n">
        <v>7.966393835</v>
      </c>
      <c r="W77" s="2" t="n">
        <v>7.988937946</v>
      </c>
      <c r="X77" s="2" t="n">
        <v>1.18992336</v>
      </c>
      <c r="Z77" s="2" t="n">
        <v>6.103648188</v>
      </c>
      <c r="AA77" s="2" t="n">
        <v>-0.25207127</v>
      </c>
      <c r="AB77" s="2" t="n">
        <v>3.574913868</v>
      </c>
      <c r="AC77" s="2" t="n">
        <v>6.258313997</v>
      </c>
      <c r="AE77" s="2" t="n">
        <v>4.641394703</v>
      </c>
      <c r="AH77" s="2" t="n">
        <v>2.530094971</v>
      </c>
      <c r="AJ77" s="2" t="n">
        <v>8.477495838999999</v>
      </c>
      <c r="AN77" s="2" t="n">
        <v>-0.441617997</v>
      </c>
      <c r="AP77" s="2" t="n">
        <v>3.759659917</v>
      </c>
    </row>
    <row r="78">
      <c r="A78" t="inlineStr">
        <is>
          <t>1966-Q2</t>
        </is>
      </c>
      <c r="B78" s="3" t="n">
        <v>24289</v>
      </c>
      <c r="C78" s="2" t="n">
        <v>1.027872735</v>
      </c>
      <c r="E78" s="2" t="n">
        <v>2.969128434</v>
      </c>
      <c r="F78" s="2" t="n">
        <v>8.086723845</v>
      </c>
      <c r="I78" s="2" t="n">
        <v>3.424303762</v>
      </c>
      <c r="J78" s="2" t="n">
        <v>2.636285131</v>
      </c>
      <c r="K78" s="2" t="n">
        <v>8.669457866</v>
      </c>
      <c r="M78" s="2" t="n">
        <v>1.645746945</v>
      </c>
      <c r="N78" s="2" t="n">
        <v>5.355111501</v>
      </c>
      <c r="O78" s="2" t="n">
        <v>2.208698586</v>
      </c>
      <c r="P78" s="2" t="n">
        <v>6.143178555</v>
      </c>
      <c r="R78" s="2" t="n">
        <v>0.105383703</v>
      </c>
      <c r="S78" s="2" t="n">
        <v>10.536657195</v>
      </c>
      <c r="U78" s="2" t="n">
        <v>5.328250977</v>
      </c>
      <c r="V78" s="2" t="n">
        <v>10.806859365</v>
      </c>
      <c r="W78" s="2" t="n">
        <v>14.418906359</v>
      </c>
      <c r="X78" s="2" t="n">
        <v>1.349464532</v>
      </c>
      <c r="Z78" s="2" t="n">
        <v>6.263107691</v>
      </c>
      <c r="AA78" s="2" t="n">
        <v>3.75271861</v>
      </c>
      <c r="AB78" s="2" t="n">
        <v>3.272870889</v>
      </c>
      <c r="AC78" s="2" t="n">
        <v>6.36241805</v>
      </c>
      <c r="AE78" s="2" t="n">
        <v>3.757119338</v>
      </c>
      <c r="AH78" s="2" t="n">
        <v>2.612348835</v>
      </c>
      <c r="AJ78" s="2" t="n">
        <v>7.490136087</v>
      </c>
      <c r="AN78" s="2" t="n">
        <v>4.539785187</v>
      </c>
      <c r="AP78" s="2" t="n">
        <v>3.883849891</v>
      </c>
    </row>
    <row r="79">
      <c r="A79" t="inlineStr">
        <is>
          <t>1966-Q3</t>
        </is>
      </c>
      <c r="B79" s="3" t="n">
        <v>24381</v>
      </c>
      <c r="C79" s="2" t="n">
        <v>4.186705047</v>
      </c>
      <c r="E79" s="2" t="n">
        <v>3.103288341</v>
      </c>
      <c r="F79" s="2" t="n">
        <v>6.608989432</v>
      </c>
      <c r="I79" s="2" t="n">
        <v>2.866220447</v>
      </c>
      <c r="J79" s="2" t="n">
        <v>2.711722355</v>
      </c>
      <c r="K79" s="2" t="n">
        <v>9.708258212</v>
      </c>
      <c r="M79" s="2" t="n">
        <v>1.49622237</v>
      </c>
      <c r="N79" s="2" t="n">
        <v>5.038777761</v>
      </c>
      <c r="O79" s="2" t="n">
        <v>1.690577263</v>
      </c>
      <c r="P79" s="2" t="n">
        <v>5.543635989</v>
      </c>
      <c r="R79" s="2" t="n">
        <v>0.61202429</v>
      </c>
      <c r="S79" s="2" t="n">
        <v>9.377732145</v>
      </c>
      <c r="U79" s="2" t="n">
        <v>6.880078292</v>
      </c>
      <c r="V79" s="2" t="n">
        <v>10.986148697</v>
      </c>
      <c r="W79" s="2" t="n">
        <v>13.337432054</v>
      </c>
      <c r="X79" s="2" t="n">
        <v>1.190680844</v>
      </c>
      <c r="Z79" s="2" t="n">
        <v>6.239657409</v>
      </c>
      <c r="AA79" s="2" t="n">
        <v>4.937033036</v>
      </c>
      <c r="AB79" s="2" t="n">
        <v>3.63544014</v>
      </c>
      <c r="AC79" s="2" t="n">
        <v>5.783653381</v>
      </c>
      <c r="AE79" s="2" t="n">
        <v>3.646398429</v>
      </c>
      <c r="AH79" s="2" t="n">
        <v>0.088233065</v>
      </c>
      <c r="AJ79" s="2" t="n">
        <v>6.042874845</v>
      </c>
      <c r="AN79" s="2" t="n">
        <v>2.14424718</v>
      </c>
      <c r="AP79" s="2" t="n">
        <v>5.748257538</v>
      </c>
    </row>
    <row r="80">
      <c r="A80" t="inlineStr">
        <is>
          <t>1966-Q4</t>
        </is>
      </c>
      <c r="B80" s="3" t="n">
        <v>24473</v>
      </c>
      <c r="C80" s="2" t="n">
        <v>4.614271207</v>
      </c>
      <c r="E80" s="2" t="n">
        <v>3.379550398</v>
      </c>
      <c r="F80" s="2" t="n">
        <v>5.322708959</v>
      </c>
      <c r="I80" s="2" t="n">
        <v>0.657536009</v>
      </c>
      <c r="J80" s="2" t="n">
        <v>2.91883797</v>
      </c>
      <c r="K80" s="2" t="n">
        <v>6.812414143</v>
      </c>
      <c r="M80" s="2" t="n">
        <v>5.352346667</v>
      </c>
      <c r="N80" s="2" t="n">
        <v>4.162074119</v>
      </c>
      <c r="O80" s="2" t="n">
        <v>0.647966789</v>
      </c>
      <c r="P80" s="2" t="n">
        <v>5.485716</v>
      </c>
      <c r="R80" s="2" t="n">
        <v>2.221086894</v>
      </c>
      <c r="S80" s="2" t="n">
        <v>5.851204164</v>
      </c>
      <c r="U80" s="2" t="n">
        <v>5.802716803</v>
      </c>
      <c r="V80" s="2" t="n">
        <v>11.471788614</v>
      </c>
      <c r="W80" s="2" t="n">
        <v>12.228569249</v>
      </c>
      <c r="X80" s="2" t="n">
        <v>0.694544523</v>
      </c>
      <c r="Z80" s="2" t="n">
        <v>6.028594206</v>
      </c>
      <c r="AA80" s="2" t="n">
        <v>2.540834896</v>
      </c>
      <c r="AB80" s="2" t="n">
        <v>4.645598806</v>
      </c>
      <c r="AC80" s="2" t="n">
        <v>4.66759938</v>
      </c>
      <c r="AE80" s="2" t="n">
        <v>4.277713759</v>
      </c>
      <c r="AH80" s="2" t="n">
        <v>3.10840747</v>
      </c>
      <c r="AJ80" s="2" t="n">
        <v>4.505020174</v>
      </c>
      <c r="AN80" s="2" t="n">
        <v>3.59051313</v>
      </c>
      <c r="AP80" s="2" t="n">
        <v>4.360363048</v>
      </c>
    </row>
    <row r="81">
      <c r="A81" t="inlineStr">
        <is>
          <t>1967-Q1</t>
        </is>
      </c>
      <c r="B81" s="3" t="n">
        <v>24563</v>
      </c>
      <c r="C81" s="2" t="n">
        <v>9.011729999</v>
      </c>
      <c r="E81" s="2" t="n">
        <v>3.648900655</v>
      </c>
      <c r="F81" s="2" t="n">
        <v>3.117191326</v>
      </c>
      <c r="I81" s="2" t="n">
        <v>-1.629790537</v>
      </c>
      <c r="J81" s="2" t="n">
        <v>3.255343506</v>
      </c>
      <c r="K81" s="2" t="n">
        <v>7.840548426</v>
      </c>
      <c r="M81" s="2" t="n">
        <v>4.942012725</v>
      </c>
      <c r="N81" s="2" t="n">
        <v>4.999723198</v>
      </c>
      <c r="O81" s="2" t="n">
        <v>1.84058889</v>
      </c>
      <c r="P81" s="2" t="n">
        <v>5.436672468</v>
      </c>
      <c r="R81" s="2" t="n">
        <v>3.822701683</v>
      </c>
      <c r="S81" s="2" t="n">
        <v>2.528131274</v>
      </c>
      <c r="U81" s="2" t="n">
        <v>6.879902345</v>
      </c>
      <c r="V81" s="2" t="n">
        <v>11.443301697</v>
      </c>
      <c r="W81" s="2" t="n">
        <v>9.310976925</v>
      </c>
      <c r="X81" s="2" t="n">
        <v>0.209683213</v>
      </c>
      <c r="Z81" s="2" t="n">
        <v>5.827578402</v>
      </c>
      <c r="AA81" s="2" t="n">
        <v>6.847092673</v>
      </c>
      <c r="AB81" s="2" t="n">
        <v>6.295465769</v>
      </c>
      <c r="AC81" s="2" t="n">
        <v>4.093488426</v>
      </c>
      <c r="AE81" s="2" t="n">
        <v>5.637748215</v>
      </c>
      <c r="AH81" s="2" t="n">
        <v>2.780279262</v>
      </c>
      <c r="AJ81" s="2" t="n">
        <v>2.925036251</v>
      </c>
      <c r="AN81" s="2" t="n">
        <v>7.949770593</v>
      </c>
      <c r="AP81" s="2" t="n">
        <v>6.656582495</v>
      </c>
    </row>
    <row r="82">
      <c r="A82" t="inlineStr">
        <is>
          <t>1967-Q2</t>
        </is>
      </c>
      <c r="B82" s="3" t="n">
        <v>24654</v>
      </c>
      <c r="C82" s="2" t="n">
        <v>7.387518477</v>
      </c>
      <c r="E82" s="2" t="n">
        <v>3.912870448</v>
      </c>
      <c r="F82" s="2" t="n">
        <v>3.101253371</v>
      </c>
      <c r="I82" s="2" t="n">
        <v>-2.237879279</v>
      </c>
      <c r="J82" s="2" t="n">
        <v>3.454916878</v>
      </c>
      <c r="K82" s="2" t="n">
        <v>3.773644417</v>
      </c>
      <c r="M82" s="2" t="n">
        <v>3.677660328</v>
      </c>
      <c r="N82" s="2" t="n">
        <v>4.567421441</v>
      </c>
      <c r="O82" s="2" t="n">
        <v>2.66896518</v>
      </c>
      <c r="P82" s="2" t="n">
        <v>5.382741926</v>
      </c>
      <c r="R82" s="2" t="n">
        <v>5.408445112</v>
      </c>
      <c r="S82" s="2" t="n">
        <v>-0.593416448</v>
      </c>
      <c r="U82" s="2" t="n">
        <v>7.6455601</v>
      </c>
      <c r="V82" s="2" t="n">
        <v>10.132281283</v>
      </c>
      <c r="W82" s="2" t="n">
        <v>5.084573662</v>
      </c>
      <c r="X82" s="2" t="n">
        <v>-0.271576295</v>
      </c>
      <c r="Z82" s="2" t="n">
        <v>5.632259403</v>
      </c>
      <c r="AA82" s="2" t="n">
        <v>4.844838143</v>
      </c>
      <c r="AB82" s="2" t="n">
        <v>6.930096169</v>
      </c>
      <c r="AC82" s="2" t="n">
        <v>3.567815682</v>
      </c>
      <c r="AE82" s="2" t="n">
        <v>6.942624099</v>
      </c>
      <c r="AH82" s="2" t="n">
        <v>3.810406434</v>
      </c>
      <c r="AJ82" s="2" t="n">
        <v>2.637515281</v>
      </c>
      <c r="AN82" s="2" t="n">
        <v>1.676302283</v>
      </c>
      <c r="AP82" s="2" t="n">
        <v>5.676076147</v>
      </c>
    </row>
    <row r="83">
      <c r="A83" t="inlineStr">
        <is>
          <t>1967-Q3</t>
        </is>
      </c>
      <c r="B83" s="3" t="n">
        <v>24746</v>
      </c>
      <c r="C83" s="2" t="n">
        <v>6.399442941</v>
      </c>
      <c r="E83" s="2" t="n">
        <v>4.002077606</v>
      </c>
      <c r="F83" s="2" t="n">
        <v>3.494948211</v>
      </c>
      <c r="I83" s="2" t="n">
        <v>0</v>
      </c>
      <c r="J83" s="2" t="n">
        <v>3.519794933</v>
      </c>
      <c r="K83" s="2" t="n">
        <v>3.500479377</v>
      </c>
      <c r="M83" s="2" t="n">
        <v>1.95673609</v>
      </c>
      <c r="N83" s="2" t="n">
        <v>4.376943527</v>
      </c>
      <c r="O83" s="2" t="n">
        <v>2.798413095</v>
      </c>
      <c r="P83" s="2" t="n">
        <v>5.452097117</v>
      </c>
      <c r="R83" s="2" t="n">
        <v>6.582321072</v>
      </c>
      <c r="S83" s="2" t="n">
        <v>-2.783749775</v>
      </c>
      <c r="U83" s="2" t="n">
        <v>6.30141378</v>
      </c>
      <c r="V83" s="2" t="n">
        <v>11.24638467</v>
      </c>
      <c r="W83" s="2" t="n">
        <v>11.359761663</v>
      </c>
      <c r="X83" s="2" t="n">
        <v>-0.036789086</v>
      </c>
      <c r="Z83" s="2" t="n">
        <v>5.833420987</v>
      </c>
      <c r="AA83" s="2" t="n">
        <v>4.445109756</v>
      </c>
      <c r="AB83" s="2" t="n">
        <v>6.569831344</v>
      </c>
      <c r="AC83" s="2" t="n">
        <v>3.87163041</v>
      </c>
      <c r="AE83" s="2" t="n">
        <v>8.180645555</v>
      </c>
      <c r="AH83" s="2" t="n">
        <v>4.836197755</v>
      </c>
      <c r="AJ83" s="2" t="n">
        <v>2.738492797</v>
      </c>
      <c r="AN83" s="2" t="n">
        <v>1.772205274</v>
      </c>
      <c r="AP83" s="2" t="n">
        <v>9.378365174000001</v>
      </c>
    </row>
    <row r="84">
      <c r="A84" t="inlineStr">
        <is>
          <t>1967-Q4</t>
        </is>
      </c>
      <c r="B84" s="3" t="n">
        <v>24838</v>
      </c>
      <c r="C84" s="2" t="n">
        <v>6.624489523</v>
      </c>
      <c r="E84" s="2" t="n">
        <v>3.907736492</v>
      </c>
      <c r="F84" s="2" t="n">
        <v>2.65787795</v>
      </c>
      <c r="I84" s="2" t="n">
        <v>2.892640581</v>
      </c>
      <c r="J84" s="2" t="n">
        <v>3.452805233</v>
      </c>
      <c r="K84" s="2" t="n">
        <v>2.478592655</v>
      </c>
      <c r="M84" s="2" t="n">
        <v>-1.68227821</v>
      </c>
      <c r="N84" s="2" t="n">
        <v>4.822061724</v>
      </c>
      <c r="O84" s="2" t="n">
        <v>3.745272511</v>
      </c>
      <c r="P84" s="2" t="n">
        <v>5.648204716</v>
      </c>
      <c r="R84" s="2" t="n">
        <v>7.289443583</v>
      </c>
      <c r="S84" s="2" t="n">
        <v>-4.098472803</v>
      </c>
      <c r="U84" s="2" t="n">
        <v>7.884903596</v>
      </c>
      <c r="V84" s="2" t="n">
        <v>11.175461277</v>
      </c>
      <c r="W84" s="2" t="n">
        <v>10.62251453</v>
      </c>
      <c r="X84" s="2" t="n">
        <v>0.963930523</v>
      </c>
      <c r="Z84" s="2" t="n">
        <v>6.441395722</v>
      </c>
      <c r="AA84" s="2" t="n">
        <v>5.052885411</v>
      </c>
      <c r="AB84" s="2" t="n">
        <v>5.258175608</v>
      </c>
      <c r="AC84" s="2" t="n">
        <v>4.29231607</v>
      </c>
      <c r="AE84" s="2" t="n">
        <v>9.34170357</v>
      </c>
      <c r="AH84" s="2" t="n">
        <v>2.106844941</v>
      </c>
      <c r="AJ84" s="2" t="n">
        <v>2.670839761</v>
      </c>
      <c r="AN84" s="2" t="n">
        <v>1.130889688</v>
      </c>
      <c r="AP84" s="2" t="n">
        <v>7.040123665</v>
      </c>
    </row>
    <row r="85">
      <c r="A85" t="inlineStr">
        <is>
          <t>1968-Q1</t>
        </is>
      </c>
      <c r="B85" s="3" t="n">
        <v>24929</v>
      </c>
      <c r="C85" s="2" t="n">
        <v>1.70532646</v>
      </c>
      <c r="E85" s="2" t="n">
        <v>3.818340183</v>
      </c>
      <c r="F85" s="2" t="n">
        <v>3.737145571</v>
      </c>
      <c r="I85" s="2" t="n">
        <v>4.617508884</v>
      </c>
      <c r="J85" s="2" t="n">
        <v>3.257472627</v>
      </c>
      <c r="K85" s="2" t="n">
        <v>4.377876104</v>
      </c>
      <c r="M85" s="2" t="n">
        <v>0.6244873440000001</v>
      </c>
      <c r="N85" s="2" t="n">
        <v>6.054590299</v>
      </c>
      <c r="O85" s="2" t="n">
        <v>6.121832806</v>
      </c>
      <c r="P85" s="2" t="n">
        <v>5.843291796</v>
      </c>
      <c r="R85" s="2" t="n">
        <v>7.960987056</v>
      </c>
      <c r="S85" s="2" t="n">
        <v>-5.394211259</v>
      </c>
      <c r="U85" s="2" t="n">
        <v>6.031792487</v>
      </c>
      <c r="V85" s="2" t="n">
        <v>10.889312772</v>
      </c>
      <c r="W85" s="2" t="n">
        <v>13.825729552</v>
      </c>
      <c r="X85" s="2" t="n">
        <v>1.968540785</v>
      </c>
      <c r="Z85" s="2" t="n">
        <v>7.029301289</v>
      </c>
      <c r="AA85" s="2" t="n">
        <v>7.065278845</v>
      </c>
      <c r="AB85" s="2" t="n">
        <v>3.058504699</v>
      </c>
      <c r="AC85" s="2" t="n">
        <v>5.097903369</v>
      </c>
      <c r="AE85" s="2" t="n">
        <v>10.41790887</v>
      </c>
      <c r="AH85" s="2" t="n">
        <v>-0.6664072559999999</v>
      </c>
      <c r="AJ85" s="2" t="n">
        <v>3.845214871</v>
      </c>
      <c r="AN85" s="2" t="n">
        <v>-0.065956367</v>
      </c>
      <c r="AP85" s="2" t="n">
        <v>4.980981285</v>
      </c>
    </row>
    <row r="86">
      <c r="A86" t="inlineStr">
        <is>
          <t>1968-Q2</t>
        </is>
      </c>
      <c r="B86" s="3" t="n">
        <v>25020</v>
      </c>
      <c r="C86" s="2" t="n">
        <v>5.769499618</v>
      </c>
      <c r="E86" s="2" t="n">
        <v>3.734144206</v>
      </c>
      <c r="F86" s="2" t="n">
        <v>4.360391734</v>
      </c>
      <c r="I86" s="2" t="n">
        <v>5.761267217</v>
      </c>
      <c r="J86" s="2" t="n">
        <v>3.468764591</v>
      </c>
      <c r="K86" s="2" t="n">
        <v>6.267991786</v>
      </c>
      <c r="M86" s="2" t="n">
        <v>1.417281106</v>
      </c>
      <c r="N86" s="2" t="n">
        <v>-3.046591848</v>
      </c>
      <c r="O86" s="2" t="n">
        <v>4.206013695</v>
      </c>
      <c r="P86" s="2" t="n">
        <v>6.034791185</v>
      </c>
      <c r="R86" s="2" t="n">
        <v>8.628158072</v>
      </c>
      <c r="S86" s="2" t="n">
        <v>-6.725705081</v>
      </c>
      <c r="U86" s="2" t="n">
        <v>5.973454093</v>
      </c>
      <c r="V86" s="2" t="n">
        <v>11.668719373</v>
      </c>
      <c r="W86" s="2" t="n">
        <v>13.138739029</v>
      </c>
      <c r="X86" s="2" t="n">
        <v>2.96303208</v>
      </c>
      <c r="Z86" s="2" t="n">
        <v>7.606982994</v>
      </c>
      <c r="AA86" s="2" t="n">
        <v>6.098563158</v>
      </c>
      <c r="AB86" s="2" t="n">
        <v>1.889273238</v>
      </c>
      <c r="AC86" s="2" t="n">
        <v>5.505771548</v>
      </c>
      <c r="AE86" s="2" t="n">
        <v>10.206450527</v>
      </c>
      <c r="AH86" s="2" t="n">
        <v>4.441642659</v>
      </c>
      <c r="AJ86" s="2" t="n">
        <v>5.51558151</v>
      </c>
      <c r="AN86" s="2" t="n">
        <v>1.480760364</v>
      </c>
      <c r="AP86" s="2" t="n">
        <v>5.279118669</v>
      </c>
    </row>
    <row r="87">
      <c r="A87" t="inlineStr">
        <is>
          <t>1968-Q3</t>
        </is>
      </c>
      <c r="B87" s="3" t="n">
        <v>25112</v>
      </c>
      <c r="C87" s="2" t="n">
        <v>5.190158016</v>
      </c>
      <c r="E87" s="2" t="n">
        <v>4.122067658</v>
      </c>
      <c r="F87" s="2" t="n">
        <v>5.4106085</v>
      </c>
      <c r="I87" s="2" t="n">
        <v>5.534700242</v>
      </c>
      <c r="J87" s="2" t="n">
        <v>4.076454082</v>
      </c>
      <c r="K87" s="2" t="n">
        <v>5.318367219</v>
      </c>
      <c r="M87" s="2" t="n">
        <v>2.316299546</v>
      </c>
      <c r="N87" s="2" t="n">
        <v>6.957438518</v>
      </c>
      <c r="O87" s="2" t="n">
        <v>5.799567241</v>
      </c>
      <c r="P87" s="2" t="n">
        <v>6.746827129</v>
      </c>
      <c r="R87" s="2" t="n">
        <v>8.577224612</v>
      </c>
      <c r="S87" s="2" t="n">
        <v>-6.172334619</v>
      </c>
      <c r="U87" s="2" t="n">
        <v>6.874522889</v>
      </c>
      <c r="V87" s="2" t="n">
        <v>10.369641908</v>
      </c>
      <c r="W87" s="2" t="n">
        <v>14.21700907</v>
      </c>
      <c r="X87" s="2" t="n">
        <v>4.67629448</v>
      </c>
      <c r="Z87" s="2" t="n">
        <v>7.54069153</v>
      </c>
      <c r="AA87" s="2" t="n">
        <v>4.986113557</v>
      </c>
      <c r="AB87" s="2" t="n">
        <v>1.685966386</v>
      </c>
      <c r="AC87" s="2" t="n">
        <v>6.212276337</v>
      </c>
      <c r="AE87" s="2" t="n">
        <v>8.788009085000001</v>
      </c>
      <c r="AH87" s="2" t="n">
        <v>6.908329117</v>
      </c>
      <c r="AJ87" s="2" t="n">
        <v>5.336668233</v>
      </c>
      <c r="AN87" s="2" t="n">
        <v>5.510627267</v>
      </c>
      <c r="AP87" s="2" t="n">
        <v>1.320678553</v>
      </c>
    </row>
    <row r="88">
      <c r="A88" t="inlineStr">
        <is>
          <t>1968-Q4</t>
        </is>
      </c>
      <c r="B88" s="3" t="n">
        <v>25204</v>
      </c>
      <c r="C88" s="2" t="n">
        <v>8.172961207</v>
      </c>
      <c r="E88" s="2" t="n">
        <v>4.995953916</v>
      </c>
      <c r="F88" s="2" t="n">
        <v>6.435475599</v>
      </c>
      <c r="I88" s="2" t="n">
        <v>5.767579384</v>
      </c>
      <c r="J88" s="2" t="n">
        <v>5.071583791</v>
      </c>
      <c r="K88" s="2" t="n">
        <v>10.381103957</v>
      </c>
      <c r="M88" s="2" t="n">
        <v>4.872273641</v>
      </c>
      <c r="N88" s="2" t="n">
        <v>7.01025557</v>
      </c>
      <c r="O88" s="2" t="n">
        <v>5.682904097</v>
      </c>
      <c r="P88" s="2" t="n">
        <v>7.982468312</v>
      </c>
      <c r="R88" s="2" t="n">
        <v>7.817075521</v>
      </c>
      <c r="S88" s="2" t="n">
        <v>-3.556261768</v>
      </c>
      <c r="U88" s="2" t="n">
        <v>7.257052077</v>
      </c>
      <c r="V88" s="2" t="n">
        <v>14.445485764</v>
      </c>
      <c r="W88" s="2" t="n">
        <v>11.531282406</v>
      </c>
      <c r="X88" s="2" t="n">
        <v>7.09424257</v>
      </c>
      <c r="Z88" s="2" t="n">
        <v>6.834903722</v>
      </c>
      <c r="AA88" s="2" t="n">
        <v>7.516450622</v>
      </c>
      <c r="AB88" s="2" t="n">
        <v>2.416678176</v>
      </c>
      <c r="AC88" s="2" t="n">
        <v>6.766229872</v>
      </c>
      <c r="AE88" s="2" t="n">
        <v>6.257647541</v>
      </c>
      <c r="AH88" s="2" t="n">
        <v>3.906173779</v>
      </c>
      <c r="AJ88" s="2" t="n">
        <v>4.95956536</v>
      </c>
      <c r="AN88" s="2" t="n">
        <v>7.524885244</v>
      </c>
      <c r="AP88" s="2" t="n">
        <v>5.145436461</v>
      </c>
    </row>
    <row r="89">
      <c r="A89" t="inlineStr">
        <is>
          <t>1969-Q1</t>
        </is>
      </c>
      <c r="B89" s="3" t="n">
        <v>25294</v>
      </c>
      <c r="C89" s="2" t="n">
        <v>8.388942856</v>
      </c>
      <c r="E89" s="2" t="n">
        <v>5.851068068</v>
      </c>
      <c r="F89" s="2" t="n">
        <v>6.941110413</v>
      </c>
      <c r="I89" s="2" t="n">
        <v>7.174887892</v>
      </c>
      <c r="J89" s="2" t="n">
        <v>6.446420688</v>
      </c>
      <c r="K89" s="2" t="n">
        <v>11.909356618</v>
      </c>
      <c r="M89" s="2" t="n">
        <v>8.892996454</v>
      </c>
      <c r="N89" s="2" t="n">
        <v>4.175764548</v>
      </c>
      <c r="O89" s="2" t="n">
        <v>1.709892911</v>
      </c>
      <c r="P89" s="2" t="n">
        <v>9.173695217000001</v>
      </c>
      <c r="R89" s="2" t="n">
        <v>7.092007268</v>
      </c>
      <c r="S89" s="2" t="n">
        <v>-0.850472472</v>
      </c>
      <c r="U89" s="2" t="n">
        <v>8.672652972</v>
      </c>
      <c r="V89" s="2" t="n">
        <v>12.761530267</v>
      </c>
      <c r="W89" s="2" t="n">
        <v>10.218171576</v>
      </c>
      <c r="X89" s="2" t="n">
        <v>9.437634371</v>
      </c>
      <c r="Z89" s="2" t="n">
        <v>6.164891315</v>
      </c>
      <c r="AA89" s="2" t="n">
        <v>4.456164096</v>
      </c>
      <c r="AB89" s="2" t="n">
        <v>4.07878292</v>
      </c>
      <c r="AC89" s="2" t="n">
        <v>6.162462726</v>
      </c>
      <c r="AE89" s="2" t="n">
        <v>2.689879993</v>
      </c>
      <c r="AH89" s="2" t="n">
        <v>5.22821098</v>
      </c>
      <c r="AJ89" s="2" t="n">
        <v>4.471598105</v>
      </c>
      <c r="AN89" s="2" t="n">
        <v>3.310148754</v>
      </c>
      <c r="AP89" s="2" t="n">
        <v>4.190433764</v>
      </c>
    </row>
    <row r="90">
      <c r="A90" t="inlineStr">
        <is>
          <t>1969-Q2</t>
        </is>
      </c>
      <c r="B90" s="3" t="n">
        <v>25385</v>
      </c>
      <c r="C90" s="2" t="n">
        <v>6.438985705</v>
      </c>
      <c r="E90" s="2" t="n">
        <v>6.67499965</v>
      </c>
      <c r="F90" s="2" t="n">
        <v>4.624843343</v>
      </c>
      <c r="I90" s="2" t="n">
        <v>7.71280633</v>
      </c>
      <c r="J90" s="2" t="n">
        <v>6.936691676</v>
      </c>
      <c r="K90" s="2" t="n">
        <v>8.247020152999999</v>
      </c>
      <c r="M90" s="2" t="n">
        <v>8.162703614</v>
      </c>
      <c r="N90" s="2" t="n">
        <v>15.486192588</v>
      </c>
      <c r="O90" s="2" t="n">
        <v>2.918623653</v>
      </c>
      <c r="P90" s="2" t="n">
        <v>10.310386762</v>
      </c>
      <c r="R90" s="2" t="n">
        <v>6.393462502</v>
      </c>
      <c r="S90" s="2" t="n">
        <v>1.940155508</v>
      </c>
      <c r="U90" s="2" t="n">
        <v>8.365126942</v>
      </c>
      <c r="V90" s="2" t="n">
        <v>12.216026566</v>
      </c>
      <c r="W90" s="2" t="n">
        <v>12.369490488</v>
      </c>
      <c r="X90" s="2" t="n">
        <v>11.731351725</v>
      </c>
      <c r="Z90" s="2" t="n">
        <v>5.510473781</v>
      </c>
      <c r="AA90" s="2" t="n">
        <v>5.974732605</v>
      </c>
      <c r="AB90" s="2" t="n">
        <v>4.912590552</v>
      </c>
      <c r="AC90" s="2" t="n">
        <v>6.185686444</v>
      </c>
      <c r="AE90" s="2" t="n">
        <v>0.549384166</v>
      </c>
      <c r="AH90" s="2" t="n">
        <v>2.382584362</v>
      </c>
      <c r="AJ90" s="2" t="n">
        <v>3.067141538</v>
      </c>
      <c r="AN90" s="2" t="n">
        <v>6.356659597</v>
      </c>
      <c r="AP90" s="2" t="n">
        <v>3.643046824</v>
      </c>
    </row>
    <row r="91">
      <c r="A91" t="inlineStr">
        <is>
          <t>1969-Q3</t>
        </is>
      </c>
      <c r="B91" s="3" t="n">
        <v>25477</v>
      </c>
      <c r="C91" s="2" t="n">
        <v>6.789491641</v>
      </c>
      <c r="E91" s="2" t="n">
        <v>7.033819708</v>
      </c>
      <c r="F91" s="2" t="n">
        <v>4.321373881</v>
      </c>
      <c r="I91" s="2" t="n">
        <v>7.663339108</v>
      </c>
      <c r="J91" s="2" t="n">
        <v>6.565325656</v>
      </c>
      <c r="K91" s="2" t="n">
        <v>9.384354079</v>
      </c>
      <c r="M91" s="2" t="n">
        <v>10.853669782</v>
      </c>
      <c r="N91" s="2" t="n">
        <v>4.673238494</v>
      </c>
      <c r="O91" s="2" t="n">
        <v>1.485420355</v>
      </c>
      <c r="P91" s="2" t="n">
        <v>10.466986037</v>
      </c>
      <c r="R91" s="2" t="n">
        <v>5.539777563</v>
      </c>
      <c r="S91" s="2" t="n">
        <v>3.819850419</v>
      </c>
      <c r="U91" s="2" t="n">
        <v>6.073814681</v>
      </c>
      <c r="V91" s="2" t="n">
        <v>12.360262526</v>
      </c>
      <c r="W91" s="2" t="n">
        <v>15.500480646</v>
      </c>
      <c r="X91" s="2" t="n">
        <v>11.139335249</v>
      </c>
      <c r="Z91" s="2" t="n">
        <v>5.479421526</v>
      </c>
      <c r="AA91" s="2" t="n">
        <v>7.796379743</v>
      </c>
      <c r="AB91" s="2" t="n">
        <v>4.917631611</v>
      </c>
      <c r="AC91" s="2" t="n">
        <v>5.466084162</v>
      </c>
      <c r="AE91" s="2" t="n">
        <v>1.413080435</v>
      </c>
      <c r="AH91" s="2" t="n">
        <v>5.545896747</v>
      </c>
      <c r="AJ91" s="2" t="n">
        <v>2.950097041</v>
      </c>
      <c r="AN91" s="2" t="n">
        <v>7.802289589</v>
      </c>
      <c r="AP91" s="2" t="n">
        <v>7.218940101</v>
      </c>
    </row>
    <row r="92">
      <c r="A92" t="inlineStr">
        <is>
          <t>1969-Q4</t>
        </is>
      </c>
      <c r="B92" s="3" t="n">
        <v>25569</v>
      </c>
      <c r="C92" s="2" t="n">
        <v>5.323646354</v>
      </c>
      <c r="E92" s="2" t="n">
        <v>6.911449231</v>
      </c>
      <c r="F92" s="2" t="n">
        <v>4.373345887</v>
      </c>
      <c r="I92" s="2" t="n">
        <v>7.692303547</v>
      </c>
      <c r="J92" s="2" t="n">
        <v>5.371658006</v>
      </c>
      <c r="K92" s="2" t="n">
        <v>6.300111424</v>
      </c>
      <c r="M92" s="2" t="n">
        <v>10.432124647</v>
      </c>
      <c r="N92" s="2" t="n">
        <v>4.430436575</v>
      </c>
      <c r="O92" s="2" t="n">
        <v>1.575128377</v>
      </c>
      <c r="P92" s="2" t="n">
        <v>9.637789725999999</v>
      </c>
      <c r="R92" s="2" t="n">
        <v>4.50596377</v>
      </c>
      <c r="S92" s="2" t="n">
        <v>4.654050018</v>
      </c>
      <c r="U92" s="2" t="n">
        <v>1.552414557</v>
      </c>
      <c r="V92" s="2" t="n">
        <v>10.452610449</v>
      </c>
      <c r="W92" s="2" t="n">
        <v>19.868867814</v>
      </c>
      <c r="X92" s="2" t="n">
        <v>7.677501243</v>
      </c>
      <c r="Z92" s="2" t="n">
        <v>6.069005197</v>
      </c>
      <c r="AA92" s="2" t="n">
        <v>7.439867661</v>
      </c>
      <c r="AB92" s="2" t="n">
        <v>4.113432797</v>
      </c>
      <c r="AC92" s="2" t="n">
        <v>4.568529041</v>
      </c>
      <c r="AE92" s="2" t="n">
        <v>3.82646095</v>
      </c>
      <c r="AH92" s="2" t="n">
        <v>6.883655394</v>
      </c>
      <c r="AJ92" s="2" t="n">
        <v>2.046645083</v>
      </c>
      <c r="AN92" s="2" t="n">
        <v>5.007674597</v>
      </c>
      <c r="AP92" s="2" t="n">
        <v>3.809053319</v>
      </c>
    </row>
    <row r="93">
      <c r="A93" t="inlineStr">
        <is>
          <t>1970-Q1</t>
        </is>
      </c>
      <c r="B93" s="3" t="n">
        <v>25659</v>
      </c>
      <c r="C93" s="2" t="n">
        <v>8.261814073</v>
      </c>
      <c r="E93" s="2" t="n">
        <v>6.780990349</v>
      </c>
      <c r="F93" s="2" t="n">
        <v>3.691399175</v>
      </c>
      <c r="I93" s="2" t="n">
        <v>3.372586353</v>
      </c>
      <c r="J93" s="2" t="n">
        <v>3.409019702</v>
      </c>
      <c r="K93" s="2" t="n">
        <v>4.577155814</v>
      </c>
      <c r="M93" s="2" t="n">
        <v>6.198175872</v>
      </c>
      <c r="N93" s="2" t="n">
        <v>6.231298358</v>
      </c>
      <c r="O93" s="2" t="n">
        <v>1.163655894</v>
      </c>
      <c r="P93" s="2" t="n">
        <v>7.899130229</v>
      </c>
      <c r="R93" s="2" t="n">
        <v>4.737700024</v>
      </c>
      <c r="S93" s="2" t="n">
        <v>0.957151579</v>
      </c>
      <c r="U93" s="2" t="n">
        <v>5.982116267</v>
      </c>
      <c r="V93" s="2" t="n">
        <v>12.844536368</v>
      </c>
      <c r="W93" s="2" t="n">
        <v>12.10800823</v>
      </c>
      <c r="X93" s="2" t="n">
        <v>5.064038509</v>
      </c>
      <c r="Z93" s="2" t="n">
        <v>6.629729216</v>
      </c>
      <c r="AA93" s="2" t="n">
        <v>5.451396488</v>
      </c>
      <c r="AB93" s="2" t="n">
        <v>2.538372103</v>
      </c>
      <c r="AC93" s="2" t="n">
        <v>4.081350233</v>
      </c>
      <c r="AE93" s="2" t="n">
        <v>7.491879766</v>
      </c>
      <c r="AH93" s="2" t="n">
        <v>8.781951851000001</v>
      </c>
      <c r="AJ93" s="2" t="n">
        <v>0.324934603</v>
      </c>
      <c r="AN93" s="2" t="n">
        <v>9.730185706</v>
      </c>
      <c r="AP93" s="2" t="n">
        <v>5.286849847</v>
      </c>
    </row>
    <row r="94">
      <c r="A94" t="inlineStr">
        <is>
          <t>1970-Q2</t>
        </is>
      </c>
      <c r="B94" s="3" t="n">
        <v>25750</v>
      </c>
      <c r="C94" s="2" t="n">
        <v>8.293293341</v>
      </c>
      <c r="E94" s="2" t="n">
        <v>6.668750619</v>
      </c>
      <c r="F94" s="2" t="n">
        <v>3.178680395</v>
      </c>
      <c r="I94" s="2" t="n">
        <v>6.120867916</v>
      </c>
      <c r="J94" s="2" t="n">
        <v>2.096540576</v>
      </c>
      <c r="K94" s="2" t="n">
        <v>5.098377176</v>
      </c>
      <c r="M94" s="2" t="n">
        <v>8.848863767999999</v>
      </c>
      <c r="N94" s="2" t="n">
        <v>4.996378068</v>
      </c>
      <c r="O94" s="2" t="n">
        <v>2.760351317</v>
      </c>
      <c r="P94" s="2" t="n">
        <v>9.125804564999999</v>
      </c>
      <c r="R94" s="2" t="n">
        <v>2.635779581</v>
      </c>
      <c r="S94" s="2" t="n">
        <v>6.290574409</v>
      </c>
      <c r="U94" s="2" t="n">
        <v>4.862220846</v>
      </c>
      <c r="V94" s="2" t="n">
        <v>10.98153819</v>
      </c>
      <c r="W94" s="2" t="n">
        <v>12.724290157</v>
      </c>
      <c r="X94" s="2" t="n">
        <v>1.533094794</v>
      </c>
      <c r="Z94" s="2" t="n">
        <v>7.181340692</v>
      </c>
      <c r="AA94" s="2" t="n">
        <v>6.659421098</v>
      </c>
      <c r="AB94" s="2" t="n">
        <v>1.70924371</v>
      </c>
      <c r="AC94" s="2" t="n">
        <v>4.102435897</v>
      </c>
      <c r="AE94" s="2" t="n">
        <v>10.913052805</v>
      </c>
      <c r="AH94" s="2" t="n">
        <v>6.79729883</v>
      </c>
      <c r="AJ94" s="2" t="n">
        <v>0.162835451</v>
      </c>
      <c r="AN94" s="2" t="n">
        <v>7.258085805</v>
      </c>
      <c r="AP94" s="2" t="n">
        <v>7.525998533</v>
      </c>
    </row>
    <row r="95">
      <c r="A95" t="inlineStr">
        <is>
          <t>1970-Q3</t>
        </is>
      </c>
      <c r="B95" s="3" t="n">
        <v>25842</v>
      </c>
      <c r="C95" s="2" t="n">
        <v>6.30896448</v>
      </c>
      <c r="E95" s="2" t="n">
        <v>6.148273164</v>
      </c>
      <c r="F95" s="2" t="n">
        <v>3.136628399</v>
      </c>
      <c r="I95" s="2" t="n">
        <v>5.82953727</v>
      </c>
      <c r="J95" s="2" t="n">
        <v>1.387056399</v>
      </c>
      <c r="K95" s="2" t="n">
        <v>3.701023587</v>
      </c>
      <c r="M95" s="2" t="n">
        <v>7.891059781</v>
      </c>
      <c r="N95" s="2" t="n">
        <v>5.44556343</v>
      </c>
      <c r="O95" s="2" t="n">
        <v>3.210596348</v>
      </c>
      <c r="P95" s="2" t="n">
        <v>8.759931791</v>
      </c>
      <c r="R95" s="2" t="n">
        <v>1.645343858</v>
      </c>
      <c r="S95" s="2" t="n">
        <v>10.047954045</v>
      </c>
      <c r="U95" s="2" t="n">
        <v>6.710902356</v>
      </c>
      <c r="V95" s="2" t="n">
        <v>11.290849578</v>
      </c>
      <c r="W95" s="2" t="n">
        <v>4.960290713</v>
      </c>
      <c r="X95" s="2" t="n">
        <v>-0.008191354</v>
      </c>
      <c r="Z95" s="2" t="n">
        <v>6.853289384</v>
      </c>
      <c r="AA95" s="2" t="n">
        <v>5.829976517</v>
      </c>
      <c r="AB95" s="2" t="n">
        <v>1.59044565</v>
      </c>
      <c r="AC95" s="2" t="n">
        <v>4.154241445</v>
      </c>
      <c r="AE95" s="2" t="n">
        <v>9.496946693</v>
      </c>
      <c r="AH95" s="2" t="n">
        <v>5.853065562</v>
      </c>
      <c r="AJ95" s="2" t="n">
        <v>0.422581476</v>
      </c>
      <c r="AN95" s="2" t="n">
        <v>4.414113024</v>
      </c>
      <c r="AP95" s="2" t="n">
        <v>1.642860733</v>
      </c>
    </row>
    <row r="96">
      <c r="A96" t="inlineStr">
        <is>
          <t>1970-Q4</t>
        </is>
      </c>
      <c r="B96" s="3" t="n">
        <v>25934</v>
      </c>
      <c r="C96" s="2" t="n">
        <v>4.411602616</v>
      </c>
      <c r="E96" s="2" t="n">
        <v>5.213218572</v>
      </c>
      <c r="F96" s="2" t="n">
        <v>1.86252244</v>
      </c>
      <c r="I96" s="2" t="n">
        <v>5.111265622</v>
      </c>
      <c r="J96" s="2" t="n">
        <v>1.252016091</v>
      </c>
      <c r="K96" s="2" t="n">
        <v>3.362136729</v>
      </c>
      <c r="M96" s="2" t="n">
        <v>7.386272909</v>
      </c>
      <c r="N96" s="2" t="n">
        <v>6.261521475</v>
      </c>
      <c r="O96" s="2" t="n">
        <v>3.617390731</v>
      </c>
      <c r="P96" s="2" t="n">
        <v>6.093205954</v>
      </c>
      <c r="R96" s="2" t="n">
        <v>1.678856697</v>
      </c>
      <c r="S96" s="2" t="n">
        <v>12.314070416</v>
      </c>
      <c r="U96" s="2" t="n">
        <v>9.034176950000001</v>
      </c>
      <c r="V96" s="2" t="n">
        <v>6.765415354</v>
      </c>
      <c r="W96" s="2" t="n">
        <v>10.81840433</v>
      </c>
      <c r="X96" s="2" t="n">
        <v>0.365600335</v>
      </c>
      <c r="Z96" s="2" t="n">
        <v>5.628723942</v>
      </c>
      <c r="AA96" s="2" t="n">
        <v>4.877153525</v>
      </c>
      <c r="AB96" s="2" t="n">
        <v>2.163655875</v>
      </c>
      <c r="AC96" s="2" t="n">
        <v>3.50318059</v>
      </c>
      <c r="AE96" s="2" t="n">
        <v>8.573941264</v>
      </c>
      <c r="AH96" s="2" t="n">
        <v>5.583959611</v>
      </c>
      <c r="AJ96" s="2" t="n">
        <v>-0.166703591</v>
      </c>
      <c r="AN96" s="2" t="n">
        <v>5.071641148</v>
      </c>
      <c r="AP96" s="2" t="n">
        <v>6.658863094</v>
      </c>
    </row>
    <row r="97">
      <c r="A97" t="inlineStr">
        <is>
          <t>1971-Q1</t>
        </is>
      </c>
      <c r="B97" s="3" t="n">
        <v>26024</v>
      </c>
      <c r="C97" s="2" t="n">
        <v>3.522774308</v>
      </c>
      <c r="E97" s="2" t="n">
        <v>4.319317325</v>
      </c>
      <c r="F97" s="2" t="n">
        <v>0.62791108</v>
      </c>
      <c r="I97" s="2" t="n">
        <v>4.763644266</v>
      </c>
      <c r="J97" s="2" t="n">
        <v>1.679226286</v>
      </c>
      <c r="K97" s="2" t="n">
        <v>2.257438171</v>
      </c>
      <c r="M97" s="2" t="n">
        <v>1.510871282</v>
      </c>
      <c r="N97" s="2" t="n">
        <v>4.403152179</v>
      </c>
      <c r="O97" s="2" t="n">
        <v>3.764924486</v>
      </c>
      <c r="P97" s="2" t="n">
        <v>7.803711654</v>
      </c>
      <c r="R97" s="2" t="n">
        <v>0.967777613</v>
      </c>
      <c r="S97" s="2" t="n">
        <v>18.749203011</v>
      </c>
      <c r="U97" s="2" t="n">
        <v>2.327837554</v>
      </c>
      <c r="V97" s="2" t="n">
        <v>4.534988705</v>
      </c>
      <c r="W97" s="2" t="n">
        <v>13.360842095</v>
      </c>
      <c r="X97" s="2" t="n">
        <v>0.524477482</v>
      </c>
      <c r="Z97" s="2" t="n">
        <v>4.462871718</v>
      </c>
      <c r="AA97" s="2" t="n">
        <v>6.985689414</v>
      </c>
      <c r="AB97" s="2" t="n">
        <v>3.426122144</v>
      </c>
      <c r="AC97" s="2" t="n">
        <v>3.566632334</v>
      </c>
      <c r="AE97" s="2" t="n">
        <v>5.47193606</v>
      </c>
      <c r="AG97" s="2" t="n">
        <v>1.330244122</v>
      </c>
      <c r="AH97" s="2" t="n">
        <v>3.05815547</v>
      </c>
      <c r="AJ97" s="2" t="n">
        <v>2.697236849</v>
      </c>
      <c r="AN97" s="2" t="n">
        <v>4.16347731</v>
      </c>
      <c r="AP97" s="2" t="n">
        <v>5.957883758</v>
      </c>
    </row>
    <row r="98">
      <c r="A98" t="inlineStr">
        <is>
          <t>1971-Q2</t>
        </is>
      </c>
      <c r="B98" s="3" t="n">
        <v>26115</v>
      </c>
      <c r="C98" s="2" t="n">
        <v>1.92027803</v>
      </c>
      <c r="E98" s="2" t="n">
        <v>3.45634763</v>
      </c>
      <c r="F98" s="2" t="n">
        <v>3.550955667</v>
      </c>
      <c r="I98" s="2" t="n">
        <v>2.872243992</v>
      </c>
      <c r="J98" s="2" t="n">
        <v>2.244777508</v>
      </c>
      <c r="K98" s="2" t="n">
        <v>4.086707919</v>
      </c>
      <c r="M98" s="2" t="n">
        <v>4.093867534</v>
      </c>
      <c r="N98" s="2" t="n">
        <v>4.980469914</v>
      </c>
      <c r="O98" s="2" t="n">
        <v>3.184327963</v>
      </c>
      <c r="P98" s="2" t="n">
        <v>6.375619088</v>
      </c>
      <c r="R98" s="2" t="n">
        <v>2.880248039</v>
      </c>
      <c r="S98" s="2" t="n">
        <v>14.396529955</v>
      </c>
      <c r="U98" s="2" t="n">
        <v>2.014957053</v>
      </c>
      <c r="V98" s="2" t="n">
        <v>4.948614972</v>
      </c>
      <c r="W98" s="2" t="n">
        <v>12.528585154</v>
      </c>
      <c r="X98" s="2" t="n">
        <v>2.064750722</v>
      </c>
      <c r="Z98" s="2" t="n">
        <v>3.341550471</v>
      </c>
      <c r="AA98" s="2" t="n">
        <v>5.037089548</v>
      </c>
      <c r="AB98" s="2" t="n">
        <v>4.39247574</v>
      </c>
      <c r="AC98" s="2" t="n">
        <v>3.587512521</v>
      </c>
      <c r="AE98" s="2" t="n">
        <v>6.46671997</v>
      </c>
      <c r="AG98" s="2" t="n">
        <v>2.265357473</v>
      </c>
      <c r="AH98" s="2" t="n">
        <v>1.06801577</v>
      </c>
      <c r="AJ98" s="2" t="n">
        <v>3.106613002</v>
      </c>
      <c r="AN98" s="2" t="n">
        <v>4.579348355</v>
      </c>
      <c r="AP98" s="2" t="n">
        <v>2.992432488</v>
      </c>
    </row>
    <row r="99">
      <c r="A99" t="inlineStr">
        <is>
          <t>1971-Q3</t>
        </is>
      </c>
      <c r="B99" s="3" t="n">
        <v>26207</v>
      </c>
      <c r="C99" s="2" t="n">
        <v>5.341453498</v>
      </c>
      <c r="E99" s="2" t="n">
        <v>3.317883862</v>
      </c>
      <c r="F99" s="2" t="n">
        <v>5.342377002</v>
      </c>
      <c r="I99" s="2" t="n">
        <v>2.733086207</v>
      </c>
      <c r="J99" s="2" t="n">
        <v>2.94575616</v>
      </c>
      <c r="K99" s="2" t="n">
        <v>5.462798808</v>
      </c>
      <c r="M99" s="2" t="n">
        <v>2.158805829</v>
      </c>
      <c r="N99" s="2" t="n">
        <v>5.242837937</v>
      </c>
      <c r="O99" s="2" t="n">
        <v>3.990178352</v>
      </c>
      <c r="P99" s="2" t="n">
        <v>9.266260319000001</v>
      </c>
      <c r="R99" s="2" t="n">
        <v>4.437009478</v>
      </c>
      <c r="S99" s="2" t="n">
        <v>11.137927823</v>
      </c>
      <c r="U99" s="2" t="n">
        <v>1.473349145</v>
      </c>
      <c r="V99" s="2" t="n">
        <v>3.453962834</v>
      </c>
      <c r="W99" s="2" t="n">
        <v>12.052848479</v>
      </c>
      <c r="X99" s="2" t="n">
        <v>3.445930649</v>
      </c>
      <c r="Z99" s="2" t="n">
        <v>3.596275919</v>
      </c>
      <c r="AA99" s="2" t="n">
        <v>4.151754574</v>
      </c>
      <c r="AB99" s="2" t="n">
        <v>5.057073903</v>
      </c>
      <c r="AC99" s="2" t="n">
        <v>3.568754584</v>
      </c>
      <c r="AE99" s="2" t="n">
        <v>6.397823273</v>
      </c>
      <c r="AG99" s="2" t="n">
        <v>3.393016156</v>
      </c>
      <c r="AH99" s="2" t="n">
        <v>-0.005447593</v>
      </c>
      <c r="AJ99" s="2" t="n">
        <v>3.005894811</v>
      </c>
      <c r="AN99" s="2" t="n">
        <v>3.775545549</v>
      </c>
      <c r="AP99" s="2" t="n">
        <v>5.55263699</v>
      </c>
    </row>
    <row r="100">
      <c r="A100" t="inlineStr">
        <is>
          <t>1971-Q4</t>
        </is>
      </c>
      <c r="B100" s="3" t="n">
        <v>26299</v>
      </c>
      <c r="C100" s="2" t="n">
        <v>4.501429514</v>
      </c>
      <c r="E100" s="2" t="n">
        <v>3.929017504</v>
      </c>
      <c r="F100" s="2" t="n">
        <v>6.317615271</v>
      </c>
      <c r="I100" s="2" t="n">
        <v>1.783876414</v>
      </c>
      <c r="J100" s="2" t="n">
        <v>3.778477462</v>
      </c>
      <c r="K100" s="2" t="n">
        <v>6.744114122</v>
      </c>
      <c r="M100" s="2" t="n">
        <v>0.515540379</v>
      </c>
      <c r="N100" s="2" t="n">
        <v>4.5036371</v>
      </c>
      <c r="O100" s="2" t="n">
        <v>3.488452258</v>
      </c>
      <c r="P100" s="2" t="n">
        <v>7.896438455</v>
      </c>
      <c r="R100" s="2" t="n">
        <v>5.597021278</v>
      </c>
      <c r="S100" s="2" t="n">
        <v>8.758612512999999</v>
      </c>
      <c r="U100" s="2" t="n">
        <v>1.932219673</v>
      </c>
      <c r="V100" s="2" t="n">
        <v>4.733731222</v>
      </c>
      <c r="W100" s="2" t="n">
        <v>4.818664938</v>
      </c>
      <c r="X100" s="2" t="n">
        <v>4.639125518</v>
      </c>
      <c r="Z100" s="2" t="n">
        <v>5.276770586</v>
      </c>
      <c r="AA100" s="2" t="n">
        <v>0.9054898179999999</v>
      </c>
      <c r="AB100" s="2" t="n">
        <v>5.419882117</v>
      </c>
      <c r="AC100" s="2" t="n">
        <v>4.042431505</v>
      </c>
      <c r="AE100" s="2" t="n">
        <v>8.121720145999999</v>
      </c>
      <c r="AG100" s="2" t="n">
        <v>4.954183208</v>
      </c>
      <c r="AH100" s="2" t="n">
        <v>-1.441770522</v>
      </c>
      <c r="AJ100" s="2" t="n">
        <v>4.367204801</v>
      </c>
      <c r="AN100" s="2" t="n">
        <v>4.131836637</v>
      </c>
      <c r="AP100" s="2" t="n">
        <v>2.697885433</v>
      </c>
    </row>
    <row r="101">
      <c r="A101" t="inlineStr">
        <is>
          <t>1972-Q1</t>
        </is>
      </c>
      <c r="B101" s="3" t="n">
        <v>26390</v>
      </c>
      <c r="C101" s="2" t="n">
        <v>2.000886579</v>
      </c>
      <c r="E101" s="2" t="n">
        <v>4.532774112</v>
      </c>
      <c r="F101" s="2" t="n">
        <v>6.557448905</v>
      </c>
      <c r="I101" s="2" t="n">
        <v>3.882471449</v>
      </c>
      <c r="J101" s="2" t="n">
        <v>4.738447137</v>
      </c>
      <c r="K101" s="2" t="n">
        <v>7.635505773</v>
      </c>
      <c r="M101" s="2" t="n">
        <v>10.593136979</v>
      </c>
      <c r="N101" s="2" t="n">
        <v>5.735934281</v>
      </c>
      <c r="O101" s="2" t="n">
        <v>4.124497029</v>
      </c>
      <c r="P101" s="2" t="n">
        <v>10.467548834</v>
      </c>
      <c r="R101" s="2" t="n">
        <v>6.326890062</v>
      </c>
      <c r="S101" s="2" t="n">
        <v>7.157446898</v>
      </c>
      <c r="U101" s="2" t="n">
        <v>3.600250233</v>
      </c>
      <c r="V101" s="2" t="n">
        <v>7.169685695</v>
      </c>
      <c r="W101" s="2" t="n">
        <v>5.732198374</v>
      </c>
      <c r="X101" s="2" t="n">
        <v>5.610938151</v>
      </c>
      <c r="Z101" s="2" t="n">
        <v>6.927996572</v>
      </c>
      <c r="AA101" s="2" t="n">
        <v>3.277890555</v>
      </c>
      <c r="AB101" s="2" t="n">
        <v>5.486455766</v>
      </c>
      <c r="AC101" s="2" t="n">
        <v>4.700295222</v>
      </c>
      <c r="AE101" s="2" t="n">
        <v>8.089314908</v>
      </c>
      <c r="AG101" s="2" t="n">
        <v>4.794369539</v>
      </c>
      <c r="AH101" s="2" t="n">
        <v>0.115212672</v>
      </c>
      <c r="AJ101" s="2" t="n">
        <v>3.476072128</v>
      </c>
      <c r="AN101" s="2" t="n">
        <v>3.928824502</v>
      </c>
      <c r="AP101" s="2" t="n">
        <v>0.6024105</v>
      </c>
    </row>
    <row r="102">
      <c r="A102" t="inlineStr">
        <is>
          <t>1972-Q2</t>
        </is>
      </c>
      <c r="B102" s="3" t="n">
        <v>26481</v>
      </c>
      <c r="C102" s="2" t="n">
        <v>3.836567255</v>
      </c>
      <c r="E102" s="2" t="n">
        <v>5.123917827</v>
      </c>
      <c r="F102" s="2" t="n">
        <v>6.484376464</v>
      </c>
      <c r="I102" s="2" t="n">
        <v>3.408694186</v>
      </c>
      <c r="J102" s="2" t="n">
        <v>5.333643076</v>
      </c>
      <c r="K102" s="2" t="n">
        <v>8.070736524999999</v>
      </c>
      <c r="M102" s="2" t="n">
        <v>4.199543725</v>
      </c>
      <c r="N102" s="2" t="n">
        <v>4.242856656</v>
      </c>
      <c r="O102" s="2" t="n">
        <v>4.991413073</v>
      </c>
      <c r="P102" s="2" t="n">
        <v>11.188845642</v>
      </c>
      <c r="R102" s="2" t="n">
        <v>6.680442187</v>
      </c>
      <c r="S102" s="2" t="n">
        <v>6.164898247</v>
      </c>
      <c r="U102" s="2" t="n">
        <v>3.118160203</v>
      </c>
      <c r="V102" s="2" t="n">
        <v>7.453256148</v>
      </c>
      <c r="W102" s="2" t="n">
        <v>5.423043315</v>
      </c>
      <c r="X102" s="2" t="n">
        <v>6.389703324</v>
      </c>
      <c r="Z102" s="2" t="n">
        <v>8.549659181000001</v>
      </c>
      <c r="AA102" s="2" t="n">
        <v>2.870336209</v>
      </c>
      <c r="AB102" s="2" t="n">
        <v>5.383602137</v>
      </c>
      <c r="AC102" s="2" t="n">
        <v>5.299911659</v>
      </c>
      <c r="AE102" s="2" t="n">
        <v>5.986622547</v>
      </c>
      <c r="AG102" s="2" t="n">
        <v>5.970632009</v>
      </c>
      <c r="AH102" s="2" t="n">
        <v>1.499043691</v>
      </c>
      <c r="AJ102" s="2" t="n">
        <v>5.255186457</v>
      </c>
      <c r="AN102" s="2" t="n">
        <v>2.593712056</v>
      </c>
      <c r="AP102" s="2" t="n">
        <v>2.490415309</v>
      </c>
    </row>
    <row r="103">
      <c r="A103" t="inlineStr">
        <is>
          <t>1972-Q3</t>
        </is>
      </c>
      <c r="B103" s="3" t="n">
        <v>26573</v>
      </c>
      <c r="C103" s="2" t="n">
        <v>0.161943999</v>
      </c>
      <c r="E103" s="2" t="n">
        <v>5.54800966</v>
      </c>
      <c r="F103" s="2" t="n">
        <v>3.892603208</v>
      </c>
      <c r="I103" s="2" t="n">
        <v>4.024253738</v>
      </c>
      <c r="J103" s="2" t="n">
        <v>5.568553889</v>
      </c>
      <c r="K103" s="2" t="n">
        <v>8.449559418</v>
      </c>
      <c r="M103" s="2" t="n">
        <v>6.460207456</v>
      </c>
      <c r="N103" s="2" t="n">
        <v>3.481126981</v>
      </c>
      <c r="O103" s="2" t="n">
        <v>3.429650245</v>
      </c>
      <c r="P103" s="2" t="n">
        <v>5.575954432</v>
      </c>
      <c r="R103" s="2" t="n">
        <v>6.650550358</v>
      </c>
      <c r="S103" s="2" t="n">
        <v>5.712407076</v>
      </c>
      <c r="U103" s="2" t="n">
        <v>2.999652835</v>
      </c>
      <c r="V103" s="2" t="n">
        <v>8.425770557</v>
      </c>
      <c r="W103" s="2" t="n">
        <v>6.953982319</v>
      </c>
      <c r="X103" s="2" t="n">
        <v>6.96563392</v>
      </c>
      <c r="Z103" s="2" t="n">
        <v>9.294404825999999</v>
      </c>
      <c r="AA103" s="2" t="n">
        <v>2.336628829</v>
      </c>
      <c r="AB103" s="2" t="n">
        <v>5.117879505</v>
      </c>
      <c r="AC103" s="2" t="n">
        <v>5.237365013</v>
      </c>
      <c r="AE103" s="2" t="n">
        <v>10.538172441</v>
      </c>
      <c r="AG103" s="2" t="n">
        <v>5.525683817</v>
      </c>
      <c r="AH103" s="2" t="n">
        <v>2.517171289</v>
      </c>
      <c r="AJ103" s="2" t="n">
        <v>5.381938705</v>
      </c>
      <c r="AN103" s="2" t="n">
        <v>2.821710999</v>
      </c>
      <c r="AP103" s="2" t="n">
        <v>1.234980502</v>
      </c>
    </row>
    <row r="104">
      <c r="A104" t="inlineStr">
        <is>
          <t>1972-Q4</t>
        </is>
      </c>
      <c r="B104" s="3" t="n">
        <v>26665</v>
      </c>
      <c r="C104" s="2" t="n">
        <v>1.545558623</v>
      </c>
      <c r="E104" s="2" t="n">
        <v>5.796531616</v>
      </c>
      <c r="F104" s="2" t="n">
        <v>5.191091523</v>
      </c>
      <c r="I104" s="2" t="n">
        <v>5.729688259</v>
      </c>
      <c r="J104" s="2" t="n">
        <v>5.45262613</v>
      </c>
      <c r="K104" s="2" t="n">
        <v>8.414972023000001</v>
      </c>
      <c r="M104" s="2" t="n">
        <v>9.32866441</v>
      </c>
      <c r="N104" s="2" t="n">
        <v>4.305488626</v>
      </c>
      <c r="O104" s="2" t="n">
        <v>4.643774053</v>
      </c>
      <c r="P104" s="2" t="n">
        <v>13.531978138</v>
      </c>
      <c r="R104" s="2" t="n">
        <v>6.302842549</v>
      </c>
      <c r="S104" s="2" t="n">
        <v>5.720283321</v>
      </c>
      <c r="U104" s="2" t="n">
        <v>2.908209485</v>
      </c>
      <c r="V104" s="2" t="n">
        <v>10.149895291</v>
      </c>
      <c r="W104" s="2" t="n">
        <v>10.669786169</v>
      </c>
      <c r="X104" s="2" t="n">
        <v>7.389353828</v>
      </c>
      <c r="Z104" s="2" t="n">
        <v>9.130326572</v>
      </c>
      <c r="AA104" s="2" t="n">
        <v>4.768047131</v>
      </c>
      <c r="AB104" s="2" t="n">
        <v>4.695961427</v>
      </c>
      <c r="AC104" s="2" t="n">
        <v>6.52367213</v>
      </c>
      <c r="AE104" s="2" t="n">
        <v>7.459234831</v>
      </c>
      <c r="AG104" s="2" t="n">
        <v>4.116041058</v>
      </c>
      <c r="AH104" s="2" t="n">
        <v>5.297122961</v>
      </c>
      <c r="AJ104" s="2" t="n">
        <v>6.894475887</v>
      </c>
      <c r="AN104" s="2" t="n">
        <v>3.858307849</v>
      </c>
      <c r="AP104" s="2" t="n">
        <v>2.292610116</v>
      </c>
    </row>
    <row r="105">
      <c r="A105" t="inlineStr">
        <is>
          <t>1973-Q1</t>
        </is>
      </c>
      <c r="B105" s="3" t="n">
        <v>26755</v>
      </c>
      <c r="C105" s="2" t="n">
        <v>5.446907142</v>
      </c>
      <c r="E105" s="2" t="n">
        <v>6.036291991</v>
      </c>
      <c r="F105" s="2" t="n">
        <v>8.316440699999999</v>
      </c>
      <c r="I105" s="2" t="n">
        <v>7.083373504</v>
      </c>
      <c r="J105" s="2" t="n">
        <v>4.999812648</v>
      </c>
      <c r="K105" s="2" t="n">
        <v>8.647695077</v>
      </c>
      <c r="M105" s="2" t="n">
        <v>7.938035706</v>
      </c>
      <c r="N105" s="2" t="n">
        <v>5.008155566</v>
      </c>
      <c r="O105" s="2" t="n">
        <v>9.703952419</v>
      </c>
      <c r="P105" s="2" t="n">
        <v>8.446655106</v>
      </c>
      <c r="R105" s="2" t="n">
        <v>5.742335772</v>
      </c>
      <c r="S105" s="2" t="n">
        <v>6.057461101</v>
      </c>
      <c r="U105" s="2" t="n">
        <v>2.70126782</v>
      </c>
      <c r="V105" s="2" t="n">
        <v>10.242340331</v>
      </c>
      <c r="W105" s="2" t="n">
        <v>12.709984152</v>
      </c>
      <c r="X105" s="2" t="n">
        <v>7.745145939</v>
      </c>
      <c r="Z105" s="2" t="n">
        <v>8.968920915</v>
      </c>
      <c r="AA105" s="2" t="n">
        <v>5.081741624</v>
      </c>
      <c r="AB105" s="2" t="n">
        <v>4.124373764</v>
      </c>
      <c r="AC105" s="2" t="n">
        <v>7.35533732</v>
      </c>
      <c r="AE105" s="2" t="n">
        <v>11.813054079</v>
      </c>
      <c r="AG105" s="2" t="n">
        <v>4.220647216</v>
      </c>
      <c r="AH105" s="2" t="n">
        <v>5.497766282</v>
      </c>
      <c r="AJ105" s="2" t="n">
        <v>7.561888292</v>
      </c>
      <c r="AN105" s="2" t="n">
        <v>3.426767677</v>
      </c>
      <c r="AP105" s="2" t="n">
        <v>4.22628983</v>
      </c>
    </row>
    <row r="106">
      <c r="A106" t="inlineStr">
        <is>
          <t>1973-Q2</t>
        </is>
      </c>
      <c r="B106" s="3" t="n">
        <v>26846</v>
      </c>
      <c r="C106" s="2" t="n">
        <v>3.335583727</v>
      </c>
      <c r="E106" s="2" t="n">
        <v>6.260628281</v>
      </c>
      <c r="F106" s="2" t="n">
        <v>6.477854583</v>
      </c>
      <c r="I106" s="2" t="n">
        <v>6.141301924</v>
      </c>
      <c r="J106" s="2" t="n">
        <v>4.273546097</v>
      </c>
      <c r="K106" s="2" t="n">
        <v>8.032030638</v>
      </c>
      <c r="M106" s="2" t="n">
        <v>4.647223679</v>
      </c>
      <c r="N106" s="2" t="n">
        <v>5.736429605</v>
      </c>
      <c r="O106" s="2" t="n">
        <v>7.035173373</v>
      </c>
      <c r="P106" s="2" t="n">
        <v>8.950726693</v>
      </c>
      <c r="R106" s="2" t="n">
        <v>5.063198451</v>
      </c>
      <c r="S106" s="2" t="n">
        <v>6.54849837</v>
      </c>
      <c r="U106" s="2" t="n">
        <v>5.826845156</v>
      </c>
      <c r="V106" s="2" t="n">
        <v>9.195429088999999</v>
      </c>
      <c r="W106" s="2" t="n">
        <v>14.074814338</v>
      </c>
      <c r="X106" s="2" t="n">
        <v>8.104062002999999</v>
      </c>
      <c r="Z106" s="2" t="n">
        <v>8.808347221</v>
      </c>
      <c r="AA106" s="2" t="n">
        <v>4.256390223</v>
      </c>
      <c r="AB106" s="2" t="n">
        <v>3.895978212</v>
      </c>
      <c r="AC106" s="2" t="n">
        <v>6.621263551</v>
      </c>
      <c r="AE106" s="2" t="n">
        <v>12.001911494</v>
      </c>
      <c r="AG106" s="2" t="n">
        <v>2.61320375</v>
      </c>
      <c r="AH106" s="2" t="n">
        <v>5.335992147</v>
      </c>
      <c r="AJ106" s="2" t="n">
        <v>6.319660016</v>
      </c>
      <c r="AN106" s="2" t="n">
        <v>3.041825095</v>
      </c>
      <c r="AP106" s="2" t="n">
        <v>2.688449427</v>
      </c>
    </row>
    <row r="107">
      <c r="A107" t="inlineStr">
        <is>
          <t>1973-Q3</t>
        </is>
      </c>
      <c r="B107" s="3" t="n">
        <v>26938</v>
      </c>
      <c r="C107" s="2" t="n">
        <v>4.905755215</v>
      </c>
      <c r="E107" s="2" t="n">
        <v>6.237782624</v>
      </c>
      <c r="F107" s="2" t="n">
        <v>6.56627871</v>
      </c>
      <c r="I107" s="2" t="n">
        <v>4.058740116</v>
      </c>
      <c r="J107" s="2" t="n">
        <v>3.282936599</v>
      </c>
      <c r="K107" s="2" t="n">
        <v>7.455669682</v>
      </c>
      <c r="M107" s="2" t="n">
        <v>6.997950474</v>
      </c>
      <c r="N107" s="2" t="n">
        <v>5.705915379</v>
      </c>
      <c r="O107" s="2" t="n">
        <v>5.732119765</v>
      </c>
      <c r="P107" s="2" t="n">
        <v>10.284249248</v>
      </c>
      <c r="R107" s="2" t="n">
        <v>4.361901091</v>
      </c>
      <c r="S107" s="2" t="n">
        <v>7.09479329</v>
      </c>
      <c r="U107" s="2" t="n">
        <v>7.741488901</v>
      </c>
      <c r="V107" s="2" t="n">
        <v>7.225179803</v>
      </c>
      <c r="W107" s="2" t="n">
        <v>17.937618817</v>
      </c>
      <c r="X107" s="2" t="n">
        <v>8.550822404</v>
      </c>
      <c r="Z107" s="2" t="n">
        <v>8.344813460999999</v>
      </c>
      <c r="AA107" s="2" t="n">
        <v>3.342688489</v>
      </c>
      <c r="AB107" s="2" t="n">
        <v>3.997632477</v>
      </c>
      <c r="AC107" s="2" t="n">
        <v>5.657677477</v>
      </c>
      <c r="AE107" s="2" t="n">
        <v>9.956853771</v>
      </c>
      <c r="AG107" s="2" t="n">
        <v>2.613627116</v>
      </c>
      <c r="AH107" s="2" t="n">
        <v>3.218574002</v>
      </c>
      <c r="AJ107" s="2" t="n">
        <v>4.771087308</v>
      </c>
      <c r="AN107" s="2" t="n">
        <v>3.126326567</v>
      </c>
      <c r="AP107" s="2" t="n">
        <v>5.593100555</v>
      </c>
    </row>
    <row r="108">
      <c r="A108" t="inlineStr">
        <is>
          <t>1973-Q4</t>
        </is>
      </c>
      <c r="B108" s="3" t="n">
        <v>27030</v>
      </c>
      <c r="C108" s="2" t="n">
        <v>6.401498823</v>
      </c>
      <c r="E108" s="2" t="n">
        <v>5.956897262</v>
      </c>
      <c r="F108" s="2" t="n">
        <v>6.045193601</v>
      </c>
      <c r="I108" s="2" t="n">
        <v>2.721523921</v>
      </c>
      <c r="J108" s="2" t="n">
        <v>2.035219768</v>
      </c>
      <c r="K108" s="2" t="n">
        <v>7.102054451</v>
      </c>
      <c r="M108" s="2" t="n">
        <v>6.8023052</v>
      </c>
      <c r="N108" s="2" t="n">
        <v>5.30879932</v>
      </c>
      <c r="O108" s="2" t="n">
        <v>3.653191646</v>
      </c>
      <c r="P108" s="2" t="n">
        <v>4.866873588</v>
      </c>
      <c r="R108" s="2" t="n">
        <v>3.767364181</v>
      </c>
      <c r="S108" s="2" t="n">
        <v>7.489307722</v>
      </c>
      <c r="U108" s="2" t="n">
        <v>9.851129010999999</v>
      </c>
      <c r="V108" s="2" t="n">
        <v>5.88643622</v>
      </c>
      <c r="W108" s="2" t="n">
        <v>14.765352641</v>
      </c>
      <c r="X108" s="2" t="n">
        <v>8.817274607</v>
      </c>
      <c r="Z108" s="2" t="n">
        <v>7.565879121</v>
      </c>
      <c r="AA108" s="2" t="n">
        <v>6.057570619</v>
      </c>
      <c r="AB108" s="2" t="n">
        <v>4.419165851</v>
      </c>
      <c r="AC108" s="2" t="n">
        <v>5.012413332</v>
      </c>
      <c r="AE108" s="2" t="n">
        <v>11.108521497</v>
      </c>
      <c r="AG108" s="2" t="n">
        <v>3.004491211</v>
      </c>
      <c r="AH108" s="2" t="n">
        <v>2.874429106</v>
      </c>
      <c r="AJ108" s="2" t="n">
        <v>4.023756399</v>
      </c>
      <c r="AN108" s="2" t="n">
        <v>3.123619768</v>
      </c>
      <c r="AP108" s="2" t="n">
        <v>5.754146053</v>
      </c>
    </row>
    <row r="109">
      <c r="A109" t="inlineStr">
        <is>
          <t>1974-Q1</t>
        </is>
      </c>
      <c r="B109" s="3" t="n">
        <v>27120</v>
      </c>
      <c r="C109" s="2" t="n">
        <v>3.743242042</v>
      </c>
      <c r="E109" s="2" t="n">
        <v>5.669970186</v>
      </c>
      <c r="F109" s="2" t="n">
        <v>4.112689578</v>
      </c>
      <c r="I109" s="2" t="n">
        <v>2.177398816</v>
      </c>
      <c r="J109" s="2" t="n">
        <v>0.535938033</v>
      </c>
      <c r="K109" s="2" t="n">
        <v>6.95237158</v>
      </c>
      <c r="M109" s="2" t="n">
        <v>2.516084155</v>
      </c>
      <c r="N109" s="2" t="n">
        <v>4.242213872</v>
      </c>
      <c r="O109" s="2" t="n">
        <v>-3.958326529</v>
      </c>
      <c r="P109" s="2" t="n">
        <v>2.39006943</v>
      </c>
      <c r="R109" s="2" t="n">
        <v>3.469965459</v>
      </c>
      <c r="S109" s="2" t="n">
        <v>7.456262358</v>
      </c>
      <c r="U109" s="2" t="n">
        <v>9.752601475000001</v>
      </c>
      <c r="V109" s="2" t="n">
        <v>-1.060991167</v>
      </c>
      <c r="W109" s="2" t="n">
        <v>15.729428052</v>
      </c>
      <c r="X109" s="2" t="n">
        <v>8.322580733000001</v>
      </c>
      <c r="Z109" s="2" t="n">
        <v>6.817828806</v>
      </c>
      <c r="AA109" s="2" t="n">
        <v>3.401066581</v>
      </c>
      <c r="AB109" s="2" t="n">
        <v>5.153280819</v>
      </c>
      <c r="AC109" s="2" t="n">
        <v>2.1759694</v>
      </c>
      <c r="AE109" s="2" t="n">
        <v>7.423312598</v>
      </c>
      <c r="AG109" s="2" t="n">
        <v>4.034835183</v>
      </c>
      <c r="AH109" s="2" t="n">
        <v>1.651081784</v>
      </c>
      <c r="AJ109" s="2" t="n">
        <v>0.638773877</v>
      </c>
      <c r="AN109" s="2" t="n">
        <v>4.11162927</v>
      </c>
      <c r="AP109" s="2" t="n">
        <v>6.358559004</v>
      </c>
    </row>
    <row r="110">
      <c r="A110" t="inlineStr">
        <is>
          <t>1974-Q2</t>
        </is>
      </c>
      <c r="B110" s="3" t="n">
        <v>27211</v>
      </c>
      <c r="C110" s="2" t="n">
        <v>1.455061663</v>
      </c>
      <c r="E110" s="2" t="n">
        <v>5.410428579</v>
      </c>
      <c r="F110" s="2" t="n">
        <v>4.12266096</v>
      </c>
      <c r="I110" s="2" t="n">
        <v>1.349933281</v>
      </c>
      <c r="J110" s="2" t="n">
        <v>-0.640620477</v>
      </c>
      <c r="K110" s="2" t="n">
        <v>6.406806426</v>
      </c>
      <c r="M110" s="2" t="n">
        <v>6.107621937</v>
      </c>
      <c r="N110" s="2" t="n">
        <v>3.644339898</v>
      </c>
      <c r="O110" s="2" t="n">
        <v>-2.711668561</v>
      </c>
      <c r="P110" s="2" t="n">
        <v>-6.246949732</v>
      </c>
      <c r="R110" s="2" t="n">
        <v>3.623729712</v>
      </c>
      <c r="S110" s="2" t="n">
        <v>6.817870917</v>
      </c>
      <c r="U110" s="2" t="n">
        <v>7.577067803</v>
      </c>
      <c r="V110" s="2" t="n">
        <v>-1.2513629</v>
      </c>
      <c r="W110" s="2" t="n">
        <v>10.769639573</v>
      </c>
      <c r="X110" s="2" t="n">
        <v>6.64676454</v>
      </c>
      <c r="Z110" s="2" t="n">
        <v>6.113170653</v>
      </c>
      <c r="AA110" s="2" t="n">
        <v>4.931947787</v>
      </c>
      <c r="AB110" s="2" t="n">
        <v>5.458178875</v>
      </c>
      <c r="AC110" s="2" t="n">
        <v>1.531311514</v>
      </c>
      <c r="AE110" s="2" t="n">
        <v>3.059633965</v>
      </c>
      <c r="AG110" s="2" t="n">
        <v>7.726890723</v>
      </c>
      <c r="AH110" s="2" t="n">
        <v>3.344256693</v>
      </c>
      <c r="AJ110" s="2" t="n">
        <v>-0.208418196</v>
      </c>
      <c r="AN110" s="2" t="n">
        <v>4.518462404</v>
      </c>
      <c r="AP110" s="2" t="n">
        <v>8.302041149000001</v>
      </c>
    </row>
    <row r="111">
      <c r="A111" t="inlineStr">
        <is>
          <t>1974-Q3</t>
        </is>
      </c>
      <c r="B111" s="3" t="n">
        <v>27303</v>
      </c>
      <c r="C111" s="2" t="n">
        <v>1.652212799</v>
      </c>
      <c r="E111" s="2" t="n">
        <v>4.099800264</v>
      </c>
      <c r="F111" s="2" t="n">
        <v>3.655894336</v>
      </c>
      <c r="I111" s="2" t="n">
        <v>1.018885974</v>
      </c>
      <c r="J111" s="2" t="n">
        <v>-1.513912865</v>
      </c>
      <c r="K111" s="2" t="n">
        <v>5.416587407</v>
      </c>
      <c r="M111" s="2" t="n">
        <v>2.854346181</v>
      </c>
      <c r="N111" s="2" t="n">
        <v>3.731282303</v>
      </c>
      <c r="O111" s="2" t="n">
        <v>-1.155772985</v>
      </c>
      <c r="P111" s="2" t="n">
        <v>-12.868925366</v>
      </c>
      <c r="R111" s="2" t="n">
        <v>4.380450547</v>
      </c>
      <c r="S111" s="2" t="n">
        <v>5.359664145</v>
      </c>
      <c r="U111" s="2" t="n">
        <v>4.43356282</v>
      </c>
      <c r="V111" s="2" t="n">
        <v>-0.278584561</v>
      </c>
      <c r="W111" s="2" t="n">
        <v>7.049420615</v>
      </c>
      <c r="X111" s="2" t="n">
        <v>3.328337049</v>
      </c>
      <c r="Z111" s="2" t="n">
        <v>5.765248132</v>
      </c>
      <c r="AA111" s="2" t="n">
        <v>6.531924848</v>
      </c>
      <c r="AB111" s="2" t="n">
        <v>5.344784575</v>
      </c>
      <c r="AC111" s="2" t="n">
        <v>1.179281906</v>
      </c>
      <c r="AE111" s="2" t="n">
        <v>-1.58756096</v>
      </c>
      <c r="AG111" s="2" t="n">
        <v>4.030196539</v>
      </c>
      <c r="AH111" s="2" t="n">
        <v>3.987333879</v>
      </c>
      <c r="AJ111" s="2" t="n">
        <v>-0.629000493</v>
      </c>
      <c r="AN111" s="2" t="n">
        <v>1.050872902</v>
      </c>
      <c r="AP111" s="2" t="n">
        <v>6.449967037</v>
      </c>
    </row>
    <row r="112">
      <c r="A112" t="inlineStr">
        <is>
          <t>1974-Q4</t>
        </is>
      </c>
      <c r="B112" s="3" t="n">
        <v>27395</v>
      </c>
      <c r="C112" s="2" t="n">
        <v>-0.7276977019999999</v>
      </c>
      <c r="E112" s="2" t="n">
        <v>1.710719665</v>
      </c>
      <c r="F112" s="2" t="n">
        <v>1.282311335</v>
      </c>
      <c r="I112" s="2" t="n">
        <v>-0.504300806</v>
      </c>
      <c r="J112" s="2" t="n">
        <v>-2.096447449</v>
      </c>
      <c r="K112" s="2" t="n">
        <v>3.778734288</v>
      </c>
      <c r="M112" s="2" t="n">
        <v>0.98022855</v>
      </c>
      <c r="N112" s="2" t="n">
        <v>0.875242259</v>
      </c>
      <c r="O112" s="2" t="n">
        <v>-2.186001465</v>
      </c>
      <c r="P112" s="2" t="n">
        <v>-8.673941932</v>
      </c>
      <c r="R112" s="2" t="n">
        <v>5.537773463</v>
      </c>
      <c r="S112" s="2" t="n">
        <v>3.320999794</v>
      </c>
      <c r="U112" s="2" t="n">
        <v>-0.187525713</v>
      </c>
      <c r="V112" s="2" t="n">
        <v>-2.030072027</v>
      </c>
      <c r="W112" s="2" t="n">
        <v>5.162476244</v>
      </c>
      <c r="X112" s="2" t="n">
        <v>-1.104735304</v>
      </c>
      <c r="Z112" s="2" t="n">
        <v>5.779068666</v>
      </c>
      <c r="AA112" s="2" t="n">
        <v>1.109599027</v>
      </c>
      <c r="AB112" s="2" t="n">
        <v>4.828196759</v>
      </c>
      <c r="AC112" s="2" t="n">
        <v>-0.569272544</v>
      </c>
      <c r="AE112" s="2" t="n">
        <v>-3.87999106</v>
      </c>
      <c r="AG112" s="2" t="n">
        <v>5.054789953</v>
      </c>
      <c r="AH112" s="2" t="n">
        <v>3.982725193</v>
      </c>
      <c r="AJ112" s="2" t="n">
        <v>-1.945449394</v>
      </c>
      <c r="AN112" s="2" t="n">
        <v>-4.247269613</v>
      </c>
      <c r="AP112" s="2" t="n">
        <v>3.452454161</v>
      </c>
    </row>
    <row r="113">
      <c r="A113" t="inlineStr">
        <is>
          <t>1975-Q1</t>
        </is>
      </c>
      <c r="B113" s="3" t="n">
        <v>27485</v>
      </c>
      <c r="C113" s="2" t="n">
        <v>-0.35443038</v>
      </c>
      <c r="E113" s="2" t="n">
        <v>-0.581804679</v>
      </c>
      <c r="F113" s="2" t="n">
        <v>-0.094838177</v>
      </c>
      <c r="I113" s="2" t="n">
        <v>-1.907951274</v>
      </c>
      <c r="J113" s="2" t="n">
        <v>-2.394189435</v>
      </c>
      <c r="K113" s="2" t="n">
        <v>1.533483615</v>
      </c>
      <c r="M113" s="2" t="n">
        <v>3.199966447</v>
      </c>
      <c r="N113" s="2" t="n">
        <v>-0.532775695</v>
      </c>
      <c r="O113" s="2" t="n">
        <v>0.63493143</v>
      </c>
      <c r="P113" s="2" t="n">
        <v>0.606172687</v>
      </c>
      <c r="R113" s="2" t="n">
        <v>6.501056443</v>
      </c>
      <c r="S113" s="2" t="n">
        <v>1.374701187</v>
      </c>
      <c r="U113" s="2" t="n">
        <v>-2.712864172</v>
      </c>
      <c r="V113" s="2" t="n">
        <v>1.58869303</v>
      </c>
      <c r="W113" s="2" t="n">
        <v>2.375727578</v>
      </c>
      <c r="X113" s="2" t="n">
        <v>-5.222749255</v>
      </c>
      <c r="Z113" s="2" t="n">
        <v>5.794445526</v>
      </c>
      <c r="AA113" s="2" t="n">
        <v>-1.442402164</v>
      </c>
      <c r="AB113" s="2" t="n">
        <v>3.927129577</v>
      </c>
      <c r="AC113" s="2" t="n">
        <v>-0.655083427</v>
      </c>
      <c r="AE113" s="2" t="n">
        <v>-6.303166738</v>
      </c>
      <c r="AG113" s="2" t="n">
        <v>4.454925887</v>
      </c>
      <c r="AH113" s="2" t="n">
        <v>5.206673055</v>
      </c>
      <c r="AJ113" s="2" t="n">
        <v>-2.299047595</v>
      </c>
      <c r="AN113" s="2" t="n">
        <v>-7.633498276</v>
      </c>
      <c r="AP113" s="2" t="n">
        <v>1.148133398</v>
      </c>
    </row>
    <row r="114">
      <c r="A114" t="inlineStr">
        <is>
          <t>1975-Q2</t>
        </is>
      </c>
      <c r="B114" s="3" t="n">
        <v>27576</v>
      </c>
      <c r="C114" s="2" t="n">
        <v>4.908375402</v>
      </c>
      <c r="E114" s="2" t="n">
        <v>-2.814652665</v>
      </c>
      <c r="F114" s="2" t="n">
        <v>0.108099839</v>
      </c>
      <c r="I114" s="2" t="n">
        <v>-2.325179236</v>
      </c>
      <c r="J114" s="2" t="n">
        <v>-1.822995884</v>
      </c>
      <c r="K114" s="2" t="n">
        <v>0.183236163</v>
      </c>
      <c r="M114" s="2" t="n">
        <v>2.151917847</v>
      </c>
      <c r="N114" s="2" t="n">
        <v>-0.778119228</v>
      </c>
      <c r="O114" s="2" t="n">
        <v>-2.41992644</v>
      </c>
      <c r="P114" s="2" t="n">
        <v>5.125368732</v>
      </c>
      <c r="R114" s="2" t="n">
        <v>6.733337849</v>
      </c>
      <c r="S114" s="2" t="n">
        <v>0.089497653</v>
      </c>
      <c r="U114" s="2" t="n">
        <v>-3.682962782</v>
      </c>
      <c r="V114" s="2" t="n">
        <v>3.101463212</v>
      </c>
      <c r="W114" s="2" t="n">
        <v>7.478859936</v>
      </c>
      <c r="X114" s="2" t="n">
        <v>-7.857971723</v>
      </c>
      <c r="Z114" s="2" t="n">
        <v>5.807360462</v>
      </c>
      <c r="AA114" s="2" t="n">
        <v>-1.223998983</v>
      </c>
      <c r="AB114" s="2" t="n">
        <v>3.673353337</v>
      </c>
      <c r="AC114" s="2" t="n">
        <v>-0.588362438</v>
      </c>
      <c r="AE114" s="2" t="n">
        <v>-5.785300664</v>
      </c>
      <c r="AG114" s="2" t="n">
        <v>1.5831083</v>
      </c>
      <c r="AH114" s="2" t="n">
        <v>2.25114989</v>
      </c>
      <c r="AJ114" s="2" t="n">
        <v>-1.8342624</v>
      </c>
      <c r="AN114" s="2" t="n">
        <v>-8.898760813999999</v>
      </c>
      <c r="AP114" s="2" t="n">
        <v>1.496718934</v>
      </c>
    </row>
    <row r="115">
      <c r="A115" t="inlineStr">
        <is>
          <t>1975-Q3</t>
        </is>
      </c>
      <c r="B115" s="3" t="n">
        <v>27668</v>
      </c>
      <c r="C115" s="2" t="n">
        <v>2.527986174</v>
      </c>
      <c r="E115" s="2" t="n">
        <v>-2.482813109</v>
      </c>
      <c r="F115" s="2" t="n">
        <v>2.077805015</v>
      </c>
      <c r="I115" s="2" t="n">
        <v>-1.262668305</v>
      </c>
      <c r="J115" s="2" t="n">
        <v>-0.368750891</v>
      </c>
      <c r="K115" s="2" t="n">
        <v>-0.08420925999999999</v>
      </c>
      <c r="M115" s="2" t="n">
        <v>-0.018385691</v>
      </c>
      <c r="N115" s="2" t="n">
        <v>-1.324733724</v>
      </c>
      <c r="O115" s="2" t="n">
        <v>-3.363664052</v>
      </c>
      <c r="P115" s="2" t="n">
        <v>10.405549626</v>
      </c>
      <c r="R115" s="2" t="n">
        <v>5.735039783</v>
      </c>
      <c r="S115" s="2" t="n">
        <v>-0.010132152</v>
      </c>
      <c r="U115" s="2" t="n">
        <v>-2.476470864</v>
      </c>
      <c r="V115" s="2" t="n">
        <v>2.957395645</v>
      </c>
      <c r="W115" s="2" t="n">
        <v>8.851621666</v>
      </c>
      <c r="X115" s="2" t="n">
        <v>-7.897842155</v>
      </c>
      <c r="Z115" s="2" t="n">
        <v>5.62137158</v>
      </c>
      <c r="AA115" s="2" t="n">
        <v>-1.43776782</v>
      </c>
      <c r="AB115" s="2" t="n">
        <v>4.040834227</v>
      </c>
      <c r="AC115" s="2" t="n">
        <v>0.485230965</v>
      </c>
      <c r="AE115" s="2" t="n">
        <v>-4.095495491</v>
      </c>
      <c r="AG115" s="2" t="n">
        <v>5.48942366</v>
      </c>
      <c r="AH115" s="2" t="n">
        <v>1.749971306</v>
      </c>
      <c r="AJ115" s="2" t="n">
        <v>0.798684869</v>
      </c>
      <c r="AN115" s="2" t="n">
        <v>-7.696547097</v>
      </c>
      <c r="AP115" s="2" t="n">
        <v>1.163621992</v>
      </c>
    </row>
    <row r="116">
      <c r="A116" t="inlineStr">
        <is>
          <t>1975-Q4</t>
        </is>
      </c>
      <c r="B116" s="3" t="n">
        <v>27760</v>
      </c>
      <c r="C116" s="2" t="n">
        <v>0.879010485</v>
      </c>
      <c r="E116" s="2" t="n">
        <v>0.598638212</v>
      </c>
      <c r="F116" s="2" t="n">
        <v>3.749756915</v>
      </c>
      <c r="I116" s="2" t="n">
        <v>1.965095402</v>
      </c>
      <c r="J116" s="2" t="n">
        <v>1.986956326</v>
      </c>
      <c r="K116" s="2" t="n">
        <v>0.551506499</v>
      </c>
      <c r="M116" s="2" t="n">
        <v>-1.011039568</v>
      </c>
      <c r="N116" s="2" t="n">
        <v>1.541171217</v>
      </c>
      <c r="O116" s="2" t="n">
        <v>-0.795989142</v>
      </c>
      <c r="P116" s="2" t="n">
        <v>9.978394109</v>
      </c>
      <c r="R116" s="2" t="n">
        <v>3.732117574</v>
      </c>
      <c r="S116" s="2" t="n">
        <v>1.140161252</v>
      </c>
      <c r="U116" s="2" t="n">
        <v>0.721574321</v>
      </c>
      <c r="V116" s="2" t="n">
        <v>4.607339564</v>
      </c>
      <c r="W116" s="2" t="n">
        <v>12.594433252</v>
      </c>
      <c r="X116" s="2" t="n">
        <v>-5.271563677</v>
      </c>
      <c r="Z116" s="2" t="n">
        <v>5.231910732</v>
      </c>
      <c r="AA116" s="2" t="n">
        <v>3.758282458</v>
      </c>
      <c r="AB116" s="2" t="n">
        <v>5.012146626</v>
      </c>
      <c r="AC116" s="2" t="n">
        <v>2.49110437</v>
      </c>
      <c r="AE116" s="2" t="n">
        <v>-1.082823198</v>
      </c>
      <c r="AG116" s="2" t="n">
        <v>4.372304881</v>
      </c>
      <c r="AH116" s="2" t="n">
        <v>1.665345573</v>
      </c>
      <c r="AJ116" s="2" t="n">
        <v>2.554017472</v>
      </c>
      <c r="AN116" s="2" t="n">
        <v>-4.959992048</v>
      </c>
      <c r="AP116" s="2" t="n">
        <v>2.969626851</v>
      </c>
    </row>
    <row r="117">
      <c r="A117" t="inlineStr">
        <is>
          <t>1976-Q1</t>
        </is>
      </c>
      <c r="B117" s="3" t="n">
        <v>27851</v>
      </c>
      <c r="C117" s="2" t="n">
        <v>4.925734834</v>
      </c>
      <c r="E117" s="2" t="n">
        <v>3.722735746</v>
      </c>
      <c r="F117" s="2" t="n">
        <v>6.215022608</v>
      </c>
      <c r="I117" s="2" t="n">
        <v>3.478330696</v>
      </c>
      <c r="J117" s="2" t="n">
        <v>5.266924825</v>
      </c>
      <c r="K117" s="2" t="n">
        <v>2.063101297</v>
      </c>
      <c r="M117" s="2" t="n">
        <v>-2.209725062</v>
      </c>
      <c r="N117" s="2" t="n">
        <v>3.497157817</v>
      </c>
      <c r="O117" s="2" t="n">
        <v>0.789742996</v>
      </c>
      <c r="P117" s="2" t="n">
        <v>5.226608934</v>
      </c>
      <c r="R117" s="2" t="n">
        <v>1.679887617</v>
      </c>
      <c r="S117" s="2" t="n">
        <v>3.070076298</v>
      </c>
      <c r="U117" s="2" t="n">
        <v>4.310715425</v>
      </c>
      <c r="V117" s="2" t="n">
        <v>5.355842509</v>
      </c>
      <c r="W117" s="2" t="n">
        <v>14.231044506</v>
      </c>
      <c r="X117" s="2" t="n">
        <v>-1.242034388</v>
      </c>
      <c r="Z117" s="2" t="n">
        <v>4.856796612</v>
      </c>
      <c r="AA117" s="2" t="n">
        <v>6.036234579</v>
      </c>
      <c r="AB117" s="2" t="n">
        <v>6.577837946</v>
      </c>
      <c r="AC117" s="2" t="n">
        <v>4.717568299</v>
      </c>
      <c r="AE117" s="2" t="n">
        <v>3.349627086</v>
      </c>
      <c r="AG117" s="2" t="n">
        <v>4.585664348</v>
      </c>
      <c r="AH117" s="2" t="n">
        <v>-0.663092793</v>
      </c>
      <c r="AJ117" s="2" t="n">
        <v>6.152389362</v>
      </c>
      <c r="AN117" s="2" t="n">
        <v>-2.980754583</v>
      </c>
      <c r="AP117" s="2" t="n">
        <v>4.742459791</v>
      </c>
    </row>
    <row r="118">
      <c r="A118" t="inlineStr">
        <is>
          <t>1976-Q2</t>
        </is>
      </c>
      <c r="B118" s="3" t="n">
        <v>27942</v>
      </c>
      <c r="C118" s="2" t="n">
        <v>2.027902606</v>
      </c>
      <c r="E118" s="2" t="n">
        <v>6.890961039</v>
      </c>
      <c r="F118" s="2" t="n">
        <v>7.121118411</v>
      </c>
      <c r="I118" s="2" t="n">
        <v>5.545306249</v>
      </c>
      <c r="J118" s="2" t="n">
        <v>7.073892514</v>
      </c>
      <c r="K118" s="2" t="n">
        <v>3.326984703</v>
      </c>
      <c r="M118" s="2" t="n">
        <v>-0.984037988</v>
      </c>
      <c r="N118" s="2" t="n">
        <v>4.467073387</v>
      </c>
      <c r="O118" s="2" t="n">
        <v>2.327795637</v>
      </c>
      <c r="P118" s="2" t="n">
        <v>6.845895145</v>
      </c>
      <c r="R118" s="2" t="n">
        <v>0.440981288</v>
      </c>
      <c r="S118" s="2" t="n">
        <v>5.225471005</v>
      </c>
      <c r="U118" s="2" t="n">
        <v>6.250915436</v>
      </c>
      <c r="V118" s="2" t="n">
        <v>3.676519037</v>
      </c>
      <c r="W118" s="2" t="n">
        <v>14.339221259</v>
      </c>
      <c r="X118" s="2" t="n">
        <v>2.598132897</v>
      </c>
      <c r="Z118" s="2" t="n">
        <v>4.500615207</v>
      </c>
      <c r="AA118" s="2" t="n">
        <v>4.706246212</v>
      </c>
      <c r="AB118" s="2" t="n">
        <v>7.287679831</v>
      </c>
      <c r="AC118" s="2" t="n">
        <v>5.231717961</v>
      </c>
      <c r="AE118" s="2" t="n">
        <v>7.52532039</v>
      </c>
      <c r="AG118" s="2" t="n">
        <v>3.416077435</v>
      </c>
      <c r="AH118" s="2" t="n">
        <v>2.272782084</v>
      </c>
      <c r="AJ118" s="2" t="n">
        <v>6.172588458</v>
      </c>
      <c r="AN118" s="2" t="n">
        <v>-1.426958218</v>
      </c>
      <c r="AP118" s="2" t="n">
        <v>0.9131645779999999</v>
      </c>
    </row>
    <row r="119">
      <c r="A119" t="inlineStr">
        <is>
          <t>1976-Q3</t>
        </is>
      </c>
      <c r="B119" s="3" t="n">
        <v>28034</v>
      </c>
      <c r="C119" s="2" t="n">
        <v>3.994238122</v>
      </c>
      <c r="E119" s="2" t="n">
        <v>7.279997082</v>
      </c>
      <c r="F119" s="2" t="n">
        <v>5.614778399</v>
      </c>
      <c r="I119" s="2" t="n">
        <v>4.440716158</v>
      </c>
      <c r="J119" s="2" t="n">
        <v>7.36809117</v>
      </c>
      <c r="K119" s="2" t="n">
        <v>3.875385657</v>
      </c>
      <c r="M119" s="2" t="n">
        <v>1.045094982</v>
      </c>
      <c r="N119" s="2" t="n">
        <v>4.556114014</v>
      </c>
      <c r="O119" s="2" t="n">
        <v>3.982074264</v>
      </c>
      <c r="P119" s="2" t="n">
        <v>6.115115473</v>
      </c>
      <c r="R119" s="2" t="n">
        <v>0.768950094</v>
      </c>
      <c r="S119" s="2" t="n">
        <v>7.102798108</v>
      </c>
      <c r="U119" s="2" t="n">
        <v>7.424281855</v>
      </c>
      <c r="V119" s="2" t="n">
        <v>3.951115114</v>
      </c>
      <c r="W119" s="2" t="n">
        <v>13.318980132</v>
      </c>
      <c r="X119" s="2" t="n">
        <v>4.60216931</v>
      </c>
      <c r="Z119" s="2" t="n">
        <v>4.065831915</v>
      </c>
      <c r="AA119" s="2" t="n">
        <v>7.791267048</v>
      </c>
      <c r="AB119" s="2" t="n">
        <v>7.159553529</v>
      </c>
      <c r="AC119" s="2" t="n">
        <v>5.010047753</v>
      </c>
      <c r="AE119" s="2" t="n">
        <v>7.910616693</v>
      </c>
      <c r="AG119" s="2" t="n">
        <v>2.834422887</v>
      </c>
      <c r="AH119" s="2" t="n">
        <v>0.800237079</v>
      </c>
      <c r="AJ119" s="2" t="n">
        <v>4.958636996</v>
      </c>
      <c r="AN119" s="2" t="n">
        <v>1.360296981</v>
      </c>
      <c r="AP119" s="2" t="n">
        <v>2.493509168</v>
      </c>
    </row>
    <row r="120">
      <c r="A120" t="inlineStr">
        <is>
          <t>1976-Q4</t>
        </is>
      </c>
      <c r="B120" s="3" t="n">
        <v>28126</v>
      </c>
      <c r="C120" s="2" t="n">
        <v>6.51490633</v>
      </c>
      <c r="E120" s="2" t="n">
        <v>4.752457414</v>
      </c>
      <c r="F120" s="2" t="n">
        <v>4.612139388</v>
      </c>
      <c r="I120" s="2" t="n">
        <v>4.324485654</v>
      </c>
      <c r="J120" s="2" t="n">
        <v>6.182643389</v>
      </c>
      <c r="K120" s="2" t="n">
        <v>3.942491631</v>
      </c>
      <c r="M120" s="2" t="n">
        <v>2.886129089</v>
      </c>
      <c r="N120" s="2" t="n">
        <v>4.448313606</v>
      </c>
      <c r="O120" s="2" t="n">
        <v>4.979307659</v>
      </c>
      <c r="P120" s="2" t="n">
        <v>9.151230856</v>
      </c>
      <c r="R120" s="2" t="n">
        <v>2.689777818</v>
      </c>
      <c r="S120" s="2" t="n">
        <v>8.400060607</v>
      </c>
      <c r="U120" s="2" t="n">
        <v>8.076918196999999</v>
      </c>
      <c r="V120" s="2" t="n">
        <v>2.991759099</v>
      </c>
      <c r="W120" s="2" t="n">
        <v>11.163297055</v>
      </c>
      <c r="X120" s="2" t="n">
        <v>4.293492259</v>
      </c>
      <c r="Z120" s="2" t="n">
        <v>3.561167642</v>
      </c>
      <c r="AA120" s="2" t="n">
        <v>2.07399742</v>
      </c>
      <c r="AB120" s="2" t="n">
        <v>6.229763951</v>
      </c>
      <c r="AC120" s="2" t="n">
        <v>4.576100761</v>
      </c>
      <c r="AE120" s="2" t="n">
        <v>8.820955651</v>
      </c>
      <c r="AG120" s="2" t="n">
        <v>3.13724207</v>
      </c>
      <c r="AH120" s="2" t="n">
        <v>-0.931264277</v>
      </c>
      <c r="AJ120" s="2" t="n">
        <v>4.314806638</v>
      </c>
      <c r="AN120" s="2" t="n">
        <v>3.231710505</v>
      </c>
      <c r="AP120" s="2" t="n">
        <v>0.91245953</v>
      </c>
    </row>
    <row r="121">
      <c r="A121" t="inlineStr">
        <is>
          <t>1977-Q1</t>
        </is>
      </c>
      <c r="B121" s="3" t="n">
        <v>28216</v>
      </c>
      <c r="C121" s="2" t="n">
        <v>1.44761252</v>
      </c>
      <c r="E121" s="2" t="n">
        <v>2.337542678</v>
      </c>
      <c r="F121" s="2" t="n">
        <v>4.292545966</v>
      </c>
      <c r="I121" s="2" t="n">
        <v>4.278412874</v>
      </c>
      <c r="J121" s="2" t="n">
        <v>2.377721966</v>
      </c>
      <c r="K121" s="2" t="n">
        <v>3.734998594</v>
      </c>
      <c r="M121" s="2" t="n">
        <v>1.62067964</v>
      </c>
      <c r="N121" s="2" t="n">
        <v>4.075391261</v>
      </c>
      <c r="O121" s="2" t="n">
        <v>3.29275068</v>
      </c>
      <c r="P121" s="2" t="n">
        <v>5.192158385</v>
      </c>
      <c r="R121" s="2" t="n">
        <v>5.398533313</v>
      </c>
      <c r="S121" s="2" t="n">
        <v>9.081297430999999</v>
      </c>
      <c r="U121" s="2" t="n">
        <v>6.24781825</v>
      </c>
      <c r="V121" s="2" t="n">
        <v>4.360184065</v>
      </c>
      <c r="W121" s="2" t="n">
        <v>9.123660589</v>
      </c>
      <c r="X121" s="2" t="n">
        <v>2.751792826</v>
      </c>
      <c r="Z121" s="2" t="n">
        <v>3.082236927</v>
      </c>
      <c r="AA121" s="2" t="n">
        <v>3.118296191</v>
      </c>
      <c r="AB121" s="2" t="n">
        <v>4.550338998</v>
      </c>
      <c r="AC121" s="2" t="n">
        <v>3.822668463</v>
      </c>
      <c r="AE121" s="2" t="n">
        <v>7.245682769</v>
      </c>
      <c r="AG121" s="2" t="n">
        <v>3.21728215</v>
      </c>
      <c r="AH121" s="2" t="n">
        <v>-1.30067347</v>
      </c>
      <c r="AJ121" s="2" t="n">
        <v>3.225964642</v>
      </c>
      <c r="AN121" s="2" t="n">
        <v>3.263372763</v>
      </c>
      <c r="AP121" s="2" t="n">
        <v>-0.614192603</v>
      </c>
    </row>
    <row r="122">
      <c r="A122" t="inlineStr">
        <is>
          <t>1977-Q2</t>
        </is>
      </c>
      <c r="B122" s="3" t="n">
        <v>28307</v>
      </c>
      <c r="C122" s="2" t="n">
        <v>2.57065399</v>
      </c>
      <c r="E122" s="2" t="n">
        <v>0.035551218</v>
      </c>
      <c r="F122" s="2" t="n">
        <v>2.632092498</v>
      </c>
      <c r="I122" s="2" t="n">
        <v>3.334567951</v>
      </c>
      <c r="J122" s="2" t="n">
        <v>0.487077713</v>
      </c>
      <c r="K122" s="2" t="n">
        <v>3.016516231</v>
      </c>
      <c r="M122" s="2" t="n">
        <v>0.959149477</v>
      </c>
      <c r="N122" s="2" t="n">
        <v>3.296345013</v>
      </c>
      <c r="O122" s="2" t="n">
        <v>2.69498988</v>
      </c>
      <c r="P122" s="2" t="n">
        <v>0.832287342</v>
      </c>
      <c r="R122" s="2" t="n">
        <v>7.964070236</v>
      </c>
      <c r="S122" s="2" t="n">
        <v>9.214734126</v>
      </c>
      <c r="U122" s="2" t="n">
        <v>3.780384463</v>
      </c>
      <c r="V122" s="2" t="n">
        <v>4.477404983</v>
      </c>
      <c r="W122" s="2" t="n">
        <v>9.400601473</v>
      </c>
      <c r="X122" s="2" t="n">
        <v>1.238973608</v>
      </c>
      <c r="Z122" s="2" t="n">
        <v>2.600360199</v>
      </c>
      <c r="AA122" s="2" t="n">
        <v>3.029880182</v>
      </c>
      <c r="AB122" s="2" t="n">
        <v>3.51414277</v>
      </c>
      <c r="AC122" s="2" t="n">
        <v>3.666768796</v>
      </c>
      <c r="AE122" s="2" t="n">
        <v>5.572512458</v>
      </c>
      <c r="AG122" s="2" t="n">
        <v>2.845582772</v>
      </c>
      <c r="AH122" s="2" t="n">
        <v>-2.034098144</v>
      </c>
      <c r="AJ122" s="2" t="n">
        <v>4.466324098</v>
      </c>
      <c r="AN122" s="2" t="n">
        <v>2.731201833</v>
      </c>
      <c r="AP122" s="2" t="n">
        <v>1.506490138</v>
      </c>
    </row>
    <row r="123">
      <c r="A123" t="inlineStr">
        <is>
          <t>1977-Q3</t>
        </is>
      </c>
      <c r="B123" s="3" t="n">
        <v>28399</v>
      </c>
      <c r="C123" s="2" t="n">
        <v>1.312202526</v>
      </c>
      <c r="E123" s="2" t="n">
        <v>-0.520530811</v>
      </c>
      <c r="F123" s="2" t="n">
        <v>2.717564616</v>
      </c>
      <c r="I123" s="2" t="n">
        <v>3.273852452</v>
      </c>
      <c r="J123" s="2" t="n">
        <v>2.577650909</v>
      </c>
      <c r="K123" s="2" t="n">
        <v>2.365980875</v>
      </c>
      <c r="M123" s="2" t="n">
        <v>0.462857143</v>
      </c>
      <c r="N123" s="2" t="n">
        <v>3.281465739</v>
      </c>
      <c r="O123" s="2" t="n">
        <v>2.097127106</v>
      </c>
      <c r="P123" s="2" t="n">
        <v>3.776461968</v>
      </c>
      <c r="R123" s="2" t="n">
        <v>9.55994718</v>
      </c>
      <c r="S123" s="2" t="n">
        <v>8.871008445999999</v>
      </c>
      <c r="U123" s="2" t="n">
        <v>0.261570378</v>
      </c>
      <c r="V123" s="2" t="n">
        <v>3.731141929</v>
      </c>
      <c r="W123" s="2" t="n">
        <v>13.767454664</v>
      </c>
      <c r="X123" s="2" t="n">
        <v>0.769561074</v>
      </c>
      <c r="Z123" s="2" t="n">
        <v>3.185988957</v>
      </c>
      <c r="AA123" s="2" t="n">
        <v>0.33538187</v>
      </c>
      <c r="AB123" s="2" t="n">
        <v>3.077261624</v>
      </c>
      <c r="AC123" s="2" t="n">
        <v>3.705623694</v>
      </c>
      <c r="AE123" s="2" t="n">
        <v>6.140318332</v>
      </c>
      <c r="AG123" s="2" t="n">
        <v>3.421691347</v>
      </c>
      <c r="AH123" s="2" t="n">
        <v>-1.359968742</v>
      </c>
      <c r="AJ123" s="2" t="n">
        <v>5.770897368</v>
      </c>
      <c r="AN123" s="2" t="n">
        <v>1.844026124</v>
      </c>
      <c r="AP123" s="2" t="n">
        <v>-1.235059012</v>
      </c>
    </row>
    <row r="124">
      <c r="A124" t="inlineStr">
        <is>
          <t>1977-Q4</t>
        </is>
      </c>
      <c r="B124" s="3" t="n">
        <v>28491</v>
      </c>
      <c r="C124" s="2" t="n">
        <v>0.121247535</v>
      </c>
      <c r="E124" s="2" t="n">
        <v>0.695457505</v>
      </c>
      <c r="F124" s="2" t="n">
        <v>4.127065204</v>
      </c>
      <c r="I124" s="2" t="n">
        <v>3.141081054</v>
      </c>
      <c r="J124" s="2" t="n">
        <v>1.057324915</v>
      </c>
      <c r="K124" s="2" t="n">
        <v>2.264557872</v>
      </c>
      <c r="M124" s="2" t="n">
        <v>-0.600702709</v>
      </c>
      <c r="N124" s="2" t="n">
        <v>2.243418531</v>
      </c>
      <c r="O124" s="2" t="n">
        <v>1.684004508</v>
      </c>
      <c r="P124" s="2" t="n">
        <v>2.049624419</v>
      </c>
      <c r="R124" s="2" t="n">
        <v>9.860412962</v>
      </c>
      <c r="S124" s="2" t="n">
        <v>8.156572062</v>
      </c>
      <c r="U124" s="2" t="n">
        <v>-0.603535217</v>
      </c>
      <c r="V124" s="2" t="n">
        <v>5.013334504</v>
      </c>
      <c r="W124" s="2" t="n">
        <v>16.7414241</v>
      </c>
      <c r="X124" s="2" t="n">
        <v>1.544720763</v>
      </c>
      <c r="Z124" s="2" t="n">
        <v>4.878946385</v>
      </c>
      <c r="AA124" s="2" t="n">
        <v>3.080803236</v>
      </c>
      <c r="AB124" s="2" t="n">
        <v>3.21184464</v>
      </c>
      <c r="AC124" s="2" t="n">
        <v>3.56441417</v>
      </c>
      <c r="AE124" s="2" t="n">
        <v>3.56440774</v>
      </c>
      <c r="AG124" s="2" t="n">
        <v>4.138730952</v>
      </c>
      <c r="AH124" s="2" t="n">
        <v>-1.487679529</v>
      </c>
      <c r="AJ124" s="2" t="n">
        <v>5.012028563</v>
      </c>
      <c r="AN124" s="2" t="n">
        <v>0.653462337</v>
      </c>
      <c r="AP124" s="2" t="n">
        <v>0.002963558</v>
      </c>
    </row>
    <row r="125">
      <c r="A125" t="inlineStr">
        <is>
          <t>1978-Q1</t>
        </is>
      </c>
      <c r="B125" s="3" t="n">
        <v>28581</v>
      </c>
      <c r="C125" s="2" t="n">
        <v>1.379953585</v>
      </c>
      <c r="E125" s="2" t="n">
        <v>1.912088428</v>
      </c>
      <c r="F125" s="2" t="n">
        <v>3.530374962</v>
      </c>
      <c r="I125" s="2" t="n">
        <v>2.689233198</v>
      </c>
      <c r="J125" s="2" t="n">
        <v>0.331433003</v>
      </c>
      <c r="K125" s="2" t="n">
        <v>2.094121339</v>
      </c>
      <c r="M125" s="2" t="n">
        <v>1.349033954</v>
      </c>
      <c r="N125" s="2" t="n">
        <v>2.530302089</v>
      </c>
      <c r="O125" s="2" t="n">
        <v>2.566920298</v>
      </c>
      <c r="P125" s="2" t="n">
        <v>6.544884214</v>
      </c>
      <c r="R125" s="2" t="n">
        <v>9.178467506</v>
      </c>
      <c r="S125" s="2" t="n">
        <v>7.250965489</v>
      </c>
      <c r="U125" s="2" t="n">
        <v>0.980897016</v>
      </c>
      <c r="V125" s="2" t="n">
        <v>4.70701906</v>
      </c>
      <c r="W125" s="2" t="n">
        <v>14.64883629</v>
      </c>
      <c r="X125" s="2" t="n">
        <v>2.927871291</v>
      </c>
      <c r="Z125" s="2" t="n">
        <v>6.536367346</v>
      </c>
      <c r="AA125" s="2" t="n">
        <v>2.102771747</v>
      </c>
      <c r="AB125" s="2" t="n">
        <v>4.234997921</v>
      </c>
      <c r="AC125" s="2" t="n">
        <v>3.458504521</v>
      </c>
      <c r="AE125" s="2" t="n">
        <v>3.112201535</v>
      </c>
      <c r="AG125" s="2" t="n">
        <v>2.741022859</v>
      </c>
      <c r="AH125" s="2" t="n">
        <v>2.188154652</v>
      </c>
      <c r="AJ125" s="2" t="n">
        <v>4.117062342</v>
      </c>
      <c r="AN125" s="2" t="n">
        <v>0.699460199</v>
      </c>
      <c r="AP125" s="2" t="n">
        <v>1.869821189</v>
      </c>
    </row>
    <row r="126">
      <c r="A126" t="inlineStr">
        <is>
          <t>1978-Q2</t>
        </is>
      </c>
      <c r="B126" s="3" t="n">
        <v>28672</v>
      </c>
      <c r="C126" s="2" t="n">
        <v>0.781340517</v>
      </c>
      <c r="E126" s="2" t="n">
        <v>3.121929803</v>
      </c>
      <c r="F126" s="2" t="n">
        <v>3.683557616</v>
      </c>
      <c r="I126" s="2" t="n">
        <v>2.515066682</v>
      </c>
      <c r="J126" s="2" t="n">
        <v>2.588564186</v>
      </c>
      <c r="K126" s="2" t="n">
        <v>1.838992317</v>
      </c>
      <c r="M126" s="2" t="n">
        <v>2.186230184</v>
      </c>
      <c r="N126" s="2" t="n">
        <v>3.783741131</v>
      </c>
      <c r="O126" s="2" t="n">
        <v>4.508282855</v>
      </c>
      <c r="P126" s="2" t="n">
        <v>8.828711505999999</v>
      </c>
      <c r="R126" s="2" t="n">
        <v>7.982756921</v>
      </c>
      <c r="S126" s="2" t="n">
        <v>6.346614553</v>
      </c>
      <c r="U126" s="2" t="n">
        <v>3.302878796</v>
      </c>
      <c r="V126" s="2" t="n">
        <v>4.985894642</v>
      </c>
      <c r="W126" s="2" t="n">
        <v>12.476476443</v>
      </c>
      <c r="X126" s="2" t="n">
        <v>4.212193346</v>
      </c>
      <c r="Z126" s="2" t="n">
        <v>8.163617638</v>
      </c>
      <c r="AA126" s="2" t="n">
        <v>2.276549971</v>
      </c>
      <c r="AB126" s="2" t="n">
        <v>5.178141202</v>
      </c>
      <c r="AC126" s="2" t="n">
        <v>4.594778877</v>
      </c>
      <c r="AE126" s="2" t="n">
        <v>2.691383137</v>
      </c>
      <c r="AG126" s="2" t="n">
        <v>3.042591498</v>
      </c>
      <c r="AH126" s="2" t="n">
        <v>2.741741366</v>
      </c>
      <c r="AJ126" s="2" t="n">
        <v>6.078147799</v>
      </c>
      <c r="AN126" s="2" t="n">
        <v>0.932660872</v>
      </c>
      <c r="AP126" s="2" t="n">
        <v>3.73902868</v>
      </c>
    </row>
    <row r="127">
      <c r="A127" t="inlineStr">
        <is>
          <t>1978-Q3</t>
        </is>
      </c>
      <c r="B127" s="3" t="n">
        <v>28764</v>
      </c>
      <c r="C127" s="2" t="n">
        <v>2.748223727</v>
      </c>
      <c r="E127" s="2" t="n">
        <v>3.462551233</v>
      </c>
      <c r="F127" s="2" t="n">
        <v>4.122424382</v>
      </c>
      <c r="I127" s="2" t="n">
        <v>3.889417618</v>
      </c>
      <c r="J127" s="2" t="n">
        <v>0.9320767</v>
      </c>
      <c r="K127" s="2" t="n">
        <v>1.377153129</v>
      </c>
      <c r="M127" s="2" t="n">
        <v>2.002161424</v>
      </c>
      <c r="N127" s="2" t="n">
        <v>3.219253297</v>
      </c>
      <c r="O127" s="2" t="n">
        <v>5.231614202</v>
      </c>
      <c r="P127" s="2" t="n">
        <v>4.990077093</v>
      </c>
      <c r="R127" s="2" t="n">
        <v>6.567177225</v>
      </c>
      <c r="S127" s="2" t="n">
        <v>5.559060552</v>
      </c>
      <c r="U127" s="2" t="n">
        <v>4.826971991</v>
      </c>
      <c r="V127" s="2" t="n">
        <v>5.623636677</v>
      </c>
      <c r="W127" s="2" t="n">
        <v>8.073385808999999</v>
      </c>
      <c r="X127" s="2" t="n">
        <v>4.757326416</v>
      </c>
      <c r="Z127" s="2" t="n">
        <v>9.061140082</v>
      </c>
      <c r="AA127" s="2" t="n">
        <v>2.387880199</v>
      </c>
      <c r="AB127" s="2" t="n">
        <v>5.510730985</v>
      </c>
      <c r="AC127" s="2" t="n">
        <v>4.572905008</v>
      </c>
      <c r="AE127" s="2" t="n">
        <v>2.216226293</v>
      </c>
      <c r="AG127" s="2" t="n">
        <v>3.324191658</v>
      </c>
      <c r="AH127" s="2" t="n">
        <v>0.479186537</v>
      </c>
      <c r="AJ127" s="2" t="n">
        <v>5.245773422</v>
      </c>
      <c r="AN127" s="2" t="n">
        <v>0.186093298</v>
      </c>
      <c r="AP127" s="2" t="n">
        <v>3.020486778</v>
      </c>
    </row>
    <row r="128">
      <c r="A128" t="inlineStr">
        <is>
          <t>1978-Q4</t>
        </is>
      </c>
      <c r="B128" s="3" t="n">
        <v>28856</v>
      </c>
      <c r="C128" s="2" t="n">
        <v>3.926289066</v>
      </c>
      <c r="E128" s="2" t="n">
        <v>2.871340067</v>
      </c>
      <c r="F128" s="2" t="n">
        <v>3.400652085</v>
      </c>
      <c r="I128" s="2" t="n">
        <v>3.326126341</v>
      </c>
      <c r="J128" s="2" t="n">
        <v>2.057135403</v>
      </c>
      <c r="K128" s="2" t="n">
        <v>0.555360281</v>
      </c>
      <c r="M128" s="2" t="n">
        <v>4.464082098</v>
      </c>
      <c r="N128" s="2" t="n">
        <v>3.860698903</v>
      </c>
      <c r="O128" s="2" t="n">
        <v>4.403688973</v>
      </c>
      <c r="P128" s="2" t="n">
        <v>8.564743994000001</v>
      </c>
      <c r="R128" s="2" t="n">
        <v>5.175964888</v>
      </c>
      <c r="S128" s="2" t="n">
        <v>4.981397323</v>
      </c>
      <c r="U128" s="2" t="n">
        <v>5.520204454</v>
      </c>
      <c r="V128" s="2" t="n">
        <v>5.713887583</v>
      </c>
      <c r="W128" s="2" t="n">
        <v>9.145261237</v>
      </c>
      <c r="X128" s="2" t="n">
        <v>4.393652312</v>
      </c>
      <c r="Z128" s="2" t="n">
        <v>9.181234344</v>
      </c>
      <c r="AA128" s="2" t="n">
        <v>3.157530826</v>
      </c>
      <c r="AB128" s="2" t="n">
        <v>4.554002336</v>
      </c>
      <c r="AC128" s="2" t="n">
        <v>5.092726997</v>
      </c>
      <c r="AE128" s="2" t="n">
        <v>3.245361669</v>
      </c>
      <c r="AG128" s="2" t="n">
        <v>2.264743132</v>
      </c>
      <c r="AH128" s="2" t="n">
        <v>2.723852448</v>
      </c>
      <c r="AJ128" s="2" t="n">
        <v>6.658095883</v>
      </c>
      <c r="AN128" s="2" t="n">
        <v>0.636638148</v>
      </c>
      <c r="AP128" s="2" t="n">
        <v>3.427018117</v>
      </c>
    </row>
    <row r="129">
      <c r="A129" t="inlineStr">
        <is>
          <t>1979-Q1</t>
        </is>
      </c>
      <c r="B129" s="3" t="n">
        <v>28946</v>
      </c>
      <c r="C129" s="2" t="n">
        <v>6.022761024</v>
      </c>
      <c r="E129" s="2" t="n">
        <v>2.294732966</v>
      </c>
      <c r="F129" s="2" t="n">
        <v>3.391524817</v>
      </c>
      <c r="I129" s="2" t="n">
        <v>3.029295309</v>
      </c>
      <c r="J129" s="2" t="n">
        <v>5.002205628</v>
      </c>
      <c r="K129" s="2" t="n">
        <v>-0.227752239</v>
      </c>
      <c r="M129" s="2" t="n">
        <v>5.442752397</v>
      </c>
      <c r="N129" s="2" t="n">
        <v>3.31871786</v>
      </c>
      <c r="O129" s="2" t="n">
        <v>3.112525599</v>
      </c>
      <c r="P129" s="2" t="n">
        <v>4.909771051</v>
      </c>
      <c r="R129" s="2" t="n">
        <v>3.98656435</v>
      </c>
      <c r="S129" s="2" t="n">
        <v>4.663518204</v>
      </c>
      <c r="U129" s="2" t="n">
        <v>5.46380889</v>
      </c>
      <c r="V129" s="2" t="n">
        <v>5.305508259</v>
      </c>
      <c r="W129" s="2" t="n">
        <v>14.972238618</v>
      </c>
      <c r="X129" s="2" t="n">
        <v>3.508400237</v>
      </c>
      <c r="Z129" s="2" t="n">
        <v>9.284450731</v>
      </c>
      <c r="AA129" s="2" t="n">
        <v>-2.151423426</v>
      </c>
      <c r="AB129" s="2" t="n">
        <v>2.526302157</v>
      </c>
      <c r="AC129" s="2" t="n">
        <v>4.863325894</v>
      </c>
      <c r="AE129" s="2" t="n">
        <v>3.843736535</v>
      </c>
      <c r="AG129" s="2" t="n">
        <v>3.319755455</v>
      </c>
      <c r="AH129" s="2" t="n">
        <v>3.170025801</v>
      </c>
      <c r="AJ129" s="2" t="n">
        <v>6.509913089</v>
      </c>
      <c r="AN129" s="2" t="n">
        <v>1.379136781</v>
      </c>
      <c r="AP129" s="2" t="n">
        <v>3.53490338</v>
      </c>
    </row>
    <row r="130">
      <c r="A130" t="inlineStr">
        <is>
          <t>1979-Q2</t>
        </is>
      </c>
      <c r="B130" s="3" t="n">
        <v>29037</v>
      </c>
      <c r="C130" s="2" t="n">
        <v>3.47548051</v>
      </c>
      <c r="E130" s="2" t="n">
        <v>1.733960769</v>
      </c>
      <c r="F130" s="2" t="n">
        <v>4.070355699</v>
      </c>
      <c r="I130" s="2" t="n">
        <v>5.809207278</v>
      </c>
      <c r="J130" s="2" t="n">
        <v>4.54903364</v>
      </c>
      <c r="K130" s="2" t="n">
        <v>-0.27470229</v>
      </c>
      <c r="M130" s="2" t="n">
        <v>7.191262952</v>
      </c>
      <c r="N130" s="2" t="n">
        <v>2.600581717</v>
      </c>
      <c r="O130" s="2" t="n">
        <v>6.415515932</v>
      </c>
      <c r="P130" s="2" t="n">
        <v>5.999014536</v>
      </c>
      <c r="R130" s="2" t="n">
        <v>3.105040959</v>
      </c>
      <c r="S130" s="2" t="n">
        <v>4.610314163</v>
      </c>
      <c r="U130" s="2" t="n">
        <v>4.424342369</v>
      </c>
      <c r="V130" s="2" t="n">
        <v>6.197364223</v>
      </c>
      <c r="W130" s="2" t="n">
        <v>12.377489255</v>
      </c>
      <c r="X130" s="2" t="n">
        <v>2.547963554</v>
      </c>
      <c r="Z130" s="2" t="n">
        <v>9.392878676</v>
      </c>
      <c r="AA130" s="2" t="n">
        <v>3.357937813</v>
      </c>
      <c r="AB130" s="2" t="n">
        <v>3.90756328</v>
      </c>
      <c r="AC130" s="2" t="n">
        <v>4.089264636</v>
      </c>
      <c r="AE130" s="2" t="n">
        <v>5.54859592</v>
      </c>
      <c r="AG130" s="2" t="n">
        <v>4.38634536</v>
      </c>
      <c r="AH130" s="2" t="n">
        <v>3.218484733</v>
      </c>
      <c r="AJ130" s="2" t="n">
        <v>2.656855063</v>
      </c>
      <c r="AN130" s="2" t="n">
        <v>1.717514124</v>
      </c>
      <c r="AP130" s="2" t="n">
        <v>2.227984745</v>
      </c>
    </row>
    <row r="131">
      <c r="A131" t="inlineStr">
        <is>
          <t>1979-Q3</t>
        </is>
      </c>
      <c r="B131" s="3" t="n">
        <v>29129</v>
      </c>
      <c r="C131" s="2" t="n">
        <v>2.877142817</v>
      </c>
      <c r="E131" s="2" t="n">
        <v>2.046962049</v>
      </c>
      <c r="F131" s="2" t="n">
        <v>3.799728143</v>
      </c>
      <c r="I131" s="2" t="n">
        <v>4.439655589</v>
      </c>
      <c r="J131" s="2" t="n">
        <v>2.193385698</v>
      </c>
      <c r="K131" s="2" t="n">
        <v>0.087956887</v>
      </c>
      <c r="M131" s="2" t="n">
        <v>7.639547203</v>
      </c>
      <c r="N131" s="2" t="n">
        <v>3.864765295</v>
      </c>
      <c r="O131" s="2" t="n">
        <v>2.626822774</v>
      </c>
      <c r="P131" s="2" t="n">
        <v>3.607844563</v>
      </c>
      <c r="R131" s="2" t="n">
        <v>2.642082307</v>
      </c>
      <c r="S131" s="2" t="n">
        <v>4.852699152</v>
      </c>
      <c r="U131" s="2" t="n">
        <v>5.67522968</v>
      </c>
      <c r="V131" s="2" t="n">
        <v>5.641055737</v>
      </c>
      <c r="W131" s="2" t="n">
        <v>7.272683028</v>
      </c>
      <c r="X131" s="2" t="n">
        <v>1.850604319</v>
      </c>
      <c r="Z131" s="2" t="n">
        <v>9.214405183</v>
      </c>
      <c r="AA131" s="2" t="n">
        <v>3.158213819</v>
      </c>
      <c r="AB131" s="2" t="n">
        <v>5.351986831</v>
      </c>
      <c r="AC131" s="2" t="n">
        <v>3.657746284</v>
      </c>
      <c r="AE131" s="2" t="n">
        <v>6.380889649</v>
      </c>
      <c r="AG131" s="2" t="n">
        <v>3.923189274</v>
      </c>
      <c r="AH131" s="2" t="n">
        <v>5.682722854</v>
      </c>
      <c r="AJ131" s="2" t="n">
        <v>2.389915413</v>
      </c>
      <c r="AN131" s="2" t="n">
        <v>2.638118427</v>
      </c>
      <c r="AP131" s="2" t="n">
        <v>4.111071621</v>
      </c>
    </row>
    <row r="132">
      <c r="A132" t="inlineStr">
        <is>
          <t>1979-Q4</t>
        </is>
      </c>
      <c r="B132" s="3" t="n">
        <v>29221</v>
      </c>
      <c r="C132" s="2" t="n">
        <v>3.999073411</v>
      </c>
      <c r="E132" s="2" t="n">
        <v>3.280563428</v>
      </c>
      <c r="F132" s="2" t="n">
        <v>3.582273058</v>
      </c>
      <c r="I132" s="2" t="n">
        <v>3.865566592</v>
      </c>
      <c r="J132" s="2" t="n">
        <v>2.507184819</v>
      </c>
      <c r="K132" s="2" t="n">
        <v>0.5886465319999999</v>
      </c>
      <c r="M132" s="2" t="n">
        <v>6.609179719</v>
      </c>
      <c r="N132" s="2" t="n">
        <v>3.184112137</v>
      </c>
      <c r="O132" s="2" t="n">
        <v>2.763179163</v>
      </c>
      <c r="P132" s="2" t="n">
        <v>-1.127246204</v>
      </c>
      <c r="R132" s="2" t="n">
        <v>2.585266415</v>
      </c>
      <c r="S132" s="2" t="n">
        <v>5.303513954</v>
      </c>
      <c r="U132" s="2" t="n">
        <v>6.539234287</v>
      </c>
      <c r="V132" s="2" t="n">
        <v>4.590912203</v>
      </c>
      <c r="W132" s="2" t="n">
        <v>0.807386062</v>
      </c>
      <c r="X132" s="2" t="n">
        <v>1.509830774</v>
      </c>
      <c r="Z132" s="2" t="n">
        <v>8.749299132999999</v>
      </c>
      <c r="AA132" s="2" t="n">
        <v>2.938000372</v>
      </c>
      <c r="AB132" s="2" t="n">
        <v>6.157623668</v>
      </c>
      <c r="AC132" s="2" t="n">
        <v>3.006924891</v>
      </c>
      <c r="AE132" s="2" t="n">
        <v>6.74494611</v>
      </c>
      <c r="AG132" s="2" t="n">
        <v>3.690018875</v>
      </c>
      <c r="AH132" s="2" t="n">
        <v>4.099979004</v>
      </c>
      <c r="AJ132" s="2" t="n">
        <v>1.284557672</v>
      </c>
      <c r="AN132" s="2" t="n">
        <v>3.808166429</v>
      </c>
      <c r="AP132" s="2" t="n">
        <v>5.289307971</v>
      </c>
    </row>
    <row r="133">
      <c r="A133" t="inlineStr">
        <is>
          <t>1980-Q1</t>
        </is>
      </c>
      <c r="B133" s="3" t="n">
        <v>29312</v>
      </c>
      <c r="C133" s="2" t="n">
        <v>1.682871335</v>
      </c>
      <c r="E133" s="2" t="n">
        <v>6.781734867</v>
      </c>
      <c r="F133" s="2" t="n">
        <v>3.446916792</v>
      </c>
      <c r="I133" s="2" t="n">
        <v>4.568469121</v>
      </c>
      <c r="J133" s="2" t="n">
        <v>3.124879976</v>
      </c>
      <c r="K133" s="2" t="n">
        <v>1.423891899</v>
      </c>
      <c r="M133" s="2" t="n">
        <v>6.236961754</v>
      </c>
      <c r="N133" s="2" t="n">
        <v>3.499223939</v>
      </c>
      <c r="O133" s="2" t="n">
        <v>2.145663077</v>
      </c>
      <c r="P133" s="2" t="n">
        <v>1.81587071</v>
      </c>
      <c r="R133" s="2" t="n">
        <v>2.778646765</v>
      </c>
      <c r="S133" s="2" t="n">
        <v>5.752256199</v>
      </c>
      <c r="U133" s="2" t="n">
        <v>4.689559323</v>
      </c>
      <c r="V133" s="2" t="n">
        <v>3.443939632</v>
      </c>
      <c r="W133" s="2" t="n">
        <v>-2.66574512</v>
      </c>
      <c r="X133" s="2" t="n">
        <v>1.348101552</v>
      </c>
      <c r="Z133" s="2" t="n">
        <v>9.274204115</v>
      </c>
      <c r="AA133" s="2" t="n">
        <v>8.186000978999999</v>
      </c>
      <c r="AB133" s="2" t="n">
        <v>10.761772145</v>
      </c>
      <c r="AC133" s="2" t="n">
        <v>3.003678638</v>
      </c>
      <c r="AE133" s="2" t="n">
        <v>7.284454126</v>
      </c>
      <c r="AG133" s="2" t="n">
        <v>3.58619981</v>
      </c>
      <c r="AH133" s="2" t="n">
        <v>5.185021438</v>
      </c>
      <c r="AJ133" s="2" t="n">
        <v>1.420775266</v>
      </c>
      <c r="AN133" s="2" t="n">
        <v>5.021502261</v>
      </c>
      <c r="AP133" s="2" t="n">
        <v>5.603966755</v>
      </c>
    </row>
    <row r="134">
      <c r="A134" t="inlineStr">
        <is>
          <t>1980-Q2</t>
        </is>
      </c>
      <c r="B134" s="3" t="n">
        <v>29403</v>
      </c>
      <c r="C134" s="2" t="n">
        <v>3.607338277</v>
      </c>
      <c r="E134" s="2" t="n">
        <v>5.695113661</v>
      </c>
      <c r="F134" s="2" t="n">
        <v>2.039494392</v>
      </c>
      <c r="I134" s="2" t="n">
        <v>0.76620879</v>
      </c>
      <c r="J134" s="2" t="n">
        <v>-1.21976052</v>
      </c>
      <c r="K134" s="2" t="n">
        <v>1.610681873</v>
      </c>
      <c r="M134" s="2" t="n">
        <v>3.286483097</v>
      </c>
      <c r="N134" s="2" t="n">
        <v>1.953614748</v>
      </c>
      <c r="O134" s="2" t="n">
        <v>-4.110848878</v>
      </c>
      <c r="P134" s="2" t="n">
        <v>0.433302897</v>
      </c>
      <c r="R134" s="2" t="n">
        <v>3.040938231</v>
      </c>
      <c r="S134" s="2" t="n">
        <v>6.004412324</v>
      </c>
      <c r="U134" s="2" t="n">
        <v>4.740438214</v>
      </c>
      <c r="V134" s="2" t="n">
        <v>1.052248035</v>
      </c>
      <c r="W134" s="2" t="n">
        <v>-3.917118286</v>
      </c>
      <c r="X134" s="2" t="n">
        <v>1.152266108</v>
      </c>
      <c r="Z134" s="2" t="n">
        <v>7.60676692</v>
      </c>
      <c r="AA134" s="2" t="n">
        <v>0.338575393</v>
      </c>
      <c r="AB134" s="2" t="n">
        <v>5.348903762</v>
      </c>
      <c r="AC134" s="2" t="n">
        <v>0.679552937</v>
      </c>
      <c r="AE134" s="2" t="n">
        <v>5.022777987</v>
      </c>
      <c r="AG134" s="2" t="n">
        <v>4.095318325</v>
      </c>
      <c r="AH134" s="2" t="n">
        <v>-1.412399589</v>
      </c>
      <c r="AJ134" s="2" t="n">
        <v>-0.775062713</v>
      </c>
      <c r="AN134" s="2" t="n">
        <v>4.810227938</v>
      </c>
      <c r="AP134" s="2" t="n">
        <v>6.920808722</v>
      </c>
    </row>
    <row r="135">
      <c r="A135" t="inlineStr">
        <is>
          <t>1980-Q3</t>
        </is>
      </c>
      <c r="B135" s="3" t="n">
        <v>29495</v>
      </c>
      <c r="C135" s="2" t="n">
        <v>3.192960489</v>
      </c>
      <c r="E135" s="2" t="n">
        <v>3.671015497</v>
      </c>
      <c r="F135" s="2" t="n">
        <v>1.221901043</v>
      </c>
      <c r="I135" s="2" t="n">
        <v>0.366439143</v>
      </c>
      <c r="J135" s="2" t="n">
        <v>-1.876250217</v>
      </c>
      <c r="K135" s="2" t="n">
        <v>0.964948963</v>
      </c>
      <c r="M135" s="2" t="n">
        <v>7.516966275</v>
      </c>
      <c r="N135" s="2" t="n">
        <v>0.709384614</v>
      </c>
      <c r="O135" s="2" t="n">
        <v>-2.020093552</v>
      </c>
      <c r="P135" s="2" t="n">
        <v>0.556101326</v>
      </c>
      <c r="R135" s="2" t="n">
        <v>3.220023578</v>
      </c>
      <c r="S135" s="2" t="n">
        <v>5.868468226</v>
      </c>
      <c r="U135" s="2" t="n">
        <v>3.044983074</v>
      </c>
      <c r="V135" s="2" t="n">
        <v>2.533761582</v>
      </c>
      <c r="W135" s="2" t="n">
        <v>0.688488071</v>
      </c>
      <c r="X135" s="2" t="n">
        <v>0.741006783</v>
      </c>
      <c r="Z135" s="2" t="n">
        <v>7.699434116</v>
      </c>
      <c r="AA135" s="2" t="n">
        <v>-1.067033976</v>
      </c>
      <c r="AB135" s="2" t="n">
        <v>0.822777065</v>
      </c>
      <c r="AC135" s="2" t="n">
        <v>0.481726355</v>
      </c>
      <c r="AE135" s="2" t="n">
        <v>3.290390703</v>
      </c>
      <c r="AG135" s="2" t="n">
        <v>3.928890296</v>
      </c>
      <c r="AH135" s="2" t="n">
        <v>2.04903702</v>
      </c>
      <c r="AJ135" s="2" t="n">
        <v>-1.623797431</v>
      </c>
      <c r="AN135" s="2" t="n">
        <v>4.310899024</v>
      </c>
      <c r="AP135" s="2" t="n">
        <v>7.945617909</v>
      </c>
    </row>
    <row r="136">
      <c r="A136" t="inlineStr">
        <is>
          <t>1980-Q4</t>
        </is>
      </c>
      <c r="B136" s="3" t="n">
        <v>29587</v>
      </c>
      <c r="C136" s="2" t="n">
        <v>2.984711957</v>
      </c>
      <c r="E136" s="2" t="n">
        <v>1.852922115</v>
      </c>
      <c r="F136" s="2" t="n">
        <v>1.940387982</v>
      </c>
      <c r="I136" s="2" t="n">
        <v>-0.377486719</v>
      </c>
      <c r="J136" s="2" t="n">
        <v>-1.749837429</v>
      </c>
      <c r="K136" s="2" t="n">
        <v>1.194843181</v>
      </c>
      <c r="M136" s="2" t="n">
        <v>3.358247159</v>
      </c>
      <c r="N136" s="2" t="n">
        <v>0.379801895</v>
      </c>
      <c r="O136" s="2" t="n">
        <v>-4.086673355</v>
      </c>
      <c r="P136" s="2" t="n">
        <v>-0.114009791</v>
      </c>
      <c r="R136" s="2" t="n">
        <v>3.272443636</v>
      </c>
      <c r="S136" s="2" t="n">
        <v>5.375815118</v>
      </c>
      <c r="U136" s="2" t="n">
        <v>1.533254334</v>
      </c>
      <c r="V136" s="2" t="n">
        <v>4.259939594</v>
      </c>
      <c r="W136" s="2" t="n">
        <v>-0.58646568</v>
      </c>
      <c r="X136" s="2" t="n">
        <v>0.129266312</v>
      </c>
      <c r="Z136" s="2" t="n">
        <v>8.732685103</v>
      </c>
      <c r="AA136" s="2" t="n">
        <v>-0.305672117</v>
      </c>
      <c r="AB136" s="2" t="n">
        <v>2.084203044</v>
      </c>
      <c r="AC136" s="2" t="n">
        <v>0.962574642</v>
      </c>
      <c r="AE136" s="2" t="n">
        <v>2.891256401</v>
      </c>
      <c r="AG136" s="2" t="n">
        <v>5.322391725</v>
      </c>
      <c r="AH136" s="2" t="n">
        <v>-0.054837886</v>
      </c>
      <c r="AJ136" s="2" t="n">
        <v>-0.039131615</v>
      </c>
      <c r="AN136" s="2" t="n">
        <v>3.371854952</v>
      </c>
      <c r="AP136" s="2" t="n">
        <v>6.012703734</v>
      </c>
    </row>
    <row r="137">
      <c r="A137" t="inlineStr">
        <is>
          <t>1981-Q1</t>
        </is>
      </c>
      <c r="B137" s="3" t="n">
        <v>29677</v>
      </c>
      <c r="C137" s="2" t="n">
        <v>2.92030641</v>
      </c>
      <c r="E137" s="2" t="n">
        <v>-1.818304235</v>
      </c>
      <c r="F137" s="2" t="n">
        <v>3.462674128</v>
      </c>
      <c r="I137" s="2" t="n">
        <v>0.006600282</v>
      </c>
      <c r="J137" s="2" t="n">
        <v>-3.080016289</v>
      </c>
      <c r="K137" s="2" t="n">
        <v>-0.047428331</v>
      </c>
      <c r="M137" s="2" t="n">
        <v>1.465183022</v>
      </c>
      <c r="N137" s="2" t="n">
        <v>-0.33579422</v>
      </c>
      <c r="O137" s="2" t="n">
        <v>-3.218274373</v>
      </c>
      <c r="P137" s="2" t="n">
        <v>-5.30505699</v>
      </c>
      <c r="R137" s="2" t="n">
        <v>3.264339435</v>
      </c>
      <c r="S137" s="2" t="n">
        <v>4.763864728</v>
      </c>
      <c r="U137" s="2" t="n">
        <v>1.139704129</v>
      </c>
      <c r="V137" s="2" t="n">
        <v>4.499370078</v>
      </c>
      <c r="W137" s="2" t="n">
        <v>2.595365468</v>
      </c>
      <c r="X137" s="2" t="n">
        <v>-0.459210064</v>
      </c>
      <c r="Z137" s="2" t="n">
        <v>8.165443786999999</v>
      </c>
      <c r="AA137" s="2" t="n">
        <v>-1.208918488</v>
      </c>
      <c r="AB137" s="2" t="n">
        <v>-0.065981688</v>
      </c>
      <c r="AC137" s="2" t="n">
        <v>1.438826863</v>
      </c>
      <c r="AE137" s="2" t="n">
        <v>1.749246704</v>
      </c>
      <c r="AG137" s="2" t="n">
        <v>5.1678651</v>
      </c>
      <c r="AH137" s="2" t="n">
        <v>-2.490940076</v>
      </c>
      <c r="AJ137" s="2" t="n">
        <v>1.599979772</v>
      </c>
      <c r="AN137" s="2" t="n">
        <v>1.332675023</v>
      </c>
      <c r="AP137" s="2" t="n">
        <v>5.168764428</v>
      </c>
    </row>
    <row r="138">
      <c r="A138" t="inlineStr">
        <is>
          <t>1981-Q2</t>
        </is>
      </c>
      <c r="B138" s="3" t="n">
        <v>29768</v>
      </c>
      <c r="C138" s="2" t="n">
        <v>4.245779354</v>
      </c>
      <c r="E138" s="2" t="n">
        <v>0.281220272</v>
      </c>
      <c r="F138" s="2" t="n">
        <v>4.658821175</v>
      </c>
      <c r="I138" s="2" t="n">
        <v>0.403350474</v>
      </c>
      <c r="J138" s="2" t="n">
        <v>-1.275445534</v>
      </c>
      <c r="K138" s="2" t="n">
        <v>-0.496310496</v>
      </c>
      <c r="M138" s="2" t="n">
        <v>3.136382032</v>
      </c>
      <c r="N138" s="2" t="n">
        <v>0.871617815</v>
      </c>
      <c r="O138" s="2" t="n">
        <v>-1.020859519</v>
      </c>
      <c r="P138" s="2" t="n">
        <v>-5.593758265</v>
      </c>
      <c r="R138" s="2" t="n">
        <v>3.262883526</v>
      </c>
      <c r="S138" s="2" t="n">
        <v>4.24977325</v>
      </c>
      <c r="U138" s="2" t="n">
        <v>0.556555755</v>
      </c>
      <c r="V138" s="2" t="n">
        <v>6.338764794</v>
      </c>
      <c r="W138" s="2" t="n">
        <v>5.643580267</v>
      </c>
      <c r="X138" s="2" t="n">
        <v>-0.811655451</v>
      </c>
      <c r="Z138" s="2" t="n">
        <v>10.248938249</v>
      </c>
      <c r="AA138" s="2" t="n">
        <v>0.628768462</v>
      </c>
      <c r="AB138" s="2" t="n">
        <v>2.441228403</v>
      </c>
      <c r="AC138" s="2" t="n">
        <v>2.740516774</v>
      </c>
      <c r="AE138" s="2" t="n">
        <v>1.857852665</v>
      </c>
      <c r="AG138" s="2" t="n">
        <v>5.558787834</v>
      </c>
      <c r="AH138" s="2" t="n">
        <v>2.326810765</v>
      </c>
      <c r="AJ138" s="2" t="n">
        <v>2.968700707</v>
      </c>
      <c r="AN138" s="2" t="n">
        <v>2.018691457</v>
      </c>
      <c r="AP138" s="2" t="n">
        <v>5.460639508</v>
      </c>
    </row>
    <row r="139">
      <c r="A139" t="inlineStr">
        <is>
          <t>1981-Q3</t>
        </is>
      </c>
      <c r="B139" s="3" t="n">
        <v>29860</v>
      </c>
      <c r="C139" s="2" t="n">
        <v>5.783641794</v>
      </c>
      <c r="E139" s="2" t="n">
        <v>0.838777975</v>
      </c>
      <c r="F139" s="2" t="n">
        <v>3.838463089</v>
      </c>
      <c r="I139" s="2" t="n">
        <v>1.068809572</v>
      </c>
      <c r="J139" s="2" t="n">
        <v>0.665803992</v>
      </c>
      <c r="K139" s="2" t="n">
        <v>0.344054838</v>
      </c>
      <c r="M139" s="2" t="n">
        <v>-1.276862292</v>
      </c>
      <c r="N139" s="2" t="n">
        <v>1.61026418</v>
      </c>
      <c r="O139" s="2" t="n">
        <v>0.158258369</v>
      </c>
      <c r="P139" s="2" t="n">
        <v>2.477277089</v>
      </c>
      <c r="R139" s="2" t="n">
        <v>3.339522435</v>
      </c>
      <c r="S139" s="2" t="n">
        <v>4.033520581</v>
      </c>
      <c r="U139" s="2" t="n">
        <v>0.519012229</v>
      </c>
      <c r="V139" s="2" t="n">
        <v>3.77769997</v>
      </c>
      <c r="W139" s="2" t="n">
        <v>7.996962979</v>
      </c>
      <c r="X139" s="2" t="n">
        <v>-0.725291694</v>
      </c>
      <c r="Z139" s="2" t="n">
        <v>8.483372977</v>
      </c>
      <c r="AA139" s="2" t="n">
        <v>0.382409178</v>
      </c>
      <c r="AB139" s="2" t="n">
        <v>3.019234352</v>
      </c>
      <c r="AC139" s="2" t="n">
        <v>3.107379156</v>
      </c>
      <c r="AE139" s="2" t="n">
        <v>2.032554575</v>
      </c>
      <c r="AG139" s="2" t="n">
        <v>6.459569105</v>
      </c>
      <c r="AH139" s="2" t="n">
        <v>-0.659633112</v>
      </c>
      <c r="AJ139" s="2" t="n">
        <v>4.325765021</v>
      </c>
      <c r="AN139" s="2" t="n">
        <v>2.07751805</v>
      </c>
      <c r="AP139" s="2" t="n">
        <v>5.194572768</v>
      </c>
    </row>
    <row r="140">
      <c r="A140" t="inlineStr">
        <is>
          <t>1981-Q4</t>
        </is>
      </c>
      <c r="B140" s="3" t="n">
        <v>29952</v>
      </c>
      <c r="C140" s="2" t="n">
        <v>3.575899382</v>
      </c>
      <c r="E140" s="2" t="n">
        <v>1.316051784</v>
      </c>
      <c r="F140" s="2" t="n">
        <v>1.955909127</v>
      </c>
      <c r="I140" s="2" t="n">
        <v>1.123386978</v>
      </c>
      <c r="J140" s="2" t="n">
        <v>0.216510364</v>
      </c>
      <c r="K140" s="2" t="n">
        <v>-0.334207077</v>
      </c>
      <c r="M140" s="2" t="n">
        <v>1.882119861</v>
      </c>
      <c r="N140" s="2" t="n">
        <v>2.257824272</v>
      </c>
      <c r="O140" s="2" t="n">
        <v>1.388648804</v>
      </c>
      <c r="P140" s="2" t="n">
        <v>2.544648852</v>
      </c>
      <c r="R140" s="2" t="n">
        <v>3.431785831</v>
      </c>
      <c r="S140" s="2" t="n">
        <v>4.028297519</v>
      </c>
      <c r="U140" s="2" t="n">
        <v>0.478490283</v>
      </c>
      <c r="V140" s="2" t="n">
        <v>2.359574253</v>
      </c>
      <c r="W140" s="2" t="n">
        <v>12.811298021</v>
      </c>
      <c r="X140" s="2" t="n">
        <v>-0.206537816</v>
      </c>
      <c r="Z140" s="2" t="n">
        <v>7.31911819</v>
      </c>
      <c r="AA140" s="2" t="n">
        <v>-1.816070683</v>
      </c>
      <c r="AB140" s="2" t="n">
        <v>0.8159419530000001</v>
      </c>
      <c r="AC140" s="2" t="n">
        <v>1.856272182</v>
      </c>
      <c r="AE140" s="2" t="n">
        <v>0.8444154820000001</v>
      </c>
      <c r="AG140" s="2" t="n">
        <v>6.904602187</v>
      </c>
      <c r="AH140" s="2" t="n">
        <v>0.18589722</v>
      </c>
      <c r="AJ140" s="2" t="n">
        <v>1.299901157</v>
      </c>
      <c r="AN140" s="2" t="n">
        <v>1.008741394</v>
      </c>
      <c r="AP140" s="2" t="n">
        <v>5.613476113</v>
      </c>
    </row>
    <row r="141">
      <c r="A141" t="inlineStr">
        <is>
          <t>1982-Q1</t>
        </is>
      </c>
      <c r="B141" s="3" t="n">
        <v>30042</v>
      </c>
      <c r="C141" s="2" t="n">
        <v>2.341250669</v>
      </c>
      <c r="E141" s="2" t="n">
        <v>1.428611638</v>
      </c>
      <c r="F141" s="2" t="n">
        <v>-1.416253252</v>
      </c>
      <c r="I141" s="2" t="n">
        <v>0.308726571</v>
      </c>
      <c r="J141" s="2" t="n">
        <v>1.378547221</v>
      </c>
      <c r="K141" s="2" t="n">
        <v>0.645858597</v>
      </c>
      <c r="M141" s="2" t="n">
        <v>2.709408495</v>
      </c>
      <c r="N141" s="2" t="n">
        <v>2.690921631</v>
      </c>
      <c r="O141" s="2" t="n">
        <v>1.632488336</v>
      </c>
      <c r="P141" s="2" t="n">
        <v>2.581970722</v>
      </c>
      <c r="R141" s="2" t="n">
        <v>3.352210381</v>
      </c>
      <c r="S141" s="2" t="n">
        <v>3.87020604</v>
      </c>
      <c r="U141" s="2" t="n">
        <v>1.015064378</v>
      </c>
      <c r="V141" s="2" t="n">
        <v>3.294956071</v>
      </c>
      <c r="W141" s="2" t="n">
        <v>9.087773178000001</v>
      </c>
      <c r="X141" s="2" t="n">
        <v>0.49845716</v>
      </c>
      <c r="Z141" s="2" t="n">
        <v>2.952408048</v>
      </c>
      <c r="AA141" s="2" t="n">
        <v>0.06961236899999999</v>
      </c>
      <c r="AB141" s="2" t="n">
        <v>-0.168187783</v>
      </c>
      <c r="AC141" s="2" t="n">
        <v>0.495825898</v>
      </c>
      <c r="AE141" s="2" t="n">
        <v>2.831411312</v>
      </c>
      <c r="AG141" s="2" t="n">
        <v>8.108608533</v>
      </c>
      <c r="AH141" s="2" t="n">
        <v>-0.142823336</v>
      </c>
      <c r="AJ141" s="2" t="n">
        <v>-2.190348982</v>
      </c>
      <c r="AN141" s="2" t="n">
        <v>0.364897987</v>
      </c>
      <c r="AP141" s="2" t="n">
        <v>3.351452457</v>
      </c>
    </row>
    <row r="142">
      <c r="A142" t="inlineStr">
        <is>
          <t>1982-Q2</t>
        </is>
      </c>
      <c r="B142" s="3" t="n">
        <v>30133</v>
      </c>
      <c r="C142" s="2" t="n">
        <v>1.690218719</v>
      </c>
      <c r="E142" s="2" t="n">
        <v>0.240429213</v>
      </c>
      <c r="F142" s="2" t="n">
        <v>-3.640056899</v>
      </c>
      <c r="I142" s="2" t="n">
        <v>-0.059283061</v>
      </c>
      <c r="J142" s="2" t="n">
        <v>3.33666144</v>
      </c>
      <c r="K142" s="2" t="n">
        <v>1.140082339</v>
      </c>
      <c r="M142" s="2" t="n">
        <v>2.521090838</v>
      </c>
      <c r="N142" s="2" t="n">
        <v>2.680312058</v>
      </c>
      <c r="O142" s="2" t="n">
        <v>2.461881543</v>
      </c>
      <c r="P142" s="2" t="n">
        <v>0.590068637</v>
      </c>
      <c r="R142" s="2" t="n">
        <v>2.948930184</v>
      </c>
      <c r="S142" s="2" t="n">
        <v>3.237227685</v>
      </c>
      <c r="U142" s="2" t="n">
        <v>0.531971372</v>
      </c>
      <c r="V142" s="2" t="n">
        <v>2.746764067</v>
      </c>
      <c r="W142" s="2" t="n">
        <v>9.016197517</v>
      </c>
      <c r="X142" s="2" t="n">
        <v>1.122658544</v>
      </c>
      <c r="Z142" s="2" t="n">
        <v>0.505059441</v>
      </c>
      <c r="AA142" s="2" t="n">
        <v>-2.339942097</v>
      </c>
      <c r="AB142" s="2" t="n">
        <v>-0.570666291</v>
      </c>
      <c r="AC142" s="2" t="n">
        <v>0.531264263</v>
      </c>
      <c r="AE142" s="2" t="n">
        <v>1.36695612</v>
      </c>
      <c r="AG142" s="2" t="n">
        <v>7.181927922</v>
      </c>
      <c r="AH142" s="2" t="n">
        <v>2.02975177</v>
      </c>
      <c r="AJ142" s="2" t="n">
        <v>-1.010568147</v>
      </c>
      <c r="AN142" s="2" t="n">
        <v>-1.236579414</v>
      </c>
      <c r="AP142" s="2" t="n">
        <v>0.298692939</v>
      </c>
    </row>
    <row r="143">
      <c r="A143" t="inlineStr">
        <is>
          <t>1982-Q3</t>
        </is>
      </c>
      <c r="B143" s="3" t="n">
        <v>30225</v>
      </c>
      <c r="C143" s="2" t="n">
        <v>-0.978779456</v>
      </c>
      <c r="E143" s="2" t="n">
        <v>0.785574479</v>
      </c>
      <c r="F143" s="2" t="n">
        <v>-3.619406541</v>
      </c>
      <c r="I143" s="2" t="n">
        <v>-1.307091516</v>
      </c>
      <c r="J143" s="2" t="n">
        <v>3.76960473</v>
      </c>
      <c r="K143" s="2" t="n">
        <v>1.370186939</v>
      </c>
      <c r="M143" s="2" t="n">
        <v>3.123627312</v>
      </c>
      <c r="N143" s="2" t="n">
        <v>2.087574641</v>
      </c>
      <c r="O143" s="2" t="n">
        <v>1.604156363</v>
      </c>
      <c r="P143" s="2" t="n">
        <v>-3.200490288</v>
      </c>
      <c r="R143" s="2" t="n">
        <v>2.05463539</v>
      </c>
      <c r="S143" s="2" t="n">
        <v>1.80260906</v>
      </c>
      <c r="U143" s="2" t="n">
        <v>0.431689076</v>
      </c>
      <c r="V143" s="2" t="n">
        <v>3.425808121</v>
      </c>
      <c r="W143" s="2" t="n">
        <v>6.830068155</v>
      </c>
      <c r="X143" s="2" t="n">
        <v>1.43532509</v>
      </c>
      <c r="Z143" s="2" t="n">
        <v>-0.736684843</v>
      </c>
      <c r="AA143" s="2" t="n">
        <v>-0.345815996</v>
      </c>
      <c r="AB143" s="2" t="n">
        <v>0.655417884</v>
      </c>
      <c r="AC143" s="2" t="n">
        <v>-0.263788178</v>
      </c>
      <c r="AE143" s="2" t="n">
        <v>2.00699983</v>
      </c>
      <c r="AG143" s="2" t="n">
        <v>7.552361131</v>
      </c>
      <c r="AH143" s="2" t="n">
        <v>-0.004190578</v>
      </c>
      <c r="AJ143" s="2" t="n">
        <v>-2.555921433</v>
      </c>
      <c r="AN143" s="2" t="n">
        <v>-2.495189913</v>
      </c>
      <c r="AP143" s="2" t="n">
        <v>-1.165397177</v>
      </c>
    </row>
    <row r="144">
      <c r="A144" t="inlineStr">
        <is>
          <t>1982-Q4</t>
        </is>
      </c>
      <c r="B144" s="3" t="n">
        <v>30317</v>
      </c>
      <c r="C144" s="2" t="n">
        <v>-2.155246056</v>
      </c>
      <c r="E144" s="2" t="n">
        <v>-0.120160379</v>
      </c>
      <c r="F144" s="2" t="n">
        <v>-4.069449539</v>
      </c>
      <c r="I144" s="2" t="n">
        <v>-0.9925852979999999</v>
      </c>
      <c r="J144" s="2" t="n">
        <v>3.596938927</v>
      </c>
      <c r="K144" s="2" t="n">
        <v>1.829180091</v>
      </c>
      <c r="M144" s="2" t="n">
        <v>4.020418085</v>
      </c>
      <c r="N144" s="2" t="n">
        <v>2.128027154</v>
      </c>
      <c r="O144" s="2" t="n">
        <v>2.18756011</v>
      </c>
      <c r="P144" s="2" t="n">
        <v>-4.296798271</v>
      </c>
      <c r="R144" s="2" t="n">
        <v>0.81496269</v>
      </c>
      <c r="S144" s="2" t="n">
        <v>-0.222357353</v>
      </c>
      <c r="U144" s="2" t="n">
        <v>-0.666571911</v>
      </c>
      <c r="V144" s="2" t="n">
        <v>4.10312509</v>
      </c>
      <c r="W144" s="2" t="n">
        <v>8.489928544</v>
      </c>
      <c r="X144" s="2" t="n">
        <v>1.468967163</v>
      </c>
      <c r="Z144" s="2" t="n">
        <v>-4.623492747</v>
      </c>
      <c r="AA144" s="2" t="n">
        <v>-2.516722717</v>
      </c>
      <c r="AB144" s="2" t="n">
        <v>1.002833917</v>
      </c>
      <c r="AC144" s="2" t="n">
        <v>0.000303563</v>
      </c>
      <c r="AE144" s="2" t="n">
        <v>2.335787302</v>
      </c>
      <c r="AG144" s="2" t="n">
        <v>5.477589176</v>
      </c>
      <c r="AH144" s="2" t="n">
        <v>3.101433116</v>
      </c>
      <c r="AJ144" s="2" t="n">
        <v>-1.443156179</v>
      </c>
      <c r="AN144" s="2" t="n">
        <v>-2.362026584</v>
      </c>
      <c r="AP144" s="2" t="n">
        <v>-3.854637026</v>
      </c>
    </row>
    <row r="145">
      <c r="A145" t="inlineStr">
        <is>
          <t>1983-Q1</t>
        </is>
      </c>
      <c r="B145" s="3" t="n">
        <v>30407</v>
      </c>
      <c r="C145" s="2" t="n">
        <v>-2.346381545</v>
      </c>
      <c r="E145" s="2" t="n">
        <v>-0.235342511</v>
      </c>
      <c r="F145" s="2" t="n">
        <v>-1.303643384</v>
      </c>
      <c r="I145" s="2" t="n">
        <v>-0.468227457</v>
      </c>
      <c r="J145" s="2" t="n">
        <v>2.774982482</v>
      </c>
      <c r="K145" s="2" t="n">
        <v>1.782393462</v>
      </c>
      <c r="M145" s="2" t="n">
        <v>3.497922505</v>
      </c>
      <c r="N145" s="2" t="n">
        <v>1.793282244</v>
      </c>
      <c r="O145" s="2" t="n">
        <v>3.891082844</v>
      </c>
      <c r="P145" s="2" t="n">
        <v>-3.583529451</v>
      </c>
      <c r="R145" s="2" t="n">
        <v>-0.303196618</v>
      </c>
      <c r="S145" s="2" t="n">
        <v>-2.081205123</v>
      </c>
      <c r="U145" s="2" t="n">
        <v>-0.349283248</v>
      </c>
      <c r="V145" s="2" t="n">
        <v>2.596482338</v>
      </c>
      <c r="W145" s="2" t="n">
        <v>12.532870913</v>
      </c>
      <c r="X145" s="2" t="n">
        <v>1.563836604</v>
      </c>
      <c r="Z145" s="2" t="n">
        <v>-3.468731128</v>
      </c>
      <c r="AA145" s="2" t="n">
        <v>-2.619631677</v>
      </c>
      <c r="AB145" s="2" t="n">
        <v>2.198561872</v>
      </c>
      <c r="AC145" s="2" t="n">
        <v>1.105923579</v>
      </c>
      <c r="AE145" s="2" t="n">
        <v>0.83359598</v>
      </c>
      <c r="AG145" s="2" t="n">
        <v>5.153409924</v>
      </c>
      <c r="AH145" s="2" t="n">
        <v>1.646215938</v>
      </c>
      <c r="AJ145" s="2" t="n">
        <v>1.431455577</v>
      </c>
      <c r="AN145" s="2" t="n">
        <v>-0.7653686119999999</v>
      </c>
      <c r="AP145" s="2" t="n">
        <v>-4.453499234</v>
      </c>
    </row>
    <row r="146">
      <c r="A146" t="inlineStr">
        <is>
          <t>1983-Q2</t>
        </is>
      </c>
      <c r="B146" s="3" t="n">
        <v>30498</v>
      </c>
      <c r="C146" s="2" t="n">
        <v>-3.406439866</v>
      </c>
      <c r="E146" s="2" t="n">
        <v>-0.456438712</v>
      </c>
      <c r="F146" s="2" t="n">
        <v>1.814321126</v>
      </c>
      <c r="I146" s="2" t="n">
        <v>1.202617374</v>
      </c>
      <c r="J146" s="2" t="n">
        <v>3.240899376</v>
      </c>
      <c r="K146" s="2" t="n">
        <v>2.023536165</v>
      </c>
      <c r="M146" s="2" t="n">
        <v>3.564252225</v>
      </c>
      <c r="N146" s="2" t="n">
        <v>1.109806068</v>
      </c>
      <c r="O146" s="2" t="n">
        <v>3.663255171</v>
      </c>
      <c r="P146" s="2" t="n">
        <v>-2.590123414</v>
      </c>
      <c r="R146" s="2" t="n">
        <v>-0.887906019</v>
      </c>
      <c r="S146" s="2" t="n">
        <v>-3.109203814</v>
      </c>
      <c r="U146" s="2" t="n">
        <v>-0.185625127</v>
      </c>
      <c r="V146" s="2" t="n">
        <v>2.66311157</v>
      </c>
      <c r="W146" s="2" t="n">
        <v>13.345797969</v>
      </c>
      <c r="X146" s="2" t="n">
        <v>2.057655532</v>
      </c>
      <c r="Z146" s="2" t="n">
        <v>-5.553618924</v>
      </c>
      <c r="AA146" s="2" t="n">
        <v>2.519841642</v>
      </c>
      <c r="AB146" s="2" t="n">
        <v>3.31547193</v>
      </c>
      <c r="AC146" s="2" t="n">
        <v>1.968950335</v>
      </c>
      <c r="AE146" s="2" t="n">
        <v>1.293490896</v>
      </c>
      <c r="AG146" s="2" t="n">
        <v>5.624835982</v>
      </c>
      <c r="AH146" s="2" t="n">
        <v>0.328368334</v>
      </c>
      <c r="AJ146" s="2" t="n">
        <v>3.268532884</v>
      </c>
      <c r="AN146" s="2" t="n">
        <v>-0.006041961</v>
      </c>
      <c r="AP146" s="2" t="n">
        <v>-3.249435611</v>
      </c>
    </row>
    <row r="147">
      <c r="A147" t="inlineStr">
        <is>
          <t>1983-Q3</t>
        </is>
      </c>
      <c r="B147" s="3" t="n">
        <v>30590</v>
      </c>
      <c r="C147" s="2" t="n">
        <v>-0.043280675</v>
      </c>
      <c r="E147" s="2" t="n">
        <v>0.261423772</v>
      </c>
      <c r="F147" s="2" t="n">
        <v>3.863388063</v>
      </c>
      <c r="I147" s="2" t="n">
        <v>1.999914709</v>
      </c>
      <c r="J147" s="2" t="n">
        <v>0.865698671</v>
      </c>
      <c r="K147" s="2" t="n">
        <v>1.490332279</v>
      </c>
      <c r="M147" s="2" t="n">
        <v>3.393440295</v>
      </c>
      <c r="N147" s="2" t="n">
        <v>1.143162037</v>
      </c>
      <c r="O147" s="2" t="n">
        <v>4.531865216</v>
      </c>
      <c r="P147" s="2" t="n">
        <v>0.735126009</v>
      </c>
      <c r="R147" s="2" t="n">
        <v>-0.535380313</v>
      </c>
      <c r="S147" s="2" t="n">
        <v>-2.658711581</v>
      </c>
      <c r="U147" s="2" t="n">
        <v>1.727558523</v>
      </c>
      <c r="V147" s="2" t="n">
        <v>3.745838338</v>
      </c>
      <c r="W147" s="2" t="n">
        <v>15.166445026</v>
      </c>
      <c r="X147" s="2" t="n">
        <v>3.275449908</v>
      </c>
      <c r="Z147" s="2" t="n">
        <v>-4.079716111</v>
      </c>
      <c r="AA147" s="2" t="n">
        <v>2.89118171</v>
      </c>
      <c r="AB147" s="2" t="n">
        <v>4.774737988</v>
      </c>
      <c r="AC147" s="2" t="n">
        <v>3.471717575</v>
      </c>
      <c r="AE147" s="2" t="n">
        <v>-0.682358487</v>
      </c>
      <c r="AG147" s="2" t="n">
        <v>2.929695439</v>
      </c>
      <c r="AH147" s="2" t="n">
        <v>2.734841712</v>
      </c>
      <c r="AJ147" s="2" t="n">
        <v>5.737169685</v>
      </c>
      <c r="AN147" s="2" t="n">
        <v>1.202043234</v>
      </c>
      <c r="AP147" s="2" t="n">
        <v>-2.109084591</v>
      </c>
    </row>
    <row r="148">
      <c r="A148" t="inlineStr">
        <is>
          <t>1983-Q4</t>
        </is>
      </c>
      <c r="B148" s="3" t="n">
        <v>30682</v>
      </c>
      <c r="C148" s="2" t="n">
        <v>3.255576322</v>
      </c>
      <c r="E148" s="2" t="n">
        <v>2.02778772</v>
      </c>
      <c r="F148" s="2" t="n">
        <v>6.151657594</v>
      </c>
      <c r="I148" s="2" t="n">
        <v>3.16368421</v>
      </c>
      <c r="J148" s="2" t="n">
        <v>3.204697437</v>
      </c>
      <c r="K148" s="2" t="n">
        <v>1.787282401</v>
      </c>
      <c r="M148" s="2" t="n">
        <v>1.850726737</v>
      </c>
      <c r="N148" s="2" t="n">
        <v>1.182148366</v>
      </c>
      <c r="O148" s="2" t="n">
        <v>4.692152367</v>
      </c>
      <c r="P148" s="2" t="n">
        <v>1.210939504</v>
      </c>
      <c r="R148" s="2" t="n">
        <v>0.752352581</v>
      </c>
      <c r="S148" s="2" t="n">
        <v>-0.738434772</v>
      </c>
      <c r="U148" s="2" t="n">
        <v>4.285885422</v>
      </c>
      <c r="V148" s="2" t="n">
        <v>3.176430465</v>
      </c>
      <c r="W148" s="2" t="n">
        <v>12.452149351</v>
      </c>
      <c r="X148" s="2" t="n">
        <v>5.03940664</v>
      </c>
      <c r="Z148" s="2" t="n">
        <v>-0.7995198</v>
      </c>
      <c r="AA148" s="2" t="n">
        <v>4.361589203</v>
      </c>
      <c r="AB148" s="2" t="n">
        <v>4.479750356</v>
      </c>
      <c r="AC148" s="2" t="n">
        <v>4.748209201</v>
      </c>
      <c r="AE148" s="2" t="n">
        <v>-2.12369048</v>
      </c>
      <c r="AG148" s="2" t="n">
        <v>-1.125031847</v>
      </c>
      <c r="AH148" s="2" t="n">
        <v>2.801680378</v>
      </c>
      <c r="AJ148" s="2" t="n">
        <v>7.899974981</v>
      </c>
      <c r="AN148" s="2" t="n">
        <v>1.862218692</v>
      </c>
      <c r="AP148" s="2" t="n">
        <v>2.541563112</v>
      </c>
    </row>
    <row r="149">
      <c r="A149" t="inlineStr">
        <is>
          <t>1984-Q1</t>
        </is>
      </c>
      <c r="B149" s="3" t="n">
        <v>30773</v>
      </c>
      <c r="C149" s="2" t="n">
        <v>6.921488953</v>
      </c>
      <c r="E149" s="2" t="n">
        <v>2.422061448</v>
      </c>
      <c r="F149" s="2" t="n">
        <v>6.20124233</v>
      </c>
      <c r="I149" s="2" t="n">
        <v>3.589300546</v>
      </c>
      <c r="J149" s="2" t="n">
        <v>4.00999926</v>
      </c>
      <c r="K149" s="2" t="n">
        <v>2.255561703</v>
      </c>
      <c r="M149" s="2" t="n">
        <v>3.337690225</v>
      </c>
      <c r="N149" s="2" t="n">
        <v>1.25891567</v>
      </c>
      <c r="O149" s="2" t="n">
        <v>3.503834813</v>
      </c>
      <c r="P149" s="2" t="n">
        <v>1.779593533</v>
      </c>
      <c r="R149" s="2" t="n">
        <v>2.494814195</v>
      </c>
      <c r="S149" s="2" t="n">
        <v>1.844814931</v>
      </c>
      <c r="U149" s="2" t="n">
        <v>3.790992921</v>
      </c>
      <c r="V149" s="2" t="n">
        <v>4.29891577</v>
      </c>
      <c r="W149" s="2" t="n">
        <v>12.399203782</v>
      </c>
      <c r="X149" s="2" t="n">
        <v>6.615597506</v>
      </c>
      <c r="Z149" s="2" t="n">
        <v>2.697849923</v>
      </c>
      <c r="AA149" s="2" t="n">
        <v>5.23545446</v>
      </c>
      <c r="AB149" s="2" t="n">
        <v>5.289480692</v>
      </c>
      <c r="AC149" s="2" t="n">
        <v>5.41389254</v>
      </c>
      <c r="AE149" s="2" t="n">
        <v>-3.765904581</v>
      </c>
      <c r="AG149" s="2" t="n">
        <v>-6.931582722</v>
      </c>
      <c r="AH149" s="2" t="n">
        <v>6.32476122</v>
      </c>
      <c r="AJ149" s="2" t="n">
        <v>8.578275462000001</v>
      </c>
      <c r="AN149" s="2" t="n">
        <v>2.181416351</v>
      </c>
      <c r="AP149" s="2" t="n">
        <v>5.916250836</v>
      </c>
    </row>
    <row r="150">
      <c r="A150" t="inlineStr">
        <is>
          <t>1984-Q2</t>
        </is>
      </c>
      <c r="B150" s="3" t="n">
        <v>30864</v>
      </c>
      <c r="C150" s="2" t="n">
        <v>8.334696922999999</v>
      </c>
      <c r="E150" s="2" t="n">
        <v>2.530255302</v>
      </c>
      <c r="F150" s="2" t="n">
        <v>6.191322382</v>
      </c>
      <c r="I150" s="2" t="n">
        <v>0.895351673</v>
      </c>
      <c r="J150" s="2" t="n">
        <v>3.627576356</v>
      </c>
      <c r="K150" s="2" t="n">
        <v>1.314594816</v>
      </c>
      <c r="M150" s="2" t="n">
        <v>2.402180441</v>
      </c>
      <c r="N150" s="2" t="n">
        <v>1.665247609</v>
      </c>
      <c r="O150" s="2" t="n">
        <v>1.754612523</v>
      </c>
      <c r="P150" s="2" t="n">
        <v>2.342702954</v>
      </c>
      <c r="R150" s="2" t="n">
        <v>4.159408842</v>
      </c>
      <c r="S150" s="2" t="n">
        <v>4.168490104</v>
      </c>
      <c r="U150" s="2" t="n">
        <v>4.250690105</v>
      </c>
      <c r="V150" s="2" t="n">
        <v>5.088232497</v>
      </c>
      <c r="W150" s="2" t="n">
        <v>11.765440349</v>
      </c>
      <c r="X150" s="2" t="n">
        <v>7.310072978</v>
      </c>
      <c r="Z150" s="2" t="n">
        <v>3.262564712</v>
      </c>
      <c r="AA150" s="2" t="n">
        <v>2.392020498</v>
      </c>
      <c r="AB150" s="2" t="n">
        <v>4.78714157</v>
      </c>
      <c r="AC150" s="2" t="n">
        <v>4.96074742</v>
      </c>
      <c r="AE150" s="2" t="n">
        <v>-3.901506084</v>
      </c>
      <c r="AG150" s="2" t="n">
        <v>-9.491930998999999</v>
      </c>
      <c r="AH150" s="2" t="n">
        <v>3.896350307</v>
      </c>
      <c r="AJ150" s="2" t="n">
        <v>7.996696675</v>
      </c>
      <c r="AN150" s="2" t="n">
        <v>2.498528404</v>
      </c>
      <c r="AP150" s="2" t="n">
        <v>7.66954987</v>
      </c>
    </row>
    <row r="151">
      <c r="A151" t="inlineStr">
        <is>
          <t>1984-Q3</t>
        </is>
      </c>
      <c r="B151" s="3" t="n">
        <v>30956</v>
      </c>
      <c r="C151" s="2" t="n">
        <v>6.286056315</v>
      </c>
      <c r="E151" s="2" t="n">
        <v>1.97317014</v>
      </c>
      <c r="F151" s="2" t="n">
        <v>5.45844766</v>
      </c>
      <c r="I151" s="2" t="n">
        <v>3.859431868</v>
      </c>
      <c r="J151" s="2" t="n">
        <v>5.93981063</v>
      </c>
      <c r="K151" s="2" t="n">
        <v>2.046888168</v>
      </c>
      <c r="M151" s="2" t="n">
        <v>2.375720956</v>
      </c>
      <c r="N151" s="2" t="n">
        <v>2.038918819</v>
      </c>
      <c r="O151" s="2" t="n">
        <v>1.3076232</v>
      </c>
      <c r="P151" s="2" t="n">
        <v>3.027287488</v>
      </c>
      <c r="R151" s="2" t="n">
        <v>5.242493631</v>
      </c>
      <c r="S151" s="2" t="n">
        <v>5.343745355</v>
      </c>
      <c r="U151" s="2" t="n">
        <v>3.549872537</v>
      </c>
      <c r="V151" s="2" t="n">
        <v>4.804342973</v>
      </c>
      <c r="W151" s="2" t="n">
        <v>9.232616145</v>
      </c>
      <c r="X151" s="2" t="n">
        <v>6.475143051</v>
      </c>
      <c r="Z151" s="2" t="n">
        <v>4.892367869</v>
      </c>
      <c r="AA151" s="2" t="n">
        <v>2.007358511</v>
      </c>
      <c r="AB151" s="2" t="n">
        <v>6.350905454</v>
      </c>
      <c r="AC151" s="2" t="n">
        <v>4.852802048</v>
      </c>
      <c r="AE151" s="2" t="n">
        <v>-0.092261707</v>
      </c>
      <c r="AG151" s="2" t="n">
        <v>-8.733462441</v>
      </c>
      <c r="AH151" s="2" t="n">
        <v>4.096404689</v>
      </c>
      <c r="AJ151" s="2" t="n">
        <v>6.900837083</v>
      </c>
      <c r="AN151" s="2" t="n">
        <v>3.840910916</v>
      </c>
      <c r="AP151" s="2" t="n">
        <v>4.678250894</v>
      </c>
    </row>
    <row r="152">
      <c r="A152" t="inlineStr">
        <is>
          <t>1984-Q4</t>
        </is>
      </c>
      <c r="B152" s="3" t="n">
        <v>31048</v>
      </c>
      <c r="C152" s="2" t="n">
        <v>5.269289307</v>
      </c>
      <c r="E152" s="2" t="n">
        <v>1.496203624</v>
      </c>
      <c r="F152" s="2" t="n">
        <v>5.796178777</v>
      </c>
      <c r="I152" s="2" t="n">
        <v>3.304747767</v>
      </c>
      <c r="J152" s="2" t="n">
        <v>3.999628876</v>
      </c>
      <c r="K152" s="2" t="n">
        <v>1.521187516</v>
      </c>
      <c r="M152" s="2" t="n">
        <v>3.836094159</v>
      </c>
      <c r="N152" s="2" t="n">
        <v>1.742015217</v>
      </c>
      <c r="O152" s="2" t="n">
        <v>2.423177509</v>
      </c>
      <c r="P152" s="2" t="n">
        <v>0.922686946</v>
      </c>
      <c r="R152" s="2" t="n">
        <v>5.505337006</v>
      </c>
      <c r="S152" s="2" t="n">
        <v>5.16377382</v>
      </c>
      <c r="U152" s="2" t="n">
        <v>1.32041593</v>
      </c>
      <c r="V152" s="2" t="n">
        <v>4.117804445</v>
      </c>
      <c r="W152" s="2" t="n">
        <v>8.983314225000001</v>
      </c>
      <c r="X152" s="2" t="n">
        <v>4.409970937</v>
      </c>
      <c r="Z152" s="2" t="n">
        <v>2.78553242</v>
      </c>
      <c r="AA152" s="2" t="n">
        <v>2.916976951</v>
      </c>
      <c r="AB152" s="2" t="n">
        <v>8.519507367999999</v>
      </c>
      <c r="AC152" s="2" t="n">
        <v>4.035584732</v>
      </c>
      <c r="AE152" s="2" t="n">
        <v>0.330954512</v>
      </c>
      <c r="AG152" s="2" t="n">
        <v>-5.300147901</v>
      </c>
      <c r="AH152" s="2" t="n">
        <v>2.989388197</v>
      </c>
      <c r="AJ152" s="2" t="n">
        <v>5.575799462</v>
      </c>
      <c r="AN152" s="2" t="n">
        <v>4.318440873</v>
      </c>
      <c r="AP152" s="2" t="n">
        <v>2.246739252</v>
      </c>
    </row>
    <row r="153">
      <c r="A153" t="inlineStr">
        <is>
          <t>1985-Q1</t>
        </is>
      </c>
      <c r="B153" s="3" t="n">
        <v>31138</v>
      </c>
      <c r="C153" s="2" t="n">
        <v>4.186498359</v>
      </c>
      <c r="E153" s="2" t="n">
        <v>1.519554599</v>
      </c>
      <c r="F153" s="2" t="n">
        <v>5.587233</v>
      </c>
      <c r="I153" s="2" t="n">
        <v>1.400567503</v>
      </c>
      <c r="J153" s="2" t="n">
        <v>2.993008196</v>
      </c>
      <c r="K153" s="2" t="n">
        <v>1.811958929</v>
      </c>
      <c r="M153" s="2" t="n">
        <v>2.927225911</v>
      </c>
      <c r="N153" s="2" t="n">
        <v>1.252386507</v>
      </c>
      <c r="O153" s="2" t="n">
        <v>2.526133818</v>
      </c>
      <c r="P153" s="2" t="n">
        <v>-1.149777188</v>
      </c>
      <c r="R153" s="2" t="n">
        <v>5.02956314</v>
      </c>
      <c r="S153" s="2" t="n">
        <v>4.232172456</v>
      </c>
      <c r="U153" s="2" t="n">
        <v>2.099923785</v>
      </c>
      <c r="V153" s="2" t="n">
        <v>5.454787039</v>
      </c>
      <c r="W153" s="2" t="n">
        <v>7.343674144</v>
      </c>
      <c r="X153" s="2" t="n">
        <v>2.327789245</v>
      </c>
      <c r="Z153" s="2" t="n">
        <v>1.854300225</v>
      </c>
      <c r="AA153" s="2" t="n">
        <v>1.593426224</v>
      </c>
      <c r="AB153" s="2" t="n">
        <v>7.756688807</v>
      </c>
      <c r="AC153" s="2" t="n">
        <v>3.544473738</v>
      </c>
      <c r="AE153" s="2" t="n">
        <v>2.211011185</v>
      </c>
      <c r="AG153" s="2" t="n">
        <v>-1.107542173</v>
      </c>
      <c r="AH153" s="2" t="n">
        <v>0.856210814</v>
      </c>
      <c r="AJ153" s="2" t="n">
        <v>4.555093389</v>
      </c>
      <c r="AN153" s="2" t="n">
        <v>4.297876526</v>
      </c>
      <c r="AP153" s="2" t="n">
        <v>-0.058200822</v>
      </c>
    </row>
    <row r="154">
      <c r="A154" t="inlineStr">
        <is>
          <t>1985-Q2</t>
        </is>
      </c>
      <c r="B154" s="3" t="n">
        <v>31229</v>
      </c>
      <c r="C154" s="2" t="n">
        <v>5.296132724</v>
      </c>
      <c r="E154" s="2" t="n">
        <v>1.734793514</v>
      </c>
      <c r="F154" s="2" t="n">
        <v>3.891740388</v>
      </c>
      <c r="I154" s="2" t="n">
        <v>4.055948585</v>
      </c>
      <c r="J154" s="2" t="n">
        <v>3.341411233</v>
      </c>
      <c r="K154" s="2" t="n">
        <v>2.030873313</v>
      </c>
      <c r="M154" s="2" t="n">
        <v>3.947309063</v>
      </c>
      <c r="N154" s="2" t="n">
        <v>1.514944947</v>
      </c>
      <c r="O154" s="2" t="n">
        <v>5.638548298</v>
      </c>
      <c r="P154" s="2" t="n">
        <v>1.634306467</v>
      </c>
      <c r="R154" s="2" t="n">
        <v>3.9947819</v>
      </c>
      <c r="S154" s="2" t="n">
        <v>3.234803814</v>
      </c>
      <c r="U154" s="2" t="n">
        <v>3.116545647</v>
      </c>
      <c r="V154" s="2" t="n">
        <v>5.985127831</v>
      </c>
      <c r="W154" s="2" t="n">
        <v>7.241524177</v>
      </c>
      <c r="X154" s="2" t="n">
        <v>1.304820568</v>
      </c>
      <c r="Z154" s="2" t="n">
        <v>3.286314794</v>
      </c>
      <c r="AA154" s="2" t="n">
        <v>3.658819955</v>
      </c>
      <c r="AB154" s="2" t="n">
        <v>5.620688962</v>
      </c>
      <c r="AC154" s="2" t="n">
        <v>3.955339778</v>
      </c>
      <c r="AE154" s="2" t="n">
        <v>4.2851239</v>
      </c>
      <c r="AG154" s="2" t="n">
        <v>1.784217595</v>
      </c>
      <c r="AH154" s="2" t="n">
        <v>3.488603765</v>
      </c>
      <c r="AJ154" s="2" t="n">
        <v>3.684217505</v>
      </c>
      <c r="AN154" s="2" t="n">
        <v>4.66874938</v>
      </c>
      <c r="AP154" s="2" t="n">
        <v>-2.804155293</v>
      </c>
    </row>
    <row r="155">
      <c r="A155" t="inlineStr">
        <is>
          <t>1985-Q3</t>
        </is>
      </c>
      <c r="B155" s="3" t="n">
        <v>31321</v>
      </c>
      <c r="C155" s="2" t="n">
        <v>5.829209552</v>
      </c>
      <c r="E155" s="2" t="n">
        <v>2.13081223</v>
      </c>
      <c r="F155" s="2" t="n">
        <v>4.769223574</v>
      </c>
      <c r="I155" s="2" t="n">
        <v>2.616635647</v>
      </c>
      <c r="J155" s="2" t="n">
        <v>4.639387197</v>
      </c>
      <c r="K155" s="2" t="n">
        <v>2.198530976</v>
      </c>
      <c r="M155" s="2" t="n">
        <v>3.541247485</v>
      </c>
      <c r="N155" s="2" t="n">
        <v>1.798489088</v>
      </c>
      <c r="O155" s="2" t="n">
        <v>5.065350836</v>
      </c>
      <c r="P155" s="2" t="n">
        <v>3.372138342</v>
      </c>
      <c r="R155" s="2" t="n">
        <v>2.522861955</v>
      </c>
      <c r="S155" s="2" t="n">
        <v>2.742371835</v>
      </c>
      <c r="U155" s="2" t="n">
        <v>2.732879256</v>
      </c>
      <c r="V155" s="2" t="n">
        <v>6.07568983</v>
      </c>
      <c r="W155" s="2" t="n">
        <v>7.0028733</v>
      </c>
      <c r="X155" s="2" t="n">
        <v>2.309861309</v>
      </c>
      <c r="Z155" s="2" t="n">
        <v>1.474999436</v>
      </c>
      <c r="AA155" s="2" t="n">
        <v>1.538216729</v>
      </c>
      <c r="AB155" s="2" t="n">
        <v>5.633052715</v>
      </c>
      <c r="AC155" s="2" t="n">
        <v>3.899121958</v>
      </c>
      <c r="AE155" s="2" t="n">
        <v>1.456021465</v>
      </c>
      <c r="AG155" s="2" t="n">
        <v>1.787228465</v>
      </c>
      <c r="AH155" s="2" t="n">
        <v>3.265336819</v>
      </c>
      <c r="AJ155" s="2" t="n">
        <v>4.262444927</v>
      </c>
      <c r="AN155" s="2" t="n">
        <v>3.011549168</v>
      </c>
      <c r="AP155" s="2" t="n">
        <v>-1.426912484</v>
      </c>
    </row>
    <row r="156">
      <c r="A156" t="inlineStr">
        <is>
          <t>1985-Q4</t>
        </is>
      </c>
      <c r="B156" s="3" t="n">
        <v>31413</v>
      </c>
      <c r="C156" s="2" t="n">
        <v>4.835370135</v>
      </c>
      <c r="E156" s="2" t="n">
        <v>2.002577486</v>
      </c>
      <c r="F156" s="2" t="n">
        <v>4.717962995</v>
      </c>
      <c r="I156" s="2" t="n">
        <v>2.370542268</v>
      </c>
      <c r="J156" s="2" t="n">
        <v>6.135595919</v>
      </c>
      <c r="K156" s="2" t="n">
        <v>3.240480386</v>
      </c>
      <c r="M156" s="2" t="n">
        <v>2.505634363</v>
      </c>
      <c r="N156" s="2" t="n">
        <v>1.865879631</v>
      </c>
      <c r="O156" s="2" t="n">
        <v>3.294234989</v>
      </c>
      <c r="P156" s="2" t="n">
        <v>6.113427438</v>
      </c>
      <c r="R156" s="2" t="n">
        <v>0.888903716</v>
      </c>
      <c r="S156" s="2" t="n">
        <v>2.989207382</v>
      </c>
      <c r="U156" s="2" t="n">
        <v>3.401307869</v>
      </c>
      <c r="V156" s="2" t="n">
        <v>7.29962598</v>
      </c>
      <c r="W156" s="2" t="n">
        <v>9.731701212999999</v>
      </c>
      <c r="X156" s="2" t="n">
        <v>5.201996711</v>
      </c>
      <c r="Z156" s="2" t="n">
        <v>2.099227801</v>
      </c>
      <c r="AA156" s="2" t="n">
        <v>3.831424386</v>
      </c>
      <c r="AB156" s="2" t="n">
        <v>4.481891264</v>
      </c>
      <c r="AC156" s="2" t="n">
        <v>4.08238913</v>
      </c>
      <c r="AE156" s="2" t="n">
        <v>3.305567204</v>
      </c>
      <c r="AG156" s="2" t="n">
        <v>2.462096621</v>
      </c>
      <c r="AH156" s="2" t="n">
        <v>1.285841368</v>
      </c>
      <c r="AJ156" s="2" t="n">
        <v>4.182268594</v>
      </c>
      <c r="AN156" s="2" t="n">
        <v>3.115772255</v>
      </c>
      <c r="AP156" s="2" t="n">
        <v>-0.52662913</v>
      </c>
    </row>
    <row r="157">
      <c r="A157" t="inlineStr">
        <is>
          <t>1986-Q1</t>
        </is>
      </c>
      <c r="B157" s="3" t="n">
        <v>31503</v>
      </c>
      <c r="C157" s="2" t="n">
        <v>4.008890401</v>
      </c>
      <c r="E157" s="2" t="n">
        <v>2.124696369</v>
      </c>
      <c r="F157" s="2" t="n">
        <v>3.119680206</v>
      </c>
      <c r="I157" s="2" t="n">
        <v>2.342772922</v>
      </c>
      <c r="J157" s="2" t="n">
        <v>6.714737829</v>
      </c>
      <c r="K157" s="2" t="n">
        <v>2.389015226</v>
      </c>
      <c r="M157" s="2" t="n">
        <v>1.865262234</v>
      </c>
      <c r="N157" s="2" t="n">
        <v>2.07382762</v>
      </c>
      <c r="O157" s="2" t="n">
        <v>3.629937186</v>
      </c>
      <c r="P157" s="2" t="n">
        <v>2.087133074</v>
      </c>
      <c r="R157" s="2" t="n">
        <v>-0.454834467</v>
      </c>
      <c r="S157" s="2" t="n">
        <v>3.883000913</v>
      </c>
      <c r="U157" s="2" t="n">
        <v>3.454207795</v>
      </c>
      <c r="V157" s="2" t="n">
        <v>5.149536188</v>
      </c>
      <c r="W157" s="2" t="n">
        <v>8.786628481999999</v>
      </c>
      <c r="X157" s="2" t="n">
        <v>8.599253941000001</v>
      </c>
      <c r="Z157" s="2" t="n">
        <v>-1.668089743</v>
      </c>
      <c r="AA157" s="2" t="n">
        <v>3.632719088</v>
      </c>
      <c r="AB157" s="2" t="n">
        <v>4.394067071</v>
      </c>
      <c r="AC157" s="2" t="n">
        <v>3.537774859</v>
      </c>
      <c r="AE157" s="2" t="n">
        <v>3.542920579</v>
      </c>
      <c r="AG157" s="2" t="n">
        <v>3.256988157</v>
      </c>
      <c r="AH157" s="2" t="n">
        <v>3.192026819</v>
      </c>
      <c r="AJ157" s="2" t="n">
        <v>4.145589749</v>
      </c>
      <c r="AN157" s="2" t="n">
        <v>2.462847595</v>
      </c>
      <c r="AP157" s="2" t="n">
        <v>-1.122663504</v>
      </c>
    </row>
    <row r="158">
      <c r="A158" t="inlineStr">
        <is>
          <t>1986-Q2</t>
        </is>
      </c>
      <c r="B158" s="3" t="n">
        <v>31594</v>
      </c>
      <c r="C158" s="2" t="n">
        <v>1.580762323</v>
      </c>
      <c r="E158" s="2" t="n">
        <v>1.960227312</v>
      </c>
      <c r="F158" s="2" t="n">
        <v>3.376397808</v>
      </c>
      <c r="I158" s="2" t="n">
        <v>2.493179711</v>
      </c>
      <c r="J158" s="2" t="n">
        <v>4.711821745</v>
      </c>
      <c r="K158" s="2" t="n">
        <v>4.926023059</v>
      </c>
      <c r="M158" s="2" t="n">
        <v>1.167433383</v>
      </c>
      <c r="N158" s="2" t="n">
        <v>2.576335573</v>
      </c>
      <c r="O158" s="2" t="n">
        <v>2.220215627</v>
      </c>
      <c r="P158" s="2" t="n">
        <v>4.657435404</v>
      </c>
      <c r="R158" s="2" t="n">
        <v>-1.129990553</v>
      </c>
      <c r="S158" s="2" t="n">
        <v>5.267960305</v>
      </c>
      <c r="U158" s="2" t="n">
        <v>2.765944695</v>
      </c>
      <c r="V158" s="2" t="n">
        <v>2.809357399</v>
      </c>
      <c r="W158" s="2" t="n">
        <v>10.367594628</v>
      </c>
      <c r="X158" s="2" t="n">
        <v>11.053626404</v>
      </c>
      <c r="Z158" s="2" t="n">
        <v>-1.950427578</v>
      </c>
      <c r="AA158" s="2" t="n">
        <v>3.388281546</v>
      </c>
      <c r="AB158" s="2" t="n">
        <v>4.412912684</v>
      </c>
      <c r="AC158" s="2" t="n">
        <v>3.09946274</v>
      </c>
      <c r="AE158" s="2" t="n">
        <v>3.70130734</v>
      </c>
      <c r="AG158" s="2" t="n">
        <v>0.927411902</v>
      </c>
      <c r="AH158" s="2" t="n">
        <v>2.623817202</v>
      </c>
      <c r="AJ158" s="2" t="n">
        <v>3.701580387</v>
      </c>
      <c r="AN158" s="2" t="n">
        <v>2.082496473</v>
      </c>
      <c r="AP158" s="2" t="n">
        <v>0.289240695</v>
      </c>
    </row>
    <row r="159">
      <c r="A159" t="inlineStr">
        <is>
          <t>1986-Q3</t>
        </is>
      </c>
      <c r="B159" s="3" t="n">
        <v>31686</v>
      </c>
      <c r="C159" s="2" t="n">
        <v>0.5055251120000001</v>
      </c>
      <c r="E159" s="2" t="n">
        <v>2.521071836</v>
      </c>
      <c r="F159" s="2" t="n">
        <v>2.210135185</v>
      </c>
      <c r="I159" s="2" t="n">
        <v>1.922379197</v>
      </c>
      <c r="J159" s="2" t="n">
        <v>2.438169692</v>
      </c>
      <c r="K159" s="2" t="n">
        <v>3.117271102</v>
      </c>
      <c r="M159" s="2" t="n">
        <v>5.052467936</v>
      </c>
      <c r="N159" s="2" t="n">
        <v>2.170780326</v>
      </c>
      <c r="O159" s="2" t="n">
        <v>2.589060667</v>
      </c>
      <c r="P159" s="2" t="n">
        <v>-1.596642788</v>
      </c>
      <c r="R159" s="2" t="n">
        <v>-0.758763209</v>
      </c>
      <c r="S159" s="2" t="n">
        <v>7.040207376</v>
      </c>
      <c r="U159" s="2" t="n">
        <v>2.966893659</v>
      </c>
      <c r="V159" s="2" t="n">
        <v>2.075878236</v>
      </c>
      <c r="W159" s="2" t="n">
        <v>13.837259908</v>
      </c>
      <c r="X159" s="2" t="n">
        <v>11.21240173</v>
      </c>
      <c r="Z159" s="2" t="n">
        <v>-4.409440916</v>
      </c>
      <c r="AA159" s="2" t="n">
        <v>4.670114402</v>
      </c>
      <c r="AB159" s="2" t="n">
        <v>4.111315658</v>
      </c>
      <c r="AC159" s="2" t="n">
        <v>2.605061044</v>
      </c>
      <c r="AE159" s="2" t="n">
        <v>4.647721737</v>
      </c>
      <c r="AG159" s="2" t="n">
        <v>0.45893944</v>
      </c>
      <c r="AH159" s="2" t="n">
        <v>2.000153459</v>
      </c>
      <c r="AJ159" s="2" t="n">
        <v>3.119241274</v>
      </c>
      <c r="AN159" s="2" t="n">
        <v>1.849764496</v>
      </c>
      <c r="AP159" s="2" t="n">
        <v>0.780967301</v>
      </c>
    </row>
    <row r="160">
      <c r="A160" t="inlineStr">
        <is>
          <t>1986-Q4</t>
        </is>
      </c>
      <c r="B160" s="3" t="n">
        <v>31778</v>
      </c>
      <c r="C160" s="2" t="n">
        <v>2.423368766</v>
      </c>
      <c r="E160" s="2" t="n">
        <v>0.81353946</v>
      </c>
      <c r="F160" s="2" t="n">
        <v>-0.061759828</v>
      </c>
      <c r="I160" s="2" t="n">
        <v>2.32473051</v>
      </c>
      <c r="J160" s="2" t="n">
        <v>0.8961032370000001</v>
      </c>
      <c r="K160" s="2" t="n">
        <v>2.597685566</v>
      </c>
      <c r="M160" s="2" t="n">
        <v>2.90998448</v>
      </c>
      <c r="N160" s="2" t="n">
        <v>2.179950277</v>
      </c>
      <c r="O160" s="2" t="n">
        <v>4.169450807</v>
      </c>
      <c r="P160" s="2" t="n">
        <v>-2.699930569</v>
      </c>
      <c r="R160" s="2" t="n">
        <v>0.63470516</v>
      </c>
      <c r="S160" s="2" t="n">
        <v>8.825601820999999</v>
      </c>
      <c r="U160" s="2" t="n">
        <v>2.704833912</v>
      </c>
      <c r="V160" s="2" t="n">
        <v>1.532191884</v>
      </c>
      <c r="W160" s="2" t="n">
        <v>12.192557033</v>
      </c>
      <c r="X160" s="2" t="n">
        <v>9.083482899</v>
      </c>
      <c r="Z160" s="2" t="n">
        <v>-4.410904065</v>
      </c>
      <c r="AA160" s="2" t="n">
        <v>0.8685453990000001</v>
      </c>
      <c r="AB160" s="2" t="n">
        <v>3.681018133</v>
      </c>
      <c r="AC160" s="2" t="n">
        <v>2.392723881</v>
      </c>
      <c r="AE160" s="2" t="n">
        <v>4.661705392</v>
      </c>
      <c r="AG160" s="2" t="n">
        <v>-0.054606616</v>
      </c>
      <c r="AH160" s="2" t="n">
        <v>3.348451862</v>
      </c>
      <c r="AJ160" s="2" t="n">
        <v>2.908033321</v>
      </c>
      <c r="AN160" s="2" t="n">
        <v>0.796576188</v>
      </c>
      <c r="AP160" s="2" t="n">
        <v>0.133362615</v>
      </c>
    </row>
    <row r="161">
      <c r="A161" t="inlineStr">
        <is>
          <t>1987-Q1</t>
        </is>
      </c>
      <c r="B161" s="3" t="n">
        <v>31868</v>
      </c>
      <c r="C161" s="2" t="n">
        <v>2.735725119</v>
      </c>
      <c r="E161" s="2" t="n">
        <v>0.9724263319999999</v>
      </c>
      <c r="F161" s="2" t="n">
        <v>2.274754318</v>
      </c>
      <c r="I161" s="2" t="n">
        <v>0.330519523</v>
      </c>
      <c r="J161" s="2" t="n">
        <v>-1.538901736</v>
      </c>
      <c r="K161" s="2" t="n">
        <v>4.404611021</v>
      </c>
      <c r="M161" s="2" t="n">
        <v>3.636363636</v>
      </c>
      <c r="N161" s="2" t="n">
        <v>2.076772491</v>
      </c>
      <c r="O161" s="2" t="n">
        <v>3.966465511</v>
      </c>
      <c r="P161" s="2" t="n">
        <v>-0.527548836</v>
      </c>
      <c r="R161" s="2" t="n">
        <v>2.53733077</v>
      </c>
      <c r="S161" s="2" t="n">
        <v>9.990465812</v>
      </c>
      <c r="U161" s="2" t="n">
        <v>2.4868606</v>
      </c>
      <c r="V161" s="2" t="n">
        <v>1.05751571</v>
      </c>
      <c r="W161" s="2" t="n">
        <v>13.608199864</v>
      </c>
      <c r="X161" s="2" t="n">
        <v>6.110381526</v>
      </c>
      <c r="Z161" s="2" t="n">
        <v>-1.9491274</v>
      </c>
      <c r="AA161" s="2" t="n">
        <v>0.9314873259999999</v>
      </c>
      <c r="AB161" s="2" t="n">
        <v>1.346827087</v>
      </c>
      <c r="AC161" s="2" t="n">
        <v>2.274143662</v>
      </c>
      <c r="AE161" s="2" t="n">
        <v>5.162007525</v>
      </c>
      <c r="AG161" s="2" t="n">
        <v>-1.289994145</v>
      </c>
      <c r="AH161" s="2" t="n">
        <v>1.76089021</v>
      </c>
      <c r="AJ161" s="2" t="n">
        <v>2.715840619</v>
      </c>
      <c r="AN161" s="2" t="n">
        <v>0.436659463</v>
      </c>
      <c r="AP161" s="2" t="n">
        <v>2.077765132</v>
      </c>
    </row>
    <row r="162">
      <c r="A162" t="inlineStr">
        <is>
          <t>1987-Q2</t>
        </is>
      </c>
      <c r="B162" s="3" t="n">
        <v>31959</v>
      </c>
      <c r="C162" s="2" t="n">
        <v>4.534619686</v>
      </c>
      <c r="E162" s="2" t="n">
        <v>1.887003395</v>
      </c>
      <c r="F162" s="2" t="n">
        <v>3.010131747</v>
      </c>
      <c r="I162" s="2" t="n">
        <v>1.415955776</v>
      </c>
      <c r="J162" s="2" t="n">
        <v>1.74129434</v>
      </c>
      <c r="K162" s="2" t="n">
        <v>3.501615223</v>
      </c>
      <c r="M162" s="2" t="n">
        <v>4.984771138</v>
      </c>
      <c r="N162" s="2" t="n">
        <v>2.115104056</v>
      </c>
      <c r="O162" s="2" t="n">
        <v>4.71325071</v>
      </c>
      <c r="P162" s="2" t="n">
        <v>-4.955760928</v>
      </c>
      <c r="R162" s="2" t="n">
        <v>4.374759986</v>
      </c>
      <c r="S162" s="2" t="n">
        <v>10.055096805</v>
      </c>
      <c r="U162" s="2" t="n">
        <v>3.370290813</v>
      </c>
      <c r="V162" s="2" t="n">
        <v>3.42938621</v>
      </c>
      <c r="W162" s="2" t="n">
        <v>14.762944214</v>
      </c>
      <c r="X162" s="2" t="n">
        <v>3.643126695</v>
      </c>
      <c r="Z162" s="2" t="n">
        <v>1.111442286</v>
      </c>
      <c r="AA162" s="2" t="n">
        <v>0.842242199</v>
      </c>
      <c r="AB162" s="2" t="n">
        <v>4.997515488</v>
      </c>
      <c r="AC162" s="2" t="n">
        <v>3.281943385</v>
      </c>
      <c r="AE162" s="2" t="n">
        <v>5.653281801</v>
      </c>
      <c r="AG162" s="2" t="n">
        <v>-2.554603782</v>
      </c>
      <c r="AH162" s="2" t="n">
        <v>3.493861017</v>
      </c>
      <c r="AJ162" s="2" t="n">
        <v>3.35847938</v>
      </c>
      <c r="AN162" s="2" t="n">
        <v>0.710551547</v>
      </c>
      <c r="AP162" s="2" t="n">
        <v>1.739358961</v>
      </c>
    </row>
    <row r="163">
      <c r="A163" t="inlineStr">
        <is>
          <t>1987-Q3</t>
        </is>
      </c>
      <c r="B163" s="3" t="n">
        <v>32051</v>
      </c>
      <c r="C163" s="2" t="n">
        <v>6.135484198</v>
      </c>
      <c r="E163" s="2" t="n">
        <v>2.054659181</v>
      </c>
      <c r="F163" s="2" t="n">
        <v>4.446173489</v>
      </c>
      <c r="I163" s="2" t="n">
        <v>1.369526997</v>
      </c>
      <c r="J163" s="2" t="n">
        <v>0.374906745</v>
      </c>
      <c r="K163" s="2" t="n">
        <v>6.389218713</v>
      </c>
      <c r="M163" s="2" t="n">
        <v>0.990668804</v>
      </c>
      <c r="N163" s="2" t="n">
        <v>2.469189498</v>
      </c>
      <c r="O163" s="2" t="n">
        <v>6.772189639</v>
      </c>
      <c r="P163" s="2" t="n">
        <v>-3.258425095</v>
      </c>
      <c r="R163" s="2" t="n">
        <v>5.630274589</v>
      </c>
      <c r="S163" s="2" t="n">
        <v>8.552482828</v>
      </c>
      <c r="U163" s="2" t="n">
        <v>2.644146034</v>
      </c>
      <c r="V163" s="2" t="n">
        <v>4.883864176</v>
      </c>
      <c r="W163" s="2" t="n">
        <v>11.086869809</v>
      </c>
      <c r="X163" s="2" t="n">
        <v>2.688450187</v>
      </c>
      <c r="Z163" s="2" t="n">
        <v>3.178231352</v>
      </c>
      <c r="AA163" s="2" t="n">
        <v>1.740114122</v>
      </c>
      <c r="AB163" s="2" t="n">
        <v>-0.341427331</v>
      </c>
      <c r="AC163" s="2" t="n">
        <v>3.723703708</v>
      </c>
      <c r="AE163" s="2" t="n">
        <v>6.71693715</v>
      </c>
      <c r="AG163" s="2" t="n">
        <v>-2.165836134</v>
      </c>
      <c r="AH163" s="2" t="n">
        <v>4.16073923</v>
      </c>
      <c r="AJ163" s="2" t="n">
        <v>3.266926152</v>
      </c>
      <c r="AN163" s="2" t="n">
        <v>2.069168845</v>
      </c>
      <c r="AP163" s="2" t="n">
        <v>1.88136542</v>
      </c>
    </row>
    <row r="164">
      <c r="A164" t="inlineStr">
        <is>
          <t>1987-Q4</t>
        </is>
      </c>
      <c r="B164" s="3" t="n">
        <v>32143</v>
      </c>
      <c r="C164" s="2" t="n">
        <v>6.523485768</v>
      </c>
      <c r="E164" s="2" t="n">
        <v>4.580977496</v>
      </c>
      <c r="F164" s="2" t="n">
        <v>6.565013741</v>
      </c>
      <c r="I164" s="2" t="n">
        <v>1.974541695</v>
      </c>
      <c r="J164" s="2" t="n">
        <v>0.6032623539999999</v>
      </c>
      <c r="K164" s="2" t="n">
        <v>7.876542627</v>
      </c>
      <c r="M164" s="2" t="n">
        <v>4.947425747</v>
      </c>
      <c r="N164" s="2" t="n">
        <v>3.835057546</v>
      </c>
      <c r="O164" s="2" t="n">
        <v>6.085234815</v>
      </c>
      <c r="P164" s="2" t="n">
        <v>-0.278944552</v>
      </c>
      <c r="R164" s="2" t="n">
        <v>6.092158674</v>
      </c>
      <c r="S164" s="2" t="n">
        <v>5.758943473</v>
      </c>
      <c r="U164" s="2" t="n">
        <v>3.324352557</v>
      </c>
      <c r="V164" s="2" t="n">
        <v>6.742512382</v>
      </c>
      <c r="W164" s="2" t="n">
        <v>11.606978165</v>
      </c>
      <c r="X164" s="2" t="n">
        <v>3.458746093</v>
      </c>
      <c r="Z164" s="2" t="n">
        <v>4.710846071</v>
      </c>
      <c r="AA164" s="2" t="n">
        <v>3.892493049</v>
      </c>
      <c r="AB164" s="2" t="n">
        <v>0.913099767</v>
      </c>
      <c r="AC164" s="2" t="n">
        <v>4.969498305</v>
      </c>
      <c r="AE164" s="2" t="n">
        <v>6.29341783</v>
      </c>
      <c r="AG164" s="2" t="n">
        <v>-4.145592177</v>
      </c>
      <c r="AH164" s="2" t="n">
        <v>4.168421266</v>
      </c>
      <c r="AJ164" s="2" t="n">
        <v>4.479019138</v>
      </c>
      <c r="AN164" s="2" t="n">
        <v>3.002373349</v>
      </c>
      <c r="AP164" s="2" t="n">
        <v>2.700870283</v>
      </c>
    </row>
    <row r="165">
      <c r="A165" t="inlineStr">
        <is>
          <t>1988-Q1</t>
        </is>
      </c>
      <c r="B165" s="3" t="n">
        <v>32234</v>
      </c>
      <c r="C165" s="2" t="n">
        <v>5.959090934</v>
      </c>
      <c r="E165" s="2" t="n">
        <v>4.875906512</v>
      </c>
      <c r="F165" s="2" t="n">
        <v>5.680408989</v>
      </c>
      <c r="I165" s="2" t="n">
        <v>3.651100816</v>
      </c>
      <c r="J165" s="2" t="n">
        <v>3.208773044</v>
      </c>
      <c r="K165" s="2" t="n">
        <v>6.051286794</v>
      </c>
      <c r="M165" s="2" t="n">
        <v>5.475180843</v>
      </c>
      <c r="N165" s="2" t="n">
        <v>4.856536683</v>
      </c>
      <c r="O165" s="2" t="n">
        <v>6.981502911</v>
      </c>
      <c r="P165" s="2" t="n">
        <v>6.586126267</v>
      </c>
      <c r="R165" s="2" t="n">
        <v>5.951979969</v>
      </c>
      <c r="S165" s="2" t="n">
        <v>2.64340468</v>
      </c>
      <c r="U165" s="2" t="n">
        <v>4.417268316</v>
      </c>
      <c r="V165" s="2" t="n">
        <v>9.369128905</v>
      </c>
      <c r="W165" s="2" t="n">
        <v>16.464061799</v>
      </c>
      <c r="X165" s="2" t="n">
        <v>5.347330224</v>
      </c>
      <c r="Z165" s="2" t="n">
        <v>3.385812321</v>
      </c>
      <c r="AA165" s="2" t="n">
        <v>3.780580994</v>
      </c>
      <c r="AB165" s="2" t="n">
        <v>0.959091625</v>
      </c>
      <c r="AC165" s="2" t="n">
        <v>5.500966541</v>
      </c>
      <c r="AE165" s="2" t="n">
        <v>9.165939659999999</v>
      </c>
      <c r="AG165" s="2" t="n">
        <v>-3.372173627</v>
      </c>
      <c r="AH165" s="2" t="n">
        <v>4.191448102</v>
      </c>
      <c r="AJ165" s="2" t="n">
        <v>4.242189569</v>
      </c>
      <c r="AN165" s="2" t="n">
        <v>3.079020815</v>
      </c>
      <c r="AP165" s="2" t="n">
        <v>3.491728867</v>
      </c>
    </row>
    <row r="166">
      <c r="A166" t="inlineStr">
        <is>
          <t>1988-Q2</t>
        </is>
      </c>
      <c r="B166" s="3" t="n">
        <v>32325</v>
      </c>
      <c r="C166" s="2" t="n">
        <v>4.394648396</v>
      </c>
      <c r="E166" s="2" t="n">
        <v>4.690128365</v>
      </c>
      <c r="F166" s="2" t="n">
        <v>5.256885815</v>
      </c>
      <c r="I166" s="2" t="n">
        <v>3.212995673</v>
      </c>
      <c r="J166" s="2" t="n">
        <v>0.233664662</v>
      </c>
      <c r="K166" s="2" t="n">
        <v>5.76616394</v>
      </c>
      <c r="M166" s="2" t="n">
        <v>4.502921587</v>
      </c>
      <c r="N166" s="2" t="n">
        <v>4.274467065</v>
      </c>
      <c r="O166" s="2" t="n">
        <v>6.057226855</v>
      </c>
      <c r="P166" s="2" t="n">
        <v>4.611398964</v>
      </c>
      <c r="R166" s="2" t="n">
        <v>5.50206168</v>
      </c>
      <c r="S166" s="2" t="n">
        <v>0.03901716</v>
      </c>
      <c r="U166" s="2" t="n">
        <v>3.513017407</v>
      </c>
      <c r="V166" s="2" t="n">
        <v>6.967840508</v>
      </c>
      <c r="W166" s="2" t="n">
        <v>8.569882969</v>
      </c>
      <c r="X166" s="2" t="n">
        <v>7.638606256</v>
      </c>
      <c r="Z166" s="2" t="n">
        <v>0.309399098</v>
      </c>
      <c r="AA166" s="2" t="n">
        <v>2.88155478</v>
      </c>
      <c r="AB166" s="2" t="n">
        <v>-2.725972174</v>
      </c>
      <c r="AC166" s="2" t="n">
        <v>4.537431529</v>
      </c>
      <c r="AE166" s="2" t="n">
        <v>7.934806632</v>
      </c>
      <c r="AG166" s="2" t="n">
        <v>-1.307679661</v>
      </c>
      <c r="AH166" s="2" t="n">
        <v>2.133731283</v>
      </c>
      <c r="AI166" s="2" t="n">
        <v>0.155498048</v>
      </c>
      <c r="AJ166" s="2" t="n">
        <v>4.484604217</v>
      </c>
      <c r="AN166" s="2" t="n">
        <v>2.947830267</v>
      </c>
      <c r="AP166" s="2" t="n">
        <v>3.856222801</v>
      </c>
    </row>
    <row r="167">
      <c r="A167" t="inlineStr">
        <is>
          <t>1988-Q3</t>
        </is>
      </c>
      <c r="B167" s="3" t="n">
        <v>32417</v>
      </c>
      <c r="C167" s="2" t="n">
        <v>3.374656378</v>
      </c>
      <c r="E167" s="2" t="n">
        <v>4.516047035</v>
      </c>
      <c r="F167" s="2" t="n">
        <v>3.688273091</v>
      </c>
      <c r="I167" s="2" t="n">
        <v>3.664990184</v>
      </c>
      <c r="J167" s="2" t="n">
        <v>-0.29460659</v>
      </c>
      <c r="K167" s="2" t="n">
        <v>5.494358322</v>
      </c>
      <c r="M167" s="2" t="n">
        <v>5.380983393</v>
      </c>
      <c r="N167" s="2" t="n">
        <v>4.902754408</v>
      </c>
      <c r="O167" s="2" t="n">
        <v>5.118588951</v>
      </c>
      <c r="P167" s="2" t="n">
        <v>5.071203485</v>
      </c>
      <c r="R167" s="2" t="n">
        <v>4.94254166</v>
      </c>
      <c r="S167" s="2" t="n">
        <v>-1.399778938</v>
      </c>
      <c r="U167" s="2" t="n">
        <v>4.57130703</v>
      </c>
      <c r="V167" s="2" t="n">
        <v>7.209744309</v>
      </c>
      <c r="W167" s="2" t="n">
        <v>10.903037965</v>
      </c>
      <c r="X167" s="2" t="n">
        <v>9.700733411</v>
      </c>
      <c r="Z167" s="2" t="n">
        <v>0.325793806</v>
      </c>
      <c r="AA167" s="2" t="n">
        <v>2.581953022</v>
      </c>
      <c r="AB167" s="2" t="n">
        <v>0.7221954739999999</v>
      </c>
      <c r="AC167" s="2" t="n">
        <v>4.492359763</v>
      </c>
      <c r="AE167" s="2" t="n">
        <v>7.100694309</v>
      </c>
      <c r="AG167" s="2" t="n">
        <v>-1.492053036</v>
      </c>
      <c r="AH167" s="2" t="n">
        <v>1.152942</v>
      </c>
      <c r="AI167" s="2" t="n">
        <v>-0.168443049</v>
      </c>
      <c r="AJ167" s="2" t="n">
        <v>4.192866323</v>
      </c>
      <c r="AN167" s="2" t="n">
        <v>2.823087703</v>
      </c>
      <c r="AP167" s="2" t="n">
        <v>4.870304128</v>
      </c>
    </row>
    <row r="168">
      <c r="A168" t="inlineStr">
        <is>
          <t>1988-Q4</t>
        </is>
      </c>
      <c r="B168" s="3" t="n">
        <v>32509</v>
      </c>
      <c r="C168" s="2" t="n">
        <v>2.896319261</v>
      </c>
      <c r="E168" s="2" t="n">
        <v>4.19540329</v>
      </c>
      <c r="F168" s="2" t="n">
        <v>3.079757629</v>
      </c>
      <c r="I168" s="2" t="n">
        <v>3.234051974</v>
      </c>
      <c r="J168" s="2" t="n">
        <v>1.553110645</v>
      </c>
      <c r="K168" s="2" t="n">
        <v>3.14762561</v>
      </c>
      <c r="M168" s="2" t="n">
        <v>5.257065304</v>
      </c>
      <c r="N168" s="2" t="n">
        <v>4.239867635</v>
      </c>
      <c r="O168" s="2" t="n">
        <v>4.836533689</v>
      </c>
      <c r="P168" s="2" t="n">
        <v>1.037583958</v>
      </c>
      <c r="R168" s="2" t="n">
        <v>4.509967793</v>
      </c>
      <c r="S168" s="2" t="n">
        <v>-1.55846025</v>
      </c>
      <c r="U168" s="2" t="n">
        <v>4.693286119</v>
      </c>
      <c r="V168" s="2" t="n">
        <v>5.620041986</v>
      </c>
      <c r="W168" s="2" t="n">
        <v>12.228313418</v>
      </c>
      <c r="X168" s="2" t="n">
        <v>11.07315199</v>
      </c>
      <c r="Z168" s="2" t="n">
        <v>1.102862183</v>
      </c>
      <c r="AA168" s="2" t="n">
        <v>2.700020261</v>
      </c>
      <c r="AB168" s="2" t="n">
        <v>-0.9300146459999999</v>
      </c>
      <c r="AC168" s="2" t="n">
        <v>3.828013927</v>
      </c>
      <c r="AE168" s="2" t="n">
        <v>7.229492154</v>
      </c>
      <c r="AG168" s="2" t="n">
        <v>2.452515285</v>
      </c>
      <c r="AH168" s="2" t="n">
        <v>2.973773091</v>
      </c>
      <c r="AI168" s="2" t="n">
        <v>-1.508460891</v>
      </c>
      <c r="AJ168" s="2" t="n">
        <v>3.798971044</v>
      </c>
      <c r="AN168" s="2" t="n">
        <v>3.809933914</v>
      </c>
      <c r="AP168" s="2" t="n">
        <v>4.571265805</v>
      </c>
    </row>
    <row r="169">
      <c r="A169" t="inlineStr">
        <is>
          <t>1989-Q1</t>
        </is>
      </c>
      <c r="B169" s="3" t="n">
        <v>32599</v>
      </c>
      <c r="C169" s="2" t="n">
        <v>3.514324043</v>
      </c>
      <c r="E169" s="2" t="n">
        <v>3.957928973</v>
      </c>
      <c r="F169" s="2" t="n">
        <v>2.757474014</v>
      </c>
      <c r="I169" s="2" t="n">
        <v>5.267745076</v>
      </c>
      <c r="J169" s="2" t="n">
        <v>1.704190256</v>
      </c>
      <c r="K169" s="2" t="n">
        <v>5.241583813</v>
      </c>
      <c r="M169" s="2" t="n">
        <v>5.175200032</v>
      </c>
      <c r="N169" s="2" t="n">
        <v>4.28819245</v>
      </c>
      <c r="O169" s="2" t="n">
        <v>3.455937145</v>
      </c>
      <c r="P169" s="2" t="n">
        <v>2.212860663</v>
      </c>
      <c r="R169" s="2" t="n">
        <v>4.443703701</v>
      </c>
      <c r="S169" s="2" t="n">
        <v>-0.89417832</v>
      </c>
      <c r="U169" s="2" t="n">
        <v>3.815778636</v>
      </c>
      <c r="V169" s="2" t="n">
        <v>5.94068347</v>
      </c>
      <c r="W169" s="2" t="n">
        <v>4.246523863</v>
      </c>
      <c r="X169" s="2" t="n">
        <v>11.535655063</v>
      </c>
      <c r="Z169" s="2" t="n">
        <v>3.697688495</v>
      </c>
      <c r="AA169" s="2" t="n">
        <v>4.122016592</v>
      </c>
      <c r="AB169" s="2" t="n">
        <v>-1.208846267</v>
      </c>
      <c r="AC169" s="2" t="n">
        <v>4.230869713</v>
      </c>
      <c r="AE169" s="2" t="n">
        <v>6.418678551</v>
      </c>
      <c r="AG169" s="2" t="n">
        <v>2.351326629</v>
      </c>
      <c r="AH169" s="2" t="n">
        <v>2.652224474</v>
      </c>
      <c r="AI169" s="2" t="n">
        <v>0.126624898</v>
      </c>
      <c r="AJ169" s="2" t="n">
        <v>4.315239935</v>
      </c>
      <c r="AN169" s="2" t="n">
        <v>3.880393357</v>
      </c>
      <c r="AP169" s="2" t="n">
        <v>3.660927358</v>
      </c>
    </row>
    <row r="170">
      <c r="A170" t="inlineStr">
        <is>
          <t>1989-Q2</t>
        </is>
      </c>
      <c r="B170" s="3" t="n">
        <v>32690</v>
      </c>
      <c r="C170" s="2" t="n">
        <v>5.641851148</v>
      </c>
      <c r="E170" s="2" t="n">
        <v>3.987843472</v>
      </c>
      <c r="F170" s="2" t="n">
        <v>2.244657331</v>
      </c>
      <c r="I170" s="2" t="n">
        <v>3.809604476</v>
      </c>
      <c r="J170" s="2" t="n">
        <v>-0.386322936</v>
      </c>
      <c r="K170" s="2" t="n">
        <v>4.992999461</v>
      </c>
      <c r="M170" s="2" t="n">
        <v>6.170087977</v>
      </c>
      <c r="N170" s="2" t="n">
        <v>4.519358852</v>
      </c>
      <c r="O170" s="2" t="n">
        <v>3.525769043</v>
      </c>
      <c r="P170" s="2" t="n">
        <v>4.976060756</v>
      </c>
      <c r="R170" s="2" t="n">
        <v>4.90335579</v>
      </c>
      <c r="S170" s="2" t="n">
        <v>0.040658853</v>
      </c>
      <c r="U170" s="2" t="n">
        <v>3.606494031</v>
      </c>
      <c r="V170" s="2" t="n">
        <v>4.710256463</v>
      </c>
      <c r="W170" s="2" t="n">
        <v>8.104999568</v>
      </c>
      <c r="X170" s="2" t="n">
        <v>11.022618378</v>
      </c>
      <c r="Z170" s="2" t="n">
        <v>4.071222174</v>
      </c>
      <c r="AA170" s="2" t="n">
        <v>4.622084615</v>
      </c>
      <c r="AB170" s="2" t="n">
        <v>1.512432881</v>
      </c>
      <c r="AC170" s="2" t="n">
        <v>3.912206017</v>
      </c>
      <c r="AE170" s="2" t="n">
        <v>4.438584578</v>
      </c>
      <c r="AG170" s="2" t="n">
        <v>2.903629476</v>
      </c>
      <c r="AH170" s="2" t="n">
        <v>3.146058595</v>
      </c>
      <c r="AI170" s="2" t="n">
        <v>1.196487224</v>
      </c>
      <c r="AJ170" s="2" t="n">
        <v>3.748292875</v>
      </c>
      <c r="AN170" s="2" t="n">
        <v>5.101961529</v>
      </c>
      <c r="AP170" s="2" t="n">
        <v>3.376636664</v>
      </c>
    </row>
    <row r="171">
      <c r="A171" t="inlineStr">
        <is>
          <t>1989-Q3</t>
        </is>
      </c>
      <c r="B171" s="3" t="n">
        <v>32782</v>
      </c>
      <c r="C171" s="2" t="n">
        <v>5.628025648</v>
      </c>
      <c r="E171" s="2" t="n">
        <v>3.1070159</v>
      </c>
      <c r="F171" s="2" t="n">
        <v>2.601145768</v>
      </c>
      <c r="I171" s="2" t="n">
        <v>3.583956124</v>
      </c>
      <c r="J171" s="2" t="n">
        <v>0.034985423</v>
      </c>
      <c r="K171" s="2" t="n">
        <v>4.515255385</v>
      </c>
      <c r="M171" s="2" t="n">
        <v>6.114329857</v>
      </c>
      <c r="N171" s="2" t="n">
        <v>4.289520991</v>
      </c>
      <c r="O171" s="2" t="n">
        <v>2.073700953</v>
      </c>
      <c r="P171" s="2" t="n">
        <v>2.772952244</v>
      </c>
      <c r="R171" s="2" t="n">
        <v>6.094030437</v>
      </c>
      <c r="S171" s="2" t="n">
        <v>0.779869726</v>
      </c>
      <c r="U171" s="2" t="n">
        <v>3.328820854</v>
      </c>
      <c r="V171" s="2" t="n">
        <v>4.217315472</v>
      </c>
      <c r="W171" s="2" t="n">
        <v>7.495779648</v>
      </c>
      <c r="X171" s="2" t="n">
        <v>9.493279654</v>
      </c>
      <c r="Z171" s="2" t="n">
        <v>5.88055836</v>
      </c>
      <c r="AA171" s="2" t="n">
        <v>4.649153544</v>
      </c>
      <c r="AB171" s="2" t="n">
        <v>1.641394023</v>
      </c>
      <c r="AC171" s="2" t="n">
        <v>3.832639333</v>
      </c>
      <c r="AE171" s="2" t="n">
        <v>5.693081157</v>
      </c>
      <c r="AG171" s="2" t="n">
        <v>3.513098369</v>
      </c>
      <c r="AH171" s="2" t="n">
        <v>3.007538776</v>
      </c>
      <c r="AI171" s="2" t="n">
        <v>-0.16739195</v>
      </c>
      <c r="AJ171" s="2" t="n">
        <v>3.908113053</v>
      </c>
      <c r="AN171" s="2" t="n">
        <v>4.66382697</v>
      </c>
      <c r="AP171" s="2" t="n">
        <v>2.086710994</v>
      </c>
    </row>
    <row r="172">
      <c r="A172" t="inlineStr">
        <is>
          <t>1989-Q4</t>
        </is>
      </c>
      <c r="B172" s="3" t="n">
        <v>32874</v>
      </c>
      <c r="C172" s="2" t="n">
        <v>3.725759812</v>
      </c>
      <c r="E172" s="2" t="n">
        <v>3.432483776</v>
      </c>
      <c r="F172" s="2" t="n">
        <v>1.673031426</v>
      </c>
      <c r="I172" s="2" t="n">
        <v>3.564769341</v>
      </c>
      <c r="J172" s="2" t="n">
        <v>-0.748571804</v>
      </c>
      <c r="K172" s="2" t="n">
        <v>4.576299941</v>
      </c>
      <c r="M172" s="2" t="n">
        <v>4.236034738</v>
      </c>
      <c r="N172" s="2" t="n">
        <v>4.780685071</v>
      </c>
      <c r="O172" s="2" t="n">
        <v>1.299207873</v>
      </c>
      <c r="P172" s="2" t="n">
        <v>5.265021649</v>
      </c>
      <c r="R172" s="2" t="n">
        <v>7.75672743</v>
      </c>
      <c r="S172" s="2" t="n">
        <v>1.120847997</v>
      </c>
      <c r="U172" s="2" t="n">
        <v>3.160587389</v>
      </c>
      <c r="V172" s="2" t="n">
        <v>6.325744829</v>
      </c>
      <c r="W172" s="2" t="n">
        <v>8.406865101999999</v>
      </c>
      <c r="X172" s="2" t="n">
        <v>7.338609004</v>
      </c>
      <c r="Z172" s="2" t="n">
        <v>2.896988348</v>
      </c>
      <c r="AA172" s="2" t="n">
        <v>4.519489558</v>
      </c>
      <c r="AB172" s="2" t="n">
        <v>2.206537184</v>
      </c>
      <c r="AC172" s="2" t="n">
        <v>3.62176269</v>
      </c>
      <c r="AE172" s="2" t="n">
        <v>5.185499043</v>
      </c>
      <c r="AG172" s="2" t="n">
        <v>1.688758196</v>
      </c>
      <c r="AH172" s="2" t="n">
        <v>2.190930368</v>
      </c>
      <c r="AI172" s="2" t="n">
        <v>0.527315838</v>
      </c>
      <c r="AJ172" s="2" t="n">
        <v>2.743803255</v>
      </c>
      <c r="AN172" s="2" t="n">
        <v>4.221057298</v>
      </c>
      <c r="AP172" s="2" t="n">
        <v>0.511185229</v>
      </c>
    </row>
    <row r="173">
      <c r="A173" t="inlineStr">
        <is>
          <t>1990-Q1</t>
        </is>
      </c>
      <c r="B173" s="3" t="n">
        <v>32964</v>
      </c>
      <c r="C173" s="2" t="n">
        <v>3.521605988</v>
      </c>
      <c r="E173" s="2" t="n">
        <v>4.256837806</v>
      </c>
      <c r="F173" s="2" t="n">
        <v>1.474029508</v>
      </c>
      <c r="I173" s="2" t="n">
        <v>4.621030767</v>
      </c>
      <c r="J173" s="2" t="n">
        <v>-2.403286338</v>
      </c>
      <c r="K173" s="2" t="n">
        <v>3.062070109</v>
      </c>
      <c r="M173" s="2" t="n">
        <v>4.400316586</v>
      </c>
      <c r="N173" s="2" t="n">
        <v>3.985913464</v>
      </c>
      <c r="O173" s="2" t="n">
        <v>1.533492879</v>
      </c>
      <c r="P173" s="2" t="n">
        <v>2.671975364</v>
      </c>
      <c r="R173" s="2" t="n">
        <v>9.160839038000001</v>
      </c>
      <c r="S173" s="2" t="n">
        <v>1.184591164</v>
      </c>
      <c r="U173" s="2" t="n">
        <v>2.93238281</v>
      </c>
      <c r="V173" s="2" t="n">
        <v>3.039829423</v>
      </c>
      <c r="W173" s="2" t="n">
        <v>9.463670592</v>
      </c>
      <c r="X173" s="2" t="n">
        <v>5.393606418</v>
      </c>
      <c r="Z173" s="2" t="n">
        <v>3.200574501</v>
      </c>
      <c r="AA173" s="2" t="n">
        <v>4.247379879</v>
      </c>
      <c r="AB173" s="2" t="n">
        <v>2.504888102</v>
      </c>
      <c r="AC173" s="2" t="n">
        <v>3.348257837</v>
      </c>
      <c r="AE173" s="2" t="n">
        <v>2.399309825</v>
      </c>
      <c r="AG173" s="2" t="n">
        <v>2.09235118</v>
      </c>
      <c r="AH173" s="2" t="n">
        <v>2.239539715</v>
      </c>
      <c r="AI173" s="2" t="n">
        <v>-0.906945332</v>
      </c>
      <c r="AJ173" s="2" t="n">
        <v>2.821303844</v>
      </c>
      <c r="AN173" s="2" t="n">
        <v>5.676536291</v>
      </c>
      <c r="AP173" s="2" t="n">
        <v>-0.027499772</v>
      </c>
    </row>
    <row r="174">
      <c r="A174" t="inlineStr">
        <is>
          <t>1990-Q2</t>
        </is>
      </c>
      <c r="B174" s="3" t="n">
        <v>33055</v>
      </c>
      <c r="C174" s="2" t="n">
        <v>1.506131828</v>
      </c>
      <c r="E174" s="2" t="n">
        <v>2.899065031</v>
      </c>
      <c r="F174" s="2" t="n">
        <v>0.669072134</v>
      </c>
      <c r="I174" s="2" t="n">
        <v>4.713886981</v>
      </c>
      <c r="J174" s="2" t="n">
        <v>1.829561868</v>
      </c>
      <c r="K174" s="2" t="n">
        <v>3.792339413</v>
      </c>
      <c r="M174" s="2" t="n">
        <v>1.185019647</v>
      </c>
      <c r="N174" s="2" t="n">
        <v>3.540217136</v>
      </c>
      <c r="O174" s="2" t="n">
        <v>1.389580455</v>
      </c>
      <c r="P174" s="2" t="n">
        <v>0.93262456</v>
      </c>
      <c r="R174" s="2" t="n">
        <v>9.674086712999999</v>
      </c>
      <c r="S174" s="2" t="n">
        <v>1.148239867</v>
      </c>
      <c r="U174" s="2" t="n">
        <v>2.801593689</v>
      </c>
      <c r="V174" s="2" t="n">
        <v>7.69589421</v>
      </c>
      <c r="W174" s="2" t="n">
        <v>10.294445662</v>
      </c>
      <c r="X174" s="2" t="n">
        <v>4.365387289</v>
      </c>
      <c r="Z174" s="2" t="n">
        <v>5.399554526</v>
      </c>
      <c r="AA174" s="2" t="n">
        <v>3.826369066</v>
      </c>
      <c r="AB174" s="2" t="n">
        <v>2.404460244</v>
      </c>
      <c r="AC174" s="2" t="n">
        <v>3.881757509</v>
      </c>
      <c r="AE174" s="2" t="n">
        <v>5.810788625</v>
      </c>
      <c r="AG174" s="2" t="n">
        <v>1.907212262</v>
      </c>
      <c r="AH174" s="2" t="n">
        <v>1.243784388</v>
      </c>
      <c r="AI174" s="2" t="n">
        <v>-1.498686425</v>
      </c>
      <c r="AJ174" s="2" t="n">
        <v>2.412772955</v>
      </c>
      <c r="AN174" s="2" t="n">
        <v>4.403691123</v>
      </c>
      <c r="AP174" s="2" t="n">
        <v>-0.541507137</v>
      </c>
    </row>
    <row r="175">
      <c r="A175" t="inlineStr">
        <is>
          <t>1990-Q3</t>
        </is>
      </c>
      <c r="B175" s="3" t="n">
        <v>33147</v>
      </c>
      <c r="C175" s="2" t="n">
        <v>0.085052198</v>
      </c>
      <c r="E175" s="2" t="n">
        <v>2.654473433</v>
      </c>
      <c r="F175" s="2" t="n">
        <v>-0.399573277</v>
      </c>
      <c r="I175" s="2" t="n">
        <v>5.951496332</v>
      </c>
      <c r="J175" s="2" t="n">
        <v>3.664113923</v>
      </c>
      <c r="K175" s="2" t="n">
        <v>2.114543688</v>
      </c>
      <c r="M175" s="2" t="n">
        <v>-2.136296465</v>
      </c>
      <c r="N175" s="2" t="n">
        <v>2.906209817</v>
      </c>
      <c r="O175" s="2" t="n">
        <v>0.23026901</v>
      </c>
      <c r="P175" s="2" t="n">
        <v>-4.669111784</v>
      </c>
      <c r="R175" s="2" t="n">
        <v>8.700467367</v>
      </c>
      <c r="S175" s="2" t="n">
        <v>1.153988033</v>
      </c>
      <c r="U175" s="2" t="n">
        <v>1.904143966</v>
      </c>
      <c r="V175" s="2" t="n">
        <v>7.618695204</v>
      </c>
      <c r="W175" s="2" t="n">
        <v>11.01337652</v>
      </c>
      <c r="X175" s="2" t="n">
        <v>4.848888376</v>
      </c>
      <c r="Z175" s="2" t="n">
        <v>4.88221389</v>
      </c>
      <c r="AA175" s="2" t="n">
        <v>4.325178435</v>
      </c>
      <c r="AB175" s="2" t="n">
        <v>0.420214723</v>
      </c>
      <c r="AC175" s="2" t="n">
        <v>3.246574433</v>
      </c>
      <c r="AE175" s="2" t="n">
        <v>4.488480181</v>
      </c>
      <c r="AG175" s="2" t="n">
        <v>1.946727655</v>
      </c>
      <c r="AH175" s="2" t="n">
        <v>0.410089558</v>
      </c>
      <c r="AI175" s="2" t="n">
        <v>0.524516319</v>
      </c>
      <c r="AJ175" s="2" t="n">
        <v>1.727216637</v>
      </c>
      <c r="AN175" s="2" t="n">
        <v>3.283475224</v>
      </c>
      <c r="AP175" s="2" t="n">
        <v>-0.704873214</v>
      </c>
    </row>
    <row r="176">
      <c r="A176" t="inlineStr">
        <is>
          <t>1990-Q4</t>
        </is>
      </c>
      <c r="B176" s="3" t="n">
        <v>33239</v>
      </c>
      <c r="C176" s="2" t="n">
        <v>0.9537873690000001</v>
      </c>
      <c r="E176" s="2" t="n">
        <v>2.568047594</v>
      </c>
      <c r="F176" s="2" t="n">
        <v>-1.076052921</v>
      </c>
      <c r="I176" s="2" t="n">
        <v>6.581615193</v>
      </c>
      <c r="J176" s="2" t="n">
        <v>0.87859742</v>
      </c>
      <c r="K176" s="2" t="n">
        <v>6.15241108</v>
      </c>
      <c r="M176" s="2" t="n">
        <v>-2.743375299</v>
      </c>
      <c r="N176" s="2" t="n">
        <v>1.726382676</v>
      </c>
      <c r="O176" s="2" t="n">
        <v>-0.210301828</v>
      </c>
      <c r="P176" s="2" t="n">
        <v>0.944983027</v>
      </c>
      <c r="R176" s="2" t="n">
        <v>6.434302819</v>
      </c>
      <c r="S176" s="2" t="n">
        <v>1.190631334</v>
      </c>
      <c r="U176" s="2" t="n">
        <v>0.210880579</v>
      </c>
      <c r="V176" s="2" t="n">
        <v>4.186287584</v>
      </c>
      <c r="W176" s="2" t="n">
        <v>8.778275358</v>
      </c>
      <c r="X176" s="2" t="n">
        <v>6.648692965</v>
      </c>
      <c r="Z176" s="2" t="n">
        <v>7.160126077</v>
      </c>
      <c r="AA176" s="2" t="n">
        <v>4.312199772</v>
      </c>
      <c r="AB176" s="2" t="n">
        <v>2.392411741</v>
      </c>
      <c r="AC176" s="2" t="n">
        <v>2.51391055</v>
      </c>
      <c r="AE176" s="2" t="n">
        <v>6.38106635</v>
      </c>
      <c r="AG176" s="2" t="n">
        <v>1.975834291</v>
      </c>
      <c r="AH176" s="2" t="n">
        <v>0.240339254</v>
      </c>
      <c r="AI176" s="2" t="n">
        <v>1.905394897</v>
      </c>
      <c r="AJ176" s="2" t="n">
        <v>0.602858696</v>
      </c>
      <c r="AN176" s="2" t="n">
        <v>1.497665694</v>
      </c>
      <c r="AP176" s="2" t="n">
        <v>0.006157802</v>
      </c>
    </row>
    <row r="177">
      <c r="A177" t="inlineStr">
        <is>
          <t>1991-Q1</t>
        </is>
      </c>
      <c r="B177" s="3" t="n">
        <v>33329</v>
      </c>
      <c r="C177" s="2" t="n">
        <v>-1.177920634</v>
      </c>
      <c r="E177" s="2" t="n">
        <v>0.553540879</v>
      </c>
      <c r="F177" s="2" t="n">
        <v>-3.398486032</v>
      </c>
      <c r="I177" s="2" t="n">
        <v>7.373944486</v>
      </c>
      <c r="J177" s="2" t="n">
        <v>1.742207173</v>
      </c>
      <c r="K177" s="2" t="n">
        <v>3.208298155</v>
      </c>
      <c r="M177" s="2" t="n">
        <v>-5.913918701</v>
      </c>
      <c r="N177" s="2" t="n">
        <v>1.072211314</v>
      </c>
      <c r="O177" s="2" t="n">
        <v>-1.166420938</v>
      </c>
      <c r="P177" s="2" t="n">
        <v>0.427175642</v>
      </c>
      <c r="R177" s="2" t="n">
        <v>3.83849981</v>
      </c>
      <c r="S177" s="2" t="n">
        <v>1.07672549</v>
      </c>
      <c r="U177" s="2" t="n">
        <v>1.782873688</v>
      </c>
      <c r="V177" s="2" t="n">
        <v>5.596470651</v>
      </c>
      <c r="W177" s="2" t="n">
        <v>11.71973054</v>
      </c>
      <c r="X177" s="2" t="n">
        <v>8.68001327</v>
      </c>
      <c r="Z177" s="2" t="n">
        <v>5.16884013</v>
      </c>
      <c r="AA177" s="2" t="n">
        <v>2.602306005</v>
      </c>
      <c r="AB177" s="2" t="n">
        <v>3.638064155</v>
      </c>
      <c r="AC177" s="2" t="n">
        <v>1.663203977</v>
      </c>
      <c r="AE177" s="2" t="n">
        <v>2.855283649</v>
      </c>
      <c r="AG177" s="2" t="n">
        <v>2.524922488</v>
      </c>
      <c r="AH177" s="2" t="n">
        <v>-0.283530703</v>
      </c>
      <c r="AI177" s="2" t="n">
        <v>-0.392755776</v>
      </c>
      <c r="AJ177" s="2" t="n">
        <v>-0.950240697</v>
      </c>
      <c r="AN177" s="2" t="n">
        <v>-0.071667696</v>
      </c>
      <c r="AP177" s="2" t="n">
        <v>-0.868669823</v>
      </c>
    </row>
    <row r="178">
      <c r="A178" t="inlineStr">
        <is>
          <t>1991-Q2</t>
        </is>
      </c>
      <c r="B178" s="3" t="n">
        <v>33420</v>
      </c>
      <c r="C178" s="2" t="n">
        <v>-1.437445999</v>
      </c>
      <c r="E178" s="2" t="n">
        <v>2.088652658</v>
      </c>
      <c r="F178" s="2" t="n">
        <v>-2.544495175</v>
      </c>
      <c r="I178" s="2" t="n">
        <v>6.283056349</v>
      </c>
      <c r="J178" s="2" t="n">
        <v>0.57802192</v>
      </c>
      <c r="K178" s="2" t="n">
        <v>2.720812785</v>
      </c>
      <c r="M178" s="2" t="n">
        <v>-5.742719405</v>
      </c>
      <c r="N178" s="2" t="n">
        <v>0.966857928</v>
      </c>
      <c r="O178" s="2" t="n">
        <v>-1.797893135</v>
      </c>
      <c r="P178" s="2" t="n">
        <v>1.528585007</v>
      </c>
      <c r="R178" s="2" t="n">
        <v>1.766355814</v>
      </c>
      <c r="S178" s="2" t="n">
        <v>0.646355751</v>
      </c>
      <c r="U178" s="2" t="n">
        <v>0.9182929990000001</v>
      </c>
      <c r="V178" s="2" t="n">
        <v>3.582323611</v>
      </c>
      <c r="W178" s="2" t="n">
        <v>11.097758274</v>
      </c>
      <c r="X178" s="2" t="n">
        <v>9.863636637000001</v>
      </c>
      <c r="Z178" s="2" t="n">
        <v>4.510489789</v>
      </c>
      <c r="AA178" s="2" t="n">
        <v>2.943268628</v>
      </c>
      <c r="AB178" s="2" t="n">
        <v>3.066766853</v>
      </c>
      <c r="AC178" s="2" t="n">
        <v>1.324530604</v>
      </c>
      <c r="AE178" s="2" t="n">
        <v>2.948468552</v>
      </c>
      <c r="AG178" s="2" t="n">
        <v>3.142658594</v>
      </c>
      <c r="AH178" s="2" t="n">
        <v>-1.125792977</v>
      </c>
      <c r="AI178" s="2" t="n">
        <v>-1.055722128</v>
      </c>
      <c r="AJ178" s="2" t="n">
        <v>-0.5388879600000001</v>
      </c>
      <c r="AN178" s="2" t="n">
        <v>-1.600670157</v>
      </c>
      <c r="AP178" s="2" t="n">
        <v>-1.010671037</v>
      </c>
    </row>
    <row r="179">
      <c r="A179" t="inlineStr">
        <is>
          <t>1991-Q3</t>
        </is>
      </c>
      <c r="B179" s="3" t="n">
        <v>33512</v>
      </c>
      <c r="C179" s="2" t="n">
        <v>-0.435582792</v>
      </c>
      <c r="E179" s="2" t="n">
        <v>2.641103381</v>
      </c>
      <c r="F179" s="2" t="n">
        <v>-1.718605731</v>
      </c>
      <c r="I179" s="2" t="n">
        <v>3.863719276</v>
      </c>
      <c r="J179" s="2" t="n">
        <v>1.031692503</v>
      </c>
      <c r="K179" s="2" t="n">
        <v>3.806465043</v>
      </c>
      <c r="M179" s="2" t="n">
        <v>-5.661029645</v>
      </c>
      <c r="N179" s="2" t="n">
        <v>0.801701967</v>
      </c>
      <c r="O179" s="2" t="n">
        <v>-0.976805792</v>
      </c>
      <c r="P179" s="2" t="n">
        <v>11.008330267</v>
      </c>
      <c r="R179" s="2" t="n">
        <v>0.89215626</v>
      </c>
      <c r="S179" s="2" t="n">
        <v>-0.275966429</v>
      </c>
      <c r="U179" s="2" t="n">
        <v>0.792826258</v>
      </c>
      <c r="V179" s="2" t="n">
        <v>1.648629178</v>
      </c>
      <c r="W179" s="2" t="n">
        <v>9.927266329</v>
      </c>
      <c r="X179" s="2" t="n">
        <v>9.229549875</v>
      </c>
      <c r="Z179" s="2" t="n">
        <v>3.295725258</v>
      </c>
      <c r="AA179" s="2" t="n">
        <v>1.974937366</v>
      </c>
      <c r="AB179" s="2" t="n">
        <v>3.836138581</v>
      </c>
      <c r="AC179" s="2" t="n">
        <v>1.247542716</v>
      </c>
      <c r="AE179" s="2" t="n">
        <v>3.331830515</v>
      </c>
      <c r="AG179" s="2" t="n">
        <v>3.385298782</v>
      </c>
      <c r="AH179" s="2" t="n">
        <v>-0.8198265219999999</v>
      </c>
      <c r="AI179" s="2" t="n">
        <v>-1.631470074</v>
      </c>
      <c r="AJ179" s="2" t="n">
        <v>-0.10271685</v>
      </c>
      <c r="AN179" s="2" t="n">
        <v>-1.239576309</v>
      </c>
      <c r="AP179" s="2" t="n">
        <v>-0.965834202</v>
      </c>
    </row>
    <row r="180">
      <c r="A180" t="inlineStr">
        <is>
          <t>1991-Q4</t>
        </is>
      </c>
      <c r="B180" s="3" t="n">
        <v>33604</v>
      </c>
      <c r="C180" s="2" t="n">
        <v>-0.949603889</v>
      </c>
      <c r="E180" s="2" t="n">
        <v>1.923674275</v>
      </c>
      <c r="F180" s="2" t="n">
        <v>-0.651858245</v>
      </c>
      <c r="I180" s="2" t="n">
        <v>3.392824657</v>
      </c>
      <c r="J180" s="2" t="n">
        <v>1.122398727</v>
      </c>
      <c r="K180" s="2" t="n">
        <v>0.521509895</v>
      </c>
      <c r="M180" s="2" t="n">
        <v>-6.2297172</v>
      </c>
      <c r="N180" s="2" t="n">
        <v>0.936146692</v>
      </c>
      <c r="O180" s="2" t="n">
        <v>-0.461396392</v>
      </c>
      <c r="P180" s="2" t="n">
        <v>0.145419292</v>
      </c>
      <c r="R180" s="2" t="n">
        <v>1.28419913</v>
      </c>
      <c r="S180" s="2" t="n">
        <v>-1.570614396</v>
      </c>
      <c r="U180" s="2" t="n">
        <v>2.642527461</v>
      </c>
      <c r="V180" s="2" t="n">
        <v>2.557379748</v>
      </c>
      <c r="W180" s="2" t="n">
        <v>10.433958193</v>
      </c>
      <c r="X180" s="2" t="n">
        <v>6.874367974</v>
      </c>
      <c r="Z180" s="2" t="n">
        <v>3.841641702</v>
      </c>
      <c r="AA180" s="2" t="n">
        <v>2.29525432</v>
      </c>
      <c r="AB180" s="2" t="n">
        <v>1.869843676</v>
      </c>
      <c r="AC180" s="2" t="n">
        <v>1.639365592</v>
      </c>
      <c r="AE180" s="2" t="n">
        <v>0.679243402</v>
      </c>
      <c r="AG180" s="2" t="n">
        <v>4.032690867</v>
      </c>
      <c r="AH180" s="2" t="n">
        <v>-2.085742868</v>
      </c>
      <c r="AI180" s="2" t="n">
        <v>-2.147753671</v>
      </c>
      <c r="AJ180" s="2" t="n">
        <v>1.166503342</v>
      </c>
      <c r="AN180" s="2" t="n">
        <v>-0.458837628</v>
      </c>
      <c r="AP180" s="2" t="n">
        <v>-1.22791262</v>
      </c>
    </row>
    <row r="181">
      <c r="A181" t="inlineStr">
        <is>
          <t>1992-Q1</t>
        </is>
      </c>
      <c r="B181" s="3" t="n">
        <v>33695</v>
      </c>
      <c r="C181" s="2" t="n">
        <v>1.102453865</v>
      </c>
      <c r="E181" s="2" t="n">
        <v>3.800507931</v>
      </c>
      <c r="F181" s="2" t="n">
        <v>0.859900078</v>
      </c>
      <c r="I181" s="2" t="n">
        <v>2.073140882</v>
      </c>
      <c r="J181" s="2" t="n">
        <v>2.277306393</v>
      </c>
      <c r="K181" s="2" t="n">
        <v>3.513692493</v>
      </c>
      <c r="M181" s="2" t="n">
        <v>-4.057448506</v>
      </c>
      <c r="N181" s="2" t="n">
        <v>2.072232567</v>
      </c>
      <c r="O181" s="2" t="n">
        <v>-0.163400314</v>
      </c>
      <c r="P181" s="2" t="n">
        <v>1.932214127</v>
      </c>
      <c r="R181" s="2" t="n">
        <v>2.351543337</v>
      </c>
      <c r="S181" s="2" t="n">
        <v>-2.806978294</v>
      </c>
      <c r="U181" s="2" t="n">
        <v>0.9267350009999999</v>
      </c>
      <c r="V181" s="2" t="n">
        <v>1.703118948</v>
      </c>
      <c r="W181" s="2" t="n">
        <v>8.337277341</v>
      </c>
      <c r="X181" s="2" t="n">
        <v>3.977650213</v>
      </c>
      <c r="Z181" s="2" t="n">
        <v>3.547179937</v>
      </c>
      <c r="AA181" s="2" t="n">
        <v>3.439488803</v>
      </c>
      <c r="AB181" s="2" t="n">
        <v>3.160890058</v>
      </c>
      <c r="AC181" s="2" t="n">
        <v>2.406557665</v>
      </c>
      <c r="AE181" s="2" t="n">
        <v>4.905103333</v>
      </c>
      <c r="AG181" s="2" t="n">
        <v>4.812570006</v>
      </c>
      <c r="AH181" s="2" t="n">
        <v>-0.878677114</v>
      </c>
      <c r="AI181" s="2" t="n">
        <v>0.567062797</v>
      </c>
      <c r="AJ181" s="2" t="n">
        <v>2.858869105</v>
      </c>
      <c r="AN181" s="2" t="n">
        <v>0.146530212</v>
      </c>
      <c r="AP181" s="2" t="n">
        <v>-1.133650656</v>
      </c>
    </row>
    <row r="182">
      <c r="A182" t="inlineStr">
        <is>
          <t>1992-Q2</t>
        </is>
      </c>
      <c r="B182" s="3" t="n">
        <v>33786</v>
      </c>
      <c r="C182" s="2" t="n">
        <v>1.957932369</v>
      </c>
      <c r="E182" s="2" t="n">
        <v>1.355214289</v>
      </c>
      <c r="F182" s="2" t="n">
        <v>0.51440589</v>
      </c>
      <c r="I182" s="2" t="n">
        <v>1.824938453</v>
      </c>
      <c r="J182" s="2" t="n">
        <v>0.378308002</v>
      </c>
      <c r="K182" s="2" t="n">
        <v>0.933266626</v>
      </c>
      <c r="M182" s="2" t="n">
        <v>-3.986959383</v>
      </c>
      <c r="N182" s="2" t="n">
        <v>1.715319177</v>
      </c>
      <c r="O182" s="2" t="n">
        <v>-0.15532733</v>
      </c>
      <c r="P182" s="2" t="n">
        <v>0.534086375</v>
      </c>
      <c r="R182" s="2" t="n">
        <v>3.42391621</v>
      </c>
      <c r="S182" s="2" t="n">
        <v>-3.588762779</v>
      </c>
      <c r="U182" s="2" t="n">
        <v>1.423993004</v>
      </c>
      <c r="V182" s="2" t="n">
        <v>0.862591393</v>
      </c>
      <c r="W182" s="2" t="n">
        <v>7.314468251</v>
      </c>
      <c r="X182" s="2" t="n">
        <v>1.618965795</v>
      </c>
      <c r="Z182" s="2" t="n">
        <v>3.658957609</v>
      </c>
      <c r="AA182" s="2" t="n">
        <v>1.301651842</v>
      </c>
      <c r="AB182" s="2" t="n">
        <v>3.159232219</v>
      </c>
      <c r="AC182" s="2" t="n">
        <v>2.120522692</v>
      </c>
      <c r="AE182" s="2" t="n">
        <v>1.939972161</v>
      </c>
      <c r="AG182" s="2" t="n">
        <v>4.746227336</v>
      </c>
      <c r="AH182" s="2" t="n">
        <v>-0.243414417</v>
      </c>
      <c r="AI182" s="2" t="n">
        <v>1.246888828</v>
      </c>
      <c r="AJ182" s="2" t="n">
        <v>3.169755821</v>
      </c>
      <c r="AN182" s="2" t="n">
        <v>0.709395171</v>
      </c>
      <c r="AP182" s="2" t="n">
        <v>-1.517845426</v>
      </c>
    </row>
    <row r="183">
      <c r="A183" t="inlineStr">
        <is>
          <t>1992-Q3</t>
        </is>
      </c>
      <c r="B183" s="3" t="n">
        <v>33878</v>
      </c>
      <c r="C183" s="2" t="n">
        <v>2.570793137</v>
      </c>
      <c r="E183" s="2" t="n">
        <v>0.986951056</v>
      </c>
      <c r="F183" s="2" t="n">
        <v>0.919014476</v>
      </c>
      <c r="I183" s="2" t="n">
        <v>1.869969805</v>
      </c>
      <c r="J183" s="2" t="n">
        <v>2.343031519</v>
      </c>
      <c r="K183" s="2" t="n">
        <v>0.240639413</v>
      </c>
      <c r="M183" s="2" t="n">
        <v>-2.769803946</v>
      </c>
      <c r="N183" s="2" t="n">
        <v>1.438906581</v>
      </c>
      <c r="O183" s="2" t="n">
        <v>0.700333571</v>
      </c>
      <c r="P183" s="2" t="n">
        <v>0.236577611</v>
      </c>
      <c r="R183" s="2" t="n">
        <v>3.913096149</v>
      </c>
      <c r="S183" s="2" t="n">
        <v>-3.518446069</v>
      </c>
      <c r="U183" s="2" t="n">
        <v>1.162538664</v>
      </c>
      <c r="V183" s="2" t="n">
        <v>1.205318749</v>
      </c>
      <c r="W183" s="2" t="n">
        <v>5.131652405</v>
      </c>
      <c r="X183" s="2" t="n">
        <v>0.628249131</v>
      </c>
      <c r="Z183" s="2" t="n">
        <v>4.42733631</v>
      </c>
      <c r="AA183" s="2" t="n">
        <v>1.196066069</v>
      </c>
      <c r="AB183" s="2" t="n">
        <v>4.766637712</v>
      </c>
      <c r="AC183" s="2" t="n">
        <v>2.342401101</v>
      </c>
      <c r="AE183" s="2" t="n">
        <v>0.508253299</v>
      </c>
      <c r="AG183" s="2" t="n">
        <v>4.673749088</v>
      </c>
      <c r="AH183" s="2" t="n">
        <v>-1.207304618</v>
      </c>
      <c r="AI183" s="2" t="n">
        <v>0.196910482</v>
      </c>
      <c r="AJ183" s="2" t="n">
        <v>3.665322879</v>
      </c>
      <c r="AN183" s="2" t="n">
        <v>-0.316181453</v>
      </c>
      <c r="AP183" s="2" t="n">
        <v>-2.620239574</v>
      </c>
    </row>
    <row r="184">
      <c r="A184" t="inlineStr">
        <is>
          <t>1992-Q4</t>
        </is>
      </c>
      <c r="B184" s="3" t="n">
        <v>33970</v>
      </c>
      <c r="C184" s="2" t="n">
        <v>4.60491685</v>
      </c>
      <c r="E184" s="2" t="n">
        <v>-0.759848347</v>
      </c>
      <c r="F184" s="2" t="n">
        <v>1.306211706</v>
      </c>
      <c r="I184" s="2" t="n">
        <v>0.239622352</v>
      </c>
      <c r="J184" s="2" t="n">
        <v>2.906035829</v>
      </c>
      <c r="K184" s="2" t="n">
        <v>-0.905532012</v>
      </c>
      <c r="M184" s="2" t="n">
        <v>-2.311352821</v>
      </c>
      <c r="N184" s="2" t="n">
        <v>0.714538248</v>
      </c>
      <c r="O184" s="2" t="n">
        <v>1.22427612</v>
      </c>
      <c r="P184" s="2" t="n">
        <v>0.081679574</v>
      </c>
      <c r="R184" s="2" t="n">
        <v>3.677969485</v>
      </c>
      <c r="S184" s="2" t="n">
        <v>-2.523949926</v>
      </c>
      <c r="U184" s="2" t="n">
        <v>-0.700210353</v>
      </c>
      <c r="V184" s="2" t="n">
        <v>-0.141208408</v>
      </c>
      <c r="W184" s="2" t="n">
        <v>4.164583234</v>
      </c>
      <c r="X184" s="2" t="n">
        <v>1.12939752</v>
      </c>
      <c r="Z184" s="2" t="n">
        <v>2.660116445</v>
      </c>
      <c r="AA184" s="2" t="n">
        <v>0.462805529</v>
      </c>
      <c r="AB184" s="2" t="n">
        <v>3.259580784</v>
      </c>
      <c r="AC184" s="2" t="n">
        <v>1.962459104</v>
      </c>
      <c r="AE184" s="2" t="n">
        <v>0.324157029</v>
      </c>
      <c r="AG184" s="2" t="n">
        <v>6.216707497</v>
      </c>
      <c r="AH184" s="2" t="n">
        <v>-2.411837217</v>
      </c>
      <c r="AI184" s="2" t="n">
        <v>0.792005528</v>
      </c>
      <c r="AJ184" s="2" t="n">
        <v>4.382587644</v>
      </c>
      <c r="AN184" s="2" t="n">
        <v>-1.429198957</v>
      </c>
      <c r="AP184" s="2" t="n">
        <v>-3.281270479</v>
      </c>
    </row>
    <row r="185">
      <c r="A185" t="inlineStr">
        <is>
          <t>1993-Q1</t>
        </is>
      </c>
      <c r="B185" s="3" t="n">
        <v>34060</v>
      </c>
      <c r="C185" s="2" t="n">
        <v>4.546532048</v>
      </c>
      <c r="E185" s="2" t="n">
        <v>-2.875422564</v>
      </c>
      <c r="F185" s="2" t="n">
        <v>1.880252874</v>
      </c>
      <c r="I185" s="2" t="n">
        <v>-1.97452814</v>
      </c>
      <c r="J185" s="2" t="n">
        <v>0.225781391</v>
      </c>
      <c r="K185" s="2" t="n">
        <v>-2.799834418</v>
      </c>
      <c r="M185" s="2" t="n">
        <v>-2.396353108</v>
      </c>
      <c r="N185" s="2" t="n">
        <v>-0.815276765</v>
      </c>
      <c r="O185" s="2" t="n">
        <v>1.948441346</v>
      </c>
      <c r="P185" s="2" t="n">
        <v>-4.687916186</v>
      </c>
      <c r="R185" s="2" t="n">
        <v>3.084815891</v>
      </c>
      <c r="S185" s="2" t="n">
        <v>-0.907474984</v>
      </c>
      <c r="U185" s="2" t="n">
        <v>-1.104673742</v>
      </c>
      <c r="V185" s="2" t="n">
        <v>0.952661935</v>
      </c>
      <c r="W185" s="2" t="n">
        <v>4.379773892</v>
      </c>
      <c r="X185" s="2" t="n">
        <v>2.498563073</v>
      </c>
      <c r="Z185" s="2" t="n">
        <v>2.605992218</v>
      </c>
      <c r="AA185" s="2" t="n">
        <v>0.371243051</v>
      </c>
      <c r="AB185" s="2" t="n">
        <v>0.444098944</v>
      </c>
      <c r="AC185" s="2" t="n">
        <v>1.295576788</v>
      </c>
      <c r="AE185" s="2" t="n">
        <v>-2.719594084</v>
      </c>
      <c r="AG185" s="2" t="n">
        <v>4.566347984</v>
      </c>
      <c r="AH185" s="2" t="n">
        <v>-5.050598677</v>
      </c>
      <c r="AI185" s="2" t="n">
        <v>2.148020303</v>
      </c>
      <c r="AJ185" s="2" t="n">
        <v>3.319981753</v>
      </c>
      <c r="AN185" s="2" t="n">
        <v>-2.319582023</v>
      </c>
      <c r="AP185" s="2" t="n">
        <v>-1.232488097</v>
      </c>
      <c r="AR185" s="2" t="n">
        <v>15.3</v>
      </c>
    </row>
    <row r="186">
      <c r="A186" t="inlineStr">
        <is>
          <t>1993-Q2</t>
        </is>
      </c>
      <c r="B186" s="3" t="n">
        <v>34151</v>
      </c>
      <c r="C186" s="2" t="n">
        <v>4.387275269</v>
      </c>
      <c r="E186" s="2" t="n">
        <v>-0.686829453</v>
      </c>
      <c r="F186" s="2" t="n">
        <v>2.682414014</v>
      </c>
      <c r="I186" s="2" t="n">
        <v>-1.239498099</v>
      </c>
      <c r="J186" s="2" t="n">
        <v>0.614269083</v>
      </c>
      <c r="K186" s="2" t="n">
        <v>-1.522315216</v>
      </c>
      <c r="M186" s="2" t="n">
        <v>-1.476589514</v>
      </c>
      <c r="N186" s="2" t="n">
        <v>-0.710697606</v>
      </c>
      <c r="O186" s="2" t="n">
        <v>2.574683057</v>
      </c>
      <c r="P186" s="2" t="n">
        <v>0.007632889</v>
      </c>
      <c r="R186" s="2" t="n">
        <v>2.534236627</v>
      </c>
      <c r="S186" s="2" t="n">
        <v>0.949243311</v>
      </c>
      <c r="U186" s="2" t="n">
        <v>-1.286754415</v>
      </c>
      <c r="V186" s="2" t="n">
        <v>-0.036541775</v>
      </c>
      <c r="W186" s="2" t="n">
        <v>6.311478978</v>
      </c>
      <c r="X186" s="2" t="n">
        <v>4.002173962</v>
      </c>
      <c r="Z186" s="2" t="n">
        <v>1.236456992</v>
      </c>
      <c r="AA186" s="2" t="n">
        <v>1.55532364</v>
      </c>
      <c r="AB186" s="2" t="n">
        <v>1.657741917</v>
      </c>
      <c r="AC186" s="2" t="n">
        <v>1.428761394</v>
      </c>
      <c r="AE186" s="2" t="n">
        <v>-1.76772333</v>
      </c>
      <c r="AG186" s="2" t="n">
        <v>4.589729005</v>
      </c>
      <c r="AH186" s="2" t="n">
        <v>-3.331609629</v>
      </c>
      <c r="AI186" s="2" t="n">
        <v>4.420318229</v>
      </c>
      <c r="AJ186" s="2" t="n">
        <v>2.80666739</v>
      </c>
      <c r="AN186" s="2" t="n">
        <v>-0.84439634</v>
      </c>
      <c r="AP186" s="2" t="n">
        <v>0.46715042</v>
      </c>
      <c r="AR186" s="2" t="n">
        <v>13.5</v>
      </c>
    </row>
    <row r="187">
      <c r="A187" t="inlineStr">
        <is>
          <t>1993-Q3</t>
        </is>
      </c>
      <c r="B187" s="3" t="n">
        <v>34243</v>
      </c>
      <c r="C187" s="2" t="n">
        <v>3.446898552</v>
      </c>
      <c r="E187" s="2" t="n">
        <v>-0.679397167</v>
      </c>
      <c r="F187" s="2" t="n">
        <v>3.107354566</v>
      </c>
      <c r="I187" s="2" t="n">
        <v>-0.476525174</v>
      </c>
      <c r="J187" s="2" t="n">
        <v>-1.880594983</v>
      </c>
      <c r="K187" s="2" t="n">
        <v>-0.40105551</v>
      </c>
      <c r="M187" s="2" t="n">
        <v>-0.09736486699999999</v>
      </c>
      <c r="N187" s="2" t="n">
        <v>-0.607324769</v>
      </c>
      <c r="O187" s="2" t="n">
        <v>2.731752336</v>
      </c>
      <c r="P187" s="2" t="n">
        <v>-1.181599519</v>
      </c>
      <c r="R187" s="2" t="n">
        <v>2.38251617</v>
      </c>
      <c r="S187" s="2" t="n">
        <v>2.704534213</v>
      </c>
      <c r="U187" s="2" t="n">
        <v>-1.223094252</v>
      </c>
      <c r="V187" s="2" t="n">
        <v>-0.870782185</v>
      </c>
      <c r="W187" s="2" t="n">
        <v>8.198357868</v>
      </c>
      <c r="X187" s="2" t="n">
        <v>5.017032622</v>
      </c>
      <c r="Z187" s="2" t="n">
        <v>1.392096256</v>
      </c>
      <c r="AA187" s="2" t="n">
        <v>2.074771726</v>
      </c>
      <c r="AB187" s="2" t="n">
        <v>2.342647586</v>
      </c>
      <c r="AC187" s="2" t="n">
        <v>1.3151435</v>
      </c>
      <c r="AE187" s="2" t="n">
        <v>-0.741093157</v>
      </c>
      <c r="AG187" s="2" t="n">
        <v>4.977969781</v>
      </c>
      <c r="AH187" s="2" t="n">
        <v>-0.60219361</v>
      </c>
      <c r="AI187" s="2" t="n">
        <v>7.307221166</v>
      </c>
      <c r="AJ187" s="2" t="n">
        <v>2.286515761</v>
      </c>
      <c r="AN187" s="2" t="n">
        <v>0.531189647</v>
      </c>
      <c r="AP187" s="2" t="n">
        <v>3.107067377</v>
      </c>
      <c r="AR187" s="2" t="n">
        <v>12.9</v>
      </c>
    </row>
    <row r="188">
      <c r="A188" t="inlineStr">
        <is>
          <t>1993-Q4</t>
        </is>
      </c>
      <c r="B188" s="3" t="n">
        <v>34335</v>
      </c>
      <c r="C188" s="2" t="n">
        <v>3.249464169</v>
      </c>
      <c r="E188" s="2" t="n">
        <v>1.517811589</v>
      </c>
      <c r="F188" s="2" t="n">
        <v>2.966663906</v>
      </c>
      <c r="I188" s="2" t="n">
        <v>-0.249142249</v>
      </c>
      <c r="J188" s="2" t="n">
        <v>0.710095181</v>
      </c>
      <c r="K188" s="2" t="n">
        <v>0.629980151</v>
      </c>
      <c r="M188" s="2" t="n">
        <v>1.372809515</v>
      </c>
      <c r="N188" s="2" t="n">
        <v>-0.114021775</v>
      </c>
      <c r="O188" s="2" t="n">
        <v>2.703383894</v>
      </c>
      <c r="P188" s="2" t="n">
        <v>-0.454916422</v>
      </c>
      <c r="R188" s="2" t="n">
        <v>2.774481921</v>
      </c>
      <c r="S188" s="2" t="n">
        <v>4.046309321</v>
      </c>
      <c r="U188" s="2" t="n">
        <v>0.191698108</v>
      </c>
      <c r="V188" s="2" t="n">
        <v>0.393745975</v>
      </c>
      <c r="W188" s="2" t="n">
        <v>8.574414268</v>
      </c>
      <c r="X188" s="2" t="n">
        <v>5.269472286</v>
      </c>
      <c r="Z188" s="2" t="n">
        <v>2.572882419</v>
      </c>
      <c r="AA188" s="2" t="n">
        <v>1.060811989</v>
      </c>
      <c r="AB188" s="2" t="n">
        <v>6.747981026</v>
      </c>
      <c r="AC188" s="2" t="n">
        <v>1.924605151</v>
      </c>
      <c r="AE188" s="2" t="n">
        <v>-0.24897242</v>
      </c>
      <c r="AG188" s="2" t="n">
        <v>4.025530182</v>
      </c>
      <c r="AH188" s="2" t="n">
        <v>0.662017843</v>
      </c>
      <c r="AI188" s="2" t="n">
        <v>6.976579804</v>
      </c>
      <c r="AJ188" s="2" t="n">
        <v>2.607615494</v>
      </c>
      <c r="AN188" s="2" t="n">
        <v>1.90978849</v>
      </c>
      <c r="AP188" s="2" t="n">
        <v>4.761165023</v>
      </c>
      <c r="AR188" s="2" t="n">
        <v>14.1</v>
      </c>
    </row>
    <row r="189">
      <c r="A189" t="inlineStr">
        <is>
          <t>1994-Q1</t>
        </is>
      </c>
      <c r="B189" s="3" t="n">
        <v>34425</v>
      </c>
      <c r="C189" s="2" t="n">
        <v>4.25533884</v>
      </c>
      <c r="E189" s="2" t="n">
        <v>3.014708521</v>
      </c>
      <c r="F189" s="2" t="n">
        <v>3.819559046</v>
      </c>
      <c r="I189" s="2" t="n">
        <v>1.878706574</v>
      </c>
      <c r="J189" s="2" t="n">
        <v>3.180463903</v>
      </c>
      <c r="K189" s="2" t="n">
        <v>2.417824925</v>
      </c>
      <c r="M189" s="2" t="n">
        <v>1.808255491</v>
      </c>
      <c r="N189" s="2" t="n">
        <v>1.173117041</v>
      </c>
      <c r="O189" s="2" t="n">
        <v>3.170497088</v>
      </c>
      <c r="P189" s="2" t="n">
        <v>1.448532837</v>
      </c>
      <c r="R189" s="2" t="n">
        <v>3.643862215</v>
      </c>
      <c r="S189" s="2" t="n">
        <v>4.741343372</v>
      </c>
      <c r="U189" s="2" t="n">
        <v>1.095820351</v>
      </c>
      <c r="V189" s="2" t="n">
        <v>0.164029557</v>
      </c>
      <c r="W189" s="2" t="n">
        <v>9.560400571000001</v>
      </c>
      <c r="X189" s="2" t="n">
        <v>4.929208046</v>
      </c>
      <c r="Z189" s="2" t="n">
        <v>3.677866567</v>
      </c>
      <c r="AA189" s="2" t="n">
        <v>1.945324969</v>
      </c>
      <c r="AB189" s="2" t="n">
        <v>6.22990638</v>
      </c>
      <c r="AC189" s="2" t="n">
        <v>2.668246697</v>
      </c>
      <c r="AE189" s="2" t="n">
        <v>1.426321021</v>
      </c>
      <c r="AF189" s="2" t="n">
        <v>5.973834269</v>
      </c>
      <c r="AG189" s="2" t="n">
        <v>4.343220461</v>
      </c>
      <c r="AH189" s="2" t="n">
        <v>3.658365534</v>
      </c>
      <c r="AI189" s="2" t="n">
        <v>6.863312336</v>
      </c>
      <c r="AJ189" s="2" t="n">
        <v>3.430523014</v>
      </c>
      <c r="AN189" s="2" t="n">
        <v>2.57460877</v>
      </c>
      <c r="AP189" s="2" t="n">
        <v>3.164803197</v>
      </c>
      <c r="AR189" s="2" t="n">
        <v>14.1</v>
      </c>
      <c r="AU189" t="n">
        <v>7.268922348</v>
      </c>
    </row>
    <row r="190">
      <c r="A190" t="inlineStr">
        <is>
          <t>1994-Q2</t>
        </is>
      </c>
      <c r="B190" s="3" t="n">
        <v>34516</v>
      </c>
      <c r="C190" s="2" t="n">
        <v>4.958886839</v>
      </c>
      <c r="E190" s="2" t="n">
        <v>3.157014963</v>
      </c>
      <c r="F190" s="2" t="n">
        <v>4.386336064</v>
      </c>
      <c r="I190" s="2" t="n">
        <v>2.150568624</v>
      </c>
      <c r="J190" s="2" t="n">
        <v>6.643431971</v>
      </c>
      <c r="K190" s="2" t="n">
        <v>2.649333553</v>
      </c>
      <c r="M190" s="2" t="n">
        <v>2.889935814</v>
      </c>
      <c r="N190" s="2" t="n">
        <v>2.229597617</v>
      </c>
      <c r="O190" s="2" t="n">
        <v>3.857894941</v>
      </c>
      <c r="P190" s="2" t="n">
        <v>0.958617637</v>
      </c>
      <c r="R190" s="2" t="n">
        <v>4.879714864</v>
      </c>
      <c r="S190" s="2" t="n">
        <v>4.687855556</v>
      </c>
      <c r="U190" s="2" t="n">
        <v>2.073646249</v>
      </c>
      <c r="V190" s="2" t="n">
        <v>0.242975038</v>
      </c>
      <c r="W190" s="2" t="n">
        <v>8.562978922999999</v>
      </c>
      <c r="X190" s="2" t="n">
        <v>4.26791433</v>
      </c>
      <c r="Z190" s="2" t="n">
        <v>5.579275457</v>
      </c>
      <c r="AA190" s="2" t="n">
        <v>2.861042796</v>
      </c>
      <c r="AB190" s="2" t="n">
        <v>6.848977679</v>
      </c>
      <c r="AC190" s="2" t="n">
        <v>2.800400788</v>
      </c>
      <c r="AE190" s="2" t="n">
        <v>2.68916016</v>
      </c>
      <c r="AF190" s="2" t="n">
        <v>5.793638036</v>
      </c>
      <c r="AG190" s="2" t="n">
        <v>2.754038828</v>
      </c>
      <c r="AH190" s="2" t="n">
        <v>3.406580029</v>
      </c>
      <c r="AI190" s="2" t="n">
        <v>5.25038791</v>
      </c>
      <c r="AJ190" s="2" t="n">
        <v>4.225399702</v>
      </c>
      <c r="AN190" s="2" t="n">
        <v>0.402783104</v>
      </c>
      <c r="AP190" s="2" t="n">
        <v>3.152479021</v>
      </c>
      <c r="AR190" s="2" t="n">
        <v>13.3</v>
      </c>
      <c r="AU190" t="n">
        <v>6.450531759</v>
      </c>
    </row>
    <row r="191">
      <c r="A191" t="inlineStr">
        <is>
          <t>1994-Q3</t>
        </is>
      </c>
      <c r="B191" s="3" t="n">
        <v>34608</v>
      </c>
      <c r="C191" s="2" t="n">
        <v>5.646414224</v>
      </c>
      <c r="E191" s="2" t="n">
        <v>3.119258394</v>
      </c>
      <c r="F191" s="2" t="n">
        <v>4.722762201</v>
      </c>
      <c r="I191" s="2" t="n">
        <v>2.259152409</v>
      </c>
      <c r="J191" s="2" t="n">
        <v>5.967772709</v>
      </c>
      <c r="K191" s="2" t="n">
        <v>2.234294896</v>
      </c>
      <c r="M191" s="2" t="n">
        <v>4.640342052</v>
      </c>
      <c r="N191" s="2" t="n">
        <v>2.656389113</v>
      </c>
      <c r="O191" s="2" t="n">
        <v>4.211971779</v>
      </c>
      <c r="P191" s="2" t="n">
        <v>3.314875103</v>
      </c>
      <c r="R191" s="2" t="n">
        <v>6.4162312</v>
      </c>
      <c r="S191" s="2" t="n">
        <v>3.752436615</v>
      </c>
      <c r="U191" s="2" t="n">
        <v>2.872282791</v>
      </c>
      <c r="V191" s="2" t="n">
        <v>2.136111033</v>
      </c>
      <c r="W191" s="2" t="n">
        <v>8.390840533</v>
      </c>
      <c r="X191" s="2" t="n">
        <v>3.465969401</v>
      </c>
      <c r="Z191" s="2" t="n">
        <v>5.304240917</v>
      </c>
      <c r="AA191" s="2" t="n">
        <v>2.800754845</v>
      </c>
      <c r="AB191" s="2" t="n">
        <v>3.338305803</v>
      </c>
      <c r="AC191" s="2" t="n">
        <v>3.315892326</v>
      </c>
      <c r="AE191" s="2" t="n">
        <v>2.441003251</v>
      </c>
      <c r="AF191" s="2" t="n">
        <v>6.567374548</v>
      </c>
      <c r="AG191" s="2" t="n">
        <v>2.928001959</v>
      </c>
      <c r="AH191" s="2" t="n">
        <v>3.21558039</v>
      </c>
      <c r="AI191" s="2" t="n">
        <v>4.924295736</v>
      </c>
      <c r="AJ191" s="2" t="n">
        <v>4.33678486</v>
      </c>
      <c r="AN191" s="2" t="n">
        <v>1.122489651</v>
      </c>
      <c r="AP191" s="2" t="n">
        <v>2.832439966</v>
      </c>
      <c r="AR191" s="2" t="n">
        <v>13.1</v>
      </c>
      <c r="AU191" t="n">
        <v>4.616171108</v>
      </c>
    </row>
    <row r="192">
      <c r="A192" t="inlineStr">
        <is>
          <t>1994-Q4</t>
        </is>
      </c>
      <c r="B192" s="3" t="n">
        <v>34700</v>
      </c>
      <c r="C192" s="2" t="n">
        <v>4.736590341</v>
      </c>
      <c r="E192" s="2" t="n">
        <v>3.864636253</v>
      </c>
      <c r="F192" s="2" t="n">
        <v>5.03345689</v>
      </c>
      <c r="I192" s="2" t="n">
        <v>3.557271577</v>
      </c>
      <c r="J192" s="2" t="n">
        <v>6.300305866</v>
      </c>
      <c r="K192" s="2" t="n">
        <v>2.231623883</v>
      </c>
      <c r="M192" s="2" t="n">
        <v>6.471542686</v>
      </c>
      <c r="N192" s="2" t="n">
        <v>3.281075353</v>
      </c>
      <c r="O192" s="2" t="n">
        <v>4.133348206</v>
      </c>
      <c r="P192" s="2" t="n">
        <v>2.262202991</v>
      </c>
      <c r="R192" s="2" t="n">
        <v>8.028488321999999</v>
      </c>
      <c r="S192" s="2" t="n">
        <v>2.192229077</v>
      </c>
      <c r="U192" s="2" t="n">
        <v>3.082470286</v>
      </c>
      <c r="V192" s="2" t="n">
        <v>1.086360965</v>
      </c>
      <c r="W192" s="2" t="n">
        <v>10.5357919</v>
      </c>
      <c r="X192" s="2" t="n">
        <v>2.669510252</v>
      </c>
      <c r="Z192" s="2" t="n">
        <v>5.158757914</v>
      </c>
      <c r="AA192" s="2" t="n">
        <v>4.421993497</v>
      </c>
      <c r="AB192" s="2" t="n">
        <v>3.731542564</v>
      </c>
      <c r="AC192" s="2" t="n">
        <v>3.418652048</v>
      </c>
      <c r="AE192" s="2" t="n">
        <v>3.325675959</v>
      </c>
      <c r="AF192" s="2" t="n">
        <v>6.472727923</v>
      </c>
      <c r="AG192" s="2" t="n">
        <v>2.97072438</v>
      </c>
      <c r="AH192" s="2" t="n">
        <v>4.899951739</v>
      </c>
      <c r="AI192" s="2" t="n">
        <v>5.316937954</v>
      </c>
      <c r="AJ192" s="2" t="n">
        <v>4.115926516</v>
      </c>
      <c r="AN192" s="2" t="n">
        <v>1.022453579</v>
      </c>
      <c r="AP192" s="2" t="n">
        <v>3.779921413</v>
      </c>
      <c r="AR192" s="2" t="n">
        <v>12</v>
      </c>
      <c r="AU192" t="n">
        <v>5.068113186</v>
      </c>
    </row>
    <row r="193">
      <c r="A193" t="inlineStr">
        <is>
          <t>1995-Q1</t>
        </is>
      </c>
      <c r="B193" s="3" t="n">
        <v>34790</v>
      </c>
      <c r="C193" s="2" t="n">
        <v>2.980013404</v>
      </c>
      <c r="E193" s="2" t="n">
        <v>3.081870011</v>
      </c>
      <c r="F193" s="2" t="n">
        <v>4.470288197</v>
      </c>
      <c r="H193" s="2" t="n">
        <v>6.363014593</v>
      </c>
      <c r="I193" s="2" t="n">
        <v>1.79071673</v>
      </c>
      <c r="J193" s="2" t="n">
        <v>5.556548886</v>
      </c>
      <c r="K193" s="2" t="n">
        <v>2.550954548</v>
      </c>
      <c r="M193" s="2" t="n">
        <v>4.894454605</v>
      </c>
      <c r="N193" s="2" t="n">
        <v>3.119671348</v>
      </c>
      <c r="O193" s="2" t="n">
        <v>3.33513929</v>
      </c>
      <c r="P193" s="2" t="n">
        <v>3.03725171</v>
      </c>
      <c r="R193" s="2" t="n">
        <v>12.605958022</v>
      </c>
      <c r="S193" s="2" t="n">
        <v>-2.055824722</v>
      </c>
      <c r="U193" s="2" t="n">
        <v>3.587752552</v>
      </c>
      <c r="V193" s="2" t="n">
        <v>1.300366428</v>
      </c>
      <c r="W193" s="2" t="n">
        <v>9.648249708</v>
      </c>
      <c r="X193" s="2" t="n">
        <v>1.543169256</v>
      </c>
      <c r="Z193" s="2" t="n">
        <v>-1.915878793</v>
      </c>
      <c r="AA193" s="2" t="n">
        <v>3.58223825</v>
      </c>
      <c r="AB193" s="2" t="n">
        <v>4.108228822</v>
      </c>
      <c r="AC193" s="2" t="n">
        <v>2.835331806</v>
      </c>
      <c r="AE193" s="2" t="n">
        <v>3.156940472</v>
      </c>
      <c r="AF193" s="2" t="n">
        <v>6.183554444</v>
      </c>
      <c r="AG193" s="2" t="n">
        <v>-2.361676472</v>
      </c>
      <c r="AH193" s="2" t="n">
        <v>5.030913487</v>
      </c>
      <c r="AI193" s="2" t="n">
        <v>4.984542519</v>
      </c>
      <c r="AJ193" s="2" t="n">
        <v>3.481130297</v>
      </c>
      <c r="AN193" s="2" t="n">
        <v>0.103338465</v>
      </c>
      <c r="AP193" s="2" t="n">
        <v>4.303372732</v>
      </c>
      <c r="AR193" s="2" t="n">
        <v>11.9</v>
      </c>
      <c r="AU193" t="n">
        <v>1.997060055</v>
      </c>
    </row>
    <row r="194">
      <c r="A194" t="inlineStr">
        <is>
          <t>1995-Q2</t>
        </is>
      </c>
      <c r="B194" s="3" t="n">
        <v>34881</v>
      </c>
      <c r="C194" s="2" t="n">
        <v>2.086329043</v>
      </c>
      <c r="E194" s="2" t="n">
        <v>2.338763397</v>
      </c>
      <c r="F194" s="2" t="n">
        <v>3.007197067</v>
      </c>
      <c r="H194" s="2" t="n">
        <v>5.760987897</v>
      </c>
      <c r="I194" s="2" t="n">
        <v>2.291196974</v>
      </c>
      <c r="J194" s="2" t="n">
        <v>2.259548312</v>
      </c>
      <c r="K194" s="2" t="n">
        <v>2.961288902</v>
      </c>
      <c r="M194" s="2" t="n">
        <v>6.785286254</v>
      </c>
      <c r="N194" s="2" t="n">
        <v>2.504846457</v>
      </c>
      <c r="O194" s="2" t="n">
        <v>2.530155745</v>
      </c>
      <c r="P194" s="2" t="n">
        <v>2.76173387</v>
      </c>
      <c r="R194" s="2" t="n">
        <v>11.766711879</v>
      </c>
      <c r="S194" s="2" t="n">
        <v>-0.241673877</v>
      </c>
      <c r="U194" s="2" t="n">
        <v>2.915682643</v>
      </c>
      <c r="V194" s="2" t="n">
        <v>2.825988304</v>
      </c>
      <c r="W194" s="2" t="n">
        <v>10.069263579</v>
      </c>
      <c r="X194" s="2" t="n">
        <v>0.737592175</v>
      </c>
      <c r="Z194" s="2" t="n">
        <v>-8.617125151</v>
      </c>
      <c r="AA194" s="2" t="n">
        <v>3.207608445</v>
      </c>
      <c r="AB194" s="2" t="n">
        <v>2.62666746</v>
      </c>
      <c r="AC194" s="2" t="n">
        <v>2.641583071</v>
      </c>
      <c r="AE194" s="2" t="n">
        <v>3.038099685</v>
      </c>
      <c r="AF194" s="2" t="n">
        <v>6.648617943</v>
      </c>
      <c r="AG194" s="2" t="n">
        <v>-11.356905153</v>
      </c>
      <c r="AH194" s="2" t="n">
        <v>4.500342886</v>
      </c>
      <c r="AI194" s="2" t="n">
        <v>5.63208836</v>
      </c>
      <c r="AJ194" s="2" t="n">
        <v>2.402168869</v>
      </c>
      <c r="AN194" s="2" t="n">
        <v>1.255541524</v>
      </c>
      <c r="AP194" s="2" t="n">
        <v>3.642143659</v>
      </c>
      <c r="AR194" s="2" t="n">
        <v>11</v>
      </c>
      <c r="AU194" t="n">
        <v>-3.857416767</v>
      </c>
    </row>
    <row r="195">
      <c r="A195" t="inlineStr">
        <is>
          <t>1995-Q3</t>
        </is>
      </c>
      <c r="B195" s="3" t="n">
        <v>34973</v>
      </c>
      <c r="C195" s="2" t="n">
        <v>3.632123496</v>
      </c>
      <c r="E195" s="2" t="n">
        <v>2.665165111</v>
      </c>
      <c r="F195" s="2" t="n">
        <v>1.841001315</v>
      </c>
      <c r="H195" s="2" t="n">
        <v>7.38865553</v>
      </c>
      <c r="I195" s="2" t="n">
        <v>1.774007202</v>
      </c>
      <c r="J195" s="2" t="n">
        <v>3.169757063</v>
      </c>
      <c r="K195" s="2" t="n">
        <v>2.562578476</v>
      </c>
      <c r="M195" s="2" t="n">
        <v>3.929816128</v>
      </c>
      <c r="N195" s="2" t="n">
        <v>2.030370376</v>
      </c>
      <c r="O195" s="2" t="n">
        <v>2.347519019</v>
      </c>
      <c r="P195" s="2" t="n">
        <v>0.615703809</v>
      </c>
      <c r="R195" s="2" t="n">
        <v>11.359246698</v>
      </c>
      <c r="S195" s="2" t="n">
        <v>-1.654468969</v>
      </c>
      <c r="U195" s="2" t="n">
        <v>2.732949342</v>
      </c>
      <c r="V195" s="2" t="n">
        <v>2.843690889</v>
      </c>
      <c r="W195" s="2" t="n">
        <v>10.495409042</v>
      </c>
      <c r="X195" s="2" t="n">
        <v>0.458683452</v>
      </c>
      <c r="Z195" s="2" t="n">
        <v>-7.600512628</v>
      </c>
      <c r="AA195" s="2" t="n">
        <v>3.235805613</v>
      </c>
      <c r="AB195" s="2" t="n">
        <v>6.491643989</v>
      </c>
      <c r="AC195" s="2" t="n">
        <v>2.592719675</v>
      </c>
      <c r="AE195" s="2" t="n">
        <v>3.019269921</v>
      </c>
      <c r="AF195" s="2" t="n">
        <v>5.290324183</v>
      </c>
      <c r="AG195" s="2" t="n">
        <v>-1.967928961</v>
      </c>
      <c r="AH195" s="2" t="n">
        <v>3.840675545</v>
      </c>
      <c r="AI195" s="2" t="n">
        <v>4.816397767</v>
      </c>
      <c r="AJ195" s="2" t="n">
        <v>2.673106856</v>
      </c>
      <c r="AN195" s="2" t="n">
        <v>0.703564955</v>
      </c>
      <c r="AP195" s="2" t="n">
        <v>2.931783997</v>
      </c>
      <c r="AR195" s="2" t="n">
        <v>10.4</v>
      </c>
      <c r="AU195" t="n">
        <v>-4.469924006</v>
      </c>
    </row>
    <row r="196">
      <c r="A196" t="inlineStr">
        <is>
          <t>1995-Q4</t>
        </is>
      </c>
      <c r="B196" s="3" t="n">
        <v>35065</v>
      </c>
      <c r="C196" s="2" t="n">
        <v>2.65241932</v>
      </c>
      <c r="E196" s="2" t="n">
        <v>1.174873872</v>
      </c>
      <c r="F196" s="2" t="n">
        <v>1.517638141</v>
      </c>
      <c r="H196" s="2" t="n">
        <v>4.281259436</v>
      </c>
      <c r="I196" s="2" t="n">
        <v>0.6192858570000001</v>
      </c>
      <c r="J196" s="2" t="n">
        <v>1.381050318</v>
      </c>
      <c r="K196" s="2" t="n">
        <v>2.956822426</v>
      </c>
      <c r="M196" s="2" t="n">
        <v>1.427231698</v>
      </c>
      <c r="N196" s="2" t="n">
        <v>1.306861792</v>
      </c>
      <c r="O196" s="2" t="n">
        <v>1.934601235</v>
      </c>
      <c r="P196" s="2" t="n">
        <v>2.036812447</v>
      </c>
      <c r="R196" s="2" t="n">
        <v>9.376399685000001</v>
      </c>
      <c r="S196" s="2" t="n">
        <v>-1.383877513</v>
      </c>
      <c r="U196" s="2" t="n">
        <v>2.62018562</v>
      </c>
      <c r="V196" s="2" t="n">
        <v>3.507577166</v>
      </c>
      <c r="W196" s="2" t="n">
        <v>8.305406400000001</v>
      </c>
      <c r="X196" s="2" t="n">
        <v>6.74426881</v>
      </c>
      <c r="Z196" s="2" t="n">
        <v>-6.911994843</v>
      </c>
      <c r="AA196" s="2" t="n">
        <v>2.995966325</v>
      </c>
      <c r="AB196" s="2" t="n">
        <v>3.706805751</v>
      </c>
      <c r="AC196" s="2" t="n">
        <v>2.17608041</v>
      </c>
      <c r="AE196" s="2" t="n">
        <v>2.485423689</v>
      </c>
      <c r="AF196" s="2" t="n">
        <v>5.787145163</v>
      </c>
      <c r="AG196" s="2" t="n">
        <v>-3.517508811</v>
      </c>
      <c r="AH196" s="2" t="n">
        <v>3.273806111</v>
      </c>
      <c r="AI196" s="2" t="n">
        <v>4.162050653</v>
      </c>
      <c r="AJ196" s="2" t="n">
        <v>2.199579909</v>
      </c>
      <c r="AN196" s="2" t="n">
        <v>0.235427975</v>
      </c>
      <c r="AP196" s="2" t="n">
        <v>1.641510632</v>
      </c>
      <c r="AR196" s="2" t="n">
        <v>10.8</v>
      </c>
      <c r="AU196" t="n">
        <v>-4.917327789</v>
      </c>
    </row>
    <row r="197">
      <c r="A197" t="inlineStr">
        <is>
          <t>1996-Q1</t>
        </is>
      </c>
      <c r="B197" s="3" t="n">
        <v>35156</v>
      </c>
      <c r="C197" s="2" t="n">
        <v>4.432472038</v>
      </c>
      <c r="E197" s="2" t="n">
        <v>1.026925133</v>
      </c>
      <c r="F197" s="2" t="n">
        <v>0.651940818</v>
      </c>
      <c r="H197" s="2" t="n">
        <v>4.977960345</v>
      </c>
      <c r="I197" s="2" t="n">
        <v>0.117692428</v>
      </c>
      <c r="J197" s="2" t="n">
        <v>0.877556676</v>
      </c>
      <c r="K197" s="2" t="n">
        <v>2.395961849</v>
      </c>
      <c r="M197" s="2" t="n">
        <v>4.11643026</v>
      </c>
      <c r="N197" s="2" t="n">
        <v>1.362042912</v>
      </c>
      <c r="O197" s="2" t="n">
        <v>2.111224913</v>
      </c>
      <c r="P197" s="2" t="n">
        <v>2.632531586</v>
      </c>
      <c r="Q197" s="2" t="n">
        <v>0.094484127</v>
      </c>
      <c r="R197" s="2" t="n">
        <v>7.919662898</v>
      </c>
      <c r="S197" s="2" t="n">
        <v>6.354726475</v>
      </c>
      <c r="T197" s="2" t="n">
        <v>6.383132994</v>
      </c>
      <c r="U197" s="2" t="n">
        <v>1.43270892</v>
      </c>
      <c r="V197" s="2" t="n">
        <v>3.221162737</v>
      </c>
      <c r="W197" s="2" t="n">
        <v>8.111951084999999</v>
      </c>
      <c r="X197" s="2" t="n">
        <v>2.255141201</v>
      </c>
      <c r="Y197" s="2" t="n">
        <v>-0.61203671</v>
      </c>
      <c r="Z197" s="2" t="n">
        <v>1.425732033</v>
      </c>
      <c r="AA197" s="2" t="n">
        <v>2.720293521</v>
      </c>
      <c r="AB197" s="2" t="n">
        <v>6.101977351</v>
      </c>
      <c r="AC197" s="2" t="n">
        <v>2.519486415</v>
      </c>
      <c r="AD197" s="2" t="n">
        <v>8.390966129000001</v>
      </c>
      <c r="AE197" s="2" t="n">
        <v>3.114674906</v>
      </c>
      <c r="AF197" s="2" t="n">
        <v>5.968875779</v>
      </c>
      <c r="AG197" s="2" t="n">
        <v>2.768698276</v>
      </c>
      <c r="AH197" s="2" t="n">
        <v>2.662963152</v>
      </c>
      <c r="AI197" s="2" t="n">
        <v>4.348236267</v>
      </c>
      <c r="AJ197" s="2" t="n">
        <v>2.601103993</v>
      </c>
      <c r="AK197" s="2" t="n">
        <v>1.313976456</v>
      </c>
      <c r="AN197" s="2" t="n">
        <v>1.190982168</v>
      </c>
      <c r="AP197" s="2" t="n">
        <v>2.696868884</v>
      </c>
      <c r="AR197" s="2" t="n">
        <v>10.9</v>
      </c>
      <c r="AU197" t="n">
        <v>-0.771663571</v>
      </c>
    </row>
    <row r="198">
      <c r="A198" t="inlineStr">
        <is>
          <t>1996-Q2</t>
        </is>
      </c>
      <c r="B198" s="3" t="n">
        <v>35247</v>
      </c>
      <c r="C198" s="2" t="n">
        <v>4.792517489</v>
      </c>
      <c r="E198" s="2" t="n">
        <v>1.309798977</v>
      </c>
      <c r="F198" s="2" t="n">
        <v>1.311865775</v>
      </c>
      <c r="H198" s="2" t="n">
        <v>5.301418949</v>
      </c>
      <c r="I198" s="2" t="n">
        <v>0.740136741</v>
      </c>
      <c r="J198" s="2" t="n">
        <v>3.90660937</v>
      </c>
      <c r="K198" s="2" t="n">
        <v>2.516124698</v>
      </c>
      <c r="M198" s="2" t="n">
        <v>2.19286886</v>
      </c>
      <c r="N198" s="2" t="n">
        <v>1.050925985</v>
      </c>
      <c r="O198" s="2" t="n">
        <v>2.08113164</v>
      </c>
      <c r="P198" s="2" t="n">
        <v>2.252642313</v>
      </c>
      <c r="Q198" s="2" t="n">
        <v>-0.41636855</v>
      </c>
      <c r="R198" s="2" t="n">
        <v>8.386380814000001</v>
      </c>
      <c r="S198" s="2" t="n">
        <v>3.886748587</v>
      </c>
      <c r="T198" s="2" t="n">
        <v>5.296348095</v>
      </c>
      <c r="U198" s="2" t="n">
        <v>1.430844588</v>
      </c>
      <c r="V198" s="2" t="n">
        <v>3.549464586</v>
      </c>
      <c r="W198" s="2" t="n">
        <v>8.11017914</v>
      </c>
      <c r="X198" s="2" t="n">
        <v>3.467578819</v>
      </c>
      <c r="Y198" s="2" t="n">
        <v>-1.138008328</v>
      </c>
      <c r="Z198" s="2" t="n">
        <v>8.039088788999999</v>
      </c>
      <c r="AA198" s="2" t="n">
        <v>3.057056759</v>
      </c>
      <c r="AB198" s="2" t="n">
        <v>5.039904071</v>
      </c>
      <c r="AC198" s="2" t="n">
        <v>3.330955425</v>
      </c>
      <c r="AD198" s="2" t="n">
        <v>8.802660338000001</v>
      </c>
      <c r="AE198" s="2" t="n">
        <v>3.135435389</v>
      </c>
      <c r="AF198" s="2" t="n">
        <v>5.48016775</v>
      </c>
      <c r="AG198" s="2" t="n">
        <v>15.677679067</v>
      </c>
      <c r="AH198" s="2" t="n">
        <v>1.363738141</v>
      </c>
      <c r="AI198" s="2" t="n">
        <v>3.938727069</v>
      </c>
      <c r="AJ198" s="2" t="n">
        <v>4.002127064</v>
      </c>
      <c r="AK198" s="2" t="n">
        <v>1.522084547</v>
      </c>
      <c r="AN198" s="2" t="n">
        <v>0.705495324</v>
      </c>
      <c r="AP198" s="2" t="n">
        <v>4.157932283</v>
      </c>
      <c r="AR198" s="2" t="n">
        <v>9.4</v>
      </c>
      <c r="AU198" t="n">
        <v>5.436258599</v>
      </c>
    </row>
    <row r="199">
      <c r="A199" t="inlineStr">
        <is>
          <t>1996-Q3</t>
        </is>
      </c>
      <c r="B199" s="3" t="n">
        <v>35339</v>
      </c>
      <c r="C199" s="2" t="n">
        <v>3.264255666</v>
      </c>
      <c r="E199" s="2" t="n">
        <v>1.16970465</v>
      </c>
      <c r="F199" s="2" t="n">
        <v>2.052683265</v>
      </c>
      <c r="H199" s="2" t="n">
        <v>2.74661798</v>
      </c>
      <c r="I199" s="2" t="n">
        <v>0.9071840370000001</v>
      </c>
      <c r="J199" s="2" t="n">
        <v>3.767712314</v>
      </c>
      <c r="K199" s="2" t="n">
        <v>2.978882389</v>
      </c>
      <c r="M199" s="2" t="n">
        <v>3.25219704</v>
      </c>
      <c r="N199" s="2" t="n">
        <v>1.593288859</v>
      </c>
      <c r="O199" s="2" t="n">
        <v>2.285552708</v>
      </c>
      <c r="P199" s="2" t="n">
        <v>3.088905697</v>
      </c>
      <c r="Q199" s="2" t="n">
        <v>-0.531125947</v>
      </c>
      <c r="R199" s="2" t="n">
        <v>5.772028698</v>
      </c>
      <c r="S199" s="2" t="n">
        <v>2.889711656</v>
      </c>
      <c r="T199" s="2" t="n">
        <v>5.276436308</v>
      </c>
      <c r="U199" s="2" t="n">
        <v>1.138433368</v>
      </c>
      <c r="V199" s="2" t="n">
        <v>2.478581146</v>
      </c>
      <c r="W199" s="2" t="n">
        <v>7.77450115</v>
      </c>
      <c r="X199" s="2" t="n">
        <v>2.405049721</v>
      </c>
      <c r="Y199" s="2" t="n">
        <v>3.460029645</v>
      </c>
      <c r="Z199" s="2" t="n">
        <v>7.830664419</v>
      </c>
      <c r="AA199" s="2" t="n">
        <v>3.685279605</v>
      </c>
      <c r="AB199" s="2" t="n">
        <v>6.04159035</v>
      </c>
      <c r="AC199" s="2" t="n">
        <v>3.217633214</v>
      </c>
      <c r="AD199" s="2" t="n">
        <v>5.976140283</v>
      </c>
      <c r="AE199" s="2" t="n">
        <v>4.083239602</v>
      </c>
      <c r="AF199" s="2" t="n">
        <v>7.459769892</v>
      </c>
      <c r="AH199" s="2" t="n">
        <v>1.347017409</v>
      </c>
      <c r="AI199" s="2" t="n">
        <v>3.656937904</v>
      </c>
      <c r="AJ199" s="2" t="n">
        <v>4.04992139</v>
      </c>
      <c r="AK199" s="2" t="n">
        <v>1.832420702</v>
      </c>
      <c r="AN199" s="2" t="n">
        <v>-0.10312895</v>
      </c>
      <c r="AP199" s="2" t="n">
        <v>4.887178939</v>
      </c>
      <c r="AR199" s="2" t="n">
        <v>9.199999999999999</v>
      </c>
      <c r="AU199" t="n">
        <v>8.276059804000001</v>
      </c>
    </row>
    <row r="200">
      <c r="A200" t="inlineStr">
        <is>
          <t>1996-Q4</t>
        </is>
      </c>
      <c r="B200" s="3" t="n">
        <v>35431</v>
      </c>
      <c r="C200" s="2" t="n">
        <v>4.176775266</v>
      </c>
      <c r="E200" s="2" t="n">
        <v>1.757896638</v>
      </c>
      <c r="F200" s="2" t="n">
        <v>2.454708574</v>
      </c>
      <c r="H200" s="2" t="n">
        <v>3.673384172</v>
      </c>
      <c r="I200" s="2" t="n">
        <v>1.619563242</v>
      </c>
      <c r="J200" s="2" t="n">
        <v>3.049006173</v>
      </c>
      <c r="K200" s="2" t="n">
        <v>2.747216257</v>
      </c>
      <c r="M200" s="2" t="n">
        <v>5.134502586</v>
      </c>
      <c r="N200" s="2" t="n">
        <v>1.546589623</v>
      </c>
      <c r="O200" s="2" t="n">
        <v>3.477503716</v>
      </c>
      <c r="P200" s="2" t="n">
        <v>3.581131972</v>
      </c>
      <c r="Q200" s="2" t="n">
        <v>1.137445602</v>
      </c>
      <c r="R200" s="2" t="n">
        <v>6.195162039</v>
      </c>
      <c r="S200" s="2" t="n">
        <v>5.172166153</v>
      </c>
      <c r="T200" s="2" t="n">
        <v>6.019868492</v>
      </c>
      <c r="U200" s="2" t="n">
        <v>0.010822627</v>
      </c>
      <c r="V200" s="2" t="n">
        <v>3.372553205</v>
      </c>
      <c r="W200" s="2" t="n">
        <v>7.58515559</v>
      </c>
      <c r="X200" s="2" t="n">
        <v>-2.320705502</v>
      </c>
      <c r="Y200" s="2" t="n">
        <v>8.727035495000001</v>
      </c>
      <c r="Z200" s="2" t="n">
        <v>8.982878642999999</v>
      </c>
      <c r="AA200" s="2" t="n">
        <v>3.683802394</v>
      </c>
      <c r="AB200" s="2" t="n">
        <v>3.068941044</v>
      </c>
      <c r="AC200" s="2" t="n">
        <v>3.629839512</v>
      </c>
      <c r="AD200" s="2" t="n">
        <v>1.826215247</v>
      </c>
      <c r="AE200" s="2" t="n">
        <v>3.674688619</v>
      </c>
      <c r="AF200" s="2" t="n">
        <v>7.532189215</v>
      </c>
      <c r="AH200" s="2" t="n">
        <v>1.007130545</v>
      </c>
      <c r="AI200" s="2" t="n">
        <v>4.32303022</v>
      </c>
      <c r="AJ200" s="2" t="n">
        <v>4.421314452</v>
      </c>
      <c r="AK200" s="2" t="n">
        <v>1.901414507</v>
      </c>
      <c r="AN200" s="2" t="n">
        <v>0.464948365</v>
      </c>
      <c r="AP200" s="2" t="n">
        <v>5.465712648</v>
      </c>
      <c r="AR200" s="2" t="n">
        <v>10.3</v>
      </c>
      <c r="AU200" t="n">
        <v>9.410196998</v>
      </c>
    </row>
    <row r="201">
      <c r="A201" t="inlineStr">
        <is>
          <t>1997-Q1</t>
        </is>
      </c>
      <c r="B201" s="3" t="n">
        <v>35521</v>
      </c>
      <c r="C201" s="2" t="n">
        <v>3.059443085</v>
      </c>
      <c r="E201" s="2" t="n">
        <v>2.985407152</v>
      </c>
      <c r="F201" s="2" t="n">
        <v>3.734889509</v>
      </c>
      <c r="H201" s="2" t="n">
        <v>0.855514211</v>
      </c>
      <c r="I201" s="2" t="n">
        <v>1.920512702</v>
      </c>
      <c r="J201" s="2" t="n">
        <v>4.326700118</v>
      </c>
      <c r="K201" s="2" t="n">
        <v>3.180567782</v>
      </c>
      <c r="M201" s="2" t="n">
        <v>4.490108705</v>
      </c>
      <c r="N201" s="2" t="n">
        <v>1.221764883</v>
      </c>
      <c r="O201" s="2" t="n">
        <v>4.83996155</v>
      </c>
      <c r="P201" s="2" t="n">
        <v>3.609920456</v>
      </c>
      <c r="Q201" s="2" t="n">
        <v>1.372407019</v>
      </c>
      <c r="R201" s="2" t="n">
        <v>7.231550427</v>
      </c>
      <c r="S201" s="2" t="n">
        <v>4.979098253</v>
      </c>
      <c r="T201" s="2" t="n">
        <v>5.407830327</v>
      </c>
      <c r="U201" s="2" t="n">
        <v>0.277308478</v>
      </c>
      <c r="V201" s="2" t="n">
        <v>2.790242573</v>
      </c>
      <c r="W201" s="2" t="n">
        <v>6.064861869</v>
      </c>
      <c r="X201" s="2" t="n">
        <v>3.752481123</v>
      </c>
      <c r="Y201" s="2" t="n">
        <v>7.787938988</v>
      </c>
      <c r="Z201" s="2" t="n">
        <v>6.301952953</v>
      </c>
      <c r="AA201" s="2" t="n">
        <v>4.386117665</v>
      </c>
      <c r="AB201" s="2" t="n">
        <v>4.261624883</v>
      </c>
      <c r="AC201" s="2" t="n">
        <v>3.539667093</v>
      </c>
      <c r="AD201" s="2" t="n">
        <v>6.031031263</v>
      </c>
      <c r="AE201" s="2" t="n">
        <v>4.553999969</v>
      </c>
      <c r="AF201" s="2" t="n">
        <v>6.806453661</v>
      </c>
      <c r="AH201" s="2" t="n">
        <v>1.288946255</v>
      </c>
      <c r="AI201" s="2" t="n">
        <v>2.513793609</v>
      </c>
      <c r="AJ201" s="2" t="n">
        <v>4.314134541</v>
      </c>
      <c r="AK201" s="2" t="n">
        <v>1.998159843</v>
      </c>
      <c r="AN201" s="2" t="n">
        <v>0.777069177</v>
      </c>
      <c r="AP201" s="2" t="n">
        <v>4.305043082</v>
      </c>
      <c r="AR201" s="2" t="n">
        <v>10.1</v>
      </c>
      <c r="AT201" s="2" t="n">
        <v>4.78274598</v>
      </c>
      <c r="AU201" t="n">
        <v>8.718642749000001</v>
      </c>
    </row>
    <row r="202">
      <c r="A202" t="inlineStr">
        <is>
          <t>1997-Q2</t>
        </is>
      </c>
      <c r="B202" s="3" t="n">
        <v>35612</v>
      </c>
      <c r="C202" s="2" t="n">
        <v>5.347446757</v>
      </c>
      <c r="E202" s="2" t="n">
        <v>3.849557522</v>
      </c>
      <c r="F202" s="2" t="n">
        <v>4.181304643</v>
      </c>
      <c r="H202" s="2" t="n">
        <v>-0.175512856</v>
      </c>
      <c r="I202" s="2" t="n">
        <v>1.856092443</v>
      </c>
      <c r="J202" s="2" t="n">
        <v>3.320563274</v>
      </c>
      <c r="K202" s="2" t="n">
        <v>3.353322192</v>
      </c>
      <c r="M202" s="2" t="n">
        <v>5.246261722</v>
      </c>
      <c r="N202" s="2" t="n">
        <v>2.208520404</v>
      </c>
      <c r="O202" s="2" t="n">
        <v>5.396778176</v>
      </c>
      <c r="P202" s="2" t="n">
        <v>4.784821359</v>
      </c>
      <c r="Q202" s="2" t="n">
        <v>3.200492294</v>
      </c>
      <c r="R202" s="2" t="n">
        <v>9.92798335</v>
      </c>
      <c r="S202" s="2" t="n">
        <v>5.253925996</v>
      </c>
      <c r="T202" s="2" t="n">
        <v>4.577301145</v>
      </c>
      <c r="U202" s="2" t="n">
        <v>1.474148586</v>
      </c>
      <c r="V202" s="2" t="n">
        <v>0.742319895</v>
      </c>
      <c r="W202" s="2" t="n">
        <v>7.655936708</v>
      </c>
      <c r="X202" s="2" t="n">
        <v>4.789227744</v>
      </c>
      <c r="Y202" s="2" t="n">
        <v>12.651104192</v>
      </c>
      <c r="Z202" s="2" t="n">
        <v>7.348353094</v>
      </c>
      <c r="AA202" s="2" t="n">
        <v>4.309994557</v>
      </c>
      <c r="AB202" s="2" t="n">
        <v>6.923286509</v>
      </c>
      <c r="AC202" s="2" t="n">
        <v>3.656420294</v>
      </c>
      <c r="AD202" s="2" t="n">
        <v>5.178135922</v>
      </c>
      <c r="AE202" s="2" t="n">
        <v>4.25348435</v>
      </c>
      <c r="AF202" s="2" t="n">
        <v>7.112359063</v>
      </c>
      <c r="AH202" s="2" t="n">
        <v>3.234966817</v>
      </c>
      <c r="AI202" s="2" t="n">
        <v>3.619318021</v>
      </c>
      <c r="AJ202" s="2" t="n">
        <v>4.308074979</v>
      </c>
      <c r="AK202" s="2" t="n">
        <v>2.474259271</v>
      </c>
      <c r="AN202" s="2" t="n">
        <v>1.649207536</v>
      </c>
      <c r="AO202" s="2" t="n">
        <v>3.27187</v>
      </c>
      <c r="AP202" s="2" t="n">
        <v>3.013594938</v>
      </c>
      <c r="AR202" s="2" t="n">
        <v>10</v>
      </c>
      <c r="AT202" s="2" t="n">
        <v>4.576482904</v>
      </c>
      <c r="AU202" t="n">
        <v>7.93033306</v>
      </c>
    </row>
    <row r="203">
      <c r="A203" t="inlineStr">
        <is>
          <t>1997-Q3</t>
        </is>
      </c>
      <c r="B203" s="3" t="n">
        <v>35704</v>
      </c>
      <c r="C203" s="2" t="n">
        <v>4.654396429</v>
      </c>
      <c r="E203" s="2" t="n">
        <v>4.284750802</v>
      </c>
      <c r="F203" s="2" t="n">
        <v>4.511271996</v>
      </c>
      <c r="H203" s="2" t="n">
        <v>-1.270408896</v>
      </c>
      <c r="I203" s="2" t="n">
        <v>1.836564881</v>
      </c>
      <c r="J203" s="2" t="n">
        <v>2.738326569</v>
      </c>
      <c r="K203" s="2" t="n">
        <v>3.694137141</v>
      </c>
      <c r="M203" s="2" t="n">
        <v>7.105859955</v>
      </c>
      <c r="N203" s="2" t="n">
        <v>2.382333826</v>
      </c>
      <c r="O203" s="2" t="n">
        <v>4.924801637</v>
      </c>
      <c r="P203" s="2" t="n">
        <v>5.027766158</v>
      </c>
      <c r="Q203" s="2" t="n">
        <v>4.213846005</v>
      </c>
      <c r="R203" s="2" t="n">
        <v>12.562889137</v>
      </c>
      <c r="S203" s="2" t="n">
        <v>6.130558333</v>
      </c>
      <c r="T203" s="2" t="n">
        <v>3.276665969</v>
      </c>
      <c r="U203" s="2" t="n">
        <v>1.97320914</v>
      </c>
      <c r="V203" s="2" t="n">
        <v>0.814728475</v>
      </c>
      <c r="W203" s="2" t="n">
        <v>6.632700464</v>
      </c>
      <c r="X203" s="2" t="n">
        <v>8.050793046000001</v>
      </c>
      <c r="Y203" s="2" t="n">
        <v>10.676380052</v>
      </c>
      <c r="Z203" s="2" t="n">
        <v>7.563758014</v>
      </c>
      <c r="AA203" s="2" t="n">
        <v>4.364193094</v>
      </c>
      <c r="AB203" s="2" t="n">
        <v>3.363689311</v>
      </c>
      <c r="AC203" s="2" t="n">
        <v>3.826646248</v>
      </c>
      <c r="AD203" s="2" t="n">
        <v>4.002000505</v>
      </c>
      <c r="AE203" s="2" t="n">
        <v>4.196041148</v>
      </c>
      <c r="AF203" s="2" t="n">
        <v>6.23140674</v>
      </c>
      <c r="AH203" s="2" t="n">
        <v>3.572045749</v>
      </c>
      <c r="AI203" s="2" t="n">
        <v>2.67997031</v>
      </c>
      <c r="AJ203" s="2" t="n">
        <v>4.673802575</v>
      </c>
      <c r="AK203" s="2" t="n">
        <v>2.737284517</v>
      </c>
      <c r="AN203" s="2" t="n">
        <v>3.20851244</v>
      </c>
      <c r="AO203" s="2" t="n">
        <v>3.99521</v>
      </c>
      <c r="AP203" s="2" t="n">
        <v>2.070486562</v>
      </c>
      <c r="AR203" s="2" t="n">
        <v>8.6</v>
      </c>
      <c r="AT203" s="2" t="n">
        <v>1.872342932</v>
      </c>
      <c r="AU203" t="n">
        <v>8.163017930000001</v>
      </c>
    </row>
    <row r="204">
      <c r="A204" t="inlineStr">
        <is>
          <t>1997-Q4</t>
        </is>
      </c>
      <c r="B204" s="3" t="n">
        <v>35796</v>
      </c>
      <c r="C204" s="2" t="n">
        <v>5.186605801</v>
      </c>
      <c r="E204" s="2" t="n">
        <v>4.045011335</v>
      </c>
      <c r="F204" s="2" t="n">
        <v>4.6802186</v>
      </c>
      <c r="H204" s="2" t="n">
        <v>-1.564318312</v>
      </c>
      <c r="I204" s="2" t="n">
        <v>1.823222609</v>
      </c>
      <c r="J204" s="2" t="n">
        <v>2.689372527</v>
      </c>
      <c r="K204" s="2" t="n">
        <v>4.566510105</v>
      </c>
      <c r="M204" s="2" t="n">
        <v>8.233936129</v>
      </c>
      <c r="N204" s="2" t="n">
        <v>3.370372949</v>
      </c>
      <c r="O204" s="2" t="n">
        <v>4.745863039</v>
      </c>
      <c r="P204" s="2" t="n">
        <v>4.917627663</v>
      </c>
      <c r="Q204" s="2" t="n">
        <v>3.812848061</v>
      </c>
      <c r="R204" s="2" t="n">
        <v>12.807542044</v>
      </c>
      <c r="S204" s="2" t="n">
        <v>6.725338216</v>
      </c>
      <c r="T204" s="2" t="n">
        <v>3.470157148</v>
      </c>
      <c r="U204" s="2" t="n">
        <v>4.056785552</v>
      </c>
      <c r="V204" s="2" t="n">
        <v>-0.259501051</v>
      </c>
      <c r="W204" s="2" t="n">
        <v>4.380777853</v>
      </c>
      <c r="X204" s="2" t="n">
        <v>6.266682526</v>
      </c>
      <c r="Y204" s="2" t="n">
        <v>5.193487321</v>
      </c>
      <c r="Z204" s="2" t="n">
        <v>7.008139712</v>
      </c>
      <c r="AA204" s="2" t="n">
        <v>4.956982825</v>
      </c>
      <c r="AB204" s="2" t="n">
        <v>6.53313207</v>
      </c>
      <c r="AC204" s="2" t="n">
        <v>3.786331255</v>
      </c>
      <c r="AD204" s="2" t="n">
        <v>10.217632839</v>
      </c>
      <c r="AE204" s="2" t="n">
        <v>4.601245602</v>
      </c>
      <c r="AF204" s="2" t="n">
        <v>3.65801408</v>
      </c>
      <c r="AH204" s="2" t="n">
        <v>4.949994435</v>
      </c>
      <c r="AI204" s="2" t="n">
        <v>1.117851018</v>
      </c>
      <c r="AJ204" s="2" t="n">
        <v>4.487684458</v>
      </c>
      <c r="AK204" s="2" t="n">
        <v>3.429190838</v>
      </c>
      <c r="AN204" s="2" t="n">
        <v>3.308846066</v>
      </c>
      <c r="AO204" s="2" t="n">
        <v>4.01085</v>
      </c>
      <c r="AP204" s="2" t="n">
        <v>1.26417283</v>
      </c>
      <c r="AR204" s="2" t="n">
        <v>8.6</v>
      </c>
      <c r="AT204" s="2" t="n">
        <v>3.72659657</v>
      </c>
      <c r="AU204" t="n">
        <v>7.662890987</v>
      </c>
    </row>
    <row r="205">
      <c r="A205" t="inlineStr">
        <is>
          <t>1998-Q1</t>
        </is>
      </c>
      <c r="B205" s="3" t="n">
        <v>35886</v>
      </c>
      <c r="C205" s="2" t="n">
        <v>5.264865125</v>
      </c>
      <c r="E205" s="2" t="n">
        <v>3.280151433</v>
      </c>
      <c r="F205" s="2" t="n">
        <v>4.776552234</v>
      </c>
      <c r="H205" s="2" t="n">
        <v>-1.160666815</v>
      </c>
      <c r="I205" s="2" t="n">
        <v>3.339233881</v>
      </c>
      <c r="J205" s="2" t="n">
        <v>2.945633139</v>
      </c>
      <c r="K205" s="2" t="n">
        <v>4.422499613</v>
      </c>
      <c r="M205" s="2" t="n">
        <v>6.193127801</v>
      </c>
      <c r="N205" s="2" t="n">
        <v>3.923056324</v>
      </c>
      <c r="O205" s="2" t="n">
        <v>3.724711343</v>
      </c>
      <c r="P205" s="2" t="n">
        <v>5.574859177</v>
      </c>
      <c r="Q205" s="2" t="n">
        <v>3.747066903</v>
      </c>
      <c r="R205" s="2" t="n">
        <v>10.237657856</v>
      </c>
      <c r="S205" s="2" t="n">
        <v>-0.352975057</v>
      </c>
      <c r="T205" s="2" t="n">
        <v>3.788908908</v>
      </c>
      <c r="U205" s="2" t="n">
        <v>3.045585983</v>
      </c>
      <c r="V205" s="2" t="n">
        <v>-1.732551793</v>
      </c>
      <c r="W205" s="2" t="n">
        <v>-3.189063545</v>
      </c>
      <c r="X205" s="2" t="n">
        <v>6.076296521</v>
      </c>
      <c r="Y205" s="2" t="n">
        <v>12.488610237</v>
      </c>
      <c r="Z205" s="2" t="n">
        <v>7.836163978</v>
      </c>
      <c r="AA205" s="2" t="n">
        <v>5.224915944</v>
      </c>
      <c r="AB205" s="2" t="n">
        <v>4.748439567</v>
      </c>
      <c r="AC205" s="2" t="n">
        <v>3.587953522</v>
      </c>
      <c r="AD205" s="2" t="n">
        <v>5.658796056</v>
      </c>
      <c r="AE205" s="2" t="n">
        <v>4.398434698</v>
      </c>
      <c r="AF205" s="2" t="n">
        <v>4.428103763</v>
      </c>
      <c r="AH205" s="2" t="n">
        <v>4.424019725</v>
      </c>
      <c r="AI205" s="2" t="n">
        <v>0.89261274</v>
      </c>
      <c r="AJ205" s="2" t="n">
        <v>4.855005883</v>
      </c>
      <c r="AK205" s="2" t="n">
        <v>3.84174925</v>
      </c>
      <c r="AN205" s="2" t="n">
        <v>3.495161087</v>
      </c>
      <c r="AO205" s="2" t="n">
        <v>4.91695</v>
      </c>
      <c r="AP205" s="2" t="n">
        <v>1.101709353</v>
      </c>
      <c r="AR205" s="2" t="n">
        <v>7.3</v>
      </c>
      <c r="AT205" s="2" t="n">
        <v>0.74816759</v>
      </c>
      <c r="AU205" t="n">
        <v>5.993873078</v>
      </c>
    </row>
    <row r="206">
      <c r="A206" t="inlineStr">
        <is>
          <t>1998-Q2</t>
        </is>
      </c>
      <c r="B206" s="3" t="n">
        <v>35977</v>
      </c>
      <c r="C206" s="2" t="n">
        <v>3.24500529</v>
      </c>
      <c r="E206" s="2" t="n">
        <v>2.045164039</v>
      </c>
      <c r="F206" s="2" t="n">
        <v>3.661507904</v>
      </c>
      <c r="H206" s="2" t="n">
        <v>-0.574593126</v>
      </c>
      <c r="I206" s="2" t="n">
        <v>1.575506415</v>
      </c>
      <c r="J206" s="2" t="n">
        <v>0.443072991</v>
      </c>
      <c r="K206" s="2" t="n">
        <v>4.651187369</v>
      </c>
      <c r="M206" s="2" t="n">
        <v>6.715898753</v>
      </c>
      <c r="N206" s="2" t="n">
        <v>3.697502886</v>
      </c>
      <c r="O206" s="2" t="n">
        <v>3.774916311</v>
      </c>
      <c r="P206" s="2" t="n">
        <v>4.254539266</v>
      </c>
      <c r="Q206" s="2" t="n">
        <v>4.136867842</v>
      </c>
      <c r="R206" s="2" t="n">
        <v>8.654313804999999</v>
      </c>
      <c r="S206" s="2" t="n">
        <v>9.107924450000001</v>
      </c>
      <c r="T206" s="2" t="n">
        <v>3.294011994</v>
      </c>
      <c r="U206" s="2" t="n">
        <v>2.304676445</v>
      </c>
      <c r="V206" s="2" t="n">
        <v>-1.418286268</v>
      </c>
      <c r="W206" s="2" t="n">
        <v>-7.263875197</v>
      </c>
      <c r="X206" s="2" t="n">
        <v>6.472952003</v>
      </c>
      <c r="Y206" s="2" t="n">
        <v>7.476600613</v>
      </c>
      <c r="Z206" s="2" t="n">
        <v>6.177270348</v>
      </c>
      <c r="AA206" s="2" t="n">
        <v>4.885897594</v>
      </c>
      <c r="AB206" s="2" t="n">
        <v>3.44006735</v>
      </c>
      <c r="AC206" s="2" t="n">
        <v>2.772258704</v>
      </c>
      <c r="AD206" s="2" t="n">
        <v>3.949979191</v>
      </c>
      <c r="AE206" s="2" t="n">
        <v>5.047223434</v>
      </c>
      <c r="AF206" s="2" t="n">
        <v>2.93290391</v>
      </c>
      <c r="AH206" s="2" t="n">
        <v>4.626579246</v>
      </c>
      <c r="AI206" s="2" t="n">
        <v>-0.579954742</v>
      </c>
      <c r="AJ206" s="2" t="n">
        <v>4.095726841</v>
      </c>
      <c r="AK206" s="2" t="n">
        <v>3.039660159</v>
      </c>
      <c r="AN206" s="2" t="n">
        <v>4.017872627</v>
      </c>
      <c r="AO206" s="2" t="n">
        <v>5.85828</v>
      </c>
      <c r="AP206" s="2" t="n">
        <v>0.629120055</v>
      </c>
      <c r="AR206" s="2" t="n">
        <v>6.9</v>
      </c>
      <c r="AT206" s="2" t="n">
        <v>1.665671966</v>
      </c>
      <c r="AU206" t="n">
        <v>6.486822435</v>
      </c>
    </row>
    <row r="207">
      <c r="A207" t="inlineStr">
        <is>
          <t>1998-Q3</t>
        </is>
      </c>
      <c r="B207" s="3" t="n">
        <v>36069</v>
      </c>
      <c r="C207" s="2" t="n">
        <v>5.107047539</v>
      </c>
      <c r="E207" s="2" t="n">
        <v>1.449198849</v>
      </c>
      <c r="F207" s="2" t="n">
        <v>3.381592962</v>
      </c>
      <c r="H207" s="2" t="n">
        <v>0.048266945</v>
      </c>
      <c r="I207" s="2" t="n">
        <v>1.734068336</v>
      </c>
      <c r="J207" s="2" t="n">
        <v>2.578105832</v>
      </c>
      <c r="K207" s="2" t="n">
        <v>4.398071992</v>
      </c>
      <c r="M207" s="2" t="n">
        <v>5.567899621</v>
      </c>
      <c r="N207" s="2" t="n">
        <v>3.599677002</v>
      </c>
      <c r="O207" s="2" t="n">
        <v>3.779079545</v>
      </c>
      <c r="P207" s="2" t="n">
        <v>2.975993538</v>
      </c>
      <c r="Q207" s="2" t="n">
        <v>4.177145606</v>
      </c>
      <c r="R207" s="2" t="n">
        <v>10.861195482</v>
      </c>
      <c r="S207" s="2" t="n">
        <v>10.067178757</v>
      </c>
      <c r="T207" s="2" t="n">
        <v>4.25045855</v>
      </c>
      <c r="U207" s="2" t="n">
        <v>1.757412844</v>
      </c>
      <c r="V207" s="2" t="n">
        <v>-1.438324517</v>
      </c>
      <c r="W207" s="2" t="n">
        <v>-6.384827184</v>
      </c>
      <c r="X207" s="2" t="n">
        <v>5.569789175</v>
      </c>
      <c r="Y207" s="2" t="n">
        <v>4.605653664</v>
      </c>
      <c r="Z207" s="2" t="n">
        <v>4.625491811</v>
      </c>
      <c r="AA207" s="2" t="n">
        <v>4.266446114</v>
      </c>
      <c r="AB207" s="2" t="n">
        <v>1.694116203</v>
      </c>
      <c r="AC207" s="2" t="n">
        <v>2.585788458</v>
      </c>
      <c r="AD207" s="2" t="n">
        <v>5.098121879</v>
      </c>
      <c r="AE207" s="2" t="n">
        <v>4.847647587</v>
      </c>
      <c r="AF207" s="2" t="n">
        <v>0.45907996</v>
      </c>
      <c r="AH207" s="2" t="n">
        <v>4.371997539</v>
      </c>
      <c r="AI207" s="2" t="n">
        <v>-0.157004684</v>
      </c>
      <c r="AJ207" s="2" t="n">
        <v>4.097768623</v>
      </c>
      <c r="AK207" s="2" t="n">
        <v>2.844713632</v>
      </c>
      <c r="AN207" s="2" t="n">
        <v>2.825035707</v>
      </c>
      <c r="AO207" s="2" t="n">
        <v>6.50887</v>
      </c>
      <c r="AP207" s="2" t="n">
        <v>0.199269331</v>
      </c>
      <c r="AR207" s="2" t="n">
        <v>7.8</v>
      </c>
      <c r="AT207" s="2" t="n">
        <v>0.492390828</v>
      </c>
      <c r="AU207" t="n">
        <v>3.555725661</v>
      </c>
    </row>
    <row r="208">
      <c r="A208" t="inlineStr">
        <is>
          <t>1998-Q4</t>
        </is>
      </c>
      <c r="B208" s="3" t="n">
        <v>36161</v>
      </c>
      <c r="C208" s="2" t="n">
        <v>5.228099743</v>
      </c>
      <c r="E208" s="2" t="n">
        <v>1.113036174</v>
      </c>
      <c r="F208" s="2" t="n">
        <v>3.783318734</v>
      </c>
      <c r="H208" s="2" t="n">
        <v>0.313259313</v>
      </c>
      <c r="I208" s="2" t="n">
        <v>0.569700948</v>
      </c>
      <c r="J208" s="2" t="n">
        <v>2.921187732</v>
      </c>
      <c r="K208" s="2" t="n">
        <v>4.109017483</v>
      </c>
      <c r="M208" s="2" t="n">
        <v>3.455893555</v>
      </c>
      <c r="N208" s="2" t="n">
        <v>3.2612043</v>
      </c>
      <c r="O208" s="2" t="n">
        <v>3.554916577</v>
      </c>
      <c r="P208" s="2" t="n">
        <v>2.807237979</v>
      </c>
      <c r="Q208" s="2" t="n">
        <v>3.377696372</v>
      </c>
      <c r="R208" s="2" t="n">
        <v>5.848965069</v>
      </c>
      <c r="S208" s="2" t="n">
        <v>10.565392908</v>
      </c>
      <c r="T208" s="2" t="n">
        <v>3.341054771</v>
      </c>
      <c r="U208" s="2" t="n">
        <v>-0.444309101</v>
      </c>
      <c r="V208" s="2" t="n">
        <v>-0.681466778</v>
      </c>
      <c r="W208" s="2" t="n">
        <v>-3.60860654</v>
      </c>
      <c r="X208" s="2" t="n">
        <v>6.01025293</v>
      </c>
      <c r="Y208" s="2" t="n">
        <v>1.277263336</v>
      </c>
      <c r="Z208" s="2" t="n">
        <v>2.319539942</v>
      </c>
      <c r="AA208" s="2" t="n">
        <v>3.887741933</v>
      </c>
      <c r="AB208" s="2" t="n">
        <v>0.790123064</v>
      </c>
      <c r="AC208" s="2" t="n">
        <v>2.524480988</v>
      </c>
      <c r="AD208" s="2" t="n">
        <v>3.584619236</v>
      </c>
      <c r="AE208" s="2" t="n">
        <v>4.931888145</v>
      </c>
      <c r="AF208" s="2" t="n">
        <v>8.498937417</v>
      </c>
      <c r="AH208" s="2" t="n">
        <v>3.495468982</v>
      </c>
      <c r="AI208" s="2" t="n">
        <v>1.053179162</v>
      </c>
      <c r="AJ208" s="2" t="n">
        <v>4.879540776</v>
      </c>
      <c r="AK208" s="2" t="n">
        <v>1.85732662</v>
      </c>
      <c r="AN208" s="2" t="n">
        <v>1.800127906</v>
      </c>
      <c r="AO208" s="2" t="n">
        <v>6.20471</v>
      </c>
      <c r="AP208" s="2" t="n">
        <v>0.144901576</v>
      </c>
      <c r="AR208" s="2" t="n">
        <v>9.1</v>
      </c>
      <c r="AT208" s="2" t="n">
        <v>-1.462151856</v>
      </c>
      <c r="AU208" t="n">
        <v>-0.429833848</v>
      </c>
    </row>
    <row r="209">
      <c r="A209" t="inlineStr">
        <is>
          <t>1999-Q1</t>
        </is>
      </c>
      <c r="B209" s="3" t="n">
        <v>36251</v>
      </c>
      <c r="C209" s="2" t="n">
        <v>5.320723277</v>
      </c>
      <c r="E209" s="2" t="n">
        <v>1.904799309</v>
      </c>
      <c r="F209" s="2" t="n">
        <v>4.194104167</v>
      </c>
      <c r="H209" s="2" t="n">
        <v>0.389752585</v>
      </c>
      <c r="I209" s="2" t="n">
        <v>0.781503637</v>
      </c>
      <c r="J209" s="2" t="n">
        <v>2.31105754</v>
      </c>
      <c r="K209" s="2" t="n">
        <v>4.235197998</v>
      </c>
      <c r="M209" s="2" t="n">
        <v>5.934262693</v>
      </c>
      <c r="N209" s="2" t="n">
        <v>2.919619211</v>
      </c>
      <c r="O209" s="2" t="n">
        <v>3.225576211</v>
      </c>
      <c r="P209" s="2" t="n">
        <v>2.361704355</v>
      </c>
      <c r="Q209" s="2" t="n">
        <v>2.505510151</v>
      </c>
      <c r="R209" s="2" t="n">
        <v>9.388734435</v>
      </c>
      <c r="S209" s="2" t="n">
        <v>13.130337029</v>
      </c>
      <c r="T209" s="2" t="n">
        <v>0.974113499</v>
      </c>
      <c r="U209" s="2" t="n">
        <v>0.8533027560000001</v>
      </c>
      <c r="V209" s="2" t="n">
        <v>-0.8403172370000001</v>
      </c>
      <c r="W209" s="2" t="n">
        <v>6.583397539</v>
      </c>
      <c r="X209" s="2" t="n">
        <v>7.299035007</v>
      </c>
      <c r="Y209" s="2" t="n">
        <v>-0.580952295</v>
      </c>
      <c r="Z209" s="2" t="n">
        <v>2.448836281</v>
      </c>
      <c r="AA209" s="2" t="n">
        <v>4.213417</v>
      </c>
      <c r="AB209" s="2" t="n">
        <v>0.549046816</v>
      </c>
      <c r="AC209" s="2" t="n">
        <v>2.728906435</v>
      </c>
      <c r="AD209" s="2" t="n">
        <v>1.381253114</v>
      </c>
      <c r="AE209" s="2" t="n">
        <v>4.809349106</v>
      </c>
      <c r="AF209" s="2" t="n">
        <v>3.105439741</v>
      </c>
      <c r="AH209" s="2" t="n">
        <v>4.276617715</v>
      </c>
      <c r="AI209" s="2" t="n">
        <v>2.853981315</v>
      </c>
      <c r="AJ209" s="2" t="n">
        <v>4.821857932</v>
      </c>
      <c r="AK209" s="2" t="n">
        <v>2.201996576</v>
      </c>
      <c r="AN209" s="2" t="n">
        <v>0.981871557</v>
      </c>
      <c r="AO209" s="2" t="n">
        <v>6.19852</v>
      </c>
      <c r="AP209" s="2" t="n">
        <v>0.938235477</v>
      </c>
      <c r="AR209" s="2" t="n">
        <v>8.9</v>
      </c>
      <c r="AS209" s="2" t="n">
        <v>-4.090021275</v>
      </c>
      <c r="AT209" s="2" t="n">
        <v>0.7975020229999999</v>
      </c>
      <c r="AU209" t="n">
        <v>-2.176492064</v>
      </c>
    </row>
    <row r="210">
      <c r="A210" t="inlineStr">
        <is>
          <t>1999-Q2</t>
        </is>
      </c>
      <c r="B210" s="3" t="n">
        <v>36342</v>
      </c>
      <c r="C210" s="2" t="n">
        <v>4.644819037</v>
      </c>
      <c r="E210" s="2" t="n">
        <v>2.956680585</v>
      </c>
      <c r="F210" s="2" t="n">
        <v>5.009661214</v>
      </c>
      <c r="H210" s="2" t="n">
        <v>0.469801119</v>
      </c>
      <c r="I210" s="2" t="n">
        <v>1.220940342</v>
      </c>
      <c r="J210" s="2" t="n">
        <v>3.621945401</v>
      </c>
      <c r="K210" s="2" t="n">
        <v>4.29500515</v>
      </c>
      <c r="M210" s="2" t="n">
        <v>4.390231672</v>
      </c>
      <c r="N210" s="2" t="n">
        <v>2.814424338</v>
      </c>
      <c r="O210" s="2" t="n">
        <v>2.453897623</v>
      </c>
      <c r="P210" s="2" t="n">
        <v>2.86197618</v>
      </c>
      <c r="Q210" s="2" t="n">
        <v>2.122416552</v>
      </c>
      <c r="R210" s="2" t="n">
        <v>8.469501996</v>
      </c>
      <c r="S210" s="2" t="n">
        <v>0.142207928</v>
      </c>
      <c r="T210" s="2" t="n">
        <v>5.145577007</v>
      </c>
      <c r="U210" s="2" t="n">
        <v>0.669738767</v>
      </c>
      <c r="V210" s="2" t="n">
        <v>-0.024738889</v>
      </c>
      <c r="W210" s="2" t="n">
        <v>12.161310752</v>
      </c>
      <c r="X210" s="2" t="n">
        <v>7.477524854</v>
      </c>
      <c r="Y210" s="2" t="n">
        <v>-1.370516965</v>
      </c>
      <c r="Z210" s="2" t="n">
        <v>2.292194945</v>
      </c>
      <c r="AA210" s="2" t="n">
        <v>4.624423196</v>
      </c>
      <c r="AB210" s="2" t="n">
        <v>-0.53229307</v>
      </c>
      <c r="AC210" s="2" t="n">
        <v>2.98790742</v>
      </c>
      <c r="AD210" s="2" t="n">
        <v>4.012318248</v>
      </c>
      <c r="AE210" s="2" t="n">
        <v>3.76305499</v>
      </c>
      <c r="AF210" s="2" t="n">
        <v>1.331413784</v>
      </c>
      <c r="AH210" s="2" t="n">
        <v>3.49447878</v>
      </c>
      <c r="AI210" s="2" t="n">
        <v>3.207662781</v>
      </c>
      <c r="AJ210" s="2" t="n">
        <v>4.727531513</v>
      </c>
      <c r="AK210" s="2" t="n">
        <v>2.326108475</v>
      </c>
      <c r="AN210" s="2" t="n">
        <v>0.661708174</v>
      </c>
      <c r="AO210" s="2" t="n">
        <v>7.53136</v>
      </c>
      <c r="AP210" s="2" t="n">
        <v>1.597907123</v>
      </c>
      <c r="AR210" s="2" t="n">
        <v>7.9</v>
      </c>
      <c r="AS210" s="2" t="n">
        <v>-3.864923672</v>
      </c>
      <c r="AT210" s="2" t="n">
        <v>-0.5560231410000001</v>
      </c>
      <c r="AU210" t="n">
        <v>-5.140582449</v>
      </c>
    </row>
    <row r="211">
      <c r="A211" t="inlineStr">
        <is>
          <t>1999-Q3</t>
        </is>
      </c>
      <c r="B211" s="3" t="n">
        <v>36434</v>
      </c>
      <c r="C211" s="2" t="n">
        <v>3.864648593</v>
      </c>
      <c r="E211" s="2" t="n">
        <v>4.147585346</v>
      </c>
      <c r="F211" s="2" t="n">
        <v>5.690714411</v>
      </c>
      <c r="H211" s="2" t="n">
        <v>1.520286798</v>
      </c>
      <c r="I211" s="2" t="n">
        <v>1.884277516</v>
      </c>
      <c r="J211" s="2" t="n">
        <v>2.381316969</v>
      </c>
      <c r="K211" s="2" t="n">
        <v>4.69249431</v>
      </c>
      <c r="M211" s="2" t="n">
        <v>3.644917667</v>
      </c>
      <c r="N211" s="2" t="n">
        <v>3.35580869</v>
      </c>
      <c r="O211" s="2" t="n">
        <v>3.47995884</v>
      </c>
      <c r="P211" s="2" t="n">
        <v>2.896443297</v>
      </c>
      <c r="Q211" s="2" t="n">
        <v>3.046470683</v>
      </c>
      <c r="R211" s="2" t="n">
        <v>8.567060866</v>
      </c>
      <c r="S211" s="2" t="n">
        <v>1.247165969</v>
      </c>
      <c r="T211" s="2" t="n">
        <v>4.595801926</v>
      </c>
      <c r="U211" s="2" t="n">
        <v>1.420229261</v>
      </c>
      <c r="V211" s="2" t="n">
        <v>0.325005769</v>
      </c>
      <c r="W211" s="2" t="n">
        <v>13.301165229</v>
      </c>
      <c r="X211" s="2" t="n">
        <v>9.432715432</v>
      </c>
      <c r="Y211" s="2" t="n">
        <v>2.756761957</v>
      </c>
      <c r="Z211" s="2" t="n">
        <v>2.65521179</v>
      </c>
      <c r="AA211" s="2" t="n">
        <v>5.167646605</v>
      </c>
      <c r="AB211" s="2" t="n">
        <v>3.36560444</v>
      </c>
      <c r="AC211" s="2" t="n">
        <v>3.441502056</v>
      </c>
      <c r="AD211" s="2" t="n">
        <v>5.424267696</v>
      </c>
      <c r="AE211" s="2" t="n">
        <v>3.631586651</v>
      </c>
      <c r="AF211" s="2" t="n">
        <v>1.505427758</v>
      </c>
      <c r="AH211" s="2" t="n">
        <v>3.74790103</v>
      </c>
      <c r="AI211" s="2" t="n">
        <v>5.895722945</v>
      </c>
      <c r="AJ211" s="2" t="n">
        <v>4.800205237</v>
      </c>
      <c r="AK211" s="2" t="n">
        <v>2.902571259</v>
      </c>
      <c r="AN211" s="2" t="n">
        <v>1.140819808</v>
      </c>
      <c r="AO211" s="2" t="n">
        <v>6.92997</v>
      </c>
      <c r="AP211" s="2" t="n">
        <v>2.933017726</v>
      </c>
      <c r="AR211" s="2" t="n">
        <v>7.6</v>
      </c>
      <c r="AS211" s="2" t="n">
        <v>-4.137498025</v>
      </c>
      <c r="AT211" s="2" t="n">
        <v>-0.461619934</v>
      </c>
      <c r="AU211" t="n">
        <v>-5.124917266</v>
      </c>
    </row>
    <row r="212">
      <c r="A212" t="inlineStr">
        <is>
          <t>1999-Q4</t>
        </is>
      </c>
      <c r="B212" s="3" t="n">
        <v>36526</v>
      </c>
      <c r="C212" s="2" t="n">
        <v>4.032120094</v>
      </c>
      <c r="E212" s="2" t="n">
        <v>5.145646191</v>
      </c>
      <c r="F212" s="2" t="n">
        <v>5.738706566</v>
      </c>
      <c r="H212" s="2" t="n">
        <v>2.488744304</v>
      </c>
      <c r="I212" s="2" t="n">
        <v>3.112604617</v>
      </c>
      <c r="J212" s="2" t="n">
        <v>3.481498563</v>
      </c>
      <c r="K212" s="2" t="n">
        <v>4.729579291</v>
      </c>
      <c r="M212" s="2" t="n">
        <v>3.610436149</v>
      </c>
      <c r="N212" s="2" t="n">
        <v>4.011192943</v>
      </c>
      <c r="O212" s="2" t="n">
        <v>4.007211911</v>
      </c>
      <c r="P212" s="2" t="n">
        <v>3.724339464</v>
      </c>
      <c r="Q212" s="2" t="n">
        <v>4.212955341</v>
      </c>
      <c r="R212" s="2" t="n">
        <v>13.943816094</v>
      </c>
      <c r="S212" s="2" t="n">
        <v>2.493294406</v>
      </c>
      <c r="T212" s="2" t="n">
        <v>5.706024954</v>
      </c>
      <c r="U212" s="2" t="n">
        <v>3.355200106</v>
      </c>
      <c r="V212" s="2" t="n">
        <v>-0.440344122</v>
      </c>
      <c r="W212" s="2" t="n">
        <v>13.732506182</v>
      </c>
      <c r="X212" s="2" t="n">
        <v>9.568213739999999</v>
      </c>
      <c r="Y212" s="2" t="n">
        <v>8.722051560000001</v>
      </c>
      <c r="Z212" s="2" t="n">
        <v>3.568167613</v>
      </c>
      <c r="AA212" s="2" t="n">
        <v>5.68013208</v>
      </c>
      <c r="AB212" s="2" t="n">
        <v>4.60880155</v>
      </c>
      <c r="AC212" s="2" t="n">
        <v>3.926386192</v>
      </c>
      <c r="AD212" s="2" t="n">
        <v>7.256657608</v>
      </c>
      <c r="AE212" s="2" t="n">
        <v>3.447603511</v>
      </c>
      <c r="AF212" s="2" t="n">
        <v>-5.965381286</v>
      </c>
      <c r="AH212" s="2" t="n">
        <v>4.507897074</v>
      </c>
      <c r="AI212" s="2" t="n">
        <v>6.159881992</v>
      </c>
      <c r="AJ212" s="2" t="n">
        <v>4.82762665</v>
      </c>
      <c r="AK212" s="2" t="n">
        <v>3.911919547</v>
      </c>
      <c r="AN212" s="2" t="n">
        <v>3.927505181</v>
      </c>
      <c r="AO212" s="2" t="n">
        <v>7.28888</v>
      </c>
      <c r="AP212" s="2" t="n">
        <v>3.964497336</v>
      </c>
      <c r="AR212" s="2" t="n">
        <v>6.7</v>
      </c>
      <c r="AS212" s="2" t="n">
        <v>-1.017626507</v>
      </c>
      <c r="AT212" s="2" t="n">
        <v>2.145840946</v>
      </c>
      <c r="AU212" t="n">
        <v>-1.014421187</v>
      </c>
    </row>
    <row r="213">
      <c r="A213" t="inlineStr">
        <is>
          <t>2000-Q1</t>
        </is>
      </c>
      <c r="B213" s="3" t="n">
        <v>36617</v>
      </c>
      <c r="C213" s="2" t="n">
        <v>3.607433763</v>
      </c>
      <c r="E213" s="2" t="n">
        <v>4.798242571</v>
      </c>
      <c r="F213" s="2" t="n">
        <v>5.516373336</v>
      </c>
      <c r="H213" s="2" t="n">
        <v>3.786894275</v>
      </c>
      <c r="I213" s="2" t="n">
        <v>3.390831342</v>
      </c>
      <c r="J213" s="2" t="n">
        <v>3.552324637</v>
      </c>
      <c r="K213" s="2" t="n">
        <v>5.352987572</v>
      </c>
      <c r="M213" s="2" t="n">
        <v>4.969214053</v>
      </c>
      <c r="N213" s="2" t="n">
        <v>4.428711515</v>
      </c>
      <c r="O213" s="2" t="n">
        <v>4.231356342</v>
      </c>
      <c r="P213" s="2" t="n">
        <v>3.330421774</v>
      </c>
      <c r="Q213" s="2" t="n">
        <v>5.110434151</v>
      </c>
      <c r="R213" s="2" t="n">
        <v>8.594070499000001</v>
      </c>
      <c r="S213" s="2" t="n">
        <v>2.450192987</v>
      </c>
      <c r="T213" s="2" t="n">
        <v>9.03366872</v>
      </c>
      <c r="U213" s="2" t="n">
        <v>3.872557515</v>
      </c>
      <c r="V213" s="2" t="n">
        <v>2.674344369</v>
      </c>
      <c r="W213" s="2" t="n">
        <v>12.474605041</v>
      </c>
      <c r="X213" s="2" t="n">
        <v>12.149077958</v>
      </c>
      <c r="Y213" s="2" t="n">
        <v>6.307410196</v>
      </c>
      <c r="Z213" s="2" t="n">
        <v>4.481008146</v>
      </c>
      <c r="AA213" s="2" t="n">
        <v>4.59487388</v>
      </c>
      <c r="AB213" s="2" t="n">
        <v>5.392897916</v>
      </c>
      <c r="AC213" s="2" t="n">
        <v>4.29602933</v>
      </c>
      <c r="AD213" s="2" t="n">
        <v>6.264861473</v>
      </c>
      <c r="AE213" s="2" t="n">
        <v>4.36261334</v>
      </c>
      <c r="AF213" s="2" t="n">
        <v>-1.717380395</v>
      </c>
      <c r="AH213" s="2" t="n">
        <v>4.021580125</v>
      </c>
      <c r="AI213" s="2" t="n">
        <v>6.450840393</v>
      </c>
      <c r="AJ213" s="2" t="n">
        <v>4.225955859</v>
      </c>
      <c r="AK213" s="2" t="n">
        <v>4.158601407</v>
      </c>
      <c r="AN213" s="2" t="n">
        <v>4.512871958</v>
      </c>
      <c r="AO213" s="2" t="n">
        <v>7.79075</v>
      </c>
      <c r="AP213" s="2" t="n">
        <v>4.17592992</v>
      </c>
      <c r="AR213" s="2" t="n">
        <v>8.699999999999999</v>
      </c>
      <c r="AS213" s="2" t="n">
        <v>2.265206291</v>
      </c>
      <c r="AT213" s="2" t="n">
        <v>2.887798411</v>
      </c>
      <c r="AU213" t="n">
        <v>-0.106447324</v>
      </c>
    </row>
    <row r="214">
      <c r="A214" t="inlineStr">
        <is>
          <t>2000-Q2</t>
        </is>
      </c>
      <c r="B214" s="3" t="n">
        <v>36708</v>
      </c>
      <c r="C214" s="2" t="n">
        <v>4.226224338</v>
      </c>
      <c r="E214" s="2" t="n">
        <v>4.127696246</v>
      </c>
      <c r="F214" s="2" t="n">
        <v>5.88475154</v>
      </c>
      <c r="H214" s="2" t="n">
        <v>4.507332425</v>
      </c>
      <c r="I214" s="2" t="n">
        <v>4.24010877</v>
      </c>
      <c r="J214" s="2" t="n">
        <v>4.193146465</v>
      </c>
      <c r="K214" s="2" t="n">
        <v>5.421931736</v>
      </c>
      <c r="M214" s="2" t="n">
        <v>5.219166567</v>
      </c>
      <c r="N214" s="2" t="n">
        <v>4.596945333</v>
      </c>
      <c r="O214" s="2" t="n">
        <v>4.680340446</v>
      </c>
      <c r="P214" s="2" t="n">
        <v>3.318944495</v>
      </c>
      <c r="Q214" s="2" t="n">
        <v>4.95339174</v>
      </c>
      <c r="R214" s="2" t="n">
        <v>10.380575776</v>
      </c>
      <c r="S214" s="2" t="n">
        <v>6.166681994</v>
      </c>
      <c r="T214" s="2" t="n">
        <v>7.873969455</v>
      </c>
      <c r="U214" s="2" t="n">
        <v>4.265738109</v>
      </c>
      <c r="V214" s="2" t="n">
        <v>2.759356374</v>
      </c>
      <c r="W214" s="2" t="n">
        <v>9.187473677</v>
      </c>
      <c r="X214" s="2" t="n">
        <v>8.148461262</v>
      </c>
      <c r="Y214" s="2" t="n">
        <v>7.89194753</v>
      </c>
      <c r="Z214" s="2" t="n">
        <v>5.408661546</v>
      </c>
      <c r="AA214" s="2" t="n">
        <v>4.598909197</v>
      </c>
      <c r="AB214" s="2" t="n">
        <v>3.823581969</v>
      </c>
      <c r="AC214" s="2" t="n">
        <v>4.831594192</v>
      </c>
      <c r="AD214" s="2" t="n">
        <v>5.105136161</v>
      </c>
      <c r="AE214" s="2" t="n">
        <v>3.271881856</v>
      </c>
      <c r="AF214" s="2" t="n">
        <v>0.964402717</v>
      </c>
      <c r="AH214" s="2" t="n">
        <v>5.965775276</v>
      </c>
      <c r="AI214" s="2" t="n">
        <v>5.610753527</v>
      </c>
      <c r="AJ214" s="2" t="n">
        <v>5.244682769</v>
      </c>
      <c r="AK214" s="2" t="n">
        <v>4.4996774</v>
      </c>
      <c r="AN214" s="2" t="n">
        <v>4.260016407</v>
      </c>
      <c r="AO214" s="2" t="n">
        <v>5.21917</v>
      </c>
      <c r="AP214" s="2" t="n">
        <v>4.304340801</v>
      </c>
      <c r="AR214" s="2" t="n">
        <v>9.1</v>
      </c>
      <c r="AS214" s="2" t="n">
        <v>6.849094604</v>
      </c>
      <c r="AT214" s="2" t="n">
        <v>4.079494673</v>
      </c>
      <c r="AU214" t="n">
        <v>-0.59039067</v>
      </c>
    </row>
    <row r="215">
      <c r="A215" t="inlineStr">
        <is>
          <t>2000-Q3</t>
        </is>
      </c>
      <c r="B215" s="3" t="n">
        <v>36800</v>
      </c>
      <c r="C215" s="2" t="n">
        <v>3.21339734</v>
      </c>
      <c r="E215" s="2" t="n">
        <v>3.112976565</v>
      </c>
      <c r="F215" s="2" t="n">
        <v>5.313760943</v>
      </c>
      <c r="H215" s="2" t="n">
        <v>4.892675711</v>
      </c>
      <c r="I215" s="2" t="n">
        <v>3.023594733</v>
      </c>
      <c r="J215" s="2" t="n">
        <v>3.839186166</v>
      </c>
      <c r="K215" s="2" t="n">
        <v>5.161589328</v>
      </c>
      <c r="M215" s="2" t="n">
        <v>6.300021502</v>
      </c>
      <c r="N215" s="2" t="n">
        <v>3.976676464</v>
      </c>
      <c r="O215" s="2" t="n">
        <v>3.215728648</v>
      </c>
      <c r="P215" s="2" t="n">
        <v>4.848009813</v>
      </c>
      <c r="Q215" s="2" t="n">
        <v>3.992539183</v>
      </c>
      <c r="R215" s="2" t="n">
        <v>8.658483629999999</v>
      </c>
      <c r="S215" s="2" t="n">
        <v>8.535522330999999</v>
      </c>
      <c r="T215" s="2" t="n">
        <v>10.688439462</v>
      </c>
      <c r="U215" s="2" t="n">
        <v>4.0426694</v>
      </c>
      <c r="V215" s="2" t="n">
        <v>2.24377668</v>
      </c>
      <c r="W215" s="2" t="n">
        <v>9.159237157</v>
      </c>
      <c r="X215" s="2" t="n">
        <v>6.286969262</v>
      </c>
      <c r="Y215" s="2" t="n">
        <v>7.092590853</v>
      </c>
      <c r="Z215" s="2" t="n">
        <v>5.367305165</v>
      </c>
      <c r="AA215" s="2" t="n">
        <v>4.029299506</v>
      </c>
      <c r="AB215" s="2" t="n">
        <v>2.720594221</v>
      </c>
      <c r="AC215" s="2" t="n">
        <v>4.098516705</v>
      </c>
      <c r="AD215" s="2" t="n">
        <v>3.228101208</v>
      </c>
      <c r="AE215" s="2" t="n">
        <v>3.767341175</v>
      </c>
      <c r="AF215" s="2" t="n">
        <v>2.223214738</v>
      </c>
      <c r="AH215" s="2" t="n">
        <v>5.957198698</v>
      </c>
      <c r="AI215" s="2" t="n">
        <v>3.171380064</v>
      </c>
      <c r="AJ215" s="2" t="n">
        <v>3.974084496</v>
      </c>
      <c r="AK215" s="2" t="n">
        <v>3.874875664</v>
      </c>
      <c r="AN215" s="2" t="n">
        <v>4.476642325</v>
      </c>
      <c r="AO215" s="2" t="n">
        <v>5.30476</v>
      </c>
      <c r="AP215" s="2" t="n">
        <v>4.199401297</v>
      </c>
      <c r="AR215" s="2" t="n">
        <v>8.800000000000001</v>
      </c>
      <c r="AS215" s="2" t="n">
        <v>10.300768391</v>
      </c>
      <c r="AT215" s="2" t="n">
        <v>5.157638358</v>
      </c>
      <c r="AU215" t="n">
        <v>-0.557525176</v>
      </c>
    </row>
    <row r="216">
      <c r="A216" t="inlineStr">
        <is>
          <t>2000-Q4</t>
        </is>
      </c>
      <c r="B216" s="3" t="n">
        <v>36892</v>
      </c>
      <c r="C216" s="2" t="n">
        <v>1.104983975</v>
      </c>
      <c r="E216" s="2" t="n">
        <v>2.902469136</v>
      </c>
      <c r="F216" s="2" t="n">
        <v>4.030670264</v>
      </c>
      <c r="H216" s="2" t="n">
        <v>4.227882244</v>
      </c>
      <c r="I216" s="2" t="n">
        <v>1.925958447</v>
      </c>
      <c r="J216" s="2" t="n">
        <v>3.408058061</v>
      </c>
      <c r="K216" s="2" t="n">
        <v>5.053621203</v>
      </c>
      <c r="M216" s="2" t="n">
        <v>6.521533141</v>
      </c>
      <c r="N216" s="2" t="n">
        <v>3.378246699</v>
      </c>
      <c r="O216" s="2" t="n">
        <v>1.953930752</v>
      </c>
      <c r="P216" s="2" t="n">
        <v>4.662254616</v>
      </c>
      <c r="Q216" s="2" t="n">
        <v>4.611344566</v>
      </c>
      <c r="R216" s="2" t="n">
        <v>7.021616692</v>
      </c>
      <c r="S216" s="2" t="n">
        <v>2.937174607</v>
      </c>
      <c r="T216" s="2" t="n">
        <v>8.453917070999999</v>
      </c>
      <c r="U216" s="2" t="n">
        <v>4.037367333</v>
      </c>
      <c r="V216" s="2" t="n">
        <v>3.199425057</v>
      </c>
      <c r="W216" s="2" t="n">
        <v>5.752766405</v>
      </c>
      <c r="X216" s="2" t="n">
        <v>6.501171241</v>
      </c>
      <c r="Y216" s="2" t="n">
        <v>2.146837652</v>
      </c>
      <c r="Z216" s="2" t="n">
        <v>3.595894083</v>
      </c>
      <c r="AA216" s="2" t="n">
        <v>3.919383045</v>
      </c>
      <c r="AB216" s="2" t="n">
        <v>1.022995118</v>
      </c>
      <c r="AC216" s="2" t="n">
        <v>3.330637044</v>
      </c>
      <c r="AD216" s="2" t="n">
        <v>4.218797836</v>
      </c>
      <c r="AE216" s="2" t="n">
        <v>3.865423683</v>
      </c>
      <c r="AF216" s="2" t="n">
        <v>3.274772967</v>
      </c>
      <c r="AH216" s="2" t="n">
        <v>3.722782967</v>
      </c>
      <c r="AI216" s="2" t="n">
        <v>2.103495811</v>
      </c>
      <c r="AJ216" s="2" t="n">
        <v>2.901620472</v>
      </c>
      <c r="AK216" s="2" t="n">
        <v>3.392237334</v>
      </c>
      <c r="AN216" s="2" t="n">
        <v>3.089171542</v>
      </c>
      <c r="AO216" s="2" t="n">
        <v>3.63806</v>
      </c>
      <c r="AP216" s="2" t="n">
        <v>3.942850505</v>
      </c>
      <c r="AR216" s="2" t="n">
        <v>7.5</v>
      </c>
      <c r="AS216" s="2" t="n">
        <v>8.639856942</v>
      </c>
      <c r="AT216" s="2" t="n">
        <v>4.977415317</v>
      </c>
      <c r="AU216" t="n">
        <v>-1.893523605</v>
      </c>
    </row>
    <row r="217">
      <c r="A217" t="inlineStr">
        <is>
          <t>2001-Q1</t>
        </is>
      </c>
      <c r="B217" s="3" t="n">
        <v>36982</v>
      </c>
      <c r="C217" s="2" t="n">
        <v>1.763401573</v>
      </c>
      <c r="E217" s="2" t="n">
        <v>2.233500049</v>
      </c>
      <c r="F217" s="2" t="n">
        <v>2.934982125</v>
      </c>
      <c r="H217" s="2" t="n">
        <v>4.017827968</v>
      </c>
      <c r="I217" s="2" t="n">
        <v>2.508870736</v>
      </c>
      <c r="J217" s="2" t="n">
        <v>1.297581844</v>
      </c>
      <c r="K217" s="2" t="n">
        <v>4.497433227</v>
      </c>
      <c r="M217" s="2" t="n">
        <v>3.942677064</v>
      </c>
      <c r="N217" s="2" t="n">
        <v>3.003744969</v>
      </c>
      <c r="O217" s="2" t="n">
        <v>2.317719429</v>
      </c>
      <c r="P217" s="2" t="n">
        <v>5.557085016</v>
      </c>
      <c r="Q217" s="2" t="n">
        <v>4.466623255</v>
      </c>
      <c r="R217" s="2" t="n">
        <v>8.144940168</v>
      </c>
      <c r="S217" s="2" t="n">
        <v>3.236197523</v>
      </c>
      <c r="T217" s="2" t="n">
        <v>4.842186723</v>
      </c>
      <c r="U217" s="2" t="n">
        <v>3.418835269</v>
      </c>
      <c r="V217" s="2" t="n">
        <v>2.219415599</v>
      </c>
      <c r="W217" s="2" t="n">
        <v>5.057922525</v>
      </c>
      <c r="X217" s="2" t="n">
        <v>2.97449528</v>
      </c>
      <c r="Y217" s="2" t="n">
        <v>3.913788359</v>
      </c>
      <c r="Z217" s="2" t="n">
        <v>1.670795206</v>
      </c>
      <c r="AA217" s="2" t="n">
        <v>3.38834738</v>
      </c>
      <c r="AB217" s="2" t="n">
        <v>0.71615523</v>
      </c>
      <c r="AC217" s="2" t="n">
        <v>2.589671516</v>
      </c>
      <c r="AD217" s="2" t="n">
        <v>3.165390399</v>
      </c>
      <c r="AE217" s="2" t="n">
        <v>1.28655306</v>
      </c>
      <c r="AF217" s="2" t="n">
        <v>2.916028731</v>
      </c>
      <c r="AH217" s="2" t="n">
        <v>3.401905105</v>
      </c>
      <c r="AI217" s="2" t="n">
        <v>0.97945953</v>
      </c>
      <c r="AJ217" s="2" t="n">
        <v>2.195542847</v>
      </c>
      <c r="AK217" s="2" t="n">
        <v>3.156805091</v>
      </c>
      <c r="AN217" s="2" t="n">
        <v>2.336178318</v>
      </c>
      <c r="AO217" s="2" t="n">
        <v>2.0557</v>
      </c>
      <c r="AP217" s="2" t="n">
        <v>3.454229474</v>
      </c>
      <c r="AR217" s="2" t="n">
        <v>9.5</v>
      </c>
      <c r="AS217" s="2" t="n">
        <v>1.473860968</v>
      </c>
      <c r="AT217" s="2" t="n">
        <v>4.238912525</v>
      </c>
      <c r="AU217" t="n">
        <v>-1.397726021</v>
      </c>
    </row>
    <row r="218">
      <c r="A218" t="inlineStr">
        <is>
          <t>2001-Q2</t>
        </is>
      </c>
      <c r="B218" s="3" t="n">
        <v>37073</v>
      </c>
      <c r="C218" s="2" t="n">
        <v>1.667127263</v>
      </c>
      <c r="E218" s="2" t="n">
        <v>1.521366065</v>
      </c>
      <c r="F218" s="2" t="n">
        <v>2.000024935</v>
      </c>
      <c r="H218" s="2" t="n">
        <v>3.229332402</v>
      </c>
      <c r="I218" s="2" t="n">
        <v>1.614648595</v>
      </c>
      <c r="J218" s="2" t="n">
        <v>0.646322458</v>
      </c>
      <c r="K218" s="2" t="n">
        <v>3.967871265</v>
      </c>
      <c r="M218" s="2" t="n">
        <v>3.271092038</v>
      </c>
      <c r="N218" s="2" t="n">
        <v>2.18668601</v>
      </c>
      <c r="O218" s="2" t="n">
        <v>2.486863195</v>
      </c>
      <c r="P218" s="2" t="n">
        <v>4.317066945</v>
      </c>
      <c r="Q218" s="2" t="n">
        <v>4.336775226</v>
      </c>
      <c r="R218" s="2" t="n">
        <v>6.260847772</v>
      </c>
      <c r="S218" s="2" t="n">
        <v>5.703597801</v>
      </c>
      <c r="T218" s="2" t="n">
        <v>1.132283102</v>
      </c>
      <c r="U218" s="2" t="n">
        <v>2.351983396</v>
      </c>
      <c r="V218" s="2" t="n">
        <v>0.98176433</v>
      </c>
      <c r="W218" s="2" t="n">
        <v>5.023056985</v>
      </c>
      <c r="X218" s="2" t="n">
        <v>1.903260151</v>
      </c>
      <c r="Y218" s="2" t="n">
        <v>9.107542391000001</v>
      </c>
      <c r="Z218" s="2" t="n">
        <v>-0.375477301</v>
      </c>
      <c r="AA218" s="2" t="n">
        <v>2.763484672</v>
      </c>
      <c r="AB218" s="2" t="n">
        <v>2.010553253</v>
      </c>
      <c r="AC218" s="2" t="n">
        <v>1.488952826</v>
      </c>
      <c r="AD218" s="2" t="n">
        <v>1.475606823</v>
      </c>
      <c r="AE218" s="2" t="n">
        <v>2.809783105</v>
      </c>
      <c r="AF218" s="2" t="n">
        <v>2.973480805</v>
      </c>
      <c r="AH218" s="2" t="n">
        <v>0.8891364899999999</v>
      </c>
      <c r="AI218" s="2" t="n">
        <v>2.365105424</v>
      </c>
      <c r="AJ218" s="2" t="n">
        <v>0.9919329569999999</v>
      </c>
      <c r="AK218" s="2" t="n">
        <v>2.343616454</v>
      </c>
      <c r="AN218" s="2" t="n">
        <v>2.456785144</v>
      </c>
      <c r="AO218" s="2" t="n">
        <v>4.03951</v>
      </c>
      <c r="AP218" s="2" t="n">
        <v>3.023491631</v>
      </c>
      <c r="AR218" s="2" t="n">
        <v>8.6</v>
      </c>
      <c r="AS218" s="2" t="n">
        <v>-7.06006791</v>
      </c>
      <c r="AT218" s="2" t="n">
        <v>2.295097317</v>
      </c>
      <c r="AU218" t="n">
        <v>-0.616979289</v>
      </c>
    </row>
    <row r="219">
      <c r="A219" t="inlineStr">
        <is>
          <t>2001-Q3</t>
        </is>
      </c>
      <c r="B219" s="3" t="n">
        <v>37165</v>
      </c>
      <c r="C219" s="2" t="n">
        <v>2.698239214</v>
      </c>
      <c r="E219" s="2" t="n">
        <v>0.860147315</v>
      </c>
      <c r="F219" s="2" t="n">
        <v>0.905883926</v>
      </c>
      <c r="H219" s="2" t="n">
        <v>2.349840796</v>
      </c>
      <c r="I219" s="2" t="n">
        <v>1.473312741</v>
      </c>
      <c r="J219" s="2" t="n">
        <v>1.270204581</v>
      </c>
      <c r="K219" s="2" t="n">
        <v>3.816464409</v>
      </c>
      <c r="M219" s="2" t="n">
        <v>2.321661348</v>
      </c>
      <c r="N219" s="2" t="n">
        <v>1.833100673</v>
      </c>
      <c r="O219" s="2" t="n">
        <v>2.97545446</v>
      </c>
      <c r="P219" s="2" t="n">
        <v>4.064341291</v>
      </c>
      <c r="Q219" s="2" t="n">
        <v>4.333690555</v>
      </c>
      <c r="R219" s="2" t="n">
        <v>3.790452101</v>
      </c>
      <c r="S219" s="2" t="n">
        <v>0.008066897</v>
      </c>
      <c r="T219" s="2" t="n">
        <v>-2.899958952</v>
      </c>
      <c r="U219" s="2" t="n">
        <v>1.464158954</v>
      </c>
      <c r="V219" s="2" t="n">
        <v>-0.13967662</v>
      </c>
      <c r="W219" s="2" t="n">
        <v>3.587655198</v>
      </c>
      <c r="X219" s="2" t="n">
        <v>1.877563279</v>
      </c>
      <c r="Y219" s="2" t="n">
        <v>3.432277087</v>
      </c>
      <c r="Z219" s="2" t="n">
        <v>-1.116789701</v>
      </c>
      <c r="AA219" s="2" t="n">
        <v>2.099586695</v>
      </c>
      <c r="AB219" s="2" t="n">
        <v>2.273529271</v>
      </c>
      <c r="AC219" s="2" t="n">
        <v>0.954570488</v>
      </c>
      <c r="AD219" s="2" t="n">
        <v>1.875557954</v>
      </c>
      <c r="AE219" s="2" t="n">
        <v>1.473782928</v>
      </c>
      <c r="AF219" s="2" t="n">
        <v>2.75588703</v>
      </c>
      <c r="AH219" s="2" t="n">
        <v>0.456394172</v>
      </c>
      <c r="AI219" s="2" t="n">
        <v>2.752199097</v>
      </c>
      <c r="AJ219" s="2" t="n">
        <v>0.487352367</v>
      </c>
      <c r="AK219" s="2" t="n">
        <v>1.904315962</v>
      </c>
      <c r="AN219" s="2" t="n">
        <v>1.510652321</v>
      </c>
      <c r="AO219" s="2" t="n">
        <v>3.94624</v>
      </c>
      <c r="AP219" s="2" t="n">
        <v>2.284127346</v>
      </c>
      <c r="AR219" s="2" t="n">
        <v>8</v>
      </c>
      <c r="AS219" s="2" t="n">
        <v>-7.277589154</v>
      </c>
      <c r="AT219" s="2" t="n">
        <v>0.577051942</v>
      </c>
      <c r="AU219" t="n">
        <v>-4.991747166</v>
      </c>
    </row>
    <row r="220">
      <c r="A220" t="inlineStr">
        <is>
          <t>2001-Q4</t>
        </is>
      </c>
      <c r="B220" s="3" t="n">
        <v>37257</v>
      </c>
      <c r="C220" s="2" t="n">
        <v>4.320064785</v>
      </c>
      <c r="E220" s="2" t="n">
        <v>-0.215954218</v>
      </c>
      <c r="F220" s="2" t="n">
        <v>1.346715383</v>
      </c>
      <c r="H220" s="2" t="n">
        <v>2.551222736</v>
      </c>
      <c r="I220" s="2" t="n">
        <v>1.667410094</v>
      </c>
      <c r="J220" s="2" t="n">
        <v>0.09178534200000001</v>
      </c>
      <c r="K220" s="2" t="n">
        <v>3.468590213</v>
      </c>
      <c r="M220" s="2" t="n">
        <v>0.960704517</v>
      </c>
      <c r="N220" s="2" t="n">
        <v>1.029478045</v>
      </c>
      <c r="O220" s="2" t="n">
        <v>3.135697762</v>
      </c>
      <c r="P220" s="2" t="n">
        <v>2.880212644</v>
      </c>
      <c r="Q220" s="2" t="n">
        <v>3.240123959</v>
      </c>
      <c r="R220" s="2" t="n">
        <v>4.902419914</v>
      </c>
      <c r="S220" s="2" t="n">
        <v>7.14886675</v>
      </c>
      <c r="T220" s="2" t="n">
        <v>-3.304167614</v>
      </c>
      <c r="U220" s="2" t="n">
        <v>-0.070844377</v>
      </c>
      <c r="V220" s="2" t="n">
        <v>-1.44013357</v>
      </c>
      <c r="W220" s="2" t="n">
        <v>5.756611965</v>
      </c>
      <c r="X220" s="2" t="n">
        <v>3.328512699</v>
      </c>
      <c r="Y220" s="2" t="n">
        <v>8.113166667</v>
      </c>
      <c r="Z220" s="2" t="n">
        <v>-0.925821156</v>
      </c>
      <c r="AA220" s="2" t="n">
        <v>1.114656486</v>
      </c>
      <c r="AB220" s="2" t="n">
        <v>3.122057377</v>
      </c>
      <c r="AC220" s="2" t="n">
        <v>0.567674826</v>
      </c>
      <c r="AD220" s="2" t="n">
        <v>-0.733801063</v>
      </c>
      <c r="AE220" s="2" t="n">
        <v>2.209251062</v>
      </c>
      <c r="AF220" s="2" t="n">
        <v>4.356371419</v>
      </c>
      <c r="AH220" s="2" t="n">
        <v>1.642938829</v>
      </c>
      <c r="AI220" s="2" t="n">
        <v>4.074669975</v>
      </c>
      <c r="AJ220" s="2" t="n">
        <v>0.170642236</v>
      </c>
      <c r="AK220" s="2" t="n">
        <v>1.357495297</v>
      </c>
      <c r="AN220" s="2" t="n">
        <v>0.300384389</v>
      </c>
      <c r="AO220" s="2" t="n">
        <v>6.2882</v>
      </c>
      <c r="AP220" s="2" t="n">
        <v>2.201040856</v>
      </c>
      <c r="AR220" s="2" t="n">
        <v>7.5</v>
      </c>
      <c r="AS220" s="2" t="n">
        <v>-10.129126144</v>
      </c>
      <c r="AT220" s="2" t="n">
        <v>-0.938548078</v>
      </c>
      <c r="AU220" t="n">
        <v>-10.676443041</v>
      </c>
    </row>
    <row r="221">
      <c r="A221" t="inlineStr">
        <is>
          <t>2002-Q1</t>
        </is>
      </c>
      <c r="B221" s="3" t="n">
        <v>37347</v>
      </c>
      <c r="C221" s="2" t="n">
        <v>4.051183665</v>
      </c>
      <c r="E221" s="2" t="n">
        <v>0.585145927</v>
      </c>
      <c r="F221" s="2" t="n">
        <v>2.309048819</v>
      </c>
      <c r="H221" s="2" t="n">
        <v>1.255544526</v>
      </c>
      <c r="I221" s="2" t="n">
        <v>-0.859365479</v>
      </c>
      <c r="J221" s="2" t="n">
        <v>1.156465893</v>
      </c>
      <c r="K221" s="2" t="n">
        <v>2.81718344</v>
      </c>
      <c r="M221" s="2" t="n">
        <v>1.126430168</v>
      </c>
      <c r="N221" s="2" t="n">
        <v>0.8573238909999999</v>
      </c>
      <c r="O221" s="2" t="n">
        <v>2.347258622</v>
      </c>
      <c r="P221" s="2" t="n">
        <v>2.452555275</v>
      </c>
      <c r="Q221" s="2" t="n">
        <v>4.775468975</v>
      </c>
      <c r="R221" s="2" t="n">
        <v>5.39433202</v>
      </c>
      <c r="S221" s="2" t="n">
        <v>0.26552225</v>
      </c>
      <c r="T221" s="2" t="n">
        <v>-1.751837803</v>
      </c>
      <c r="U221" s="2" t="n">
        <v>-0.62094277</v>
      </c>
      <c r="V221" s="2" t="n">
        <v>-2.00249721</v>
      </c>
      <c r="W221" s="2" t="n">
        <v>7.134576542</v>
      </c>
      <c r="X221" s="2" t="n">
        <v>3.018266698</v>
      </c>
      <c r="Y221" s="2" t="n">
        <v>5.722816853</v>
      </c>
      <c r="Z221" s="2" t="n">
        <v>-1.656697712</v>
      </c>
      <c r="AA221" s="2" t="n">
        <v>0.388732546</v>
      </c>
      <c r="AB221" s="2" t="n">
        <v>0.881700287</v>
      </c>
      <c r="AC221" s="2" t="n">
        <v>0.837988902</v>
      </c>
      <c r="AD221" s="2" t="n">
        <v>0.835770345</v>
      </c>
      <c r="AE221" s="2" t="n">
        <v>2.712151949</v>
      </c>
      <c r="AF221" s="2" t="n">
        <v>3.970270101</v>
      </c>
      <c r="AH221" s="2" t="n">
        <v>1.107200231</v>
      </c>
      <c r="AI221" s="2" t="n">
        <v>4.648525202</v>
      </c>
      <c r="AJ221" s="2" t="n">
        <v>1.328812048</v>
      </c>
      <c r="AK221" s="2" t="n">
        <v>0.430402313</v>
      </c>
      <c r="AN221" s="2" t="n">
        <v>0.180403594</v>
      </c>
      <c r="AO221" s="2" t="n">
        <v>6.56987</v>
      </c>
      <c r="AP221" s="2" t="n">
        <v>2.859203176</v>
      </c>
      <c r="AR221" s="2" t="n">
        <v>8.9</v>
      </c>
      <c r="AS221" s="2" t="n">
        <v>-1.695970785</v>
      </c>
      <c r="AT221" s="2" t="n">
        <v>0.995048326</v>
      </c>
      <c r="AU221" t="n">
        <v>-15.219743824</v>
      </c>
    </row>
    <row r="222">
      <c r="A222" t="inlineStr">
        <is>
          <t>2002-Q2</t>
        </is>
      </c>
      <c r="B222" s="3" t="n">
        <v>37438</v>
      </c>
      <c r="C222" s="2" t="n">
        <v>4.923447025</v>
      </c>
      <c r="E222" s="2" t="n">
        <v>1.42783499</v>
      </c>
      <c r="F222" s="2" t="n">
        <v>2.635438778</v>
      </c>
      <c r="H222" s="2" t="n">
        <v>1.493794132</v>
      </c>
      <c r="I222" s="2" t="n">
        <v>-0.360213902</v>
      </c>
      <c r="J222" s="2" t="n">
        <v>0.655051924</v>
      </c>
      <c r="K222" s="2" t="n">
        <v>2.894575266</v>
      </c>
      <c r="M222" s="2" t="n">
        <v>2.004818638</v>
      </c>
      <c r="N222" s="2" t="n">
        <v>1.133403459</v>
      </c>
      <c r="O222" s="2" t="n">
        <v>2.060536774</v>
      </c>
      <c r="P222" s="2" t="n">
        <v>5.022569822</v>
      </c>
      <c r="Q222" s="2" t="n">
        <v>4.527872267</v>
      </c>
      <c r="R222" s="2" t="n">
        <v>4.342665825</v>
      </c>
      <c r="S222" s="2" t="n">
        <v>0.951638529</v>
      </c>
      <c r="T222" s="2" t="n">
        <v>-0.810197159</v>
      </c>
      <c r="U222" s="2" t="n">
        <v>0.074083541</v>
      </c>
      <c r="V222" s="2" t="n">
        <v>-0.461441704</v>
      </c>
      <c r="W222" s="2" t="n">
        <v>7.677398844</v>
      </c>
      <c r="X222" s="2" t="n">
        <v>6.928218571</v>
      </c>
      <c r="Y222" s="2" t="n">
        <v>4.762767245</v>
      </c>
      <c r="Z222" s="2" t="n">
        <v>-0.207478772</v>
      </c>
      <c r="AA222" s="2" t="n">
        <v>0.231510228</v>
      </c>
      <c r="AB222" s="2" t="n">
        <v>3.160853195</v>
      </c>
      <c r="AC222" s="2" t="n">
        <v>1.470301904</v>
      </c>
      <c r="AD222" s="2" t="n">
        <v>2.210874485</v>
      </c>
      <c r="AE222" s="2" t="n">
        <v>1.255985013</v>
      </c>
      <c r="AF222" s="2" t="n">
        <v>3.931603878</v>
      </c>
      <c r="AH222" s="2" t="n">
        <v>2.689588308</v>
      </c>
      <c r="AI222" s="2" t="n">
        <v>4.557772074</v>
      </c>
      <c r="AJ222" s="2" t="n">
        <v>1.322883902</v>
      </c>
      <c r="AK222" s="2" t="n">
        <v>0.864120264</v>
      </c>
      <c r="AN222" s="2" t="n">
        <v>-0.174785348</v>
      </c>
      <c r="AO222" s="2" t="n">
        <v>5.04817</v>
      </c>
      <c r="AP222" s="2" t="n">
        <v>3.586916061</v>
      </c>
      <c r="AR222" s="2" t="n">
        <v>8.800000000000001</v>
      </c>
      <c r="AS222" s="2" t="n">
        <v>7.767540922</v>
      </c>
      <c r="AT222" s="2" t="n">
        <v>2.074531431</v>
      </c>
      <c r="AU222" t="n">
        <v>-14.147871056</v>
      </c>
    </row>
    <row r="223">
      <c r="A223" t="inlineStr">
        <is>
          <t>2002-Q3</t>
        </is>
      </c>
      <c r="B223" s="3" t="n">
        <v>37530</v>
      </c>
      <c r="C223" s="2" t="n">
        <v>4.031329419</v>
      </c>
      <c r="E223" s="2" t="n">
        <v>2.16566171</v>
      </c>
      <c r="F223" s="2" t="n">
        <v>3.592704106</v>
      </c>
      <c r="H223" s="2" t="n">
        <v>1.519330472</v>
      </c>
      <c r="I223" s="2" t="n">
        <v>0.290961797</v>
      </c>
      <c r="J223" s="2" t="n">
        <v>0.098620025</v>
      </c>
      <c r="K223" s="2" t="n">
        <v>2.572877781</v>
      </c>
      <c r="M223" s="2" t="n">
        <v>1.126803875</v>
      </c>
      <c r="N223" s="2" t="n">
        <v>1.28180375</v>
      </c>
      <c r="O223" s="2" t="n">
        <v>1.952430532</v>
      </c>
      <c r="P223" s="2" t="n">
        <v>3.943039937</v>
      </c>
      <c r="Q223" s="2" t="n">
        <v>4.588051825</v>
      </c>
      <c r="R223" s="2" t="n">
        <v>7.255587379</v>
      </c>
      <c r="S223" s="2" t="n">
        <v>2.598411946</v>
      </c>
      <c r="T223" s="2" t="n">
        <v>0.37089228</v>
      </c>
      <c r="U223" s="2" t="n">
        <v>0.5316117299999999</v>
      </c>
      <c r="V223" s="2" t="n">
        <v>0.953480105</v>
      </c>
      <c r="W223" s="2" t="n">
        <v>8.390946791999999</v>
      </c>
      <c r="X223" s="2" t="n">
        <v>3.969347792</v>
      </c>
      <c r="Y223" s="2" t="n">
        <v>8.694198609000001</v>
      </c>
      <c r="Z223" s="2" t="n">
        <v>0.453070339</v>
      </c>
      <c r="AA223" s="2" t="n">
        <v>0.212975631</v>
      </c>
      <c r="AB223" s="2" t="n">
        <v>0.394158386</v>
      </c>
      <c r="AC223" s="2" t="n">
        <v>2.059966338</v>
      </c>
      <c r="AD223" s="2" t="n">
        <v>2.666985633</v>
      </c>
      <c r="AE223" s="2" t="n">
        <v>0.6493960050000001</v>
      </c>
      <c r="AF223" s="2" t="n">
        <v>5.817482493</v>
      </c>
      <c r="AH223" s="2" t="n">
        <v>2.881919473</v>
      </c>
      <c r="AI223" s="2" t="n">
        <v>4.92908278</v>
      </c>
      <c r="AJ223" s="2" t="n">
        <v>2.14066999</v>
      </c>
      <c r="AK223" s="2" t="n">
        <v>1.173030004</v>
      </c>
      <c r="AN223" s="2" t="n">
        <v>0.233531367</v>
      </c>
      <c r="AO223" s="2" t="n">
        <v>4.38065</v>
      </c>
      <c r="AP223" s="2" t="n">
        <v>4.159947478</v>
      </c>
      <c r="AR223" s="2" t="n">
        <v>9.6</v>
      </c>
      <c r="AS223" s="2" t="n">
        <v>7.889603215</v>
      </c>
      <c r="AT223" s="2" t="n">
        <v>3.839989426</v>
      </c>
      <c r="AU223" t="n">
        <v>-9.897878081</v>
      </c>
    </row>
    <row r="224">
      <c r="A224" t="inlineStr">
        <is>
          <t>2002-Q4</t>
        </is>
      </c>
      <c r="B224" s="3" t="n">
        <v>37622</v>
      </c>
      <c r="C224" s="2" t="n">
        <v>3.554639941</v>
      </c>
      <c r="E224" s="2" t="n">
        <v>2.649962126</v>
      </c>
      <c r="F224" s="2" t="n">
        <v>3.530710093</v>
      </c>
      <c r="H224" s="2" t="n">
        <v>1.671351657</v>
      </c>
      <c r="I224" s="2" t="n">
        <v>0.268003793</v>
      </c>
      <c r="J224" s="2" t="n">
        <v>-0.034579328</v>
      </c>
      <c r="K224" s="2" t="n">
        <v>2.642993741</v>
      </c>
      <c r="M224" s="2" t="n">
        <v>2.566135818</v>
      </c>
      <c r="N224" s="2" t="n">
        <v>1.207728951</v>
      </c>
      <c r="O224" s="2" t="n">
        <v>2.3559742</v>
      </c>
      <c r="P224" s="2" t="n">
        <v>4.467728455</v>
      </c>
      <c r="Q224" s="2" t="n">
        <v>5.05066583</v>
      </c>
      <c r="R224" s="2" t="n">
        <v>6.551018222</v>
      </c>
      <c r="S224" s="2" t="n">
        <v>-1.462542032</v>
      </c>
      <c r="T224" s="2" t="n">
        <v>0.7110426480000001</v>
      </c>
      <c r="U224" s="2" t="n">
        <v>1.01869214</v>
      </c>
      <c r="V224" s="2" t="n">
        <v>1.579904214</v>
      </c>
      <c r="W224" s="2" t="n">
        <v>7.68238505</v>
      </c>
      <c r="X224" s="2" t="n">
        <v>1.530745707</v>
      </c>
      <c r="Y224" s="2" t="n">
        <v>9.238290574000001</v>
      </c>
      <c r="Z224" s="2" t="n">
        <v>1.23188681</v>
      </c>
      <c r="AA224" s="2" t="n">
        <v>0.040300273</v>
      </c>
      <c r="AB224" s="2" t="n">
        <v>0.652961008</v>
      </c>
      <c r="AC224" s="2" t="n">
        <v>2.180259592</v>
      </c>
      <c r="AD224" s="2" t="n">
        <v>2.460825752</v>
      </c>
      <c r="AE224" s="2" t="n">
        <v>-1.48022333</v>
      </c>
      <c r="AF224" s="2" t="n">
        <v>4.312601293</v>
      </c>
      <c r="AH224" s="2" t="n">
        <v>2.186289851</v>
      </c>
      <c r="AI224" s="2" t="n">
        <v>4.779518601</v>
      </c>
      <c r="AJ224" s="2" t="n">
        <v>1.991286185</v>
      </c>
      <c r="AK224" s="2" t="n">
        <v>1.198294487</v>
      </c>
      <c r="AN224" s="2" t="n">
        <v>-0.100579698</v>
      </c>
      <c r="AO224" s="2" t="n">
        <v>2.11781</v>
      </c>
      <c r="AP224" s="2" t="n">
        <v>4.05577015</v>
      </c>
      <c r="AR224" s="2" t="n">
        <v>9.1</v>
      </c>
      <c r="AS224" s="2" t="n">
        <v>12.07772573</v>
      </c>
      <c r="AT224" s="2" t="n">
        <v>5.202181191</v>
      </c>
      <c r="AU224" t="n">
        <v>-3.483175649</v>
      </c>
    </row>
    <row r="225">
      <c r="A225" t="inlineStr">
        <is>
          <t>2003-Q1</t>
        </is>
      </c>
      <c r="B225" s="3" t="n">
        <v>37712</v>
      </c>
      <c r="C225" s="2" t="n">
        <v>2.880002634</v>
      </c>
      <c r="E225" s="2" t="n">
        <v>1.506806857</v>
      </c>
      <c r="F225" s="2" t="n">
        <v>2.581037167</v>
      </c>
      <c r="H225" s="2" t="n">
        <v>2.895924906</v>
      </c>
      <c r="I225" s="2" t="n">
        <v>-0.705732301</v>
      </c>
      <c r="J225" s="2" t="n">
        <v>0.534887129</v>
      </c>
      <c r="K225" s="2" t="n">
        <v>3.159366222</v>
      </c>
      <c r="M225" s="2" t="n">
        <v>1.179534314</v>
      </c>
      <c r="N225" s="2" t="n">
        <v>1.031454336</v>
      </c>
      <c r="O225" s="2" t="n">
        <v>2.715661958</v>
      </c>
      <c r="P225" s="2" t="n">
        <v>5.778436775</v>
      </c>
      <c r="Q225" s="2" t="n">
        <v>3.542422413</v>
      </c>
      <c r="R225" s="2" t="n">
        <v>3.162861711</v>
      </c>
      <c r="S225" s="2" t="n">
        <v>6.543380706</v>
      </c>
      <c r="T225" s="2" t="n">
        <v>1.537870469</v>
      </c>
      <c r="U225" s="2" t="n">
        <v>0.588611954</v>
      </c>
      <c r="V225" s="2" t="n">
        <v>1.47063504</v>
      </c>
      <c r="W225" s="2" t="n">
        <v>4.318227912</v>
      </c>
      <c r="X225" s="2" t="n">
        <v>-0.70864399</v>
      </c>
      <c r="Y225" s="2" t="n">
        <v>10.262184312</v>
      </c>
      <c r="Z225" s="2" t="n">
        <v>2.142316544</v>
      </c>
      <c r="AA225" s="2" t="n">
        <v>0.671931395</v>
      </c>
      <c r="AB225" s="2" t="n">
        <v>1.722653264</v>
      </c>
      <c r="AC225" s="2" t="n">
        <v>1.840546301</v>
      </c>
      <c r="AD225" s="2" t="n">
        <v>2.601915438</v>
      </c>
      <c r="AE225" s="2" t="n">
        <v>-1.551766468</v>
      </c>
      <c r="AF225" s="2" t="n">
        <v>5.802155313</v>
      </c>
      <c r="AH225" s="2" t="n">
        <v>3.509185413</v>
      </c>
      <c r="AI225" s="2" t="n">
        <v>4.454060877</v>
      </c>
      <c r="AJ225" s="2" t="n">
        <v>1.67618894</v>
      </c>
      <c r="AK225" s="2" t="n">
        <v>0.800907385</v>
      </c>
      <c r="AN225" s="2" t="n">
        <v>-0.788135383</v>
      </c>
      <c r="AO225" s="2" t="n">
        <v>3.58059</v>
      </c>
      <c r="AP225" s="2" t="n">
        <v>3.673402409</v>
      </c>
      <c r="AR225" s="2" t="n">
        <v>11.1</v>
      </c>
      <c r="AS225" s="2" t="n">
        <v>8.088298775</v>
      </c>
      <c r="AT225" s="2" t="n">
        <v>2.410886804</v>
      </c>
      <c r="AU225" t="n">
        <v>5.274229353</v>
      </c>
    </row>
    <row r="226">
      <c r="A226" t="inlineStr">
        <is>
          <t>2003-Q2</t>
        </is>
      </c>
      <c r="B226" s="3" t="n">
        <v>37803</v>
      </c>
      <c r="C226" s="2" t="n">
        <v>1.52625034</v>
      </c>
      <c r="E226" s="2" t="n">
        <v>0.8604794099999999</v>
      </c>
      <c r="F226" s="2" t="n">
        <v>1.829610796</v>
      </c>
      <c r="H226" s="2" t="n">
        <v>3.437100287</v>
      </c>
      <c r="I226" s="2" t="n">
        <v>-1.029136139</v>
      </c>
      <c r="J226" s="2" t="n">
        <v>-0.390223556</v>
      </c>
      <c r="K226" s="2" t="n">
        <v>2.85865151</v>
      </c>
      <c r="M226" s="2" t="n">
        <v>1.629539742</v>
      </c>
      <c r="N226" s="2" t="n">
        <v>0.352013817</v>
      </c>
      <c r="O226" s="2" t="n">
        <v>3.147813648</v>
      </c>
      <c r="P226" s="2" t="n">
        <v>5.29512856</v>
      </c>
      <c r="Q226" s="2" t="n">
        <v>4.023504629</v>
      </c>
      <c r="R226" s="2" t="n">
        <v>2.966063046</v>
      </c>
      <c r="S226" s="2" t="n">
        <v>-0.378647032</v>
      </c>
      <c r="T226" s="2" t="n">
        <v>0.717987314</v>
      </c>
      <c r="U226" s="2" t="n">
        <v>0.128794826</v>
      </c>
      <c r="V226" s="2" t="n">
        <v>1.347739708</v>
      </c>
      <c r="W226" s="2" t="n">
        <v>2.30354585</v>
      </c>
      <c r="X226" s="2" t="n">
        <v>0.233404941</v>
      </c>
      <c r="Y226" s="2" t="n">
        <v>8.152828396</v>
      </c>
      <c r="Z226" s="2" t="n">
        <v>1.463156125</v>
      </c>
      <c r="AA226" s="2" t="n">
        <v>-0.023899152</v>
      </c>
      <c r="AB226" s="2" t="n">
        <v>-0.8223474200000001</v>
      </c>
      <c r="AC226" s="2" t="n">
        <v>1.573631938</v>
      </c>
      <c r="AD226" s="2" t="n">
        <v>3.814304604</v>
      </c>
      <c r="AE226" s="2" t="n">
        <v>-1.97190001</v>
      </c>
      <c r="AF226" s="2" t="n">
        <v>6.319414411</v>
      </c>
      <c r="AH226" s="2" t="n">
        <v>1.363684734</v>
      </c>
      <c r="AI226" s="2" t="n">
        <v>3.51736237</v>
      </c>
      <c r="AJ226" s="2" t="n">
        <v>1.956993642</v>
      </c>
      <c r="AK226" s="2" t="n">
        <v>0.357089201</v>
      </c>
      <c r="AN226" s="2" t="n">
        <v>-0.8991359799999999</v>
      </c>
      <c r="AO226" s="2" t="n">
        <v>5.54613</v>
      </c>
      <c r="AP226" s="2" t="n">
        <v>2.933242176</v>
      </c>
      <c r="AR226" s="2" t="n">
        <v>9.1</v>
      </c>
      <c r="AS226" s="2" t="n">
        <v>3.964297877</v>
      </c>
      <c r="AT226" s="2" t="n">
        <v>0.930162823</v>
      </c>
      <c r="AU226" t="n">
        <v>8.146920201</v>
      </c>
    </row>
    <row r="227">
      <c r="A227" t="inlineStr">
        <is>
          <t>2003-Q3</t>
        </is>
      </c>
      <c r="B227" s="3" t="n">
        <v>37895</v>
      </c>
      <c r="C227" s="2" t="n">
        <v>2.878580073</v>
      </c>
      <c r="E227" s="2" t="n">
        <v>0.733625686</v>
      </c>
      <c r="F227" s="2" t="n">
        <v>1.33311469</v>
      </c>
      <c r="H227" s="2" t="n">
        <v>3.854416022</v>
      </c>
      <c r="I227" s="2" t="n">
        <v>-0.757230853</v>
      </c>
      <c r="J227" s="2" t="n">
        <v>-0.38683434</v>
      </c>
      <c r="K227" s="2" t="n">
        <v>2.90257618</v>
      </c>
      <c r="M227" s="2" t="n">
        <v>3.086446568</v>
      </c>
      <c r="N227" s="2" t="n">
        <v>0.6055727950000001</v>
      </c>
      <c r="O227" s="2" t="n">
        <v>3.633784295</v>
      </c>
      <c r="P227" s="2" t="n">
        <v>5.347760594</v>
      </c>
      <c r="Q227" s="2" t="n">
        <v>4.305278584</v>
      </c>
      <c r="R227" s="2" t="n">
        <v>1.924227031</v>
      </c>
      <c r="S227" s="2" t="n">
        <v>0.654018046</v>
      </c>
      <c r="T227" s="2" t="n">
        <v>1.470320549</v>
      </c>
      <c r="U227" s="2" t="n">
        <v>-0.150177382</v>
      </c>
      <c r="V227" s="2" t="n">
        <v>1.329295007</v>
      </c>
      <c r="W227" s="2" t="n">
        <v>2.214156235</v>
      </c>
      <c r="X227" s="2" t="n">
        <v>1.969586676</v>
      </c>
      <c r="Y227" s="2" t="n">
        <v>9.600128165999999</v>
      </c>
      <c r="Z227" s="2" t="n">
        <v>0.7708713659999999</v>
      </c>
      <c r="AA227" s="2" t="n">
        <v>-0.09033127000000001</v>
      </c>
      <c r="AB227" s="2" t="n">
        <v>2.086109351</v>
      </c>
      <c r="AC227" s="2" t="n">
        <v>2.128905427</v>
      </c>
      <c r="AD227" s="2" t="n">
        <v>3.692203266</v>
      </c>
      <c r="AE227" s="2" t="n">
        <v>-0.651382451</v>
      </c>
      <c r="AF227" s="2" t="n">
        <v>4.439984373</v>
      </c>
      <c r="AH227" s="2" t="n">
        <v>2.212248923</v>
      </c>
      <c r="AI227" s="2" t="n">
        <v>4.531759061</v>
      </c>
      <c r="AJ227" s="2" t="n">
        <v>3.239908302</v>
      </c>
      <c r="AK227" s="2" t="n">
        <v>0.480103137</v>
      </c>
      <c r="AN227" s="2" t="n">
        <v>-0.152755931</v>
      </c>
      <c r="AO227" s="2" t="n">
        <v>7.68505</v>
      </c>
      <c r="AP227" s="2" t="n">
        <v>2.649820095</v>
      </c>
      <c r="AR227" s="2" t="n">
        <v>10</v>
      </c>
      <c r="AS227" s="2" t="n">
        <v>5.487093424</v>
      </c>
      <c r="AT227" s="2" t="n">
        <v>0.6558383209999999</v>
      </c>
      <c r="AU227" t="n">
        <v>10.707165722</v>
      </c>
    </row>
    <row r="228">
      <c r="A228" t="inlineStr">
        <is>
          <t>2003-Q4</t>
        </is>
      </c>
      <c r="B228" s="3" t="n">
        <v>37987</v>
      </c>
      <c r="C228" s="2" t="n">
        <v>3.8257003</v>
      </c>
      <c r="E228" s="2" t="n">
        <v>1.056515373</v>
      </c>
      <c r="F228" s="2" t="n">
        <v>1.475555706</v>
      </c>
      <c r="H228" s="2" t="n">
        <v>4.120358349</v>
      </c>
      <c r="I228" s="2" t="n">
        <v>-0.351561509</v>
      </c>
      <c r="J228" s="2" t="n">
        <v>1.804920682</v>
      </c>
      <c r="K228" s="2" t="n">
        <v>3.008540784</v>
      </c>
      <c r="M228" s="2" t="n">
        <v>2.113220514</v>
      </c>
      <c r="N228" s="2" t="n">
        <v>1.383196504</v>
      </c>
      <c r="O228" s="2" t="n">
        <v>3.778571685</v>
      </c>
      <c r="P228" s="2" t="n">
        <v>6.775966831</v>
      </c>
      <c r="Q228" s="2" t="n">
        <v>4.125111221</v>
      </c>
      <c r="R228" s="2" t="n">
        <v>6.131805786</v>
      </c>
      <c r="S228" s="2" t="n">
        <v>1.915706784</v>
      </c>
      <c r="T228" s="2" t="n">
        <v>2.001067855</v>
      </c>
      <c r="U228" s="2" t="n">
        <v>0.327200178</v>
      </c>
      <c r="V228" s="2" t="n">
        <v>2.146731984</v>
      </c>
      <c r="W228" s="2" t="n">
        <v>3.773317382</v>
      </c>
      <c r="X228" s="2" t="n">
        <v>5.164865375</v>
      </c>
      <c r="Y228" s="2" t="n">
        <v>6.678697444</v>
      </c>
      <c r="Z228" s="2" t="n">
        <v>1.503688499</v>
      </c>
      <c r="AA228" s="2" t="n">
        <v>0.29448898</v>
      </c>
      <c r="AB228" s="2" t="n">
        <v>0.978487671</v>
      </c>
      <c r="AC228" s="2" t="n">
        <v>2.890442537</v>
      </c>
      <c r="AD228" s="2" t="n">
        <v>3.884645554</v>
      </c>
      <c r="AE228" s="2" t="n">
        <v>0.473932977</v>
      </c>
      <c r="AF228" s="2" t="n">
        <v>5.462416307</v>
      </c>
      <c r="AH228" s="2" t="n">
        <v>2.689924972</v>
      </c>
      <c r="AI228" s="2" t="n">
        <v>4.463695441</v>
      </c>
      <c r="AJ228" s="2" t="n">
        <v>4.29507652</v>
      </c>
      <c r="AK228" s="2" t="n">
        <v>1.042002805</v>
      </c>
      <c r="AN228" s="2" t="n">
        <v>1.521734588</v>
      </c>
      <c r="AO228" s="2" t="n">
        <v>11.13362</v>
      </c>
      <c r="AP228" s="2" t="n">
        <v>2.556828244</v>
      </c>
      <c r="AR228" s="2" t="n">
        <v>10</v>
      </c>
      <c r="AS228" s="2" t="n">
        <v>6.405673062</v>
      </c>
      <c r="AT228" s="2" t="n">
        <v>0.680594962</v>
      </c>
      <c r="AU228" t="n">
        <v>11.646839589</v>
      </c>
    </row>
    <row r="229">
      <c r="A229" t="inlineStr">
        <is>
          <t>2004-Q1</t>
        </is>
      </c>
      <c r="B229" s="3" t="n">
        <v>38078</v>
      </c>
      <c r="C229" s="2" t="n">
        <v>4.577836665</v>
      </c>
      <c r="E229" s="2" t="n">
        <v>2.842043453</v>
      </c>
      <c r="F229" s="2" t="n">
        <v>1.644029179</v>
      </c>
      <c r="H229" s="2" t="n">
        <v>4.013227877</v>
      </c>
      <c r="I229" s="2" t="n">
        <v>0.9820827680000001</v>
      </c>
      <c r="J229" s="2" t="n">
        <v>1.749947147</v>
      </c>
      <c r="K229" s="2" t="n">
        <v>2.674117613</v>
      </c>
      <c r="M229" s="2" t="n">
        <v>4.152698172</v>
      </c>
      <c r="N229" s="2" t="n">
        <v>2.125603047</v>
      </c>
      <c r="O229" s="2" t="n">
        <v>3.373499692</v>
      </c>
      <c r="P229" s="2" t="n">
        <v>6.510927293</v>
      </c>
      <c r="Q229" s="2" t="n">
        <v>4.905174227</v>
      </c>
      <c r="R229" s="2" t="n">
        <v>6.503406723</v>
      </c>
      <c r="S229" s="2" t="n">
        <v>4.301351642</v>
      </c>
      <c r="T229" s="2" t="n">
        <v>3.298043168</v>
      </c>
      <c r="U229" s="2" t="n">
        <v>1.100340292</v>
      </c>
      <c r="V229" s="2" t="n">
        <v>2.843187903</v>
      </c>
      <c r="W229" s="2" t="n">
        <v>5.772676581</v>
      </c>
      <c r="X229" s="2" t="n">
        <v>5.279142959</v>
      </c>
      <c r="Y229" s="2" t="n">
        <v>9.820041237</v>
      </c>
      <c r="Z229" s="2" t="n">
        <v>2.70326611</v>
      </c>
      <c r="AA229" s="2" t="n">
        <v>1.184842103</v>
      </c>
      <c r="AB229" s="2" t="n">
        <v>4.530920451</v>
      </c>
      <c r="AC229" s="2" t="n">
        <v>3.47801435</v>
      </c>
      <c r="AD229" s="2" t="n">
        <v>6.615217973</v>
      </c>
      <c r="AE229" s="2" t="n">
        <v>1.274706115</v>
      </c>
      <c r="AF229" s="2" t="n">
        <v>4.972107448</v>
      </c>
      <c r="AH229" s="2" t="n">
        <v>3.331459938</v>
      </c>
      <c r="AI229" s="2" t="n">
        <v>5.642543928</v>
      </c>
      <c r="AJ229" s="2" t="n">
        <v>4.353382086</v>
      </c>
      <c r="AK229" s="2" t="n">
        <v>1.89753296</v>
      </c>
      <c r="AN229" s="2" t="n">
        <v>2.874023365</v>
      </c>
      <c r="AO229" s="2" t="n">
        <v>9.083130000000001</v>
      </c>
      <c r="AP229" s="2" t="n">
        <v>3.154861729</v>
      </c>
      <c r="AQ229" s="2" t="n">
        <v>6.664650625</v>
      </c>
      <c r="AR229" s="2" t="n">
        <v>10.6</v>
      </c>
      <c r="AS229" s="2" t="n">
        <v>9.24505679</v>
      </c>
      <c r="AT229" s="2" t="n">
        <v>2.528447754</v>
      </c>
      <c r="AU229" t="n">
        <v>11.194164854</v>
      </c>
    </row>
    <row r="230">
      <c r="A230" t="inlineStr">
        <is>
          <t>2004-Q2</t>
        </is>
      </c>
      <c r="B230" s="3" t="n">
        <v>38169</v>
      </c>
      <c r="C230" s="2" t="n">
        <v>4.927450249</v>
      </c>
      <c r="E230" s="2" t="n">
        <v>3.609431397</v>
      </c>
      <c r="F230" s="2" t="n">
        <v>3.003268745</v>
      </c>
      <c r="H230" s="2" t="n">
        <v>4.144092529</v>
      </c>
      <c r="I230" s="2" t="n">
        <v>1.369765682</v>
      </c>
      <c r="J230" s="2" t="n">
        <v>3.316610306</v>
      </c>
      <c r="K230" s="2" t="n">
        <v>3.139803256</v>
      </c>
      <c r="M230" s="2" t="n">
        <v>3.558635394</v>
      </c>
      <c r="N230" s="2" t="n">
        <v>3.012248653</v>
      </c>
      <c r="O230" s="2" t="n">
        <v>2.815517549</v>
      </c>
      <c r="P230" s="2" t="n">
        <v>4.637807316</v>
      </c>
      <c r="Q230" s="2" t="n">
        <v>4.885434811</v>
      </c>
      <c r="R230" s="2" t="n">
        <v>8.345513951999999</v>
      </c>
      <c r="S230" s="2" t="n">
        <v>6.40407472</v>
      </c>
      <c r="T230" s="2" t="n">
        <v>4.558145496</v>
      </c>
      <c r="U230" s="2" t="n">
        <v>1.460799109</v>
      </c>
      <c r="V230" s="2" t="n">
        <v>2.147693313</v>
      </c>
      <c r="W230" s="2" t="n">
        <v>6.744794051</v>
      </c>
      <c r="X230" s="2" t="n">
        <v>3.009070297</v>
      </c>
      <c r="Y230" s="2" t="n">
        <v>8.411706503</v>
      </c>
      <c r="Z230" s="2" t="n">
        <v>4.054929023</v>
      </c>
      <c r="AA230" s="2" t="n">
        <v>2.019591561</v>
      </c>
      <c r="AB230" s="2" t="n">
        <v>5.247382818</v>
      </c>
      <c r="AC230" s="2" t="n">
        <v>3.637868877</v>
      </c>
      <c r="AD230" s="2" t="n">
        <v>5.270847512</v>
      </c>
      <c r="AE230" s="2" t="n">
        <v>2.767450994</v>
      </c>
      <c r="AF230" s="2" t="n">
        <v>4.120686121</v>
      </c>
      <c r="AH230" s="2" t="n">
        <v>4.376985173</v>
      </c>
      <c r="AI230" s="2" t="n">
        <v>6.118108004</v>
      </c>
      <c r="AJ230" s="2" t="n">
        <v>4.234811649</v>
      </c>
      <c r="AK230" s="2" t="n">
        <v>2.408852827</v>
      </c>
      <c r="AN230" s="2" t="n">
        <v>3.554671776</v>
      </c>
      <c r="AO230" s="2" t="n">
        <v>8.918200000000001</v>
      </c>
      <c r="AP230" s="2" t="n">
        <v>4.088037064</v>
      </c>
      <c r="AQ230" s="2" t="n">
        <v>7.520946818</v>
      </c>
      <c r="AR230" s="2" t="n">
        <v>11.6</v>
      </c>
      <c r="AS230" s="2" t="n">
        <v>11.413895422</v>
      </c>
      <c r="AT230" s="2" t="n">
        <v>6.266708443</v>
      </c>
      <c r="AU230" t="n">
        <v>6.550445948</v>
      </c>
    </row>
    <row r="231">
      <c r="A231" t="inlineStr">
        <is>
          <t>2004-Q3</t>
        </is>
      </c>
      <c r="B231" s="3" t="n">
        <v>38261</v>
      </c>
      <c r="C231" s="2" t="n">
        <v>3.968380934</v>
      </c>
      <c r="E231" s="2" t="n">
        <v>4.087253884</v>
      </c>
      <c r="F231" s="2" t="n">
        <v>3.831186233</v>
      </c>
      <c r="H231" s="2" t="n">
        <v>4.80719992</v>
      </c>
      <c r="I231" s="2" t="n">
        <v>0.412210116</v>
      </c>
      <c r="J231" s="2" t="n">
        <v>3.205574354</v>
      </c>
      <c r="K231" s="2" t="n">
        <v>3.427716114</v>
      </c>
      <c r="M231" s="2" t="n">
        <v>3.444933735</v>
      </c>
      <c r="N231" s="2" t="n">
        <v>2.590036507</v>
      </c>
      <c r="O231" s="2" t="n">
        <v>1.839990332</v>
      </c>
      <c r="P231" s="2" t="n">
        <v>5.373131112</v>
      </c>
      <c r="Q231" s="2" t="n">
        <v>4.810049519</v>
      </c>
      <c r="R231" s="2" t="n">
        <v>6.89521754</v>
      </c>
      <c r="S231" s="2" t="n">
        <v>11.422376965</v>
      </c>
      <c r="T231" s="2" t="n">
        <v>4.976548076</v>
      </c>
      <c r="U231" s="2" t="n">
        <v>1.499479863</v>
      </c>
      <c r="V231" s="2" t="n">
        <v>2.470273793</v>
      </c>
      <c r="W231" s="2" t="n">
        <v>5.145618814</v>
      </c>
      <c r="X231" s="2" t="n">
        <v>3.965519475</v>
      </c>
      <c r="Y231" s="2" t="n">
        <v>6.779073128</v>
      </c>
      <c r="Z231" s="2" t="n">
        <v>3.921808161</v>
      </c>
      <c r="AA231" s="2" t="n">
        <v>2.081437618</v>
      </c>
      <c r="AB231" s="2" t="n">
        <v>2.590690575</v>
      </c>
      <c r="AC231" s="2" t="n">
        <v>3.171776646</v>
      </c>
      <c r="AD231" s="2" t="n">
        <v>3.587078269</v>
      </c>
      <c r="AE231" s="2" t="n">
        <v>1.903675089</v>
      </c>
      <c r="AF231" s="2" t="n">
        <v>6.071083804</v>
      </c>
      <c r="AH231" s="2" t="n">
        <v>3.703312133</v>
      </c>
      <c r="AI231" s="2" t="n">
        <v>4.214257497</v>
      </c>
      <c r="AJ231" s="2" t="n">
        <v>3.490834069</v>
      </c>
      <c r="AK231" s="2" t="n">
        <v>2.103246145</v>
      </c>
      <c r="AN231" s="2" t="n">
        <v>2.574461476</v>
      </c>
      <c r="AO231" s="2" t="n">
        <v>8.669359999999999</v>
      </c>
      <c r="AP231" s="2" t="n">
        <v>5.219037795</v>
      </c>
      <c r="AQ231" s="2" t="n">
        <v>7.337355389</v>
      </c>
      <c r="AR231" s="2" t="n">
        <v>9.800000000000001</v>
      </c>
      <c r="AS231" s="2" t="n">
        <v>9.546928334</v>
      </c>
      <c r="AT231" s="2" t="n">
        <v>6.584843336</v>
      </c>
      <c r="AU231" t="n">
        <v>9.189070854000001</v>
      </c>
    </row>
    <row r="232">
      <c r="A232" t="inlineStr">
        <is>
          <t>2004-Q4</t>
        </is>
      </c>
      <c r="B232" s="3" t="n">
        <v>38353</v>
      </c>
      <c r="C232" s="2" t="n">
        <v>3.057754849</v>
      </c>
      <c r="E232" s="2" t="n">
        <v>3.736801233</v>
      </c>
      <c r="F232" s="2" t="n">
        <v>3.860541692</v>
      </c>
      <c r="H232" s="2" t="n">
        <v>5.61187753</v>
      </c>
      <c r="I232" s="2" t="n">
        <v>0.037919387</v>
      </c>
      <c r="J232" s="2" t="n">
        <v>2.413156435</v>
      </c>
      <c r="K232" s="2" t="n">
        <v>3.242952159</v>
      </c>
      <c r="M232" s="2" t="n">
        <v>4.809876335</v>
      </c>
      <c r="N232" s="2" t="n">
        <v>2.612848946</v>
      </c>
      <c r="O232" s="2" t="n">
        <v>1.154562641</v>
      </c>
      <c r="P232" s="2" t="n">
        <v>2.774821603</v>
      </c>
      <c r="Q232" s="2" t="n">
        <v>4.255934618</v>
      </c>
      <c r="R232" s="2" t="n">
        <v>4.015452647</v>
      </c>
      <c r="S232" s="2" t="n">
        <v>9.128707845999999</v>
      </c>
      <c r="T232" s="2" t="n">
        <v>5.89493682</v>
      </c>
      <c r="U232" s="2" t="n">
        <v>0.8483435620000001</v>
      </c>
      <c r="V232" s="2" t="n">
        <v>1.170795302</v>
      </c>
      <c r="W232" s="2" t="n">
        <v>3.218131462</v>
      </c>
      <c r="X232" s="2" t="n">
        <v>2.400624227</v>
      </c>
      <c r="Y232" s="2" t="n">
        <v>8.095956867</v>
      </c>
      <c r="Z232" s="2" t="n">
        <v>4.100578371</v>
      </c>
      <c r="AA232" s="2" t="n">
        <v>1.75917512</v>
      </c>
      <c r="AB232" s="2" t="n">
        <v>3.56557155</v>
      </c>
      <c r="AC232" s="2" t="n">
        <v>2.768405334</v>
      </c>
      <c r="AD232" s="2" t="n">
        <v>4.392886869</v>
      </c>
      <c r="AE232" s="2" t="n">
        <v>1.219915938</v>
      </c>
      <c r="AF232" s="2" t="n">
        <v>5.93017034</v>
      </c>
      <c r="AH232" s="2" t="n">
        <v>3.904906324</v>
      </c>
      <c r="AI232" s="2" t="n">
        <v>3.251976237</v>
      </c>
      <c r="AJ232" s="2" t="n">
        <v>3.355765916</v>
      </c>
      <c r="AK232" s="2" t="n">
        <v>1.742385044</v>
      </c>
      <c r="AN232" s="2" t="n">
        <v>1.517529858</v>
      </c>
      <c r="AO232" s="2" t="n">
        <v>7.25254</v>
      </c>
      <c r="AP232" s="2" t="n">
        <v>5.732708535</v>
      </c>
      <c r="AQ232" s="2" t="n">
        <v>6.593498112</v>
      </c>
      <c r="AR232" s="2" t="n">
        <v>8.800000000000001</v>
      </c>
      <c r="AS232" s="2" t="n">
        <v>8.057711694</v>
      </c>
      <c r="AT232" s="2" t="n">
        <v>6.303793383</v>
      </c>
      <c r="AU232" t="n">
        <v>8.779958594</v>
      </c>
    </row>
    <row r="233">
      <c r="A233" t="inlineStr">
        <is>
          <t>2005-Q1</t>
        </is>
      </c>
      <c r="B233" s="3" t="n">
        <v>38443</v>
      </c>
      <c r="C233" s="2" t="n">
        <v>3.019285972</v>
      </c>
      <c r="E233" s="2" t="n">
        <v>2.742948498</v>
      </c>
      <c r="F233" s="2" t="n">
        <v>3.474673797</v>
      </c>
      <c r="H233" s="2" t="n">
        <v>6.462987313</v>
      </c>
      <c r="I233" s="2" t="n">
        <v>0.213170875</v>
      </c>
      <c r="J233" s="2" t="n">
        <v>1.552318238</v>
      </c>
      <c r="K233" s="2" t="n">
        <v>3.625992408</v>
      </c>
      <c r="M233" s="2" t="n">
        <v>4.512511681</v>
      </c>
      <c r="N233" s="2" t="n">
        <v>1.942189924</v>
      </c>
      <c r="O233" s="2" t="n">
        <v>1.604168866</v>
      </c>
      <c r="P233" s="2" t="n">
        <v>0.335709457</v>
      </c>
      <c r="Q233" s="2" t="n">
        <v>3.605643383</v>
      </c>
      <c r="R233" s="2" t="n">
        <v>6.186326662</v>
      </c>
      <c r="S233" s="2" t="n">
        <v>1.997800807</v>
      </c>
      <c r="T233" s="2" t="n">
        <v>4.012506971</v>
      </c>
      <c r="U233" s="2" t="n">
        <v>0.380374157</v>
      </c>
      <c r="V233" s="2" t="n">
        <v>0.938698078</v>
      </c>
      <c r="W233" s="2" t="n">
        <v>2.806402673</v>
      </c>
      <c r="X233" s="2" t="n">
        <v>2.646021304</v>
      </c>
      <c r="Y233" s="2" t="n">
        <v>6.901659225</v>
      </c>
      <c r="Z233" s="2" t="n">
        <v>2.835346377</v>
      </c>
      <c r="AA233" s="2" t="n">
        <v>1.171867896</v>
      </c>
      <c r="AB233" s="2" t="n">
        <v>1.652441821</v>
      </c>
      <c r="AC233" s="2" t="n">
        <v>2.762118869</v>
      </c>
      <c r="AD233" s="2" t="n">
        <v>2.481870054</v>
      </c>
      <c r="AE233" s="2" t="n">
        <v>1.085613464</v>
      </c>
      <c r="AF233" s="2" t="n">
        <v>5.878002591</v>
      </c>
      <c r="AH233" s="2" t="n">
        <v>2.525475105</v>
      </c>
      <c r="AI233" s="2" t="n">
        <v>2.67839995</v>
      </c>
      <c r="AJ233" s="2" t="n">
        <v>3.908617441</v>
      </c>
      <c r="AK233" s="2" t="n">
        <v>1.471587791</v>
      </c>
      <c r="AN233" s="2" t="n">
        <v>1.74070578</v>
      </c>
      <c r="AO233" s="2" t="n">
        <v>8.73418</v>
      </c>
      <c r="AP233" s="2" t="n">
        <v>5.214775277</v>
      </c>
      <c r="AQ233" s="2" t="n">
        <v>6.456869917</v>
      </c>
      <c r="AR233" s="2" t="n">
        <v>11.1</v>
      </c>
      <c r="AS233" s="2" t="n">
        <v>10.009156426</v>
      </c>
      <c r="AT233" s="2" t="n">
        <v>5.601552634</v>
      </c>
      <c r="AU233" t="n">
        <v>8.390073599000001</v>
      </c>
    </row>
    <row r="234">
      <c r="A234" t="inlineStr">
        <is>
          <t>2005-Q2</t>
        </is>
      </c>
      <c r="B234" s="3" t="n">
        <v>38534</v>
      </c>
      <c r="C234" s="2" t="n">
        <v>2.791550263</v>
      </c>
      <c r="E234" s="2" t="n">
        <v>2.374112111</v>
      </c>
      <c r="F234" s="2" t="n">
        <v>3.001929546</v>
      </c>
      <c r="H234" s="2" t="n">
        <v>6.66315956</v>
      </c>
      <c r="I234" s="2" t="n">
        <v>0.235374775</v>
      </c>
      <c r="J234" s="2" t="n">
        <v>2.938909518</v>
      </c>
      <c r="K234" s="2" t="n">
        <v>3.528592933</v>
      </c>
      <c r="M234" s="2" t="n">
        <v>2.382177932</v>
      </c>
      <c r="N234" s="2" t="n">
        <v>1.468872616</v>
      </c>
      <c r="O234" s="2" t="n">
        <v>2.421091617</v>
      </c>
      <c r="P234" s="2" t="n">
        <v>0.593025488</v>
      </c>
      <c r="Q234" s="2" t="n">
        <v>4.560640664</v>
      </c>
      <c r="R234" s="2" t="n">
        <v>5.773068597</v>
      </c>
      <c r="S234" s="2" t="n">
        <v>10.47974865</v>
      </c>
      <c r="T234" s="2" t="n">
        <v>4.203552447</v>
      </c>
      <c r="U234" s="2" t="n">
        <v>0.757317166</v>
      </c>
      <c r="V234" s="2" t="n">
        <v>1.721970123</v>
      </c>
      <c r="W234" s="2" t="n">
        <v>3.95274556</v>
      </c>
      <c r="X234" s="2" t="n">
        <v>3.479839902</v>
      </c>
      <c r="Y234" s="2" t="n">
        <v>8.096355279999999</v>
      </c>
      <c r="Z234" s="2" t="n">
        <v>1.552099532</v>
      </c>
      <c r="AA234" s="2" t="n">
        <v>1.400109726</v>
      </c>
      <c r="AB234" s="2" t="n">
        <v>1.975474592</v>
      </c>
      <c r="AC234" s="2" t="n">
        <v>2.751532469</v>
      </c>
      <c r="AD234" s="2" t="n">
        <v>1.808895602</v>
      </c>
      <c r="AE234" s="2" t="n">
        <v>0.881126993</v>
      </c>
      <c r="AF234" s="2" t="n">
        <v>7.354966164</v>
      </c>
      <c r="AH234" s="2" t="n">
        <v>2.720797279</v>
      </c>
      <c r="AI234" s="2" t="n">
        <v>3.413392911</v>
      </c>
      <c r="AJ234" s="2" t="n">
        <v>3.607410366</v>
      </c>
      <c r="AK234" s="2" t="n">
        <v>1.418927476</v>
      </c>
      <c r="AN234" s="2" t="n">
        <v>2.193625908</v>
      </c>
      <c r="AO234" s="2" t="n">
        <v>9.571870000000001</v>
      </c>
      <c r="AP234" s="2" t="n">
        <v>5.62687592</v>
      </c>
      <c r="AQ234" s="2" t="n">
        <v>6.03398762</v>
      </c>
      <c r="AR234" s="2" t="n">
        <v>11.1</v>
      </c>
      <c r="AS234" s="2" t="n">
        <v>7.959938306</v>
      </c>
      <c r="AT234" s="2" t="n">
        <v>4.223255243</v>
      </c>
      <c r="AU234" t="n">
        <v>11.942529791</v>
      </c>
    </row>
    <row r="235">
      <c r="A235" t="inlineStr">
        <is>
          <t>2005-Q3</t>
        </is>
      </c>
      <c r="B235" s="3" t="n">
        <v>38626</v>
      </c>
      <c r="C235" s="2" t="n">
        <v>3.114232786</v>
      </c>
      <c r="E235" s="2" t="n">
        <v>1.890494825</v>
      </c>
      <c r="F235" s="2" t="n">
        <v>3.033425786</v>
      </c>
      <c r="H235" s="2" t="n">
        <v>6.770945585</v>
      </c>
      <c r="I235" s="2" t="n">
        <v>1.283930039</v>
      </c>
      <c r="J235" s="2" t="n">
        <v>2.811266815</v>
      </c>
      <c r="K235" s="2" t="n">
        <v>3.55585132</v>
      </c>
      <c r="M235" s="2" t="n">
        <v>2.749714844</v>
      </c>
      <c r="N235" s="2" t="n">
        <v>1.721201126</v>
      </c>
      <c r="O235" s="2" t="n">
        <v>3.315905621</v>
      </c>
      <c r="P235" s="2" t="n">
        <v>0.648996724</v>
      </c>
      <c r="Q235" s="2" t="n">
        <v>4.112223046</v>
      </c>
      <c r="R235" s="2" t="n">
        <v>5.355503787</v>
      </c>
      <c r="S235" s="2" t="n">
        <v>5.776445444</v>
      </c>
      <c r="T235" s="2" t="n">
        <v>4.272324006</v>
      </c>
      <c r="U235" s="2" t="n">
        <v>1.491388124</v>
      </c>
      <c r="V235" s="2" t="n">
        <v>2.130298459</v>
      </c>
      <c r="W235" s="2" t="n">
        <v>5.091342447</v>
      </c>
      <c r="X235" s="2" t="n">
        <v>4.024538821</v>
      </c>
      <c r="Y235" s="2" t="n">
        <v>12.761230345</v>
      </c>
      <c r="Z235" s="2" t="n">
        <v>2.633328641</v>
      </c>
      <c r="AA235" s="2" t="n">
        <v>2.608579642</v>
      </c>
      <c r="AB235" s="2" t="n">
        <v>4.022687233</v>
      </c>
      <c r="AC235" s="2" t="n">
        <v>3.074429993</v>
      </c>
      <c r="AD235" s="2" t="n">
        <v>4.301790262</v>
      </c>
      <c r="AE235" s="2" t="n">
        <v>0.365490739</v>
      </c>
      <c r="AF235" s="2" t="n">
        <v>6.663002793</v>
      </c>
      <c r="AH235" s="2" t="n">
        <v>3.162102348</v>
      </c>
      <c r="AI235" s="2" t="n">
        <v>3.645045158</v>
      </c>
      <c r="AJ235" s="2" t="n">
        <v>3.447674589</v>
      </c>
      <c r="AK235" s="2" t="n">
        <v>1.953574506</v>
      </c>
      <c r="AN235" s="2" t="n">
        <v>3.330149115</v>
      </c>
      <c r="AO235" s="2" t="n">
        <v>8.495150000000001</v>
      </c>
      <c r="AP235" s="2" t="n">
        <v>5.344718432</v>
      </c>
      <c r="AQ235" s="2" t="n">
        <v>6.292683691</v>
      </c>
      <c r="AR235" s="2" t="n">
        <v>10.8</v>
      </c>
      <c r="AS235" s="2" t="n">
        <v>8.263382384</v>
      </c>
      <c r="AT235" s="2" t="n">
        <v>2.131553057</v>
      </c>
      <c r="AU235" t="n">
        <v>7.337698312</v>
      </c>
    </row>
    <row r="236">
      <c r="A236" t="inlineStr">
        <is>
          <t>2005-Q4</t>
        </is>
      </c>
      <c r="B236" s="3" t="n">
        <v>38718</v>
      </c>
      <c r="C236" s="2" t="n">
        <v>3.179303242</v>
      </c>
      <c r="E236" s="2" t="n">
        <v>2.307236791</v>
      </c>
      <c r="F236" s="2" t="n">
        <v>3.309946552</v>
      </c>
      <c r="H236" s="2" t="n">
        <v>6.813487959</v>
      </c>
      <c r="I236" s="2" t="n">
        <v>1.868182917</v>
      </c>
      <c r="J236" s="2" t="n">
        <v>2.042172351</v>
      </c>
      <c r="K236" s="2" t="n">
        <v>3.894805996</v>
      </c>
      <c r="M236" s="2" t="n">
        <v>1.51700612</v>
      </c>
      <c r="N236" s="2" t="n">
        <v>1.74881087</v>
      </c>
      <c r="O236" s="2" t="n">
        <v>4.469474676</v>
      </c>
      <c r="P236" s="2" t="n">
        <v>1.54047551</v>
      </c>
      <c r="Q236" s="2" t="n">
        <v>4.766227151</v>
      </c>
      <c r="R236" s="2" t="n">
        <v>6.195007851</v>
      </c>
      <c r="S236" s="2" t="n">
        <v>6.277517135</v>
      </c>
      <c r="T236" s="2" t="n">
        <v>4.826392146</v>
      </c>
      <c r="U236" s="2" t="n">
        <v>1.358700189</v>
      </c>
      <c r="V236" s="2" t="n">
        <v>2.50327809</v>
      </c>
      <c r="W236" s="2" t="n">
        <v>5.356820232</v>
      </c>
      <c r="X236" s="2" t="n">
        <v>2.614500582</v>
      </c>
      <c r="Y236" s="2" t="n">
        <v>14.209675222</v>
      </c>
      <c r="Z236" s="2" t="n">
        <v>2.992446891</v>
      </c>
      <c r="AA236" s="2" t="n">
        <v>3.03095707</v>
      </c>
      <c r="AB236" s="2" t="n">
        <v>3.242329983</v>
      </c>
      <c r="AC236" s="2" t="n">
        <v>3.165577566</v>
      </c>
      <c r="AD236" s="2" t="n">
        <v>5.106056611</v>
      </c>
      <c r="AE236" s="2" t="n">
        <v>0.79709233</v>
      </c>
      <c r="AF236" s="2" t="n">
        <v>6.593108496</v>
      </c>
      <c r="AH236" s="2" t="n">
        <v>2.996540995</v>
      </c>
      <c r="AI236" s="2" t="n">
        <v>2.865251649</v>
      </c>
      <c r="AJ236" s="2" t="n">
        <v>2.982672051</v>
      </c>
      <c r="AK236" s="2" t="n">
        <v>2.2151418</v>
      </c>
      <c r="AN236" s="2" t="n">
        <v>4.140108335</v>
      </c>
      <c r="AO236" s="2" t="n">
        <v>9.12449</v>
      </c>
      <c r="AP236" s="2" t="n">
        <v>4.929567638</v>
      </c>
      <c r="AQ236" s="2" t="n">
        <v>7.285694895</v>
      </c>
      <c r="AR236" s="2" t="n">
        <v>12.4</v>
      </c>
      <c r="AS236" s="2" t="n">
        <v>10.057769953</v>
      </c>
      <c r="AT236" s="2" t="n">
        <v>2.648333049</v>
      </c>
      <c r="AU236" t="n">
        <v>7.880680874</v>
      </c>
    </row>
    <row r="237">
      <c r="A237" t="inlineStr">
        <is>
          <t>2006-Q1</t>
        </is>
      </c>
      <c r="B237" s="3" t="n">
        <v>38808</v>
      </c>
      <c r="C237" s="2" t="n">
        <v>2.587395138</v>
      </c>
      <c r="E237" s="2" t="n">
        <v>2.397412528</v>
      </c>
      <c r="F237" s="2" t="n">
        <v>3.788607776</v>
      </c>
      <c r="H237" s="2" t="n">
        <v>6.782381969</v>
      </c>
      <c r="I237" s="2" t="n">
        <v>2.850319478</v>
      </c>
      <c r="J237" s="2" t="n">
        <v>3.700915407</v>
      </c>
      <c r="K237" s="2" t="n">
        <v>4.068499687</v>
      </c>
      <c r="M237" s="2" t="n">
        <v>3.030122397</v>
      </c>
      <c r="N237" s="2" t="n">
        <v>2.252582608</v>
      </c>
      <c r="O237" s="2" t="n">
        <v>4.125178131</v>
      </c>
      <c r="P237" s="2" t="n">
        <v>5.469142465</v>
      </c>
      <c r="Q237" s="2" t="n">
        <v>4.785445654</v>
      </c>
      <c r="R237" s="2" t="n">
        <v>5.968963202</v>
      </c>
      <c r="S237" s="2" t="n">
        <v>9.185705615</v>
      </c>
      <c r="T237" s="2" t="n">
        <v>5.985337676</v>
      </c>
      <c r="U237" s="2" t="n">
        <v>1.754284961</v>
      </c>
      <c r="V237" s="2" t="n">
        <v>2.133866012</v>
      </c>
      <c r="W237" s="2" t="n">
        <v>6.180250599</v>
      </c>
      <c r="X237" s="2" t="n">
        <v>5.925480608</v>
      </c>
      <c r="Y237" s="2" t="n">
        <v>10.736573187</v>
      </c>
      <c r="Z237" s="2" t="n">
        <v>4.633626837</v>
      </c>
      <c r="AA237" s="2" t="n">
        <v>3.34016397</v>
      </c>
      <c r="AB237" s="2" t="n">
        <v>2.236493581</v>
      </c>
      <c r="AC237" s="2" t="n">
        <v>3.435706304</v>
      </c>
      <c r="AD237" s="2" t="n">
        <v>5.523372833</v>
      </c>
      <c r="AE237" s="2" t="n">
        <v>0.845485679</v>
      </c>
      <c r="AF237" s="2" t="n">
        <v>7.776732876</v>
      </c>
      <c r="AH237" s="2" t="n">
        <v>4.127320287</v>
      </c>
      <c r="AI237" s="2" t="n">
        <v>3.386124039</v>
      </c>
      <c r="AJ237" s="2" t="n">
        <v>3.224857572</v>
      </c>
      <c r="AK237" s="2" t="n">
        <v>2.860313002</v>
      </c>
      <c r="AN237" s="2" t="n">
        <v>4.465007332</v>
      </c>
      <c r="AO237" s="2" t="n">
        <v>9.933770000000001</v>
      </c>
      <c r="AP237" s="2" t="n">
        <v>5.698443712</v>
      </c>
      <c r="AQ237" s="2" t="n">
        <v>7.478151816</v>
      </c>
      <c r="AR237" s="2" t="n">
        <v>12.5</v>
      </c>
      <c r="AS237" s="2" t="n">
        <v>6.412512747</v>
      </c>
      <c r="AT237" s="2" t="n">
        <v>3.603532258</v>
      </c>
      <c r="AU237" t="n">
        <v>7.584022525</v>
      </c>
    </row>
    <row r="238">
      <c r="A238" t="inlineStr">
        <is>
          <t>2006-Q2</t>
        </is>
      </c>
      <c r="B238" s="3" t="n">
        <v>38899</v>
      </c>
      <c r="C238" s="2" t="n">
        <v>2.306736855</v>
      </c>
      <c r="E238" s="2" t="n">
        <v>2.148910077</v>
      </c>
      <c r="F238" s="2" t="n">
        <v>3.094238728</v>
      </c>
      <c r="H238" s="2" t="n">
        <v>7.495183479</v>
      </c>
      <c r="I238" s="2" t="n">
        <v>4.076210279</v>
      </c>
      <c r="J238" s="2" t="n">
        <v>4.73163812</v>
      </c>
      <c r="K238" s="2" t="n">
        <v>4.158393396</v>
      </c>
      <c r="M238" s="2" t="n">
        <v>4.532839963</v>
      </c>
      <c r="N238" s="2" t="n">
        <v>3.08501535</v>
      </c>
      <c r="O238" s="2" t="n">
        <v>3.194001732</v>
      </c>
      <c r="P238" s="2" t="n">
        <v>5.54199109</v>
      </c>
      <c r="Q238" s="2" t="n">
        <v>4.13129712</v>
      </c>
      <c r="R238" s="2" t="n">
        <v>4.280943307</v>
      </c>
      <c r="S238" s="2" t="n">
        <v>5.611977389</v>
      </c>
      <c r="T238" s="2" t="n">
        <v>6.828779763</v>
      </c>
      <c r="U238" s="2" t="n">
        <v>1.759049676</v>
      </c>
      <c r="V238" s="2" t="n">
        <v>1.512194768</v>
      </c>
      <c r="W238" s="2" t="n">
        <v>4.975060286</v>
      </c>
      <c r="X238" s="2" t="n">
        <v>4.615998656</v>
      </c>
      <c r="Y238" s="2" t="n">
        <v>13.39401242</v>
      </c>
      <c r="Z238" s="2" t="n">
        <v>5.359686777</v>
      </c>
      <c r="AA238" s="2" t="n">
        <v>4.154503032</v>
      </c>
      <c r="AB238" s="2" t="n">
        <v>1.83032435</v>
      </c>
      <c r="AC238" s="2" t="n">
        <v>3.43781557</v>
      </c>
      <c r="AD238" s="2" t="n">
        <v>7.791330924</v>
      </c>
      <c r="AE238" s="2" t="n">
        <v>1.444794216</v>
      </c>
      <c r="AF238" s="2" t="n">
        <v>8.039608558999999</v>
      </c>
      <c r="AH238" s="2" t="n">
        <v>5.185483023</v>
      </c>
      <c r="AI238" s="2" t="n">
        <v>2.221833174</v>
      </c>
      <c r="AJ238" s="2" t="n">
        <v>2.977269026</v>
      </c>
      <c r="AK238" s="2" t="n">
        <v>3.417385771</v>
      </c>
      <c r="AN238" s="2" t="n">
        <v>4.130191389</v>
      </c>
      <c r="AO238" s="2" t="n">
        <v>8.08975</v>
      </c>
      <c r="AP238" s="2" t="n">
        <v>5.309830361</v>
      </c>
      <c r="AQ238" s="2" t="n">
        <v>7.904591578</v>
      </c>
      <c r="AR238" s="2" t="n">
        <v>13.7</v>
      </c>
      <c r="AS238" s="2" t="n">
        <v>9.192999221000001</v>
      </c>
      <c r="AT238" s="2" t="n">
        <v>2.440055243</v>
      </c>
      <c r="AU238" t="n">
        <v>6.626753222</v>
      </c>
    </row>
    <row r="239">
      <c r="A239" t="inlineStr">
        <is>
          <t>2006-Q3</t>
        </is>
      </c>
      <c r="B239" s="3" t="n">
        <v>38991</v>
      </c>
      <c r="C239" s="2" t="n">
        <v>2.721144168</v>
      </c>
      <c r="E239" s="2" t="n">
        <v>2.642265239</v>
      </c>
      <c r="F239" s="2" t="n">
        <v>2.144768711</v>
      </c>
      <c r="H239" s="2" t="n">
        <v>7.069406839</v>
      </c>
      <c r="I239" s="2" t="n">
        <v>3.983992369</v>
      </c>
      <c r="J239" s="2" t="n">
        <v>3.917567281</v>
      </c>
      <c r="K239" s="2" t="n">
        <v>4.119341277</v>
      </c>
      <c r="M239" s="2" t="n">
        <v>4.020140348</v>
      </c>
      <c r="N239" s="2" t="n">
        <v>2.578768236</v>
      </c>
      <c r="O239" s="2" t="n">
        <v>2.211737472</v>
      </c>
      <c r="P239" s="2" t="n">
        <v>4.591190257</v>
      </c>
      <c r="Q239" s="2" t="n">
        <v>4.000116505</v>
      </c>
      <c r="R239" s="2" t="n">
        <v>6.455037692</v>
      </c>
      <c r="S239" s="2" t="n">
        <v>5.697449288</v>
      </c>
      <c r="T239" s="2" t="n">
        <v>4.751521155</v>
      </c>
      <c r="U239" s="2" t="n">
        <v>1.456122486</v>
      </c>
      <c r="V239" s="2" t="n">
        <v>0.29395158</v>
      </c>
      <c r="W239" s="2" t="n">
        <v>5.08739741</v>
      </c>
      <c r="X239" s="2" t="n">
        <v>3.819754172</v>
      </c>
      <c r="Y239" s="2" t="n">
        <v>11.704550684</v>
      </c>
      <c r="Z239" s="2" t="n">
        <v>4.713220016</v>
      </c>
      <c r="AA239" s="2" t="n">
        <v>3.389040595</v>
      </c>
      <c r="AB239" s="2" t="n">
        <v>2.028870433</v>
      </c>
      <c r="AC239" s="2" t="n">
        <v>2.871039312</v>
      </c>
      <c r="AD239" s="2" t="n">
        <v>7.493596548</v>
      </c>
      <c r="AE239" s="2" t="n">
        <v>1.810916905</v>
      </c>
      <c r="AF239" s="2" t="n">
        <v>8.342803570999999</v>
      </c>
      <c r="AH239" s="2" t="n">
        <v>5.147988322</v>
      </c>
      <c r="AI239" s="2" t="n">
        <v>2.330260606</v>
      </c>
      <c r="AJ239" s="2" t="n">
        <v>2.328291152</v>
      </c>
      <c r="AK239" s="2" t="n">
        <v>3.229238988</v>
      </c>
      <c r="AN239" s="2" t="n">
        <v>3.814199305</v>
      </c>
      <c r="AO239" s="2" t="n">
        <v>10.12762</v>
      </c>
      <c r="AP239" s="2" t="n">
        <v>5.328006112</v>
      </c>
      <c r="AQ239" s="2" t="n">
        <v>8.470743569</v>
      </c>
      <c r="AR239" s="2" t="n">
        <v>12.2</v>
      </c>
      <c r="AS239" s="2" t="n">
        <v>6.861392983</v>
      </c>
      <c r="AT239" s="2" t="n">
        <v>4.945088226</v>
      </c>
      <c r="AU239" t="n">
        <v>8.866752657999999</v>
      </c>
    </row>
    <row r="240">
      <c r="A240" t="inlineStr">
        <is>
          <t>2006-Q4</t>
        </is>
      </c>
      <c r="B240" s="3" t="n">
        <v>39083</v>
      </c>
      <c r="C240" s="2" t="n">
        <v>3.197116849</v>
      </c>
      <c r="E240" s="2" t="n">
        <v>3.017495577</v>
      </c>
      <c r="F240" s="2" t="n">
        <v>1.547877248</v>
      </c>
      <c r="H240" s="2" t="n">
        <v>6.493653413</v>
      </c>
      <c r="I240" s="2" t="n">
        <v>5.063854346</v>
      </c>
      <c r="J240" s="2" t="n">
        <v>3.300487701</v>
      </c>
      <c r="K240" s="2" t="n">
        <v>4.065349107</v>
      </c>
      <c r="M240" s="2" t="n">
        <v>4.536379989</v>
      </c>
      <c r="N240" s="2" t="n">
        <v>2.595647561</v>
      </c>
      <c r="O240" s="2" t="n">
        <v>1.299994552</v>
      </c>
      <c r="P240" s="2" t="n">
        <v>6.716217109</v>
      </c>
      <c r="Q240" s="2" t="n">
        <v>3.798531752</v>
      </c>
      <c r="R240" s="2" t="n">
        <v>3.592551864</v>
      </c>
      <c r="S240" s="2" t="n">
        <v>5.004576498</v>
      </c>
      <c r="T240" s="2" t="n">
        <v>4.463461432</v>
      </c>
      <c r="U240" s="2" t="n">
        <v>2.550057485</v>
      </c>
      <c r="V240" s="2" t="n">
        <v>1.456553299</v>
      </c>
      <c r="W240" s="2" t="n">
        <v>4.844886613</v>
      </c>
      <c r="X240" s="2" t="n">
        <v>6.343262733</v>
      </c>
      <c r="Y240" s="2" t="n">
        <v>12.555527067</v>
      </c>
      <c r="Z240" s="2" t="n">
        <v>3.300085899</v>
      </c>
      <c r="AA240" s="2" t="n">
        <v>3.588306691</v>
      </c>
      <c r="AB240" s="2" t="n">
        <v>3.66305496</v>
      </c>
      <c r="AC240" s="2" t="n">
        <v>3.070768827</v>
      </c>
      <c r="AD240" s="2" t="n">
        <v>3.970213095</v>
      </c>
      <c r="AE240" s="2" t="n">
        <v>2.39958247</v>
      </c>
      <c r="AF240" s="2" t="n">
        <v>9.761681973</v>
      </c>
      <c r="AH240" s="2" t="n">
        <v>5.105642982</v>
      </c>
      <c r="AI240" s="2" t="n">
        <v>3.686237589</v>
      </c>
      <c r="AJ240" s="2" t="n">
        <v>2.608901984</v>
      </c>
      <c r="AK240" s="2" t="n">
        <v>3.784395262</v>
      </c>
      <c r="AN240" s="2" t="n">
        <v>4.180307795</v>
      </c>
      <c r="AO240" s="2" t="n">
        <v>9.25047</v>
      </c>
      <c r="AP240" s="2" t="n">
        <v>6.074198857</v>
      </c>
      <c r="AQ240" s="2" t="n">
        <v>8.296872165</v>
      </c>
      <c r="AR240" s="2" t="n">
        <v>12.5</v>
      </c>
      <c r="AS240" s="2" t="n">
        <v>5.777239084</v>
      </c>
      <c r="AT240" s="2" t="n">
        <v>4.852334083</v>
      </c>
      <c r="AU240" t="n">
        <v>9.068728047</v>
      </c>
    </row>
    <row r="241">
      <c r="A241" t="inlineStr">
        <is>
          <t>2007-Q1</t>
        </is>
      </c>
      <c r="B241" s="3" t="n">
        <v>39173</v>
      </c>
      <c r="C241" s="2" t="n">
        <v>4.504809725</v>
      </c>
      <c r="E241" s="2" t="n">
        <v>3.839182017</v>
      </c>
      <c r="F241" s="2" t="n">
        <v>1.375255855</v>
      </c>
      <c r="H241" s="2" t="n">
        <v>6.415747103</v>
      </c>
      <c r="I241" s="2" t="n">
        <v>4.137000847</v>
      </c>
      <c r="J241" s="2" t="n">
        <v>2.356446554</v>
      </c>
      <c r="K241" s="2" t="n">
        <v>3.82836033</v>
      </c>
      <c r="M241" s="2" t="n">
        <v>3.963126531</v>
      </c>
      <c r="N241" s="2" t="n">
        <v>2.572900503</v>
      </c>
      <c r="O241" s="2" t="n">
        <v>1.781767626</v>
      </c>
      <c r="P241" s="2" t="n">
        <v>2.537298304</v>
      </c>
      <c r="Q241" s="2" t="n">
        <v>1.53541674</v>
      </c>
      <c r="R241" s="2" t="n">
        <v>7.788665418</v>
      </c>
      <c r="S241" s="2" t="n">
        <v>7.44643438</v>
      </c>
      <c r="T241" s="2" t="n">
        <v>4.784542224</v>
      </c>
      <c r="U241" s="2" t="n">
        <v>2.255182981</v>
      </c>
      <c r="V241" s="2" t="n">
        <v>1.970059397</v>
      </c>
      <c r="W241" s="2" t="n">
        <v>4.880914676</v>
      </c>
      <c r="X241" s="2" t="n">
        <v>7.749689345</v>
      </c>
      <c r="Y241" s="2" t="n">
        <v>15.227268196</v>
      </c>
      <c r="Z241" s="2" t="n">
        <v>2.238766914</v>
      </c>
      <c r="AA241" s="2" t="n">
        <v>4.125437165</v>
      </c>
      <c r="AB241" s="2" t="n">
        <v>3.081308592</v>
      </c>
      <c r="AC241" s="2" t="n">
        <v>2.724235916</v>
      </c>
      <c r="AD241" s="2" t="n">
        <v>7.131890915</v>
      </c>
      <c r="AE241" s="2" t="n">
        <v>2.638146476</v>
      </c>
      <c r="AF241" s="2" t="n">
        <v>9.488126512999999</v>
      </c>
      <c r="AH241" s="2" t="n">
        <v>4.53199917</v>
      </c>
      <c r="AI241" s="2" t="n">
        <v>3.220977993</v>
      </c>
      <c r="AJ241" s="2" t="n">
        <v>1.540715325</v>
      </c>
      <c r="AK241" s="2" t="n">
        <v>3.529234968</v>
      </c>
      <c r="AN241" s="2" t="n">
        <v>3.622444112</v>
      </c>
      <c r="AO241" s="2" t="n">
        <v>9.557230000000001</v>
      </c>
      <c r="AP241" s="2" t="n">
        <v>5.935514698</v>
      </c>
      <c r="AQ241" s="2" t="n">
        <v>8.172613295</v>
      </c>
      <c r="AR241" s="2" t="n">
        <v>13.8</v>
      </c>
      <c r="AS241" s="2" t="n">
        <v>6.486233951</v>
      </c>
      <c r="AT241" s="2" t="n">
        <v>5.144024892</v>
      </c>
      <c r="AU241" t="n">
        <v>8.768028728000001</v>
      </c>
    </row>
    <row r="242">
      <c r="A242" t="inlineStr">
        <is>
          <t>2007-Q2</t>
        </is>
      </c>
      <c r="B242" s="3" t="n">
        <v>39264</v>
      </c>
      <c r="C242" s="2" t="n">
        <v>4.939584899</v>
      </c>
      <c r="E242" s="2" t="n">
        <v>3.944579043</v>
      </c>
      <c r="F242" s="2" t="n">
        <v>2.304651418</v>
      </c>
      <c r="H242" s="2" t="n">
        <v>5.178002909</v>
      </c>
      <c r="I242" s="2" t="n">
        <v>3.231288249</v>
      </c>
      <c r="J242" s="2" t="n">
        <v>-1.053004057</v>
      </c>
      <c r="K242" s="2" t="n">
        <v>3.75333511</v>
      </c>
      <c r="M242" s="2" t="n">
        <v>5.573297422</v>
      </c>
      <c r="N242" s="2" t="n">
        <v>2.328413052</v>
      </c>
      <c r="O242" s="2" t="n">
        <v>2.079795806</v>
      </c>
      <c r="P242" s="2" t="n">
        <v>5.19988242</v>
      </c>
      <c r="Q242" s="2" t="n">
        <v>0.081680607</v>
      </c>
      <c r="R242" s="2" t="n">
        <v>5.876722982</v>
      </c>
      <c r="S242" s="2" t="n">
        <v>8.097602883</v>
      </c>
      <c r="T242" s="2" t="n">
        <v>4.717011451</v>
      </c>
      <c r="U242" s="2" t="n">
        <v>1.699157458</v>
      </c>
      <c r="V242" s="2" t="n">
        <v>1.856771964</v>
      </c>
      <c r="W242" s="2" t="n">
        <v>5.921792787</v>
      </c>
      <c r="X242" s="2" t="n">
        <v>9.943371093</v>
      </c>
      <c r="Y242" s="2" t="n">
        <v>12.072077491</v>
      </c>
      <c r="Z242" s="2" t="n">
        <v>2.021132368</v>
      </c>
      <c r="AA242" s="2" t="n">
        <v>3.114534741</v>
      </c>
      <c r="AB242" s="2" t="n">
        <v>2.951060521</v>
      </c>
      <c r="AC242" s="2" t="n">
        <v>2.70213008</v>
      </c>
      <c r="AD242" s="2" t="n">
        <v>5.917059468</v>
      </c>
      <c r="AE242" s="2" t="n">
        <v>2.10749605</v>
      </c>
      <c r="AF242" s="2" t="n">
        <v>9.638379623000001</v>
      </c>
      <c r="AH242" s="2" t="n">
        <v>3.365260827</v>
      </c>
      <c r="AI242" s="2" t="n">
        <v>3.686470685</v>
      </c>
      <c r="AJ242" s="2" t="n">
        <v>1.938641595</v>
      </c>
      <c r="AK242" s="2" t="n">
        <v>3.131989274</v>
      </c>
      <c r="AN242" s="2" t="n">
        <v>4.224333201</v>
      </c>
      <c r="AO242" s="2" t="n">
        <v>10.72776</v>
      </c>
      <c r="AP242" s="2" t="n">
        <v>5.307978105</v>
      </c>
      <c r="AQ242" s="2" t="n">
        <v>8.808004554</v>
      </c>
      <c r="AR242" s="2" t="n">
        <v>15</v>
      </c>
      <c r="AS242" s="2" t="n">
        <v>3.369974427</v>
      </c>
      <c r="AT242" s="2" t="n">
        <v>6.518043352</v>
      </c>
      <c r="AU242" t="n">
        <v>9.817806186</v>
      </c>
    </row>
    <row r="243">
      <c r="A243" t="inlineStr">
        <is>
          <t>2007-Q3</t>
        </is>
      </c>
      <c r="B243" s="3" t="n">
        <v>39356</v>
      </c>
      <c r="C243" s="2" t="n">
        <v>4.556667084</v>
      </c>
      <c r="E243" s="2" t="n">
        <v>3.832958079</v>
      </c>
      <c r="F243" s="2" t="n">
        <v>2.448100483</v>
      </c>
      <c r="H243" s="2" t="n">
        <v>5.37730355</v>
      </c>
      <c r="I243" s="2" t="n">
        <v>2.952319578</v>
      </c>
      <c r="J243" s="2" t="n">
        <v>0.547088857</v>
      </c>
      <c r="K243" s="2" t="n">
        <v>3.586420235</v>
      </c>
      <c r="M243" s="2" t="n">
        <v>5.53988642</v>
      </c>
      <c r="N243" s="2" t="n">
        <v>2.683082733</v>
      </c>
      <c r="O243" s="2" t="n">
        <v>2.765303609</v>
      </c>
      <c r="P243" s="2" t="n">
        <v>4.047603993</v>
      </c>
      <c r="Q243" s="2" t="n">
        <v>0.006047828</v>
      </c>
      <c r="R243" s="2" t="n">
        <v>1.800853235</v>
      </c>
      <c r="S243" s="2" t="n">
        <v>7.315938588</v>
      </c>
      <c r="T243" s="2" t="n">
        <v>7.448063467</v>
      </c>
      <c r="U243" s="2" t="n">
        <v>1.471042961</v>
      </c>
      <c r="V243" s="2" t="n">
        <v>1.509582913</v>
      </c>
      <c r="W243" s="2" t="n">
        <v>5.463010624</v>
      </c>
      <c r="X243" s="2" t="n">
        <v>9.081289744999999</v>
      </c>
      <c r="Y243" s="2" t="n">
        <v>10.506633996</v>
      </c>
      <c r="Z243" s="2" t="n">
        <v>2.336162617</v>
      </c>
      <c r="AA243" s="2" t="n">
        <v>3.646875004</v>
      </c>
      <c r="AB243" s="2" t="n">
        <v>3.212848775</v>
      </c>
      <c r="AC243" s="2" t="n">
        <v>2.863920141</v>
      </c>
      <c r="AD243" s="2" t="n">
        <v>5.96510583</v>
      </c>
      <c r="AE243" s="2" t="n">
        <v>2.433312185</v>
      </c>
      <c r="AF243" s="2" t="n">
        <v>10.11506484</v>
      </c>
      <c r="AH243" s="2" t="n">
        <v>2.962297234</v>
      </c>
      <c r="AI243" s="2" t="n">
        <v>3.832318925</v>
      </c>
      <c r="AJ243" s="2" t="n">
        <v>2.39855985</v>
      </c>
      <c r="AK243" s="2" t="n">
        <v>2.976692269</v>
      </c>
      <c r="AN243" s="2" t="n">
        <v>4.319904384</v>
      </c>
      <c r="AO243" s="2" t="n">
        <v>9.11082</v>
      </c>
      <c r="AP243" s="2" t="n">
        <v>5.090674086</v>
      </c>
      <c r="AQ243" s="2" t="n">
        <v>8.711191776</v>
      </c>
      <c r="AR243" s="2" t="n">
        <v>14.3</v>
      </c>
      <c r="AS243" s="2" t="n">
        <v>4.765524045</v>
      </c>
      <c r="AT243" s="2" t="n">
        <v>5.891229066</v>
      </c>
      <c r="AU243" t="n">
        <v>8.25745227</v>
      </c>
    </row>
    <row r="244">
      <c r="A244" t="inlineStr">
        <is>
          <t>2007-Q4</t>
        </is>
      </c>
      <c r="B244" s="3" t="n">
        <v>39448</v>
      </c>
      <c r="C244" s="2" t="n">
        <v>3.723980081</v>
      </c>
      <c r="E244" s="2" t="n">
        <v>3.083887246</v>
      </c>
      <c r="F244" s="2" t="n">
        <v>2.15730178</v>
      </c>
      <c r="H244" s="2" t="n">
        <v>5.280013098</v>
      </c>
      <c r="I244" s="2" t="n">
        <v>2.091368972</v>
      </c>
      <c r="J244" s="2" t="n">
        <v>1.834574414</v>
      </c>
      <c r="K244" s="2" t="n">
        <v>3.259496584</v>
      </c>
      <c r="M244" s="2" t="n">
        <v>6.09991302</v>
      </c>
      <c r="N244" s="2" t="n">
        <v>2.109453513</v>
      </c>
      <c r="O244" s="2" t="n">
        <v>2.810766395</v>
      </c>
      <c r="P244" s="2" t="n">
        <v>0.964196719</v>
      </c>
      <c r="Q244" s="2" t="n">
        <v>-0.488475561</v>
      </c>
      <c r="R244" s="2" t="n">
        <v>5.830359579</v>
      </c>
      <c r="S244" s="2" t="n">
        <v>10.888773031</v>
      </c>
      <c r="T244" s="2" t="n">
        <v>7.426993271</v>
      </c>
      <c r="U244" s="2" t="n">
        <v>-0.015639708</v>
      </c>
      <c r="V244" s="2" t="n">
        <v>0.583777268</v>
      </c>
      <c r="W244" s="2" t="n">
        <v>6.904624178</v>
      </c>
      <c r="X244" s="2" t="n">
        <v>6.628043244</v>
      </c>
      <c r="Y244" s="2" t="n">
        <v>4.552594847</v>
      </c>
      <c r="Z244" s="2" t="n">
        <v>2.52725103</v>
      </c>
      <c r="AA244" s="2" t="n">
        <v>4.190193103</v>
      </c>
      <c r="AB244" s="2" t="n">
        <v>2.460601429</v>
      </c>
      <c r="AC244" s="2" t="n">
        <v>2.605512367</v>
      </c>
      <c r="AD244" s="2" t="n">
        <v>9.022621751000001</v>
      </c>
      <c r="AE244" s="2" t="n">
        <v>2.846505813</v>
      </c>
      <c r="AF244" s="2" t="n">
        <v>13.922139502</v>
      </c>
      <c r="AH244" s="2" t="n">
        <v>3.425562254</v>
      </c>
      <c r="AI244" s="2" t="n">
        <v>3.070089552</v>
      </c>
      <c r="AJ244" s="2" t="n">
        <v>2.160883208</v>
      </c>
      <c r="AK244" s="2" t="n">
        <v>2.343160711</v>
      </c>
      <c r="AN244" s="2" t="n">
        <v>4.072207287</v>
      </c>
      <c r="AO244" s="2" t="n">
        <v>10.89759</v>
      </c>
      <c r="AP244" s="2" t="n">
        <v>5.125998106</v>
      </c>
      <c r="AQ244" s="2" t="n">
        <v>10.092326711</v>
      </c>
      <c r="AR244" s="2" t="n">
        <v>13.9</v>
      </c>
      <c r="AS244" s="2" t="n">
        <v>5.968187251</v>
      </c>
      <c r="AT244" s="2" t="n">
        <v>6.250167541</v>
      </c>
      <c r="AU244" t="n">
        <v>9.195859</v>
      </c>
    </row>
    <row r="245">
      <c r="A245" t="inlineStr">
        <is>
          <t>2008-Q1</t>
        </is>
      </c>
      <c r="B245" s="3" t="n">
        <v>39539</v>
      </c>
      <c r="C245" s="2" t="n">
        <v>3.371580414</v>
      </c>
      <c r="E245" s="2" t="n">
        <v>2.082244476</v>
      </c>
      <c r="F245" s="2" t="n">
        <v>1.585825708</v>
      </c>
      <c r="H245" s="2" t="n">
        <v>4.086643983</v>
      </c>
      <c r="I245" s="2" t="n">
        <v>2.655653474</v>
      </c>
      <c r="J245" s="2" t="n">
        <v>1.45612883</v>
      </c>
      <c r="K245" s="2" t="n">
        <v>2.544256265</v>
      </c>
      <c r="M245" s="2" t="n">
        <v>3.960451139</v>
      </c>
      <c r="N245" s="2" t="n">
        <v>1.761858552</v>
      </c>
      <c r="O245" s="2" t="n">
        <v>2.397107021</v>
      </c>
      <c r="P245" s="2" t="n">
        <v>2.385711643</v>
      </c>
      <c r="Q245" s="2" t="n">
        <v>1.801450138</v>
      </c>
      <c r="R245" s="2" t="n">
        <v>-2.679954155</v>
      </c>
      <c r="S245" s="2" t="n">
        <v>6.07380934</v>
      </c>
      <c r="T245" s="2" t="n">
        <v>6.070431857</v>
      </c>
      <c r="U245" s="2" t="n">
        <v>1.047268421</v>
      </c>
      <c r="V245" s="2" t="n">
        <v>0.286461395</v>
      </c>
      <c r="W245" s="2" t="n">
        <v>5.567555979</v>
      </c>
      <c r="X245" s="2" t="n">
        <v>2.167060543</v>
      </c>
      <c r="Y245" s="2" t="n">
        <v>4.578925826</v>
      </c>
      <c r="Z245" s="2" t="n">
        <v>1.639263996</v>
      </c>
      <c r="AA245" s="2" t="n">
        <v>3.347400249</v>
      </c>
      <c r="AB245" s="2" t="n">
        <v>1.097407798</v>
      </c>
      <c r="AC245" s="2" t="n">
        <v>2.088156307</v>
      </c>
      <c r="AD245" s="2" t="n">
        <v>6.237078993</v>
      </c>
      <c r="AE245" s="2" t="n">
        <v>1.783361064</v>
      </c>
      <c r="AF245" s="2" t="n">
        <v>8.467043713000001</v>
      </c>
      <c r="AH245" s="2" t="n">
        <v>1.662985591</v>
      </c>
      <c r="AI245" s="2" t="n">
        <v>1.530848828</v>
      </c>
      <c r="AJ245" s="2" t="n">
        <v>1.446803001</v>
      </c>
      <c r="AK245" s="2" t="n">
        <v>2.149442821</v>
      </c>
      <c r="AN245" s="2" t="n">
        <v>4.392128543</v>
      </c>
      <c r="AO245" s="2" t="n">
        <v>8.53763</v>
      </c>
      <c r="AP245" s="2" t="n">
        <v>3.880936584</v>
      </c>
      <c r="AQ245" s="2" t="n">
        <v>11.000110756</v>
      </c>
      <c r="AR245" s="2" t="n">
        <v>11.5</v>
      </c>
      <c r="AS245" s="2" t="n">
        <v>6.263136295</v>
      </c>
      <c r="AT245" s="2" t="n">
        <v>5.379380374</v>
      </c>
      <c r="AU245" t="n">
        <v>7.683316628</v>
      </c>
    </row>
    <row r="246">
      <c r="A246" t="inlineStr">
        <is>
          <t>2008-Q2</t>
        </is>
      </c>
      <c r="B246" s="3" t="n">
        <v>39630</v>
      </c>
      <c r="C246" s="2" t="n">
        <v>3.009134282</v>
      </c>
      <c r="E246" s="2" t="n">
        <v>1.682569743</v>
      </c>
      <c r="F246" s="2" t="n">
        <v>0.974880143</v>
      </c>
      <c r="H246" s="2" t="n">
        <v>3.914062455</v>
      </c>
      <c r="I246" s="2" t="n">
        <v>1.565048592</v>
      </c>
      <c r="J246" s="2" t="n">
        <v>0.972250724</v>
      </c>
      <c r="K246" s="2" t="n">
        <v>1.74439843</v>
      </c>
      <c r="M246" s="2" t="n">
        <v>1.304736046</v>
      </c>
      <c r="N246" s="2" t="n">
        <v>0.5574682480000001</v>
      </c>
      <c r="O246" s="2" t="n">
        <v>1.253178505</v>
      </c>
      <c r="P246" s="2" t="n">
        <v>-1.147594182</v>
      </c>
      <c r="Q246" s="2" t="n">
        <v>2.445033427</v>
      </c>
      <c r="R246" s="2" t="n">
        <v>-3.641577717</v>
      </c>
      <c r="S246" s="2" t="n">
        <v>4.071273022</v>
      </c>
      <c r="T246" s="2" t="n">
        <v>4.421491775</v>
      </c>
      <c r="U246" s="2" t="n">
        <v>-0.002339856</v>
      </c>
      <c r="V246" s="2" t="n">
        <v>-0.334410956</v>
      </c>
      <c r="W246" s="2" t="n">
        <v>4.315216973</v>
      </c>
      <c r="X246" s="2" t="n">
        <v>-0.548222183</v>
      </c>
      <c r="Y246" s="2" t="n">
        <v>-1.093174277</v>
      </c>
      <c r="Z246" s="2" t="n">
        <v>1.591644569</v>
      </c>
      <c r="AA246" s="2" t="n">
        <v>3.327802565</v>
      </c>
      <c r="AB246" s="2" t="n">
        <v>1.1493647</v>
      </c>
      <c r="AC246" s="2" t="n">
        <v>1.436449281</v>
      </c>
      <c r="AD246" s="2" t="n">
        <v>5.295218609</v>
      </c>
      <c r="AE246" s="2" t="n">
        <v>0.835148152</v>
      </c>
      <c r="AF246" s="2" t="n">
        <v>7.165134427</v>
      </c>
      <c r="AH246" s="2" t="n">
        <v>1.033177807</v>
      </c>
      <c r="AI246" s="2" t="n">
        <v>0.309344292</v>
      </c>
      <c r="AJ246" s="2" t="n">
        <v>1.380132559</v>
      </c>
      <c r="AK246" s="2" t="n">
        <v>1.109861418</v>
      </c>
      <c r="AN246" s="2" t="n">
        <v>3.79828007</v>
      </c>
      <c r="AO246" s="2" t="n">
        <v>6.97469</v>
      </c>
      <c r="AP246" s="2" t="n">
        <v>4.294481399</v>
      </c>
      <c r="AQ246" s="2" t="n">
        <v>8.940647999999999</v>
      </c>
      <c r="AR246" s="2" t="n">
        <v>10.9</v>
      </c>
      <c r="AS246" s="2" t="n">
        <v>2.460997175</v>
      </c>
      <c r="AT246" s="2" t="n">
        <v>6.17964787</v>
      </c>
      <c r="AU246" t="n">
        <v>6.028109172</v>
      </c>
    </row>
    <row r="247">
      <c r="A247" t="inlineStr">
        <is>
          <t>2008-Q3</t>
        </is>
      </c>
      <c r="B247" s="3" t="n">
        <v>39722</v>
      </c>
      <c r="C247" s="2" t="n">
        <v>2.639586994</v>
      </c>
      <c r="E247" s="2" t="n">
        <v>0.31390366</v>
      </c>
      <c r="F247" s="2" t="n">
        <v>1.377281448</v>
      </c>
      <c r="H247" s="2" t="n">
        <v>2.583955608</v>
      </c>
      <c r="I247" s="2" t="n">
        <v>0.408135944</v>
      </c>
      <c r="J247" s="2" t="n">
        <v>-0.551895439</v>
      </c>
      <c r="K247" s="2" t="n">
        <v>0.7842644600000001</v>
      </c>
      <c r="M247" s="2" t="n">
        <v>0.729492064</v>
      </c>
      <c r="N247" s="2" t="n">
        <v>-0.078914051</v>
      </c>
      <c r="O247" s="2" t="n">
        <v>-1.085525624</v>
      </c>
      <c r="P247" s="2" t="n">
        <v>-0.624737981</v>
      </c>
      <c r="Q247" s="2" t="n">
        <v>1.694158478</v>
      </c>
      <c r="R247" s="2" t="n">
        <v>-2.127136462</v>
      </c>
      <c r="S247" s="2" t="n">
        <v>-1.076496937</v>
      </c>
      <c r="T247" s="2" t="n">
        <v>2.64689178</v>
      </c>
      <c r="U247" s="2" t="n">
        <v>-1.368930022</v>
      </c>
      <c r="V247" s="2" t="n">
        <v>-1.039280616</v>
      </c>
      <c r="W247" s="2" t="n">
        <v>3.946152422</v>
      </c>
      <c r="X247" s="2" t="n">
        <v>-1.729904462</v>
      </c>
      <c r="Y247" s="2" t="n">
        <v>-6.802028549</v>
      </c>
      <c r="Z247" s="2" t="n">
        <v>1.257420442</v>
      </c>
      <c r="AA247" s="2" t="n">
        <v>2.061055447</v>
      </c>
      <c r="AB247" s="2" t="n">
        <v>-0.314672976</v>
      </c>
      <c r="AC247" s="2" t="n">
        <v>0.398764972</v>
      </c>
      <c r="AD247" s="2" t="n">
        <v>3.189583068</v>
      </c>
      <c r="AE247" s="2" t="n">
        <v>0.544806431</v>
      </c>
      <c r="AF247" s="2" t="n">
        <v>6.150823236</v>
      </c>
      <c r="AH247" s="2" t="n">
        <v>-0.217268314</v>
      </c>
      <c r="AI247" s="2" t="n">
        <v>-0.808540086</v>
      </c>
      <c r="AJ247" s="2" t="n">
        <v>0.242202378</v>
      </c>
      <c r="AK247" s="2" t="n">
        <v>0.142503444</v>
      </c>
      <c r="AN247" s="2" t="n">
        <v>3.233663756</v>
      </c>
      <c r="AO247" s="2" t="n">
        <v>6.00342</v>
      </c>
      <c r="AP247" s="2" t="n">
        <v>3.332732273</v>
      </c>
      <c r="AQ247" s="2" t="n">
        <v>5.001309203</v>
      </c>
      <c r="AR247" s="2" t="n">
        <v>9.5</v>
      </c>
      <c r="AS247" s="2" t="n">
        <v>0.012943583</v>
      </c>
      <c r="AT247" s="2" t="n">
        <v>6.60185674</v>
      </c>
      <c r="AU247" t="n">
        <v>5.426339346</v>
      </c>
    </row>
    <row r="248">
      <c r="A248" t="inlineStr">
        <is>
          <t>2008-Q4</t>
        </is>
      </c>
      <c r="B248" s="3" t="n">
        <v>39814</v>
      </c>
      <c r="C248" s="2" t="n">
        <v>1.674776692</v>
      </c>
      <c r="E248" s="2" t="n">
        <v>-2.258376355</v>
      </c>
      <c r="F248" s="2" t="n">
        <v>0.08807601</v>
      </c>
      <c r="H248" s="2" t="n">
        <v>-0.458873561</v>
      </c>
      <c r="I248" s="2" t="n">
        <v>-1.845717651</v>
      </c>
      <c r="J248" s="2" t="n">
        <v>-3.867425881</v>
      </c>
      <c r="K248" s="2" t="n">
        <v>-1.475769982</v>
      </c>
      <c r="M248" s="2" t="n">
        <v>-2.715996578</v>
      </c>
      <c r="N248" s="2" t="n">
        <v>-1.759338003</v>
      </c>
      <c r="O248" s="2" t="n">
        <v>-3.615798878</v>
      </c>
      <c r="P248" s="2" t="n">
        <v>-1.52470938</v>
      </c>
      <c r="Q248" s="2" t="n">
        <v>-2.105372609</v>
      </c>
      <c r="R248" s="2" t="n">
        <v>-9.747457527</v>
      </c>
      <c r="S248" s="2" t="n">
        <v>0.021443322</v>
      </c>
      <c r="T248" s="2" t="n">
        <v>0.4029305</v>
      </c>
      <c r="U248" s="2" t="n">
        <v>-3.527383811</v>
      </c>
      <c r="V248" s="2" t="n">
        <v>-3.899608969</v>
      </c>
      <c r="W248" s="2" t="n">
        <v>-1.589977756</v>
      </c>
      <c r="X248" s="2" t="n">
        <v>-5.023936544</v>
      </c>
      <c r="Y248" s="2" t="n">
        <v>-7.998929154</v>
      </c>
      <c r="Z248" s="2" t="n">
        <v>-0.754943803</v>
      </c>
      <c r="AA248" s="2" t="n">
        <v>0.034028853</v>
      </c>
      <c r="AB248" s="2" t="n">
        <v>-1.078638931</v>
      </c>
      <c r="AC248" s="2" t="n">
        <v>-2.289407973</v>
      </c>
      <c r="AD248" s="2" t="n">
        <v>2.233870077</v>
      </c>
      <c r="AE248" s="2" t="n">
        <v>-1.851532345</v>
      </c>
      <c r="AF248" s="2" t="n">
        <v>0.980220542</v>
      </c>
      <c r="AH248" s="2" t="n">
        <v>-4.822573243</v>
      </c>
      <c r="AI248" s="2" t="n">
        <v>-1.624940931</v>
      </c>
      <c r="AJ248" s="2" t="n">
        <v>-2.54033926</v>
      </c>
      <c r="AK248" s="2" t="n">
        <v>-2.141677261</v>
      </c>
      <c r="AN248" s="2" t="n">
        <v>-0.72837459</v>
      </c>
      <c r="AO248" s="2" t="n">
        <v>2.66643</v>
      </c>
      <c r="AP248" s="2" t="n">
        <v>1.309037331</v>
      </c>
      <c r="AQ248" s="2" t="n">
        <v>-1.557639212</v>
      </c>
      <c r="AR248" s="2" t="n">
        <v>7.1</v>
      </c>
      <c r="AS248" s="2" t="n">
        <v>-5.762221898</v>
      </c>
      <c r="AT248" s="2" t="n">
        <v>1.02683922</v>
      </c>
      <c r="AU248" t="n">
        <v>-2.556374372</v>
      </c>
    </row>
    <row r="249">
      <c r="A249" t="inlineStr">
        <is>
          <t>2009-Q1</t>
        </is>
      </c>
      <c r="B249" s="3" t="n">
        <v>39904</v>
      </c>
      <c r="C249" s="2" t="n">
        <v>1.55253614</v>
      </c>
      <c r="E249" s="2" t="n">
        <v>-3.625919024</v>
      </c>
      <c r="F249" s="2" t="n">
        <v>-2.248517705</v>
      </c>
      <c r="H249" s="2" t="n">
        <v>-4.332828724</v>
      </c>
      <c r="I249" s="2" t="n">
        <v>-7.026768845</v>
      </c>
      <c r="J249" s="2" t="n">
        <v>-5.196421572</v>
      </c>
      <c r="K249" s="2" t="n">
        <v>-4.24945107</v>
      </c>
      <c r="M249" s="2" t="n">
        <v>-8.905661724</v>
      </c>
      <c r="N249" s="2" t="n">
        <v>-3.755075004</v>
      </c>
      <c r="O249" s="2" t="n">
        <v>-5.749360593</v>
      </c>
      <c r="P249" s="2" t="n">
        <v>-6.770290811</v>
      </c>
      <c r="Q249" s="2" t="n">
        <v>-7.269246652</v>
      </c>
      <c r="R249" s="2" t="n">
        <v>-6.877374447</v>
      </c>
      <c r="S249" s="2" t="n">
        <v>-7.375694711</v>
      </c>
      <c r="T249" s="2" t="n">
        <v>-0.452077805</v>
      </c>
      <c r="U249" s="2" t="n">
        <v>-7.188815142</v>
      </c>
      <c r="V249" s="2" t="n">
        <v>-8.851098942</v>
      </c>
      <c r="W249" s="2" t="n">
        <v>-1.896186505</v>
      </c>
      <c r="X249" s="2" t="n">
        <v>-5.973103693</v>
      </c>
      <c r="Y249" s="2" t="n">
        <v>-13.055314681</v>
      </c>
      <c r="Z249" s="2" t="n">
        <v>-5.6648454</v>
      </c>
      <c r="AA249" s="2" t="n">
        <v>-3.875672173</v>
      </c>
      <c r="AB249" s="2" t="n">
        <v>-0.647405989</v>
      </c>
      <c r="AC249" s="2" t="n">
        <v>-4.724733511</v>
      </c>
      <c r="AD249" s="2" t="n">
        <v>1.893776873</v>
      </c>
      <c r="AE249" s="2" t="n">
        <v>-4.328946865</v>
      </c>
      <c r="AF249" s="2" t="n">
        <v>-5.975308853</v>
      </c>
      <c r="AH249" s="2" t="n">
        <v>-5.50339284</v>
      </c>
      <c r="AI249" s="2" t="n">
        <v>-2.308385645</v>
      </c>
      <c r="AJ249" s="2" t="n">
        <v>-3.282392444</v>
      </c>
      <c r="AK249" s="2" t="n">
        <v>-5.625615759</v>
      </c>
      <c r="AN249" s="2" t="n">
        <v>-3.111447655</v>
      </c>
      <c r="AO249" s="2" t="n">
        <v>0.16417</v>
      </c>
      <c r="AP249" s="2" t="n">
        <v>-0.684149506</v>
      </c>
      <c r="AQ249" s="2" t="n">
        <v>-7.484284221</v>
      </c>
      <c r="AR249" s="2" t="n">
        <v>6.4</v>
      </c>
      <c r="AS249" s="2" t="n">
        <v>-12.933908436</v>
      </c>
      <c r="AT249" s="2" t="n">
        <v>-1.471133561</v>
      </c>
      <c r="AU249" t="n">
        <v>-6.971810787</v>
      </c>
    </row>
    <row r="250">
      <c r="A250" t="inlineStr">
        <is>
          <t>2009-Q2</t>
        </is>
      </c>
      <c r="B250" s="3" t="n">
        <v>39995</v>
      </c>
      <c r="C250" s="2" t="n">
        <v>1.889012494</v>
      </c>
      <c r="E250" s="2" t="n">
        <v>-3.641015145</v>
      </c>
      <c r="F250" s="2" t="n">
        <v>-3.663660624</v>
      </c>
      <c r="H250" s="2" t="n">
        <v>-5.349052031</v>
      </c>
      <c r="I250" s="2" t="n">
        <v>-6.66062753</v>
      </c>
      <c r="J250" s="2" t="n">
        <v>-6.168268009</v>
      </c>
      <c r="K250" s="2" t="n">
        <v>-4.364255549</v>
      </c>
      <c r="M250" s="2" t="n">
        <v>-8.569424207999999</v>
      </c>
      <c r="N250" s="2" t="n">
        <v>-3.437906822</v>
      </c>
      <c r="O250" s="2" t="n">
        <v>-5.398946078</v>
      </c>
      <c r="P250" s="2" t="n">
        <v>-3.564516207</v>
      </c>
      <c r="Q250" s="2" t="n">
        <v>-7.732974735</v>
      </c>
      <c r="R250" s="2" t="n">
        <v>-4.946852485</v>
      </c>
      <c r="S250" s="2" t="n">
        <v>-10.205126783</v>
      </c>
      <c r="T250" s="2" t="n">
        <v>0.427370931</v>
      </c>
      <c r="U250" s="2" t="n">
        <v>-6.615952262</v>
      </c>
      <c r="V250" s="2" t="n">
        <v>-6.519201498</v>
      </c>
      <c r="W250" s="2" t="n">
        <v>-1.106362311</v>
      </c>
      <c r="X250" s="2" t="n">
        <v>-7.041285525</v>
      </c>
      <c r="Y250" s="2" t="n">
        <v>-14.972342076</v>
      </c>
      <c r="Z250" s="2" t="n">
        <v>-7.745664623</v>
      </c>
      <c r="AA250" s="2" t="n">
        <v>-4.344447473</v>
      </c>
      <c r="AB250" s="2" t="n">
        <v>-1.570362537</v>
      </c>
      <c r="AC250" s="2" t="n">
        <v>-4.547985085</v>
      </c>
      <c r="AD250" s="2" t="n">
        <v>1.693633764</v>
      </c>
      <c r="AE250" s="2" t="n">
        <v>-3.769342325</v>
      </c>
      <c r="AF250" s="2" t="n">
        <v>-5.652692196</v>
      </c>
      <c r="AH250" s="2" t="n">
        <v>-5.378292624</v>
      </c>
      <c r="AI250" s="2" t="n">
        <v>-2.053725825</v>
      </c>
      <c r="AJ250" s="2" t="n">
        <v>-3.995504779</v>
      </c>
      <c r="AK250" s="2" t="n">
        <v>-5.356577861</v>
      </c>
      <c r="AN250" s="2" t="n">
        <v>-3.372875864</v>
      </c>
      <c r="AO250" s="2" t="n">
        <v>4.88252</v>
      </c>
      <c r="AP250" s="2" t="n">
        <v>-2.218755722</v>
      </c>
      <c r="AQ250" s="2" t="n">
        <v>-9.397149205</v>
      </c>
      <c r="AR250" s="2" t="n">
        <v>8.199999999999999</v>
      </c>
      <c r="AS250" s="2" t="n">
        <v>-6.113517389</v>
      </c>
      <c r="AT250" s="2" t="n">
        <v>-2.005621995</v>
      </c>
      <c r="AU250" t="n">
        <v>-9.520950683000001</v>
      </c>
    </row>
    <row r="251">
      <c r="A251" t="inlineStr">
        <is>
          <t>2009-Q3</t>
        </is>
      </c>
      <c r="B251" s="3" t="n">
        <v>40087</v>
      </c>
      <c r="C251" s="2" t="n">
        <v>1.425598667</v>
      </c>
      <c r="E251" s="2" t="n">
        <v>-1.849735973</v>
      </c>
      <c r="F251" s="2" t="n">
        <v>-4.017306655</v>
      </c>
      <c r="H251" s="2" t="n">
        <v>-5.086406361</v>
      </c>
      <c r="I251" s="2" t="n">
        <v>-5.527477918</v>
      </c>
      <c r="J251" s="2" t="n">
        <v>-5.290600352</v>
      </c>
      <c r="K251" s="2" t="n">
        <v>-3.985540796</v>
      </c>
      <c r="M251" s="2" t="n">
        <v>-8.041588240999999</v>
      </c>
      <c r="N251" s="2" t="n">
        <v>-3.012795323</v>
      </c>
      <c r="O251" s="2" t="n">
        <v>-3.778530852</v>
      </c>
      <c r="P251" s="2" t="n">
        <v>-4.170677348</v>
      </c>
      <c r="Q251" s="2" t="n">
        <v>-7.559082278</v>
      </c>
      <c r="R251" s="2" t="n">
        <v>-5.719032893</v>
      </c>
      <c r="S251" s="2" t="n">
        <v>-3.736742223</v>
      </c>
      <c r="T251" s="2" t="n">
        <v>1.354309762</v>
      </c>
      <c r="U251" s="2" t="n">
        <v>-5.038755319</v>
      </c>
      <c r="V251" s="2" t="n">
        <v>-5.384430121</v>
      </c>
      <c r="W251" s="2" t="n">
        <v>1.028926786</v>
      </c>
      <c r="X251" s="2" t="n">
        <v>-4.627308287</v>
      </c>
      <c r="Y251" s="2" t="n">
        <v>-15.744952632</v>
      </c>
      <c r="Z251" s="2" t="n">
        <v>-5.038904522</v>
      </c>
      <c r="AA251" s="2" t="n">
        <v>-3.843695076</v>
      </c>
      <c r="AB251" s="2" t="n">
        <v>-1.326587914</v>
      </c>
      <c r="AC251" s="2" t="n">
        <v>-3.509408167</v>
      </c>
      <c r="AD251" s="2" t="n">
        <v>2.627213765</v>
      </c>
      <c r="AE251" s="2" t="n">
        <v>-2.840185393</v>
      </c>
      <c r="AF251" s="2" t="n">
        <v>-5.421966681</v>
      </c>
      <c r="AH251" s="2" t="n">
        <v>-4.953735909</v>
      </c>
      <c r="AI251" s="2" t="n">
        <v>-1.209356152</v>
      </c>
      <c r="AJ251" s="2" t="n">
        <v>-3.137675003</v>
      </c>
      <c r="AK251" s="2" t="n">
        <v>-4.507210261</v>
      </c>
      <c r="AN251" s="2" t="n">
        <v>-2.661032234</v>
      </c>
      <c r="AO251" s="2" t="n">
        <v>6.63314</v>
      </c>
      <c r="AP251" s="2" t="n">
        <v>-2.225654273</v>
      </c>
      <c r="AQ251" s="2" t="n">
        <v>-7.64863958</v>
      </c>
      <c r="AR251" s="2" t="n">
        <v>10.6</v>
      </c>
      <c r="AS251" s="2" t="n">
        <v>-2.085237668</v>
      </c>
      <c r="AT251" s="2" t="n">
        <v>-1.134235361</v>
      </c>
      <c r="AU251" t="n">
        <v>-6.712895952</v>
      </c>
    </row>
    <row r="252">
      <c r="A252" t="inlineStr">
        <is>
          <t>2009-Q4</t>
        </is>
      </c>
      <c r="B252" s="3" t="n">
        <v>40179</v>
      </c>
      <c r="C252" s="2" t="n">
        <v>2.643289261</v>
      </c>
      <c r="E252" s="2" t="n">
        <v>1.131078891</v>
      </c>
      <c r="F252" s="2" t="n">
        <v>-1.758873711</v>
      </c>
      <c r="H252" s="2" t="n">
        <v>-3.238640115</v>
      </c>
      <c r="I252" s="2" t="n">
        <v>-3.290887765</v>
      </c>
      <c r="J252" s="2" t="n">
        <v>-2.911942209</v>
      </c>
      <c r="K252" s="2" t="n">
        <v>-2.430336859</v>
      </c>
      <c r="M252" s="2" t="n">
        <v>-6.75056789</v>
      </c>
      <c r="N252" s="2" t="n">
        <v>-0.895033449</v>
      </c>
      <c r="O252" s="2" t="n">
        <v>-1.417699207</v>
      </c>
      <c r="P252" s="2" t="n">
        <v>-2.688349298</v>
      </c>
      <c r="Q252" s="2" t="n">
        <v>-4.24080444</v>
      </c>
      <c r="R252" s="2" t="n">
        <v>-2.618227309</v>
      </c>
      <c r="S252" s="2" t="n">
        <v>-9.122327258</v>
      </c>
      <c r="T252" s="2" t="n">
        <v>3.539421934</v>
      </c>
      <c r="U252" s="2" t="n">
        <v>-2.319886589</v>
      </c>
      <c r="V252" s="2" t="n">
        <v>-1.784809159</v>
      </c>
      <c r="W252" s="2" t="n">
        <v>5.239425329</v>
      </c>
      <c r="X252" s="2" t="n">
        <v>0.348547267</v>
      </c>
      <c r="Y252" s="2" t="n">
        <v>-13.412647648</v>
      </c>
      <c r="Z252" s="2" t="n">
        <v>-1.834967482</v>
      </c>
      <c r="AA252" s="2" t="n">
        <v>-2.62188036</v>
      </c>
      <c r="AB252" s="2" t="n">
        <v>-1.582413453</v>
      </c>
      <c r="AC252" s="2" t="n">
        <v>-0.660795163</v>
      </c>
      <c r="AD252" s="2" t="n">
        <v>4.663096875</v>
      </c>
      <c r="AE252" s="2" t="n">
        <v>-1.521659332</v>
      </c>
      <c r="AF252" s="2" t="n">
        <v>-4.79606999</v>
      </c>
      <c r="AH252" s="2" t="n">
        <v>-0.985343363</v>
      </c>
      <c r="AI252" s="2" t="n">
        <v>0.683371879</v>
      </c>
      <c r="AJ252" s="2" t="n">
        <v>0.08165758400000001</v>
      </c>
      <c r="AK252" s="2" t="n">
        <v>-2.350629666</v>
      </c>
      <c r="AN252" s="2" t="n">
        <v>0.995692114</v>
      </c>
      <c r="AO252" s="2" t="n">
        <v>8.767620000000001</v>
      </c>
      <c r="AP252" s="2" t="n">
        <v>-1.010149744</v>
      </c>
      <c r="AQ252" s="2" t="n">
        <v>-3.511662307</v>
      </c>
      <c r="AR252" s="2" t="n">
        <v>11.9</v>
      </c>
      <c r="AS252" s="2" t="n">
        <v>2.428114659</v>
      </c>
      <c r="AT252" s="2" t="n">
        <v>5.353803225</v>
      </c>
      <c r="AU252" t="n">
        <v>-0.240779336</v>
      </c>
    </row>
    <row r="253">
      <c r="A253" t="inlineStr">
        <is>
          <t>2010-Q1</t>
        </is>
      </c>
      <c r="B253" s="3" t="n">
        <v>40269</v>
      </c>
      <c r="C253" s="2" t="n">
        <v>2.123481295</v>
      </c>
      <c r="E253" s="2" t="n">
        <v>2.654143247</v>
      </c>
      <c r="F253" s="2" t="n">
        <v>1.724913568</v>
      </c>
      <c r="H253" s="2" t="n">
        <v>0.849043346</v>
      </c>
      <c r="I253" s="2" t="n">
        <v>2.277973069</v>
      </c>
      <c r="J253" s="2" t="n">
        <v>-0.659459022</v>
      </c>
      <c r="K253" s="2" t="n">
        <v>0.15163904</v>
      </c>
      <c r="M253" s="2" t="n">
        <v>0.70712215</v>
      </c>
      <c r="N253" s="2" t="n">
        <v>1.124513242</v>
      </c>
      <c r="O253" s="2" t="n">
        <v>0.918974776</v>
      </c>
      <c r="P253" s="2" t="n">
        <v>-3.740262966</v>
      </c>
      <c r="Q253" s="2" t="n">
        <v>0.056087302</v>
      </c>
      <c r="R253" s="2" t="n">
        <v>-0.276081145</v>
      </c>
      <c r="S253" s="2" t="n">
        <v>-5.216354137</v>
      </c>
      <c r="T253" s="2" t="n">
        <v>4.984390288</v>
      </c>
      <c r="U253" s="2" t="n">
        <v>0.821882286</v>
      </c>
      <c r="V253" s="2" t="n">
        <v>4.263696225</v>
      </c>
      <c r="W253" s="2" t="n">
        <v>7.204676456</v>
      </c>
      <c r="X253" s="2" t="n">
        <v>3.152924979</v>
      </c>
      <c r="Y253" s="2" t="n">
        <v>-10.778115343</v>
      </c>
      <c r="Z253" s="2" t="n">
        <v>4.54496844</v>
      </c>
      <c r="AA253" s="2" t="n">
        <v>0.817613978</v>
      </c>
      <c r="AB253" s="2" t="n">
        <v>1.173461943</v>
      </c>
      <c r="AC253" s="2" t="n">
        <v>2.30024299</v>
      </c>
      <c r="AD253" s="2" t="n">
        <v>2.600955261</v>
      </c>
      <c r="AE253" s="2" t="n">
        <v>1.852117731</v>
      </c>
      <c r="AF253" s="2" t="n">
        <v>6.882355458</v>
      </c>
      <c r="AH253" s="2" t="n">
        <v>3.15479079</v>
      </c>
      <c r="AI253" s="2" t="n">
        <v>2.022346958</v>
      </c>
      <c r="AJ253" s="2" t="n">
        <v>1.768457232</v>
      </c>
      <c r="AK253" s="2" t="n">
        <v>1.213070668</v>
      </c>
      <c r="AN253" s="2" t="n">
        <v>3.334197396</v>
      </c>
      <c r="AO253" s="2" t="n">
        <v>13.69473</v>
      </c>
      <c r="AP253" s="2" t="n">
        <v>1.208820228</v>
      </c>
      <c r="AQ253" s="2" t="n">
        <v>2.154681118</v>
      </c>
      <c r="AR253" s="2" t="n">
        <v>12.2</v>
      </c>
      <c r="AS253" s="2" t="n">
        <v>8.25769382</v>
      </c>
      <c r="AT253" s="2" t="n">
        <v>9.254171523</v>
      </c>
      <c r="AU253" t="n">
        <v>6.678845106</v>
      </c>
    </row>
    <row r="254">
      <c r="A254" t="inlineStr">
        <is>
          <t>2010-Q2</t>
        </is>
      </c>
      <c r="B254" s="3" t="n">
        <v>40360</v>
      </c>
      <c r="C254" s="2" t="n">
        <v>2.07970269</v>
      </c>
      <c r="E254" s="2" t="n">
        <v>3.616108409</v>
      </c>
      <c r="F254" s="2" t="n">
        <v>3.385402366</v>
      </c>
      <c r="H254" s="2" t="n">
        <v>2.379254501</v>
      </c>
      <c r="I254" s="2" t="n">
        <v>4.403387043</v>
      </c>
      <c r="J254" s="2" t="n">
        <v>1.996593348</v>
      </c>
      <c r="K254" s="2" t="n">
        <v>0.31260338</v>
      </c>
      <c r="M254" s="2" t="n">
        <v>3.942631175</v>
      </c>
      <c r="N254" s="2" t="n">
        <v>1.74115318</v>
      </c>
      <c r="O254" s="2" t="n">
        <v>2.152262209</v>
      </c>
      <c r="P254" s="2" t="n">
        <v>-9.457314833</v>
      </c>
      <c r="Q254" s="2" t="n">
        <v>0.888265893</v>
      </c>
      <c r="R254" s="2" t="n">
        <v>0.372323586</v>
      </c>
      <c r="S254" s="2" t="n">
        <v>-1.076424293</v>
      </c>
      <c r="T254" s="2" t="n">
        <v>5.331412256</v>
      </c>
      <c r="U254" s="2" t="n">
        <v>1.890241429</v>
      </c>
      <c r="V254" s="2" t="n">
        <v>3.481092476</v>
      </c>
      <c r="W254" s="2" t="n">
        <v>7.804557338</v>
      </c>
      <c r="X254" s="2" t="n">
        <v>7.123331141</v>
      </c>
      <c r="Y254" s="2" t="n">
        <v>-5.987614803</v>
      </c>
      <c r="Z254" s="2" t="n">
        <v>7.274280711</v>
      </c>
      <c r="AA254" s="2" t="n">
        <v>1.257324097</v>
      </c>
      <c r="AB254" s="2" t="n">
        <v>0.9863043419999999</v>
      </c>
      <c r="AC254" s="2" t="n">
        <v>3.222830476</v>
      </c>
      <c r="AD254" s="2" t="n">
        <v>4.118639125</v>
      </c>
      <c r="AE254" s="2" t="n">
        <v>2.323261872</v>
      </c>
      <c r="AF254" s="2" t="n">
        <v>6.362737587</v>
      </c>
      <c r="AH254" s="2" t="n">
        <v>5.189725376</v>
      </c>
      <c r="AI254" s="2" t="n">
        <v>2.807176182</v>
      </c>
      <c r="AJ254" s="2" t="n">
        <v>2.927467845</v>
      </c>
      <c r="AK254" s="2" t="n">
        <v>2.231743458</v>
      </c>
      <c r="AN254" s="2" t="n">
        <v>3.566148563</v>
      </c>
      <c r="AO254" s="2" t="n">
        <v>10.03998</v>
      </c>
      <c r="AP254" s="2" t="n">
        <v>2.409823697</v>
      </c>
      <c r="AQ254" s="2" t="n">
        <v>4.651978456</v>
      </c>
      <c r="AR254" s="2" t="n">
        <v>10.8</v>
      </c>
      <c r="AS254" s="2" t="n">
        <v>8.042974126000001</v>
      </c>
      <c r="AT254" s="2" t="n">
        <v>8.382775390999999</v>
      </c>
      <c r="AU254" t="n">
        <v>13.979850514</v>
      </c>
    </row>
    <row r="255">
      <c r="A255" t="inlineStr">
        <is>
          <t>2010-Q3</t>
        </is>
      </c>
      <c r="B255" s="3" t="n">
        <v>40452</v>
      </c>
      <c r="C255" s="2" t="n">
        <v>2.47432123</v>
      </c>
      <c r="E255" s="2" t="n">
        <v>2.749811226</v>
      </c>
      <c r="F255" s="2" t="n">
        <v>3.651720446</v>
      </c>
      <c r="H255" s="2" t="n">
        <v>2.783825203</v>
      </c>
      <c r="I255" s="2" t="n">
        <v>4.69597184</v>
      </c>
      <c r="J255" s="2" t="n">
        <v>3.256597062</v>
      </c>
      <c r="K255" s="2" t="n">
        <v>0.05007437</v>
      </c>
      <c r="M255" s="2" t="n">
        <v>2.567301507</v>
      </c>
      <c r="N255" s="2" t="n">
        <v>2.232596382</v>
      </c>
      <c r="O255" s="2" t="n">
        <v>2.770468079</v>
      </c>
      <c r="P255" s="2" t="n">
        <v>-11.679305999</v>
      </c>
      <c r="Q255" s="2" t="n">
        <v>1.900261685</v>
      </c>
      <c r="R255" s="2" t="n">
        <v>2.00004235</v>
      </c>
      <c r="S255" s="2" t="n">
        <v>-4.476266226</v>
      </c>
      <c r="T255" s="2" t="n">
        <v>5.496269778</v>
      </c>
      <c r="U255" s="2" t="n">
        <v>1.848413603</v>
      </c>
      <c r="V255" s="2" t="n">
        <v>5.402646934</v>
      </c>
      <c r="W255" s="2" t="n">
        <v>5.881250359</v>
      </c>
      <c r="X255" s="2" t="n">
        <v>5.190586636</v>
      </c>
      <c r="Y255" s="2" t="n">
        <v>-1.367748659</v>
      </c>
      <c r="Z255" s="2" t="n">
        <v>4.853550055</v>
      </c>
      <c r="AA255" s="2" t="n">
        <v>1.298589277</v>
      </c>
      <c r="AB255" s="2" t="n">
        <v>-1.583161807</v>
      </c>
      <c r="AC255" s="2" t="n">
        <v>3.504703745</v>
      </c>
      <c r="AD255" s="2" t="n">
        <v>4.885194646</v>
      </c>
      <c r="AE255" s="2" t="n">
        <v>1.513466221</v>
      </c>
      <c r="AF255" s="2" t="n">
        <v>5.759364962</v>
      </c>
      <c r="AH255" s="2" t="n">
        <v>6.517282001</v>
      </c>
      <c r="AI255" s="2" t="n">
        <v>2.055930968</v>
      </c>
      <c r="AJ255" s="2" t="n">
        <v>3.349193814</v>
      </c>
      <c r="AK255" s="2" t="n">
        <v>2.295439148</v>
      </c>
      <c r="AN255" s="2" t="n">
        <v>2.991737943</v>
      </c>
      <c r="AO255" s="2" t="n">
        <v>10.47142</v>
      </c>
      <c r="AP255" s="2" t="n">
        <v>3.082470695</v>
      </c>
      <c r="AQ255" s="2" t="n">
        <v>4.769842874</v>
      </c>
      <c r="AR255" s="2" t="n">
        <v>9.9</v>
      </c>
      <c r="AS255" s="2" t="n">
        <v>8.438593135</v>
      </c>
      <c r="AT255" s="2" t="n">
        <v>6.974495476</v>
      </c>
      <c r="AU255" t="n">
        <v>10.247564763</v>
      </c>
    </row>
    <row r="256">
      <c r="A256" t="inlineStr">
        <is>
          <t>2010-Q4</t>
        </is>
      </c>
      <c r="B256" s="3" t="n">
        <v>40544</v>
      </c>
      <c r="C256" s="2" t="n">
        <v>2.761203916</v>
      </c>
      <c r="E256" s="2" t="n">
        <v>2.447017697</v>
      </c>
      <c r="F256" s="2" t="n">
        <v>3.601873242</v>
      </c>
      <c r="H256" s="2" t="n">
        <v>3.070529529</v>
      </c>
      <c r="I256" s="2" t="n">
        <v>4.774038138</v>
      </c>
      <c r="J256" s="2" t="n">
        <v>2.930815669</v>
      </c>
      <c r="K256" s="2" t="n">
        <v>0.137639866</v>
      </c>
      <c r="M256" s="2" t="n">
        <v>5.536019488</v>
      </c>
      <c r="N256" s="2" t="n">
        <v>2.250234563</v>
      </c>
      <c r="O256" s="2" t="n">
        <v>2.454062029</v>
      </c>
      <c r="P256" s="2" t="n">
        <v>-12.857705623</v>
      </c>
      <c r="Q256" s="2" t="n">
        <v>1.453875445</v>
      </c>
      <c r="R256" s="2" t="n">
        <v>3.144890405</v>
      </c>
      <c r="S256" s="2" t="n">
        <v>-0.555381275</v>
      </c>
      <c r="T256" s="2" t="n">
        <v>5.679996255</v>
      </c>
      <c r="U256" s="2" t="n">
        <v>2.131750043</v>
      </c>
      <c r="V256" s="2" t="n">
        <v>3.271762039</v>
      </c>
      <c r="W256" s="2" t="n">
        <v>6.377779149</v>
      </c>
      <c r="X256" s="2" t="n">
        <v>4.016211915</v>
      </c>
      <c r="Y256" s="2" t="n">
        <v>-0.424908786</v>
      </c>
      <c r="Z256" s="2" t="n">
        <v>3.918119324</v>
      </c>
      <c r="AA256" s="2" t="n">
        <v>1.82723588</v>
      </c>
      <c r="AB256" s="2" t="n">
        <v>1.125860615</v>
      </c>
      <c r="AC256" s="2" t="n">
        <v>3.159306241</v>
      </c>
      <c r="AD256" s="2" t="n">
        <v>3.431671826</v>
      </c>
      <c r="AE256" s="2" t="n">
        <v>1.268103738</v>
      </c>
      <c r="AF256" s="2" t="n">
        <v>4.544890108</v>
      </c>
      <c r="AH256" s="2" t="n">
        <v>7.779965491</v>
      </c>
      <c r="AI256" s="2" t="n">
        <v>0.283753879</v>
      </c>
      <c r="AJ256" s="2" t="n">
        <v>2.788449691</v>
      </c>
      <c r="AK256" s="2" t="n">
        <v>2.482939017</v>
      </c>
      <c r="AN256" s="2" t="n">
        <v>2.905754674</v>
      </c>
      <c r="AO256" s="2" t="n">
        <v>10.68164</v>
      </c>
      <c r="AP256" s="2" t="n">
        <v>3.352819</v>
      </c>
      <c r="AQ256" s="2" t="n">
        <v>4.951509523</v>
      </c>
      <c r="AR256" s="2" t="n">
        <v>9.9</v>
      </c>
      <c r="AS256" s="2" t="n">
        <v>9.577551981999999</v>
      </c>
      <c r="AT256" s="2" t="n">
        <v>5.749710506</v>
      </c>
      <c r="AU256" t="n">
        <v>9.692054722</v>
      </c>
    </row>
    <row r="257">
      <c r="A257" t="inlineStr">
        <is>
          <t>2011-Q1</t>
        </is>
      </c>
      <c r="B257" s="3" t="n">
        <v>40634</v>
      </c>
      <c r="C257" s="2" t="n">
        <v>1.976459277</v>
      </c>
      <c r="E257" s="2" t="n">
        <v>2.409563732</v>
      </c>
      <c r="F257" s="2" t="n">
        <v>3.140203861</v>
      </c>
      <c r="H257" s="2" t="n">
        <v>2.965960554</v>
      </c>
      <c r="I257" s="2" t="n">
        <v>5.942798953</v>
      </c>
      <c r="J257" s="2" t="n">
        <v>2.271855039</v>
      </c>
      <c r="K257" s="2" t="n">
        <v>0.009648640999999999</v>
      </c>
      <c r="M257" s="2" t="n">
        <v>5.072646996</v>
      </c>
      <c r="N257" s="2" t="n">
        <v>2.887584657</v>
      </c>
      <c r="O257" s="2" t="n">
        <v>2.168652556</v>
      </c>
      <c r="P257" s="2" t="n">
        <v>-10.840943648</v>
      </c>
      <c r="Q257" s="2" t="n">
        <v>2.576940166</v>
      </c>
      <c r="R257" s="2" t="n">
        <v>0.790494071</v>
      </c>
      <c r="S257" s="2" t="n">
        <v>1.4019793</v>
      </c>
      <c r="T257" s="2" t="n">
        <v>5.765334255</v>
      </c>
      <c r="U257" s="2" t="n">
        <v>2.160314888</v>
      </c>
      <c r="V257" s="2" t="n">
        <v>1.121047728</v>
      </c>
      <c r="W257" s="2" t="n">
        <v>5.307370682</v>
      </c>
      <c r="X257" s="2" t="n">
        <v>4.634165374</v>
      </c>
      <c r="Y257" s="2" t="n">
        <v>2.099265097</v>
      </c>
      <c r="Z257" s="2" t="n">
        <v>3.626924219</v>
      </c>
      <c r="AA257" s="2" t="n">
        <v>2.609041666</v>
      </c>
      <c r="AB257" s="2" t="n">
        <v>-0.71681051</v>
      </c>
      <c r="AC257" s="2" t="n">
        <v>2.826687293</v>
      </c>
      <c r="AD257" s="2" t="n">
        <v>5.041866542</v>
      </c>
      <c r="AE257" s="2" t="n">
        <v>-0.222233209</v>
      </c>
      <c r="AF257" s="2" t="n">
        <v>3.303529093</v>
      </c>
      <c r="AH257" s="2" t="n">
        <v>5.335927849</v>
      </c>
      <c r="AI257" s="2" t="n">
        <v>1.053993691</v>
      </c>
      <c r="AJ257" s="2" t="n">
        <v>2.030608191</v>
      </c>
      <c r="AK257" s="2" t="n">
        <v>2.912901782</v>
      </c>
      <c r="AN257" s="2" t="n">
        <v>2.845928369</v>
      </c>
      <c r="AO257" s="2" t="n">
        <v>9.85149</v>
      </c>
      <c r="AP257" s="2" t="n">
        <v>3.69531593</v>
      </c>
      <c r="AQ257" s="2" t="n">
        <v>3.850629307</v>
      </c>
      <c r="AR257" s="2" t="n">
        <v>10.2</v>
      </c>
      <c r="AS257" s="2" t="n">
        <v>12.378786378</v>
      </c>
      <c r="AT257" s="2" t="n">
        <v>4.898084934</v>
      </c>
      <c r="AU257" t="n">
        <v>9.00826928</v>
      </c>
    </row>
    <row r="258">
      <c r="A258" t="inlineStr">
        <is>
          <t>2011-Q2</t>
        </is>
      </c>
      <c r="B258" s="3" t="n">
        <v>40725</v>
      </c>
      <c r="C258" s="2" t="n">
        <v>2.639995886</v>
      </c>
      <c r="E258" s="2" t="n">
        <v>1.620424939</v>
      </c>
      <c r="F258" s="2" t="n">
        <v>2.80319874</v>
      </c>
      <c r="H258" s="2" t="n">
        <v>2.08772405</v>
      </c>
      <c r="I258" s="2" t="n">
        <v>3.707855318</v>
      </c>
      <c r="J258" s="2" t="n">
        <v>2.595693052</v>
      </c>
      <c r="K258" s="2" t="n">
        <v>-0.456512717</v>
      </c>
      <c r="M258" s="2" t="n">
        <v>2.070675525</v>
      </c>
      <c r="N258" s="2" t="n">
        <v>2.398038605</v>
      </c>
      <c r="O258" s="2" t="n">
        <v>1.213820883</v>
      </c>
      <c r="P258" s="2" t="n">
        <v>-9.672051442000001</v>
      </c>
      <c r="Q258" s="2" t="n">
        <v>1.692342767</v>
      </c>
      <c r="R258" s="2" t="n">
        <v>2.257404316</v>
      </c>
      <c r="S258" s="2" t="n">
        <v>0.224082083</v>
      </c>
      <c r="T258" s="2" t="n">
        <v>5.316295427</v>
      </c>
      <c r="U258" s="2" t="n">
        <v>1.516108936</v>
      </c>
      <c r="V258" s="2" t="n">
        <v>-0.946930868</v>
      </c>
      <c r="W258" s="2" t="n">
        <v>3.851242513</v>
      </c>
      <c r="X258" s="2" t="n">
        <v>1.530790207</v>
      </c>
      <c r="Y258" s="2" t="n">
        <v>6.309645885</v>
      </c>
      <c r="Z258" s="2" t="n">
        <v>3.034793964</v>
      </c>
      <c r="AA258" s="2" t="n">
        <v>2.069453852</v>
      </c>
      <c r="AB258" s="2" t="n">
        <v>-0.064957982</v>
      </c>
      <c r="AC258" s="2" t="n">
        <v>2.089453191</v>
      </c>
      <c r="AD258" s="2" t="n">
        <v>4.844240184</v>
      </c>
      <c r="AE258" s="2" t="n">
        <v>-1.196017007</v>
      </c>
      <c r="AF258" s="2" t="n">
        <v>2.96549405</v>
      </c>
      <c r="AH258" s="2" t="n">
        <v>3.570332939</v>
      </c>
      <c r="AI258" s="2" t="n">
        <v>0.824736468</v>
      </c>
      <c r="AJ258" s="2" t="n">
        <v>1.737905069</v>
      </c>
      <c r="AK258" s="2" t="n">
        <v>1.932152773</v>
      </c>
      <c r="AN258" s="2" t="n">
        <v>2.482537016</v>
      </c>
      <c r="AO258" s="2" t="n">
        <v>8.57394</v>
      </c>
      <c r="AP258" s="2" t="n">
        <v>3.40765285</v>
      </c>
      <c r="AQ258" s="2" t="n">
        <v>3.919052176</v>
      </c>
      <c r="AR258" s="2" t="n">
        <v>10</v>
      </c>
      <c r="AS258" s="2" t="n">
        <v>11.238746556</v>
      </c>
      <c r="AT258" s="2" t="n">
        <v>4.871194433</v>
      </c>
      <c r="AU258" t="n">
        <v>5.294951542</v>
      </c>
    </row>
    <row r="259">
      <c r="A259" t="inlineStr">
        <is>
          <t>2011-Q3</t>
        </is>
      </c>
      <c r="B259" s="3" t="n">
        <v>40817</v>
      </c>
      <c r="C259" s="2" t="n">
        <v>3.312477655</v>
      </c>
      <c r="E259" s="2" t="n">
        <v>1.488149917</v>
      </c>
      <c r="F259" s="2" t="n">
        <v>3.488097449</v>
      </c>
      <c r="H259" s="2" t="n">
        <v>1.157237979</v>
      </c>
      <c r="I259" s="2" t="n">
        <v>3.763487211</v>
      </c>
      <c r="J259" s="2" t="n">
        <v>-0.261522916</v>
      </c>
      <c r="K259" s="2" t="n">
        <v>-1.051035465</v>
      </c>
      <c r="M259" s="2" t="n">
        <v>2.617074654</v>
      </c>
      <c r="N259" s="2" t="n">
        <v>2.110568502</v>
      </c>
      <c r="O259" s="2" t="n">
        <v>0.818688808</v>
      </c>
      <c r="P259" s="2" t="n">
        <v>-8.552815739</v>
      </c>
      <c r="Q259" s="2" t="n">
        <v>1.071198336</v>
      </c>
      <c r="R259" s="2" t="n">
        <v>-0.168014747</v>
      </c>
      <c r="S259" s="2" t="n">
        <v>4.05980913</v>
      </c>
      <c r="T259" s="2" t="n">
        <v>6.311101958</v>
      </c>
      <c r="U259" s="2" t="n">
        <v>0.591610427</v>
      </c>
      <c r="V259" s="2" t="n">
        <v>-0.3490081</v>
      </c>
      <c r="W259" s="2" t="n">
        <v>3.205589616</v>
      </c>
      <c r="X259" s="2" t="n">
        <v>2.401288015</v>
      </c>
      <c r="Y259" s="2" t="n">
        <v>8.688269013999999</v>
      </c>
      <c r="Z259" s="2" t="n">
        <v>4.064526332</v>
      </c>
      <c r="AA259" s="2" t="n">
        <v>1.621153843</v>
      </c>
      <c r="AB259" s="2" t="n">
        <v>4.129225306</v>
      </c>
      <c r="AC259" s="2" t="n">
        <v>1.826101125</v>
      </c>
      <c r="AD259" s="2" t="n">
        <v>4.813190774</v>
      </c>
      <c r="AE259" s="2" t="n">
        <v>-2.049629081</v>
      </c>
      <c r="AF259" s="2" t="n">
        <v>2.456083767</v>
      </c>
      <c r="AH259" s="2" t="n">
        <v>3.631768681</v>
      </c>
      <c r="AI259" s="2" t="n">
        <v>2.148453461</v>
      </c>
      <c r="AJ259" s="2" t="n">
        <v>0.918220848</v>
      </c>
      <c r="AK259" s="2" t="n">
        <v>1.61916712</v>
      </c>
      <c r="AN259" s="2" t="n">
        <v>1.514491835</v>
      </c>
      <c r="AO259" s="2" t="n">
        <v>5.4526</v>
      </c>
      <c r="AP259" s="2" t="n">
        <v>2.919288694</v>
      </c>
      <c r="AQ259" s="2" t="n">
        <v>4.628825602</v>
      </c>
      <c r="AR259" s="2" t="n">
        <v>9.4</v>
      </c>
      <c r="AS259" s="2" t="n">
        <v>11.117671024</v>
      </c>
      <c r="AT259" s="2" t="n">
        <v>3.600094148</v>
      </c>
      <c r="AU259" t="n">
        <v>5.602946903</v>
      </c>
    </row>
    <row r="260">
      <c r="A260" t="inlineStr">
        <is>
          <t>2011-Q4</t>
        </is>
      </c>
      <c r="B260" s="3" t="n">
        <v>40909</v>
      </c>
      <c r="C260" s="2" t="n">
        <v>3.439271803</v>
      </c>
      <c r="E260" s="2" t="n">
        <v>1.272481695</v>
      </c>
      <c r="F260" s="2" t="n">
        <v>3.150369226</v>
      </c>
      <c r="H260" s="2" t="n">
        <v>0.863094683</v>
      </c>
      <c r="I260" s="2" t="n">
        <v>2.606848305</v>
      </c>
      <c r="J260" s="2" t="n">
        <v>0.7803334750000001</v>
      </c>
      <c r="K260" s="2" t="n">
        <v>-1.758701814</v>
      </c>
      <c r="M260" s="2" t="n">
        <v>0.53424173</v>
      </c>
      <c r="N260" s="2" t="n">
        <v>1.564533654</v>
      </c>
      <c r="O260" s="2" t="n">
        <v>0.916847557</v>
      </c>
      <c r="P260" s="2" t="n">
        <v>-11.182211438</v>
      </c>
      <c r="Q260" s="2" t="n">
        <v>2.45140337</v>
      </c>
      <c r="R260" s="2" t="n">
        <v>0.756838361</v>
      </c>
      <c r="S260" s="2" t="n">
        <v>1.725537588</v>
      </c>
      <c r="T260" s="2" t="n">
        <v>5.499512596</v>
      </c>
      <c r="U260" s="2" t="n">
        <v>-0.864314515</v>
      </c>
      <c r="V260" s="2" t="n">
        <v>0.33194108</v>
      </c>
      <c r="W260" s="2" t="n">
        <v>2.44390986</v>
      </c>
      <c r="X260" s="2" t="n">
        <v>1.676994706</v>
      </c>
      <c r="Y260" s="2" t="n">
        <v>7.701156224</v>
      </c>
      <c r="Z260" s="2" t="n">
        <v>3.950900061</v>
      </c>
      <c r="AA260" s="2" t="n">
        <v>-0.117624241</v>
      </c>
      <c r="AB260" s="2" t="n">
        <v>1.33805754</v>
      </c>
      <c r="AC260" s="2" t="n">
        <v>1.697138903</v>
      </c>
      <c r="AD260" s="2" t="n">
        <v>4.456338575</v>
      </c>
      <c r="AE260" s="2" t="n">
        <v>-3.310166708</v>
      </c>
      <c r="AF260" s="2" t="n">
        <v>2.675892406</v>
      </c>
      <c r="AH260" s="2" t="n">
        <v>0.587951531</v>
      </c>
      <c r="AI260" s="2" t="n">
        <v>3.252206236</v>
      </c>
      <c r="AJ260" s="2" t="n">
        <v>1.522691524</v>
      </c>
      <c r="AK260" s="2" t="n">
        <v>0.591295498</v>
      </c>
      <c r="AN260" s="2" t="n">
        <v>0.864366555</v>
      </c>
      <c r="AO260" s="2" t="n">
        <v>4.73925</v>
      </c>
      <c r="AP260" s="2" t="n">
        <v>2.667733267</v>
      </c>
      <c r="AQ260" s="2" t="n">
        <v>4.60367946</v>
      </c>
      <c r="AR260" s="2" t="n">
        <v>8.800000000000001</v>
      </c>
      <c r="AS260" s="2" t="n">
        <v>9.320906415</v>
      </c>
      <c r="AT260" s="2" t="n">
        <v>3.07348628</v>
      </c>
      <c r="AU260" t="n">
        <v>4.273772691</v>
      </c>
    </row>
    <row r="261">
      <c r="A261" t="inlineStr">
        <is>
          <t>2012-Q1</t>
        </is>
      </c>
      <c r="B261" s="3" t="n">
        <v>41000</v>
      </c>
      <c r="C261" s="2" t="n">
        <v>4.676708461</v>
      </c>
      <c r="E261" s="2" t="n">
        <v>1.003608138</v>
      </c>
      <c r="F261" s="2" t="n">
        <v>2.442677819</v>
      </c>
      <c r="H261" s="2" t="n">
        <v>0.027807877</v>
      </c>
      <c r="I261" s="2" t="n">
        <v>0.876147746</v>
      </c>
      <c r="J261" s="2" t="n">
        <v>0.491421016</v>
      </c>
      <c r="K261" s="2" t="n">
        <v>-2.527328994</v>
      </c>
      <c r="M261" s="2" t="n">
        <v>-0.46093186</v>
      </c>
      <c r="N261" s="2" t="n">
        <v>0.663952313</v>
      </c>
      <c r="O261" s="2" t="n">
        <v>1.250401525</v>
      </c>
      <c r="P261" s="2" t="n">
        <v>-8.535848762000001</v>
      </c>
      <c r="Q261" s="2" t="n">
        <v>-0.358530445</v>
      </c>
      <c r="R261" s="2" t="n">
        <v>-0.812758409</v>
      </c>
      <c r="S261" s="2" t="n">
        <v>2.625104086</v>
      </c>
      <c r="T261" s="2" t="n">
        <v>4.497602772</v>
      </c>
      <c r="U261" s="2" t="n">
        <v>-2.403118143</v>
      </c>
      <c r="V261" s="2" t="n">
        <v>2.820697616</v>
      </c>
      <c r="W261" s="2" t="n">
        <v>2.375435273</v>
      </c>
      <c r="X261" s="2" t="n">
        <v>-1.567362158</v>
      </c>
      <c r="Y261" s="2" t="n">
        <v>8.036640455000001</v>
      </c>
      <c r="Z261" s="2" t="n">
        <v>3.842830857</v>
      </c>
      <c r="AA261" s="2" t="n">
        <v>-0.899171644</v>
      </c>
      <c r="AB261" s="2" t="n">
        <v>3.439944953</v>
      </c>
      <c r="AC261" s="2" t="n">
        <v>1.8972271</v>
      </c>
      <c r="AD261" s="2" t="n">
        <v>3.361741974</v>
      </c>
      <c r="AE261" s="2" t="n">
        <v>-3.19826619</v>
      </c>
      <c r="AF261" s="2" t="n">
        <v>2.734959944</v>
      </c>
      <c r="AH261" s="2" t="n">
        <v>0.372969407</v>
      </c>
      <c r="AI261" s="2" t="n">
        <v>2.724269157</v>
      </c>
      <c r="AJ261" s="2" t="n">
        <v>2.600249298</v>
      </c>
      <c r="AK261" s="2" t="n">
        <v>-0.494070993</v>
      </c>
      <c r="AN261" s="2" t="n">
        <v>1.243400444</v>
      </c>
      <c r="AO261" s="2" t="n">
        <v>4.27654</v>
      </c>
      <c r="AP261" s="2" t="n">
        <v>2.242809473</v>
      </c>
      <c r="AQ261" s="2" t="n">
        <v>5.064430948</v>
      </c>
      <c r="AR261" s="2" t="n">
        <v>8.1</v>
      </c>
      <c r="AS261" s="2" t="n">
        <v>5.960009344</v>
      </c>
      <c r="AT261" s="2" t="n">
        <v>0.264978699</v>
      </c>
      <c r="AU261" t="n">
        <v>0.733000715</v>
      </c>
    </row>
    <row r="262">
      <c r="A262" t="inlineStr">
        <is>
          <t>2012-Q2</t>
        </is>
      </c>
      <c r="B262" s="3" t="n">
        <v>41091</v>
      </c>
      <c r="C262" s="2" t="n">
        <v>4.23688904</v>
      </c>
      <c r="E262" s="2" t="n">
        <v>0.79376286</v>
      </c>
      <c r="F262" s="2" t="n">
        <v>2.576982045</v>
      </c>
      <c r="H262" s="2" t="n">
        <v>-0.693756836</v>
      </c>
      <c r="I262" s="2" t="n">
        <v>0.980562452</v>
      </c>
      <c r="J262" s="2" t="n">
        <v>-0.430965796</v>
      </c>
      <c r="K262" s="2" t="n">
        <v>-3.157385348</v>
      </c>
      <c r="M262" s="2" t="n">
        <v>-1.342555677</v>
      </c>
      <c r="N262" s="2" t="n">
        <v>0.472404436</v>
      </c>
      <c r="O262" s="2" t="n">
        <v>1.015041616</v>
      </c>
      <c r="P262" s="2" t="n">
        <v>-8.197395859</v>
      </c>
      <c r="Q262" s="2" t="n">
        <v>-1.054489726</v>
      </c>
      <c r="R262" s="2" t="n">
        <v>-0.100610352</v>
      </c>
      <c r="S262" s="2" t="n">
        <v>1.303316363</v>
      </c>
      <c r="T262" s="2" t="n">
        <v>3.394900589</v>
      </c>
      <c r="U262" s="2" t="n">
        <v>-3.209315771</v>
      </c>
      <c r="V262" s="2" t="n">
        <v>2.75688109</v>
      </c>
      <c r="W262" s="2" t="n">
        <v>2.452028853</v>
      </c>
      <c r="X262" s="2" t="n">
        <v>0.433157101</v>
      </c>
      <c r="Y262" s="2" t="n">
        <v>4.057498584</v>
      </c>
      <c r="Z262" s="2" t="n">
        <v>4.157479939</v>
      </c>
      <c r="AA262" s="2" t="n">
        <v>-0.75916764</v>
      </c>
      <c r="AB262" s="2" t="n">
        <v>4.114205872</v>
      </c>
      <c r="AC262" s="2" t="n">
        <v>1.652077372</v>
      </c>
      <c r="AD262" s="2" t="n">
        <v>1.749923653</v>
      </c>
      <c r="AE262" s="2" t="n">
        <v>-4.091744129</v>
      </c>
      <c r="AF262" s="2" t="n">
        <v>2.228018603</v>
      </c>
      <c r="AH262" s="2" t="n">
        <v>0.225370873</v>
      </c>
      <c r="AI262" s="2" t="n">
        <v>2.57415698</v>
      </c>
      <c r="AJ262" s="2" t="n">
        <v>2.37381635</v>
      </c>
      <c r="AK262" s="2" t="n">
        <v>-0.755126181</v>
      </c>
      <c r="AN262" s="2" t="n">
        <v>0.71364754</v>
      </c>
      <c r="AO262" s="2" t="n">
        <v>4.22122</v>
      </c>
      <c r="AP262" s="2" t="n">
        <v>2.522475367</v>
      </c>
      <c r="AQ262" s="2" t="n">
        <v>4.427194613</v>
      </c>
      <c r="AR262" s="2" t="n">
        <v>7.7</v>
      </c>
      <c r="AS262" s="2" t="n">
        <v>4.907950841</v>
      </c>
      <c r="AT262" s="2" t="n">
        <v>1.021102521</v>
      </c>
      <c r="AU262" t="n">
        <v>-3.657249588</v>
      </c>
    </row>
    <row r="263">
      <c r="A263" t="inlineStr">
        <is>
          <t>2012-Q3</t>
        </is>
      </c>
      <c r="B263" s="3" t="n">
        <v>41183</v>
      </c>
      <c r="C263" s="2" t="n">
        <v>3.47199735</v>
      </c>
      <c r="E263" s="2" t="n">
        <v>0.750261485</v>
      </c>
      <c r="F263" s="2" t="n">
        <v>1.318874171</v>
      </c>
      <c r="H263" s="2" t="n">
        <v>-0.917401482</v>
      </c>
      <c r="I263" s="2" t="n">
        <v>0.377823848</v>
      </c>
      <c r="J263" s="2" t="n">
        <v>0.917642586</v>
      </c>
      <c r="K263" s="2" t="n">
        <v>-3.022491654</v>
      </c>
      <c r="M263" s="2" t="n">
        <v>-1.842831478</v>
      </c>
      <c r="N263" s="2" t="n">
        <v>0.301985531</v>
      </c>
      <c r="O263" s="2" t="n">
        <v>1.903646933</v>
      </c>
      <c r="P263" s="2" t="n">
        <v>-7.673858528</v>
      </c>
      <c r="Q263" s="2" t="n">
        <v>-1.233452463</v>
      </c>
      <c r="R263" s="2" t="n">
        <v>-0.372422765</v>
      </c>
      <c r="S263" s="2" t="n">
        <v>0.151768101</v>
      </c>
      <c r="T263" s="2" t="n">
        <v>2.134708637</v>
      </c>
      <c r="U263" s="2" t="n">
        <v>-3.277812613</v>
      </c>
      <c r="V263" s="2" t="n">
        <v>-0.059840799</v>
      </c>
      <c r="W263" s="2" t="n">
        <v>2.376054121</v>
      </c>
      <c r="X263" s="2" t="n">
        <v>-0.598597323</v>
      </c>
      <c r="Y263" s="2" t="n">
        <v>3.146961725</v>
      </c>
      <c r="Z263" s="2" t="n">
        <v>2.814307628</v>
      </c>
      <c r="AA263" s="2" t="n">
        <v>-1.185036124</v>
      </c>
      <c r="AB263" s="2" t="n">
        <v>0.97817984</v>
      </c>
      <c r="AC263" s="2" t="n">
        <v>1.228226527</v>
      </c>
      <c r="AD263" s="2" t="n">
        <v>0.896596368</v>
      </c>
      <c r="AE263" s="2" t="n">
        <v>-4.428694766</v>
      </c>
      <c r="AF263" s="2" t="n">
        <v>1.814009057</v>
      </c>
      <c r="AH263" s="2" t="n">
        <v>-1.190265346</v>
      </c>
      <c r="AI263" s="2" t="n">
        <v>1.737079606</v>
      </c>
      <c r="AJ263" s="2" t="n">
        <v>2.592622977</v>
      </c>
      <c r="AK263" s="2" t="n">
        <v>-1.013267476</v>
      </c>
      <c r="AN263" s="2" t="n">
        <v>1.809899642</v>
      </c>
      <c r="AO263" s="2" t="n">
        <v>6.09503</v>
      </c>
      <c r="AP263" s="2" t="n">
        <v>2.515111215</v>
      </c>
      <c r="AQ263" s="2" t="n">
        <v>3.710848939</v>
      </c>
      <c r="AR263" s="2" t="n">
        <v>7.5</v>
      </c>
      <c r="AS263" s="2" t="n">
        <v>3.994314266</v>
      </c>
      <c r="AT263" s="2" t="n">
        <v>3.015825055</v>
      </c>
      <c r="AU263" t="n">
        <v>-1.382521372</v>
      </c>
    </row>
    <row r="264">
      <c r="A264" t="inlineStr">
        <is>
          <t>2012-Q4</t>
        </is>
      </c>
      <c r="B264" s="3" t="n">
        <v>41275</v>
      </c>
      <c r="C264" s="2" t="n">
        <v>2.835442667</v>
      </c>
      <c r="E264" s="2" t="n">
        <v>0.411142977</v>
      </c>
      <c r="F264" s="2" t="n">
        <v>0.73508073</v>
      </c>
      <c r="H264" s="2" t="n">
        <v>-1.233918475</v>
      </c>
      <c r="I264" s="2" t="n">
        <v>0.243074925</v>
      </c>
      <c r="J264" s="2" t="n">
        <v>-0.062150336</v>
      </c>
      <c r="K264" s="2" t="n">
        <v>-3.133862306</v>
      </c>
      <c r="M264" s="2" t="n">
        <v>-1.946007999</v>
      </c>
      <c r="N264" s="2" t="n">
        <v>0.058215139</v>
      </c>
      <c r="O264" s="2" t="n">
        <v>1.54997487</v>
      </c>
      <c r="P264" s="2" t="n">
        <v>-4.32557747</v>
      </c>
      <c r="Q264" s="2" t="n">
        <v>-2.269972255</v>
      </c>
      <c r="R264" s="2" t="n">
        <v>0.698812472</v>
      </c>
      <c r="S264" s="2" t="n">
        <v>0.259147602</v>
      </c>
      <c r="T264" s="2" t="n">
        <v>1.988897317</v>
      </c>
      <c r="U264" s="2" t="n">
        <v>-3.161266181</v>
      </c>
      <c r="V264" s="2" t="n">
        <v>0.015891169</v>
      </c>
      <c r="W264" s="2" t="n">
        <v>2.406572286</v>
      </c>
      <c r="X264" s="2" t="n">
        <v>0.301743308</v>
      </c>
      <c r="Y264" s="2" t="n">
        <v>3.109244889</v>
      </c>
      <c r="Z264" s="2" t="n">
        <v>2.961640041</v>
      </c>
      <c r="AA264" s="2" t="n">
        <v>-1.281519432</v>
      </c>
      <c r="AB264" s="2" t="n">
        <v>1.750828784</v>
      </c>
      <c r="AC264" s="2" t="n">
        <v>0.831175332</v>
      </c>
      <c r="AD264" s="2" t="n">
        <v>-0.266836975</v>
      </c>
      <c r="AE264" s="2" t="n">
        <v>-4.527642954</v>
      </c>
      <c r="AF264" s="2" t="n">
        <v>0.832383362</v>
      </c>
      <c r="AH264" s="2" t="n">
        <v>-0.487678703</v>
      </c>
      <c r="AI264" s="2" t="n">
        <v>2.767661654</v>
      </c>
      <c r="AJ264" s="2" t="n">
        <v>1.566064346</v>
      </c>
      <c r="AK264" s="2" t="n">
        <v>-1.039266427</v>
      </c>
      <c r="AN264" s="2" t="n">
        <v>1.588156343</v>
      </c>
      <c r="AO264" s="2" t="n">
        <v>5.63357</v>
      </c>
      <c r="AP264" s="2" t="n">
        <v>2.30420068</v>
      </c>
      <c r="AQ264" s="2" t="n">
        <v>2.516876392</v>
      </c>
      <c r="AR264" s="2" t="n">
        <v>8.1</v>
      </c>
      <c r="AS264" s="2" t="n">
        <v>4.24628335</v>
      </c>
      <c r="AT264" s="2" t="n">
        <v>2.111960548</v>
      </c>
      <c r="AU264" t="n">
        <v>0.210100419</v>
      </c>
    </row>
    <row r="265">
      <c r="A265" t="inlineStr">
        <is>
          <t>2013-Q1</t>
        </is>
      </c>
      <c r="B265" s="3" t="n">
        <v>41365</v>
      </c>
      <c r="C265" s="2" t="n">
        <v>2.193204408</v>
      </c>
      <c r="E265" s="2" t="n">
        <v>-0.079050592</v>
      </c>
      <c r="F265" s="2" t="n">
        <v>1.573583484</v>
      </c>
      <c r="H265" s="2" t="n">
        <v>-1.359149167</v>
      </c>
      <c r="I265" s="2" t="n">
        <v>-0.435611518</v>
      </c>
      <c r="J265" s="2" t="n">
        <v>0.5711882029999999</v>
      </c>
      <c r="K265" s="2" t="n">
        <v>-2.530045721</v>
      </c>
      <c r="M265" s="2" t="n">
        <v>-2.359964294</v>
      </c>
      <c r="N265" s="2" t="n">
        <v>-0.045884985</v>
      </c>
      <c r="O265" s="2" t="n">
        <v>1.384914416</v>
      </c>
      <c r="P265" s="2" t="n">
        <v>-4.761378261</v>
      </c>
      <c r="Q265" s="2" t="n">
        <v>-0.320140333</v>
      </c>
      <c r="R265" s="2" t="n">
        <v>-0.717043565</v>
      </c>
      <c r="S265" s="2" t="n">
        <v>4.364750343</v>
      </c>
      <c r="T265" s="2" t="n">
        <v>2.930666649</v>
      </c>
      <c r="U265" s="2" t="n">
        <v>-2.892420867</v>
      </c>
      <c r="V265" s="2" t="n">
        <v>0.011022025</v>
      </c>
      <c r="W265" s="2" t="n">
        <v>2.403988302</v>
      </c>
      <c r="X265" s="2" t="n">
        <v>2.18289118</v>
      </c>
      <c r="Y265" s="2" t="n">
        <v>1.754454738</v>
      </c>
      <c r="Z265" s="2" t="n">
        <v>2.557406951</v>
      </c>
      <c r="AA265" s="2" t="n">
        <v>-0.754979428</v>
      </c>
      <c r="AB265" s="2" t="n">
        <v>-0.259800733</v>
      </c>
      <c r="AC265" s="2" t="n">
        <v>0.942039887</v>
      </c>
      <c r="AD265" s="2" t="n">
        <v>-0.261988774</v>
      </c>
      <c r="AE265" s="2" t="n">
        <v>-3.604207477</v>
      </c>
      <c r="AF265" s="2" t="n">
        <v>0.326419961</v>
      </c>
      <c r="AH265" s="2" t="n">
        <v>0.697385585</v>
      </c>
      <c r="AI265" s="2" t="n">
        <v>1.856456165</v>
      </c>
      <c r="AJ265" s="2" t="n">
        <v>1.616301095</v>
      </c>
      <c r="AK265" s="2" t="n">
        <v>-1.173055623</v>
      </c>
      <c r="AN265" s="2" t="n">
        <v>1.00127032</v>
      </c>
      <c r="AO265" s="2" t="n">
        <v>5.86066</v>
      </c>
      <c r="AP265" s="2" t="n">
        <v>2.516995892</v>
      </c>
      <c r="AQ265" s="2" t="n">
        <v>1.737621929</v>
      </c>
      <c r="AR265" s="2" t="n">
        <v>7.9</v>
      </c>
      <c r="AS265" s="2" t="n">
        <v>8.263883862</v>
      </c>
      <c r="AT265" s="2" t="n">
        <v>3.927075998</v>
      </c>
      <c r="AU265" t="n">
        <v>1.27767067</v>
      </c>
    </row>
    <row r="266">
      <c r="A266" t="inlineStr">
        <is>
          <t>2013-Q2</t>
        </is>
      </c>
      <c r="B266" s="3" t="n">
        <v>41456</v>
      </c>
      <c r="C266" s="2" t="n">
        <v>1.864837716</v>
      </c>
      <c r="E266" s="2" t="n">
        <v>0.505328464</v>
      </c>
      <c r="F266" s="2" t="n">
        <v>1.830937489</v>
      </c>
      <c r="H266" s="2" t="n">
        <v>-0.543689248</v>
      </c>
      <c r="I266" s="2" t="n">
        <v>0.439963565</v>
      </c>
      <c r="J266" s="2" t="n">
        <v>0.570215085</v>
      </c>
      <c r="K266" s="2" t="n">
        <v>-1.670138916</v>
      </c>
      <c r="M266" s="2" t="n">
        <v>-0.860853711</v>
      </c>
      <c r="N266" s="2" t="n">
        <v>0.771092996</v>
      </c>
      <c r="O266" s="2" t="n">
        <v>2.350491619</v>
      </c>
      <c r="P266" s="2" t="n">
        <v>-2.993292895</v>
      </c>
      <c r="Q266" s="2" t="n">
        <v>1.409325269</v>
      </c>
      <c r="R266" s="2" t="n">
        <v>0.203741963</v>
      </c>
      <c r="S266" s="2" t="n">
        <v>4.549940909</v>
      </c>
      <c r="T266" s="2" t="n">
        <v>5.09200473</v>
      </c>
      <c r="U266" s="2" t="n">
        <v>-2.195690996</v>
      </c>
      <c r="V266" s="2" t="n">
        <v>1.829307623</v>
      </c>
      <c r="W266" s="2" t="n">
        <v>3.014827768</v>
      </c>
      <c r="X266" s="2" t="n">
        <v>3.585357482</v>
      </c>
      <c r="Y266" s="2" t="n">
        <v>2.174382615</v>
      </c>
      <c r="Z266" s="2" t="n">
        <v>1.106305192</v>
      </c>
      <c r="AA266" s="2" t="n">
        <v>-0.9859058469999999</v>
      </c>
      <c r="AB266" s="2" t="n">
        <v>0.224409788</v>
      </c>
      <c r="AC266" s="2" t="n">
        <v>1.354510924</v>
      </c>
      <c r="AD266" s="2" t="n">
        <v>1.059234048</v>
      </c>
      <c r="AE266" s="2" t="n">
        <v>-1.546055897</v>
      </c>
      <c r="AF266" s="2" t="n">
        <v>0.367033162</v>
      </c>
      <c r="AH266" s="2" t="n">
        <v>0.424947249</v>
      </c>
      <c r="AI266" s="2" t="n">
        <v>2.692437508</v>
      </c>
      <c r="AJ266" s="2" t="n">
        <v>1.29617049</v>
      </c>
      <c r="AK266" s="2" t="n">
        <v>-0.385341628</v>
      </c>
      <c r="AN266" s="2" t="n">
        <v>1.94709181</v>
      </c>
      <c r="AO266" s="2" t="n">
        <v>6.11795</v>
      </c>
      <c r="AP266" s="2" t="n">
        <v>2.407849915</v>
      </c>
      <c r="AQ266" s="2" t="n">
        <v>1.673388893</v>
      </c>
      <c r="AR266" s="2" t="n">
        <v>7.6</v>
      </c>
      <c r="AS266" s="2" t="n">
        <v>9.54976744</v>
      </c>
      <c r="AT266" s="2" t="n">
        <v>3.91841454</v>
      </c>
      <c r="AU266" t="n">
        <v>5.451107459</v>
      </c>
    </row>
    <row r="267">
      <c r="A267" t="inlineStr">
        <is>
          <t>2013-Q3</t>
        </is>
      </c>
      <c r="B267" s="3" t="n">
        <v>41548</v>
      </c>
      <c r="C267" s="2" t="n">
        <v>2.087210372</v>
      </c>
      <c r="E267" s="2" t="n">
        <v>0.5719818719999999</v>
      </c>
      <c r="F267" s="2" t="n">
        <v>2.521181159</v>
      </c>
      <c r="H267" s="2" t="n">
        <v>0.113273973</v>
      </c>
      <c r="I267" s="2" t="n">
        <v>0.729425255</v>
      </c>
      <c r="J267" s="2" t="n">
        <v>1.11226999</v>
      </c>
      <c r="K267" s="2" t="n">
        <v>-1.220482784</v>
      </c>
      <c r="M267" s="2" t="n">
        <v>-0.130193592</v>
      </c>
      <c r="N267" s="2" t="n">
        <v>0.588939268</v>
      </c>
      <c r="O267" s="2" t="n">
        <v>2.063117716</v>
      </c>
      <c r="P267" s="2" t="n">
        <v>-1.688055293</v>
      </c>
      <c r="Q267" s="2" t="n">
        <v>2.738951183</v>
      </c>
      <c r="R267" s="2" t="n">
        <v>3.982399931</v>
      </c>
      <c r="S267" s="2" t="n">
        <v>3.628382746</v>
      </c>
      <c r="T267" s="2" t="n">
        <v>5.300797614</v>
      </c>
      <c r="U267" s="2" t="n">
        <v>-1.456525907</v>
      </c>
      <c r="V267" s="2" t="n">
        <v>3.196431206</v>
      </c>
      <c r="W267" s="2" t="n">
        <v>3.473511616</v>
      </c>
      <c r="X267" s="2" t="n">
        <v>5.670098665</v>
      </c>
      <c r="Y267" s="2" t="n">
        <v>2.478014028</v>
      </c>
      <c r="Z267" s="2" t="n">
        <v>1.455811466</v>
      </c>
      <c r="AA267" s="2" t="n">
        <v>0.039970728</v>
      </c>
      <c r="AB267" s="2" t="n">
        <v>2.695985514</v>
      </c>
      <c r="AC267" s="2" t="n">
        <v>1.909674187</v>
      </c>
      <c r="AD267" s="2" t="n">
        <v>1.380458466</v>
      </c>
      <c r="AE267" s="2" t="n">
        <v>-0.560105728</v>
      </c>
      <c r="AF267" s="2" t="n">
        <v>0.65640001</v>
      </c>
      <c r="AH267" s="2" t="n">
        <v>1.035379765</v>
      </c>
      <c r="AI267" s="2" t="n">
        <v>3.012896324</v>
      </c>
      <c r="AJ267" s="2" t="n">
        <v>1.91984462</v>
      </c>
      <c r="AK267" s="2" t="n">
        <v>0.049202921</v>
      </c>
      <c r="AN267" s="2" t="n">
        <v>2.012326812</v>
      </c>
      <c r="AO267" s="2" t="n">
        <v>5.91688</v>
      </c>
      <c r="AP267" s="2" t="n">
        <v>2.477104493</v>
      </c>
      <c r="AQ267" s="2" t="n">
        <v>1.192622281</v>
      </c>
      <c r="AR267" s="2" t="n">
        <v>7.9</v>
      </c>
      <c r="AS267" s="2" t="n">
        <v>9.228090256</v>
      </c>
      <c r="AT267" s="2" t="n">
        <v>2.435536884</v>
      </c>
      <c r="AU267" t="n">
        <v>2.884127653</v>
      </c>
    </row>
    <row r="268">
      <c r="A268" t="inlineStr">
        <is>
          <t>2013-Q4</t>
        </is>
      </c>
      <c r="B268" s="3" t="n">
        <v>41640</v>
      </c>
      <c r="C268" s="2" t="n">
        <v>2.386791377</v>
      </c>
      <c r="E268" s="2" t="n">
        <v>0.83789398</v>
      </c>
      <c r="F268" s="2" t="n">
        <v>3.384447333</v>
      </c>
      <c r="H268" s="2" t="n">
        <v>1.630396629</v>
      </c>
      <c r="I268" s="2" t="n">
        <v>1.483648492</v>
      </c>
      <c r="J268" s="2" t="n">
        <v>1.479632236</v>
      </c>
      <c r="K268" s="2" t="n">
        <v>-0.295494008</v>
      </c>
      <c r="M268" s="2" t="n">
        <v>-0.232263912</v>
      </c>
      <c r="N268" s="2" t="n">
        <v>1.144735351</v>
      </c>
      <c r="O268" s="2" t="n">
        <v>2.941275161</v>
      </c>
      <c r="P268" s="2" t="n">
        <v>-0.719185707</v>
      </c>
      <c r="Q268" s="2" t="n">
        <v>3.674902981</v>
      </c>
      <c r="R268" s="2" t="n">
        <v>2.883728189</v>
      </c>
      <c r="S268" s="2" t="n">
        <v>5.64586839</v>
      </c>
      <c r="T268" s="2" t="n">
        <v>5.401843353</v>
      </c>
      <c r="U268" s="2" t="n">
        <v>-0.885724298</v>
      </c>
      <c r="V268" s="2" t="n">
        <v>3.161878895</v>
      </c>
      <c r="W268" s="2" t="n">
        <v>3.755183823</v>
      </c>
      <c r="X268" s="2" t="n">
        <v>3.178859349</v>
      </c>
      <c r="Y268" s="2" t="n">
        <v>3.066730211</v>
      </c>
      <c r="Z268" s="2" t="n">
        <v>1.195013883</v>
      </c>
      <c r="AA268" s="2" t="n">
        <v>1.38497114</v>
      </c>
      <c r="AB268" s="2" t="n">
        <v>1.683099367</v>
      </c>
      <c r="AC268" s="2" t="n">
        <v>2.369501788</v>
      </c>
      <c r="AD268" s="2" t="n">
        <v>2.185589475</v>
      </c>
      <c r="AE268" s="2" t="n">
        <v>2.143056093</v>
      </c>
      <c r="AF268" s="2" t="n">
        <v>1.314895893</v>
      </c>
      <c r="AH268" s="2" t="n">
        <v>2.451638326</v>
      </c>
      <c r="AI268" s="2" t="n">
        <v>1.672377832</v>
      </c>
      <c r="AJ268" s="2" t="n">
        <v>2.532049778</v>
      </c>
      <c r="AK268" s="2" t="n">
        <v>0.745319666</v>
      </c>
      <c r="AN268" s="2" t="n">
        <v>2.457009058</v>
      </c>
      <c r="AO268" s="2" t="n">
        <v>6.97856</v>
      </c>
      <c r="AP268" s="2" t="n">
        <v>2.5397362</v>
      </c>
      <c r="AQ268" s="2" t="n">
        <v>1.708580709</v>
      </c>
      <c r="AR268" s="2" t="n">
        <v>7.7</v>
      </c>
      <c r="AS268" s="2" t="n">
        <v>7.713279186</v>
      </c>
      <c r="AT268" s="2" t="n">
        <v>2.590256191</v>
      </c>
      <c r="AU268" t="n">
        <v>0.144380722</v>
      </c>
    </row>
    <row r="269">
      <c r="A269" t="inlineStr">
        <is>
          <t>2014-Q1</t>
        </is>
      </c>
      <c r="B269" s="3" t="n">
        <v>41730</v>
      </c>
      <c r="C269" s="2" t="n">
        <v>2.776138994</v>
      </c>
      <c r="E269" s="2" t="n">
        <v>1.55021681</v>
      </c>
      <c r="F269" s="2" t="n">
        <v>2.632805647</v>
      </c>
      <c r="H269" s="2" t="n">
        <v>1.396007756</v>
      </c>
      <c r="I269" s="2" t="n">
        <v>2.913075283</v>
      </c>
      <c r="J269" s="2" t="n">
        <v>1.166224286</v>
      </c>
      <c r="K269" s="2" t="n">
        <v>0.391740256</v>
      </c>
      <c r="M269" s="2" t="n">
        <v>-0.146658286</v>
      </c>
      <c r="N269" s="2" t="n">
        <v>1.226428283</v>
      </c>
      <c r="O269" s="2" t="n">
        <v>3.185934491</v>
      </c>
      <c r="P269" s="2" t="n">
        <v>0.976382596</v>
      </c>
      <c r="Q269" s="2" t="n">
        <v>4.271378901</v>
      </c>
      <c r="R269" s="2" t="n">
        <v>8.253651776</v>
      </c>
      <c r="S269" s="2" t="n">
        <v>1.924687884</v>
      </c>
      <c r="T269" s="2" t="n">
        <v>5.088942666</v>
      </c>
      <c r="U269" s="2" t="n">
        <v>0.103113662</v>
      </c>
      <c r="V269" s="2" t="n">
        <v>2.587269127</v>
      </c>
      <c r="W269" s="2" t="n">
        <v>3.824688709</v>
      </c>
      <c r="X269" s="2" t="n">
        <v>6.902220617</v>
      </c>
      <c r="Y269" s="2" t="n">
        <v>1.38997413</v>
      </c>
      <c r="Z269" s="2" t="n">
        <v>1.625375046</v>
      </c>
      <c r="AA269" s="2" t="n">
        <v>0.962696116</v>
      </c>
      <c r="AB269" s="2" t="n">
        <v>2.058871116</v>
      </c>
      <c r="AC269" s="2" t="n">
        <v>2.130260676</v>
      </c>
      <c r="AD269" s="2" t="n">
        <v>3.165847776</v>
      </c>
      <c r="AE269" s="2" t="n">
        <v>1.066874721</v>
      </c>
      <c r="AF269" s="2" t="n">
        <v>1.975426881</v>
      </c>
      <c r="AH269" s="2" t="n">
        <v>1.893071064</v>
      </c>
      <c r="AI269" s="2" t="n">
        <v>3.495439044</v>
      </c>
      <c r="AJ269" s="2" t="n">
        <v>1.294055859</v>
      </c>
      <c r="AK269" s="2" t="n">
        <v>1.538534061</v>
      </c>
      <c r="AN269" s="2" t="n">
        <v>2.651780894</v>
      </c>
      <c r="AO269" s="2" t="n">
        <v>6.51558</v>
      </c>
      <c r="AP269" s="2" t="n">
        <v>1.609781045</v>
      </c>
      <c r="AQ269" s="2" t="n">
        <v>0.95351966</v>
      </c>
      <c r="AR269" s="2" t="n">
        <v>7.5</v>
      </c>
      <c r="AS269" s="2" t="n">
        <v>7.683130316</v>
      </c>
      <c r="AT269" s="2" t="n">
        <v>3.068135469</v>
      </c>
      <c r="AU269" t="n">
        <v>-1.33043626</v>
      </c>
    </row>
    <row r="270">
      <c r="A270" t="inlineStr">
        <is>
          <t>2014-Q2</t>
        </is>
      </c>
      <c r="B270" s="3" t="n">
        <v>41821</v>
      </c>
      <c r="C270" s="2" t="n">
        <v>2.876744</v>
      </c>
      <c r="E270" s="2" t="n">
        <v>1.228594186</v>
      </c>
      <c r="F270" s="2" t="n">
        <v>2.972572204</v>
      </c>
      <c r="H270" s="2" t="n">
        <v>2.049605777</v>
      </c>
      <c r="I270" s="2" t="n">
        <v>1.82472532</v>
      </c>
      <c r="J270" s="2" t="n">
        <v>1.017899621</v>
      </c>
      <c r="K270" s="2" t="n">
        <v>0.945221705</v>
      </c>
      <c r="M270" s="2" t="n">
        <v>-0.443643947</v>
      </c>
      <c r="N270" s="2" t="n">
        <v>0.694435321</v>
      </c>
      <c r="O270" s="2" t="n">
        <v>3.029318455</v>
      </c>
      <c r="P270" s="2" t="n">
        <v>0.56442636</v>
      </c>
      <c r="Q270" s="2" t="n">
        <v>4.592287815</v>
      </c>
      <c r="R270" s="2" t="n">
        <v>9.570817305</v>
      </c>
      <c r="S270" s="2" t="n">
        <v>0.361291152</v>
      </c>
      <c r="T270" s="2" t="n">
        <v>3.979461804</v>
      </c>
      <c r="U270" s="2" t="n">
        <v>0.117493893</v>
      </c>
      <c r="V270" s="2" t="n">
        <v>-0.192040066</v>
      </c>
      <c r="W270" s="2" t="n">
        <v>3.500273069</v>
      </c>
      <c r="X270" s="2" t="n">
        <v>2.371729121</v>
      </c>
      <c r="Y270" s="2" t="n">
        <v>1.847827944</v>
      </c>
      <c r="Z270" s="2" t="n">
        <v>3.507302935</v>
      </c>
      <c r="AA270" s="2" t="n">
        <v>1.737896984</v>
      </c>
      <c r="AB270" s="2" t="n">
        <v>2.075741003</v>
      </c>
      <c r="AC270" s="2" t="n">
        <v>2.05959823</v>
      </c>
      <c r="AD270" s="2" t="n">
        <v>3.227087963</v>
      </c>
      <c r="AE270" s="2" t="n">
        <v>0.6399180330000001</v>
      </c>
      <c r="AF270" s="2" t="n">
        <v>2.398885952</v>
      </c>
      <c r="AH270" s="2" t="n">
        <v>2.85054429</v>
      </c>
      <c r="AI270" s="2" t="n">
        <v>2.863959381</v>
      </c>
      <c r="AJ270" s="2" t="n">
        <v>2.451999168</v>
      </c>
      <c r="AK270" s="2" t="n">
        <v>1.230753023</v>
      </c>
      <c r="AN270" s="2" t="n">
        <v>2.43282723</v>
      </c>
      <c r="AO270" s="2" t="n">
        <v>7.44613</v>
      </c>
      <c r="AP270" s="2" t="n">
        <v>1.274154405</v>
      </c>
      <c r="AQ270" s="2" t="n">
        <v>1.095628946</v>
      </c>
      <c r="AR270" s="2" t="n">
        <v>7.6</v>
      </c>
      <c r="AS270" s="2" t="n">
        <v>2.914726553</v>
      </c>
      <c r="AT270" s="2" t="n">
        <v>-0.213674037</v>
      </c>
      <c r="AU270" t="n">
        <v>-2.447981559</v>
      </c>
    </row>
    <row r="271">
      <c r="A271" t="inlineStr">
        <is>
          <t>2014-Q3</t>
        </is>
      </c>
      <c r="B271" s="3" t="n">
        <v>41913</v>
      </c>
      <c r="C271" s="2" t="n">
        <v>2.558888364</v>
      </c>
      <c r="E271" s="2" t="n">
        <v>1.612887217</v>
      </c>
      <c r="F271" s="2" t="n">
        <v>3.119733603</v>
      </c>
      <c r="H271" s="2" t="n">
        <v>2.795065238</v>
      </c>
      <c r="I271" s="2" t="n">
        <v>1.783270004</v>
      </c>
      <c r="J271" s="2" t="n">
        <v>2.062368885</v>
      </c>
      <c r="K271" s="2" t="n">
        <v>1.74793584</v>
      </c>
      <c r="M271" s="2" t="n">
        <v>-0.406204538</v>
      </c>
      <c r="N271" s="2" t="n">
        <v>1.192750419</v>
      </c>
      <c r="O271" s="2" t="n">
        <v>2.651067808</v>
      </c>
      <c r="P271" s="2" t="n">
        <v>1.408444139</v>
      </c>
      <c r="Q271" s="2" t="n">
        <v>4.017359321</v>
      </c>
      <c r="R271" s="2" t="n">
        <v>7.694719317</v>
      </c>
      <c r="S271" s="2" t="n">
        <v>4.15867896</v>
      </c>
      <c r="T271" s="2" t="n">
        <v>3.756028861</v>
      </c>
      <c r="U271" s="2" t="n">
        <v>0.04088209</v>
      </c>
      <c r="V271" s="2" t="n">
        <v>-1.047607903</v>
      </c>
      <c r="W271" s="2" t="n">
        <v>2.930433986</v>
      </c>
      <c r="X271" s="2" t="n">
        <v>2.830407827</v>
      </c>
      <c r="Y271" s="2" t="n">
        <v>0.968225111</v>
      </c>
      <c r="Z271" s="2" t="n">
        <v>2.895728989</v>
      </c>
      <c r="AA271" s="2" t="n">
        <v>1.380732704</v>
      </c>
      <c r="AB271" s="2" t="n">
        <v>1.509140696</v>
      </c>
      <c r="AC271" s="2" t="n">
        <v>2.104018313</v>
      </c>
      <c r="AD271" s="2" t="n">
        <v>3.310095736</v>
      </c>
      <c r="AE271" s="2" t="n">
        <v>0.875727424</v>
      </c>
      <c r="AF271" s="2" t="n">
        <v>2.860516362</v>
      </c>
      <c r="AH271" s="2" t="n">
        <v>3.114338585</v>
      </c>
      <c r="AI271" s="2" t="n">
        <v>3.58918221</v>
      </c>
      <c r="AJ271" s="2" t="n">
        <v>2.831456926</v>
      </c>
      <c r="AK271" s="2" t="n">
        <v>1.366811522</v>
      </c>
      <c r="AN271" s="2" t="n">
        <v>2.208412114</v>
      </c>
      <c r="AO271" s="2" t="n">
        <v>7.68372</v>
      </c>
      <c r="AP271" s="2" t="n">
        <v>1.280322755</v>
      </c>
      <c r="AQ271" s="2" t="n">
        <v>0.733254645</v>
      </c>
      <c r="AR271" s="2" t="n">
        <v>7.2</v>
      </c>
      <c r="AS271" s="2" t="n">
        <v>3.921101733</v>
      </c>
      <c r="AT271" s="2" t="n">
        <v>-0.54621795</v>
      </c>
      <c r="AU271" t="n">
        <v>-3.852852866</v>
      </c>
    </row>
    <row r="272">
      <c r="A272" t="inlineStr">
        <is>
          <t>2014-Q4</t>
        </is>
      </c>
      <c r="B272" s="3" t="n">
        <v>42005</v>
      </c>
      <c r="C272" s="2" t="n">
        <v>2.08443578</v>
      </c>
      <c r="E272" s="2" t="n">
        <v>1.921343752</v>
      </c>
      <c r="F272" s="2" t="n">
        <v>2.75380714</v>
      </c>
      <c r="H272" s="2" t="n">
        <v>2.79273164</v>
      </c>
      <c r="I272" s="2" t="n">
        <v>2.302105746</v>
      </c>
      <c r="J272" s="2" t="n">
        <v>2.222885506</v>
      </c>
      <c r="K272" s="2" t="n">
        <v>2.450614801</v>
      </c>
      <c r="M272" s="2" t="n">
        <v>-0.465609267</v>
      </c>
      <c r="N272" s="2" t="n">
        <v>0.787763335</v>
      </c>
      <c r="O272" s="2" t="n">
        <v>2.593412772</v>
      </c>
      <c r="P272" s="2" t="n">
        <v>0.03696693</v>
      </c>
      <c r="Q272" s="2" t="n">
        <v>3.715151242</v>
      </c>
      <c r="R272" s="2" t="n">
        <v>8.396588693</v>
      </c>
      <c r="S272" s="2" t="n">
        <v>0.3576003</v>
      </c>
      <c r="T272" s="2" t="n">
        <v>4.548456104</v>
      </c>
      <c r="U272" s="2" t="n">
        <v>0.01632552</v>
      </c>
      <c r="V272" s="2" t="n">
        <v>-0.445820752</v>
      </c>
      <c r="W272" s="2" t="n">
        <v>2.574595409</v>
      </c>
      <c r="X272" s="2" t="n">
        <v>5.176833523</v>
      </c>
      <c r="Y272" s="2" t="n">
        <v>0.685854237</v>
      </c>
      <c r="Z272" s="2" t="n">
        <v>3.399536073</v>
      </c>
      <c r="AA272" s="2" t="n">
        <v>1.643506055</v>
      </c>
      <c r="AB272" s="2" t="n">
        <v>2.932525278</v>
      </c>
      <c r="AC272" s="2" t="n">
        <v>2.168802868</v>
      </c>
      <c r="AD272" s="2" t="n">
        <v>3.710264761</v>
      </c>
      <c r="AE272" s="2" t="n">
        <v>0.590349244</v>
      </c>
      <c r="AF272" s="2" t="n">
        <v>3.321541508</v>
      </c>
      <c r="AH272" s="2" t="n">
        <v>3.159690026</v>
      </c>
      <c r="AI272" s="2" t="n">
        <v>4.95446813</v>
      </c>
      <c r="AJ272" s="2" t="n">
        <v>2.563759666</v>
      </c>
      <c r="AK272" s="2" t="n">
        <v>1.510256084</v>
      </c>
      <c r="AN272" s="2" t="n">
        <v>2.401466673</v>
      </c>
      <c r="AO272" s="2" t="n">
        <v>6.98069</v>
      </c>
      <c r="AP272" s="2" t="n">
        <v>1.492299283</v>
      </c>
      <c r="AQ272" s="2" t="n">
        <v>-0.081061665</v>
      </c>
      <c r="AR272" s="2" t="n">
        <v>7.3</v>
      </c>
      <c r="AS272" s="2" t="n">
        <v>5.117751062</v>
      </c>
      <c r="AT272" s="2" t="n">
        <v>-0.164344434</v>
      </c>
      <c r="AU272" t="n">
        <v>-2.403877466</v>
      </c>
    </row>
    <row r="273">
      <c r="A273" t="inlineStr">
        <is>
          <t>2015-Q1</t>
        </is>
      </c>
      <c r="B273" s="3" t="n">
        <v>42095</v>
      </c>
      <c r="C273" s="2" t="n">
        <v>2.247924053</v>
      </c>
      <c r="E273" s="2" t="n">
        <v>2.012721266</v>
      </c>
      <c r="F273" s="2" t="n">
        <v>2.022401696</v>
      </c>
      <c r="H273" s="2" t="n">
        <v>5.281546598</v>
      </c>
      <c r="I273" s="2" t="n">
        <v>0.81967864</v>
      </c>
      <c r="J273" s="2" t="n">
        <v>2.662785995</v>
      </c>
      <c r="K273" s="2" t="n">
        <v>3.246965453</v>
      </c>
      <c r="M273" s="2" t="n">
        <v>-0.471140274</v>
      </c>
      <c r="N273" s="2" t="n">
        <v>1.182269136</v>
      </c>
      <c r="O273" s="2" t="n">
        <v>2.36237665</v>
      </c>
      <c r="P273" s="2" t="n">
        <v>-0.121666836</v>
      </c>
      <c r="Q273" s="2" t="n">
        <v>4.662163696</v>
      </c>
      <c r="R273" s="2" t="n">
        <v>29.400004799</v>
      </c>
      <c r="S273" s="2" t="n">
        <v>1.518408163</v>
      </c>
      <c r="T273" s="2" t="n">
        <v>3.454156328</v>
      </c>
      <c r="U273" s="2" t="n">
        <v>0.14673266</v>
      </c>
      <c r="V273" s="2" t="n">
        <v>0.264878726</v>
      </c>
      <c r="W273" s="2" t="n">
        <v>2.480268289</v>
      </c>
      <c r="X273" s="2" t="n">
        <v>3.881702184</v>
      </c>
      <c r="Y273" s="2" t="n">
        <v>3.218972824</v>
      </c>
      <c r="Z273" s="2" t="n">
        <v>3.253548539</v>
      </c>
      <c r="AA273" s="2" t="n">
        <v>2.34598117</v>
      </c>
      <c r="AB273" s="2" t="n">
        <v>2.136295482</v>
      </c>
      <c r="AC273" s="2" t="n">
        <v>2.637206018</v>
      </c>
      <c r="AD273" s="2" t="n">
        <v>4.106552871</v>
      </c>
      <c r="AE273" s="2" t="n">
        <v>1.892981477</v>
      </c>
      <c r="AF273" s="2" t="n">
        <v>4.41766091</v>
      </c>
      <c r="AH273" s="2" t="n">
        <v>3.783356136</v>
      </c>
      <c r="AI273" s="2" t="n">
        <v>3.78406339</v>
      </c>
      <c r="AJ273" s="2" t="n">
        <v>3.761202773</v>
      </c>
      <c r="AK273" s="2" t="n">
        <v>1.761872219</v>
      </c>
      <c r="AN273" s="2" t="n">
        <v>1.59522609</v>
      </c>
      <c r="AO273" s="2" t="n">
        <v>7.53607</v>
      </c>
      <c r="AP273" s="2" t="n">
        <v>2.366630487</v>
      </c>
      <c r="AQ273" s="2" t="n">
        <v>-1.090845082</v>
      </c>
      <c r="AR273" s="2" t="n">
        <v>7.1</v>
      </c>
      <c r="AS273" s="2" t="n">
        <v>4.08566093</v>
      </c>
      <c r="AT273" s="2" t="n">
        <v>-1.711277767</v>
      </c>
      <c r="AU273" t="n">
        <v>0.538078503</v>
      </c>
    </row>
    <row r="274">
      <c r="A274" t="inlineStr">
        <is>
          <t>2015-Q2</t>
        </is>
      </c>
      <c r="B274" s="3" t="n">
        <v>42186</v>
      </c>
      <c r="C274" s="2" t="n">
        <v>1.885680478</v>
      </c>
      <c r="E274" s="2" t="n">
        <v>2.426382359</v>
      </c>
      <c r="F274" s="2" t="n">
        <v>0.823871439</v>
      </c>
      <c r="H274" s="2" t="n">
        <v>5.745739998</v>
      </c>
      <c r="I274" s="2" t="n">
        <v>1.532410198</v>
      </c>
      <c r="J274" s="2" t="n">
        <v>3.217787663</v>
      </c>
      <c r="K274" s="2" t="n">
        <v>3.873276253</v>
      </c>
      <c r="M274" s="2" t="n">
        <v>0.8798156579999999</v>
      </c>
      <c r="N274" s="2" t="n">
        <v>1.078271113</v>
      </c>
      <c r="O274" s="2" t="n">
        <v>2.459781982</v>
      </c>
      <c r="P274" s="2" t="n">
        <v>0.019063893</v>
      </c>
      <c r="Q274" s="2" t="n">
        <v>3.453841611</v>
      </c>
      <c r="R274" s="2" t="n">
        <v>21.618111009</v>
      </c>
      <c r="S274" s="2" t="n">
        <v>7.783196254</v>
      </c>
      <c r="T274" s="2" t="n">
        <v>2.570040706</v>
      </c>
      <c r="U274" s="2" t="n">
        <v>0.516210635</v>
      </c>
      <c r="V274" s="2" t="n">
        <v>2.241079348</v>
      </c>
      <c r="W274" s="2" t="n">
        <v>2.04324107</v>
      </c>
      <c r="X274" s="2" t="n">
        <v>6.366992646</v>
      </c>
      <c r="Y274" s="2" t="n">
        <v>4.080787501</v>
      </c>
      <c r="Z274" s="2" t="n">
        <v>3.175664728</v>
      </c>
      <c r="AA274" s="2" t="n">
        <v>2.064727176</v>
      </c>
      <c r="AB274" s="2" t="n">
        <v>1.924453777</v>
      </c>
      <c r="AC274" s="2" t="n">
        <v>2.709521258</v>
      </c>
      <c r="AD274" s="2" t="n">
        <v>3.740776168</v>
      </c>
      <c r="AE274" s="2" t="n">
        <v>1.857357964</v>
      </c>
      <c r="AF274" s="2" t="n">
        <v>4.888399423</v>
      </c>
      <c r="AH274" s="2" t="n">
        <v>3.93338351</v>
      </c>
      <c r="AI274" s="2" t="n">
        <v>3.914086256</v>
      </c>
      <c r="AJ274" s="2" t="n">
        <v>3.039854675</v>
      </c>
      <c r="AK274" s="2" t="n">
        <v>1.975110072</v>
      </c>
      <c r="AN274" s="2" t="n">
        <v>1.637641039</v>
      </c>
      <c r="AO274" s="2" t="n">
        <v>7.38039</v>
      </c>
      <c r="AP274" s="2" t="n">
        <v>1.103366057</v>
      </c>
      <c r="AQ274" s="2" t="n">
        <v>-2.224746708</v>
      </c>
      <c r="AR274" s="2" t="n">
        <v>7.1</v>
      </c>
      <c r="AS274" s="2" t="n">
        <v>7.414384034</v>
      </c>
      <c r="AT274" s="2" t="n">
        <v>-2.783570809</v>
      </c>
      <c r="AU274" t="n">
        <v>3.511301062</v>
      </c>
    </row>
    <row r="275">
      <c r="A275" t="inlineStr">
        <is>
          <t>2015-Q3</t>
        </is>
      </c>
      <c r="B275" s="3" t="n">
        <v>42278</v>
      </c>
      <c r="C275" s="2" t="n">
        <v>2.473594984</v>
      </c>
      <c r="E275" s="2" t="n">
        <v>1.918418379</v>
      </c>
      <c r="F275" s="2" t="n">
        <v>0.219332497</v>
      </c>
      <c r="H275" s="2" t="n">
        <v>5.757359353</v>
      </c>
      <c r="I275" s="2" t="n">
        <v>1.493771112</v>
      </c>
      <c r="J275" s="2" t="n">
        <v>1.824728012</v>
      </c>
      <c r="K275" s="2" t="n">
        <v>4.048558095</v>
      </c>
      <c r="M275" s="2" t="n">
        <v>0.48184543</v>
      </c>
      <c r="N275" s="2" t="n">
        <v>0.922962232</v>
      </c>
      <c r="O275" s="2" t="n">
        <v>2.279400309</v>
      </c>
      <c r="P275" s="2" t="n">
        <v>-2.328475999</v>
      </c>
      <c r="Q275" s="2" t="n">
        <v>3.254133415</v>
      </c>
      <c r="R275" s="2" t="n">
        <v>24.784595927</v>
      </c>
      <c r="S275" s="2" t="n">
        <v>3.263728572</v>
      </c>
      <c r="T275" s="2" t="n">
        <v>1.73244618</v>
      </c>
      <c r="U275" s="2" t="n">
        <v>0.6112304200000001</v>
      </c>
      <c r="V275" s="2" t="n">
        <v>2.249153865</v>
      </c>
      <c r="W275" s="2" t="n">
        <v>3.232595765</v>
      </c>
      <c r="X275" s="2" t="n">
        <v>3.100705355</v>
      </c>
      <c r="Y275" s="2" t="n">
        <v>4.447353493</v>
      </c>
      <c r="Z275" s="2" t="n">
        <v>4.098874507</v>
      </c>
      <c r="AA275" s="2" t="n">
        <v>2.159549803</v>
      </c>
      <c r="AB275" s="2" t="n">
        <v>2.687144937</v>
      </c>
      <c r="AC275" s="2" t="n">
        <v>2.459826609</v>
      </c>
      <c r="AD275" s="2" t="n">
        <v>4.187487915</v>
      </c>
      <c r="AE275" s="2" t="n">
        <v>1.876774457</v>
      </c>
      <c r="AF275" s="2" t="n">
        <v>5.119581188</v>
      </c>
      <c r="AH275" s="2" t="n">
        <v>4.643966946</v>
      </c>
      <c r="AI275" s="2" t="n">
        <v>3.706556712</v>
      </c>
      <c r="AJ275" s="2" t="n">
        <v>2.182668511</v>
      </c>
      <c r="AK275" s="2" t="n">
        <v>1.971666521</v>
      </c>
      <c r="AN275" s="2" t="n">
        <v>1.709766674</v>
      </c>
      <c r="AO275" s="2" t="n">
        <v>7.40198</v>
      </c>
      <c r="AP275" s="2" t="n">
        <v>1.07302391</v>
      </c>
      <c r="AQ275" s="2" t="n">
        <v>-1.722941557</v>
      </c>
      <c r="AR275" s="2" t="n">
        <v>7</v>
      </c>
      <c r="AS275" s="2" t="n">
        <v>6.306599319</v>
      </c>
      <c r="AT275" s="2" t="n">
        <v>-4.222364372</v>
      </c>
      <c r="AU275" t="n">
        <v>4.290826893</v>
      </c>
    </row>
    <row r="276">
      <c r="A276" t="inlineStr">
        <is>
          <t>2015-Q4</t>
        </is>
      </c>
      <c r="B276" s="3" t="n">
        <v>42370</v>
      </c>
      <c r="C276" s="2" t="n">
        <v>2.688926226</v>
      </c>
      <c r="E276" s="2" t="n">
        <v>1.811273819</v>
      </c>
      <c r="F276" s="2" t="n">
        <v>-0.394869166</v>
      </c>
      <c r="H276" s="2" t="n">
        <v>5.098788695</v>
      </c>
      <c r="I276" s="2" t="n">
        <v>1.110032878</v>
      </c>
      <c r="J276" s="2" t="n">
        <v>1.686875018</v>
      </c>
      <c r="K276" s="2" t="n">
        <v>4.162744164</v>
      </c>
      <c r="M276" s="2" t="n">
        <v>1.287365939</v>
      </c>
      <c r="N276" s="2" t="n">
        <v>0.985438926</v>
      </c>
      <c r="O276" s="2" t="n">
        <v>2.351322209</v>
      </c>
      <c r="P276" s="2" t="n">
        <v>-0.282349888</v>
      </c>
      <c r="Q276" s="2" t="n">
        <v>3.743152094</v>
      </c>
      <c r="R276" s="2" t="n">
        <v>25.78877996</v>
      </c>
      <c r="S276" s="2" t="n">
        <v>5.196167415</v>
      </c>
      <c r="T276" s="2" t="n">
        <v>1.039977889</v>
      </c>
      <c r="U276" s="2" t="n">
        <v>1.367830917</v>
      </c>
      <c r="V276" s="2" t="n">
        <v>1.655357741</v>
      </c>
      <c r="W276" s="2" t="n">
        <v>3.470945248</v>
      </c>
      <c r="X276" s="2" t="n">
        <v>3.94360042</v>
      </c>
      <c r="Y276" s="2" t="n">
        <v>3.720780833</v>
      </c>
      <c r="Z276" s="2" t="n">
        <v>2.721988935</v>
      </c>
      <c r="AA276" s="2" t="n">
        <v>1.267955687</v>
      </c>
      <c r="AB276" s="2" t="n">
        <v>0.556039439</v>
      </c>
      <c r="AC276" s="2" t="n">
        <v>2.211451398</v>
      </c>
      <c r="AD276" s="2" t="n">
        <v>4.794042222</v>
      </c>
      <c r="AE276" s="2" t="n">
        <v>1.543573076</v>
      </c>
      <c r="AF276" s="2" t="n">
        <v>4.828085976</v>
      </c>
      <c r="AH276" s="2" t="n">
        <v>4.578613358</v>
      </c>
      <c r="AI276" s="2" t="n">
        <v>3.194319596</v>
      </c>
      <c r="AJ276" s="2" t="n">
        <v>1.874684059</v>
      </c>
      <c r="AK276" s="2" t="n">
        <v>2.016834052</v>
      </c>
      <c r="AN276" s="2" t="n">
        <v>1.584466711</v>
      </c>
      <c r="AO276" s="2" t="n">
        <v>7.92965</v>
      </c>
      <c r="AP276" s="2" t="n">
        <v>0.756699682</v>
      </c>
      <c r="AQ276" s="2" t="n">
        <v>-1.744654001</v>
      </c>
      <c r="AR276" s="2" t="n">
        <v>6.9</v>
      </c>
      <c r="AS276" s="2" t="n">
        <v>6.117065331</v>
      </c>
      <c r="AT276" s="2" t="n">
        <v>-5.445186337</v>
      </c>
      <c r="AU276" t="n">
        <v>2.609794862</v>
      </c>
    </row>
    <row r="277">
      <c r="A277" t="inlineStr">
        <is>
          <t>2016-Q1</t>
        </is>
      </c>
      <c r="B277" s="3" t="n">
        <v>42461</v>
      </c>
      <c r="C277" s="2" t="n">
        <v>2.684604614</v>
      </c>
      <c r="E277" s="2" t="n">
        <v>1.34272954</v>
      </c>
      <c r="F277" s="2" t="n">
        <v>0.704858556</v>
      </c>
      <c r="H277" s="2" t="n">
        <v>3.393559436</v>
      </c>
      <c r="I277" s="2" t="n">
        <v>2.476818989</v>
      </c>
      <c r="J277" s="2" t="n">
        <v>2.158906178</v>
      </c>
      <c r="K277" s="2" t="n">
        <v>3.678792401</v>
      </c>
      <c r="M277" s="2" t="n">
        <v>3.340424309</v>
      </c>
      <c r="N277" s="2" t="n">
        <v>1.13636154</v>
      </c>
      <c r="O277" s="2" t="n">
        <v>2.003104793</v>
      </c>
      <c r="P277" s="2" t="n">
        <v>-1.210165711</v>
      </c>
      <c r="Q277" s="2" t="n">
        <v>1.384197282</v>
      </c>
      <c r="R277" s="2" t="n">
        <v>-1.225151915</v>
      </c>
      <c r="S277" s="2" t="n">
        <v>3.912379621</v>
      </c>
      <c r="T277" s="2" t="n">
        <v>1.948492468</v>
      </c>
      <c r="U277" s="2" t="n">
        <v>1.445412504</v>
      </c>
      <c r="V277" s="2" t="n">
        <v>0.822299369</v>
      </c>
      <c r="W277" s="2" t="n">
        <v>2.926494945</v>
      </c>
      <c r="X277" s="2" t="n">
        <v>2.153737895</v>
      </c>
      <c r="Y277" s="2" t="n">
        <v>3.738157003</v>
      </c>
      <c r="Z277" s="2" t="n">
        <v>2.756095935</v>
      </c>
      <c r="AA277" s="2" t="n">
        <v>1.594948325</v>
      </c>
      <c r="AB277" s="2" t="n">
        <v>1.726560741</v>
      </c>
      <c r="AC277" s="2" t="n">
        <v>1.93146449</v>
      </c>
      <c r="AD277" s="2" t="n">
        <v>3.024636979</v>
      </c>
      <c r="AE277" s="2" t="n">
        <v>1.363934383</v>
      </c>
      <c r="AF277" s="2" t="n">
        <v>3.228922174</v>
      </c>
      <c r="AH277" s="2" t="n">
        <v>3.101633825</v>
      </c>
      <c r="AI277" s="2" t="n">
        <v>4.068108018</v>
      </c>
      <c r="AJ277" s="2" t="n">
        <v>1.648190603</v>
      </c>
      <c r="AK277" s="2" t="n">
        <v>1.902773353</v>
      </c>
      <c r="AN277" s="2" t="n">
        <v>2.199279815</v>
      </c>
      <c r="AO277" s="2" t="n">
        <v>9.223140000000001</v>
      </c>
      <c r="AP277" s="2" t="n">
        <v>0.27304739</v>
      </c>
      <c r="AQ277" s="2" t="n">
        <v>-0.545701606</v>
      </c>
      <c r="AR277" s="2" t="n">
        <v>6.9</v>
      </c>
      <c r="AS277" s="2" t="n">
        <v>4.524423533</v>
      </c>
      <c r="AT277" s="2" t="n">
        <v>-6.342760771</v>
      </c>
      <c r="AU277" t="n">
        <v>0.198420164</v>
      </c>
    </row>
    <row r="278">
      <c r="A278" t="inlineStr">
        <is>
          <t>2016-Q2</t>
        </is>
      </c>
      <c r="B278" s="3" t="n">
        <v>42552</v>
      </c>
      <c r="C278" s="2" t="n">
        <v>3.230482175</v>
      </c>
      <c r="E278" s="2" t="n">
        <v>1.219500485</v>
      </c>
      <c r="F278" s="2" t="n">
        <v>0.483168091</v>
      </c>
      <c r="H278" s="2" t="n">
        <v>2.255475396</v>
      </c>
      <c r="I278" s="2" t="n">
        <v>2.178643906</v>
      </c>
      <c r="J278" s="2" t="n">
        <v>3.058665445</v>
      </c>
      <c r="K278" s="2" t="n">
        <v>3.008578363</v>
      </c>
      <c r="M278" s="2" t="n">
        <v>1.950050025</v>
      </c>
      <c r="N278" s="2" t="n">
        <v>0.958708592</v>
      </c>
      <c r="O278" s="2" t="n">
        <v>1.705368608</v>
      </c>
      <c r="P278" s="2" t="n">
        <v>-1.416796941</v>
      </c>
      <c r="Q278" s="2" t="n">
        <v>2.621530498</v>
      </c>
      <c r="R278" s="2" t="n">
        <v>2.80674778</v>
      </c>
      <c r="S278" s="2" t="n">
        <v>4.64346693</v>
      </c>
      <c r="T278" s="2" t="n">
        <v>4.250607373</v>
      </c>
      <c r="U278" s="2" t="n">
        <v>1.272637755</v>
      </c>
      <c r="V278" s="2" t="n">
        <v>0.503542865</v>
      </c>
      <c r="W278" s="2" t="n">
        <v>3.671215604</v>
      </c>
      <c r="X278" s="2" t="n">
        <v>4.06739312</v>
      </c>
      <c r="Y278" s="2" t="n">
        <v>1.630834532</v>
      </c>
      <c r="Z278" s="2" t="n">
        <v>1.978708119</v>
      </c>
      <c r="AA278" s="2" t="n">
        <v>1.520433163</v>
      </c>
      <c r="AB278" s="2" t="n">
        <v>0.519998491</v>
      </c>
      <c r="AC278" s="2" t="n">
        <v>1.732452267</v>
      </c>
      <c r="AD278" s="2" t="n">
        <v>3.554991332</v>
      </c>
      <c r="AE278" s="2" t="n">
        <v>1.365877713</v>
      </c>
      <c r="AF278" s="2" t="n">
        <v>2.301538685</v>
      </c>
      <c r="AH278" s="2" t="n">
        <v>2.077234549</v>
      </c>
      <c r="AI278" s="2" t="n">
        <v>4.259263996</v>
      </c>
      <c r="AJ278" s="2" t="n">
        <v>1.36762965</v>
      </c>
      <c r="AK278" s="2" t="n">
        <v>1.724813702</v>
      </c>
      <c r="AN278" s="2" t="n">
        <v>1.982879924</v>
      </c>
      <c r="AO278" s="2" t="n">
        <v>8.83807</v>
      </c>
      <c r="AP278" s="2" t="n">
        <v>1.224121386</v>
      </c>
      <c r="AQ278" s="2" t="n">
        <v>0.179163383</v>
      </c>
      <c r="AR278" s="2" t="n">
        <v>6.8</v>
      </c>
      <c r="AS278" s="2" t="n">
        <v>4.428795264</v>
      </c>
      <c r="AT278" s="2" t="n">
        <v>-3.274170679</v>
      </c>
      <c r="AU278" t="n">
        <v>-3.646170261</v>
      </c>
    </row>
    <row r="279">
      <c r="A279" t="inlineStr">
        <is>
          <t>2016-Q3</t>
        </is>
      </c>
      <c r="B279" s="3" t="n">
        <v>42644</v>
      </c>
      <c r="C279" s="2" t="n">
        <v>2.274053127</v>
      </c>
      <c r="E279" s="2" t="n">
        <v>1.203756948</v>
      </c>
      <c r="F279" s="2" t="n">
        <v>1.161554002</v>
      </c>
      <c r="H279" s="2" t="n">
        <v>1.959620105</v>
      </c>
      <c r="I279" s="2" t="n">
        <v>2.018125025</v>
      </c>
      <c r="J279" s="2" t="n">
        <v>3.620422425</v>
      </c>
      <c r="K279" s="2" t="n">
        <v>2.985140797</v>
      </c>
      <c r="M279" s="2" t="n">
        <v>3.111312491</v>
      </c>
      <c r="N279" s="2" t="n">
        <v>0.8096005469999999</v>
      </c>
      <c r="O279" s="2" t="n">
        <v>1.622629719</v>
      </c>
      <c r="P279" s="2" t="n">
        <v>0.686773692</v>
      </c>
      <c r="Q279" s="2" t="n">
        <v>2.341578336</v>
      </c>
      <c r="R279" s="2" t="n">
        <v>-1.243340666</v>
      </c>
      <c r="S279" s="2" t="n">
        <v>7.338249816</v>
      </c>
      <c r="T279" s="2" t="n">
        <v>5.438529654</v>
      </c>
      <c r="U279" s="2" t="n">
        <v>1.578582769</v>
      </c>
      <c r="V279" s="2" t="n">
        <v>0.586348571</v>
      </c>
      <c r="W279" s="2" t="n">
        <v>2.630505148</v>
      </c>
      <c r="X279" s="2" t="n">
        <v>6.194601526</v>
      </c>
      <c r="Y279" s="2" t="n">
        <v>1.035787383</v>
      </c>
      <c r="Z279" s="2" t="n">
        <v>1.764013195</v>
      </c>
      <c r="AA279" s="2" t="n">
        <v>2.30395343</v>
      </c>
      <c r="AB279" s="2" t="n">
        <v>-1.50080498</v>
      </c>
      <c r="AC279" s="2" t="n">
        <v>1.58986957</v>
      </c>
      <c r="AD279" s="2" t="n">
        <v>2.527839548</v>
      </c>
      <c r="AE279" s="2" t="n">
        <v>2.439463797</v>
      </c>
      <c r="AF279" s="2" t="n">
        <v>1.573208198</v>
      </c>
      <c r="AH279" s="2" t="n">
        <v>1.064971616</v>
      </c>
      <c r="AI279" s="2" t="n">
        <v>4.113598558</v>
      </c>
      <c r="AJ279" s="2" t="n">
        <v>1.648263356</v>
      </c>
      <c r="AK279" s="2" t="n">
        <v>1.731970192</v>
      </c>
      <c r="AN279" s="2" t="n">
        <v>1.923708573</v>
      </c>
      <c r="AO279" s="2" t="n">
        <v>9.313499999999999</v>
      </c>
      <c r="AP279" s="2" t="n">
        <v>0.7579511249999999</v>
      </c>
      <c r="AQ279" s="2" t="n">
        <v>0.086420365</v>
      </c>
      <c r="AR279" s="2" t="n">
        <v>6.8</v>
      </c>
      <c r="AS279" s="2" t="n">
        <v>0.03215391</v>
      </c>
      <c r="AT279" s="2" t="n">
        <v>-2.442945152</v>
      </c>
      <c r="AU279" t="n">
        <v>-3.275468561</v>
      </c>
    </row>
    <row r="280">
      <c r="A280" t="inlineStr">
        <is>
          <t>2016-Q4</t>
        </is>
      </c>
      <c r="B280" s="3" t="n">
        <v>42736</v>
      </c>
      <c r="C280" s="2" t="n">
        <v>2.731873854</v>
      </c>
      <c r="E280" s="2" t="n">
        <v>1.300882844</v>
      </c>
      <c r="F280" s="2" t="n">
        <v>1.653443587</v>
      </c>
      <c r="H280" s="2" t="n">
        <v>2.170634498</v>
      </c>
      <c r="I280" s="2" t="n">
        <v>1.90021589</v>
      </c>
      <c r="J280" s="2" t="n">
        <v>4.134965567</v>
      </c>
      <c r="K280" s="2" t="n">
        <v>2.470572308</v>
      </c>
      <c r="M280" s="2" t="n">
        <v>2.851778842</v>
      </c>
      <c r="N280" s="2" t="n">
        <v>1.199685858</v>
      </c>
      <c r="O280" s="2" t="n">
        <v>1.562578818</v>
      </c>
      <c r="P280" s="2" t="n">
        <v>0.001731391</v>
      </c>
      <c r="Q280" s="2" t="n">
        <v>2.121226969</v>
      </c>
      <c r="R280" s="2" t="n">
        <v>8.949277819000001</v>
      </c>
      <c r="S280" s="2" t="n">
        <v>9.165672981</v>
      </c>
      <c r="T280" s="2" t="n">
        <v>5.711113612</v>
      </c>
      <c r="U280" s="2" t="n">
        <v>1.32459499</v>
      </c>
      <c r="V280" s="2" t="n">
        <v>0.982805274</v>
      </c>
      <c r="W280" s="2" t="n">
        <v>2.572190823</v>
      </c>
      <c r="X280" s="2" t="n">
        <v>5.902012044</v>
      </c>
      <c r="Y280" s="2" t="n">
        <v>2.377974105</v>
      </c>
      <c r="Z280" s="2" t="n">
        <v>3.106549548</v>
      </c>
      <c r="AA280" s="2" t="n">
        <v>3.144898161</v>
      </c>
      <c r="AB280" s="2" t="n">
        <v>1.726942369</v>
      </c>
      <c r="AC280" s="2" t="n">
        <v>2.111261516</v>
      </c>
      <c r="AD280" s="2" t="n">
        <v>3.586237034</v>
      </c>
      <c r="AE280" s="2" t="n">
        <v>2.901011108</v>
      </c>
      <c r="AF280" s="2" t="n">
        <v>1.458948957</v>
      </c>
      <c r="AH280" s="2" t="n">
        <v>1.180864801</v>
      </c>
      <c r="AI280" s="2" t="n">
        <v>3.37781854</v>
      </c>
      <c r="AJ280" s="2" t="n">
        <v>2.004177046</v>
      </c>
      <c r="AK280" s="2" t="n">
        <v>2.034422028</v>
      </c>
      <c r="AN280" s="2" t="n">
        <v>1.850741981</v>
      </c>
      <c r="AO280" s="2" t="n">
        <v>8.59531</v>
      </c>
      <c r="AP280" s="2" t="n">
        <v>0.408272378</v>
      </c>
      <c r="AQ280" s="2" t="n">
        <v>1.173049127</v>
      </c>
      <c r="AR280" s="2" t="n">
        <v>6.9</v>
      </c>
      <c r="AS280" s="2" t="n">
        <v>4.326189325</v>
      </c>
      <c r="AT280" s="2" t="n">
        <v>-1.822582278</v>
      </c>
      <c r="AU280" t="n">
        <v>-1.540152401</v>
      </c>
    </row>
    <row r="281">
      <c r="A281" t="inlineStr">
        <is>
          <t>2017-Q1</t>
        </is>
      </c>
      <c r="B281" s="3" t="n">
        <v>42826</v>
      </c>
      <c r="C281" s="2" t="n">
        <v>2.121703159</v>
      </c>
      <c r="E281" s="2" t="n">
        <v>1.904898173</v>
      </c>
      <c r="F281" s="2" t="n">
        <v>2.197779092</v>
      </c>
      <c r="H281" s="2" t="n">
        <v>3.570373762</v>
      </c>
      <c r="I281" s="2" t="n">
        <v>2.306102514</v>
      </c>
      <c r="J281" s="2" t="n">
        <v>3.622621239</v>
      </c>
      <c r="K281" s="2" t="n">
        <v>2.588779171</v>
      </c>
      <c r="M281" s="2" t="n">
        <v>2.78921405</v>
      </c>
      <c r="N281" s="2" t="n">
        <v>1.38766801</v>
      </c>
      <c r="O281" s="2" t="n">
        <v>1.863663119</v>
      </c>
      <c r="P281" s="2" t="n">
        <v>0.439302211</v>
      </c>
      <c r="Q281" s="2" t="n">
        <v>4.231068576</v>
      </c>
      <c r="R281" s="2" t="n">
        <v>7.171060907</v>
      </c>
      <c r="S281" s="2" t="n">
        <v>8.060298252999999</v>
      </c>
      <c r="T281" s="2" t="n">
        <v>4.886258793</v>
      </c>
      <c r="U281" s="2" t="n">
        <v>1.585711225</v>
      </c>
      <c r="V281" s="2" t="n">
        <v>1.012765984</v>
      </c>
      <c r="W281" s="2" t="n">
        <v>3.242147538</v>
      </c>
      <c r="X281" s="2" t="n">
        <v>2.97688474</v>
      </c>
      <c r="Y281" s="2" t="n">
        <v>2.049676029</v>
      </c>
      <c r="Z281" s="2" t="n">
        <v>3.004126914</v>
      </c>
      <c r="AA281" s="2" t="n">
        <v>2.732828044</v>
      </c>
      <c r="AB281" s="2" t="n">
        <v>1.499134599</v>
      </c>
      <c r="AC281" s="2" t="n">
        <v>2.204607711</v>
      </c>
      <c r="AD281" s="2" t="n">
        <v>4.876614227</v>
      </c>
      <c r="AE281" s="2" t="n">
        <v>3.622097634</v>
      </c>
      <c r="AF281" s="2" t="n">
        <v>2.151068472</v>
      </c>
      <c r="AH281" s="2" t="n">
        <v>1.68766726</v>
      </c>
      <c r="AI281" s="2" t="n">
        <v>3.220890579</v>
      </c>
      <c r="AJ281" s="2" t="n">
        <v>1.88527887</v>
      </c>
      <c r="AK281" s="2" t="n">
        <v>2.189740047</v>
      </c>
      <c r="AN281" s="2" t="n">
        <v>1.563070041</v>
      </c>
      <c r="AO281" s="2" t="n">
        <v>6.37601</v>
      </c>
      <c r="AP281" s="2" t="n">
        <v>0.64192753</v>
      </c>
      <c r="AQ281" s="2" t="n">
        <v>1.184907997</v>
      </c>
      <c r="AR281" s="2" t="n">
        <v>7</v>
      </c>
      <c r="AS281" s="2" t="n">
        <v>5.373309812</v>
      </c>
      <c r="AT281" s="2" t="n">
        <v>0.877388113</v>
      </c>
      <c r="AU281" t="n">
        <v>0.242237874</v>
      </c>
    </row>
    <row r="282">
      <c r="A282" t="inlineStr">
        <is>
          <t>2017-Q2</t>
        </is>
      </c>
      <c r="B282" s="3" t="n">
        <v>42917</v>
      </c>
      <c r="C282" s="2" t="n">
        <v>2.079572312</v>
      </c>
      <c r="E282" s="2" t="n">
        <v>1.594710229</v>
      </c>
      <c r="F282" s="2" t="n">
        <v>3.75347556</v>
      </c>
      <c r="H282" s="2" t="n">
        <v>6.131361227</v>
      </c>
      <c r="I282" s="2" t="n">
        <v>2.679362955</v>
      </c>
      <c r="J282" s="2" t="n">
        <v>3.382501008</v>
      </c>
      <c r="K282" s="2" t="n">
        <v>3.257293623</v>
      </c>
      <c r="M282" s="2" t="n">
        <v>3.644039551</v>
      </c>
      <c r="N282" s="2" t="n">
        <v>2.3867059</v>
      </c>
      <c r="O282" s="2" t="n">
        <v>1.701638801</v>
      </c>
      <c r="P282" s="2" t="n">
        <v>1.60979237</v>
      </c>
      <c r="Q282" s="2" t="n">
        <v>4.059829852</v>
      </c>
      <c r="R282" s="2" t="n">
        <v>9.043369535</v>
      </c>
      <c r="S282" s="2" t="n">
        <v>4.575598553</v>
      </c>
      <c r="T282" s="2" t="n">
        <v>3.977461693</v>
      </c>
      <c r="U282" s="2" t="n">
        <v>1.779629626</v>
      </c>
      <c r="V282" s="2" t="n">
        <v>1.494276382</v>
      </c>
      <c r="W282" s="2" t="n">
        <v>2.757337588</v>
      </c>
      <c r="X282" s="2" t="n">
        <v>1.11134972</v>
      </c>
      <c r="Y282" s="2" t="n">
        <v>3.622298426</v>
      </c>
      <c r="Z282" s="2" t="n">
        <v>2.954729497</v>
      </c>
      <c r="AA282" s="2" t="n">
        <v>3.392672588</v>
      </c>
      <c r="AB282" s="2" t="n">
        <v>2.937472739</v>
      </c>
      <c r="AC282" s="2" t="n">
        <v>2.574459291</v>
      </c>
      <c r="AD282" s="2" t="n">
        <v>4.416933001</v>
      </c>
      <c r="AE282" s="2" t="n">
        <v>3.834597164</v>
      </c>
      <c r="AF282" s="2" t="n">
        <v>2.834487327</v>
      </c>
      <c r="AH282" s="2" t="n">
        <v>2.949926629</v>
      </c>
      <c r="AI282" s="2" t="n">
        <v>3.425818574</v>
      </c>
      <c r="AJ282" s="2" t="n">
        <v>2.146716583</v>
      </c>
      <c r="AK282" s="2" t="n">
        <v>2.747920179</v>
      </c>
      <c r="AN282" s="2" t="n">
        <v>1.381013968</v>
      </c>
      <c r="AO282" s="2" t="n">
        <v>6.65044</v>
      </c>
      <c r="AP282" s="2" t="n">
        <v>1.093464986</v>
      </c>
      <c r="AQ282" s="2" t="n">
        <v>1.828812514</v>
      </c>
      <c r="AR282" s="2" t="n">
        <v>7</v>
      </c>
      <c r="AS282" s="2" t="n">
        <v>6.255758034</v>
      </c>
      <c r="AT282" s="2" t="n">
        <v>1.032203774</v>
      </c>
      <c r="AU282" t="n">
        <v>2.904298613</v>
      </c>
    </row>
    <row r="283">
      <c r="A283" t="inlineStr">
        <is>
          <t>2017-Q3</t>
        </is>
      </c>
      <c r="B283" s="3" t="n">
        <v>43009</v>
      </c>
      <c r="C283" s="2" t="n">
        <v>3.018355275</v>
      </c>
      <c r="E283" s="2" t="n">
        <v>1.359899996</v>
      </c>
      <c r="F283" s="2" t="n">
        <v>3.12771636</v>
      </c>
      <c r="H283" s="2" t="n">
        <v>5.879392756</v>
      </c>
      <c r="I283" s="2" t="n">
        <v>3.227702713</v>
      </c>
      <c r="J283" s="2" t="n">
        <v>2.136810628</v>
      </c>
      <c r="K283" s="2" t="n">
        <v>2.940226867</v>
      </c>
      <c r="M283" s="2" t="n">
        <v>2.891094185</v>
      </c>
      <c r="N283" s="2" t="n">
        <v>2.83654591</v>
      </c>
      <c r="O283" s="2" t="n">
        <v>1.821172645</v>
      </c>
      <c r="P283" s="2" t="n">
        <v>1.931374454</v>
      </c>
      <c r="Q283" s="2" t="n">
        <v>4.436941061</v>
      </c>
      <c r="R283" s="2" t="n">
        <v>13.670770292</v>
      </c>
      <c r="S283" s="2" t="n">
        <v>2.368120258</v>
      </c>
      <c r="T283" s="2" t="n">
        <v>4.24689507</v>
      </c>
      <c r="U283" s="2" t="n">
        <v>1.657976095</v>
      </c>
      <c r="V283" s="2" t="n">
        <v>2.101920197</v>
      </c>
      <c r="W283" s="2" t="n">
        <v>3.767675681</v>
      </c>
      <c r="X283" s="2" t="n">
        <v>1.760839972</v>
      </c>
      <c r="Y283" s="2" t="n">
        <v>3.954809394</v>
      </c>
      <c r="Z283" s="2" t="n">
        <v>1.579478618</v>
      </c>
      <c r="AA283" s="2" t="n">
        <v>2.993920187</v>
      </c>
      <c r="AB283" s="2" t="n">
        <v>4.592660401</v>
      </c>
      <c r="AC283" s="2" t="n">
        <v>2.927080973</v>
      </c>
      <c r="AD283" s="2" t="n">
        <v>5.342197875</v>
      </c>
      <c r="AE283" s="2" t="n">
        <v>3.342896141</v>
      </c>
      <c r="AF283" s="2" t="n">
        <v>3.235012762</v>
      </c>
      <c r="AH283" s="2" t="n">
        <v>3.680156039</v>
      </c>
      <c r="AI283" s="2" t="n">
        <v>3.467516419</v>
      </c>
      <c r="AJ283" s="2" t="n">
        <v>2.266564638</v>
      </c>
      <c r="AK283" s="2" t="n">
        <v>3.00248031</v>
      </c>
      <c r="AN283" s="2" t="n">
        <v>1.463606415</v>
      </c>
      <c r="AO283" s="2" t="n">
        <v>5.99404</v>
      </c>
      <c r="AP283" s="2" t="n">
        <v>1.291712289</v>
      </c>
      <c r="AQ283" s="2" t="n">
        <v>2.417471184</v>
      </c>
      <c r="AR283" s="2" t="n">
        <v>6.9</v>
      </c>
      <c r="AS283" s="2" t="n">
        <v>11.051091386</v>
      </c>
      <c r="AT283" s="2" t="n">
        <v>1.995679774</v>
      </c>
      <c r="AU283" t="n">
        <v>3.841990855</v>
      </c>
    </row>
    <row r="284">
      <c r="A284" t="inlineStr">
        <is>
          <t>2017-Q4</t>
        </is>
      </c>
      <c r="B284" s="3" t="n">
        <v>43101</v>
      </c>
      <c r="C284" s="2" t="n">
        <v>2.451902665</v>
      </c>
      <c r="E284" s="2" t="n">
        <v>1.629011287</v>
      </c>
      <c r="F284" s="2" t="n">
        <v>3.083114067</v>
      </c>
      <c r="H284" s="2" t="n">
        <v>5.894849621</v>
      </c>
      <c r="I284" s="2" t="n">
        <v>3.734400223</v>
      </c>
      <c r="J284" s="2" t="n">
        <v>2.171760752</v>
      </c>
      <c r="K284" s="2" t="n">
        <v>3.105170881</v>
      </c>
      <c r="M284" s="2" t="n">
        <v>3.449912383</v>
      </c>
      <c r="N284" s="2" t="n">
        <v>3.152594494</v>
      </c>
      <c r="O284" s="2" t="n">
        <v>1.576552483</v>
      </c>
      <c r="P284" s="2" t="n">
        <v>1.127271684</v>
      </c>
      <c r="Q284" s="2" t="n">
        <v>5.01843167</v>
      </c>
      <c r="R284" s="2" t="n">
        <v>6.976230154</v>
      </c>
      <c r="S284" s="2" t="n">
        <v>2.164690382</v>
      </c>
      <c r="T284" s="2" t="n">
        <v>4.589956344</v>
      </c>
      <c r="U284" s="2" t="n">
        <v>1.941776589</v>
      </c>
      <c r="V284" s="2" t="n">
        <v>2.216555057</v>
      </c>
      <c r="W284" s="2" t="n">
        <v>2.872493588</v>
      </c>
      <c r="X284" s="2" t="n">
        <v>1.419475081</v>
      </c>
      <c r="Y284" s="2" t="n">
        <v>3.275792158</v>
      </c>
      <c r="Z284" s="2" t="n">
        <v>1.784975074</v>
      </c>
      <c r="AA284" s="2" t="n">
        <v>2.937041833</v>
      </c>
      <c r="AB284" s="2" t="n">
        <v>1.95791867</v>
      </c>
      <c r="AC284" s="2" t="n">
        <v>2.927880575</v>
      </c>
      <c r="AD284" s="2" t="n">
        <v>4.788933937</v>
      </c>
      <c r="AE284" s="2" t="n">
        <v>3.233822787</v>
      </c>
      <c r="AF284" s="2" t="n">
        <v>3.726624935</v>
      </c>
      <c r="AH284" s="2" t="n">
        <v>2.947319141</v>
      </c>
      <c r="AI284" s="2" t="n">
        <v>3.959393148</v>
      </c>
      <c r="AJ284" s="2" t="n">
        <v>2.717885582</v>
      </c>
      <c r="AK284" s="2" t="n">
        <v>3.114502548</v>
      </c>
      <c r="AN284" s="2" t="n">
        <v>2.214385361</v>
      </c>
      <c r="AO284" s="2" t="n">
        <v>6.53239</v>
      </c>
      <c r="AP284" s="2" t="n">
        <v>1.603878997</v>
      </c>
      <c r="AQ284" s="2" t="n">
        <v>1.600592735</v>
      </c>
      <c r="AR284" s="2" t="n">
        <v>6.8</v>
      </c>
      <c r="AS284" s="2" t="n">
        <v>7.233754818</v>
      </c>
      <c r="AT284" s="2" t="n">
        <v>2.590838343</v>
      </c>
      <c r="AU284" t="n">
        <v>4.309122477</v>
      </c>
    </row>
    <row r="285">
      <c r="A285" t="inlineStr">
        <is>
          <t>2018-Q1</t>
        </is>
      </c>
      <c r="B285" s="3" t="n">
        <v>43191</v>
      </c>
      <c r="C285" s="2" t="n">
        <v>3.077194318</v>
      </c>
      <c r="E285" s="2" t="n">
        <v>1.386288752</v>
      </c>
      <c r="F285" s="2" t="n">
        <v>2.644800374</v>
      </c>
      <c r="H285" s="2" t="n">
        <v>4.804497555</v>
      </c>
      <c r="I285" s="2" t="n">
        <v>2.042184252</v>
      </c>
      <c r="J285" s="2" t="n">
        <v>2.027279546</v>
      </c>
      <c r="K285" s="2" t="n">
        <v>2.679684843</v>
      </c>
      <c r="M285" s="2" t="n">
        <v>2.322014939</v>
      </c>
      <c r="N285" s="2" t="n">
        <v>2.351876735</v>
      </c>
      <c r="O285" s="2" t="n">
        <v>1.144880731</v>
      </c>
      <c r="P285" s="2" t="n">
        <v>2.047226092</v>
      </c>
      <c r="Q285" s="2" t="n">
        <v>5.432856311</v>
      </c>
      <c r="R285" s="2" t="n">
        <v>12.77311621</v>
      </c>
      <c r="S285" s="2" t="n">
        <v>7.005617414</v>
      </c>
      <c r="T285" s="2" t="n">
        <v>5.643300961</v>
      </c>
      <c r="U285" s="2" t="n">
        <v>1.394061274</v>
      </c>
      <c r="V285" s="2" t="n">
        <v>1.43947032</v>
      </c>
      <c r="W285" s="2" t="n">
        <v>3.062091596</v>
      </c>
      <c r="X285" s="2" t="n">
        <v>4.671434279</v>
      </c>
      <c r="Y285" s="2" t="n">
        <v>2.982176671</v>
      </c>
      <c r="Z285" s="2" t="n">
        <v>2.496012936</v>
      </c>
      <c r="AA285" s="2" t="n">
        <v>2.815785276</v>
      </c>
      <c r="AB285" s="2" t="n">
        <v>1.735991178</v>
      </c>
      <c r="AC285" s="2" t="n">
        <v>2.841104639</v>
      </c>
      <c r="AD285" s="2" t="n">
        <v>5.126637478</v>
      </c>
      <c r="AE285" s="2" t="n">
        <v>2.781332358</v>
      </c>
      <c r="AF285" s="2" t="n">
        <v>3.614884326</v>
      </c>
      <c r="AH285" s="2" t="n">
        <v>2.761924133</v>
      </c>
      <c r="AI285" s="2" t="n">
        <v>3.580968185</v>
      </c>
      <c r="AJ285" s="2" t="n">
        <v>3.015311883</v>
      </c>
      <c r="AK285" s="2" t="n">
        <v>2.477070932</v>
      </c>
      <c r="AN285" s="2" t="n">
        <v>3.135769877</v>
      </c>
      <c r="AO285" s="2" t="n">
        <v>7.97924</v>
      </c>
      <c r="AP285" s="2" t="n">
        <v>1.570386415</v>
      </c>
      <c r="AQ285" s="2" t="n">
        <v>2.771136176</v>
      </c>
      <c r="AR285" s="2" t="n">
        <v>6.9</v>
      </c>
      <c r="AS285" s="2" t="n">
        <v>7.363445147</v>
      </c>
      <c r="AT285" s="2" t="n">
        <v>2.012557826</v>
      </c>
      <c r="AU285" t="n">
        <v>3.007287124</v>
      </c>
    </row>
    <row r="286">
      <c r="A286" t="inlineStr">
        <is>
          <t>2018-Q2</t>
        </is>
      </c>
      <c r="B286" s="3" t="n">
        <v>43282</v>
      </c>
      <c r="C286" s="2" t="n">
        <v>3.24739956</v>
      </c>
      <c r="E286" s="2" t="n">
        <v>1.615433459</v>
      </c>
      <c r="F286" s="2" t="n">
        <v>2.262805086</v>
      </c>
      <c r="H286" s="2" t="n">
        <v>2.681757146</v>
      </c>
      <c r="I286" s="2" t="n">
        <v>1.816096978</v>
      </c>
      <c r="J286" s="2" t="n">
        <v>1.406567485</v>
      </c>
      <c r="K286" s="2" t="n">
        <v>2.184344364</v>
      </c>
      <c r="M286" s="2" t="n">
        <v>1.295244221</v>
      </c>
      <c r="N286" s="2" t="n">
        <v>1.875631068</v>
      </c>
      <c r="O286" s="2" t="n">
        <v>1.235354098</v>
      </c>
      <c r="P286" s="2" t="n">
        <v>1.43659795</v>
      </c>
      <c r="Q286" s="2" t="n">
        <v>5.299692249</v>
      </c>
      <c r="R286" s="2" t="n">
        <v>12.477822403</v>
      </c>
      <c r="S286" s="2" t="n">
        <v>5.299466341</v>
      </c>
      <c r="T286" s="2" t="n">
        <v>4.444061176</v>
      </c>
      <c r="U286" s="2" t="n">
        <v>0.970375141</v>
      </c>
      <c r="V286" s="2" t="n">
        <v>1.233726423</v>
      </c>
      <c r="W286" s="2" t="n">
        <v>3.023521939</v>
      </c>
      <c r="X286" s="2" t="n">
        <v>3.45409129</v>
      </c>
      <c r="Y286" s="2" t="n">
        <v>3.910036843</v>
      </c>
      <c r="Z286" s="2" t="n">
        <v>2.178319386</v>
      </c>
      <c r="AA286" s="2" t="n">
        <v>2.557864465</v>
      </c>
      <c r="AB286" s="2" t="n">
        <v>1.148042723</v>
      </c>
      <c r="AC286" s="2" t="n">
        <v>2.722298798</v>
      </c>
      <c r="AD286" s="2" t="n">
        <v>5.558316747</v>
      </c>
      <c r="AE286" s="2" t="n">
        <v>3.06183269</v>
      </c>
      <c r="AF286" s="2" t="n">
        <v>3.76359711</v>
      </c>
      <c r="AH286" s="2" t="n">
        <v>2.421921526</v>
      </c>
      <c r="AI286" s="2" t="n">
        <v>3.673912361</v>
      </c>
      <c r="AJ286" s="2" t="n">
        <v>3.296152283</v>
      </c>
      <c r="AK286" s="2" t="n">
        <v>2.159633357</v>
      </c>
      <c r="AN286" s="2" t="n">
        <v>3.758709711</v>
      </c>
      <c r="AO286" s="2" t="n">
        <v>7.21521</v>
      </c>
      <c r="AP286" s="2" t="n">
        <v>0.884009454</v>
      </c>
      <c r="AQ286" s="2" t="n">
        <v>2.635980342</v>
      </c>
      <c r="AR286" s="2" t="n">
        <v>6.9</v>
      </c>
      <c r="AS286" s="2" t="n">
        <v>5.503513698</v>
      </c>
      <c r="AT286" s="2" t="n">
        <v>1.442515663</v>
      </c>
      <c r="AU286" t="n">
        <v>-2.824371588</v>
      </c>
    </row>
    <row r="287">
      <c r="A287" t="inlineStr">
        <is>
          <t>2018-Q3</t>
        </is>
      </c>
      <c r="B287" s="3" t="n">
        <v>43374</v>
      </c>
      <c r="C287" s="2" t="n">
        <v>2.70252564</v>
      </c>
      <c r="E287" s="2" t="n">
        <v>2.023693849</v>
      </c>
      <c r="F287" s="2" t="n">
        <v>2.530052066</v>
      </c>
      <c r="H287" s="2" t="n">
        <v>2.729405668</v>
      </c>
      <c r="I287" s="2" t="n">
        <v>0.502174423</v>
      </c>
      <c r="J287" s="2" t="n">
        <v>2.392719949</v>
      </c>
      <c r="K287" s="2" t="n">
        <v>2.123714933</v>
      </c>
      <c r="M287" s="2" t="n">
        <v>0.818578165</v>
      </c>
      <c r="N287" s="2" t="n">
        <v>1.660619617</v>
      </c>
      <c r="O287" s="2" t="n">
        <v>1.409817007</v>
      </c>
      <c r="P287" s="2" t="n">
        <v>0.707513095</v>
      </c>
      <c r="Q287" s="2" t="n">
        <v>5.653976727</v>
      </c>
      <c r="R287" s="2" t="n">
        <v>8.119903173000001</v>
      </c>
      <c r="S287" s="2" t="n">
        <v>4.60165732</v>
      </c>
      <c r="T287" s="2" t="n">
        <v>3.762596357</v>
      </c>
      <c r="U287" s="2" t="n">
        <v>0.628685054</v>
      </c>
      <c r="V287" s="2" t="n">
        <v>-0.236531788</v>
      </c>
      <c r="W287" s="2" t="n">
        <v>2.217632527</v>
      </c>
      <c r="X287" s="2" t="n">
        <v>2.537893458</v>
      </c>
      <c r="Y287" s="2" t="n">
        <v>4.770364935</v>
      </c>
      <c r="Z287" s="2" t="n">
        <v>2.814087538</v>
      </c>
      <c r="AA287" s="2" t="n">
        <v>2.109475019</v>
      </c>
      <c r="AB287" s="2" t="n">
        <v>1.101254587</v>
      </c>
      <c r="AC287" s="2" t="n">
        <v>2.198549672</v>
      </c>
      <c r="AD287" s="2" t="n">
        <v>5.865428885</v>
      </c>
      <c r="AE287" s="2" t="n">
        <v>2.888588032</v>
      </c>
      <c r="AF287" s="2" t="n">
        <v>3.924067969</v>
      </c>
      <c r="AH287" s="2" t="n">
        <v>0.895166903</v>
      </c>
      <c r="AI287" s="2" t="n">
        <v>3.094458244</v>
      </c>
      <c r="AJ287" s="2" t="n">
        <v>3.052885912</v>
      </c>
      <c r="AK287" s="2" t="n">
        <v>1.53142915</v>
      </c>
      <c r="AN287" s="2" t="n">
        <v>2.889265627</v>
      </c>
      <c r="AO287" s="2" t="n">
        <v>6.94884</v>
      </c>
      <c r="AP287" s="2" t="n">
        <v>1.80273475</v>
      </c>
      <c r="AQ287" s="2" t="n">
        <v>2.189295851</v>
      </c>
      <c r="AR287" s="2" t="n">
        <v>6.7</v>
      </c>
      <c r="AS287" s="2" t="n">
        <v>2.27502318</v>
      </c>
      <c r="AT287" s="2" t="n">
        <v>2.008459803</v>
      </c>
      <c r="AU287" t="n">
        <v>-4.098624852</v>
      </c>
    </row>
    <row r="288">
      <c r="A288" t="inlineStr">
        <is>
          <t>2018-Q4</t>
        </is>
      </c>
      <c r="B288" s="3" t="n">
        <v>43466</v>
      </c>
      <c r="C288" s="2" t="n">
        <v>2.374291099</v>
      </c>
      <c r="E288" s="2" t="n">
        <v>2.122057719</v>
      </c>
      <c r="F288" s="2" t="n">
        <v>2.283662955</v>
      </c>
      <c r="H288" s="2" t="n">
        <v>2.558305925</v>
      </c>
      <c r="I288" s="2" t="n">
        <v>0.084593112</v>
      </c>
      <c r="J288" s="2" t="n">
        <v>2.132945885</v>
      </c>
      <c r="K288" s="2" t="n">
        <v>2.173890457</v>
      </c>
      <c r="M288" s="2" t="n">
        <v>0.153509546</v>
      </c>
      <c r="N288" s="2" t="n">
        <v>1.485319941</v>
      </c>
      <c r="O288" s="2" t="n">
        <v>1.219587879</v>
      </c>
      <c r="P288" s="2" t="n">
        <v>1.630824296</v>
      </c>
      <c r="Q288" s="2" t="n">
        <v>5.342725885</v>
      </c>
      <c r="R288" s="2" t="n">
        <v>3.937020174</v>
      </c>
      <c r="S288" s="2" t="n">
        <v>2.790394861</v>
      </c>
      <c r="T288" s="2" t="n">
        <v>3.053370858</v>
      </c>
      <c r="U288" s="2" t="n">
        <v>0.283005456</v>
      </c>
      <c r="V288" s="2" t="n">
        <v>-0.204216796</v>
      </c>
      <c r="W288" s="2" t="n">
        <v>3.332470097</v>
      </c>
      <c r="X288" s="2" t="n">
        <v>1.903532645</v>
      </c>
      <c r="Y288" s="2" t="n">
        <v>5.128864773</v>
      </c>
      <c r="Z288" s="2" t="n">
        <v>1.228718851</v>
      </c>
      <c r="AA288" s="2" t="n">
        <v>1.807199253</v>
      </c>
      <c r="AB288" s="2" t="n">
        <v>1.463554479</v>
      </c>
      <c r="AC288" s="2" t="n">
        <v>1.611247093</v>
      </c>
      <c r="AD288" s="2" t="n">
        <v>4.929077357</v>
      </c>
      <c r="AE288" s="2" t="n">
        <v>2.667707197</v>
      </c>
      <c r="AF288" s="2" t="n">
        <v>3.302082415</v>
      </c>
      <c r="AH288" s="2" t="n">
        <v>2.104721885</v>
      </c>
      <c r="AI288" s="2" t="n">
        <v>3.359542488</v>
      </c>
      <c r="AJ288" s="2" t="n">
        <v>2.320617095</v>
      </c>
      <c r="AK288" s="2" t="n">
        <v>1.188121178</v>
      </c>
      <c r="AN288" s="2" t="n">
        <v>1.999007013</v>
      </c>
      <c r="AO288" s="2" t="n">
        <v>6.61172</v>
      </c>
      <c r="AP288" s="2" t="n">
        <v>1.692026805</v>
      </c>
      <c r="AQ288" s="2" t="n">
        <v>2.846063111</v>
      </c>
      <c r="AR288" s="2" t="n">
        <v>6.5</v>
      </c>
      <c r="AS288" s="2" t="n">
        <v>-2.61596129</v>
      </c>
      <c r="AT288" s="2" t="n">
        <v>1.22632124</v>
      </c>
      <c r="AU288" t="n">
        <v>-6.389460228</v>
      </c>
    </row>
    <row r="289">
      <c r="A289" t="inlineStr">
        <is>
          <t>2019-Q1</t>
        </is>
      </c>
      <c r="B289" s="3" t="n">
        <v>43556</v>
      </c>
      <c r="C289" s="2" t="n">
        <v>1.930493877</v>
      </c>
      <c r="E289" s="2" t="n">
        <v>1.89173968</v>
      </c>
      <c r="F289" s="2" t="n">
        <v>1.705611829</v>
      </c>
      <c r="H289" s="2" t="n">
        <v>2.967140332</v>
      </c>
      <c r="I289" s="2" t="n">
        <v>1.578883507</v>
      </c>
      <c r="J289" s="2" t="n">
        <v>2.347550872</v>
      </c>
      <c r="K289" s="2" t="n">
        <v>2.401358009</v>
      </c>
      <c r="M289" s="2" t="n">
        <v>0.814628039</v>
      </c>
      <c r="N289" s="2" t="n">
        <v>2.123322098</v>
      </c>
      <c r="O289" s="2" t="n">
        <v>1.708500594</v>
      </c>
      <c r="P289" s="2" t="n">
        <v>1.835358679</v>
      </c>
      <c r="Q289" s="2" t="n">
        <v>5.23368232</v>
      </c>
      <c r="R289" s="2" t="n">
        <v>5.184066185</v>
      </c>
      <c r="S289" s="2" t="n">
        <v>3.939718366</v>
      </c>
      <c r="T289" s="2" t="n">
        <v>3.317317153</v>
      </c>
      <c r="U289" s="2" t="n">
        <v>0.317689574</v>
      </c>
      <c r="V289" s="2" t="n">
        <v>0.110608733</v>
      </c>
      <c r="W289" s="2" t="n">
        <v>1.955154074</v>
      </c>
      <c r="X289" s="2" t="n">
        <v>0.334011502</v>
      </c>
      <c r="Y289" s="2" t="n">
        <v>3.603722961</v>
      </c>
      <c r="Z289" s="2" t="n">
        <v>0.257466432</v>
      </c>
      <c r="AA289" s="2" t="n">
        <v>2.02216115</v>
      </c>
      <c r="AB289" s="2" t="n">
        <v>0.851266862</v>
      </c>
      <c r="AC289" s="2" t="n">
        <v>1.668561198</v>
      </c>
      <c r="AD289" s="2" t="n">
        <v>5.551695215</v>
      </c>
      <c r="AE289" s="2" t="n">
        <v>2.824818654</v>
      </c>
      <c r="AF289" s="2" t="n">
        <v>3.437082426</v>
      </c>
      <c r="AH289" s="2" t="n">
        <v>2.351940946</v>
      </c>
      <c r="AI289" s="2" t="n">
        <v>2.948954377</v>
      </c>
      <c r="AJ289" s="2" t="n">
        <v>2.153001514</v>
      </c>
      <c r="AK289" s="2" t="n">
        <v>1.79658902</v>
      </c>
      <c r="AN289" s="2" t="n">
        <v>1.182003181</v>
      </c>
      <c r="AO289" s="2" t="n">
        <v>5.4117</v>
      </c>
      <c r="AP289" s="2" t="n">
        <v>0.258904096</v>
      </c>
      <c r="AQ289" s="2" t="n">
        <v>1.431857369</v>
      </c>
      <c r="AR289" s="2" t="n">
        <v>6.3</v>
      </c>
      <c r="AS289" s="2" t="n">
        <v>-2.333422921</v>
      </c>
      <c r="AT289" s="2" t="n">
        <v>1.39402116</v>
      </c>
      <c r="AU289" t="n">
        <v>-6.052805449</v>
      </c>
    </row>
    <row r="290">
      <c r="A290" t="inlineStr">
        <is>
          <t>2019-Q2</t>
        </is>
      </c>
      <c r="B290" s="3" t="n">
        <v>43647</v>
      </c>
      <c r="C290" s="2" t="n">
        <v>1.649792923</v>
      </c>
      <c r="E290" s="2" t="n">
        <v>1.742294757</v>
      </c>
      <c r="F290" s="2" t="n">
        <v>2.132102536</v>
      </c>
      <c r="H290" s="2" t="n">
        <v>3.019525607</v>
      </c>
      <c r="I290" s="2" t="n">
        <v>0.518674349</v>
      </c>
      <c r="J290" s="2" t="n">
        <v>2.325351083</v>
      </c>
      <c r="K290" s="2" t="n">
        <v>2.176754078</v>
      </c>
      <c r="M290" s="2" t="n">
        <v>1.668459761</v>
      </c>
      <c r="N290" s="2" t="n">
        <v>2.283599966</v>
      </c>
      <c r="O290" s="2" t="n">
        <v>1.461040177</v>
      </c>
      <c r="P290" s="2" t="n">
        <v>2.257210651</v>
      </c>
      <c r="Q290" s="2" t="n">
        <v>4.869301872</v>
      </c>
      <c r="R290" s="2" t="n">
        <v>4.444061306</v>
      </c>
      <c r="S290" s="2" t="n">
        <v>1.559575381</v>
      </c>
      <c r="T290" s="2" t="n">
        <v>3.402018529</v>
      </c>
      <c r="U290" s="2" t="n">
        <v>0.408796763</v>
      </c>
      <c r="V290" s="2" t="n">
        <v>0.269262452</v>
      </c>
      <c r="W290" s="2" t="n">
        <v>2.372984127</v>
      </c>
      <c r="X290" s="2" t="n">
        <v>3.148890133</v>
      </c>
      <c r="Y290" s="2" t="n">
        <v>2.46531106</v>
      </c>
      <c r="Z290" s="2" t="n">
        <v>0.036305852</v>
      </c>
      <c r="AA290" s="2" t="n">
        <v>1.810296957</v>
      </c>
      <c r="AB290" s="2" t="n">
        <v>0.801456744</v>
      </c>
      <c r="AC290" s="2" t="n">
        <v>1.630700547</v>
      </c>
      <c r="AD290" s="2" t="n">
        <v>4.875987981</v>
      </c>
      <c r="AE290" s="2" t="n">
        <v>2.605571366</v>
      </c>
      <c r="AF290" s="2" t="n">
        <v>2.701916205</v>
      </c>
      <c r="AH290" s="2" t="n">
        <v>1.643396666</v>
      </c>
      <c r="AI290" s="2" t="n">
        <v>2.222616069</v>
      </c>
      <c r="AJ290" s="2" t="n">
        <v>2.111478836</v>
      </c>
      <c r="AK290" s="2" t="n">
        <v>1.474485149</v>
      </c>
      <c r="AN290" s="2" t="n">
        <v>0.656156504</v>
      </c>
      <c r="AO290" s="2" t="n">
        <v>5.46432</v>
      </c>
      <c r="AP290" s="2" t="n">
        <v>0.8835602420000001</v>
      </c>
      <c r="AQ290" s="2" t="n">
        <v>3.150957043</v>
      </c>
      <c r="AR290" s="2" t="n">
        <v>6</v>
      </c>
      <c r="AS290" s="2" t="n">
        <v>-0.514834341</v>
      </c>
      <c r="AT290" s="2" t="n">
        <v>1.771399471</v>
      </c>
      <c r="AU290" t="n">
        <v>-1.004575043</v>
      </c>
    </row>
    <row r="291">
      <c r="A291" t="inlineStr">
        <is>
          <t>2019-Q3</t>
        </is>
      </c>
      <c r="B291" s="3" t="n">
        <v>43739</v>
      </c>
      <c r="C291" s="2" t="n">
        <v>1.926025001</v>
      </c>
      <c r="E291" s="2" t="n">
        <v>1.900217953</v>
      </c>
      <c r="F291" s="2" t="n">
        <v>1.896558628</v>
      </c>
      <c r="H291" s="2" t="n">
        <v>2.955063995</v>
      </c>
      <c r="I291" s="2" t="n">
        <v>1.359957007</v>
      </c>
      <c r="J291" s="2" t="n">
        <v>2.111497395</v>
      </c>
      <c r="K291" s="2" t="n">
        <v>2.035871746</v>
      </c>
      <c r="M291" s="2" t="n">
        <v>1.708587062</v>
      </c>
      <c r="N291" s="2" t="n">
        <v>2.005558306</v>
      </c>
      <c r="O291" s="2" t="n">
        <v>1.360998723</v>
      </c>
      <c r="P291" s="2" t="n">
        <v>1.566261471</v>
      </c>
      <c r="Q291" s="2" t="n">
        <v>4.428975034</v>
      </c>
      <c r="R291" s="2" t="n">
        <v>5.643544342</v>
      </c>
      <c r="S291" s="2" t="n">
        <v>0.978219433</v>
      </c>
      <c r="T291" s="2" t="n">
        <v>3.616733048</v>
      </c>
      <c r="U291" s="2" t="n">
        <v>0.526955854</v>
      </c>
      <c r="V291" s="2" t="n">
        <v>1.069009435</v>
      </c>
      <c r="W291" s="2" t="n">
        <v>2.085000621</v>
      </c>
      <c r="X291" s="2" t="n">
        <v>3.033480863</v>
      </c>
      <c r="Y291" s="2" t="n">
        <v>1.527166894</v>
      </c>
      <c r="Z291" s="2" t="n">
        <v>-0.1248073</v>
      </c>
      <c r="AA291" s="2" t="n">
        <v>1.888930804</v>
      </c>
      <c r="AB291" s="2" t="n">
        <v>0.074488812</v>
      </c>
      <c r="AC291" s="2" t="n">
        <v>1.883917343</v>
      </c>
      <c r="AD291" s="2" t="n">
        <v>4.606156115</v>
      </c>
      <c r="AE291" s="2" t="n">
        <v>2.540924798</v>
      </c>
      <c r="AF291" s="2" t="n">
        <v>1.96705466</v>
      </c>
      <c r="AH291" s="2" t="n">
        <v>2.699316538</v>
      </c>
      <c r="AI291" s="2" t="n">
        <v>2.712090453</v>
      </c>
      <c r="AJ291" s="2" t="n">
        <v>2.318325998</v>
      </c>
      <c r="AK291" s="2" t="n">
        <v>1.67984753</v>
      </c>
      <c r="AN291" s="2" t="n">
        <v>1.432668881</v>
      </c>
      <c r="AO291" s="2" t="n">
        <v>4.50132</v>
      </c>
      <c r="AP291" s="2" t="n">
        <v>-0.229652007</v>
      </c>
      <c r="AQ291" s="2" t="n">
        <v>1.896150164</v>
      </c>
      <c r="AR291" s="2" t="n">
        <v>5.9</v>
      </c>
      <c r="AS291" s="2" t="n">
        <v>1.144279226</v>
      </c>
      <c r="AT291" s="2" t="n">
        <v>0.884855776</v>
      </c>
      <c r="AU291" t="n">
        <v>-0.258332358</v>
      </c>
    </row>
    <row r="292">
      <c r="A292" t="inlineStr">
        <is>
          <t>2019-Q4</t>
        </is>
      </c>
      <c r="B292" s="3" t="n">
        <v>43831</v>
      </c>
      <c r="C292" s="2" t="n">
        <v>2.138405617</v>
      </c>
      <c r="E292" s="2" t="n">
        <v>1.606812157</v>
      </c>
      <c r="F292" s="2" t="n">
        <v>1.711588487</v>
      </c>
      <c r="H292" s="2" t="n">
        <v>2.884639764</v>
      </c>
      <c r="I292" s="2" t="n">
        <v>0.894534052</v>
      </c>
      <c r="J292" s="2" t="n">
        <v>1.680227842</v>
      </c>
      <c r="K292" s="2" t="n">
        <v>1.733430049</v>
      </c>
      <c r="M292" s="2" t="n">
        <v>1.178626169</v>
      </c>
      <c r="N292" s="2" t="n">
        <v>0.948296617</v>
      </c>
      <c r="O292" s="2" t="n">
        <v>1.209723869</v>
      </c>
      <c r="P292" s="2" t="n">
        <v>0.956744538</v>
      </c>
      <c r="Q292" s="2" t="n">
        <v>4.048361906</v>
      </c>
      <c r="R292" s="2" t="n">
        <v>5.156833474</v>
      </c>
      <c r="S292" s="2" t="n">
        <v>3.271694407</v>
      </c>
      <c r="T292" s="2" t="n">
        <v>4.000849258</v>
      </c>
      <c r="U292" s="2" t="n">
        <v>-0.115731933</v>
      </c>
      <c r="V292" s="2" t="n">
        <v>-1.327094958</v>
      </c>
      <c r="W292" s="2" t="n">
        <v>2.557298587</v>
      </c>
      <c r="X292" s="2" t="n">
        <v>2.69677982</v>
      </c>
      <c r="Y292" s="2" t="n">
        <v>0.605215101</v>
      </c>
      <c r="Z292" s="2" t="n">
        <v>-0.859297055</v>
      </c>
      <c r="AA292" s="2" t="n">
        <v>1.910179306</v>
      </c>
      <c r="AB292" s="2" t="n">
        <v>1.717396767</v>
      </c>
      <c r="AC292" s="2" t="n">
        <v>1.708806476</v>
      </c>
      <c r="AD292" s="2" t="n">
        <v>4.022370225</v>
      </c>
      <c r="AE292" s="2" t="n">
        <v>2.760684181</v>
      </c>
      <c r="AF292" s="2" t="n">
        <v>1.96342732</v>
      </c>
      <c r="AH292" s="2" t="n">
        <v>1.42765414</v>
      </c>
      <c r="AI292" s="2" t="n">
        <v>1.843407571</v>
      </c>
      <c r="AJ292" s="2" t="n">
        <v>2.569423535</v>
      </c>
      <c r="AK292" s="2" t="n">
        <v>1.121636272</v>
      </c>
      <c r="AN292" s="2" t="n">
        <v>1.709322862</v>
      </c>
      <c r="AO292" s="2" t="n">
        <v>3.32467</v>
      </c>
      <c r="AP292" s="2" t="n">
        <v>-0.449256694</v>
      </c>
      <c r="AQ292" s="2" t="n">
        <v>0.7656019509999999</v>
      </c>
      <c r="AR292" s="2" t="n">
        <v>5.8</v>
      </c>
      <c r="AS292" s="2" t="n">
        <v>5.68390736</v>
      </c>
      <c r="AT292" s="2" t="n">
        <v>1.583048836</v>
      </c>
      <c r="AU292" t="n">
        <v>-0.56788553</v>
      </c>
    </row>
    <row r="293">
      <c r="A293" t="inlineStr">
        <is>
          <t>2020-Q1</t>
        </is>
      </c>
      <c r="B293" s="3" t="n">
        <v>43922</v>
      </c>
      <c r="C293" s="2" t="n">
        <v>1.389292482</v>
      </c>
      <c r="E293" s="2" t="n">
        <v>-1.977129809</v>
      </c>
      <c r="F293" s="2" t="n">
        <v>-0.448862246</v>
      </c>
      <c r="H293" s="2" t="n">
        <v>-1.462598866</v>
      </c>
      <c r="I293" s="2" t="n">
        <v>-1.919182065</v>
      </c>
      <c r="J293" s="2" t="n">
        <v>0.220148787</v>
      </c>
      <c r="K293" s="2" t="n">
        <v>-4.326540789</v>
      </c>
      <c r="M293" s="2" t="n">
        <v>0.061215566</v>
      </c>
      <c r="N293" s="2" t="n">
        <v>-5.415800487</v>
      </c>
      <c r="O293" s="2" t="n">
        <v>-2.212141649</v>
      </c>
      <c r="P293" s="2" t="n">
        <v>-0.437673008</v>
      </c>
      <c r="Q293" s="2" t="n">
        <v>1.954605778</v>
      </c>
      <c r="R293" s="2" t="n">
        <v>6.831657923</v>
      </c>
      <c r="S293" s="2" t="n">
        <v>-3.374408638</v>
      </c>
      <c r="T293" s="2" t="n">
        <v>1.310283117</v>
      </c>
      <c r="U293" s="2" t="n">
        <v>-5.799239125</v>
      </c>
      <c r="V293" s="2" t="n">
        <v>-2.194190815</v>
      </c>
      <c r="W293" s="2" t="n">
        <v>1.466146721</v>
      </c>
      <c r="X293" s="2" t="n">
        <v>1.122679726</v>
      </c>
      <c r="Y293" s="2" t="n">
        <v>-1.166720863</v>
      </c>
      <c r="Z293" s="2" t="n">
        <v>-1.978189995</v>
      </c>
      <c r="AA293" s="2" t="n">
        <v>-0.37328283</v>
      </c>
      <c r="AB293" s="2" t="n">
        <v>0.369194773</v>
      </c>
      <c r="AC293" s="2" t="n">
        <v>-0.735408082</v>
      </c>
      <c r="AD293" s="2" t="n">
        <v>2.04284387</v>
      </c>
      <c r="AE293" s="2" t="n">
        <v>-2.634006101</v>
      </c>
      <c r="AF293" s="2" t="n">
        <v>-3.228370039</v>
      </c>
      <c r="AH293" s="2" t="n">
        <v>0.117357017</v>
      </c>
      <c r="AI293" s="2" t="n">
        <v>0.144530449</v>
      </c>
      <c r="AJ293" s="2" t="n">
        <v>0.630785164</v>
      </c>
      <c r="AK293" s="2" t="n">
        <v>-3.039595204</v>
      </c>
      <c r="AN293" s="2" t="n">
        <v>-0.171995595</v>
      </c>
      <c r="AO293" s="2" t="n">
        <v>2.93549</v>
      </c>
      <c r="AP293" s="2" t="n">
        <v>0.669337363</v>
      </c>
      <c r="AQ293" s="2" t="n">
        <v>0.603824644</v>
      </c>
      <c r="AR293" s="2" t="n">
        <v>-6.8</v>
      </c>
      <c r="AS293" s="2" t="n">
        <v>4.292928455</v>
      </c>
      <c r="AT293" s="2" t="n">
        <v>-1.499878138</v>
      </c>
      <c r="AU293" t="n">
        <v>-4.834710226</v>
      </c>
    </row>
    <row r="294">
      <c r="A294" t="inlineStr">
        <is>
          <t>2020-Q2</t>
        </is>
      </c>
      <c r="B294" s="3" t="n">
        <v>44013</v>
      </c>
      <c r="C294" s="2" t="n">
        <v>-6.204095089</v>
      </c>
      <c r="E294" s="2" t="n">
        <v>-13.951660977</v>
      </c>
      <c r="F294" s="2" t="n">
        <v>-12.612544486</v>
      </c>
      <c r="H294" s="2" t="n">
        <v>-10.942126829</v>
      </c>
      <c r="I294" s="2" t="n">
        <v>-11.286579908</v>
      </c>
      <c r="J294" s="2" t="n">
        <v>-6.646499613</v>
      </c>
      <c r="K294" s="2" t="n">
        <v>-21.50187491</v>
      </c>
      <c r="M294" s="2" t="n">
        <v>-7.053517217</v>
      </c>
      <c r="N294" s="2" t="n">
        <v>-18.598113721</v>
      </c>
      <c r="O294" s="2" t="n">
        <v>-21.357741759</v>
      </c>
      <c r="P294" s="2" t="n">
        <v>-13.908356806</v>
      </c>
      <c r="Q294" s="2" t="n">
        <v>-13.344876679</v>
      </c>
      <c r="R294" s="2" t="n">
        <v>0.880096889</v>
      </c>
      <c r="S294" s="2" t="n">
        <v>-10.452892331</v>
      </c>
      <c r="T294" s="2" t="n">
        <v>-8.378950953</v>
      </c>
      <c r="U294" s="2" t="n">
        <v>-18.162699088</v>
      </c>
      <c r="V294" s="2" t="n">
        <v>-10.135014584</v>
      </c>
      <c r="W294" s="2" t="n">
        <v>-2.748063246</v>
      </c>
      <c r="X294" s="2" t="n">
        <v>-7.954495437</v>
      </c>
      <c r="Y294" s="2" t="n">
        <v>-8.582018959999999</v>
      </c>
      <c r="Z294" s="2" t="n">
        <v>-18.795670002</v>
      </c>
      <c r="AA294" s="2" t="n">
        <v>-9.097024391</v>
      </c>
      <c r="AB294" s="2" t="n">
        <v>-4.322859936</v>
      </c>
      <c r="AC294" s="2" t="n">
        <v>-11.595126218</v>
      </c>
      <c r="AD294" s="2" t="n">
        <v>-7.955856296</v>
      </c>
      <c r="AE294" s="2" t="n">
        <v>-17.945345509</v>
      </c>
      <c r="AF294" s="2" t="n">
        <v>-10.465479029</v>
      </c>
      <c r="AH294" s="2" t="n">
        <v>-8.157979878000001</v>
      </c>
      <c r="AI294" s="2" t="n">
        <v>-10.171182533</v>
      </c>
      <c r="AJ294" s="2" t="n">
        <v>-9.083737424000001</v>
      </c>
      <c r="AK294" s="2" t="n">
        <v>-14.521056601</v>
      </c>
      <c r="AN294" s="2" t="n">
        <v>-6.699634636</v>
      </c>
      <c r="AO294" s="2" t="n">
        <v>-23.32677</v>
      </c>
      <c r="AP294" s="2" t="n">
        <v>-17.245082083</v>
      </c>
      <c r="AQ294" s="2" t="n">
        <v>-5.937237685</v>
      </c>
      <c r="AR294" s="2" t="n">
        <v>3.2</v>
      </c>
      <c r="AS294" s="2" t="n">
        <v>-9.102578514999999</v>
      </c>
      <c r="AT294" s="2" t="n">
        <v>-10.807178541</v>
      </c>
      <c r="AU294" t="n">
        <v>-19.91003437</v>
      </c>
    </row>
    <row r="295">
      <c r="A295" t="inlineStr">
        <is>
          <t>2020-Q3</t>
        </is>
      </c>
      <c r="B295" s="3" t="n">
        <v>44105</v>
      </c>
      <c r="C295" s="2" t="n">
        <v>-3.645613575</v>
      </c>
      <c r="E295" s="2" t="n">
        <v>-4.297538486</v>
      </c>
      <c r="F295" s="2" t="n">
        <v>-5.092942206</v>
      </c>
      <c r="H295" s="2" t="n">
        <v>-5.446967887</v>
      </c>
      <c r="I295" s="2" t="n">
        <v>-3.660077954</v>
      </c>
      <c r="J295" s="2" t="n">
        <v>-1.313009343</v>
      </c>
      <c r="K295" s="2" t="n">
        <v>-8.661583224999999</v>
      </c>
      <c r="M295" s="2" t="n">
        <v>-2.719400239</v>
      </c>
      <c r="N295" s="2" t="n">
        <v>-3.619976789</v>
      </c>
      <c r="O295" s="2" t="n">
        <v>-8.484519103</v>
      </c>
      <c r="P295" s="2" t="n">
        <v>-10.034397475</v>
      </c>
      <c r="Q295" s="2" t="n">
        <v>-4.869146891</v>
      </c>
      <c r="R295" s="2" t="n">
        <v>11.275944103</v>
      </c>
      <c r="S295" s="2" t="n">
        <v>-6.801548498</v>
      </c>
      <c r="T295" s="2" t="n">
        <v>-1.275527646</v>
      </c>
      <c r="U295" s="2" t="n">
        <v>-5.233770632</v>
      </c>
      <c r="V295" s="2" t="n">
        <v>-5.428223579</v>
      </c>
      <c r="W295" s="2" t="n">
        <v>-0.9770946150000001</v>
      </c>
      <c r="X295" s="2" t="n">
        <v>-0.135608767</v>
      </c>
      <c r="Y295" s="2" t="n">
        <v>-2.824715272</v>
      </c>
      <c r="Z295" s="2" t="n">
        <v>-8.650436873</v>
      </c>
      <c r="AA295" s="2" t="n">
        <v>-2.629024798</v>
      </c>
      <c r="AB295" s="2" t="n">
        <v>-0.158254728</v>
      </c>
      <c r="AC295" s="2" t="n">
        <v>-3.736330809</v>
      </c>
      <c r="AD295" s="2" t="n">
        <v>-2.052744109</v>
      </c>
      <c r="AE295" s="2" t="n">
        <v>-6.338843252</v>
      </c>
      <c r="AF295" s="2" t="n">
        <v>-2.675138439</v>
      </c>
      <c r="AH295" s="2" t="n">
        <v>-1.891505929</v>
      </c>
      <c r="AI295" s="2" t="n">
        <v>1.441146549</v>
      </c>
      <c r="AJ295" s="2" t="n">
        <v>-2.887505989</v>
      </c>
      <c r="AK295" s="2" t="n">
        <v>-3.990901111</v>
      </c>
      <c r="AN295" s="2" t="n">
        <v>-1.322868004</v>
      </c>
      <c r="AO295" s="2" t="n">
        <v>-7.53683</v>
      </c>
      <c r="AP295" s="2" t="n">
        <v>-5.730121938</v>
      </c>
      <c r="AQ295" s="2" t="n">
        <v>-2.765689118</v>
      </c>
      <c r="AR295" s="2" t="n">
        <v>4.9</v>
      </c>
      <c r="AS295" s="2" t="n">
        <v>5.751517577</v>
      </c>
      <c r="AT295" s="2" t="n">
        <v>-3.897942025</v>
      </c>
      <c r="AU295" t="n">
        <v>-10.180626563</v>
      </c>
    </row>
    <row r="296">
      <c r="A296" t="inlineStr">
        <is>
          <t>2020-Q4</t>
        </is>
      </c>
      <c r="B296" s="3" t="n">
        <v>44197</v>
      </c>
      <c r="C296" s="2" t="n">
        <v>-0.929230423</v>
      </c>
      <c r="E296" s="2" t="n">
        <v>-4.919321695</v>
      </c>
      <c r="F296" s="2" t="n">
        <v>-3.059297209</v>
      </c>
      <c r="H296" s="2" t="n">
        <v>-5.345479854</v>
      </c>
      <c r="I296" s="2" t="n">
        <v>-2.871620591</v>
      </c>
      <c r="J296" s="2" t="n">
        <v>-0.508422777</v>
      </c>
      <c r="K296" s="2" t="n">
        <v>-8.801676573</v>
      </c>
      <c r="M296" s="2" t="n">
        <v>-1.734285217</v>
      </c>
      <c r="N296" s="2" t="n">
        <v>-4.304543723</v>
      </c>
      <c r="O296" s="2" t="n">
        <v>-7.341394775</v>
      </c>
      <c r="P296" s="2" t="n">
        <v>-6.846947318</v>
      </c>
      <c r="Q296" s="2" t="n">
        <v>-4.087047356</v>
      </c>
      <c r="R296" s="2" t="n">
        <v>4.444592482</v>
      </c>
      <c r="S296" s="2" t="n">
        <v>-5.42721099</v>
      </c>
      <c r="T296" s="2" t="n">
        <v>-0.022445908</v>
      </c>
      <c r="U296" s="2" t="n">
        <v>-6.522016868</v>
      </c>
      <c r="V296" s="2" t="n">
        <v>-0.814154523</v>
      </c>
      <c r="W296" s="2" t="n">
        <v>-1.120057389</v>
      </c>
      <c r="X296" s="2" t="n">
        <v>1.730765226</v>
      </c>
      <c r="Y296" s="2" t="n">
        <v>-1.847614968</v>
      </c>
      <c r="Z296" s="2" t="n">
        <v>-4.608959762</v>
      </c>
      <c r="AA296" s="2" t="n">
        <v>-3.117371989</v>
      </c>
      <c r="AB296" s="2" t="n">
        <v>-1.101555441</v>
      </c>
      <c r="AC296" s="2" t="n">
        <v>-2.762838648</v>
      </c>
      <c r="AD296" s="2" t="n">
        <v>-2.633876877</v>
      </c>
      <c r="AE296" s="2" t="n">
        <v>-6.849309852</v>
      </c>
      <c r="AF296" s="2" t="n">
        <v>-2.662680054</v>
      </c>
      <c r="AH296" s="2" t="n">
        <v>-1.831618914</v>
      </c>
      <c r="AI296" s="2" t="n">
        <v>0.136758214</v>
      </c>
      <c r="AJ296" s="2" t="n">
        <v>-2.262915243</v>
      </c>
      <c r="AK296" s="2" t="n">
        <v>-4.384896834</v>
      </c>
      <c r="AN296" s="2" t="n">
        <v>-1.834527377</v>
      </c>
      <c r="AO296" s="2" t="n">
        <v>0.01504</v>
      </c>
      <c r="AP296" s="2" t="n">
        <v>-3.388749564</v>
      </c>
      <c r="AQ296" s="2" t="n">
        <v>-1.288509054</v>
      </c>
      <c r="AR296" s="2" t="n">
        <v>6.5</v>
      </c>
      <c r="AS296" s="2" t="n">
        <v>5.582396764</v>
      </c>
      <c r="AT296" s="2" t="n">
        <v>-1.245949197</v>
      </c>
      <c r="AU296" t="n">
        <v>-4.579815853</v>
      </c>
    </row>
    <row r="297">
      <c r="A297" t="inlineStr">
        <is>
          <t>2021-Q1</t>
        </is>
      </c>
      <c r="B297" s="3" t="n">
        <v>44287</v>
      </c>
      <c r="C297" s="2" t="n">
        <v>1.278219011</v>
      </c>
      <c r="E297" s="2" t="n">
        <v>-0.531521538</v>
      </c>
      <c r="F297" s="2" t="n">
        <v>0.29695326</v>
      </c>
      <c r="H297" s="2" t="n">
        <v>-2.456226583</v>
      </c>
      <c r="I297" s="2" t="n">
        <v>-3.107829053</v>
      </c>
      <c r="J297" s="2" t="n">
        <v>-0.662493385</v>
      </c>
      <c r="K297" s="2" t="n">
        <v>-4.214048001</v>
      </c>
      <c r="M297" s="2" t="n">
        <v>-1.227058207</v>
      </c>
      <c r="N297" s="2" t="n">
        <v>1.522856493</v>
      </c>
      <c r="O297" s="2" t="n">
        <v>-6.138433137</v>
      </c>
      <c r="P297" s="2" t="n">
        <v>-2.255871606</v>
      </c>
      <c r="Q297" s="2" t="n">
        <v>-1.876791677</v>
      </c>
      <c r="R297" s="2" t="n">
        <v>10.637347657</v>
      </c>
      <c r="S297" s="2" t="n">
        <v>-3.880662613</v>
      </c>
      <c r="T297" s="2" t="n">
        <v>0.832671713</v>
      </c>
      <c r="U297" s="2" t="n">
        <v>-0.70106504</v>
      </c>
      <c r="V297" s="2" t="n">
        <v>-1.285592864</v>
      </c>
      <c r="W297" s="2" t="n">
        <v>1.886157086</v>
      </c>
      <c r="X297" s="2" t="n">
        <v>4.871718311</v>
      </c>
      <c r="Y297" s="2" t="n">
        <v>-1.19335882</v>
      </c>
      <c r="Z297" s="2" t="n">
        <v>-2.654294873</v>
      </c>
      <c r="AA297" s="2" t="n">
        <v>-2.26365154</v>
      </c>
      <c r="AB297" s="2" t="n">
        <v>-0.201691759</v>
      </c>
      <c r="AC297" s="2" t="n">
        <v>-0.322694131</v>
      </c>
      <c r="AD297" s="2" t="n">
        <v>-1.313262314</v>
      </c>
      <c r="AE297" s="2" t="n">
        <v>-5.740742724</v>
      </c>
      <c r="AF297" s="2" t="n">
        <v>0.295981795</v>
      </c>
      <c r="AH297" s="2" t="n">
        <v>-0.243822715</v>
      </c>
      <c r="AI297" s="2" t="n">
        <v>2.940487812</v>
      </c>
      <c r="AJ297" s="2" t="n">
        <v>0.546976803</v>
      </c>
      <c r="AK297" s="2" t="n">
        <v>-1.22764578</v>
      </c>
      <c r="AN297" s="2" t="n">
        <v>-0.697534018</v>
      </c>
      <c r="AO297" s="2" t="n">
        <v>1.64061</v>
      </c>
      <c r="AP297" s="2" t="n">
        <v>-2.531143782</v>
      </c>
      <c r="AQ297" s="2" t="n">
        <v>-0.129119542</v>
      </c>
      <c r="AR297" s="2" t="n">
        <v>18.3</v>
      </c>
      <c r="AS297" s="2" t="n">
        <v>7.39524083</v>
      </c>
      <c r="AT297" s="2" t="n">
        <v>2.345179729</v>
      </c>
      <c r="AU297" t="n">
        <v>2.50688954</v>
      </c>
    </row>
    <row r="298">
      <c r="A298" t="inlineStr">
        <is>
          <t>2021-Q2</t>
        </is>
      </c>
      <c r="B298" s="3" t="n">
        <v>44378</v>
      </c>
      <c r="C298" s="2" t="n">
        <v>9.60111438</v>
      </c>
      <c r="E298" s="2" t="n">
        <v>14.87860944</v>
      </c>
      <c r="F298" s="2" t="n">
        <v>12.722730786</v>
      </c>
      <c r="H298" s="2" t="n">
        <v>8.181832065</v>
      </c>
      <c r="I298" s="2" t="n">
        <v>9.411520596000001</v>
      </c>
      <c r="J298" s="2" t="n">
        <v>8.523537344999999</v>
      </c>
      <c r="K298" s="2" t="n">
        <v>17.548571404</v>
      </c>
      <c r="M298" s="2" t="n">
        <v>7.762369585</v>
      </c>
      <c r="N298" s="2" t="n">
        <v>18.652979417</v>
      </c>
      <c r="O298" s="2" t="n">
        <v>22.164398154</v>
      </c>
      <c r="P298" s="2" t="n">
        <v>16.195134448</v>
      </c>
      <c r="Q298" s="2" t="n">
        <v>17.726221472</v>
      </c>
      <c r="R298" s="2" t="n">
        <v>21.12750481</v>
      </c>
      <c r="S298" s="2" t="n">
        <v>8.555598204000001</v>
      </c>
      <c r="T298" s="2" t="n">
        <v>15.437706674</v>
      </c>
      <c r="U298" s="2" t="n">
        <v>17.276763098</v>
      </c>
      <c r="V298" s="2" t="n">
        <v>7.719605489</v>
      </c>
      <c r="W298" s="2" t="n">
        <v>6.011551996</v>
      </c>
      <c r="Y298" s="2" t="n">
        <v>10.79672017</v>
      </c>
      <c r="Z298" s="2" t="n">
        <v>19.455566528</v>
      </c>
      <c r="AA298" s="2" t="n">
        <v>9.997102315999999</v>
      </c>
      <c r="AB298" s="2" t="n">
        <v>5.712667702</v>
      </c>
      <c r="AC298" s="2" t="n">
        <v>13.1</v>
      </c>
      <c r="AD298" s="2" t="n">
        <v>10.963778431</v>
      </c>
      <c r="AE298" s="2" t="n">
        <v>16.241162582</v>
      </c>
      <c r="AF298" s="2" t="n">
        <v>10.1749179</v>
      </c>
      <c r="AH298" s="2" t="n">
        <v>9.50999646</v>
      </c>
      <c r="AI298" s="2" t="n">
        <v>17.402086719</v>
      </c>
      <c r="AJ298" s="2" t="n">
        <v>12.182002705</v>
      </c>
      <c r="AK298" s="2" t="n">
        <v>14.322079311</v>
      </c>
      <c r="AN298" s="2" t="n">
        <v>7.729695561</v>
      </c>
      <c r="AO298" s="2" t="n">
        <v>20.89726</v>
      </c>
      <c r="AP298" s="2" t="n">
        <v>19.365082559</v>
      </c>
      <c r="AQ298" s="2" t="n">
        <v>8.065804143999999</v>
      </c>
      <c r="AR298" s="2" t="n">
        <v>7.9</v>
      </c>
      <c r="AS298" s="2" t="n">
        <v>21.441534229</v>
      </c>
      <c r="AT298" s="2" t="n">
        <v>12.358305133</v>
      </c>
      <c r="AU298" t="n">
        <v>19.578712309</v>
      </c>
    </row>
  </sheetData>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0070C0"/>
    <outlinePr summaryBelow="1" summaryRight="1"/>
    <pageSetUpPr/>
  </sheetPr>
  <dimension ref="B1:AH96"/>
  <sheetViews>
    <sheetView zoomScale="130" zoomScaleNormal="130" workbookViewId="0">
      <pane xSplit="2" ySplit="9" topLeftCell="C10" activePane="bottomRight" state="frozen"/>
      <selection activeCell="J97" sqref="J97"/>
      <selection pane="topRight" activeCell="J97" sqref="J97"/>
      <selection pane="bottomLeft" activeCell="J97" sqref="J97"/>
      <selection pane="bottomRight" activeCell="N104" sqref="N104"/>
    </sheetView>
  </sheetViews>
  <sheetFormatPr baseColWidth="10" defaultColWidth="8.83203125" defaultRowHeight="15"/>
  <cols>
    <col width="9.1640625" customWidth="1" style="93" min="1" max="1"/>
    <col width="13" bestFit="1" customWidth="1" style="89" min="2" max="2"/>
    <col width="9" bestFit="1" customWidth="1" style="89" min="3" max="26"/>
    <col width="9" customWidth="1" style="89" min="27" max="27"/>
    <col width="6.1640625" customWidth="1" style="89" min="28" max="28"/>
    <col width="8" bestFit="1" customWidth="1" style="93" min="29" max="29"/>
    <col width="16.33203125" bestFit="1" customWidth="1" style="93" min="30" max="30"/>
    <col width="8" bestFit="1" customWidth="1" style="93" min="31" max="31"/>
    <col width="5.33203125" bestFit="1" customWidth="1" style="93" min="32" max="32"/>
    <col width="37" bestFit="1" customWidth="1" style="93" min="33" max="33"/>
    <col width="41" bestFit="1" customWidth="1" style="93" min="34" max="34"/>
    <col width="9.1640625" customWidth="1" style="93"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73" t="inlineStr">
        <is>
          <t>To do List</t>
        </is>
      </c>
    </row>
    <row r="2" customFormat="1" s="93">
      <c r="AD2" s="93" t="inlineStr">
        <is>
          <t>Last quarter</t>
        </is>
      </c>
      <c r="AE2" s="70" t="inlineStr">
        <is>
          <t>2021-Q2</t>
        </is>
      </c>
      <c r="AH2" s="73" t="inlineStr">
        <is>
          <t>Modify max/min/avg + Modify AE1, AE2, AE3</t>
        </is>
      </c>
    </row>
    <row r="3" ht="75.75" customHeight="1" s="89">
      <c r="B3" s="5" t="n"/>
      <c r="C3" s="6" t="inlineStr">
        <is>
          <t>US</t>
        </is>
      </c>
      <c r="D3" s="7" t="inlineStr">
        <is>
          <t xml:space="preserve">China </t>
        </is>
      </c>
      <c r="E3" s="8" t="inlineStr">
        <is>
          <t>Eurozone</t>
        </is>
      </c>
      <c r="F3" s="9" t="inlineStr">
        <is>
          <t xml:space="preserve">Japan </t>
        </is>
      </c>
      <c r="G3" s="10" t="inlineStr">
        <is>
          <t>Germany</t>
        </is>
      </c>
      <c r="H3" s="10" t="inlineStr">
        <is>
          <t>France</t>
        </is>
      </c>
      <c r="I3" s="10" t="inlineStr">
        <is>
          <t>UK</t>
        </is>
      </c>
      <c r="J3" s="10" t="inlineStr">
        <is>
          <t xml:space="preserve">Italy </t>
        </is>
      </c>
      <c r="K3" s="10" t="inlineStr">
        <is>
          <t>Spain</t>
        </is>
      </c>
      <c r="L3" s="10" t="inlineStr">
        <is>
          <t>Sweden</t>
        </is>
      </c>
      <c r="M3" s="10" t="inlineStr">
        <is>
          <t>Mexico</t>
        </is>
      </c>
      <c r="N3" s="10" t="inlineStr">
        <is>
          <t>Russia</t>
        </is>
      </c>
      <c r="O3" s="10" t="inlineStr">
        <is>
          <t>India</t>
        </is>
      </c>
      <c r="P3" s="10" t="inlineStr">
        <is>
          <t>Canada</t>
        </is>
      </c>
      <c r="Q3" s="10" t="inlineStr">
        <is>
          <t>Australia</t>
        </is>
      </c>
      <c r="R3" s="11" t="inlineStr">
        <is>
          <t>Switzerland</t>
        </is>
      </c>
      <c r="S3" s="10" t="inlineStr">
        <is>
          <t xml:space="preserve">S Korea </t>
        </is>
      </c>
      <c r="T3" s="10" t="inlineStr">
        <is>
          <t>Brazil</t>
        </is>
      </c>
      <c r="U3" s="10" t="inlineStr">
        <is>
          <t>Greece</t>
        </is>
      </c>
      <c r="V3" s="10" t="inlineStr">
        <is>
          <t>Ireland</t>
        </is>
      </c>
      <c r="W3" s="10" t="inlineStr">
        <is>
          <t>Turkey</t>
        </is>
      </c>
      <c r="X3" s="10" t="inlineStr">
        <is>
          <t xml:space="preserve">Czech </t>
        </is>
      </c>
      <c r="Y3" s="10" t="inlineStr">
        <is>
          <t>Poland</t>
        </is>
      </c>
      <c r="Z3" s="10" t="inlineStr">
        <is>
          <t>Argentina</t>
        </is>
      </c>
      <c r="AA3" s="10" t="inlineStr">
        <is>
          <t>New Zealand</t>
        </is>
      </c>
      <c r="AB3" s="93" t="n"/>
      <c r="AD3" s="12" t="inlineStr">
        <is>
          <t>Previous Quarter</t>
        </is>
      </c>
      <c r="AE3" s="71" t="inlineStr">
        <is>
          <t>2020-Q2</t>
        </is>
      </c>
    </row>
    <row r="4" ht="16" customHeight="1" s="89" thickBot="1">
      <c r="B4" s="5" t="inlineStr">
        <is>
          <t>max 1y</t>
        </is>
      </c>
      <c r="C4" s="14">
        <f>MAX(C90:C93)</f>
        <v/>
      </c>
      <c r="D4" s="14">
        <f>MAX(D90:D93)</f>
        <v/>
      </c>
      <c r="E4" s="14">
        <f>MAX(E90:E93)</f>
        <v/>
      </c>
      <c r="F4" s="14">
        <f>MAX(F90:F93)</f>
        <v/>
      </c>
      <c r="G4" s="14">
        <f>MAX(G90:G93)</f>
        <v/>
      </c>
      <c r="H4" s="14">
        <f>MAX(H90:H93)</f>
        <v/>
      </c>
      <c r="I4" s="14">
        <f>MAX(I90:I93)</f>
        <v/>
      </c>
      <c r="J4" s="14">
        <f>MAX(J90:J93)</f>
        <v/>
      </c>
      <c r="K4" s="14">
        <f>MAX(K90:K93)</f>
        <v/>
      </c>
      <c r="L4" s="14">
        <f>MAX(L90:L93)</f>
        <v/>
      </c>
      <c r="M4" s="14">
        <f>MAX(M90:M93)</f>
        <v/>
      </c>
      <c r="N4" s="14">
        <f>MAX(N90:N93)</f>
        <v/>
      </c>
      <c r="O4" s="14">
        <f>MAX(O90:O93)</f>
        <v/>
      </c>
      <c r="P4" s="14">
        <f>MAX(P90:P93)</f>
        <v/>
      </c>
      <c r="Q4" s="14">
        <f>MAX(Q90:Q93)</f>
        <v/>
      </c>
      <c r="R4" s="14">
        <f>MAX(R90:R93)</f>
        <v/>
      </c>
      <c r="S4" s="14">
        <f>MAX(S90:S93)</f>
        <v/>
      </c>
      <c r="T4" s="14">
        <f>MAX(T90:T93)</f>
        <v/>
      </c>
      <c r="U4" s="14">
        <f>MAX(U90:U93)</f>
        <v/>
      </c>
      <c r="V4" s="14">
        <f>MAX(V90:V93)</f>
        <v/>
      </c>
      <c r="W4" s="14">
        <f>MAX(W90:W93)</f>
        <v/>
      </c>
      <c r="X4" s="14">
        <f>MAX(X90:X93)</f>
        <v/>
      </c>
      <c r="Y4" s="14">
        <f>MAX(Y90:Y93)</f>
        <v/>
      </c>
      <c r="Z4" s="14">
        <f>MAX(Z90:Z93)</f>
        <v/>
      </c>
      <c r="AA4" s="14">
        <f>MAX(AA90:AA93)</f>
        <v/>
      </c>
      <c r="AB4" s="93" t="n"/>
      <c r="AD4" s="15" t="inlineStr">
        <is>
          <t>12 months</t>
        </is>
      </c>
      <c r="AE4" s="72" t="inlineStr">
        <is>
          <t>2019-Q3</t>
        </is>
      </c>
    </row>
    <row r="5">
      <c r="B5" s="5" t="inlineStr">
        <is>
          <t>min 1y</t>
        </is>
      </c>
      <c r="C5" s="14">
        <f>MIN(C90:C93)</f>
        <v/>
      </c>
      <c r="D5" s="14">
        <f>MIN(D90:D93)</f>
        <v/>
      </c>
      <c r="E5" s="14">
        <f>MIN(E90:E93)</f>
        <v/>
      </c>
      <c r="F5" s="14">
        <f>MIN(F90:F93)</f>
        <v/>
      </c>
      <c r="G5" s="14">
        <f>MIN(G90:G93)</f>
        <v/>
      </c>
      <c r="H5" s="14">
        <f>MIN(H90:H93)</f>
        <v/>
      </c>
      <c r="I5" s="14">
        <f>MIN(I90:I93)</f>
        <v/>
      </c>
      <c r="J5" s="14">
        <f>MIN(J90:J93)</f>
        <v/>
      </c>
      <c r="K5" s="14">
        <f>MIN(K90:K93)</f>
        <v/>
      </c>
      <c r="L5" s="14">
        <f>MIN(L90:L93)</f>
        <v/>
      </c>
      <c r="M5" s="14">
        <f>MIN(M90:M93)</f>
        <v/>
      </c>
      <c r="N5" s="14">
        <f>MIN(N90:N93)</f>
        <v/>
      </c>
      <c r="O5" s="14">
        <f>MIN(O90:O93)</f>
        <v/>
      </c>
      <c r="P5" s="14">
        <f>MIN(P90:P93)</f>
        <v/>
      </c>
      <c r="Q5" s="14">
        <f>MIN(Q90:Q93)</f>
        <v/>
      </c>
      <c r="R5" s="14">
        <f>MIN(R90:R93)</f>
        <v/>
      </c>
      <c r="S5" s="14">
        <f>MIN(S90:S93)</f>
        <v/>
      </c>
      <c r="T5" s="14">
        <f>MIN(T90:T93)</f>
        <v/>
      </c>
      <c r="U5" s="14">
        <f>MIN(U90:U93)</f>
        <v/>
      </c>
      <c r="V5" s="14">
        <f>MIN(V90:V93)</f>
        <v/>
      </c>
      <c r="W5" s="14">
        <f>MIN(W90:W93)</f>
        <v/>
      </c>
      <c r="X5" s="14">
        <f>MIN(X90:X93)</f>
        <v/>
      </c>
      <c r="Y5" s="14">
        <f>MIN(Y90:Y93)</f>
        <v/>
      </c>
      <c r="Z5" s="14">
        <f>MIN(Z90:Z93)</f>
        <v/>
      </c>
      <c r="AA5" s="14">
        <f>MIN(AA90:AA93)</f>
        <v/>
      </c>
      <c r="AB5" s="93" t="n"/>
      <c r="AC5" s="17" t="inlineStr">
        <is>
          <t>SPREAD</t>
        </is>
      </c>
      <c r="AE5" s="18" t="n"/>
    </row>
    <row r="6">
      <c r="B6" s="5" t="inlineStr">
        <is>
          <t>1y avg</t>
        </is>
      </c>
      <c r="C6" s="14">
        <f>AVERAGE(C90:C93)</f>
        <v/>
      </c>
      <c r="D6" s="14">
        <f>AVERAGE(D90:D93)</f>
        <v/>
      </c>
      <c r="E6" s="14">
        <f>AVERAGE(E90:E93)</f>
        <v/>
      </c>
      <c r="F6" s="14">
        <f>AVERAGE(F90:F93)</f>
        <v/>
      </c>
      <c r="G6" s="14">
        <f>AVERAGE(G90:G93)</f>
        <v/>
      </c>
      <c r="H6" s="14">
        <f>AVERAGE(H90:H93)</f>
        <v/>
      </c>
      <c r="I6" s="14">
        <f>AVERAGE(I90:I93)</f>
        <v/>
      </c>
      <c r="J6" s="14">
        <f>AVERAGE(J90:J93)</f>
        <v/>
      </c>
      <c r="K6" s="14">
        <f>AVERAGE(K90:K93)</f>
        <v/>
      </c>
      <c r="L6" s="14">
        <f>AVERAGE(L90:L93)</f>
        <v/>
      </c>
      <c r="M6" s="14">
        <f>AVERAGE(M90:M93)</f>
        <v/>
      </c>
      <c r="N6" s="14">
        <f>AVERAGE(N90:N93)</f>
        <v/>
      </c>
      <c r="O6" s="14">
        <f>AVERAGE(O90:O93)</f>
        <v/>
      </c>
      <c r="P6" s="14">
        <f>AVERAGE(P90:P93)</f>
        <v/>
      </c>
      <c r="Q6" s="14">
        <f>AVERAGE(Q90:Q93)</f>
        <v/>
      </c>
      <c r="R6" s="14">
        <f>AVERAGE(R90:R93)</f>
        <v/>
      </c>
      <c r="S6" s="14">
        <f>AVERAGE(S90:S93)</f>
        <v/>
      </c>
      <c r="T6" s="14">
        <f>AVERAGE(T90:T93)</f>
        <v/>
      </c>
      <c r="U6" s="14">
        <f>AVERAGE(U90:U93)</f>
        <v/>
      </c>
      <c r="V6" s="14">
        <f>AVERAGE(V90:V93)</f>
        <v/>
      </c>
      <c r="W6" s="14">
        <f>AVERAGE(W90:W93)</f>
        <v/>
      </c>
      <c r="X6" s="14">
        <f>AVERAGE(X90:X93)</f>
        <v/>
      </c>
      <c r="Y6" s="14">
        <f>AVERAGE(Y90:Y93)</f>
        <v/>
      </c>
      <c r="Z6" s="14">
        <f>AVERAGE(Z90:Z93)</f>
        <v/>
      </c>
      <c r="AA6" s="14">
        <f>AVERAGE(AA90:AA93)</f>
        <v/>
      </c>
      <c r="AB6" s="93" t="n"/>
      <c r="AC6" s="19" t="n"/>
      <c r="AD6" s="93" t="inlineStr">
        <is>
          <t>Country 1</t>
        </is>
      </c>
      <c r="AE6" s="18" t="inlineStr">
        <is>
          <t>GBR</t>
        </is>
      </c>
      <c r="AG6" s="93">
        <f>AE6&amp;" Growth yoy% vs "&amp;AE7&amp;" Growth yoy %"</f>
        <v/>
      </c>
    </row>
    <row r="7" ht="16" customHeight="1" s="89" thickBot="1">
      <c r="B7" s="5" t="inlineStr">
        <is>
          <t>Last vs 12m avg</t>
        </is>
      </c>
      <c r="C7" s="14">
        <f>IF((VLOOKUP($AE$2,$B:$Y,MATCH(C3,$B$3:$Y$3,),))&gt;C6,"above","below")</f>
        <v/>
      </c>
      <c r="D7" s="14">
        <f>IF((VLOOKUP($AE$2,$B:$Y,MATCH(D3,$B$3:$Y$3,),))&gt;D6,"above","below")</f>
        <v/>
      </c>
      <c r="E7" s="14">
        <f>IF((VLOOKUP($AE$2,$B:$Y,MATCH(E3,$B$3:$Y$3,),))&gt;E6,"above","below")</f>
        <v/>
      </c>
      <c r="F7" s="14">
        <f>IF((VLOOKUP($AE$2,$B:$Y,MATCH(F3,$B$3:$Y$3,),))&gt;F6,"above","below")</f>
        <v/>
      </c>
      <c r="G7" s="14">
        <f>IF((VLOOKUP($AE$2,$B:$Y,MATCH(G3,$B$3:$Y$3,),))&gt;G6,"above","below")</f>
        <v/>
      </c>
      <c r="H7" s="14">
        <f>IF((VLOOKUP($AE$2,$B:$Y,MATCH(H3,$B$3:$Y$3,),))&gt;H6,"above","below")</f>
        <v/>
      </c>
      <c r="I7" s="14">
        <f>IF((VLOOKUP($AE$2,$B:$Y,MATCH(I3,$B$3:$Y$3,),))&gt;I6,"above","below")</f>
        <v/>
      </c>
      <c r="J7" s="14">
        <f>IF((VLOOKUP($AE$2,$B:$Y,MATCH(J3,$B$3:$Y$3,),))&gt;J6,"above","below")</f>
        <v/>
      </c>
      <c r="K7" s="14">
        <f>IF((VLOOKUP($AE$2,$B:$Y,MATCH(K3,$B$3:$Y$3,),))&gt;K6,"above","below")</f>
        <v/>
      </c>
      <c r="L7" s="14">
        <f>IF((VLOOKUP($AE$2,$B:$Y,MATCH(L3,$B$3:$Y$3,),))&gt;L6,"above","below")</f>
        <v/>
      </c>
      <c r="M7" s="14">
        <f>IF((VLOOKUP($AE$2,$B:$Y,MATCH(M3,$B$3:$Y$3,),))&gt;M6,"above","below")</f>
        <v/>
      </c>
      <c r="N7" s="14">
        <f>IF((VLOOKUP($AE$2,$B:$Y,MATCH(N3,$B$3:$Y$3,),))&gt;N6,"above","below")</f>
        <v/>
      </c>
      <c r="O7" s="14">
        <f>IF((VLOOKUP($AE$2,$B:$Y,MATCH(O3,$B$3:$Y$3,),))&gt;O6,"above","below")</f>
        <v/>
      </c>
      <c r="P7" s="14">
        <f>IF((VLOOKUP($AE$2,$B:$Y,MATCH(P3,$B$3:$Y$3,),))&gt;P6,"above","below")</f>
        <v/>
      </c>
      <c r="Q7" s="14">
        <f>IF((VLOOKUP($AE$2,$B:$Y,MATCH(Q3,$B$3:$Y$3,),))&gt;Q6,"above","below")</f>
        <v/>
      </c>
      <c r="R7" s="14">
        <f>IF((VLOOKUP($AE$2,$B:$Y,MATCH(R3,$B$3:$Y$3,),))&gt;R6,"above","below")</f>
        <v/>
      </c>
      <c r="S7" s="14">
        <f>IF((VLOOKUP($AE$2,$B:$Y,MATCH(S3,$B$3:$Y$3,),))&gt;S6,"above","below")</f>
        <v/>
      </c>
      <c r="T7" s="14">
        <f>IF((VLOOKUP($AE$2,$B:$Y,MATCH(T3,$B$3:$Y$3,),))&gt;T6,"above","below")</f>
        <v/>
      </c>
      <c r="U7" s="14">
        <f>IF((VLOOKUP($AE$2,$B:$Y,MATCH(U3,$B$3:$Y$3,),))&gt;U6,"above","below")</f>
        <v/>
      </c>
      <c r="V7" s="14">
        <f>IF((VLOOKUP($AE$2,$B:$Y,MATCH(V3,$B$3:$Y$3,),))&gt;V6,"above","below")</f>
        <v/>
      </c>
      <c r="W7" s="14">
        <f>IF((VLOOKUP($AE$2,$B:$Y,MATCH(W3,$B$3:$Y$3,),))&gt;W6,"above","below")</f>
        <v/>
      </c>
      <c r="X7" s="14">
        <f>IF((VLOOKUP($AE$2,$B:$Y,MATCH(X3,$B$3:$Y$3,),))&gt;X6,"above","below")</f>
        <v/>
      </c>
      <c r="Y7" s="14">
        <f>IF((VLOOKUP($AE$2,$B:$Y,MATCH(Y3,$B$3:$Y$3,),))&gt;Y6,"above","below")</f>
        <v/>
      </c>
      <c r="Z7" s="14">
        <f>IF((VLOOKUP($AE$2,$B:$Y,MATCH(Z3,$B$3:$Y$3,),))&gt;Z6,"above","below")</f>
        <v/>
      </c>
      <c r="AA7" s="14">
        <f>IF((VLOOKUP($AE$2,$B:$Y,MATCH(AA3,$B$3:$Y$3,),))&gt;AA6,"above","below")</f>
        <v/>
      </c>
      <c r="AB7" s="93" t="n"/>
      <c r="AC7" s="20" t="n"/>
      <c r="AD7" s="21" t="inlineStr">
        <is>
          <t>Country 2</t>
        </is>
      </c>
      <c r="AE7" s="22" t="inlineStr">
        <is>
          <t>EA19</t>
        </is>
      </c>
    </row>
    <row r="8">
      <c r="B8" s="5" t="inlineStr">
        <is>
          <t>Y/Y</t>
        </is>
      </c>
      <c r="C8" s="14">
        <f>VLOOKUP($AE$2,$B:$Y,MATCH(C3,$B$3:$Y$3,),)-VLOOKUP($AE$4,$B:$Y,MATCH(C3,$B$3:$Y$3,),)</f>
        <v/>
      </c>
      <c r="D8" s="14">
        <f>VLOOKUP($AE$2,$B:$Y,MATCH(D3,$B$3:$Y$3,),)-VLOOKUP($AE$4,$B:$Y,MATCH(D3,$B$3:$Y$3,),)</f>
        <v/>
      </c>
      <c r="E8" s="14">
        <f>VLOOKUP($AE$2,$B:$Y,MATCH(E3,$B$3:$Y$3,),)-VLOOKUP($AE$4,$B:$Y,MATCH(E3,$B$3:$Y$3,),)</f>
        <v/>
      </c>
      <c r="F8" s="14">
        <f>VLOOKUP($AE$2,$B:$Y,MATCH(F3,$B$3:$Y$3,),)-VLOOKUP($AE$4,$B:$Y,MATCH(F3,$B$3:$Y$3,),)</f>
        <v/>
      </c>
      <c r="G8" s="14">
        <f>VLOOKUP($AE$2,$B:$Y,MATCH(G3,$B$3:$Y$3,),)-VLOOKUP($AE$4,$B:$Y,MATCH(G3,$B$3:$Y$3,),)</f>
        <v/>
      </c>
      <c r="H8" s="14">
        <f>VLOOKUP($AE$2,$B:$Y,MATCH(H3,$B$3:$Y$3,),)-VLOOKUP($AE$4,$B:$Y,MATCH(H3,$B$3:$Y$3,),)</f>
        <v/>
      </c>
      <c r="I8" s="14">
        <f>VLOOKUP($AE$2,$B:$Y,MATCH(I3,$B$3:$Y$3,),)-VLOOKUP($AE$4,$B:$Y,MATCH(I3,$B$3:$Y$3,),)</f>
        <v/>
      </c>
      <c r="J8" s="14">
        <f>VLOOKUP($AE$2,$B:$Y,MATCH(J3,$B$3:$Y$3,),)-VLOOKUP($AE$4,$B:$Y,MATCH(J3,$B$3:$Y$3,),)</f>
        <v/>
      </c>
      <c r="K8" s="14">
        <f>VLOOKUP($AE$2,$B:$Y,MATCH(K3,$B$3:$Y$3,),)-VLOOKUP($AE$4,$B:$Y,MATCH(K3,$B$3:$Y$3,),)</f>
        <v/>
      </c>
      <c r="L8" s="14">
        <f>VLOOKUP($AE$2,$B:$Y,MATCH(L3,$B$3:$Y$3,),)-VLOOKUP($AE$4,$B:$Y,MATCH(L3,$B$3:$Y$3,),)</f>
        <v/>
      </c>
      <c r="M8" s="14">
        <f>VLOOKUP($AE$2,$B:$Y,MATCH(M3,$B$3:$Y$3,),)-VLOOKUP($AE$4,$B:$Y,MATCH(M3,$B$3:$Y$3,),)</f>
        <v/>
      </c>
      <c r="N8" s="14">
        <f>VLOOKUP($AE$2,$B:$Y,MATCH(N3,$B$3:$Y$3,),)-VLOOKUP($AE$4,$B:$Y,MATCH(N3,$B$3:$Y$3,),)</f>
        <v/>
      </c>
      <c r="O8" s="14">
        <f>VLOOKUP($AE$2,$B:$Y,MATCH(O3,$B$3:$Y$3,),)-VLOOKUP($AE$4,$B:$Y,MATCH(O3,$B$3:$Y$3,),)</f>
        <v/>
      </c>
      <c r="P8" s="14">
        <f>VLOOKUP($AE$2,$B:$Y,MATCH(P3,$B$3:$Y$3,),)-VLOOKUP($AE$4,$B:$Y,MATCH(P3,$B$3:$Y$3,),)</f>
        <v/>
      </c>
      <c r="Q8" s="14">
        <f>VLOOKUP($AE$2,$B:$Y,MATCH(Q3,$B$3:$Y$3,),)-VLOOKUP($AE$4,$B:$Y,MATCH(Q3,$B$3:$Y$3,),)</f>
        <v/>
      </c>
      <c r="R8" s="14">
        <f>VLOOKUP($AE$2,$B:$Y,MATCH(R3,$B$3:$Y$3,),)-VLOOKUP($AE$4,$B:$Y,MATCH(R3,$B$3:$Y$3,),)</f>
        <v/>
      </c>
      <c r="S8" s="14">
        <f>VLOOKUP($AE$2,$B:$Y,MATCH(S3,$B$3:$Y$3,),)-VLOOKUP($AE$4,$B:$Y,MATCH(S3,$B$3:$Y$3,),)</f>
        <v/>
      </c>
      <c r="T8" s="14">
        <f>VLOOKUP($AE$2,$B:$Y,MATCH(T3,$B$3:$Y$3,),)-VLOOKUP($AE$4,$B:$Y,MATCH(T3,$B$3:$Y$3,),)</f>
        <v/>
      </c>
      <c r="U8" s="14">
        <f>VLOOKUP($AE$2,$B:$Y,MATCH(U3,$B$3:$Y$3,),)-VLOOKUP($AE$4,$B:$Y,MATCH(U3,$B$3:$Y$3,),)</f>
        <v/>
      </c>
      <c r="V8" s="14">
        <f>VLOOKUP($AE$2,$B:$Y,MATCH(V3,$B$3:$Y$3,),)-VLOOKUP($AE$4,$B:$Y,MATCH(V3,$B$3:$Y$3,),)</f>
        <v/>
      </c>
      <c r="W8" s="14">
        <f>VLOOKUP($AE$2,$B:$Y,MATCH(W3,$B$3:$Y$3,),)-VLOOKUP($AE$4,$B:$Y,MATCH(W3,$B$3:$Y$3,),)</f>
        <v/>
      </c>
      <c r="X8" s="14">
        <f>VLOOKUP($AE$2,$B:$Y,MATCH(X3,$B$3:$Y$3,),)-VLOOKUP($AE$4,$B:$Y,MATCH(X3,$B$3:$Y$3,),)</f>
        <v/>
      </c>
      <c r="Y8" s="14">
        <f>VLOOKUP($AE$2,$B:$Y,MATCH(Y3,$B$3:$Y$3,),)-VLOOKUP($AE$4,$B:$Y,MATCH(Y3,$B$3:$Y$3,),)</f>
        <v/>
      </c>
      <c r="Z8" s="14">
        <f>VLOOKUP($AE$2,$B:$Y,MATCH(Z3,$B$3:$Y$3,),)-VLOOKUP($AE$4,$B:$Y,MATCH(Z3,$B$3:$Y$3,),)</f>
        <v/>
      </c>
      <c r="AA8" s="14">
        <f>VLOOKUP($AE$2,$B:$Y,MATCH(AA3,$B$3:$Y$3,),)-VLOOKUP($AE$4,$B:$Y,MATCH(AA3,$B$3:$Y$3,),)</f>
        <v/>
      </c>
      <c r="AB8" s="93" t="n"/>
    </row>
    <row r="9">
      <c r="B9" s="5" t="inlineStr">
        <is>
          <t>Q/Q</t>
        </is>
      </c>
      <c r="C9" s="14">
        <f>VLOOKUP($AE$2,$B:$Y,MATCH(C3,$B$3:$Y$3,),)-VLOOKUP($AE$3,$B:$Y,MATCH(C3,$B$3:$Y$3,),)</f>
        <v/>
      </c>
      <c r="D9" s="14">
        <f>VLOOKUP($AE$2,$B:$Y,MATCH(D3,$B$3:$Y$3,),)-VLOOKUP($AE$3,$B:$Y,MATCH(D3,$B$3:$Y$3,),)</f>
        <v/>
      </c>
      <c r="E9" s="14">
        <f>VLOOKUP($AE$2,$B:$Y,MATCH(E3,$B$3:$Y$3,),)-VLOOKUP($AE$3,$B:$Y,MATCH(E3,$B$3:$Y$3,),)</f>
        <v/>
      </c>
      <c r="F9" s="14">
        <f>VLOOKUP($AE$2,$B:$Y,MATCH(F3,$B$3:$Y$3,),)-VLOOKUP($AE$3,$B:$Y,MATCH(F3,$B$3:$Y$3,),)</f>
        <v/>
      </c>
      <c r="G9" s="14">
        <f>VLOOKUP($AE$2,$B:$Y,MATCH(G3,$B$3:$Y$3,),)-VLOOKUP($AE$3,$B:$Y,MATCH(G3,$B$3:$Y$3,),)</f>
        <v/>
      </c>
      <c r="H9" s="14">
        <f>VLOOKUP($AE$2,$B:$Y,MATCH(H3,$B$3:$Y$3,),)-VLOOKUP($AE$3,$B:$Y,MATCH(H3,$B$3:$Y$3,),)</f>
        <v/>
      </c>
      <c r="I9" s="14">
        <f>VLOOKUP($AE$2,$B:$Y,MATCH(I3,$B$3:$Y$3,),)-VLOOKUP($AE$3,$B:$Y,MATCH(I3,$B$3:$Y$3,),)</f>
        <v/>
      </c>
      <c r="J9" s="14">
        <f>VLOOKUP($AE$2,$B:$Y,MATCH(J3,$B$3:$Y$3,),)-VLOOKUP($AE$3,$B:$Y,MATCH(J3,$B$3:$Y$3,),)</f>
        <v/>
      </c>
      <c r="K9" s="14">
        <f>VLOOKUP($AE$2,$B:$Y,MATCH(K3,$B$3:$Y$3,),)-VLOOKUP($AE$3,$B:$Y,MATCH(K3,$B$3:$Y$3,),)</f>
        <v/>
      </c>
      <c r="L9" s="14">
        <f>VLOOKUP($AE$2,$B:$Y,MATCH(L3,$B$3:$Y$3,),)-VLOOKUP($AE$3,$B:$Y,MATCH(L3,$B$3:$Y$3,),)</f>
        <v/>
      </c>
      <c r="M9" s="14">
        <f>VLOOKUP($AE$2,$B:$Y,MATCH(M3,$B$3:$Y$3,),)-VLOOKUP($AE$3,$B:$Y,MATCH(M3,$B$3:$Y$3,),)</f>
        <v/>
      </c>
      <c r="N9" s="14">
        <f>VLOOKUP($AE$2,$B:$Y,MATCH(N3,$B$3:$Y$3,),)-VLOOKUP($AE$3,$B:$Y,MATCH(N3,$B$3:$Y$3,),)</f>
        <v/>
      </c>
      <c r="O9" s="14">
        <f>VLOOKUP($AE$2,$B:$Y,MATCH(O3,$B$3:$Y$3,),)-VLOOKUP($AE$3,$B:$Y,MATCH(O3,$B$3:$Y$3,),)</f>
        <v/>
      </c>
      <c r="P9" s="14">
        <f>VLOOKUP($AE$2,$B:$Y,MATCH(P3,$B$3:$Y$3,),)-VLOOKUP($AE$3,$B:$Y,MATCH(P3,$B$3:$Y$3,),)</f>
        <v/>
      </c>
      <c r="Q9" s="14">
        <f>VLOOKUP($AE$2,$B:$Y,MATCH(Q3,$B$3:$Y$3,),)-VLOOKUP($AE$3,$B:$Y,MATCH(Q3,$B$3:$Y$3,),)</f>
        <v/>
      </c>
      <c r="R9" s="14">
        <f>VLOOKUP($AE$2,$B:$Y,MATCH(R3,$B$3:$Y$3,),)-VLOOKUP($AE$3,$B:$Y,MATCH(R3,$B$3:$Y$3,),)</f>
        <v/>
      </c>
      <c r="S9" s="14">
        <f>VLOOKUP($AE$2,$B:$Y,MATCH(S3,$B$3:$Y$3,),)-VLOOKUP($AE$3,$B:$Y,MATCH(S3,$B$3:$Y$3,),)</f>
        <v/>
      </c>
      <c r="T9" s="14">
        <f>VLOOKUP($AE$2,$B:$Y,MATCH(T3,$B$3:$Y$3,),)-VLOOKUP($AE$3,$B:$Y,MATCH(T3,$B$3:$Y$3,),)</f>
        <v/>
      </c>
      <c r="U9" s="14">
        <f>VLOOKUP($AE$2,$B:$Y,MATCH(U3,$B$3:$Y$3,),)-VLOOKUP($AE$3,$B:$Y,MATCH(U3,$B$3:$Y$3,),)</f>
        <v/>
      </c>
      <c r="V9" s="14">
        <f>VLOOKUP($AE$2,$B:$Y,MATCH(V3,$B$3:$Y$3,),)-VLOOKUP($AE$3,$B:$Y,MATCH(V3,$B$3:$Y$3,),)</f>
        <v/>
      </c>
      <c r="W9" s="14">
        <f>VLOOKUP($AE$2,$B:$Y,MATCH(W3,$B$3:$Y$3,),)-VLOOKUP($AE$3,$B:$Y,MATCH(W3,$B$3:$Y$3,),)</f>
        <v/>
      </c>
      <c r="X9" s="14">
        <f>VLOOKUP($AE$2,$B:$Y,MATCH(X3,$B$3:$Y$3,),)-VLOOKUP($AE$3,$B:$Y,MATCH(X3,$B$3:$Y$3,),)</f>
        <v/>
      </c>
      <c r="Y9" s="14">
        <f>VLOOKUP($AE$2,$B:$Y,MATCH(Y3,$B$3:$Y$3,),)-VLOOKUP($AE$3,$B:$Y,MATCH(Y3,$B$3:$Y$3,),)</f>
        <v/>
      </c>
      <c r="Z9" s="14">
        <f>VLOOKUP($AE$2,$B:$Y,MATCH(Z3,$B$3:$Y$3,),)-VLOOKUP($AE$3,$B:$Y,MATCH(Z3,$B$3:$Y$3,),)</f>
        <v/>
      </c>
      <c r="AA9" s="14">
        <f>VLOOKUP($AE$2,$B:$Y,MATCH(AA3,$B$3:$Y$3,),)-VLOOKUP($AE$3,$B:$Y,MATCH(AA3,$B$3:$Y$3,),)</f>
        <v/>
      </c>
      <c r="AB9" s="93" t="n"/>
    </row>
    <row r="10">
      <c r="B10" s="5"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23" t="n"/>
      <c r="AA10" s="23" t="n"/>
      <c r="AB10" s="93" t="n"/>
    </row>
    <row r="11" hidden="1" s="89">
      <c r="B11" s="25" t="inlineStr">
        <is>
          <t>2000-Q1</t>
        </is>
      </c>
      <c r="C11" s="26">
        <f>VLOOKUP(B11,'Data yoy'!$A:$AT,MATCH($C$1,'Data yoy'!$A$1:$AT$1,),)</f>
        <v/>
      </c>
      <c r="D11" s="26">
        <f>VLOOKUP(B11,'Data yoy'!$A:$AT,MATCH($D$1,'Data yoy'!$A$1:$AT$1,),)</f>
        <v/>
      </c>
      <c r="E11" s="26">
        <f>VLOOKUP(B11,'Data yoy'!$A:$AT,MATCH($E$1,'Data yoy'!$A$1:$AT$1,),)</f>
        <v/>
      </c>
      <c r="F11" s="26">
        <f>VLOOKUP(B11,'Data yoy'!$A:$AT,MATCH($F$1,'Data yoy'!$A$1:$AT$1,),)</f>
        <v/>
      </c>
      <c r="G11" s="26">
        <f>VLOOKUP(B11,'Data yoy'!$A:$AT,MATCH($G$1,'Data yoy'!$A$1:$AT$1,),)</f>
        <v/>
      </c>
      <c r="H11" s="26">
        <f>VLOOKUP(B11,'Data yoy'!$A:$AT,MATCH($H$1,'Data yoy'!$A$1:$AT$1,),)</f>
        <v/>
      </c>
      <c r="I11" s="26">
        <f>VLOOKUP(B11,'Data yoy'!$A:$AT,MATCH($I$1,'Data yoy'!$A$1:$AT$1,),)</f>
        <v/>
      </c>
      <c r="J11" s="26">
        <f>VLOOKUP(B11,'Data yoy'!$A:$AT,MATCH($J$1,'Data yoy'!$A$1:$AT$1,),)</f>
        <v/>
      </c>
      <c r="K11" s="26">
        <f>VLOOKUP(B11,'Data yoy'!$A:$AT,MATCH($K$1,'Data yoy'!$A$1:$AT$1,),)</f>
        <v/>
      </c>
      <c r="L11" s="26">
        <f>VLOOKUP(B11,'Data yoy'!$A:$AT,MATCH($L$1,'Data yoy'!$A$1:$AT$1,),)</f>
        <v/>
      </c>
      <c r="M11" s="26">
        <f>VLOOKUP(B11,'Data yoy'!$A:$AT,MATCH($M$1,'Data yoy'!$A$1:$AT$1,),)</f>
        <v/>
      </c>
      <c r="N11" s="26">
        <f>VLOOKUP(B11,'Data yoy'!$A:$AT,MATCH($N$1,'Data yoy'!$A$1:$AT$1,),)</f>
        <v/>
      </c>
      <c r="O11" s="26">
        <f>VLOOKUP(B11,'Data yoy'!$A:$AT,MATCH($C$1,'Data yoy'!$J$1:$AT$1,),)</f>
        <v/>
      </c>
      <c r="P11" s="26">
        <f>VLOOKUP(B11,'Data yoy'!$A:$AT,MATCH($P$1,'Data yoy'!$A$1:$AT$1,),)</f>
        <v/>
      </c>
      <c r="Q11" s="26">
        <f>VLOOKUP(B11,'Data yoy'!$A:$AT,MATCH($Q$1,'Data yoy'!$A$1:$AT$1,),)</f>
        <v/>
      </c>
      <c r="R11" s="26">
        <f>VLOOKUP(B11,'Data yoy'!$A:$AT,MATCH($E$1,'Data yoy'!$A$1:$AT$1,),)</f>
        <v/>
      </c>
      <c r="S11" s="26">
        <f>VLOOKUP(B11,'Data yoy'!$A:$AT,MATCH($S$1,'Data yoy'!$A$1:$AT$1,),)</f>
        <v/>
      </c>
      <c r="T11" s="26">
        <f>VLOOKUP(B11,'Data yoy'!$A:$AT,MATCH($T$1,'Data yoy'!$A$1:$AT$1,),)</f>
        <v/>
      </c>
      <c r="U11" s="26">
        <f>VLOOKUP(B11,'Data yoy'!$A:$AT,MATCH($U$1,'Data yoy'!$A$1:$AT$1,),)</f>
        <v/>
      </c>
      <c r="V11" s="26">
        <f>VLOOKUP(B11,'Data yoy'!$A:$AT,MATCH($V$1,'Data yoy'!$A$1:$AT$1,),)</f>
        <v/>
      </c>
      <c r="W11" s="26">
        <f>VLOOKUP(B11,'Data yoy'!$A:$AT,MATCH($W$1,'Data yoy'!$A$1:$AT$1,),)</f>
        <v/>
      </c>
      <c r="X11" s="26">
        <f>VLOOKUP(B11,'Data yoy'!$A:$AT,MATCH($X$1,'Data yoy'!$A$1:$AT$1,),)</f>
        <v/>
      </c>
      <c r="Y11" s="26">
        <f>VLOOKUP(B11,'Data yoy'!$A:$AT,MATCH($Y$1,'Data yoy'!$A$1:$AT$1,),)</f>
        <v/>
      </c>
      <c r="Z11" s="26">
        <f>VLOOKUP(B11,'Data yoy'!$A:$AU,MATCH($Z$1,'Data yoy'!$A$1:$AU$1,),)</f>
        <v/>
      </c>
      <c r="AA11" s="26">
        <f>VLOOKUP(C11,'Data yoy'!$A:$AU,MATCH($Z$1,'Data yoy'!$A$1:$AU$1,),)</f>
        <v/>
      </c>
      <c r="AB11" s="93" t="n"/>
      <c r="AC11" s="27">
        <f>B11</f>
        <v/>
      </c>
      <c r="AD11" s="28">
        <f>(VLOOKUP(AC11,B:Y,MATCH($AE$6,$B$1:$Y$1,),))</f>
        <v/>
      </c>
      <c r="AE11" s="28">
        <f>(VLOOKUP(AC11,B:Y,MATCH($AE$7,$B$1:$Y$1,),))</f>
        <v/>
      </c>
    </row>
    <row r="12" hidden="1" s="89">
      <c r="B12" s="25" t="inlineStr">
        <is>
          <t>2000-Q2</t>
        </is>
      </c>
      <c r="C12" s="26">
        <f>VLOOKUP(B12,'Data yoy'!$A:$AT,MATCH($C$1,'Data yoy'!$A$1:$AT$1,),)</f>
        <v/>
      </c>
      <c r="D12" s="26">
        <f>VLOOKUP(B12,'Data yoy'!$A:$AT,MATCH($D$1,'Data yoy'!$A$1:$AT$1,),)</f>
        <v/>
      </c>
      <c r="E12" s="26">
        <f>VLOOKUP(B12,'Data yoy'!$A:$AT,MATCH($E$1,'Data yoy'!$A$1:$AT$1,),)</f>
        <v/>
      </c>
      <c r="F12" s="26">
        <f>VLOOKUP(B12,'Data yoy'!$A:$AT,MATCH($F$1,'Data yoy'!$A$1:$AT$1,),)</f>
        <v/>
      </c>
      <c r="G12" s="26">
        <f>VLOOKUP(B12,'Data yoy'!$A:$AT,MATCH($G$1,'Data yoy'!$A$1:$AT$1,),)</f>
        <v/>
      </c>
      <c r="H12" s="26">
        <f>VLOOKUP(B12,'Data yoy'!$A:$AT,MATCH($H$1,'Data yoy'!$A$1:$AT$1,),)</f>
        <v/>
      </c>
      <c r="I12" s="26">
        <f>VLOOKUP(B12,'Data yoy'!$A:$AT,MATCH($I$1,'Data yoy'!$A$1:$AT$1,),)</f>
        <v/>
      </c>
      <c r="J12" s="26">
        <f>VLOOKUP(B12,'Data yoy'!$A:$AT,MATCH($J$1,'Data yoy'!$A$1:$AT$1,),)</f>
        <v/>
      </c>
      <c r="K12" s="26">
        <f>VLOOKUP(B12,'Data yoy'!$A:$AT,MATCH($K$1,'Data yoy'!$A$1:$AT$1,),)</f>
        <v/>
      </c>
      <c r="L12" s="26">
        <f>VLOOKUP(B12,'Data yoy'!$A:$AT,MATCH($L$1,'Data yoy'!$A$1:$AT$1,),)</f>
        <v/>
      </c>
      <c r="M12" s="26">
        <f>VLOOKUP(B12,'Data yoy'!$A:$AT,MATCH($M$1,'Data yoy'!$A$1:$AT$1,),)</f>
        <v/>
      </c>
      <c r="N12" s="26">
        <f>VLOOKUP(B12,'Data yoy'!$A:$AT,MATCH($N$1,'Data yoy'!$A$1:$AT$1,),)</f>
        <v/>
      </c>
      <c r="O12" s="26">
        <f>VLOOKUP(B12,'Data yoy'!$A:$AT,MATCH($C$1,'Data yoy'!$J$1:$AT$1,),)</f>
        <v/>
      </c>
      <c r="P12" s="26">
        <f>VLOOKUP(B12,'Data yoy'!$A:$AT,MATCH($P$1,'Data yoy'!$A$1:$AT$1,),)</f>
        <v/>
      </c>
      <c r="Q12" s="26">
        <f>VLOOKUP(B12,'Data yoy'!$A:$AT,MATCH($Q$1,'Data yoy'!$A$1:$AT$1,),)</f>
        <v/>
      </c>
      <c r="R12" s="26">
        <f>VLOOKUP(B12,'Data yoy'!$A:$AT,MATCH($E$1,'Data yoy'!$A$1:$AT$1,),)</f>
        <v/>
      </c>
      <c r="S12" s="26">
        <f>VLOOKUP(B12,'Data yoy'!$A:$AT,MATCH($S$1,'Data yoy'!$A$1:$AT$1,),)</f>
        <v/>
      </c>
      <c r="T12" s="26">
        <f>VLOOKUP(B12,'Data yoy'!$A:$AT,MATCH($T$1,'Data yoy'!$A$1:$AT$1,),)</f>
        <v/>
      </c>
      <c r="U12" s="26">
        <f>VLOOKUP(B12,'Data yoy'!$A:$AT,MATCH($U$1,'Data yoy'!$A$1:$AT$1,),)</f>
        <v/>
      </c>
      <c r="V12" s="26">
        <f>VLOOKUP(B12,'Data yoy'!$A:$AT,MATCH($V$1,'Data yoy'!$A$1:$AT$1,),)</f>
        <v/>
      </c>
      <c r="W12" s="26">
        <f>VLOOKUP(B12,'Data yoy'!$A:$AT,MATCH($W$1,'Data yoy'!$A$1:$AT$1,),)</f>
        <v/>
      </c>
      <c r="X12" s="26">
        <f>VLOOKUP(B12,'Data yoy'!$A:$AT,MATCH($X$1,'Data yoy'!$A$1:$AT$1,),)</f>
        <v/>
      </c>
      <c r="Y12" s="26">
        <f>VLOOKUP(B12,'Data yoy'!$A:$AT,MATCH($Y$1,'Data yoy'!$A$1:$AT$1,),)</f>
        <v/>
      </c>
      <c r="Z12" s="26">
        <f>VLOOKUP(B12,'Data yoy'!$A:$AU,MATCH($Z$1,'Data yoy'!$A$1:$AU$1,),)</f>
        <v/>
      </c>
      <c r="AA12" s="26">
        <f>VLOOKUP(C12,'Data yoy'!$A:$AU,MATCH($Z$1,'Data yoy'!$A$1:$AU$1,),)</f>
        <v/>
      </c>
      <c r="AB12" s="93" t="n"/>
      <c r="AC12" s="27">
        <f>B12</f>
        <v/>
      </c>
      <c r="AD12" s="28">
        <f>(VLOOKUP(AC12,B:Y,MATCH($AE$6,$B$1:$Y$1,),))</f>
        <v/>
      </c>
      <c r="AE12" s="28">
        <f>(VLOOKUP(AC12,B:Y,MATCH($AE$7,$B$1:$Y$1,),))</f>
        <v/>
      </c>
    </row>
    <row r="13" hidden="1" s="89">
      <c r="B13" s="25" t="inlineStr">
        <is>
          <t>2000-Q3</t>
        </is>
      </c>
      <c r="C13" s="26">
        <f>VLOOKUP(B13,'Data yoy'!$A:$AT,MATCH($C$1,'Data yoy'!$A$1:$AT$1,),)</f>
        <v/>
      </c>
      <c r="D13" s="26">
        <f>VLOOKUP(B13,'Data yoy'!$A:$AT,MATCH($D$1,'Data yoy'!$A$1:$AT$1,),)</f>
        <v/>
      </c>
      <c r="E13" s="26">
        <f>VLOOKUP(B13,'Data yoy'!$A:$AT,MATCH($E$1,'Data yoy'!$A$1:$AT$1,),)</f>
        <v/>
      </c>
      <c r="F13" s="26">
        <f>VLOOKUP(B13,'Data yoy'!$A:$AT,MATCH($F$1,'Data yoy'!$A$1:$AT$1,),)</f>
        <v/>
      </c>
      <c r="G13" s="26">
        <f>VLOOKUP(B13,'Data yoy'!$A:$AT,MATCH($G$1,'Data yoy'!$A$1:$AT$1,),)</f>
        <v/>
      </c>
      <c r="H13" s="26">
        <f>VLOOKUP(B13,'Data yoy'!$A:$AT,MATCH($H$1,'Data yoy'!$A$1:$AT$1,),)</f>
        <v/>
      </c>
      <c r="I13" s="26">
        <f>VLOOKUP(B13,'Data yoy'!$A:$AT,MATCH($I$1,'Data yoy'!$A$1:$AT$1,),)</f>
        <v/>
      </c>
      <c r="J13" s="26">
        <f>VLOOKUP(B13,'Data yoy'!$A:$AT,MATCH($J$1,'Data yoy'!$A$1:$AT$1,),)</f>
        <v/>
      </c>
      <c r="K13" s="26">
        <f>VLOOKUP(B13,'Data yoy'!$A:$AT,MATCH($K$1,'Data yoy'!$A$1:$AT$1,),)</f>
        <v/>
      </c>
      <c r="L13" s="26">
        <f>VLOOKUP(B13,'Data yoy'!$A:$AT,MATCH($L$1,'Data yoy'!$A$1:$AT$1,),)</f>
        <v/>
      </c>
      <c r="M13" s="26">
        <f>VLOOKUP(B13,'Data yoy'!$A:$AT,MATCH($M$1,'Data yoy'!$A$1:$AT$1,),)</f>
        <v/>
      </c>
      <c r="N13" s="26">
        <f>VLOOKUP(B13,'Data yoy'!$A:$AT,MATCH($N$1,'Data yoy'!$A$1:$AT$1,),)</f>
        <v/>
      </c>
      <c r="O13" s="26">
        <f>VLOOKUP(B13,'Data yoy'!$A:$AT,MATCH($C$1,'Data yoy'!$J$1:$AT$1,),)</f>
        <v/>
      </c>
      <c r="P13" s="26">
        <f>VLOOKUP(B13,'Data yoy'!$A:$AT,MATCH($P$1,'Data yoy'!$A$1:$AT$1,),)</f>
        <v/>
      </c>
      <c r="Q13" s="26">
        <f>VLOOKUP(B13,'Data yoy'!$A:$AT,MATCH($Q$1,'Data yoy'!$A$1:$AT$1,),)</f>
        <v/>
      </c>
      <c r="R13" s="26">
        <f>VLOOKUP(B13,'Data yoy'!$A:$AT,MATCH($E$1,'Data yoy'!$A$1:$AT$1,),)</f>
        <v/>
      </c>
      <c r="S13" s="26">
        <f>VLOOKUP(B13,'Data yoy'!$A:$AT,MATCH($S$1,'Data yoy'!$A$1:$AT$1,),)</f>
        <v/>
      </c>
      <c r="T13" s="26">
        <f>VLOOKUP(B13,'Data yoy'!$A:$AT,MATCH($T$1,'Data yoy'!$A$1:$AT$1,),)</f>
        <v/>
      </c>
      <c r="U13" s="26">
        <f>VLOOKUP(B13,'Data yoy'!$A:$AT,MATCH($U$1,'Data yoy'!$A$1:$AT$1,),)</f>
        <v/>
      </c>
      <c r="V13" s="26">
        <f>VLOOKUP(B13,'Data yoy'!$A:$AT,MATCH($V$1,'Data yoy'!$A$1:$AT$1,),)</f>
        <v/>
      </c>
      <c r="W13" s="26">
        <f>VLOOKUP(B13,'Data yoy'!$A:$AT,MATCH($W$1,'Data yoy'!$A$1:$AT$1,),)</f>
        <v/>
      </c>
      <c r="X13" s="26">
        <f>VLOOKUP(B13,'Data yoy'!$A:$AT,MATCH($X$1,'Data yoy'!$A$1:$AT$1,),)</f>
        <v/>
      </c>
      <c r="Y13" s="26">
        <f>VLOOKUP(B13,'Data yoy'!$A:$AT,MATCH($Y$1,'Data yoy'!$A$1:$AT$1,),)</f>
        <v/>
      </c>
      <c r="Z13" s="26">
        <f>VLOOKUP(B13,'Data yoy'!$A:$AU,MATCH($Z$1,'Data yoy'!$A$1:$AU$1,),)</f>
        <v/>
      </c>
      <c r="AA13" s="26">
        <f>VLOOKUP(C13,'Data yoy'!$A:$AU,MATCH($Z$1,'Data yoy'!$A$1:$AU$1,),)</f>
        <v/>
      </c>
      <c r="AB13" s="93" t="n"/>
      <c r="AC13" s="27">
        <f>B13</f>
        <v/>
      </c>
      <c r="AD13" s="28">
        <f>(VLOOKUP(AC13,B:Y,MATCH($AE$6,$B$1:$Y$1,),))</f>
        <v/>
      </c>
      <c r="AE13" s="28">
        <f>(VLOOKUP(AC13,B:Y,MATCH($AE$7,$B$1:$Y$1,),))</f>
        <v/>
      </c>
    </row>
    <row r="14" hidden="1" s="89">
      <c r="B14" s="25" t="inlineStr">
        <is>
          <t>2000-Q4</t>
        </is>
      </c>
      <c r="C14" s="26">
        <f>VLOOKUP(B14,'Data yoy'!$A:$AT,MATCH($C$1,'Data yoy'!$A$1:$AT$1,),)</f>
        <v/>
      </c>
      <c r="D14" s="26">
        <f>VLOOKUP(B14,'Data yoy'!$A:$AT,MATCH($D$1,'Data yoy'!$A$1:$AT$1,),)</f>
        <v/>
      </c>
      <c r="E14" s="26">
        <f>VLOOKUP(B14,'Data yoy'!$A:$AT,MATCH($E$1,'Data yoy'!$A$1:$AT$1,),)</f>
        <v/>
      </c>
      <c r="F14" s="26">
        <f>VLOOKUP(B14,'Data yoy'!$A:$AT,MATCH($F$1,'Data yoy'!$A$1:$AT$1,),)</f>
        <v/>
      </c>
      <c r="G14" s="26">
        <f>VLOOKUP(B14,'Data yoy'!$A:$AT,MATCH($G$1,'Data yoy'!$A$1:$AT$1,),)</f>
        <v/>
      </c>
      <c r="H14" s="26">
        <f>VLOOKUP(B14,'Data yoy'!$A:$AT,MATCH($H$1,'Data yoy'!$A$1:$AT$1,),)</f>
        <v/>
      </c>
      <c r="I14" s="26">
        <f>VLOOKUP(B14,'Data yoy'!$A:$AT,MATCH($I$1,'Data yoy'!$A$1:$AT$1,),)</f>
        <v/>
      </c>
      <c r="J14" s="26">
        <f>VLOOKUP(B14,'Data yoy'!$A:$AT,MATCH($J$1,'Data yoy'!$A$1:$AT$1,),)</f>
        <v/>
      </c>
      <c r="K14" s="26">
        <f>VLOOKUP(B14,'Data yoy'!$A:$AT,MATCH($K$1,'Data yoy'!$A$1:$AT$1,),)</f>
        <v/>
      </c>
      <c r="L14" s="26">
        <f>VLOOKUP(B14,'Data yoy'!$A:$AT,MATCH($L$1,'Data yoy'!$A$1:$AT$1,),)</f>
        <v/>
      </c>
      <c r="M14" s="26">
        <f>VLOOKUP(B14,'Data yoy'!$A:$AT,MATCH($M$1,'Data yoy'!$A$1:$AT$1,),)</f>
        <v/>
      </c>
      <c r="N14" s="26">
        <f>VLOOKUP(B14,'Data yoy'!$A:$AT,MATCH($N$1,'Data yoy'!$A$1:$AT$1,),)</f>
        <v/>
      </c>
      <c r="O14" s="26">
        <f>VLOOKUP(B14,'Data yoy'!$A:$AT,MATCH($C$1,'Data yoy'!$J$1:$AT$1,),)</f>
        <v/>
      </c>
      <c r="P14" s="26">
        <f>VLOOKUP(B14,'Data yoy'!$A:$AT,MATCH($P$1,'Data yoy'!$A$1:$AT$1,),)</f>
        <v/>
      </c>
      <c r="Q14" s="26">
        <f>VLOOKUP(B14,'Data yoy'!$A:$AT,MATCH($Q$1,'Data yoy'!$A$1:$AT$1,),)</f>
        <v/>
      </c>
      <c r="R14" s="26">
        <f>VLOOKUP(B14,'Data yoy'!$A:$AT,MATCH($E$1,'Data yoy'!$A$1:$AT$1,),)</f>
        <v/>
      </c>
      <c r="S14" s="26">
        <f>VLOOKUP(B14,'Data yoy'!$A:$AT,MATCH($S$1,'Data yoy'!$A$1:$AT$1,),)</f>
        <v/>
      </c>
      <c r="T14" s="26">
        <f>VLOOKUP(B14,'Data yoy'!$A:$AT,MATCH($T$1,'Data yoy'!$A$1:$AT$1,),)</f>
        <v/>
      </c>
      <c r="U14" s="26">
        <f>VLOOKUP(B14,'Data yoy'!$A:$AT,MATCH($U$1,'Data yoy'!$A$1:$AT$1,),)</f>
        <v/>
      </c>
      <c r="V14" s="26">
        <f>VLOOKUP(B14,'Data yoy'!$A:$AT,MATCH($V$1,'Data yoy'!$A$1:$AT$1,),)</f>
        <v/>
      </c>
      <c r="W14" s="26">
        <f>VLOOKUP(B14,'Data yoy'!$A:$AT,MATCH($W$1,'Data yoy'!$A$1:$AT$1,),)</f>
        <v/>
      </c>
      <c r="X14" s="26">
        <f>VLOOKUP(B14,'Data yoy'!$A:$AT,MATCH($X$1,'Data yoy'!$A$1:$AT$1,),)</f>
        <v/>
      </c>
      <c r="Y14" s="26">
        <f>VLOOKUP(B14,'Data yoy'!$A:$AT,MATCH($Y$1,'Data yoy'!$A$1:$AT$1,),)</f>
        <v/>
      </c>
      <c r="Z14" s="26">
        <f>VLOOKUP(B14,'Data yoy'!$A:$AU,MATCH($Z$1,'Data yoy'!$A$1:$AU$1,),)</f>
        <v/>
      </c>
      <c r="AA14" s="26">
        <f>VLOOKUP(C14,'Data yoy'!$A:$AU,MATCH($Z$1,'Data yoy'!$A$1:$AU$1,),)</f>
        <v/>
      </c>
      <c r="AB14" s="93" t="n"/>
      <c r="AC14" s="27">
        <f>B14</f>
        <v/>
      </c>
      <c r="AD14" s="28">
        <f>(VLOOKUP(AC14,B:Y,MATCH($AE$6,$B$1:$Y$1,),))</f>
        <v/>
      </c>
      <c r="AE14" s="28">
        <f>(VLOOKUP(AC14,B:Y,MATCH($AE$7,$B$1:$Y$1,),))</f>
        <v/>
      </c>
    </row>
    <row r="15" hidden="1" s="89">
      <c r="B15" s="25" t="inlineStr">
        <is>
          <t>2001-Q1</t>
        </is>
      </c>
      <c r="C15" s="26">
        <f>VLOOKUP(B15,'Data yoy'!$A:$AT,MATCH($C$1,'Data yoy'!$A$1:$AT$1,),)</f>
        <v/>
      </c>
      <c r="D15" s="26">
        <f>VLOOKUP(B15,'Data yoy'!$A:$AT,MATCH($D$1,'Data yoy'!$A$1:$AT$1,),)</f>
        <v/>
      </c>
      <c r="E15" s="26">
        <f>VLOOKUP(B15,'Data yoy'!$A:$AT,MATCH($E$1,'Data yoy'!$A$1:$AT$1,),)</f>
        <v/>
      </c>
      <c r="F15" s="26">
        <f>VLOOKUP(B15,'Data yoy'!$A:$AT,MATCH($F$1,'Data yoy'!$A$1:$AT$1,),)</f>
        <v/>
      </c>
      <c r="G15" s="26">
        <f>VLOOKUP(B15,'Data yoy'!$A:$AT,MATCH($G$1,'Data yoy'!$A$1:$AT$1,),)</f>
        <v/>
      </c>
      <c r="H15" s="26">
        <f>VLOOKUP(B15,'Data yoy'!$A:$AT,MATCH($H$1,'Data yoy'!$A$1:$AT$1,),)</f>
        <v/>
      </c>
      <c r="I15" s="26">
        <f>VLOOKUP(B15,'Data yoy'!$A:$AT,MATCH($I$1,'Data yoy'!$A$1:$AT$1,),)</f>
        <v/>
      </c>
      <c r="J15" s="26">
        <f>VLOOKUP(B15,'Data yoy'!$A:$AT,MATCH($J$1,'Data yoy'!$A$1:$AT$1,),)</f>
        <v/>
      </c>
      <c r="K15" s="26">
        <f>VLOOKUP(B15,'Data yoy'!$A:$AT,MATCH($K$1,'Data yoy'!$A$1:$AT$1,),)</f>
        <v/>
      </c>
      <c r="L15" s="26">
        <f>VLOOKUP(B15,'Data yoy'!$A:$AT,MATCH($L$1,'Data yoy'!$A$1:$AT$1,),)</f>
        <v/>
      </c>
      <c r="M15" s="26">
        <f>VLOOKUP(B15,'Data yoy'!$A:$AT,MATCH($M$1,'Data yoy'!$A$1:$AT$1,),)</f>
        <v/>
      </c>
      <c r="N15" s="26">
        <f>VLOOKUP(B15,'Data yoy'!$A:$AT,MATCH($N$1,'Data yoy'!$A$1:$AT$1,),)</f>
        <v/>
      </c>
      <c r="O15" s="26">
        <f>VLOOKUP(B15,'Data yoy'!$A:$AT,MATCH($C$1,'Data yoy'!$J$1:$AT$1,),)</f>
        <v/>
      </c>
      <c r="P15" s="26">
        <f>VLOOKUP(B15,'Data yoy'!$A:$AT,MATCH($P$1,'Data yoy'!$A$1:$AT$1,),)</f>
        <v/>
      </c>
      <c r="Q15" s="26">
        <f>VLOOKUP(B15,'Data yoy'!$A:$AT,MATCH($Q$1,'Data yoy'!$A$1:$AT$1,),)</f>
        <v/>
      </c>
      <c r="R15" s="26">
        <f>VLOOKUP(B15,'Data yoy'!$A:$AT,MATCH($E$1,'Data yoy'!$A$1:$AT$1,),)</f>
        <v/>
      </c>
      <c r="S15" s="26">
        <f>VLOOKUP(B15,'Data yoy'!$A:$AT,MATCH($S$1,'Data yoy'!$A$1:$AT$1,),)</f>
        <v/>
      </c>
      <c r="T15" s="26">
        <f>VLOOKUP(B15,'Data yoy'!$A:$AT,MATCH($T$1,'Data yoy'!$A$1:$AT$1,),)</f>
        <v/>
      </c>
      <c r="U15" s="26">
        <f>VLOOKUP(B15,'Data yoy'!$A:$AT,MATCH($U$1,'Data yoy'!$A$1:$AT$1,),)</f>
        <v/>
      </c>
      <c r="V15" s="26">
        <f>VLOOKUP(B15,'Data yoy'!$A:$AT,MATCH($V$1,'Data yoy'!$A$1:$AT$1,),)</f>
        <v/>
      </c>
      <c r="W15" s="26">
        <f>VLOOKUP(B15,'Data yoy'!$A:$AT,MATCH($W$1,'Data yoy'!$A$1:$AT$1,),)</f>
        <v/>
      </c>
      <c r="X15" s="26">
        <f>VLOOKUP(B15,'Data yoy'!$A:$AT,MATCH($X$1,'Data yoy'!$A$1:$AT$1,),)</f>
        <v/>
      </c>
      <c r="Y15" s="26">
        <f>VLOOKUP(B15,'Data yoy'!$A:$AT,MATCH($Y$1,'Data yoy'!$A$1:$AT$1,),)</f>
        <v/>
      </c>
      <c r="Z15" s="26">
        <f>VLOOKUP(B15,'Data yoy'!$A:$AU,MATCH($Z$1,'Data yoy'!$A$1:$AU$1,),)</f>
        <v/>
      </c>
      <c r="AA15" s="26">
        <f>VLOOKUP(C15,'Data yoy'!$A:$AU,MATCH($Z$1,'Data yoy'!$A$1:$AU$1,),)</f>
        <v/>
      </c>
      <c r="AB15" s="93" t="n"/>
      <c r="AC15" s="27">
        <f>B15</f>
        <v/>
      </c>
      <c r="AD15" s="28">
        <f>(VLOOKUP(AC15,B:Y,MATCH($AE$6,$B$1:$Y$1,),))</f>
        <v/>
      </c>
      <c r="AE15" s="28">
        <f>(VLOOKUP(AC15,B:Y,MATCH($AE$7,$B$1:$Y$1,),))</f>
        <v/>
      </c>
    </row>
    <row r="16" hidden="1" s="89">
      <c r="B16" s="25" t="inlineStr">
        <is>
          <t>2001-Q2</t>
        </is>
      </c>
      <c r="C16" s="26">
        <f>VLOOKUP(B16,'Data yoy'!$A:$AT,MATCH($C$1,'Data yoy'!$A$1:$AT$1,),)</f>
        <v/>
      </c>
      <c r="D16" s="26">
        <f>VLOOKUP(B16,'Data yoy'!$A:$AT,MATCH($D$1,'Data yoy'!$A$1:$AT$1,),)</f>
        <v/>
      </c>
      <c r="E16" s="26">
        <f>VLOOKUP(B16,'Data yoy'!$A:$AT,MATCH($E$1,'Data yoy'!$A$1:$AT$1,),)</f>
        <v/>
      </c>
      <c r="F16" s="26">
        <f>VLOOKUP(B16,'Data yoy'!$A:$AT,MATCH($F$1,'Data yoy'!$A$1:$AT$1,),)</f>
        <v/>
      </c>
      <c r="G16" s="26">
        <f>VLOOKUP(B16,'Data yoy'!$A:$AT,MATCH($G$1,'Data yoy'!$A$1:$AT$1,),)</f>
        <v/>
      </c>
      <c r="H16" s="26">
        <f>VLOOKUP(B16,'Data yoy'!$A:$AT,MATCH($H$1,'Data yoy'!$A$1:$AT$1,),)</f>
        <v/>
      </c>
      <c r="I16" s="26">
        <f>VLOOKUP(B16,'Data yoy'!$A:$AT,MATCH($I$1,'Data yoy'!$A$1:$AT$1,),)</f>
        <v/>
      </c>
      <c r="J16" s="26">
        <f>VLOOKUP(B16,'Data yoy'!$A:$AT,MATCH($J$1,'Data yoy'!$A$1:$AT$1,),)</f>
        <v/>
      </c>
      <c r="K16" s="26">
        <f>VLOOKUP(B16,'Data yoy'!$A:$AT,MATCH($K$1,'Data yoy'!$A$1:$AT$1,),)</f>
        <v/>
      </c>
      <c r="L16" s="26">
        <f>VLOOKUP(B16,'Data yoy'!$A:$AT,MATCH($L$1,'Data yoy'!$A$1:$AT$1,),)</f>
        <v/>
      </c>
      <c r="M16" s="26">
        <f>VLOOKUP(B16,'Data yoy'!$A:$AT,MATCH($M$1,'Data yoy'!$A$1:$AT$1,),)</f>
        <v/>
      </c>
      <c r="N16" s="26">
        <f>VLOOKUP(B16,'Data yoy'!$A:$AT,MATCH($N$1,'Data yoy'!$A$1:$AT$1,),)</f>
        <v/>
      </c>
      <c r="O16" s="26">
        <f>VLOOKUP(B16,'Data yoy'!$A:$AT,MATCH($C$1,'Data yoy'!$J$1:$AT$1,),)</f>
        <v/>
      </c>
      <c r="P16" s="26">
        <f>VLOOKUP(B16,'Data yoy'!$A:$AT,MATCH($P$1,'Data yoy'!$A$1:$AT$1,),)</f>
        <v/>
      </c>
      <c r="Q16" s="26">
        <f>VLOOKUP(B16,'Data yoy'!$A:$AT,MATCH($Q$1,'Data yoy'!$A$1:$AT$1,),)</f>
        <v/>
      </c>
      <c r="R16" s="26">
        <f>VLOOKUP(B16,'Data yoy'!$A:$AT,MATCH($E$1,'Data yoy'!$A$1:$AT$1,),)</f>
        <v/>
      </c>
      <c r="S16" s="26">
        <f>VLOOKUP(B16,'Data yoy'!$A:$AT,MATCH($S$1,'Data yoy'!$A$1:$AT$1,),)</f>
        <v/>
      </c>
      <c r="T16" s="26">
        <f>VLOOKUP(B16,'Data yoy'!$A:$AT,MATCH($T$1,'Data yoy'!$A$1:$AT$1,),)</f>
        <v/>
      </c>
      <c r="U16" s="26">
        <f>VLOOKUP(B16,'Data yoy'!$A:$AT,MATCH($U$1,'Data yoy'!$A$1:$AT$1,),)</f>
        <v/>
      </c>
      <c r="V16" s="26">
        <f>VLOOKUP(B16,'Data yoy'!$A:$AT,MATCH($V$1,'Data yoy'!$A$1:$AT$1,),)</f>
        <v/>
      </c>
      <c r="W16" s="26">
        <f>VLOOKUP(B16,'Data yoy'!$A:$AT,MATCH($W$1,'Data yoy'!$A$1:$AT$1,),)</f>
        <v/>
      </c>
      <c r="X16" s="26">
        <f>VLOOKUP(B16,'Data yoy'!$A:$AT,MATCH($X$1,'Data yoy'!$A$1:$AT$1,),)</f>
        <v/>
      </c>
      <c r="Y16" s="26">
        <f>VLOOKUP(B16,'Data yoy'!$A:$AT,MATCH($Y$1,'Data yoy'!$A$1:$AT$1,),)</f>
        <v/>
      </c>
      <c r="Z16" s="26">
        <f>VLOOKUP(B16,'Data yoy'!$A:$AU,MATCH($Z$1,'Data yoy'!$A$1:$AU$1,),)</f>
        <v/>
      </c>
      <c r="AA16" s="26">
        <f>VLOOKUP(C16,'Data yoy'!$A:$AU,MATCH($Z$1,'Data yoy'!$A$1:$AU$1,),)</f>
        <v/>
      </c>
      <c r="AB16" s="93" t="n"/>
      <c r="AC16" s="27">
        <f>B16</f>
        <v/>
      </c>
      <c r="AD16" s="28">
        <f>(VLOOKUP(AC16,B:Y,MATCH($AE$6,$B$1:$Y$1,),))</f>
        <v/>
      </c>
      <c r="AE16" s="28">
        <f>(VLOOKUP(AC16,B:Y,MATCH($AE$7,$B$1:$Y$1,),))</f>
        <v/>
      </c>
    </row>
    <row r="17" hidden="1" s="89">
      <c r="B17" s="25" t="inlineStr">
        <is>
          <t>2001-Q3</t>
        </is>
      </c>
      <c r="C17" s="26">
        <f>VLOOKUP(B17,'Data yoy'!$A:$AT,MATCH($C$1,'Data yoy'!$A$1:$AT$1,),)</f>
        <v/>
      </c>
      <c r="D17" s="26">
        <f>VLOOKUP(B17,'Data yoy'!$A:$AT,MATCH($D$1,'Data yoy'!$A$1:$AT$1,),)</f>
        <v/>
      </c>
      <c r="E17" s="26">
        <f>VLOOKUP(B17,'Data yoy'!$A:$AT,MATCH($E$1,'Data yoy'!$A$1:$AT$1,),)</f>
        <v/>
      </c>
      <c r="F17" s="26">
        <f>VLOOKUP(B17,'Data yoy'!$A:$AT,MATCH($F$1,'Data yoy'!$A$1:$AT$1,),)</f>
        <v/>
      </c>
      <c r="G17" s="26">
        <f>VLOOKUP(B17,'Data yoy'!$A:$AT,MATCH($G$1,'Data yoy'!$A$1:$AT$1,),)</f>
        <v/>
      </c>
      <c r="H17" s="26">
        <f>VLOOKUP(B17,'Data yoy'!$A:$AT,MATCH($H$1,'Data yoy'!$A$1:$AT$1,),)</f>
        <v/>
      </c>
      <c r="I17" s="26">
        <f>VLOOKUP(B17,'Data yoy'!$A:$AT,MATCH($I$1,'Data yoy'!$A$1:$AT$1,),)</f>
        <v/>
      </c>
      <c r="J17" s="26">
        <f>VLOOKUP(B17,'Data yoy'!$A:$AT,MATCH($J$1,'Data yoy'!$A$1:$AT$1,),)</f>
        <v/>
      </c>
      <c r="K17" s="26">
        <f>VLOOKUP(B17,'Data yoy'!$A:$AT,MATCH($K$1,'Data yoy'!$A$1:$AT$1,),)</f>
        <v/>
      </c>
      <c r="L17" s="26">
        <f>VLOOKUP(B17,'Data yoy'!$A:$AT,MATCH($L$1,'Data yoy'!$A$1:$AT$1,),)</f>
        <v/>
      </c>
      <c r="M17" s="26">
        <f>VLOOKUP(B17,'Data yoy'!$A:$AT,MATCH($M$1,'Data yoy'!$A$1:$AT$1,),)</f>
        <v/>
      </c>
      <c r="N17" s="26">
        <f>VLOOKUP(B17,'Data yoy'!$A:$AT,MATCH($N$1,'Data yoy'!$A$1:$AT$1,),)</f>
        <v/>
      </c>
      <c r="O17" s="26">
        <f>VLOOKUP(B17,'Data yoy'!$A:$AT,MATCH($C$1,'Data yoy'!$J$1:$AT$1,),)</f>
        <v/>
      </c>
      <c r="P17" s="26">
        <f>VLOOKUP(B17,'Data yoy'!$A:$AT,MATCH($P$1,'Data yoy'!$A$1:$AT$1,),)</f>
        <v/>
      </c>
      <c r="Q17" s="26">
        <f>VLOOKUP(B17,'Data yoy'!$A:$AT,MATCH($Q$1,'Data yoy'!$A$1:$AT$1,),)</f>
        <v/>
      </c>
      <c r="R17" s="26">
        <f>VLOOKUP(B17,'Data yoy'!$A:$AT,MATCH($E$1,'Data yoy'!$A$1:$AT$1,),)</f>
        <v/>
      </c>
      <c r="S17" s="26">
        <f>VLOOKUP(B17,'Data yoy'!$A:$AT,MATCH($S$1,'Data yoy'!$A$1:$AT$1,),)</f>
        <v/>
      </c>
      <c r="T17" s="26">
        <f>VLOOKUP(B17,'Data yoy'!$A:$AT,MATCH($T$1,'Data yoy'!$A$1:$AT$1,),)</f>
        <v/>
      </c>
      <c r="U17" s="26">
        <f>VLOOKUP(B17,'Data yoy'!$A:$AT,MATCH($U$1,'Data yoy'!$A$1:$AT$1,),)</f>
        <v/>
      </c>
      <c r="V17" s="26">
        <f>VLOOKUP(B17,'Data yoy'!$A:$AT,MATCH($V$1,'Data yoy'!$A$1:$AT$1,),)</f>
        <v/>
      </c>
      <c r="W17" s="26">
        <f>VLOOKUP(B17,'Data yoy'!$A:$AT,MATCH($W$1,'Data yoy'!$A$1:$AT$1,),)</f>
        <v/>
      </c>
      <c r="X17" s="26">
        <f>VLOOKUP(B17,'Data yoy'!$A:$AT,MATCH($X$1,'Data yoy'!$A$1:$AT$1,),)</f>
        <v/>
      </c>
      <c r="Y17" s="26">
        <f>VLOOKUP(B17,'Data yoy'!$A:$AT,MATCH($Y$1,'Data yoy'!$A$1:$AT$1,),)</f>
        <v/>
      </c>
      <c r="Z17" s="26">
        <f>VLOOKUP(B17,'Data yoy'!$A:$AU,MATCH($Z$1,'Data yoy'!$A$1:$AU$1,),)</f>
        <v/>
      </c>
      <c r="AA17" s="26">
        <f>VLOOKUP(C17,'Data yoy'!$A:$AU,MATCH($Z$1,'Data yoy'!$A$1:$AU$1,),)</f>
        <v/>
      </c>
      <c r="AB17" s="93" t="n"/>
      <c r="AC17" s="27">
        <f>B17</f>
        <v/>
      </c>
      <c r="AD17" s="28">
        <f>(VLOOKUP(AC17,B:Y,MATCH($AE$6,$B$1:$Y$1,),))</f>
        <v/>
      </c>
      <c r="AE17" s="28">
        <f>(VLOOKUP(AC17,B:Y,MATCH($AE$7,$B$1:$Y$1,),))</f>
        <v/>
      </c>
    </row>
    <row r="18" hidden="1" s="89">
      <c r="B18" s="25" t="inlineStr">
        <is>
          <t>2001-Q4</t>
        </is>
      </c>
      <c r="C18" s="26">
        <f>VLOOKUP(B18,'Data yoy'!$A:$AT,MATCH($C$1,'Data yoy'!$A$1:$AT$1,),)</f>
        <v/>
      </c>
      <c r="D18" s="26">
        <f>VLOOKUP(B18,'Data yoy'!$A:$AT,MATCH($D$1,'Data yoy'!$A$1:$AT$1,),)</f>
        <v/>
      </c>
      <c r="E18" s="26">
        <f>VLOOKUP(B18,'Data yoy'!$A:$AT,MATCH($E$1,'Data yoy'!$A$1:$AT$1,),)</f>
        <v/>
      </c>
      <c r="F18" s="26">
        <f>VLOOKUP(B18,'Data yoy'!$A:$AT,MATCH($F$1,'Data yoy'!$A$1:$AT$1,),)</f>
        <v/>
      </c>
      <c r="G18" s="26">
        <f>VLOOKUP(B18,'Data yoy'!$A:$AT,MATCH($G$1,'Data yoy'!$A$1:$AT$1,),)</f>
        <v/>
      </c>
      <c r="H18" s="26">
        <f>VLOOKUP(B18,'Data yoy'!$A:$AT,MATCH($H$1,'Data yoy'!$A$1:$AT$1,),)</f>
        <v/>
      </c>
      <c r="I18" s="26">
        <f>VLOOKUP(B18,'Data yoy'!$A:$AT,MATCH($I$1,'Data yoy'!$A$1:$AT$1,),)</f>
        <v/>
      </c>
      <c r="J18" s="26">
        <f>VLOOKUP(B18,'Data yoy'!$A:$AT,MATCH($J$1,'Data yoy'!$A$1:$AT$1,),)</f>
        <v/>
      </c>
      <c r="K18" s="26">
        <f>VLOOKUP(B18,'Data yoy'!$A:$AT,MATCH($K$1,'Data yoy'!$A$1:$AT$1,),)</f>
        <v/>
      </c>
      <c r="L18" s="26">
        <f>VLOOKUP(B18,'Data yoy'!$A:$AT,MATCH($L$1,'Data yoy'!$A$1:$AT$1,),)</f>
        <v/>
      </c>
      <c r="M18" s="26">
        <f>VLOOKUP(B18,'Data yoy'!$A:$AT,MATCH($M$1,'Data yoy'!$A$1:$AT$1,),)</f>
        <v/>
      </c>
      <c r="N18" s="26">
        <f>VLOOKUP(B18,'Data yoy'!$A:$AT,MATCH($N$1,'Data yoy'!$A$1:$AT$1,),)</f>
        <v/>
      </c>
      <c r="O18" s="26">
        <f>VLOOKUP(B18,'Data yoy'!$A:$AT,MATCH($C$1,'Data yoy'!$J$1:$AT$1,),)</f>
        <v/>
      </c>
      <c r="P18" s="26">
        <f>VLOOKUP(B18,'Data yoy'!$A:$AT,MATCH($P$1,'Data yoy'!$A$1:$AT$1,),)</f>
        <v/>
      </c>
      <c r="Q18" s="26">
        <f>VLOOKUP(B18,'Data yoy'!$A:$AT,MATCH($Q$1,'Data yoy'!$A$1:$AT$1,),)</f>
        <v/>
      </c>
      <c r="R18" s="26">
        <f>VLOOKUP(B18,'Data yoy'!$A:$AT,MATCH($E$1,'Data yoy'!$A$1:$AT$1,),)</f>
        <v/>
      </c>
      <c r="S18" s="26">
        <f>VLOOKUP(B18,'Data yoy'!$A:$AT,MATCH($S$1,'Data yoy'!$A$1:$AT$1,),)</f>
        <v/>
      </c>
      <c r="T18" s="26">
        <f>VLOOKUP(B18,'Data yoy'!$A:$AT,MATCH($T$1,'Data yoy'!$A$1:$AT$1,),)</f>
        <v/>
      </c>
      <c r="U18" s="26">
        <f>VLOOKUP(B18,'Data yoy'!$A:$AT,MATCH($U$1,'Data yoy'!$A$1:$AT$1,),)</f>
        <v/>
      </c>
      <c r="V18" s="26">
        <f>VLOOKUP(B18,'Data yoy'!$A:$AT,MATCH($V$1,'Data yoy'!$A$1:$AT$1,),)</f>
        <v/>
      </c>
      <c r="W18" s="26">
        <f>VLOOKUP(B18,'Data yoy'!$A:$AT,MATCH($W$1,'Data yoy'!$A$1:$AT$1,),)</f>
        <v/>
      </c>
      <c r="X18" s="26">
        <f>VLOOKUP(B18,'Data yoy'!$A:$AT,MATCH($X$1,'Data yoy'!$A$1:$AT$1,),)</f>
        <v/>
      </c>
      <c r="Y18" s="26">
        <f>VLOOKUP(B18,'Data yoy'!$A:$AT,MATCH($Y$1,'Data yoy'!$A$1:$AT$1,),)</f>
        <v/>
      </c>
      <c r="Z18" s="26">
        <f>VLOOKUP(B18,'Data yoy'!$A:$AU,MATCH($Z$1,'Data yoy'!$A$1:$AU$1,),)</f>
        <v/>
      </c>
      <c r="AA18" s="26">
        <f>VLOOKUP(C18,'Data yoy'!$A:$AU,MATCH($Z$1,'Data yoy'!$A$1:$AU$1,),)</f>
        <v/>
      </c>
      <c r="AB18" s="93" t="n"/>
      <c r="AC18" s="27">
        <f>B18</f>
        <v/>
      </c>
      <c r="AD18" s="28">
        <f>(VLOOKUP(AC18,B:Y,MATCH($AE$6,$B$1:$Y$1,),))</f>
        <v/>
      </c>
      <c r="AE18" s="28">
        <f>(VLOOKUP(AC18,B:Y,MATCH($AE$7,$B$1:$Y$1,),))</f>
        <v/>
      </c>
    </row>
    <row r="19" hidden="1" s="89">
      <c r="B19" s="25" t="inlineStr">
        <is>
          <t>2002-Q1</t>
        </is>
      </c>
      <c r="C19" s="26">
        <f>VLOOKUP(B19,'Data yoy'!$A:$AT,MATCH($C$1,'Data yoy'!$A$1:$AT$1,),)</f>
        <v/>
      </c>
      <c r="D19" s="26">
        <f>VLOOKUP(B19,'Data yoy'!$A:$AT,MATCH($D$1,'Data yoy'!$A$1:$AT$1,),)</f>
        <v/>
      </c>
      <c r="E19" s="26">
        <f>VLOOKUP(B19,'Data yoy'!$A:$AT,MATCH($E$1,'Data yoy'!$A$1:$AT$1,),)</f>
        <v/>
      </c>
      <c r="F19" s="26">
        <f>VLOOKUP(B19,'Data yoy'!$A:$AT,MATCH($F$1,'Data yoy'!$A$1:$AT$1,),)</f>
        <v/>
      </c>
      <c r="G19" s="26">
        <f>VLOOKUP(B19,'Data yoy'!$A:$AT,MATCH($G$1,'Data yoy'!$A$1:$AT$1,),)</f>
        <v/>
      </c>
      <c r="H19" s="26">
        <f>VLOOKUP(B19,'Data yoy'!$A:$AT,MATCH($H$1,'Data yoy'!$A$1:$AT$1,),)</f>
        <v/>
      </c>
      <c r="I19" s="26">
        <f>VLOOKUP(B19,'Data yoy'!$A:$AT,MATCH($I$1,'Data yoy'!$A$1:$AT$1,),)</f>
        <v/>
      </c>
      <c r="J19" s="26">
        <f>VLOOKUP(B19,'Data yoy'!$A:$AT,MATCH($J$1,'Data yoy'!$A$1:$AT$1,),)</f>
        <v/>
      </c>
      <c r="K19" s="26">
        <f>VLOOKUP(B19,'Data yoy'!$A:$AT,MATCH($K$1,'Data yoy'!$A$1:$AT$1,),)</f>
        <v/>
      </c>
      <c r="L19" s="26">
        <f>VLOOKUP(B19,'Data yoy'!$A:$AT,MATCH($L$1,'Data yoy'!$A$1:$AT$1,),)</f>
        <v/>
      </c>
      <c r="M19" s="26">
        <f>VLOOKUP(B19,'Data yoy'!$A:$AT,MATCH($M$1,'Data yoy'!$A$1:$AT$1,),)</f>
        <v/>
      </c>
      <c r="N19" s="26">
        <f>VLOOKUP(B19,'Data yoy'!$A:$AT,MATCH($N$1,'Data yoy'!$A$1:$AT$1,),)</f>
        <v/>
      </c>
      <c r="O19" s="26">
        <f>VLOOKUP(B19,'Data yoy'!$A:$AT,MATCH($C$1,'Data yoy'!$J$1:$AT$1,),)</f>
        <v/>
      </c>
      <c r="P19" s="26">
        <f>VLOOKUP(B19,'Data yoy'!$A:$AT,MATCH($P$1,'Data yoy'!$A$1:$AT$1,),)</f>
        <v/>
      </c>
      <c r="Q19" s="26">
        <f>VLOOKUP(B19,'Data yoy'!$A:$AT,MATCH($Q$1,'Data yoy'!$A$1:$AT$1,),)</f>
        <v/>
      </c>
      <c r="R19" s="26">
        <f>VLOOKUP(B19,'Data yoy'!$A:$AT,MATCH($E$1,'Data yoy'!$A$1:$AT$1,),)</f>
        <v/>
      </c>
      <c r="S19" s="26">
        <f>VLOOKUP(B19,'Data yoy'!$A:$AT,MATCH($S$1,'Data yoy'!$A$1:$AT$1,),)</f>
        <v/>
      </c>
      <c r="T19" s="26">
        <f>VLOOKUP(B19,'Data yoy'!$A:$AT,MATCH($T$1,'Data yoy'!$A$1:$AT$1,),)</f>
        <v/>
      </c>
      <c r="U19" s="26">
        <f>VLOOKUP(B19,'Data yoy'!$A:$AT,MATCH($U$1,'Data yoy'!$A$1:$AT$1,),)</f>
        <v/>
      </c>
      <c r="V19" s="26">
        <f>VLOOKUP(B19,'Data yoy'!$A:$AT,MATCH($V$1,'Data yoy'!$A$1:$AT$1,),)</f>
        <v/>
      </c>
      <c r="W19" s="26">
        <f>VLOOKUP(B19,'Data yoy'!$A:$AT,MATCH($W$1,'Data yoy'!$A$1:$AT$1,),)</f>
        <v/>
      </c>
      <c r="X19" s="26">
        <f>VLOOKUP(B19,'Data yoy'!$A:$AT,MATCH($X$1,'Data yoy'!$A$1:$AT$1,),)</f>
        <v/>
      </c>
      <c r="Y19" s="26">
        <f>VLOOKUP(B19,'Data yoy'!$A:$AT,MATCH($Y$1,'Data yoy'!$A$1:$AT$1,),)</f>
        <v/>
      </c>
      <c r="Z19" s="26">
        <f>VLOOKUP(B19,'Data yoy'!$A:$AU,MATCH($Z$1,'Data yoy'!$A$1:$AU$1,),)</f>
        <v/>
      </c>
      <c r="AA19" s="26">
        <f>VLOOKUP(C19,'Data yoy'!$A:$AU,MATCH($Z$1,'Data yoy'!$A$1:$AU$1,),)</f>
        <v/>
      </c>
      <c r="AB19" s="93" t="n"/>
      <c r="AC19" s="27">
        <f>B19</f>
        <v/>
      </c>
      <c r="AD19" s="28">
        <f>(VLOOKUP(AC19,B:Y,MATCH($AE$6,$B$1:$Y$1,),))</f>
        <v/>
      </c>
      <c r="AE19" s="28">
        <f>(VLOOKUP(AC19,B:Y,MATCH($AE$7,$B$1:$Y$1,),))</f>
        <v/>
      </c>
    </row>
    <row r="20" hidden="1" s="89">
      <c r="B20" s="25" t="inlineStr">
        <is>
          <t>2002-Q2</t>
        </is>
      </c>
      <c r="C20" s="26">
        <f>VLOOKUP(B20,'Data yoy'!$A:$AT,MATCH($C$1,'Data yoy'!$A$1:$AT$1,),)</f>
        <v/>
      </c>
      <c r="D20" s="26">
        <f>VLOOKUP(B20,'Data yoy'!$A:$AT,MATCH($D$1,'Data yoy'!$A$1:$AT$1,),)</f>
        <v/>
      </c>
      <c r="E20" s="26">
        <f>VLOOKUP(B20,'Data yoy'!$A:$AT,MATCH($E$1,'Data yoy'!$A$1:$AT$1,),)</f>
        <v/>
      </c>
      <c r="F20" s="26">
        <f>VLOOKUP(B20,'Data yoy'!$A:$AT,MATCH($F$1,'Data yoy'!$A$1:$AT$1,),)</f>
        <v/>
      </c>
      <c r="G20" s="26">
        <f>VLOOKUP(B20,'Data yoy'!$A:$AT,MATCH($G$1,'Data yoy'!$A$1:$AT$1,),)</f>
        <v/>
      </c>
      <c r="H20" s="26">
        <f>VLOOKUP(B20,'Data yoy'!$A:$AT,MATCH($H$1,'Data yoy'!$A$1:$AT$1,),)</f>
        <v/>
      </c>
      <c r="I20" s="26">
        <f>VLOOKUP(B20,'Data yoy'!$A:$AT,MATCH($I$1,'Data yoy'!$A$1:$AT$1,),)</f>
        <v/>
      </c>
      <c r="J20" s="26">
        <f>VLOOKUP(B20,'Data yoy'!$A:$AT,MATCH($J$1,'Data yoy'!$A$1:$AT$1,),)</f>
        <v/>
      </c>
      <c r="K20" s="26">
        <f>VLOOKUP(B20,'Data yoy'!$A:$AT,MATCH($K$1,'Data yoy'!$A$1:$AT$1,),)</f>
        <v/>
      </c>
      <c r="L20" s="26">
        <f>VLOOKUP(B20,'Data yoy'!$A:$AT,MATCH($L$1,'Data yoy'!$A$1:$AT$1,),)</f>
        <v/>
      </c>
      <c r="M20" s="26">
        <f>VLOOKUP(B20,'Data yoy'!$A:$AT,MATCH($M$1,'Data yoy'!$A$1:$AT$1,),)</f>
        <v/>
      </c>
      <c r="N20" s="26">
        <f>VLOOKUP(B20,'Data yoy'!$A:$AT,MATCH($N$1,'Data yoy'!$A$1:$AT$1,),)</f>
        <v/>
      </c>
      <c r="O20" s="26">
        <f>VLOOKUP(B20,'Data yoy'!$A:$AT,MATCH($C$1,'Data yoy'!$J$1:$AT$1,),)</f>
        <v/>
      </c>
      <c r="P20" s="26">
        <f>VLOOKUP(B20,'Data yoy'!$A:$AT,MATCH($P$1,'Data yoy'!$A$1:$AT$1,),)</f>
        <v/>
      </c>
      <c r="Q20" s="26">
        <f>VLOOKUP(B20,'Data yoy'!$A:$AT,MATCH($Q$1,'Data yoy'!$A$1:$AT$1,),)</f>
        <v/>
      </c>
      <c r="R20" s="26">
        <f>VLOOKUP(B20,'Data yoy'!$A:$AT,MATCH($E$1,'Data yoy'!$A$1:$AT$1,),)</f>
        <v/>
      </c>
      <c r="S20" s="26">
        <f>VLOOKUP(B20,'Data yoy'!$A:$AT,MATCH($S$1,'Data yoy'!$A$1:$AT$1,),)</f>
        <v/>
      </c>
      <c r="T20" s="26">
        <f>VLOOKUP(B20,'Data yoy'!$A:$AT,MATCH($T$1,'Data yoy'!$A$1:$AT$1,),)</f>
        <v/>
      </c>
      <c r="U20" s="26">
        <f>VLOOKUP(B20,'Data yoy'!$A:$AT,MATCH($U$1,'Data yoy'!$A$1:$AT$1,),)</f>
        <v/>
      </c>
      <c r="V20" s="26">
        <f>VLOOKUP(B20,'Data yoy'!$A:$AT,MATCH($V$1,'Data yoy'!$A$1:$AT$1,),)</f>
        <v/>
      </c>
      <c r="W20" s="26">
        <f>VLOOKUP(B20,'Data yoy'!$A:$AT,MATCH($W$1,'Data yoy'!$A$1:$AT$1,),)</f>
        <v/>
      </c>
      <c r="X20" s="26">
        <f>VLOOKUP(B20,'Data yoy'!$A:$AT,MATCH($X$1,'Data yoy'!$A$1:$AT$1,),)</f>
        <v/>
      </c>
      <c r="Y20" s="26">
        <f>VLOOKUP(B20,'Data yoy'!$A:$AT,MATCH($Y$1,'Data yoy'!$A$1:$AT$1,),)</f>
        <v/>
      </c>
      <c r="Z20" s="26">
        <f>VLOOKUP(B20,'Data yoy'!$A:$AU,MATCH($Z$1,'Data yoy'!$A$1:$AU$1,),)</f>
        <v/>
      </c>
      <c r="AA20" s="26">
        <f>VLOOKUP(C20,'Data yoy'!$A:$AU,MATCH($Z$1,'Data yoy'!$A$1:$AU$1,),)</f>
        <v/>
      </c>
      <c r="AB20" s="93" t="n"/>
      <c r="AC20" s="27">
        <f>B20</f>
        <v/>
      </c>
      <c r="AD20" s="28">
        <f>(VLOOKUP(AC20,B:Y,MATCH($AE$6,$B$1:$Y$1,),))</f>
        <v/>
      </c>
      <c r="AE20" s="28">
        <f>(VLOOKUP(AC20,B:Y,MATCH($AE$7,$B$1:$Y$1,),))</f>
        <v/>
      </c>
    </row>
    <row r="21" hidden="1" s="89">
      <c r="B21" s="25" t="inlineStr">
        <is>
          <t>2002-Q3</t>
        </is>
      </c>
      <c r="C21" s="26">
        <f>VLOOKUP(B21,'Data yoy'!$A:$AT,MATCH($C$1,'Data yoy'!$A$1:$AT$1,),)</f>
        <v/>
      </c>
      <c r="D21" s="26">
        <f>VLOOKUP(B21,'Data yoy'!$A:$AT,MATCH($D$1,'Data yoy'!$A$1:$AT$1,),)</f>
        <v/>
      </c>
      <c r="E21" s="26">
        <f>VLOOKUP(B21,'Data yoy'!$A:$AT,MATCH($E$1,'Data yoy'!$A$1:$AT$1,),)</f>
        <v/>
      </c>
      <c r="F21" s="26">
        <f>VLOOKUP(B21,'Data yoy'!$A:$AT,MATCH($F$1,'Data yoy'!$A$1:$AT$1,),)</f>
        <v/>
      </c>
      <c r="G21" s="26">
        <f>VLOOKUP(B21,'Data yoy'!$A:$AT,MATCH($G$1,'Data yoy'!$A$1:$AT$1,),)</f>
        <v/>
      </c>
      <c r="H21" s="26">
        <f>VLOOKUP(B21,'Data yoy'!$A:$AT,MATCH($H$1,'Data yoy'!$A$1:$AT$1,),)</f>
        <v/>
      </c>
      <c r="I21" s="26">
        <f>VLOOKUP(B21,'Data yoy'!$A:$AT,MATCH($I$1,'Data yoy'!$A$1:$AT$1,),)</f>
        <v/>
      </c>
      <c r="J21" s="26">
        <f>VLOOKUP(B21,'Data yoy'!$A:$AT,MATCH($J$1,'Data yoy'!$A$1:$AT$1,),)</f>
        <v/>
      </c>
      <c r="K21" s="26">
        <f>VLOOKUP(B21,'Data yoy'!$A:$AT,MATCH($K$1,'Data yoy'!$A$1:$AT$1,),)</f>
        <v/>
      </c>
      <c r="L21" s="26">
        <f>VLOOKUP(B21,'Data yoy'!$A:$AT,MATCH($L$1,'Data yoy'!$A$1:$AT$1,),)</f>
        <v/>
      </c>
      <c r="M21" s="26">
        <f>VLOOKUP(B21,'Data yoy'!$A:$AT,MATCH($M$1,'Data yoy'!$A$1:$AT$1,),)</f>
        <v/>
      </c>
      <c r="N21" s="26">
        <f>VLOOKUP(B21,'Data yoy'!$A:$AT,MATCH($N$1,'Data yoy'!$A$1:$AT$1,),)</f>
        <v/>
      </c>
      <c r="O21" s="26">
        <f>VLOOKUP(B21,'Data yoy'!$A:$AT,MATCH($C$1,'Data yoy'!$J$1:$AT$1,),)</f>
        <v/>
      </c>
      <c r="P21" s="26">
        <f>VLOOKUP(B21,'Data yoy'!$A:$AT,MATCH($P$1,'Data yoy'!$A$1:$AT$1,),)</f>
        <v/>
      </c>
      <c r="Q21" s="26">
        <f>VLOOKUP(B21,'Data yoy'!$A:$AT,MATCH($Q$1,'Data yoy'!$A$1:$AT$1,),)</f>
        <v/>
      </c>
      <c r="R21" s="26">
        <f>VLOOKUP(B21,'Data yoy'!$A:$AT,MATCH($E$1,'Data yoy'!$A$1:$AT$1,),)</f>
        <v/>
      </c>
      <c r="S21" s="26">
        <f>VLOOKUP(B21,'Data yoy'!$A:$AT,MATCH($S$1,'Data yoy'!$A$1:$AT$1,),)</f>
        <v/>
      </c>
      <c r="T21" s="26">
        <f>VLOOKUP(B21,'Data yoy'!$A:$AT,MATCH($T$1,'Data yoy'!$A$1:$AT$1,),)</f>
        <v/>
      </c>
      <c r="U21" s="26">
        <f>VLOOKUP(B21,'Data yoy'!$A:$AT,MATCH($U$1,'Data yoy'!$A$1:$AT$1,),)</f>
        <v/>
      </c>
      <c r="V21" s="26">
        <f>VLOOKUP(B21,'Data yoy'!$A:$AT,MATCH($V$1,'Data yoy'!$A$1:$AT$1,),)</f>
        <v/>
      </c>
      <c r="W21" s="26">
        <f>VLOOKUP(B21,'Data yoy'!$A:$AT,MATCH($W$1,'Data yoy'!$A$1:$AT$1,),)</f>
        <v/>
      </c>
      <c r="X21" s="26">
        <f>VLOOKUP(B21,'Data yoy'!$A:$AT,MATCH($X$1,'Data yoy'!$A$1:$AT$1,),)</f>
        <v/>
      </c>
      <c r="Y21" s="26">
        <f>VLOOKUP(B21,'Data yoy'!$A:$AT,MATCH($Y$1,'Data yoy'!$A$1:$AT$1,),)</f>
        <v/>
      </c>
      <c r="Z21" s="26">
        <f>VLOOKUP(B21,'Data yoy'!$A:$AU,MATCH($Z$1,'Data yoy'!$A$1:$AU$1,),)</f>
        <v/>
      </c>
      <c r="AA21" s="26">
        <f>VLOOKUP(C21,'Data yoy'!$A:$AU,MATCH($Z$1,'Data yoy'!$A$1:$AU$1,),)</f>
        <v/>
      </c>
      <c r="AB21" s="93" t="n"/>
      <c r="AC21" s="27">
        <f>B21</f>
        <v/>
      </c>
      <c r="AD21" s="28">
        <f>(VLOOKUP(AC21,B:Y,MATCH($AE$6,$B$1:$Y$1,),))</f>
        <v/>
      </c>
      <c r="AE21" s="28">
        <f>(VLOOKUP(AC21,B:Y,MATCH($AE$7,$B$1:$Y$1,),))</f>
        <v/>
      </c>
    </row>
    <row r="22" hidden="1" s="89">
      <c r="B22" s="25" t="inlineStr">
        <is>
          <t>2002-Q4</t>
        </is>
      </c>
      <c r="C22" s="26">
        <f>VLOOKUP(B22,'Data yoy'!$A:$AT,MATCH($C$1,'Data yoy'!$A$1:$AT$1,),)</f>
        <v/>
      </c>
      <c r="D22" s="26">
        <f>VLOOKUP(B22,'Data yoy'!$A:$AT,MATCH($D$1,'Data yoy'!$A$1:$AT$1,),)</f>
        <v/>
      </c>
      <c r="E22" s="26">
        <f>VLOOKUP(B22,'Data yoy'!$A:$AT,MATCH($E$1,'Data yoy'!$A$1:$AT$1,),)</f>
        <v/>
      </c>
      <c r="F22" s="26">
        <f>VLOOKUP(B22,'Data yoy'!$A:$AT,MATCH($F$1,'Data yoy'!$A$1:$AT$1,),)</f>
        <v/>
      </c>
      <c r="G22" s="26">
        <f>VLOOKUP(B22,'Data yoy'!$A:$AT,MATCH($G$1,'Data yoy'!$A$1:$AT$1,),)</f>
        <v/>
      </c>
      <c r="H22" s="26">
        <f>VLOOKUP(B22,'Data yoy'!$A:$AT,MATCH($H$1,'Data yoy'!$A$1:$AT$1,),)</f>
        <v/>
      </c>
      <c r="I22" s="26">
        <f>VLOOKUP(B22,'Data yoy'!$A:$AT,MATCH($I$1,'Data yoy'!$A$1:$AT$1,),)</f>
        <v/>
      </c>
      <c r="J22" s="26">
        <f>VLOOKUP(B22,'Data yoy'!$A:$AT,MATCH($J$1,'Data yoy'!$A$1:$AT$1,),)</f>
        <v/>
      </c>
      <c r="K22" s="26">
        <f>VLOOKUP(B22,'Data yoy'!$A:$AT,MATCH($K$1,'Data yoy'!$A$1:$AT$1,),)</f>
        <v/>
      </c>
      <c r="L22" s="26">
        <f>VLOOKUP(B22,'Data yoy'!$A:$AT,MATCH($L$1,'Data yoy'!$A$1:$AT$1,),)</f>
        <v/>
      </c>
      <c r="M22" s="26">
        <f>VLOOKUP(B22,'Data yoy'!$A:$AT,MATCH($M$1,'Data yoy'!$A$1:$AT$1,),)</f>
        <v/>
      </c>
      <c r="N22" s="26">
        <f>VLOOKUP(B22,'Data yoy'!$A:$AT,MATCH($N$1,'Data yoy'!$A$1:$AT$1,),)</f>
        <v/>
      </c>
      <c r="O22" s="26">
        <f>VLOOKUP(B22,'Data yoy'!$A:$AT,MATCH($C$1,'Data yoy'!$J$1:$AT$1,),)</f>
        <v/>
      </c>
      <c r="P22" s="26">
        <f>VLOOKUP(B22,'Data yoy'!$A:$AT,MATCH($P$1,'Data yoy'!$A$1:$AT$1,),)</f>
        <v/>
      </c>
      <c r="Q22" s="26">
        <f>VLOOKUP(B22,'Data yoy'!$A:$AT,MATCH($Q$1,'Data yoy'!$A$1:$AT$1,),)</f>
        <v/>
      </c>
      <c r="R22" s="26">
        <f>VLOOKUP(B22,'Data yoy'!$A:$AT,MATCH($E$1,'Data yoy'!$A$1:$AT$1,),)</f>
        <v/>
      </c>
      <c r="S22" s="26">
        <f>VLOOKUP(B22,'Data yoy'!$A:$AT,MATCH($S$1,'Data yoy'!$A$1:$AT$1,),)</f>
        <v/>
      </c>
      <c r="T22" s="26">
        <f>VLOOKUP(B22,'Data yoy'!$A:$AT,MATCH($T$1,'Data yoy'!$A$1:$AT$1,),)</f>
        <v/>
      </c>
      <c r="U22" s="26">
        <f>VLOOKUP(B22,'Data yoy'!$A:$AT,MATCH($U$1,'Data yoy'!$A$1:$AT$1,),)</f>
        <v/>
      </c>
      <c r="V22" s="26">
        <f>VLOOKUP(B22,'Data yoy'!$A:$AT,MATCH($V$1,'Data yoy'!$A$1:$AT$1,),)</f>
        <v/>
      </c>
      <c r="W22" s="26">
        <f>VLOOKUP(B22,'Data yoy'!$A:$AT,MATCH($W$1,'Data yoy'!$A$1:$AT$1,),)</f>
        <v/>
      </c>
      <c r="X22" s="26">
        <f>VLOOKUP(B22,'Data yoy'!$A:$AT,MATCH($X$1,'Data yoy'!$A$1:$AT$1,),)</f>
        <v/>
      </c>
      <c r="Y22" s="26">
        <f>VLOOKUP(B22,'Data yoy'!$A:$AT,MATCH($Y$1,'Data yoy'!$A$1:$AT$1,),)</f>
        <v/>
      </c>
      <c r="Z22" s="26">
        <f>VLOOKUP(B22,'Data yoy'!$A:$AU,MATCH($Z$1,'Data yoy'!$A$1:$AU$1,),)</f>
        <v/>
      </c>
      <c r="AA22" s="26">
        <f>VLOOKUP(C22,'Data yoy'!$A:$AU,MATCH($Z$1,'Data yoy'!$A$1:$AU$1,),)</f>
        <v/>
      </c>
      <c r="AB22" s="93" t="n"/>
      <c r="AC22" s="27">
        <f>B22</f>
        <v/>
      </c>
      <c r="AD22" s="28">
        <f>(VLOOKUP(AC22,B:Y,MATCH($AE$6,$B$1:$Y$1,),))</f>
        <v/>
      </c>
      <c r="AE22" s="28">
        <f>(VLOOKUP(AC22,B:Y,MATCH($AE$7,$B$1:$Y$1,),))</f>
        <v/>
      </c>
    </row>
    <row r="23" hidden="1" s="89">
      <c r="B23" s="25" t="inlineStr">
        <is>
          <t>2003-Q1</t>
        </is>
      </c>
      <c r="C23" s="26">
        <f>VLOOKUP(B23,'Data yoy'!$A:$AT,MATCH($C$1,'Data yoy'!$A$1:$AT$1,),)</f>
        <v/>
      </c>
      <c r="D23" s="26">
        <f>VLOOKUP(B23,'Data yoy'!$A:$AT,MATCH($D$1,'Data yoy'!$A$1:$AT$1,),)</f>
        <v/>
      </c>
      <c r="E23" s="26">
        <f>VLOOKUP(B23,'Data yoy'!$A:$AT,MATCH($E$1,'Data yoy'!$A$1:$AT$1,),)</f>
        <v/>
      </c>
      <c r="F23" s="26">
        <f>VLOOKUP(B23,'Data yoy'!$A:$AT,MATCH($F$1,'Data yoy'!$A$1:$AT$1,),)</f>
        <v/>
      </c>
      <c r="G23" s="26">
        <f>VLOOKUP(B23,'Data yoy'!$A:$AT,MATCH($G$1,'Data yoy'!$A$1:$AT$1,),)</f>
        <v/>
      </c>
      <c r="H23" s="26">
        <f>VLOOKUP(B23,'Data yoy'!$A:$AT,MATCH($H$1,'Data yoy'!$A$1:$AT$1,),)</f>
        <v/>
      </c>
      <c r="I23" s="26">
        <f>VLOOKUP(B23,'Data yoy'!$A:$AT,MATCH($I$1,'Data yoy'!$A$1:$AT$1,),)</f>
        <v/>
      </c>
      <c r="J23" s="26">
        <f>VLOOKUP(B23,'Data yoy'!$A:$AT,MATCH($J$1,'Data yoy'!$A$1:$AT$1,),)</f>
        <v/>
      </c>
      <c r="K23" s="26">
        <f>VLOOKUP(B23,'Data yoy'!$A:$AT,MATCH($K$1,'Data yoy'!$A$1:$AT$1,),)</f>
        <v/>
      </c>
      <c r="L23" s="26">
        <f>VLOOKUP(B23,'Data yoy'!$A:$AT,MATCH($L$1,'Data yoy'!$A$1:$AT$1,),)</f>
        <v/>
      </c>
      <c r="M23" s="26">
        <f>VLOOKUP(B23,'Data yoy'!$A:$AT,MATCH($M$1,'Data yoy'!$A$1:$AT$1,),)</f>
        <v/>
      </c>
      <c r="N23" s="26">
        <f>VLOOKUP(B23,'Data yoy'!$A:$AT,MATCH($N$1,'Data yoy'!$A$1:$AT$1,),)</f>
        <v/>
      </c>
      <c r="O23" s="26">
        <f>VLOOKUP(B23,'Data yoy'!$A:$AT,MATCH($C$1,'Data yoy'!$J$1:$AT$1,),)</f>
        <v/>
      </c>
      <c r="P23" s="26">
        <f>VLOOKUP(B23,'Data yoy'!$A:$AT,MATCH($P$1,'Data yoy'!$A$1:$AT$1,),)</f>
        <v/>
      </c>
      <c r="Q23" s="26">
        <f>VLOOKUP(B23,'Data yoy'!$A:$AT,MATCH($Q$1,'Data yoy'!$A$1:$AT$1,),)</f>
        <v/>
      </c>
      <c r="R23" s="26">
        <f>VLOOKUP(B23,'Data yoy'!$A:$AT,MATCH($E$1,'Data yoy'!$A$1:$AT$1,),)</f>
        <v/>
      </c>
      <c r="S23" s="26">
        <f>VLOOKUP(B23,'Data yoy'!$A:$AT,MATCH($S$1,'Data yoy'!$A$1:$AT$1,),)</f>
        <v/>
      </c>
      <c r="T23" s="26">
        <f>VLOOKUP(B23,'Data yoy'!$A:$AT,MATCH($T$1,'Data yoy'!$A$1:$AT$1,),)</f>
        <v/>
      </c>
      <c r="U23" s="26">
        <f>VLOOKUP(B23,'Data yoy'!$A:$AT,MATCH($U$1,'Data yoy'!$A$1:$AT$1,),)</f>
        <v/>
      </c>
      <c r="V23" s="26">
        <f>VLOOKUP(B23,'Data yoy'!$A:$AT,MATCH($V$1,'Data yoy'!$A$1:$AT$1,),)</f>
        <v/>
      </c>
      <c r="W23" s="26">
        <f>VLOOKUP(B23,'Data yoy'!$A:$AT,MATCH($W$1,'Data yoy'!$A$1:$AT$1,),)</f>
        <v/>
      </c>
      <c r="X23" s="26">
        <f>VLOOKUP(B23,'Data yoy'!$A:$AT,MATCH($X$1,'Data yoy'!$A$1:$AT$1,),)</f>
        <v/>
      </c>
      <c r="Y23" s="26">
        <f>VLOOKUP(B23,'Data yoy'!$A:$AT,MATCH($Y$1,'Data yoy'!$A$1:$AT$1,),)</f>
        <v/>
      </c>
      <c r="Z23" s="26">
        <f>VLOOKUP(B23,'Data yoy'!$A:$AU,MATCH($Z$1,'Data yoy'!$A$1:$AU$1,),)</f>
        <v/>
      </c>
      <c r="AA23" s="26">
        <f>VLOOKUP(C23,'Data yoy'!$A:$AU,MATCH($Z$1,'Data yoy'!$A$1:$AU$1,),)</f>
        <v/>
      </c>
      <c r="AB23" s="93" t="n"/>
      <c r="AC23" s="27">
        <f>B23</f>
        <v/>
      </c>
      <c r="AD23" s="28">
        <f>(VLOOKUP(AC23,B:Y,MATCH($AE$6,$B$1:$Y$1,),))</f>
        <v/>
      </c>
      <c r="AE23" s="28">
        <f>(VLOOKUP(AC23,B:Y,MATCH($AE$7,$B$1:$Y$1,),))</f>
        <v/>
      </c>
    </row>
    <row r="24" hidden="1" s="89">
      <c r="B24" s="25" t="inlineStr">
        <is>
          <t>2003-Q2</t>
        </is>
      </c>
      <c r="C24" s="26">
        <f>VLOOKUP(B24,'Data yoy'!$A:$AT,MATCH($C$1,'Data yoy'!$A$1:$AT$1,),)</f>
        <v/>
      </c>
      <c r="D24" s="26">
        <f>VLOOKUP(B24,'Data yoy'!$A:$AT,MATCH($D$1,'Data yoy'!$A$1:$AT$1,),)</f>
        <v/>
      </c>
      <c r="E24" s="26">
        <f>VLOOKUP(B24,'Data yoy'!$A:$AT,MATCH($E$1,'Data yoy'!$A$1:$AT$1,),)</f>
        <v/>
      </c>
      <c r="F24" s="26">
        <f>VLOOKUP(B24,'Data yoy'!$A:$AT,MATCH($F$1,'Data yoy'!$A$1:$AT$1,),)</f>
        <v/>
      </c>
      <c r="G24" s="26">
        <f>VLOOKUP(B24,'Data yoy'!$A:$AT,MATCH($G$1,'Data yoy'!$A$1:$AT$1,),)</f>
        <v/>
      </c>
      <c r="H24" s="26">
        <f>VLOOKUP(B24,'Data yoy'!$A:$AT,MATCH($H$1,'Data yoy'!$A$1:$AT$1,),)</f>
        <v/>
      </c>
      <c r="I24" s="26">
        <f>VLOOKUP(B24,'Data yoy'!$A:$AT,MATCH($I$1,'Data yoy'!$A$1:$AT$1,),)</f>
        <v/>
      </c>
      <c r="J24" s="26">
        <f>VLOOKUP(B24,'Data yoy'!$A:$AT,MATCH($J$1,'Data yoy'!$A$1:$AT$1,),)</f>
        <v/>
      </c>
      <c r="K24" s="26">
        <f>VLOOKUP(B24,'Data yoy'!$A:$AT,MATCH($K$1,'Data yoy'!$A$1:$AT$1,),)</f>
        <v/>
      </c>
      <c r="L24" s="26">
        <f>VLOOKUP(B24,'Data yoy'!$A:$AT,MATCH($L$1,'Data yoy'!$A$1:$AT$1,),)</f>
        <v/>
      </c>
      <c r="M24" s="26">
        <f>VLOOKUP(B24,'Data yoy'!$A:$AT,MATCH($M$1,'Data yoy'!$A$1:$AT$1,),)</f>
        <v/>
      </c>
      <c r="N24" s="26">
        <f>VLOOKUP(B24,'Data yoy'!$A:$AT,MATCH($N$1,'Data yoy'!$A$1:$AT$1,),)</f>
        <v/>
      </c>
      <c r="O24" s="26">
        <f>VLOOKUP(B24,'Data yoy'!$A:$AT,MATCH($C$1,'Data yoy'!$J$1:$AT$1,),)</f>
        <v/>
      </c>
      <c r="P24" s="26">
        <f>VLOOKUP(B24,'Data yoy'!$A:$AT,MATCH($P$1,'Data yoy'!$A$1:$AT$1,),)</f>
        <v/>
      </c>
      <c r="Q24" s="26">
        <f>VLOOKUP(B24,'Data yoy'!$A:$AT,MATCH($Q$1,'Data yoy'!$A$1:$AT$1,),)</f>
        <v/>
      </c>
      <c r="R24" s="26">
        <f>VLOOKUP(B24,'Data yoy'!$A:$AT,MATCH($E$1,'Data yoy'!$A$1:$AT$1,),)</f>
        <v/>
      </c>
      <c r="S24" s="26">
        <f>VLOOKUP(B24,'Data yoy'!$A:$AT,MATCH($S$1,'Data yoy'!$A$1:$AT$1,),)</f>
        <v/>
      </c>
      <c r="T24" s="26">
        <f>VLOOKUP(B24,'Data yoy'!$A:$AT,MATCH($T$1,'Data yoy'!$A$1:$AT$1,),)</f>
        <v/>
      </c>
      <c r="U24" s="26">
        <f>VLOOKUP(B24,'Data yoy'!$A:$AT,MATCH($U$1,'Data yoy'!$A$1:$AT$1,),)</f>
        <v/>
      </c>
      <c r="V24" s="26">
        <f>VLOOKUP(B24,'Data yoy'!$A:$AT,MATCH($V$1,'Data yoy'!$A$1:$AT$1,),)</f>
        <v/>
      </c>
      <c r="W24" s="26">
        <f>VLOOKUP(B24,'Data yoy'!$A:$AT,MATCH($W$1,'Data yoy'!$A$1:$AT$1,),)</f>
        <v/>
      </c>
      <c r="X24" s="26">
        <f>VLOOKUP(B24,'Data yoy'!$A:$AT,MATCH($X$1,'Data yoy'!$A$1:$AT$1,),)</f>
        <v/>
      </c>
      <c r="Y24" s="26">
        <f>VLOOKUP(B24,'Data yoy'!$A:$AT,MATCH($Y$1,'Data yoy'!$A$1:$AT$1,),)</f>
        <v/>
      </c>
      <c r="Z24" s="26">
        <f>VLOOKUP(B24,'Data yoy'!$A:$AU,MATCH($Z$1,'Data yoy'!$A$1:$AU$1,),)</f>
        <v/>
      </c>
      <c r="AA24" s="26">
        <f>VLOOKUP(C24,'Data yoy'!$A:$AU,MATCH($Z$1,'Data yoy'!$A$1:$AU$1,),)</f>
        <v/>
      </c>
      <c r="AB24" s="93" t="n"/>
      <c r="AC24" s="27">
        <f>B24</f>
        <v/>
      </c>
      <c r="AD24" s="28">
        <f>(VLOOKUP(AC24,B:Y,MATCH($AE$6,$B$1:$Y$1,),))</f>
        <v/>
      </c>
      <c r="AE24" s="28">
        <f>(VLOOKUP(AC24,B:Y,MATCH($AE$7,$B$1:$Y$1,),))</f>
        <v/>
      </c>
    </row>
    <row r="25" hidden="1" s="89">
      <c r="B25" s="25" t="inlineStr">
        <is>
          <t>2003-Q3</t>
        </is>
      </c>
      <c r="C25" s="26">
        <f>VLOOKUP(B25,'Data yoy'!$A:$AT,MATCH($C$1,'Data yoy'!$A$1:$AT$1,),)</f>
        <v/>
      </c>
      <c r="D25" s="26">
        <f>VLOOKUP(B25,'Data yoy'!$A:$AT,MATCH($D$1,'Data yoy'!$A$1:$AT$1,),)</f>
        <v/>
      </c>
      <c r="E25" s="26">
        <f>VLOOKUP(B25,'Data yoy'!$A:$AT,MATCH($E$1,'Data yoy'!$A$1:$AT$1,),)</f>
        <v/>
      </c>
      <c r="F25" s="26">
        <f>VLOOKUP(B25,'Data yoy'!$A:$AT,MATCH($F$1,'Data yoy'!$A$1:$AT$1,),)</f>
        <v/>
      </c>
      <c r="G25" s="26">
        <f>VLOOKUP(B25,'Data yoy'!$A:$AT,MATCH($G$1,'Data yoy'!$A$1:$AT$1,),)</f>
        <v/>
      </c>
      <c r="H25" s="26">
        <f>VLOOKUP(B25,'Data yoy'!$A:$AT,MATCH($H$1,'Data yoy'!$A$1:$AT$1,),)</f>
        <v/>
      </c>
      <c r="I25" s="26">
        <f>VLOOKUP(B25,'Data yoy'!$A:$AT,MATCH($I$1,'Data yoy'!$A$1:$AT$1,),)</f>
        <v/>
      </c>
      <c r="J25" s="26">
        <f>VLOOKUP(B25,'Data yoy'!$A:$AT,MATCH($J$1,'Data yoy'!$A$1:$AT$1,),)</f>
        <v/>
      </c>
      <c r="K25" s="26">
        <f>VLOOKUP(B25,'Data yoy'!$A:$AT,MATCH($K$1,'Data yoy'!$A$1:$AT$1,),)</f>
        <v/>
      </c>
      <c r="L25" s="26">
        <f>VLOOKUP(B25,'Data yoy'!$A:$AT,MATCH($L$1,'Data yoy'!$A$1:$AT$1,),)</f>
        <v/>
      </c>
      <c r="M25" s="26">
        <f>VLOOKUP(B25,'Data yoy'!$A:$AT,MATCH($M$1,'Data yoy'!$A$1:$AT$1,),)</f>
        <v/>
      </c>
      <c r="N25" s="26">
        <f>VLOOKUP(B25,'Data yoy'!$A:$AT,MATCH($N$1,'Data yoy'!$A$1:$AT$1,),)</f>
        <v/>
      </c>
      <c r="O25" s="26">
        <f>VLOOKUP(B25,'Data yoy'!$A:$AT,MATCH($C$1,'Data yoy'!$J$1:$AT$1,),)</f>
        <v/>
      </c>
      <c r="P25" s="26">
        <f>VLOOKUP(B25,'Data yoy'!$A:$AT,MATCH($P$1,'Data yoy'!$A$1:$AT$1,),)</f>
        <v/>
      </c>
      <c r="Q25" s="26">
        <f>VLOOKUP(B25,'Data yoy'!$A:$AT,MATCH($Q$1,'Data yoy'!$A$1:$AT$1,),)</f>
        <v/>
      </c>
      <c r="R25" s="26">
        <f>VLOOKUP(B25,'Data yoy'!$A:$AT,MATCH($E$1,'Data yoy'!$A$1:$AT$1,),)</f>
        <v/>
      </c>
      <c r="S25" s="26">
        <f>VLOOKUP(B25,'Data yoy'!$A:$AT,MATCH($S$1,'Data yoy'!$A$1:$AT$1,),)</f>
        <v/>
      </c>
      <c r="T25" s="26">
        <f>VLOOKUP(B25,'Data yoy'!$A:$AT,MATCH($T$1,'Data yoy'!$A$1:$AT$1,),)</f>
        <v/>
      </c>
      <c r="U25" s="26">
        <f>VLOOKUP(B25,'Data yoy'!$A:$AT,MATCH($U$1,'Data yoy'!$A$1:$AT$1,),)</f>
        <v/>
      </c>
      <c r="V25" s="26">
        <f>VLOOKUP(B25,'Data yoy'!$A:$AT,MATCH($V$1,'Data yoy'!$A$1:$AT$1,),)</f>
        <v/>
      </c>
      <c r="W25" s="26">
        <f>VLOOKUP(B25,'Data yoy'!$A:$AT,MATCH($W$1,'Data yoy'!$A$1:$AT$1,),)</f>
        <v/>
      </c>
      <c r="X25" s="26">
        <f>VLOOKUP(B25,'Data yoy'!$A:$AT,MATCH($X$1,'Data yoy'!$A$1:$AT$1,),)</f>
        <v/>
      </c>
      <c r="Y25" s="26">
        <f>VLOOKUP(B25,'Data yoy'!$A:$AT,MATCH($Y$1,'Data yoy'!$A$1:$AT$1,),)</f>
        <v/>
      </c>
      <c r="Z25" s="26">
        <f>VLOOKUP(B25,'Data yoy'!$A:$AU,MATCH($Z$1,'Data yoy'!$A$1:$AU$1,),)</f>
        <v/>
      </c>
      <c r="AA25" s="26">
        <f>VLOOKUP(C25,'Data yoy'!$A:$AU,MATCH($Z$1,'Data yoy'!$A$1:$AU$1,),)</f>
        <v/>
      </c>
      <c r="AB25" s="93" t="n"/>
      <c r="AC25" s="27">
        <f>B25</f>
        <v/>
      </c>
      <c r="AD25" s="28">
        <f>(VLOOKUP(AC25,B:Y,MATCH($AE$6,$B$1:$Y$1,),))</f>
        <v/>
      </c>
      <c r="AE25" s="28">
        <f>(VLOOKUP(AC25,B:Y,MATCH($AE$7,$B$1:$Y$1,),))</f>
        <v/>
      </c>
    </row>
    <row r="26" hidden="1" s="89">
      <c r="B26" s="25" t="inlineStr">
        <is>
          <t>2003-Q4</t>
        </is>
      </c>
      <c r="C26" s="26">
        <f>VLOOKUP(B26,'Data yoy'!$A:$AT,MATCH($C$1,'Data yoy'!$A$1:$AT$1,),)</f>
        <v/>
      </c>
      <c r="D26" s="26">
        <f>VLOOKUP(B26,'Data yoy'!$A:$AT,MATCH($D$1,'Data yoy'!$A$1:$AT$1,),)</f>
        <v/>
      </c>
      <c r="E26" s="26">
        <f>VLOOKUP(B26,'Data yoy'!$A:$AT,MATCH($E$1,'Data yoy'!$A$1:$AT$1,),)</f>
        <v/>
      </c>
      <c r="F26" s="26">
        <f>VLOOKUP(B26,'Data yoy'!$A:$AT,MATCH($F$1,'Data yoy'!$A$1:$AT$1,),)</f>
        <v/>
      </c>
      <c r="G26" s="26">
        <f>VLOOKUP(B26,'Data yoy'!$A:$AT,MATCH($G$1,'Data yoy'!$A$1:$AT$1,),)</f>
        <v/>
      </c>
      <c r="H26" s="26">
        <f>VLOOKUP(B26,'Data yoy'!$A:$AT,MATCH($H$1,'Data yoy'!$A$1:$AT$1,),)</f>
        <v/>
      </c>
      <c r="I26" s="26">
        <f>VLOOKUP(B26,'Data yoy'!$A:$AT,MATCH($I$1,'Data yoy'!$A$1:$AT$1,),)</f>
        <v/>
      </c>
      <c r="J26" s="26">
        <f>VLOOKUP(B26,'Data yoy'!$A:$AT,MATCH($J$1,'Data yoy'!$A$1:$AT$1,),)</f>
        <v/>
      </c>
      <c r="K26" s="26">
        <f>VLOOKUP(B26,'Data yoy'!$A:$AT,MATCH($K$1,'Data yoy'!$A$1:$AT$1,),)</f>
        <v/>
      </c>
      <c r="L26" s="26">
        <f>VLOOKUP(B26,'Data yoy'!$A:$AT,MATCH($L$1,'Data yoy'!$A$1:$AT$1,),)</f>
        <v/>
      </c>
      <c r="M26" s="26">
        <f>VLOOKUP(B26,'Data yoy'!$A:$AT,MATCH($M$1,'Data yoy'!$A$1:$AT$1,),)</f>
        <v/>
      </c>
      <c r="N26" s="26">
        <f>VLOOKUP(B26,'Data yoy'!$A:$AT,MATCH($N$1,'Data yoy'!$A$1:$AT$1,),)</f>
        <v/>
      </c>
      <c r="O26" s="26">
        <f>VLOOKUP(B26,'Data yoy'!$A:$AT,MATCH($C$1,'Data yoy'!$J$1:$AT$1,),)</f>
        <v/>
      </c>
      <c r="P26" s="26">
        <f>VLOOKUP(B26,'Data yoy'!$A:$AT,MATCH($P$1,'Data yoy'!$A$1:$AT$1,),)</f>
        <v/>
      </c>
      <c r="Q26" s="26">
        <f>VLOOKUP(B26,'Data yoy'!$A:$AT,MATCH($Q$1,'Data yoy'!$A$1:$AT$1,),)</f>
        <v/>
      </c>
      <c r="R26" s="26">
        <f>VLOOKUP(B26,'Data yoy'!$A:$AT,MATCH($E$1,'Data yoy'!$A$1:$AT$1,),)</f>
        <v/>
      </c>
      <c r="S26" s="26">
        <f>VLOOKUP(B26,'Data yoy'!$A:$AT,MATCH($S$1,'Data yoy'!$A$1:$AT$1,),)</f>
        <v/>
      </c>
      <c r="T26" s="26">
        <f>VLOOKUP(B26,'Data yoy'!$A:$AT,MATCH($T$1,'Data yoy'!$A$1:$AT$1,),)</f>
        <v/>
      </c>
      <c r="U26" s="26">
        <f>VLOOKUP(B26,'Data yoy'!$A:$AT,MATCH($U$1,'Data yoy'!$A$1:$AT$1,),)</f>
        <v/>
      </c>
      <c r="V26" s="26">
        <f>VLOOKUP(B26,'Data yoy'!$A:$AT,MATCH($V$1,'Data yoy'!$A$1:$AT$1,),)</f>
        <v/>
      </c>
      <c r="W26" s="26">
        <f>VLOOKUP(B26,'Data yoy'!$A:$AT,MATCH($W$1,'Data yoy'!$A$1:$AT$1,),)</f>
        <v/>
      </c>
      <c r="X26" s="26">
        <f>VLOOKUP(B26,'Data yoy'!$A:$AT,MATCH($X$1,'Data yoy'!$A$1:$AT$1,),)</f>
        <v/>
      </c>
      <c r="Y26" s="26">
        <f>VLOOKUP(B26,'Data yoy'!$A:$AT,MATCH($Y$1,'Data yoy'!$A$1:$AT$1,),)</f>
        <v/>
      </c>
      <c r="Z26" s="26">
        <f>VLOOKUP(B26,'Data yoy'!$A:$AU,MATCH($Z$1,'Data yoy'!$A$1:$AU$1,),)</f>
        <v/>
      </c>
      <c r="AA26" s="26">
        <f>VLOOKUP(C26,'Data yoy'!$A:$AU,MATCH($Z$1,'Data yoy'!$A$1:$AU$1,),)</f>
        <v/>
      </c>
      <c r="AB26" s="93" t="n"/>
      <c r="AC26" s="27">
        <f>B26</f>
        <v/>
      </c>
      <c r="AD26" s="28">
        <f>(VLOOKUP(AC26,B:Y,MATCH($AE$6,$B$1:$Y$1,),))</f>
        <v/>
      </c>
      <c r="AE26" s="28">
        <f>(VLOOKUP(AC26,B:Y,MATCH($AE$7,$B$1:$Y$1,),))</f>
        <v/>
      </c>
    </row>
    <row r="27" hidden="1" s="89">
      <c r="B27" s="25" t="inlineStr">
        <is>
          <t>2004-Q1</t>
        </is>
      </c>
      <c r="C27" s="26">
        <f>VLOOKUP(B27,'Data yoy'!$A:$AT,MATCH($C$1,'Data yoy'!$A$1:$AT$1,),)</f>
        <v/>
      </c>
      <c r="D27" s="26">
        <f>VLOOKUP(B27,'Data yoy'!$A:$AT,MATCH($D$1,'Data yoy'!$A$1:$AT$1,),)</f>
        <v/>
      </c>
      <c r="E27" s="26">
        <f>VLOOKUP(B27,'Data yoy'!$A:$AT,MATCH($E$1,'Data yoy'!$A$1:$AT$1,),)</f>
        <v/>
      </c>
      <c r="F27" s="26">
        <f>VLOOKUP(B27,'Data yoy'!$A:$AT,MATCH($F$1,'Data yoy'!$A$1:$AT$1,),)</f>
        <v/>
      </c>
      <c r="G27" s="26">
        <f>VLOOKUP(B27,'Data yoy'!$A:$AT,MATCH($G$1,'Data yoy'!$A$1:$AT$1,),)</f>
        <v/>
      </c>
      <c r="H27" s="26">
        <f>VLOOKUP(B27,'Data yoy'!$A:$AT,MATCH($H$1,'Data yoy'!$A$1:$AT$1,),)</f>
        <v/>
      </c>
      <c r="I27" s="26">
        <f>VLOOKUP(B27,'Data yoy'!$A:$AT,MATCH($I$1,'Data yoy'!$A$1:$AT$1,),)</f>
        <v/>
      </c>
      <c r="J27" s="26">
        <f>VLOOKUP(B27,'Data yoy'!$A:$AT,MATCH($J$1,'Data yoy'!$A$1:$AT$1,),)</f>
        <v/>
      </c>
      <c r="K27" s="26">
        <f>VLOOKUP(B27,'Data yoy'!$A:$AT,MATCH($K$1,'Data yoy'!$A$1:$AT$1,),)</f>
        <v/>
      </c>
      <c r="L27" s="26">
        <f>VLOOKUP(B27,'Data yoy'!$A:$AT,MATCH($L$1,'Data yoy'!$A$1:$AT$1,),)</f>
        <v/>
      </c>
      <c r="M27" s="26">
        <f>VLOOKUP(B27,'Data yoy'!$A:$AT,MATCH($M$1,'Data yoy'!$A$1:$AT$1,),)</f>
        <v/>
      </c>
      <c r="N27" s="26">
        <f>VLOOKUP(B27,'Data yoy'!$A:$AT,MATCH($N$1,'Data yoy'!$A$1:$AT$1,),)</f>
        <v/>
      </c>
      <c r="O27" s="26">
        <f>VLOOKUP(B27,'Data yoy'!$A:$AT,MATCH($C$1,'Data yoy'!$J$1:$AT$1,),)</f>
        <v/>
      </c>
      <c r="P27" s="26">
        <f>VLOOKUP(B27,'Data yoy'!$A:$AT,MATCH($P$1,'Data yoy'!$A$1:$AT$1,),)</f>
        <v/>
      </c>
      <c r="Q27" s="26">
        <f>VLOOKUP(B27,'Data yoy'!$A:$AT,MATCH($Q$1,'Data yoy'!$A$1:$AT$1,),)</f>
        <v/>
      </c>
      <c r="R27" s="26">
        <f>VLOOKUP(B27,'Data yoy'!$A:$AT,MATCH($E$1,'Data yoy'!$A$1:$AT$1,),)</f>
        <v/>
      </c>
      <c r="S27" s="26">
        <f>VLOOKUP(B27,'Data yoy'!$A:$AT,MATCH($S$1,'Data yoy'!$A$1:$AT$1,),)</f>
        <v/>
      </c>
      <c r="T27" s="26">
        <f>VLOOKUP(B27,'Data yoy'!$A:$AT,MATCH($T$1,'Data yoy'!$A$1:$AT$1,),)</f>
        <v/>
      </c>
      <c r="U27" s="26">
        <f>VLOOKUP(B27,'Data yoy'!$A:$AT,MATCH($U$1,'Data yoy'!$A$1:$AT$1,),)</f>
        <v/>
      </c>
      <c r="V27" s="26">
        <f>VLOOKUP(B27,'Data yoy'!$A:$AT,MATCH($V$1,'Data yoy'!$A$1:$AT$1,),)</f>
        <v/>
      </c>
      <c r="W27" s="26">
        <f>VLOOKUP(B27,'Data yoy'!$A:$AT,MATCH($W$1,'Data yoy'!$A$1:$AT$1,),)</f>
        <v/>
      </c>
      <c r="X27" s="26">
        <f>VLOOKUP(B27,'Data yoy'!$A:$AT,MATCH($X$1,'Data yoy'!$A$1:$AT$1,),)</f>
        <v/>
      </c>
      <c r="Y27" s="26">
        <f>VLOOKUP(B27,'Data yoy'!$A:$AT,MATCH($Y$1,'Data yoy'!$A$1:$AT$1,),)</f>
        <v/>
      </c>
      <c r="Z27" s="26">
        <f>VLOOKUP(B27,'Data yoy'!$A:$AU,MATCH($Z$1,'Data yoy'!$A$1:$AU$1,),)</f>
        <v/>
      </c>
      <c r="AA27" s="26">
        <f>VLOOKUP(C27,'Data yoy'!$A:$AU,MATCH($Z$1,'Data yoy'!$A$1:$AU$1,),)</f>
        <v/>
      </c>
      <c r="AB27" s="93" t="n"/>
      <c r="AC27" s="27">
        <f>B27</f>
        <v/>
      </c>
      <c r="AD27" s="28">
        <f>(VLOOKUP(AC27,B:Y,MATCH($AE$6,$B$1:$Y$1,),))</f>
        <v/>
      </c>
      <c r="AE27" s="28">
        <f>(VLOOKUP(AC27,B:Y,MATCH($AE$7,$B$1:$Y$1,),))</f>
        <v/>
      </c>
    </row>
    <row r="28" hidden="1" s="89">
      <c r="B28" s="25" t="inlineStr">
        <is>
          <t>2004-Q2</t>
        </is>
      </c>
      <c r="C28" s="26">
        <f>VLOOKUP(B28,'Data yoy'!$A:$AT,MATCH($C$1,'Data yoy'!$A$1:$AT$1,),)</f>
        <v/>
      </c>
      <c r="D28" s="26">
        <f>VLOOKUP(B28,'Data yoy'!$A:$AT,MATCH($D$1,'Data yoy'!$A$1:$AT$1,),)</f>
        <v/>
      </c>
      <c r="E28" s="26">
        <f>VLOOKUP(B28,'Data yoy'!$A:$AT,MATCH($E$1,'Data yoy'!$A$1:$AT$1,),)</f>
        <v/>
      </c>
      <c r="F28" s="26">
        <f>VLOOKUP(B28,'Data yoy'!$A:$AT,MATCH($F$1,'Data yoy'!$A$1:$AT$1,),)</f>
        <v/>
      </c>
      <c r="G28" s="26">
        <f>VLOOKUP(B28,'Data yoy'!$A:$AT,MATCH($G$1,'Data yoy'!$A$1:$AT$1,),)</f>
        <v/>
      </c>
      <c r="H28" s="26">
        <f>VLOOKUP(B28,'Data yoy'!$A:$AT,MATCH($H$1,'Data yoy'!$A$1:$AT$1,),)</f>
        <v/>
      </c>
      <c r="I28" s="26">
        <f>VLOOKUP(B28,'Data yoy'!$A:$AT,MATCH($I$1,'Data yoy'!$A$1:$AT$1,),)</f>
        <v/>
      </c>
      <c r="J28" s="26">
        <f>VLOOKUP(B28,'Data yoy'!$A:$AT,MATCH($J$1,'Data yoy'!$A$1:$AT$1,),)</f>
        <v/>
      </c>
      <c r="K28" s="26">
        <f>VLOOKUP(B28,'Data yoy'!$A:$AT,MATCH($K$1,'Data yoy'!$A$1:$AT$1,),)</f>
        <v/>
      </c>
      <c r="L28" s="26">
        <f>VLOOKUP(B28,'Data yoy'!$A:$AT,MATCH($L$1,'Data yoy'!$A$1:$AT$1,),)</f>
        <v/>
      </c>
      <c r="M28" s="26">
        <f>VLOOKUP(B28,'Data yoy'!$A:$AT,MATCH($M$1,'Data yoy'!$A$1:$AT$1,),)</f>
        <v/>
      </c>
      <c r="N28" s="26">
        <f>VLOOKUP(B28,'Data yoy'!$A:$AT,MATCH($N$1,'Data yoy'!$A$1:$AT$1,),)</f>
        <v/>
      </c>
      <c r="O28" s="26">
        <f>VLOOKUP(B28,'Data yoy'!$A:$AT,MATCH($C$1,'Data yoy'!$J$1:$AT$1,),)</f>
        <v/>
      </c>
      <c r="P28" s="26">
        <f>VLOOKUP(B28,'Data yoy'!$A:$AT,MATCH($P$1,'Data yoy'!$A$1:$AT$1,),)</f>
        <v/>
      </c>
      <c r="Q28" s="26">
        <f>VLOOKUP(B28,'Data yoy'!$A:$AT,MATCH($Q$1,'Data yoy'!$A$1:$AT$1,),)</f>
        <v/>
      </c>
      <c r="R28" s="26">
        <f>VLOOKUP(B28,'Data yoy'!$A:$AT,MATCH($E$1,'Data yoy'!$A$1:$AT$1,),)</f>
        <v/>
      </c>
      <c r="S28" s="26">
        <f>VLOOKUP(B28,'Data yoy'!$A:$AT,MATCH($S$1,'Data yoy'!$A$1:$AT$1,),)</f>
        <v/>
      </c>
      <c r="T28" s="26">
        <f>VLOOKUP(B28,'Data yoy'!$A:$AT,MATCH($T$1,'Data yoy'!$A$1:$AT$1,),)</f>
        <v/>
      </c>
      <c r="U28" s="26">
        <f>VLOOKUP(B28,'Data yoy'!$A:$AT,MATCH($U$1,'Data yoy'!$A$1:$AT$1,),)</f>
        <v/>
      </c>
      <c r="V28" s="26">
        <f>VLOOKUP(B28,'Data yoy'!$A:$AT,MATCH($V$1,'Data yoy'!$A$1:$AT$1,),)</f>
        <v/>
      </c>
      <c r="W28" s="26">
        <f>VLOOKUP(B28,'Data yoy'!$A:$AT,MATCH($W$1,'Data yoy'!$A$1:$AT$1,),)</f>
        <v/>
      </c>
      <c r="X28" s="26">
        <f>VLOOKUP(B28,'Data yoy'!$A:$AT,MATCH($X$1,'Data yoy'!$A$1:$AT$1,),)</f>
        <v/>
      </c>
      <c r="Y28" s="26">
        <f>VLOOKUP(B28,'Data yoy'!$A:$AT,MATCH($Y$1,'Data yoy'!$A$1:$AT$1,),)</f>
        <v/>
      </c>
      <c r="Z28" s="26">
        <f>VLOOKUP(B28,'Data yoy'!$A:$AU,MATCH($Z$1,'Data yoy'!$A$1:$AU$1,),)</f>
        <v/>
      </c>
      <c r="AA28" s="26">
        <f>VLOOKUP(C28,'Data yoy'!$A:$AU,MATCH($Z$1,'Data yoy'!$A$1:$AU$1,),)</f>
        <v/>
      </c>
      <c r="AB28" s="93" t="n"/>
      <c r="AC28" s="27">
        <f>B28</f>
        <v/>
      </c>
      <c r="AD28" s="28">
        <f>(VLOOKUP(AC28,B:Y,MATCH($AE$6,$B$1:$Y$1,),))</f>
        <v/>
      </c>
      <c r="AE28" s="28">
        <f>(VLOOKUP(AC28,B:Y,MATCH($AE$7,$B$1:$Y$1,),))</f>
        <v/>
      </c>
    </row>
    <row r="29" hidden="1" s="89">
      <c r="B29" s="25" t="inlineStr">
        <is>
          <t>2004-Q3</t>
        </is>
      </c>
      <c r="C29" s="26">
        <f>VLOOKUP(B29,'Data yoy'!$A:$AT,MATCH($C$1,'Data yoy'!$A$1:$AT$1,),)</f>
        <v/>
      </c>
      <c r="D29" s="26">
        <f>VLOOKUP(B29,'Data yoy'!$A:$AT,MATCH($D$1,'Data yoy'!$A$1:$AT$1,),)</f>
        <v/>
      </c>
      <c r="E29" s="26">
        <f>VLOOKUP(B29,'Data yoy'!$A:$AT,MATCH($E$1,'Data yoy'!$A$1:$AT$1,),)</f>
        <v/>
      </c>
      <c r="F29" s="26">
        <f>VLOOKUP(B29,'Data yoy'!$A:$AT,MATCH($F$1,'Data yoy'!$A$1:$AT$1,),)</f>
        <v/>
      </c>
      <c r="G29" s="26">
        <f>VLOOKUP(B29,'Data yoy'!$A:$AT,MATCH($G$1,'Data yoy'!$A$1:$AT$1,),)</f>
        <v/>
      </c>
      <c r="H29" s="26">
        <f>VLOOKUP(B29,'Data yoy'!$A:$AT,MATCH($H$1,'Data yoy'!$A$1:$AT$1,),)</f>
        <v/>
      </c>
      <c r="I29" s="26">
        <f>VLOOKUP(B29,'Data yoy'!$A:$AT,MATCH($I$1,'Data yoy'!$A$1:$AT$1,),)</f>
        <v/>
      </c>
      <c r="J29" s="26">
        <f>VLOOKUP(B29,'Data yoy'!$A:$AT,MATCH($J$1,'Data yoy'!$A$1:$AT$1,),)</f>
        <v/>
      </c>
      <c r="K29" s="26">
        <f>VLOOKUP(B29,'Data yoy'!$A:$AT,MATCH($K$1,'Data yoy'!$A$1:$AT$1,),)</f>
        <v/>
      </c>
      <c r="L29" s="26">
        <f>VLOOKUP(B29,'Data yoy'!$A:$AT,MATCH($L$1,'Data yoy'!$A$1:$AT$1,),)</f>
        <v/>
      </c>
      <c r="M29" s="26">
        <f>VLOOKUP(B29,'Data yoy'!$A:$AT,MATCH($M$1,'Data yoy'!$A$1:$AT$1,),)</f>
        <v/>
      </c>
      <c r="N29" s="26">
        <f>VLOOKUP(B29,'Data yoy'!$A:$AT,MATCH($N$1,'Data yoy'!$A$1:$AT$1,),)</f>
        <v/>
      </c>
      <c r="O29" s="26">
        <f>VLOOKUP(B29,'Data yoy'!$A:$AT,MATCH($C$1,'Data yoy'!$J$1:$AT$1,),)</f>
        <v/>
      </c>
      <c r="P29" s="26">
        <f>VLOOKUP(B29,'Data yoy'!$A:$AT,MATCH($P$1,'Data yoy'!$A$1:$AT$1,),)</f>
        <v/>
      </c>
      <c r="Q29" s="26">
        <f>VLOOKUP(B29,'Data yoy'!$A:$AT,MATCH($Q$1,'Data yoy'!$A$1:$AT$1,),)</f>
        <v/>
      </c>
      <c r="R29" s="26">
        <f>VLOOKUP(B29,'Data yoy'!$A:$AT,MATCH($E$1,'Data yoy'!$A$1:$AT$1,),)</f>
        <v/>
      </c>
      <c r="S29" s="26">
        <f>VLOOKUP(B29,'Data yoy'!$A:$AT,MATCH($S$1,'Data yoy'!$A$1:$AT$1,),)</f>
        <v/>
      </c>
      <c r="T29" s="26">
        <f>VLOOKUP(B29,'Data yoy'!$A:$AT,MATCH($T$1,'Data yoy'!$A$1:$AT$1,),)</f>
        <v/>
      </c>
      <c r="U29" s="26">
        <f>VLOOKUP(B29,'Data yoy'!$A:$AT,MATCH($U$1,'Data yoy'!$A$1:$AT$1,),)</f>
        <v/>
      </c>
      <c r="V29" s="26">
        <f>VLOOKUP(B29,'Data yoy'!$A:$AT,MATCH($V$1,'Data yoy'!$A$1:$AT$1,),)</f>
        <v/>
      </c>
      <c r="W29" s="26">
        <f>VLOOKUP(B29,'Data yoy'!$A:$AT,MATCH($W$1,'Data yoy'!$A$1:$AT$1,),)</f>
        <v/>
      </c>
      <c r="X29" s="26">
        <f>VLOOKUP(B29,'Data yoy'!$A:$AT,MATCH($X$1,'Data yoy'!$A$1:$AT$1,),)</f>
        <v/>
      </c>
      <c r="Y29" s="26">
        <f>VLOOKUP(B29,'Data yoy'!$A:$AT,MATCH($Y$1,'Data yoy'!$A$1:$AT$1,),)</f>
        <v/>
      </c>
      <c r="Z29" s="26">
        <f>VLOOKUP(B29,'Data yoy'!$A:$AU,MATCH($Z$1,'Data yoy'!$A$1:$AU$1,),)</f>
        <v/>
      </c>
      <c r="AA29" s="26">
        <f>VLOOKUP(C29,'Data yoy'!$A:$AU,MATCH($Z$1,'Data yoy'!$A$1:$AU$1,),)</f>
        <v/>
      </c>
      <c r="AB29" s="93" t="n"/>
      <c r="AC29" s="27">
        <f>B29</f>
        <v/>
      </c>
      <c r="AD29" s="28">
        <f>(VLOOKUP(AC29,B:Y,MATCH($AE$6,$B$1:$Y$1,),))</f>
        <v/>
      </c>
      <c r="AE29" s="28">
        <f>(VLOOKUP(AC29,B:Y,MATCH($AE$7,$B$1:$Y$1,),))</f>
        <v/>
      </c>
    </row>
    <row r="30" hidden="1" s="89">
      <c r="B30" s="25" t="inlineStr">
        <is>
          <t>2004-Q4</t>
        </is>
      </c>
      <c r="C30" s="26">
        <f>VLOOKUP(B30,'Data yoy'!$A:$AT,MATCH($C$1,'Data yoy'!$A$1:$AT$1,),)</f>
        <v/>
      </c>
      <c r="D30" s="26">
        <f>VLOOKUP(B30,'Data yoy'!$A:$AT,MATCH($D$1,'Data yoy'!$A$1:$AT$1,),)</f>
        <v/>
      </c>
      <c r="E30" s="26">
        <f>VLOOKUP(B30,'Data yoy'!$A:$AT,MATCH($E$1,'Data yoy'!$A$1:$AT$1,),)</f>
        <v/>
      </c>
      <c r="F30" s="26">
        <f>VLOOKUP(B30,'Data yoy'!$A:$AT,MATCH($F$1,'Data yoy'!$A$1:$AT$1,),)</f>
        <v/>
      </c>
      <c r="G30" s="26">
        <f>VLOOKUP(B30,'Data yoy'!$A:$AT,MATCH($G$1,'Data yoy'!$A$1:$AT$1,),)</f>
        <v/>
      </c>
      <c r="H30" s="26">
        <f>VLOOKUP(B30,'Data yoy'!$A:$AT,MATCH($H$1,'Data yoy'!$A$1:$AT$1,),)</f>
        <v/>
      </c>
      <c r="I30" s="26">
        <f>VLOOKUP(B30,'Data yoy'!$A:$AT,MATCH($I$1,'Data yoy'!$A$1:$AT$1,),)</f>
        <v/>
      </c>
      <c r="J30" s="26">
        <f>VLOOKUP(B30,'Data yoy'!$A:$AT,MATCH($J$1,'Data yoy'!$A$1:$AT$1,),)</f>
        <v/>
      </c>
      <c r="K30" s="26">
        <f>VLOOKUP(B30,'Data yoy'!$A:$AT,MATCH($K$1,'Data yoy'!$A$1:$AT$1,),)</f>
        <v/>
      </c>
      <c r="L30" s="26">
        <f>VLOOKUP(B30,'Data yoy'!$A:$AT,MATCH($L$1,'Data yoy'!$A$1:$AT$1,),)</f>
        <v/>
      </c>
      <c r="M30" s="26">
        <f>VLOOKUP(B30,'Data yoy'!$A:$AT,MATCH($M$1,'Data yoy'!$A$1:$AT$1,),)</f>
        <v/>
      </c>
      <c r="N30" s="26">
        <f>VLOOKUP(B30,'Data yoy'!$A:$AT,MATCH($N$1,'Data yoy'!$A$1:$AT$1,),)</f>
        <v/>
      </c>
      <c r="O30" s="26">
        <f>VLOOKUP(B30,'Data yoy'!$A:$AT,MATCH($C$1,'Data yoy'!$J$1:$AT$1,),)</f>
        <v/>
      </c>
      <c r="P30" s="26">
        <f>VLOOKUP(B30,'Data yoy'!$A:$AT,MATCH($P$1,'Data yoy'!$A$1:$AT$1,),)</f>
        <v/>
      </c>
      <c r="Q30" s="26">
        <f>VLOOKUP(B30,'Data yoy'!$A:$AT,MATCH($Q$1,'Data yoy'!$A$1:$AT$1,),)</f>
        <v/>
      </c>
      <c r="R30" s="26">
        <f>VLOOKUP(B30,'Data yoy'!$A:$AT,MATCH($E$1,'Data yoy'!$A$1:$AT$1,),)</f>
        <v/>
      </c>
      <c r="S30" s="26">
        <f>VLOOKUP(B30,'Data yoy'!$A:$AT,MATCH($S$1,'Data yoy'!$A$1:$AT$1,),)</f>
        <v/>
      </c>
      <c r="T30" s="26">
        <f>VLOOKUP(B30,'Data yoy'!$A:$AT,MATCH($T$1,'Data yoy'!$A$1:$AT$1,),)</f>
        <v/>
      </c>
      <c r="U30" s="26">
        <f>VLOOKUP(B30,'Data yoy'!$A:$AT,MATCH($U$1,'Data yoy'!$A$1:$AT$1,),)</f>
        <v/>
      </c>
      <c r="V30" s="26">
        <f>VLOOKUP(B30,'Data yoy'!$A:$AT,MATCH($V$1,'Data yoy'!$A$1:$AT$1,),)</f>
        <v/>
      </c>
      <c r="W30" s="26">
        <f>VLOOKUP(B30,'Data yoy'!$A:$AT,MATCH($W$1,'Data yoy'!$A$1:$AT$1,),)</f>
        <v/>
      </c>
      <c r="X30" s="26">
        <f>VLOOKUP(B30,'Data yoy'!$A:$AT,MATCH($X$1,'Data yoy'!$A$1:$AT$1,),)</f>
        <v/>
      </c>
      <c r="Y30" s="26">
        <f>VLOOKUP(B30,'Data yoy'!$A:$AT,MATCH($Y$1,'Data yoy'!$A$1:$AT$1,),)</f>
        <v/>
      </c>
      <c r="Z30" s="26">
        <f>VLOOKUP(B30,'Data yoy'!$A:$AU,MATCH($Z$1,'Data yoy'!$A$1:$AU$1,),)</f>
        <v/>
      </c>
      <c r="AA30" s="26">
        <f>VLOOKUP(C30,'Data yoy'!$A:$AU,MATCH($Z$1,'Data yoy'!$A$1:$AU$1,),)</f>
        <v/>
      </c>
      <c r="AB30" s="93" t="n"/>
      <c r="AC30" s="27">
        <f>B30</f>
        <v/>
      </c>
      <c r="AD30" s="28">
        <f>(VLOOKUP(AC30,B:Y,MATCH($AE$6,$B$1:$Y$1,),))</f>
        <v/>
      </c>
      <c r="AE30" s="28">
        <f>(VLOOKUP(AC30,B:Y,MATCH($AE$7,$B$1:$Y$1,),))</f>
        <v/>
      </c>
    </row>
    <row r="31" hidden="1" s="89">
      <c r="B31" s="25" t="inlineStr">
        <is>
          <t>2005-Q1</t>
        </is>
      </c>
      <c r="C31" s="26">
        <f>VLOOKUP(B31,'Data yoy'!$A:$AT,MATCH($C$1,'Data yoy'!$A$1:$AT$1,),)</f>
        <v/>
      </c>
      <c r="D31" s="26">
        <f>VLOOKUP(B31,'Data yoy'!$A:$AT,MATCH($D$1,'Data yoy'!$A$1:$AT$1,),)</f>
        <v/>
      </c>
      <c r="E31" s="26">
        <f>VLOOKUP(B31,'Data yoy'!$A:$AT,MATCH($E$1,'Data yoy'!$A$1:$AT$1,),)</f>
        <v/>
      </c>
      <c r="F31" s="26">
        <f>VLOOKUP(B31,'Data yoy'!$A:$AT,MATCH($F$1,'Data yoy'!$A$1:$AT$1,),)</f>
        <v/>
      </c>
      <c r="G31" s="26">
        <f>VLOOKUP(B31,'Data yoy'!$A:$AT,MATCH($G$1,'Data yoy'!$A$1:$AT$1,),)</f>
        <v/>
      </c>
      <c r="H31" s="26">
        <f>VLOOKUP(B31,'Data yoy'!$A:$AT,MATCH($H$1,'Data yoy'!$A$1:$AT$1,),)</f>
        <v/>
      </c>
      <c r="I31" s="26">
        <f>VLOOKUP(B31,'Data yoy'!$A:$AT,MATCH($I$1,'Data yoy'!$A$1:$AT$1,),)</f>
        <v/>
      </c>
      <c r="J31" s="26">
        <f>VLOOKUP(B31,'Data yoy'!$A:$AT,MATCH($J$1,'Data yoy'!$A$1:$AT$1,),)</f>
        <v/>
      </c>
      <c r="K31" s="26">
        <f>VLOOKUP(B31,'Data yoy'!$A:$AT,MATCH($K$1,'Data yoy'!$A$1:$AT$1,),)</f>
        <v/>
      </c>
      <c r="L31" s="26">
        <f>VLOOKUP(B31,'Data yoy'!$A:$AT,MATCH($L$1,'Data yoy'!$A$1:$AT$1,),)</f>
        <v/>
      </c>
      <c r="M31" s="26">
        <f>VLOOKUP(B31,'Data yoy'!$A:$AT,MATCH($M$1,'Data yoy'!$A$1:$AT$1,),)</f>
        <v/>
      </c>
      <c r="N31" s="26">
        <f>VLOOKUP(B31,'Data yoy'!$A:$AT,MATCH($N$1,'Data yoy'!$A$1:$AT$1,),)</f>
        <v/>
      </c>
      <c r="O31" s="26">
        <f>VLOOKUP(B31,'Data yoy'!$A:$AT,MATCH($C$1,'Data yoy'!$J$1:$AT$1,),)</f>
        <v/>
      </c>
      <c r="P31" s="26">
        <f>VLOOKUP(B31,'Data yoy'!$A:$AT,MATCH($P$1,'Data yoy'!$A$1:$AT$1,),)</f>
        <v/>
      </c>
      <c r="Q31" s="26">
        <f>VLOOKUP(B31,'Data yoy'!$A:$AT,MATCH($Q$1,'Data yoy'!$A$1:$AT$1,),)</f>
        <v/>
      </c>
      <c r="R31" s="26">
        <f>VLOOKUP(B31,'Data yoy'!$A:$AT,MATCH($E$1,'Data yoy'!$A$1:$AT$1,),)</f>
        <v/>
      </c>
      <c r="S31" s="26">
        <f>VLOOKUP(B31,'Data yoy'!$A:$AT,MATCH($S$1,'Data yoy'!$A$1:$AT$1,),)</f>
        <v/>
      </c>
      <c r="T31" s="26">
        <f>VLOOKUP(B31,'Data yoy'!$A:$AT,MATCH($T$1,'Data yoy'!$A$1:$AT$1,),)</f>
        <v/>
      </c>
      <c r="U31" s="26">
        <f>VLOOKUP(B31,'Data yoy'!$A:$AT,MATCH($U$1,'Data yoy'!$A$1:$AT$1,),)</f>
        <v/>
      </c>
      <c r="V31" s="26">
        <f>VLOOKUP(B31,'Data yoy'!$A:$AT,MATCH($V$1,'Data yoy'!$A$1:$AT$1,),)</f>
        <v/>
      </c>
      <c r="W31" s="26">
        <f>VLOOKUP(B31,'Data yoy'!$A:$AT,MATCH($W$1,'Data yoy'!$A$1:$AT$1,),)</f>
        <v/>
      </c>
      <c r="X31" s="26">
        <f>VLOOKUP(B31,'Data yoy'!$A:$AT,MATCH($X$1,'Data yoy'!$A$1:$AT$1,),)</f>
        <v/>
      </c>
      <c r="Y31" s="26">
        <f>VLOOKUP(B31,'Data yoy'!$A:$AT,MATCH($Y$1,'Data yoy'!$A$1:$AT$1,),)</f>
        <v/>
      </c>
      <c r="Z31" s="26">
        <f>VLOOKUP(B31,'Data yoy'!$A:$AU,MATCH($Z$1,'Data yoy'!$A$1:$AU$1,),)</f>
        <v/>
      </c>
      <c r="AA31" s="26">
        <f>VLOOKUP(C31,'Data yoy'!$A:$AU,MATCH($Z$1,'Data yoy'!$A$1:$AU$1,),)</f>
        <v/>
      </c>
      <c r="AB31" s="93" t="n"/>
      <c r="AC31" s="27">
        <f>B31</f>
        <v/>
      </c>
      <c r="AD31" s="28">
        <f>(VLOOKUP(AC31,B:Y,MATCH($AE$6,$B$1:$Y$1,),))</f>
        <v/>
      </c>
      <c r="AE31" s="28">
        <f>(VLOOKUP(AC31,B:Y,MATCH($AE$7,$B$1:$Y$1,),))</f>
        <v/>
      </c>
    </row>
    <row r="32" hidden="1" s="89">
      <c r="B32" s="25" t="inlineStr">
        <is>
          <t>2005-Q2</t>
        </is>
      </c>
      <c r="C32" s="26">
        <f>VLOOKUP(B32,'Data yoy'!$A:$AT,MATCH($C$1,'Data yoy'!$A$1:$AT$1,),)</f>
        <v/>
      </c>
      <c r="D32" s="26">
        <f>VLOOKUP(B32,'Data yoy'!$A:$AT,MATCH($D$1,'Data yoy'!$A$1:$AT$1,),)</f>
        <v/>
      </c>
      <c r="E32" s="26">
        <f>VLOOKUP(B32,'Data yoy'!$A:$AT,MATCH($E$1,'Data yoy'!$A$1:$AT$1,),)</f>
        <v/>
      </c>
      <c r="F32" s="26">
        <f>VLOOKUP(B32,'Data yoy'!$A:$AT,MATCH($F$1,'Data yoy'!$A$1:$AT$1,),)</f>
        <v/>
      </c>
      <c r="G32" s="26">
        <f>VLOOKUP(B32,'Data yoy'!$A:$AT,MATCH($G$1,'Data yoy'!$A$1:$AT$1,),)</f>
        <v/>
      </c>
      <c r="H32" s="26">
        <f>VLOOKUP(B32,'Data yoy'!$A:$AT,MATCH($H$1,'Data yoy'!$A$1:$AT$1,),)</f>
        <v/>
      </c>
      <c r="I32" s="26">
        <f>VLOOKUP(B32,'Data yoy'!$A:$AT,MATCH($I$1,'Data yoy'!$A$1:$AT$1,),)</f>
        <v/>
      </c>
      <c r="J32" s="26">
        <f>VLOOKUP(B32,'Data yoy'!$A:$AT,MATCH($J$1,'Data yoy'!$A$1:$AT$1,),)</f>
        <v/>
      </c>
      <c r="K32" s="26">
        <f>VLOOKUP(B32,'Data yoy'!$A:$AT,MATCH($K$1,'Data yoy'!$A$1:$AT$1,),)</f>
        <v/>
      </c>
      <c r="L32" s="26">
        <f>VLOOKUP(B32,'Data yoy'!$A:$AT,MATCH($L$1,'Data yoy'!$A$1:$AT$1,),)</f>
        <v/>
      </c>
      <c r="M32" s="26">
        <f>VLOOKUP(B32,'Data yoy'!$A:$AT,MATCH($M$1,'Data yoy'!$A$1:$AT$1,),)</f>
        <v/>
      </c>
      <c r="N32" s="26">
        <f>VLOOKUP(B32,'Data yoy'!$A:$AT,MATCH($N$1,'Data yoy'!$A$1:$AT$1,),)</f>
        <v/>
      </c>
      <c r="O32" s="26">
        <f>VLOOKUP(B32,'Data yoy'!$A:$AT,MATCH($C$1,'Data yoy'!$J$1:$AT$1,),)</f>
        <v/>
      </c>
      <c r="P32" s="26">
        <f>VLOOKUP(B32,'Data yoy'!$A:$AT,MATCH($P$1,'Data yoy'!$A$1:$AT$1,),)</f>
        <v/>
      </c>
      <c r="Q32" s="26">
        <f>VLOOKUP(B32,'Data yoy'!$A:$AT,MATCH($Q$1,'Data yoy'!$A$1:$AT$1,),)</f>
        <v/>
      </c>
      <c r="R32" s="26">
        <f>VLOOKUP(B32,'Data yoy'!$A:$AT,MATCH($E$1,'Data yoy'!$A$1:$AT$1,),)</f>
        <v/>
      </c>
      <c r="S32" s="26">
        <f>VLOOKUP(B32,'Data yoy'!$A:$AT,MATCH($S$1,'Data yoy'!$A$1:$AT$1,),)</f>
        <v/>
      </c>
      <c r="T32" s="26">
        <f>VLOOKUP(B32,'Data yoy'!$A:$AT,MATCH($T$1,'Data yoy'!$A$1:$AT$1,),)</f>
        <v/>
      </c>
      <c r="U32" s="26">
        <f>VLOOKUP(B32,'Data yoy'!$A:$AT,MATCH($U$1,'Data yoy'!$A$1:$AT$1,),)</f>
        <v/>
      </c>
      <c r="V32" s="26">
        <f>VLOOKUP(B32,'Data yoy'!$A:$AT,MATCH($V$1,'Data yoy'!$A$1:$AT$1,),)</f>
        <v/>
      </c>
      <c r="W32" s="26">
        <f>VLOOKUP(B32,'Data yoy'!$A:$AT,MATCH($W$1,'Data yoy'!$A$1:$AT$1,),)</f>
        <v/>
      </c>
      <c r="X32" s="26">
        <f>VLOOKUP(B32,'Data yoy'!$A:$AT,MATCH($X$1,'Data yoy'!$A$1:$AT$1,),)</f>
        <v/>
      </c>
      <c r="Y32" s="26">
        <f>VLOOKUP(B32,'Data yoy'!$A:$AT,MATCH($Y$1,'Data yoy'!$A$1:$AT$1,),)</f>
        <v/>
      </c>
      <c r="Z32" s="26">
        <f>VLOOKUP(B32,'Data yoy'!$A:$AU,MATCH($Z$1,'Data yoy'!$A$1:$AU$1,),)</f>
        <v/>
      </c>
      <c r="AA32" s="26">
        <f>VLOOKUP(C32,'Data yoy'!$A:$AU,MATCH($Z$1,'Data yoy'!$A$1:$AU$1,),)</f>
        <v/>
      </c>
      <c r="AB32" s="93" t="n"/>
      <c r="AC32" s="27">
        <f>B32</f>
        <v/>
      </c>
      <c r="AD32" s="28">
        <f>(VLOOKUP(AC32,B:Y,MATCH($AE$6,$B$1:$Y$1,),))</f>
        <v/>
      </c>
      <c r="AE32" s="28">
        <f>(VLOOKUP(AC32,B:Y,MATCH($AE$7,$B$1:$Y$1,),))</f>
        <v/>
      </c>
    </row>
    <row r="33" hidden="1" s="89">
      <c r="B33" s="25" t="inlineStr">
        <is>
          <t>2005-Q3</t>
        </is>
      </c>
      <c r="C33" s="26">
        <f>VLOOKUP(B33,'Data yoy'!$A:$AT,MATCH($C$1,'Data yoy'!$A$1:$AT$1,),)</f>
        <v/>
      </c>
      <c r="D33" s="26">
        <f>VLOOKUP(B33,'Data yoy'!$A:$AT,MATCH($D$1,'Data yoy'!$A$1:$AT$1,),)</f>
        <v/>
      </c>
      <c r="E33" s="26">
        <f>VLOOKUP(B33,'Data yoy'!$A:$AT,MATCH($E$1,'Data yoy'!$A$1:$AT$1,),)</f>
        <v/>
      </c>
      <c r="F33" s="26">
        <f>VLOOKUP(B33,'Data yoy'!$A:$AT,MATCH($F$1,'Data yoy'!$A$1:$AT$1,),)</f>
        <v/>
      </c>
      <c r="G33" s="26">
        <f>VLOOKUP(B33,'Data yoy'!$A:$AT,MATCH($G$1,'Data yoy'!$A$1:$AT$1,),)</f>
        <v/>
      </c>
      <c r="H33" s="26">
        <f>VLOOKUP(B33,'Data yoy'!$A:$AT,MATCH($H$1,'Data yoy'!$A$1:$AT$1,),)</f>
        <v/>
      </c>
      <c r="I33" s="26">
        <f>VLOOKUP(B33,'Data yoy'!$A:$AT,MATCH($I$1,'Data yoy'!$A$1:$AT$1,),)</f>
        <v/>
      </c>
      <c r="J33" s="26">
        <f>VLOOKUP(B33,'Data yoy'!$A:$AT,MATCH($J$1,'Data yoy'!$A$1:$AT$1,),)</f>
        <v/>
      </c>
      <c r="K33" s="26">
        <f>VLOOKUP(B33,'Data yoy'!$A:$AT,MATCH($K$1,'Data yoy'!$A$1:$AT$1,),)</f>
        <v/>
      </c>
      <c r="L33" s="26">
        <f>VLOOKUP(B33,'Data yoy'!$A:$AT,MATCH($L$1,'Data yoy'!$A$1:$AT$1,),)</f>
        <v/>
      </c>
      <c r="M33" s="26">
        <f>VLOOKUP(B33,'Data yoy'!$A:$AT,MATCH($M$1,'Data yoy'!$A$1:$AT$1,),)</f>
        <v/>
      </c>
      <c r="N33" s="26">
        <f>VLOOKUP(B33,'Data yoy'!$A:$AT,MATCH($N$1,'Data yoy'!$A$1:$AT$1,),)</f>
        <v/>
      </c>
      <c r="O33" s="26">
        <f>VLOOKUP(B33,'Data yoy'!$A:$AT,MATCH($C$1,'Data yoy'!$J$1:$AT$1,),)</f>
        <v/>
      </c>
      <c r="P33" s="26">
        <f>VLOOKUP(B33,'Data yoy'!$A:$AT,MATCH($P$1,'Data yoy'!$A$1:$AT$1,),)</f>
        <v/>
      </c>
      <c r="Q33" s="26">
        <f>VLOOKUP(B33,'Data yoy'!$A:$AT,MATCH($Q$1,'Data yoy'!$A$1:$AT$1,),)</f>
        <v/>
      </c>
      <c r="R33" s="26">
        <f>VLOOKUP(B33,'Data yoy'!$A:$AT,MATCH($E$1,'Data yoy'!$A$1:$AT$1,),)</f>
        <v/>
      </c>
      <c r="S33" s="26">
        <f>VLOOKUP(B33,'Data yoy'!$A:$AT,MATCH($S$1,'Data yoy'!$A$1:$AT$1,),)</f>
        <v/>
      </c>
      <c r="T33" s="26">
        <f>VLOOKUP(B33,'Data yoy'!$A:$AT,MATCH($T$1,'Data yoy'!$A$1:$AT$1,),)</f>
        <v/>
      </c>
      <c r="U33" s="26">
        <f>VLOOKUP(B33,'Data yoy'!$A:$AT,MATCH($U$1,'Data yoy'!$A$1:$AT$1,),)</f>
        <v/>
      </c>
      <c r="V33" s="26">
        <f>VLOOKUP(B33,'Data yoy'!$A:$AT,MATCH($V$1,'Data yoy'!$A$1:$AT$1,),)</f>
        <v/>
      </c>
      <c r="W33" s="26">
        <f>VLOOKUP(B33,'Data yoy'!$A:$AT,MATCH($W$1,'Data yoy'!$A$1:$AT$1,),)</f>
        <v/>
      </c>
      <c r="X33" s="26">
        <f>VLOOKUP(B33,'Data yoy'!$A:$AT,MATCH($X$1,'Data yoy'!$A$1:$AT$1,),)</f>
        <v/>
      </c>
      <c r="Y33" s="26">
        <f>VLOOKUP(B33,'Data yoy'!$A:$AT,MATCH($Y$1,'Data yoy'!$A$1:$AT$1,),)</f>
        <v/>
      </c>
      <c r="Z33" s="26">
        <f>VLOOKUP(B33,'Data yoy'!$A:$AU,MATCH($Z$1,'Data yoy'!$A$1:$AU$1,),)</f>
        <v/>
      </c>
      <c r="AA33" s="26">
        <f>VLOOKUP(C33,'Data yoy'!$A:$AU,MATCH($Z$1,'Data yoy'!$A$1:$AU$1,),)</f>
        <v/>
      </c>
      <c r="AB33" s="93" t="n"/>
      <c r="AC33" s="27">
        <f>B33</f>
        <v/>
      </c>
      <c r="AD33" s="28">
        <f>(VLOOKUP(AC33,B:Y,MATCH($AE$6,$B$1:$Y$1,),))</f>
        <v/>
      </c>
      <c r="AE33" s="28">
        <f>(VLOOKUP(AC33,B:Y,MATCH($AE$7,$B$1:$Y$1,),))</f>
        <v/>
      </c>
    </row>
    <row r="34" hidden="1" s="89">
      <c r="B34" s="25" t="inlineStr">
        <is>
          <t>2005-Q4</t>
        </is>
      </c>
      <c r="C34" s="26">
        <f>VLOOKUP(B34,'Data yoy'!$A:$AT,MATCH($C$1,'Data yoy'!$A$1:$AT$1,),)</f>
        <v/>
      </c>
      <c r="D34" s="26">
        <f>VLOOKUP(B34,'Data yoy'!$A:$AT,MATCH($D$1,'Data yoy'!$A$1:$AT$1,),)</f>
        <v/>
      </c>
      <c r="E34" s="26">
        <f>VLOOKUP(B34,'Data yoy'!$A:$AT,MATCH($E$1,'Data yoy'!$A$1:$AT$1,),)</f>
        <v/>
      </c>
      <c r="F34" s="26">
        <f>VLOOKUP(B34,'Data yoy'!$A:$AT,MATCH($F$1,'Data yoy'!$A$1:$AT$1,),)</f>
        <v/>
      </c>
      <c r="G34" s="26">
        <f>VLOOKUP(B34,'Data yoy'!$A:$AT,MATCH($G$1,'Data yoy'!$A$1:$AT$1,),)</f>
        <v/>
      </c>
      <c r="H34" s="26">
        <f>VLOOKUP(B34,'Data yoy'!$A:$AT,MATCH($H$1,'Data yoy'!$A$1:$AT$1,),)</f>
        <v/>
      </c>
      <c r="I34" s="26">
        <f>VLOOKUP(B34,'Data yoy'!$A:$AT,MATCH($I$1,'Data yoy'!$A$1:$AT$1,),)</f>
        <v/>
      </c>
      <c r="J34" s="26">
        <f>VLOOKUP(B34,'Data yoy'!$A:$AT,MATCH($J$1,'Data yoy'!$A$1:$AT$1,),)</f>
        <v/>
      </c>
      <c r="K34" s="26">
        <f>VLOOKUP(B34,'Data yoy'!$A:$AT,MATCH($K$1,'Data yoy'!$A$1:$AT$1,),)</f>
        <v/>
      </c>
      <c r="L34" s="26">
        <f>VLOOKUP(B34,'Data yoy'!$A:$AT,MATCH($L$1,'Data yoy'!$A$1:$AT$1,),)</f>
        <v/>
      </c>
      <c r="M34" s="26">
        <f>VLOOKUP(B34,'Data yoy'!$A:$AT,MATCH($M$1,'Data yoy'!$A$1:$AT$1,),)</f>
        <v/>
      </c>
      <c r="N34" s="26">
        <f>VLOOKUP(B34,'Data yoy'!$A:$AT,MATCH($N$1,'Data yoy'!$A$1:$AT$1,),)</f>
        <v/>
      </c>
      <c r="O34" s="26">
        <f>VLOOKUP(B34,'Data yoy'!$A:$AT,MATCH($C$1,'Data yoy'!$J$1:$AT$1,),)</f>
        <v/>
      </c>
      <c r="P34" s="26">
        <f>VLOOKUP(B34,'Data yoy'!$A:$AT,MATCH($P$1,'Data yoy'!$A$1:$AT$1,),)</f>
        <v/>
      </c>
      <c r="Q34" s="26">
        <f>VLOOKUP(B34,'Data yoy'!$A:$AT,MATCH($Q$1,'Data yoy'!$A$1:$AT$1,),)</f>
        <v/>
      </c>
      <c r="R34" s="26">
        <f>VLOOKUP(B34,'Data yoy'!$A:$AT,MATCH($E$1,'Data yoy'!$A$1:$AT$1,),)</f>
        <v/>
      </c>
      <c r="S34" s="26">
        <f>VLOOKUP(B34,'Data yoy'!$A:$AT,MATCH($S$1,'Data yoy'!$A$1:$AT$1,),)</f>
        <v/>
      </c>
      <c r="T34" s="26">
        <f>VLOOKUP(B34,'Data yoy'!$A:$AT,MATCH($T$1,'Data yoy'!$A$1:$AT$1,),)</f>
        <v/>
      </c>
      <c r="U34" s="26">
        <f>VLOOKUP(B34,'Data yoy'!$A:$AT,MATCH($U$1,'Data yoy'!$A$1:$AT$1,),)</f>
        <v/>
      </c>
      <c r="V34" s="26">
        <f>VLOOKUP(B34,'Data yoy'!$A:$AT,MATCH($V$1,'Data yoy'!$A$1:$AT$1,),)</f>
        <v/>
      </c>
      <c r="W34" s="26">
        <f>VLOOKUP(B34,'Data yoy'!$A:$AT,MATCH($W$1,'Data yoy'!$A$1:$AT$1,),)</f>
        <v/>
      </c>
      <c r="X34" s="26">
        <f>VLOOKUP(B34,'Data yoy'!$A:$AT,MATCH($X$1,'Data yoy'!$A$1:$AT$1,),)</f>
        <v/>
      </c>
      <c r="Y34" s="26">
        <f>VLOOKUP(B34,'Data yoy'!$A:$AT,MATCH($Y$1,'Data yoy'!$A$1:$AT$1,),)</f>
        <v/>
      </c>
      <c r="Z34" s="26">
        <f>VLOOKUP(B34,'Data yoy'!$A:$AU,MATCH($Z$1,'Data yoy'!$A$1:$AU$1,),)</f>
        <v/>
      </c>
      <c r="AA34" s="26">
        <f>VLOOKUP(C34,'Data yoy'!$A:$AU,MATCH($Z$1,'Data yoy'!$A$1:$AU$1,),)</f>
        <v/>
      </c>
      <c r="AB34" s="93" t="n"/>
      <c r="AC34" s="27">
        <f>B34</f>
        <v/>
      </c>
      <c r="AD34" s="28">
        <f>(VLOOKUP(AC34,B:Y,MATCH($AE$6,$B$1:$Y$1,),))</f>
        <v/>
      </c>
      <c r="AE34" s="28">
        <f>(VLOOKUP(AC34,B:Y,MATCH($AE$7,$B$1:$Y$1,),))</f>
        <v/>
      </c>
    </row>
    <row r="35" hidden="1" s="89">
      <c r="B35" s="25" t="inlineStr">
        <is>
          <t>2006-Q1</t>
        </is>
      </c>
      <c r="C35" s="26">
        <f>VLOOKUP(B35,'Data yoy'!$A:$AT,MATCH($C$1,'Data yoy'!$A$1:$AT$1,),)</f>
        <v/>
      </c>
      <c r="D35" s="26">
        <f>VLOOKUP(B35,'Data yoy'!$A:$AT,MATCH($D$1,'Data yoy'!$A$1:$AT$1,),)</f>
        <v/>
      </c>
      <c r="E35" s="26">
        <f>VLOOKUP(B35,'Data yoy'!$A:$AT,MATCH($E$1,'Data yoy'!$A$1:$AT$1,),)</f>
        <v/>
      </c>
      <c r="F35" s="26">
        <f>VLOOKUP(B35,'Data yoy'!$A:$AT,MATCH($F$1,'Data yoy'!$A$1:$AT$1,),)</f>
        <v/>
      </c>
      <c r="G35" s="26">
        <f>VLOOKUP(B35,'Data yoy'!$A:$AT,MATCH($G$1,'Data yoy'!$A$1:$AT$1,),)</f>
        <v/>
      </c>
      <c r="H35" s="26">
        <f>VLOOKUP(B35,'Data yoy'!$A:$AT,MATCH($H$1,'Data yoy'!$A$1:$AT$1,),)</f>
        <v/>
      </c>
      <c r="I35" s="26">
        <f>VLOOKUP(B35,'Data yoy'!$A:$AT,MATCH($I$1,'Data yoy'!$A$1:$AT$1,),)</f>
        <v/>
      </c>
      <c r="J35" s="26">
        <f>VLOOKUP(B35,'Data yoy'!$A:$AT,MATCH($J$1,'Data yoy'!$A$1:$AT$1,),)</f>
        <v/>
      </c>
      <c r="K35" s="26">
        <f>VLOOKUP(B35,'Data yoy'!$A:$AT,MATCH($K$1,'Data yoy'!$A$1:$AT$1,),)</f>
        <v/>
      </c>
      <c r="L35" s="26">
        <f>VLOOKUP(B35,'Data yoy'!$A:$AT,MATCH($L$1,'Data yoy'!$A$1:$AT$1,),)</f>
        <v/>
      </c>
      <c r="M35" s="26">
        <f>VLOOKUP(B35,'Data yoy'!$A:$AT,MATCH($M$1,'Data yoy'!$A$1:$AT$1,),)</f>
        <v/>
      </c>
      <c r="N35" s="26">
        <f>VLOOKUP(B35,'Data yoy'!$A:$AT,MATCH($N$1,'Data yoy'!$A$1:$AT$1,),)</f>
        <v/>
      </c>
      <c r="O35" s="26">
        <f>VLOOKUP(B35,'Data yoy'!$A:$AT,MATCH($C$1,'Data yoy'!$J$1:$AT$1,),)</f>
        <v/>
      </c>
      <c r="P35" s="26">
        <f>VLOOKUP(B35,'Data yoy'!$A:$AT,MATCH($P$1,'Data yoy'!$A$1:$AT$1,),)</f>
        <v/>
      </c>
      <c r="Q35" s="26">
        <f>VLOOKUP(B35,'Data yoy'!$A:$AT,MATCH($Q$1,'Data yoy'!$A$1:$AT$1,),)</f>
        <v/>
      </c>
      <c r="R35" s="26">
        <f>VLOOKUP(B35,'Data yoy'!$A:$AT,MATCH($E$1,'Data yoy'!$A$1:$AT$1,),)</f>
        <v/>
      </c>
      <c r="S35" s="26">
        <f>VLOOKUP(B35,'Data yoy'!$A:$AT,MATCH($S$1,'Data yoy'!$A$1:$AT$1,),)</f>
        <v/>
      </c>
      <c r="T35" s="26">
        <f>VLOOKUP(B35,'Data yoy'!$A:$AT,MATCH($T$1,'Data yoy'!$A$1:$AT$1,),)</f>
        <v/>
      </c>
      <c r="U35" s="26">
        <f>VLOOKUP(B35,'Data yoy'!$A:$AT,MATCH($U$1,'Data yoy'!$A$1:$AT$1,),)</f>
        <v/>
      </c>
      <c r="V35" s="26">
        <f>VLOOKUP(B35,'Data yoy'!$A:$AT,MATCH($V$1,'Data yoy'!$A$1:$AT$1,),)</f>
        <v/>
      </c>
      <c r="W35" s="26">
        <f>VLOOKUP(B35,'Data yoy'!$A:$AT,MATCH($W$1,'Data yoy'!$A$1:$AT$1,),)</f>
        <v/>
      </c>
      <c r="X35" s="26">
        <f>VLOOKUP(B35,'Data yoy'!$A:$AT,MATCH($X$1,'Data yoy'!$A$1:$AT$1,),)</f>
        <v/>
      </c>
      <c r="Y35" s="26">
        <f>VLOOKUP(B35,'Data yoy'!$A:$AT,MATCH($Y$1,'Data yoy'!$A$1:$AT$1,),)</f>
        <v/>
      </c>
      <c r="Z35" s="26">
        <f>VLOOKUP(B35,'Data yoy'!$A:$AU,MATCH($Z$1,'Data yoy'!$A$1:$AU$1,),)</f>
        <v/>
      </c>
      <c r="AA35" s="26">
        <f>VLOOKUP(C35,'Data yoy'!$A:$AU,MATCH($Z$1,'Data yoy'!$A$1:$AU$1,),)</f>
        <v/>
      </c>
      <c r="AB35" s="93" t="n"/>
      <c r="AC35" s="27">
        <f>B35</f>
        <v/>
      </c>
      <c r="AD35" s="28">
        <f>(VLOOKUP(AC35,B:Y,MATCH($AE$6,$B$1:$Y$1,),))</f>
        <v/>
      </c>
      <c r="AE35" s="28">
        <f>(VLOOKUP(AC35,B:Y,MATCH($AE$7,$B$1:$Y$1,),))</f>
        <v/>
      </c>
    </row>
    <row r="36" hidden="1" s="89">
      <c r="B36" s="25" t="inlineStr">
        <is>
          <t>2006-Q2</t>
        </is>
      </c>
      <c r="C36" s="26">
        <f>VLOOKUP(B36,'Data yoy'!$A:$AT,MATCH($C$1,'Data yoy'!$A$1:$AT$1,),)</f>
        <v/>
      </c>
      <c r="D36" s="26">
        <f>VLOOKUP(B36,'Data yoy'!$A:$AT,MATCH($D$1,'Data yoy'!$A$1:$AT$1,),)</f>
        <v/>
      </c>
      <c r="E36" s="26">
        <f>VLOOKUP(B36,'Data yoy'!$A:$AT,MATCH($E$1,'Data yoy'!$A$1:$AT$1,),)</f>
        <v/>
      </c>
      <c r="F36" s="26">
        <f>VLOOKUP(B36,'Data yoy'!$A:$AT,MATCH($F$1,'Data yoy'!$A$1:$AT$1,),)</f>
        <v/>
      </c>
      <c r="G36" s="26">
        <f>VLOOKUP(B36,'Data yoy'!$A:$AT,MATCH($G$1,'Data yoy'!$A$1:$AT$1,),)</f>
        <v/>
      </c>
      <c r="H36" s="26">
        <f>VLOOKUP(B36,'Data yoy'!$A:$AT,MATCH($H$1,'Data yoy'!$A$1:$AT$1,),)</f>
        <v/>
      </c>
      <c r="I36" s="26">
        <f>VLOOKUP(B36,'Data yoy'!$A:$AT,MATCH($I$1,'Data yoy'!$A$1:$AT$1,),)</f>
        <v/>
      </c>
      <c r="J36" s="26">
        <f>VLOOKUP(B36,'Data yoy'!$A:$AT,MATCH($J$1,'Data yoy'!$A$1:$AT$1,),)</f>
        <v/>
      </c>
      <c r="K36" s="26">
        <f>VLOOKUP(B36,'Data yoy'!$A:$AT,MATCH($K$1,'Data yoy'!$A$1:$AT$1,),)</f>
        <v/>
      </c>
      <c r="L36" s="26">
        <f>VLOOKUP(B36,'Data yoy'!$A:$AT,MATCH($L$1,'Data yoy'!$A$1:$AT$1,),)</f>
        <v/>
      </c>
      <c r="M36" s="26">
        <f>VLOOKUP(B36,'Data yoy'!$A:$AT,MATCH($M$1,'Data yoy'!$A$1:$AT$1,),)</f>
        <v/>
      </c>
      <c r="N36" s="26">
        <f>VLOOKUP(B36,'Data yoy'!$A:$AT,MATCH($N$1,'Data yoy'!$A$1:$AT$1,),)</f>
        <v/>
      </c>
      <c r="O36" s="26">
        <f>VLOOKUP(B36,'Data yoy'!$A:$AT,MATCH($C$1,'Data yoy'!$J$1:$AT$1,),)</f>
        <v/>
      </c>
      <c r="P36" s="26">
        <f>VLOOKUP(B36,'Data yoy'!$A:$AT,MATCH($P$1,'Data yoy'!$A$1:$AT$1,),)</f>
        <v/>
      </c>
      <c r="Q36" s="26">
        <f>VLOOKUP(B36,'Data yoy'!$A:$AT,MATCH($Q$1,'Data yoy'!$A$1:$AT$1,),)</f>
        <v/>
      </c>
      <c r="R36" s="26">
        <f>VLOOKUP(B36,'Data yoy'!$A:$AT,MATCH($E$1,'Data yoy'!$A$1:$AT$1,),)</f>
        <v/>
      </c>
      <c r="S36" s="26">
        <f>VLOOKUP(B36,'Data yoy'!$A:$AT,MATCH($S$1,'Data yoy'!$A$1:$AT$1,),)</f>
        <v/>
      </c>
      <c r="T36" s="26">
        <f>VLOOKUP(B36,'Data yoy'!$A:$AT,MATCH($T$1,'Data yoy'!$A$1:$AT$1,),)</f>
        <v/>
      </c>
      <c r="U36" s="26">
        <f>VLOOKUP(B36,'Data yoy'!$A:$AT,MATCH($U$1,'Data yoy'!$A$1:$AT$1,),)</f>
        <v/>
      </c>
      <c r="V36" s="26">
        <f>VLOOKUP(B36,'Data yoy'!$A:$AT,MATCH($V$1,'Data yoy'!$A$1:$AT$1,),)</f>
        <v/>
      </c>
      <c r="W36" s="26">
        <f>VLOOKUP(B36,'Data yoy'!$A:$AT,MATCH($W$1,'Data yoy'!$A$1:$AT$1,),)</f>
        <v/>
      </c>
      <c r="X36" s="26">
        <f>VLOOKUP(B36,'Data yoy'!$A:$AT,MATCH($X$1,'Data yoy'!$A$1:$AT$1,),)</f>
        <v/>
      </c>
      <c r="Y36" s="26">
        <f>VLOOKUP(B36,'Data yoy'!$A:$AT,MATCH($Y$1,'Data yoy'!$A$1:$AT$1,),)</f>
        <v/>
      </c>
      <c r="Z36" s="26">
        <f>VLOOKUP(B36,'Data yoy'!$A:$AU,MATCH($Z$1,'Data yoy'!$A$1:$AU$1,),)</f>
        <v/>
      </c>
      <c r="AA36" s="26">
        <f>VLOOKUP(C36,'Data yoy'!$A:$AU,MATCH($Z$1,'Data yoy'!$A$1:$AU$1,),)</f>
        <v/>
      </c>
      <c r="AB36" s="93" t="n"/>
      <c r="AC36" s="27">
        <f>B36</f>
        <v/>
      </c>
      <c r="AD36" s="28">
        <f>(VLOOKUP(AC36,B:Y,MATCH($AE$6,$B$1:$Y$1,),))</f>
        <v/>
      </c>
      <c r="AE36" s="28">
        <f>(VLOOKUP(AC36,B:Y,MATCH($AE$7,$B$1:$Y$1,),))</f>
        <v/>
      </c>
    </row>
    <row r="37" hidden="1" s="89">
      <c r="B37" s="25" t="inlineStr">
        <is>
          <t>2006-Q3</t>
        </is>
      </c>
      <c r="C37" s="26">
        <f>VLOOKUP(B37,'Data yoy'!$A:$AT,MATCH($C$1,'Data yoy'!$A$1:$AT$1,),)</f>
        <v/>
      </c>
      <c r="D37" s="26">
        <f>VLOOKUP(B37,'Data yoy'!$A:$AT,MATCH($D$1,'Data yoy'!$A$1:$AT$1,),)</f>
        <v/>
      </c>
      <c r="E37" s="26">
        <f>VLOOKUP(B37,'Data yoy'!$A:$AT,MATCH($E$1,'Data yoy'!$A$1:$AT$1,),)</f>
        <v/>
      </c>
      <c r="F37" s="26">
        <f>VLOOKUP(B37,'Data yoy'!$A:$AT,MATCH($F$1,'Data yoy'!$A$1:$AT$1,),)</f>
        <v/>
      </c>
      <c r="G37" s="26">
        <f>VLOOKUP(B37,'Data yoy'!$A:$AT,MATCH($G$1,'Data yoy'!$A$1:$AT$1,),)</f>
        <v/>
      </c>
      <c r="H37" s="26">
        <f>VLOOKUP(B37,'Data yoy'!$A:$AT,MATCH($H$1,'Data yoy'!$A$1:$AT$1,),)</f>
        <v/>
      </c>
      <c r="I37" s="26">
        <f>VLOOKUP(B37,'Data yoy'!$A:$AT,MATCH($I$1,'Data yoy'!$A$1:$AT$1,),)</f>
        <v/>
      </c>
      <c r="J37" s="26">
        <f>VLOOKUP(B37,'Data yoy'!$A:$AT,MATCH($J$1,'Data yoy'!$A$1:$AT$1,),)</f>
        <v/>
      </c>
      <c r="K37" s="26">
        <f>VLOOKUP(B37,'Data yoy'!$A:$AT,MATCH($K$1,'Data yoy'!$A$1:$AT$1,),)</f>
        <v/>
      </c>
      <c r="L37" s="26">
        <f>VLOOKUP(B37,'Data yoy'!$A:$AT,MATCH($L$1,'Data yoy'!$A$1:$AT$1,),)</f>
        <v/>
      </c>
      <c r="M37" s="26">
        <f>VLOOKUP(B37,'Data yoy'!$A:$AT,MATCH($M$1,'Data yoy'!$A$1:$AT$1,),)</f>
        <v/>
      </c>
      <c r="N37" s="26">
        <f>VLOOKUP(B37,'Data yoy'!$A:$AT,MATCH($N$1,'Data yoy'!$A$1:$AT$1,),)</f>
        <v/>
      </c>
      <c r="O37" s="26">
        <f>VLOOKUP(B37,'Data yoy'!$A:$AT,MATCH($C$1,'Data yoy'!$J$1:$AT$1,),)</f>
        <v/>
      </c>
      <c r="P37" s="26">
        <f>VLOOKUP(B37,'Data yoy'!$A:$AT,MATCH($P$1,'Data yoy'!$A$1:$AT$1,),)</f>
        <v/>
      </c>
      <c r="Q37" s="26">
        <f>VLOOKUP(B37,'Data yoy'!$A:$AT,MATCH($Q$1,'Data yoy'!$A$1:$AT$1,),)</f>
        <v/>
      </c>
      <c r="R37" s="26">
        <f>VLOOKUP(B37,'Data yoy'!$A:$AT,MATCH($E$1,'Data yoy'!$A$1:$AT$1,),)</f>
        <v/>
      </c>
      <c r="S37" s="26">
        <f>VLOOKUP(B37,'Data yoy'!$A:$AT,MATCH($S$1,'Data yoy'!$A$1:$AT$1,),)</f>
        <v/>
      </c>
      <c r="T37" s="26">
        <f>VLOOKUP(B37,'Data yoy'!$A:$AT,MATCH($T$1,'Data yoy'!$A$1:$AT$1,),)</f>
        <v/>
      </c>
      <c r="U37" s="26">
        <f>VLOOKUP(B37,'Data yoy'!$A:$AT,MATCH($U$1,'Data yoy'!$A$1:$AT$1,),)</f>
        <v/>
      </c>
      <c r="V37" s="26">
        <f>VLOOKUP(B37,'Data yoy'!$A:$AT,MATCH($V$1,'Data yoy'!$A$1:$AT$1,),)</f>
        <v/>
      </c>
      <c r="W37" s="26">
        <f>VLOOKUP(B37,'Data yoy'!$A:$AT,MATCH($W$1,'Data yoy'!$A$1:$AT$1,),)</f>
        <v/>
      </c>
      <c r="X37" s="26">
        <f>VLOOKUP(B37,'Data yoy'!$A:$AT,MATCH($X$1,'Data yoy'!$A$1:$AT$1,),)</f>
        <v/>
      </c>
      <c r="Y37" s="26">
        <f>VLOOKUP(B37,'Data yoy'!$A:$AT,MATCH($Y$1,'Data yoy'!$A$1:$AT$1,),)</f>
        <v/>
      </c>
      <c r="Z37" s="26">
        <f>VLOOKUP(B37,'Data yoy'!$A:$AU,MATCH($Z$1,'Data yoy'!$A$1:$AU$1,),)</f>
        <v/>
      </c>
      <c r="AA37" s="26">
        <f>VLOOKUP(C37,'Data yoy'!$A:$AU,MATCH($Z$1,'Data yoy'!$A$1:$AU$1,),)</f>
        <v/>
      </c>
      <c r="AB37" s="93" t="n"/>
      <c r="AC37" s="27">
        <f>B37</f>
        <v/>
      </c>
      <c r="AD37" s="28">
        <f>(VLOOKUP(AC37,B:Y,MATCH($AE$6,$B$1:$Y$1,),))</f>
        <v/>
      </c>
      <c r="AE37" s="28">
        <f>(VLOOKUP(AC37,B:Y,MATCH($AE$7,$B$1:$Y$1,),))</f>
        <v/>
      </c>
    </row>
    <row r="38" hidden="1" s="89">
      <c r="B38" s="25" t="inlineStr">
        <is>
          <t>2006-Q4</t>
        </is>
      </c>
      <c r="C38" s="26">
        <f>VLOOKUP(B38,'Data yoy'!$A:$AT,MATCH($C$1,'Data yoy'!$A$1:$AT$1,),)</f>
        <v/>
      </c>
      <c r="D38" s="26">
        <f>VLOOKUP(B38,'Data yoy'!$A:$AT,MATCH($D$1,'Data yoy'!$A$1:$AT$1,),)</f>
        <v/>
      </c>
      <c r="E38" s="26">
        <f>VLOOKUP(B38,'Data yoy'!$A:$AT,MATCH($E$1,'Data yoy'!$A$1:$AT$1,),)</f>
        <v/>
      </c>
      <c r="F38" s="26">
        <f>VLOOKUP(B38,'Data yoy'!$A:$AT,MATCH($F$1,'Data yoy'!$A$1:$AT$1,),)</f>
        <v/>
      </c>
      <c r="G38" s="26">
        <f>VLOOKUP(B38,'Data yoy'!$A:$AT,MATCH($G$1,'Data yoy'!$A$1:$AT$1,),)</f>
        <v/>
      </c>
      <c r="H38" s="26">
        <f>VLOOKUP(B38,'Data yoy'!$A:$AT,MATCH($H$1,'Data yoy'!$A$1:$AT$1,),)</f>
        <v/>
      </c>
      <c r="I38" s="26">
        <f>VLOOKUP(B38,'Data yoy'!$A:$AT,MATCH($I$1,'Data yoy'!$A$1:$AT$1,),)</f>
        <v/>
      </c>
      <c r="J38" s="26">
        <f>VLOOKUP(B38,'Data yoy'!$A:$AT,MATCH($J$1,'Data yoy'!$A$1:$AT$1,),)</f>
        <v/>
      </c>
      <c r="K38" s="26">
        <f>VLOOKUP(B38,'Data yoy'!$A:$AT,MATCH($K$1,'Data yoy'!$A$1:$AT$1,),)</f>
        <v/>
      </c>
      <c r="L38" s="26">
        <f>VLOOKUP(B38,'Data yoy'!$A:$AT,MATCH($L$1,'Data yoy'!$A$1:$AT$1,),)</f>
        <v/>
      </c>
      <c r="M38" s="26">
        <f>VLOOKUP(B38,'Data yoy'!$A:$AT,MATCH($M$1,'Data yoy'!$A$1:$AT$1,),)</f>
        <v/>
      </c>
      <c r="N38" s="26">
        <f>VLOOKUP(B38,'Data yoy'!$A:$AT,MATCH($N$1,'Data yoy'!$A$1:$AT$1,),)</f>
        <v/>
      </c>
      <c r="O38" s="26">
        <f>VLOOKUP(B38,'Data yoy'!$A:$AT,MATCH($C$1,'Data yoy'!$J$1:$AT$1,),)</f>
        <v/>
      </c>
      <c r="P38" s="26">
        <f>VLOOKUP(B38,'Data yoy'!$A:$AT,MATCH($P$1,'Data yoy'!$A$1:$AT$1,),)</f>
        <v/>
      </c>
      <c r="Q38" s="26">
        <f>VLOOKUP(B38,'Data yoy'!$A:$AT,MATCH($Q$1,'Data yoy'!$A$1:$AT$1,),)</f>
        <v/>
      </c>
      <c r="R38" s="26">
        <f>VLOOKUP(B38,'Data yoy'!$A:$AT,MATCH($E$1,'Data yoy'!$A$1:$AT$1,),)</f>
        <v/>
      </c>
      <c r="S38" s="26">
        <f>VLOOKUP(B38,'Data yoy'!$A:$AT,MATCH($S$1,'Data yoy'!$A$1:$AT$1,),)</f>
        <v/>
      </c>
      <c r="T38" s="26">
        <f>VLOOKUP(B38,'Data yoy'!$A:$AT,MATCH($T$1,'Data yoy'!$A$1:$AT$1,),)</f>
        <v/>
      </c>
      <c r="U38" s="26">
        <f>VLOOKUP(B38,'Data yoy'!$A:$AT,MATCH($U$1,'Data yoy'!$A$1:$AT$1,),)</f>
        <v/>
      </c>
      <c r="V38" s="26">
        <f>VLOOKUP(B38,'Data yoy'!$A:$AT,MATCH($V$1,'Data yoy'!$A$1:$AT$1,),)</f>
        <v/>
      </c>
      <c r="W38" s="26">
        <f>VLOOKUP(B38,'Data yoy'!$A:$AT,MATCH($W$1,'Data yoy'!$A$1:$AT$1,),)</f>
        <v/>
      </c>
      <c r="X38" s="26">
        <f>VLOOKUP(B38,'Data yoy'!$A:$AT,MATCH($X$1,'Data yoy'!$A$1:$AT$1,),)</f>
        <v/>
      </c>
      <c r="Y38" s="26">
        <f>VLOOKUP(B38,'Data yoy'!$A:$AT,MATCH($Y$1,'Data yoy'!$A$1:$AT$1,),)</f>
        <v/>
      </c>
      <c r="Z38" s="26">
        <f>VLOOKUP(B38,'Data yoy'!$A:$AU,MATCH($Z$1,'Data yoy'!$A$1:$AU$1,),)</f>
        <v/>
      </c>
      <c r="AA38" s="26">
        <f>VLOOKUP(C38,'Data yoy'!$A:$AU,MATCH($Z$1,'Data yoy'!$A$1:$AU$1,),)</f>
        <v/>
      </c>
      <c r="AB38" s="93" t="n"/>
      <c r="AC38" s="27">
        <f>B38</f>
        <v/>
      </c>
      <c r="AD38" s="28">
        <f>(VLOOKUP(AC38,B:Y,MATCH($AE$6,$B$1:$Y$1,),))</f>
        <v/>
      </c>
      <c r="AE38" s="28">
        <f>(VLOOKUP(AC38,B:Y,MATCH($AE$7,$B$1:$Y$1,),))</f>
        <v/>
      </c>
    </row>
    <row r="39" hidden="1" s="89">
      <c r="B39" s="25" t="inlineStr">
        <is>
          <t>2007-Q1</t>
        </is>
      </c>
      <c r="C39" s="26">
        <f>VLOOKUP(B39,'Data yoy'!$A:$AT,MATCH($C$1,'Data yoy'!$A$1:$AT$1,),)</f>
        <v/>
      </c>
      <c r="D39" s="26">
        <f>VLOOKUP(B39,'Data yoy'!$A:$AT,MATCH($D$1,'Data yoy'!$A$1:$AT$1,),)</f>
        <v/>
      </c>
      <c r="E39" s="26">
        <f>VLOOKUP(B39,'Data yoy'!$A:$AT,MATCH($E$1,'Data yoy'!$A$1:$AT$1,),)</f>
        <v/>
      </c>
      <c r="F39" s="26">
        <f>VLOOKUP(B39,'Data yoy'!$A:$AT,MATCH($F$1,'Data yoy'!$A$1:$AT$1,),)</f>
        <v/>
      </c>
      <c r="G39" s="26">
        <f>VLOOKUP(B39,'Data yoy'!$A:$AT,MATCH($G$1,'Data yoy'!$A$1:$AT$1,),)</f>
        <v/>
      </c>
      <c r="H39" s="26">
        <f>VLOOKUP(B39,'Data yoy'!$A:$AT,MATCH($H$1,'Data yoy'!$A$1:$AT$1,),)</f>
        <v/>
      </c>
      <c r="I39" s="26">
        <f>VLOOKUP(B39,'Data yoy'!$A:$AT,MATCH($I$1,'Data yoy'!$A$1:$AT$1,),)</f>
        <v/>
      </c>
      <c r="J39" s="26">
        <f>VLOOKUP(B39,'Data yoy'!$A:$AT,MATCH($J$1,'Data yoy'!$A$1:$AT$1,),)</f>
        <v/>
      </c>
      <c r="K39" s="26">
        <f>VLOOKUP(B39,'Data yoy'!$A:$AT,MATCH($K$1,'Data yoy'!$A$1:$AT$1,),)</f>
        <v/>
      </c>
      <c r="L39" s="26">
        <f>VLOOKUP(B39,'Data yoy'!$A:$AT,MATCH($L$1,'Data yoy'!$A$1:$AT$1,),)</f>
        <v/>
      </c>
      <c r="M39" s="26">
        <f>VLOOKUP(B39,'Data yoy'!$A:$AT,MATCH($M$1,'Data yoy'!$A$1:$AT$1,),)</f>
        <v/>
      </c>
      <c r="N39" s="26">
        <f>VLOOKUP(B39,'Data yoy'!$A:$AT,MATCH($N$1,'Data yoy'!$A$1:$AT$1,),)</f>
        <v/>
      </c>
      <c r="O39" s="26">
        <f>VLOOKUP(B39,'Data yoy'!$A:$AT,MATCH($C$1,'Data yoy'!$J$1:$AT$1,),)</f>
        <v/>
      </c>
      <c r="P39" s="26">
        <f>VLOOKUP(B39,'Data yoy'!$A:$AT,MATCH($P$1,'Data yoy'!$A$1:$AT$1,),)</f>
        <v/>
      </c>
      <c r="Q39" s="26">
        <f>VLOOKUP(B39,'Data yoy'!$A:$AT,MATCH($Q$1,'Data yoy'!$A$1:$AT$1,),)</f>
        <v/>
      </c>
      <c r="R39" s="26">
        <f>VLOOKUP(B39,'Data yoy'!$A:$AT,MATCH($E$1,'Data yoy'!$A$1:$AT$1,),)</f>
        <v/>
      </c>
      <c r="S39" s="26">
        <f>VLOOKUP(B39,'Data yoy'!$A:$AT,MATCH($S$1,'Data yoy'!$A$1:$AT$1,),)</f>
        <v/>
      </c>
      <c r="T39" s="26">
        <f>VLOOKUP(B39,'Data yoy'!$A:$AT,MATCH($T$1,'Data yoy'!$A$1:$AT$1,),)</f>
        <v/>
      </c>
      <c r="U39" s="26">
        <f>VLOOKUP(B39,'Data yoy'!$A:$AT,MATCH($U$1,'Data yoy'!$A$1:$AT$1,),)</f>
        <v/>
      </c>
      <c r="V39" s="26">
        <f>VLOOKUP(B39,'Data yoy'!$A:$AT,MATCH($V$1,'Data yoy'!$A$1:$AT$1,),)</f>
        <v/>
      </c>
      <c r="W39" s="26">
        <f>VLOOKUP(B39,'Data yoy'!$A:$AT,MATCH($W$1,'Data yoy'!$A$1:$AT$1,),)</f>
        <v/>
      </c>
      <c r="X39" s="26">
        <f>VLOOKUP(B39,'Data yoy'!$A:$AT,MATCH($X$1,'Data yoy'!$A$1:$AT$1,),)</f>
        <v/>
      </c>
      <c r="Y39" s="26">
        <f>VLOOKUP(B39,'Data yoy'!$A:$AT,MATCH($Y$1,'Data yoy'!$A$1:$AT$1,),)</f>
        <v/>
      </c>
      <c r="Z39" s="26">
        <f>VLOOKUP(B39,'Data yoy'!$A:$AU,MATCH($Z$1,'Data yoy'!$A$1:$AU$1,),)</f>
        <v/>
      </c>
      <c r="AA39" s="26">
        <f>VLOOKUP(C39,'Data yoy'!$A:$AU,MATCH($Z$1,'Data yoy'!$A$1:$AU$1,),)</f>
        <v/>
      </c>
      <c r="AB39" s="93" t="n"/>
      <c r="AC39" s="27">
        <f>B39</f>
        <v/>
      </c>
      <c r="AD39" s="28">
        <f>(VLOOKUP(AC39,B:Y,MATCH($AE$6,$B$1:$Y$1,),))</f>
        <v/>
      </c>
      <c r="AE39" s="28">
        <f>(VLOOKUP(AC39,B:Y,MATCH($AE$7,$B$1:$Y$1,),))</f>
        <v/>
      </c>
    </row>
    <row r="40" hidden="1" s="89">
      <c r="B40" s="25" t="inlineStr">
        <is>
          <t>2007-Q2</t>
        </is>
      </c>
      <c r="C40" s="26">
        <f>VLOOKUP(B40,'Data yoy'!$A:$AT,MATCH($C$1,'Data yoy'!$A$1:$AT$1,),)</f>
        <v/>
      </c>
      <c r="D40" s="26">
        <f>VLOOKUP(B40,'Data yoy'!$A:$AT,MATCH($D$1,'Data yoy'!$A$1:$AT$1,),)</f>
        <v/>
      </c>
      <c r="E40" s="26">
        <f>VLOOKUP(B40,'Data yoy'!$A:$AT,MATCH($E$1,'Data yoy'!$A$1:$AT$1,),)</f>
        <v/>
      </c>
      <c r="F40" s="26">
        <f>VLOOKUP(B40,'Data yoy'!$A:$AT,MATCH($F$1,'Data yoy'!$A$1:$AT$1,),)</f>
        <v/>
      </c>
      <c r="G40" s="26">
        <f>VLOOKUP(B40,'Data yoy'!$A:$AT,MATCH($G$1,'Data yoy'!$A$1:$AT$1,),)</f>
        <v/>
      </c>
      <c r="H40" s="26">
        <f>VLOOKUP(B40,'Data yoy'!$A:$AT,MATCH($H$1,'Data yoy'!$A$1:$AT$1,),)</f>
        <v/>
      </c>
      <c r="I40" s="26">
        <f>VLOOKUP(B40,'Data yoy'!$A:$AT,MATCH($I$1,'Data yoy'!$A$1:$AT$1,),)</f>
        <v/>
      </c>
      <c r="J40" s="26">
        <f>VLOOKUP(B40,'Data yoy'!$A:$AT,MATCH($J$1,'Data yoy'!$A$1:$AT$1,),)</f>
        <v/>
      </c>
      <c r="K40" s="26">
        <f>VLOOKUP(B40,'Data yoy'!$A:$AT,MATCH($K$1,'Data yoy'!$A$1:$AT$1,),)</f>
        <v/>
      </c>
      <c r="L40" s="26">
        <f>VLOOKUP(B40,'Data yoy'!$A:$AT,MATCH($L$1,'Data yoy'!$A$1:$AT$1,),)</f>
        <v/>
      </c>
      <c r="M40" s="26">
        <f>VLOOKUP(B40,'Data yoy'!$A:$AT,MATCH($M$1,'Data yoy'!$A$1:$AT$1,),)</f>
        <v/>
      </c>
      <c r="N40" s="26">
        <f>VLOOKUP(B40,'Data yoy'!$A:$AT,MATCH($N$1,'Data yoy'!$A$1:$AT$1,),)</f>
        <v/>
      </c>
      <c r="O40" s="26">
        <f>VLOOKUP(B40,'Data yoy'!$A:$AT,MATCH($C$1,'Data yoy'!$J$1:$AT$1,),)</f>
        <v/>
      </c>
      <c r="P40" s="26">
        <f>VLOOKUP(B40,'Data yoy'!$A:$AT,MATCH($P$1,'Data yoy'!$A$1:$AT$1,),)</f>
        <v/>
      </c>
      <c r="Q40" s="26">
        <f>VLOOKUP(B40,'Data yoy'!$A:$AT,MATCH($Q$1,'Data yoy'!$A$1:$AT$1,),)</f>
        <v/>
      </c>
      <c r="R40" s="26">
        <f>VLOOKUP(B40,'Data yoy'!$A:$AT,MATCH($E$1,'Data yoy'!$A$1:$AT$1,),)</f>
        <v/>
      </c>
      <c r="S40" s="26">
        <f>VLOOKUP(B40,'Data yoy'!$A:$AT,MATCH($S$1,'Data yoy'!$A$1:$AT$1,),)</f>
        <v/>
      </c>
      <c r="T40" s="26">
        <f>VLOOKUP(B40,'Data yoy'!$A:$AT,MATCH($T$1,'Data yoy'!$A$1:$AT$1,),)</f>
        <v/>
      </c>
      <c r="U40" s="26">
        <f>VLOOKUP(B40,'Data yoy'!$A:$AT,MATCH($U$1,'Data yoy'!$A$1:$AT$1,),)</f>
        <v/>
      </c>
      <c r="V40" s="26">
        <f>VLOOKUP(B40,'Data yoy'!$A:$AT,MATCH($V$1,'Data yoy'!$A$1:$AT$1,),)</f>
        <v/>
      </c>
      <c r="W40" s="26">
        <f>VLOOKUP(B40,'Data yoy'!$A:$AT,MATCH($W$1,'Data yoy'!$A$1:$AT$1,),)</f>
        <v/>
      </c>
      <c r="X40" s="26">
        <f>VLOOKUP(B40,'Data yoy'!$A:$AT,MATCH($X$1,'Data yoy'!$A$1:$AT$1,),)</f>
        <v/>
      </c>
      <c r="Y40" s="26">
        <f>VLOOKUP(B40,'Data yoy'!$A:$AT,MATCH($Y$1,'Data yoy'!$A$1:$AT$1,),)</f>
        <v/>
      </c>
      <c r="Z40" s="26">
        <f>VLOOKUP(B40,'Data yoy'!$A:$AU,MATCH($Z$1,'Data yoy'!$A$1:$AU$1,),)</f>
        <v/>
      </c>
      <c r="AA40" s="26">
        <f>VLOOKUP(C40,'Data yoy'!$A:$AU,MATCH($Z$1,'Data yoy'!$A$1:$AU$1,),)</f>
        <v/>
      </c>
      <c r="AB40" s="93" t="n"/>
      <c r="AC40" s="27">
        <f>B40</f>
        <v/>
      </c>
      <c r="AD40" s="28">
        <f>(VLOOKUP(AC40,B:Y,MATCH($AE$6,$B$1:$Y$1,),))</f>
        <v/>
      </c>
      <c r="AE40" s="28">
        <f>(VLOOKUP(AC40,B:Y,MATCH($AE$7,$B$1:$Y$1,),))</f>
        <v/>
      </c>
    </row>
    <row r="41" hidden="1" s="89">
      <c r="B41" s="25" t="inlineStr">
        <is>
          <t>2007-Q3</t>
        </is>
      </c>
      <c r="C41" s="26">
        <f>VLOOKUP(B41,'Data yoy'!$A:$AT,MATCH($C$1,'Data yoy'!$A$1:$AT$1,),)</f>
        <v/>
      </c>
      <c r="D41" s="26">
        <f>VLOOKUP(B41,'Data yoy'!$A:$AT,MATCH($D$1,'Data yoy'!$A$1:$AT$1,),)</f>
        <v/>
      </c>
      <c r="E41" s="26">
        <f>VLOOKUP(B41,'Data yoy'!$A:$AT,MATCH($E$1,'Data yoy'!$A$1:$AT$1,),)</f>
        <v/>
      </c>
      <c r="F41" s="26">
        <f>VLOOKUP(B41,'Data yoy'!$A:$AT,MATCH($F$1,'Data yoy'!$A$1:$AT$1,),)</f>
        <v/>
      </c>
      <c r="G41" s="26">
        <f>VLOOKUP(B41,'Data yoy'!$A:$AT,MATCH($G$1,'Data yoy'!$A$1:$AT$1,),)</f>
        <v/>
      </c>
      <c r="H41" s="26">
        <f>VLOOKUP(B41,'Data yoy'!$A:$AT,MATCH($H$1,'Data yoy'!$A$1:$AT$1,),)</f>
        <v/>
      </c>
      <c r="I41" s="26">
        <f>VLOOKUP(B41,'Data yoy'!$A:$AT,MATCH($I$1,'Data yoy'!$A$1:$AT$1,),)</f>
        <v/>
      </c>
      <c r="J41" s="26">
        <f>VLOOKUP(B41,'Data yoy'!$A:$AT,MATCH($J$1,'Data yoy'!$A$1:$AT$1,),)</f>
        <v/>
      </c>
      <c r="K41" s="26">
        <f>VLOOKUP(B41,'Data yoy'!$A:$AT,MATCH($K$1,'Data yoy'!$A$1:$AT$1,),)</f>
        <v/>
      </c>
      <c r="L41" s="26">
        <f>VLOOKUP(B41,'Data yoy'!$A:$AT,MATCH($L$1,'Data yoy'!$A$1:$AT$1,),)</f>
        <v/>
      </c>
      <c r="M41" s="26">
        <f>VLOOKUP(B41,'Data yoy'!$A:$AT,MATCH($M$1,'Data yoy'!$A$1:$AT$1,),)</f>
        <v/>
      </c>
      <c r="N41" s="26">
        <f>VLOOKUP(B41,'Data yoy'!$A:$AT,MATCH($N$1,'Data yoy'!$A$1:$AT$1,),)</f>
        <v/>
      </c>
      <c r="O41" s="26">
        <f>VLOOKUP(B41,'Data yoy'!$A:$AT,MATCH($C$1,'Data yoy'!$J$1:$AT$1,),)</f>
        <v/>
      </c>
      <c r="P41" s="26">
        <f>VLOOKUP(B41,'Data yoy'!$A:$AT,MATCH($P$1,'Data yoy'!$A$1:$AT$1,),)</f>
        <v/>
      </c>
      <c r="Q41" s="26">
        <f>VLOOKUP(B41,'Data yoy'!$A:$AT,MATCH($Q$1,'Data yoy'!$A$1:$AT$1,),)</f>
        <v/>
      </c>
      <c r="R41" s="26">
        <f>VLOOKUP(B41,'Data yoy'!$A:$AT,MATCH($E$1,'Data yoy'!$A$1:$AT$1,),)</f>
        <v/>
      </c>
      <c r="S41" s="26">
        <f>VLOOKUP(B41,'Data yoy'!$A:$AT,MATCH($S$1,'Data yoy'!$A$1:$AT$1,),)</f>
        <v/>
      </c>
      <c r="T41" s="26">
        <f>VLOOKUP(B41,'Data yoy'!$A:$AT,MATCH($T$1,'Data yoy'!$A$1:$AT$1,),)</f>
        <v/>
      </c>
      <c r="U41" s="26">
        <f>VLOOKUP(B41,'Data yoy'!$A:$AT,MATCH($U$1,'Data yoy'!$A$1:$AT$1,),)</f>
        <v/>
      </c>
      <c r="V41" s="26">
        <f>VLOOKUP(B41,'Data yoy'!$A:$AT,MATCH($V$1,'Data yoy'!$A$1:$AT$1,),)</f>
        <v/>
      </c>
      <c r="W41" s="26">
        <f>VLOOKUP(B41,'Data yoy'!$A:$AT,MATCH($W$1,'Data yoy'!$A$1:$AT$1,),)</f>
        <v/>
      </c>
      <c r="X41" s="26">
        <f>VLOOKUP(B41,'Data yoy'!$A:$AT,MATCH($X$1,'Data yoy'!$A$1:$AT$1,),)</f>
        <v/>
      </c>
      <c r="Y41" s="26">
        <f>VLOOKUP(B41,'Data yoy'!$A:$AT,MATCH($Y$1,'Data yoy'!$A$1:$AT$1,),)</f>
        <v/>
      </c>
      <c r="Z41" s="26">
        <f>VLOOKUP(B41,'Data yoy'!$A:$AU,MATCH($Z$1,'Data yoy'!$A$1:$AU$1,),)</f>
        <v/>
      </c>
      <c r="AA41" s="26">
        <f>VLOOKUP(C41,'Data yoy'!$A:$AU,MATCH($Z$1,'Data yoy'!$A$1:$AU$1,),)</f>
        <v/>
      </c>
      <c r="AB41" s="93" t="n"/>
      <c r="AC41" s="27">
        <f>B41</f>
        <v/>
      </c>
      <c r="AD41" s="28">
        <f>(VLOOKUP(AC41,B:Y,MATCH($AE$6,$B$1:$Y$1,),))</f>
        <v/>
      </c>
      <c r="AE41" s="28">
        <f>(VLOOKUP(AC41,B:Y,MATCH($AE$7,$B$1:$Y$1,),))</f>
        <v/>
      </c>
    </row>
    <row r="42" hidden="1" s="89">
      <c r="B42" s="25" t="inlineStr">
        <is>
          <t>2007-Q4</t>
        </is>
      </c>
      <c r="C42" s="26">
        <f>VLOOKUP(B42,'Data yoy'!$A:$AT,MATCH($C$1,'Data yoy'!$A$1:$AT$1,),)</f>
        <v/>
      </c>
      <c r="D42" s="26">
        <f>VLOOKUP(B42,'Data yoy'!$A:$AT,MATCH($D$1,'Data yoy'!$A$1:$AT$1,),)</f>
        <v/>
      </c>
      <c r="E42" s="26">
        <f>VLOOKUP(B42,'Data yoy'!$A:$AT,MATCH($E$1,'Data yoy'!$A$1:$AT$1,),)</f>
        <v/>
      </c>
      <c r="F42" s="26">
        <f>VLOOKUP(B42,'Data yoy'!$A:$AT,MATCH($F$1,'Data yoy'!$A$1:$AT$1,),)</f>
        <v/>
      </c>
      <c r="G42" s="26">
        <f>VLOOKUP(B42,'Data yoy'!$A:$AT,MATCH($G$1,'Data yoy'!$A$1:$AT$1,),)</f>
        <v/>
      </c>
      <c r="H42" s="26">
        <f>VLOOKUP(B42,'Data yoy'!$A:$AT,MATCH($H$1,'Data yoy'!$A$1:$AT$1,),)</f>
        <v/>
      </c>
      <c r="I42" s="26">
        <f>VLOOKUP(B42,'Data yoy'!$A:$AT,MATCH($I$1,'Data yoy'!$A$1:$AT$1,),)</f>
        <v/>
      </c>
      <c r="J42" s="26">
        <f>VLOOKUP(B42,'Data yoy'!$A:$AT,MATCH($J$1,'Data yoy'!$A$1:$AT$1,),)</f>
        <v/>
      </c>
      <c r="K42" s="26">
        <f>VLOOKUP(B42,'Data yoy'!$A:$AT,MATCH($K$1,'Data yoy'!$A$1:$AT$1,),)</f>
        <v/>
      </c>
      <c r="L42" s="26">
        <f>VLOOKUP(B42,'Data yoy'!$A:$AT,MATCH($L$1,'Data yoy'!$A$1:$AT$1,),)</f>
        <v/>
      </c>
      <c r="M42" s="26">
        <f>VLOOKUP(B42,'Data yoy'!$A:$AT,MATCH($M$1,'Data yoy'!$A$1:$AT$1,),)</f>
        <v/>
      </c>
      <c r="N42" s="26">
        <f>VLOOKUP(B42,'Data yoy'!$A:$AT,MATCH($N$1,'Data yoy'!$A$1:$AT$1,),)</f>
        <v/>
      </c>
      <c r="O42" s="26">
        <f>VLOOKUP(B42,'Data yoy'!$A:$AT,MATCH($C$1,'Data yoy'!$J$1:$AT$1,),)</f>
        <v/>
      </c>
      <c r="P42" s="26">
        <f>VLOOKUP(B42,'Data yoy'!$A:$AT,MATCH($P$1,'Data yoy'!$A$1:$AT$1,),)</f>
        <v/>
      </c>
      <c r="Q42" s="26">
        <f>VLOOKUP(B42,'Data yoy'!$A:$AT,MATCH($Q$1,'Data yoy'!$A$1:$AT$1,),)</f>
        <v/>
      </c>
      <c r="R42" s="26">
        <f>VLOOKUP(B42,'Data yoy'!$A:$AT,MATCH($E$1,'Data yoy'!$A$1:$AT$1,),)</f>
        <v/>
      </c>
      <c r="S42" s="26">
        <f>VLOOKUP(B42,'Data yoy'!$A:$AT,MATCH($S$1,'Data yoy'!$A$1:$AT$1,),)</f>
        <v/>
      </c>
      <c r="T42" s="26">
        <f>VLOOKUP(B42,'Data yoy'!$A:$AT,MATCH($T$1,'Data yoy'!$A$1:$AT$1,),)</f>
        <v/>
      </c>
      <c r="U42" s="26">
        <f>VLOOKUP(B42,'Data yoy'!$A:$AT,MATCH($U$1,'Data yoy'!$A$1:$AT$1,),)</f>
        <v/>
      </c>
      <c r="V42" s="26">
        <f>VLOOKUP(B42,'Data yoy'!$A:$AT,MATCH($V$1,'Data yoy'!$A$1:$AT$1,),)</f>
        <v/>
      </c>
      <c r="W42" s="26">
        <f>VLOOKUP(B42,'Data yoy'!$A:$AT,MATCH($W$1,'Data yoy'!$A$1:$AT$1,),)</f>
        <v/>
      </c>
      <c r="X42" s="26">
        <f>VLOOKUP(B42,'Data yoy'!$A:$AT,MATCH($X$1,'Data yoy'!$A$1:$AT$1,),)</f>
        <v/>
      </c>
      <c r="Y42" s="26">
        <f>VLOOKUP(B42,'Data yoy'!$A:$AT,MATCH($Y$1,'Data yoy'!$A$1:$AT$1,),)</f>
        <v/>
      </c>
      <c r="Z42" s="26">
        <f>VLOOKUP(B42,'Data yoy'!$A:$AU,MATCH($Z$1,'Data yoy'!$A$1:$AU$1,),)</f>
        <v/>
      </c>
      <c r="AA42" s="26">
        <f>VLOOKUP(C42,'Data yoy'!$A:$AU,MATCH($Z$1,'Data yoy'!$A$1:$AU$1,),)</f>
        <v/>
      </c>
      <c r="AB42" s="93" t="n"/>
      <c r="AC42" s="27">
        <f>B42</f>
        <v/>
      </c>
      <c r="AD42" s="28">
        <f>(VLOOKUP(AC42,B:Y,MATCH($AE$6,$B$1:$Y$1,),))</f>
        <v/>
      </c>
      <c r="AE42" s="28">
        <f>(VLOOKUP(AC42,B:Y,MATCH($AE$7,$B$1:$Y$1,),))</f>
        <v/>
      </c>
    </row>
    <row r="43" hidden="1" s="89">
      <c r="B43" s="25" t="inlineStr">
        <is>
          <t>2008-Q1</t>
        </is>
      </c>
      <c r="C43" s="26">
        <f>VLOOKUP(B43,'Data yoy'!$A:$AT,MATCH($C$1,'Data yoy'!$A$1:$AT$1,),)</f>
        <v/>
      </c>
      <c r="D43" s="26">
        <f>VLOOKUP(B43,'Data yoy'!$A:$AT,MATCH($D$1,'Data yoy'!$A$1:$AT$1,),)</f>
        <v/>
      </c>
      <c r="E43" s="26">
        <f>VLOOKUP(B43,'Data yoy'!$A:$AT,MATCH($E$1,'Data yoy'!$A$1:$AT$1,),)</f>
        <v/>
      </c>
      <c r="F43" s="26">
        <f>VLOOKUP(B43,'Data yoy'!$A:$AT,MATCH($F$1,'Data yoy'!$A$1:$AT$1,),)</f>
        <v/>
      </c>
      <c r="G43" s="26">
        <f>VLOOKUP(B43,'Data yoy'!$A:$AT,MATCH($G$1,'Data yoy'!$A$1:$AT$1,),)</f>
        <v/>
      </c>
      <c r="H43" s="26">
        <f>VLOOKUP(B43,'Data yoy'!$A:$AT,MATCH($H$1,'Data yoy'!$A$1:$AT$1,),)</f>
        <v/>
      </c>
      <c r="I43" s="26">
        <f>VLOOKUP(B43,'Data yoy'!$A:$AT,MATCH($I$1,'Data yoy'!$A$1:$AT$1,),)</f>
        <v/>
      </c>
      <c r="J43" s="26">
        <f>VLOOKUP(B43,'Data yoy'!$A:$AT,MATCH($J$1,'Data yoy'!$A$1:$AT$1,),)</f>
        <v/>
      </c>
      <c r="K43" s="26">
        <f>VLOOKUP(B43,'Data yoy'!$A:$AT,MATCH($K$1,'Data yoy'!$A$1:$AT$1,),)</f>
        <v/>
      </c>
      <c r="L43" s="26">
        <f>VLOOKUP(B43,'Data yoy'!$A:$AT,MATCH($L$1,'Data yoy'!$A$1:$AT$1,),)</f>
        <v/>
      </c>
      <c r="M43" s="26">
        <f>VLOOKUP(B43,'Data yoy'!$A:$AT,MATCH($M$1,'Data yoy'!$A$1:$AT$1,),)</f>
        <v/>
      </c>
      <c r="N43" s="26">
        <f>VLOOKUP(B43,'Data yoy'!$A:$AT,MATCH($N$1,'Data yoy'!$A$1:$AT$1,),)</f>
        <v/>
      </c>
      <c r="O43" s="26">
        <f>VLOOKUP(B43,'Data yoy'!$A:$AT,MATCH($C$1,'Data yoy'!$J$1:$AT$1,),)</f>
        <v/>
      </c>
      <c r="P43" s="26">
        <f>VLOOKUP(B43,'Data yoy'!$A:$AT,MATCH($P$1,'Data yoy'!$A$1:$AT$1,),)</f>
        <v/>
      </c>
      <c r="Q43" s="26">
        <f>VLOOKUP(B43,'Data yoy'!$A:$AT,MATCH($Q$1,'Data yoy'!$A$1:$AT$1,),)</f>
        <v/>
      </c>
      <c r="R43" s="26">
        <f>VLOOKUP(B43,'Data yoy'!$A:$AT,MATCH($E$1,'Data yoy'!$A$1:$AT$1,),)</f>
        <v/>
      </c>
      <c r="S43" s="26">
        <f>VLOOKUP(B43,'Data yoy'!$A:$AT,MATCH($S$1,'Data yoy'!$A$1:$AT$1,),)</f>
        <v/>
      </c>
      <c r="T43" s="26">
        <f>VLOOKUP(B43,'Data yoy'!$A:$AT,MATCH($T$1,'Data yoy'!$A$1:$AT$1,),)</f>
        <v/>
      </c>
      <c r="U43" s="26">
        <f>VLOOKUP(B43,'Data yoy'!$A:$AT,MATCH($U$1,'Data yoy'!$A$1:$AT$1,),)</f>
        <v/>
      </c>
      <c r="V43" s="26">
        <f>VLOOKUP(B43,'Data yoy'!$A:$AT,MATCH($V$1,'Data yoy'!$A$1:$AT$1,),)</f>
        <v/>
      </c>
      <c r="W43" s="26">
        <f>VLOOKUP(B43,'Data yoy'!$A:$AT,MATCH($W$1,'Data yoy'!$A$1:$AT$1,),)</f>
        <v/>
      </c>
      <c r="X43" s="26">
        <f>VLOOKUP(B43,'Data yoy'!$A:$AT,MATCH($X$1,'Data yoy'!$A$1:$AT$1,),)</f>
        <v/>
      </c>
      <c r="Y43" s="26">
        <f>VLOOKUP(B43,'Data yoy'!$A:$AT,MATCH($Y$1,'Data yoy'!$A$1:$AT$1,),)</f>
        <v/>
      </c>
      <c r="Z43" s="26">
        <f>VLOOKUP(B43,'Data yoy'!$A:$AU,MATCH($Z$1,'Data yoy'!$A$1:$AU$1,),)</f>
        <v/>
      </c>
      <c r="AA43" s="26">
        <f>VLOOKUP(C43,'Data yoy'!$A:$AU,MATCH($Z$1,'Data yoy'!$A$1:$AU$1,),)</f>
        <v/>
      </c>
      <c r="AB43" s="93" t="n"/>
      <c r="AC43" s="27">
        <f>B43</f>
        <v/>
      </c>
      <c r="AD43" s="28">
        <f>(VLOOKUP(AC43,B:Y,MATCH($AE$6,$B$1:$Y$1,),))</f>
        <v/>
      </c>
      <c r="AE43" s="28">
        <f>(VLOOKUP(AC43,B:Y,MATCH($AE$7,$B$1:$Y$1,),))</f>
        <v/>
      </c>
    </row>
    <row r="44" hidden="1" s="89">
      <c r="B44" s="25" t="inlineStr">
        <is>
          <t>2008-Q2</t>
        </is>
      </c>
      <c r="C44" s="26">
        <f>VLOOKUP(B44,'Data yoy'!$A:$AT,MATCH($C$1,'Data yoy'!$A$1:$AT$1,),)</f>
        <v/>
      </c>
      <c r="D44" s="26">
        <f>VLOOKUP(B44,'Data yoy'!$A:$AT,MATCH($D$1,'Data yoy'!$A$1:$AT$1,),)</f>
        <v/>
      </c>
      <c r="E44" s="26">
        <f>VLOOKUP(B44,'Data yoy'!$A:$AT,MATCH($E$1,'Data yoy'!$A$1:$AT$1,),)</f>
        <v/>
      </c>
      <c r="F44" s="26">
        <f>VLOOKUP(B44,'Data yoy'!$A:$AT,MATCH($F$1,'Data yoy'!$A$1:$AT$1,),)</f>
        <v/>
      </c>
      <c r="G44" s="26">
        <f>VLOOKUP(B44,'Data yoy'!$A:$AT,MATCH($G$1,'Data yoy'!$A$1:$AT$1,),)</f>
        <v/>
      </c>
      <c r="H44" s="26">
        <f>VLOOKUP(B44,'Data yoy'!$A:$AT,MATCH($H$1,'Data yoy'!$A$1:$AT$1,),)</f>
        <v/>
      </c>
      <c r="I44" s="26">
        <f>VLOOKUP(B44,'Data yoy'!$A:$AT,MATCH($I$1,'Data yoy'!$A$1:$AT$1,),)</f>
        <v/>
      </c>
      <c r="J44" s="26">
        <f>VLOOKUP(B44,'Data yoy'!$A:$AT,MATCH($J$1,'Data yoy'!$A$1:$AT$1,),)</f>
        <v/>
      </c>
      <c r="K44" s="26">
        <f>VLOOKUP(B44,'Data yoy'!$A:$AT,MATCH($K$1,'Data yoy'!$A$1:$AT$1,),)</f>
        <v/>
      </c>
      <c r="L44" s="26">
        <f>VLOOKUP(B44,'Data yoy'!$A:$AT,MATCH($L$1,'Data yoy'!$A$1:$AT$1,),)</f>
        <v/>
      </c>
      <c r="M44" s="26">
        <f>VLOOKUP(B44,'Data yoy'!$A:$AT,MATCH($M$1,'Data yoy'!$A$1:$AT$1,),)</f>
        <v/>
      </c>
      <c r="N44" s="26">
        <f>VLOOKUP(B44,'Data yoy'!$A:$AT,MATCH($N$1,'Data yoy'!$A$1:$AT$1,),)</f>
        <v/>
      </c>
      <c r="O44" s="26">
        <f>VLOOKUP(B44,'Data yoy'!$A:$AT,MATCH($C$1,'Data yoy'!$J$1:$AT$1,),)</f>
        <v/>
      </c>
      <c r="P44" s="26">
        <f>VLOOKUP(B44,'Data yoy'!$A:$AT,MATCH($P$1,'Data yoy'!$A$1:$AT$1,),)</f>
        <v/>
      </c>
      <c r="Q44" s="26">
        <f>VLOOKUP(B44,'Data yoy'!$A:$AT,MATCH($Q$1,'Data yoy'!$A$1:$AT$1,),)</f>
        <v/>
      </c>
      <c r="R44" s="26">
        <f>VLOOKUP(B44,'Data yoy'!$A:$AT,MATCH($E$1,'Data yoy'!$A$1:$AT$1,),)</f>
        <v/>
      </c>
      <c r="S44" s="26">
        <f>VLOOKUP(B44,'Data yoy'!$A:$AT,MATCH($S$1,'Data yoy'!$A$1:$AT$1,),)</f>
        <v/>
      </c>
      <c r="T44" s="26">
        <f>VLOOKUP(B44,'Data yoy'!$A:$AT,MATCH($T$1,'Data yoy'!$A$1:$AT$1,),)</f>
        <v/>
      </c>
      <c r="U44" s="26">
        <f>VLOOKUP(B44,'Data yoy'!$A:$AT,MATCH($U$1,'Data yoy'!$A$1:$AT$1,),)</f>
        <v/>
      </c>
      <c r="V44" s="26">
        <f>VLOOKUP(B44,'Data yoy'!$A:$AT,MATCH($V$1,'Data yoy'!$A$1:$AT$1,),)</f>
        <v/>
      </c>
      <c r="W44" s="26">
        <f>VLOOKUP(B44,'Data yoy'!$A:$AT,MATCH($W$1,'Data yoy'!$A$1:$AT$1,),)</f>
        <v/>
      </c>
      <c r="X44" s="26">
        <f>VLOOKUP(B44,'Data yoy'!$A:$AT,MATCH($X$1,'Data yoy'!$A$1:$AT$1,),)</f>
        <v/>
      </c>
      <c r="Y44" s="26">
        <f>VLOOKUP(B44,'Data yoy'!$A:$AT,MATCH($Y$1,'Data yoy'!$A$1:$AT$1,),)</f>
        <v/>
      </c>
      <c r="Z44" s="26">
        <f>VLOOKUP(B44,'Data yoy'!$A:$AU,MATCH($Z$1,'Data yoy'!$A$1:$AU$1,),)</f>
        <v/>
      </c>
      <c r="AA44" s="26">
        <f>VLOOKUP(C44,'Data yoy'!$A:$AU,MATCH($Z$1,'Data yoy'!$A$1:$AU$1,),)</f>
        <v/>
      </c>
      <c r="AB44" s="93" t="n"/>
      <c r="AC44" s="27">
        <f>B44</f>
        <v/>
      </c>
      <c r="AD44" s="28">
        <f>(VLOOKUP(AC44,B:Y,MATCH($AE$6,$B$1:$Y$1,),))</f>
        <v/>
      </c>
      <c r="AE44" s="28">
        <f>(VLOOKUP(AC44,B:Y,MATCH($AE$7,$B$1:$Y$1,),))</f>
        <v/>
      </c>
    </row>
    <row r="45" hidden="1" s="89">
      <c r="B45" s="25" t="inlineStr">
        <is>
          <t>2008-Q3</t>
        </is>
      </c>
      <c r="C45" s="26">
        <f>VLOOKUP(B45,'Data yoy'!$A:$AT,MATCH($C$1,'Data yoy'!$A$1:$AT$1,),)</f>
        <v/>
      </c>
      <c r="D45" s="26">
        <f>VLOOKUP(B45,'Data yoy'!$A:$AT,MATCH($D$1,'Data yoy'!$A$1:$AT$1,),)</f>
        <v/>
      </c>
      <c r="E45" s="26">
        <f>VLOOKUP(B45,'Data yoy'!$A:$AT,MATCH($E$1,'Data yoy'!$A$1:$AT$1,),)</f>
        <v/>
      </c>
      <c r="F45" s="26">
        <f>VLOOKUP(B45,'Data yoy'!$A:$AT,MATCH($F$1,'Data yoy'!$A$1:$AT$1,),)</f>
        <v/>
      </c>
      <c r="G45" s="26">
        <f>VLOOKUP(B45,'Data yoy'!$A:$AT,MATCH($G$1,'Data yoy'!$A$1:$AT$1,),)</f>
        <v/>
      </c>
      <c r="H45" s="26">
        <f>VLOOKUP(B45,'Data yoy'!$A:$AT,MATCH($H$1,'Data yoy'!$A$1:$AT$1,),)</f>
        <v/>
      </c>
      <c r="I45" s="26">
        <f>VLOOKUP(B45,'Data yoy'!$A:$AT,MATCH($I$1,'Data yoy'!$A$1:$AT$1,),)</f>
        <v/>
      </c>
      <c r="J45" s="26">
        <f>VLOOKUP(B45,'Data yoy'!$A:$AT,MATCH($J$1,'Data yoy'!$A$1:$AT$1,),)</f>
        <v/>
      </c>
      <c r="K45" s="26">
        <f>VLOOKUP(B45,'Data yoy'!$A:$AT,MATCH($K$1,'Data yoy'!$A$1:$AT$1,),)</f>
        <v/>
      </c>
      <c r="L45" s="26">
        <f>VLOOKUP(B45,'Data yoy'!$A:$AT,MATCH($L$1,'Data yoy'!$A$1:$AT$1,),)</f>
        <v/>
      </c>
      <c r="M45" s="26">
        <f>VLOOKUP(B45,'Data yoy'!$A:$AT,MATCH($M$1,'Data yoy'!$A$1:$AT$1,),)</f>
        <v/>
      </c>
      <c r="N45" s="26">
        <f>VLOOKUP(B45,'Data yoy'!$A:$AT,MATCH($N$1,'Data yoy'!$A$1:$AT$1,),)</f>
        <v/>
      </c>
      <c r="O45" s="26">
        <f>VLOOKUP(B45,'Data yoy'!$A:$AT,MATCH($C$1,'Data yoy'!$J$1:$AT$1,),)</f>
        <v/>
      </c>
      <c r="P45" s="26">
        <f>VLOOKUP(B45,'Data yoy'!$A:$AT,MATCH($P$1,'Data yoy'!$A$1:$AT$1,),)</f>
        <v/>
      </c>
      <c r="Q45" s="26">
        <f>VLOOKUP(B45,'Data yoy'!$A:$AT,MATCH($Q$1,'Data yoy'!$A$1:$AT$1,),)</f>
        <v/>
      </c>
      <c r="R45" s="26">
        <f>VLOOKUP(B45,'Data yoy'!$A:$AT,MATCH($E$1,'Data yoy'!$A$1:$AT$1,),)</f>
        <v/>
      </c>
      <c r="S45" s="26">
        <f>VLOOKUP(B45,'Data yoy'!$A:$AT,MATCH($S$1,'Data yoy'!$A$1:$AT$1,),)</f>
        <v/>
      </c>
      <c r="T45" s="26">
        <f>VLOOKUP(B45,'Data yoy'!$A:$AT,MATCH($T$1,'Data yoy'!$A$1:$AT$1,),)</f>
        <v/>
      </c>
      <c r="U45" s="26">
        <f>VLOOKUP(B45,'Data yoy'!$A:$AT,MATCH($U$1,'Data yoy'!$A$1:$AT$1,),)</f>
        <v/>
      </c>
      <c r="V45" s="26">
        <f>VLOOKUP(B45,'Data yoy'!$A:$AT,MATCH($V$1,'Data yoy'!$A$1:$AT$1,),)</f>
        <v/>
      </c>
      <c r="W45" s="26">
        <f>VLOOKUP(B45,'Data yoy'!$A:$AT,MATCH($W$1,'Data yoy'!$A$1:$AT$1,),)</f>
        <v/>
      </c>
      <c r="X45" s="26">
        <f>VLOOKUP(B45,'Data yoy'!$A:$AT,MATCH($X$1,'Data yoy'!$A$1:$AT$1,),)</f>
        <v/>
      </c>
      <c r="Y45" s="26">
        <f>VLOOKUP(B45,'Data yoy'!$A:$AT,MATCH($Y$1,'Data yoy'!$A$1:$AT$1,),)</f>
        <v/>
      </c>
      <c r="Z45" s="26">
        <f>VLOOKUP(B45,'Data yoy'!$A:$AU,MATCH($Z$1,'Data yoy'!$A$1:$AU$1,),)</f>
        <v/>
      </c>
      <c r="AA45" s="26">
        <f>VLOOKUP(C45,'Data yoy'!$A:$AU,MATCH($Z$1,'Data yoy'!$A$1:$AU$1,),)</f>
        <v/>
      </c>
      <c r="AB45" s="93" t="n"/>
      <c r="AC45" s="27">
        <f>B45</f>
        <v/>
      </c>
      <c r="AD45" s="28">
        <f>(VLOOKUP(AC45,B:Y,MATCH($AE$6,$B$1:$Y$1,),))</f>
        <v/>
      </c>
      <c r="AE45" s="28">
        <f>(VLOOKUP(AC45,B:Y,MATCH($AE$7,$B$1:$Y$1,),))</f>
        <v/>
      </c>
    </row>
    <row r="46" hidden="1" s="89">
      <c r="B46" s="25" t="inlineStr">
        <is>
          <t>2008-Q4</t>
        </is>
      </c>
      <c r="C46" s="26">
        <f>VLOOKUP(B46,'Data yoy'!$A:$AT,MATCH($C$1,'Data yoy'!$A$1:$AT$1,),)</f>
        <v/>
      </c>
      <c r="D46" s="26">
        <f>VLOOKUP(B46,'Data yoy'!$A:$AT,MATCH($D$1,'Data yoy'!$A$1:$AT$1,),)</f>
        <v/>
      </c>
      <c r="E46" s="26">
        <f>VLOOKUP(B46,'Data yoy'!$A:$AT,MATCH($E$1,'Data yoy'!$A$1:$AT$1,),)</f>
        <v/>
      </c>
      <c r="F46" s="26">
        <f>VLOOKUP(B46,'Data yoy'!$A:$AT,MATCH($F$1,'Data yoy'!$A$1:$AT$1,),)</f>
        <v/>
      </c>
      <c r="G46" s="26">
        <f>VLOOKUP(B46,'Data yoy'!$A:$AT,MATCH($G$1,'Data yoy'!$A$1:$AT$1,),)</f>
        <v/>
      </c>
      <c r="H46" s="26">
        <f>VLOOKUP(B46,'Data yoy'!$A:$AT,MATCH($H$1,'Data yoy'!$A$1:$AT$1,),)</f>
        <v/>
      </c>
      <c r="I46" s="26">
        <f>VLOOKUP(B46,'Data yoy'!$A:$AT,MATCH($I$1,'Data yoy'!$A$1:$AT$1,),)</f>
        <v/>
      </c>
      <c r="J46" s="26">
        <f>VLOOKUP(B46,'Data yoy'!$A:$AT,MATCH($J$1,'Data yoy'!$A$1:$AT$1,),)</f>
        <v/>
      </c>
      <c r="K46" s="26">
        <f>VLOOKUP(B46,'Data yoy'!$A:$AT,MATCH($K$1,'Data yoy'!$A$1:$AT$1,),)</f>
        <v/>
      </c>
      <c r="L46" s="26">
        <f>VLOOKUP(B46,'Data yoy'!$A:$AT,MATCH($L$1,'Data yoy'!$A$1:$AT$1,),)</f>
        <v/>
      </c>
      <c r="M46" s="26">
        <f>VLOOKUP(B46,'Data yoy'!$A:$AT,MATCH($M$1,'Data yoy'!$A$1:$AT$1,),)</f>
        <v/>
      </c>
      <c r="N46" s="26">
        <f>VLOOKUP(B46,'Data yoy'!$A:$AT,MATCH($N$1,'Data yoy'!$A$1:$AT$1,),)</f>
        <v/>
      </c>
      <c r="O46" s="26">
        <f>VLOOKUP(B46,'Data yoy'!$A:$AT,MATCH($C$1,'Data yoy'!$J$1:$AT$1,),)</f>
        <v/>
      </c>
      <c r="P46" s="26">
        <f>VLOOKUP(B46,'Data yoy'!$A:$AT,MATCH($P$1,'Data yoy'!$A$1:$AT$1,),)</f>
        <v/>
      </c>
      <c r="Q46" s="26">
        <f>VLOOKUP(B46,'Data yoy'!$A:$AT,MATCH($Q$1,'Data yoy'!$A$1:$AT$1,),)</f>
        <v/>
      </c>
      <c r="R46" s="26">
        <f>VLOOKUP(B46,'Data yoy'!$A:$AT,MATCH($E$1,'Data yoy'!$A$1:$AT$1,),)</f>
        <v/>
      </c>
      <c r="S46" s="26">
        <f>VLOOKUP(B46,'Data yoy'!$A:$AT,MATCH($S$1,'Data yoy'!$A$1:$AT$1,),)</f>
        <v/>
      </c>
      <c r="T46" s="26">
        <f>VLOOKUP(B46,'Data yoy'!$A:$AT,MATCH($T$1,'Data yoy'!$A$1:$AT$1,),)</f>
        <v/>
      </c>
      <c r="U46" s="26">
        <f>VLOOKUP(B46,'Data yoy'!$A:$AT,MATCH($U$1,'Data yoy'!$A$1:$AT$1,),)</f>
        <v/>
      </c>
      <c r="V46" s="26">
        <f>VLOOKUP(B46,'Data yoy'!$A:$AT,MATCH($V$1,'Data yoy'!$A$1:$AT$1,),)</f>
        <v/>
      </c>
      <c r="W46" s="26">
        <f>VLOOKUP(B46,'Data yoy'!$A:$AT,MATCH($W$1,'Data yoy'!$A$1:$AT$1,),)</f>
        <v/>
      </c>
      <c r="X46" s="26">
        <f>VLOOKUP(B46,'Data yoy'!$A:$AT,MATCH($X$1,'Data yoy'!$A$1:$AT$1,),)</f>
        <v/>
      </c>
      <c r="Y46" s="26">
        <f>VLOOKUP(B46,'Data yoy'!$A:$AT,MATCH($Y$1,'Data yoy'!$A$1:$AT$1,),)</f>
        <v/>
      </c>
      <c r="Z46" s="26">
        <f>VLOOKUP(B46,'Data yoy'!$A:$AU,MATCH($Z$1,'Data yoy'!$A$1:$AU$1,),)</f>
        <v/>
      </c>
      <c r="AA46" s="26">
        <f>VLOOKUP(B46,'Data yoy'!$A:$AU,MATCH($AA$1,'Data yoy'!$A$1:$AU$1,),)</f>
        <v/>
      </c>
      <c r="AB46" s="93" t="n"/>
      <c r="AC46" s="27">
        <f>B46</f>
        <v/>
      </c>
      <c r="AD46" s="28">
        <f>(VLOOKUP(AC46,B:Y,MATCH($AE$6,$B$1:$Y$1,),))</f>
        <v/>
      </c>
      <c r="AE46" s="28">
        <f>(VLOOKUP(AC46,B:Y,MATCH($AE$7,$B$1:$Y$1,),))</f>
        <v/>
      </c>
      <c r="AF46" s="28">
        <f>AD46-AE46</f>
        <v/>
      </c>
    </row>
    <row r="47" hidden="1" s="89">
      <c r="B47" s="25" t="inlineStr">
        <is>
          <t>2009-Q1</t>
        </is>
      </c>
      <c r="C47" s="26">
        <f>VLOOKUP(B47,'Data yoy'!$A:$AT,MATCH($C$1,'Data yoy'!$A$1:$AT$1,),)</f>
        <v/>
      </c>
      <c r="D47" s="26">
        <f>VLOOKUP(B47,'Data yoy'!$A:$AT,MATCH($D$1,'Data yoy'!$A$1:$AT$1,),)</f>
        <v/>
      </c>
      <c r="E47" s="26">
        <f>VLOOKUP(B47,'Data yoy'!$A:$AT,MATCH($E$1,'Data yoy'!$A$1:$AT$1,),)</f>
        <v/>
      </c>
      <c r="F47" s="26">
        <f>VLOOKUP(B47,'Data yoy'!$A:$AT,MATCH($F$1,'Data yoy'!$A$1:$AT$1,),)</f>
        <v/>
      </c>
      <c r="G47" s="26">
        <f>VLOOKUP(B47,'Data yoy'!$A:$AT,MATCH($G$1,'Data yoy'!$A$1:$AT$1,),)</f>
        <v/>
      </c>
      <c r="H47" s="26">
        <f>VLOOKUP(B47,'Data yoy'!$A:$AT,MATCH($H$1,'Data yoy'!$A$1:$AT$1,),)</f>
        <v/>
      </c>
      <c r="I47" s="26">
        <f>VLOOKUP(B47,'Data yoy'!$A:$AT,MATCH($I$1,'Data yoy'!$A$1:$AT$1,),)</f>
        <v/>
      </c>
      <c r="J47" s="26">
        <f>VLOOKUP(B47,'Data yoy'!$A:$AT,MATCH($J$1,'Data yoy'!$A$1:$AT$1,),)</f>
        <v/>
      </c>
      <c r="K47" s="26">
        <f>VLOOKUP(B47,'Data yoy'!$A:$AT,MATCH($K$1,'Data yoy'!$A$1:$AT$1,),)</f>
        <v/>
      </c>
      <c r="L47" s="26">
        <f>VLOOKUP(B47,'Data yoy'!$A:$AT,MATCH($L$1,'Data yoy'!$A$1:$AT$1,),)</f>
        <v/>
      </c>
      <c r="M47" s="26">
        <f>VLOOKUP(B47,'Data yoy'!$A:$AT,MATCH($M$1,'Data yoy'!$A$1:$AT$1,),)</f>
        <v/>
      </c>
      <c r="N47" s="26">
        <f>VLOOKUP(B47,'Data yoy'!$A:$AT,MATCH($N$1,'Data yoy'!$A$1:$AT$1,),)</f>
        <v/>
      </c>
      <c r="O47" s="26">
        <f>VLOOKUP(B47,'Data yoy'!$A:$AT,MATCH($C$1,'Data yoy'!$J$1:$AT$1,),)</f>
        <v/>
      </c>
      <c r="P47" s="26">
        <f>VLOOKUP(B47,'Data yoy'!$A:$AT,MATCH($P$1,'Data yoy'!$A$1:$AT$1,),)</f>
        <v/>
      </c>
      <c r="Q47" s="26">
        <f>VLOOKUP(B47,'Data yoy'!$A:$AT,MATCH($Q$1,'Data yoy'!$A$1:$AT$1,),)</f>
        <v/>
      </c>
      <c r="R47" s="26">
        <f>VLOOKUP(B47,'Data yoy'!$A:$AT,MATCH($E$1,'Data yoy'!$A$1:$AT$1,),)</f>
        <v/>
      </c>
      <c r="S47" s="26">
        <f>VLOOKUP(B47,'Data yoy'!$A:$AT,MATCH($S$1,'Data yoy'!$A$1:$AT$1,),)</f>
        <v/>
      </c>
      <c r="T47" s="26">
        <f>VLOOKUP(B47,'Data yoy'!$A:$AT,MATCH($T$1,'Data yoy'!$A$1:$AT$1,),)</f>
        <v/>
      </c>
      <c r="U47" s="26">
        <f>VLOOKUP(B47,'Data yoy'!$A:$AT,MATCH($U$1,'Data yoy'!$A$1:$AT$1,),)</f>
        <v/>
      </c>
      <c r="V47" s="26">
        <f>VLOOKUP(B47,'Data yoy'!$A:$AT,MATCH($V$1,'Data yoy'!$A$1:$AT$1,),)</f>
        <v/>
      </c>
      <c r="W47" s="26">
        <f>VLOOKUP(B47,'Data yoy'!$A:$AT,MATCH($W$1,'Data yoy'!$A$1:$AT$1,),)</f>
        <v/>
      </c>
      <c r="X47" s="26">
        <f>VLOOKUP(B47,'Data yoy'!$A:$AT,MATCH($X$1,'Data yoy'!$A$1:$AT$1,),)</f>
        <v/>
      </c>
      <c r="Y47" s="26">
        <f>VLOOKUP(B47,'Data yoy'!$A:$AT,MATCH($Y$1,'Data yoy'!$A$1:$AT$1,),)</f>
        <v/>
      </c>
      <c r="Z47" s="26">
        <f>VLOOKUP(B47,'Data yoy'!$A:$AU,MATCH($Z$1,'Data yoy'!$A$1:$AU$1,),)</f>
        <v/>
      </c>
      <c r="AA47" s="26">
        <f>VLOOKUP(B47,'Data yoy'!$A:$AU,MATCH($AA$1,'Data yoy'!$A$1:$AU$1,),)</f>
        <v/>
      </c>
      <c r="AB47" s="93" t="n"/>
      <c r="AC47" s="27">
        <f>B47</f>
        <v/>
      </c>
      <c r="AD47" s="28">
        <f>(VLOOKUP(AC47,B:Y,MATCH($AE$6,$B$1:$Y$1,),))</f>
        <v/>
      </c>
      <c r="AE47" s="28">
        <f>(VLOOKUP(AC47,B:Y,MATCH($AE$7,$B$1:$Y$1,),))</f>
        <v/>
      </c>
      <c r="AF47" s="28">
        <f>AD47-AE47</f>
        <v/>
      </c>
    </row>
    <row r="48" hidden="1" s="89">
      <c r="B48" s="25" t="inlineStr">
        <is>
          <t>2009-Q2</t>
        </is>
      </c>
      <c r="C48" s="26">
        <f>VLOOKUP(B48,'Data yoy'!$A:$AT,MATCH($C$1,'Data yoy'!$A$1:$AT$1,),)</f>
        <v/>
      </c>
      <c r="D48" s="26">
        <f>VLOOKUP(B48,'Data yoy'!$A:$AT,MATCH($D$1,'Data yoy'!$A$1:$AT$1,),)</f>
        <v/>
      </c>
      <c r="E48" s="26">
        <f>VLOOKUP(B48,'Data yoy'!$A:$AT,MATCH($E$1,'Data yoy'!$A$1:$AT$1,),)</f>
        <v/>
      </c>
      <c r="F48" s="26">
        <f>VLOOKUP(B48,'Data yoy'!$A:$AT,MATCH($F$1,'Data yoy'!$A$1:$AT$1,),)</f>
        <v/>
      </c>
      <c r="G48" s="26">
        <f>VLOOKUP(B48,'Data yoy'!$A:$AT,MATCH($G$1,'Data yoy'!$A$1:$AT$1,),)</f>
        <v/>
      </c>
      <c r="H48" s="26">
        <f>VLOOKUP(B48,'Data yoy'!$A:$AT,MATCH($H$1,'Data yoy'!$A$1:$AT$1,),)</f>
        <v/>
      </c>
      <c r="I48" s="26">
        <f>VLOOKUP(B48,'Data yoy'!$A:$AT,MATCH($I$1,'Data yoy'!$A$1:$AT$1,),)</f>
        <v/>
      </c>
      <c r="J48" s="26">
        <f>VLOOKUP(B48,'Data yoy'!$A:$AT,MATCH($J$1,'Data yoy'!$A$1:$AT$1,),)</f>
        <v/>
      </c>
      <c r="K48" s="26">
        <f>VLOOKUP(B48,'Data yoy'!$A:$AT,MATCH($K$1,'Data yoy'!$A$1:$AT$1,),)</f>
        <v/>
      </c>
      <c r="L48" s="26">
        <f>VLOOKUP(B48,'Data yoy'!$A:$AT,MATCH($L$1,'Data yoy'!$A$1:$AT$1,),)</f>
        <v/>
      </c>
      <c r="M48" s="26">
        <f>VLOOKUP(B48,'Data yoy'!$A:$AT,MATCH($M$1,'Data yoy'!$A$1:$AT$1,),)</f>
        <v/>
      </c>
      <c r="N48" s="26">
        <f>VLOOKUP(B48,'Data yoy'!$A:$AT,MATCH($N$1,'Data yoy'!$A$1:$AT$1,),)</f>
        <v/>
      </c>
      <c r="O48" s="26">
        <f>VLOOKUP(B48,'Data yoy'!$A:$AT,MATCH($C$1,'Data yoy'!$J$1:$AT$1,),)</f>
        <v/>
      </c>
      <c r="P48" s="26">
        <f>VLOOKUP(B48,'Data yoy'!$A:$AT,MATCH($P$1,'Data yoy'!$A$1:$AT$1,),)</f>
        <v/>
      </c>
      <c r="Q48" s="26">
        <f>VLOOKUP(B48,'Data yoy'!$A:$AT,MATCH($Q$1,'Data yoy'!$A$1:$AT$1,),)</f>
        <v/>
      </c>
      <c r="R48" s="26">
        <f>VLOOKUP(B48,'Data yoy'!$A:$AT,MATCH($E$1,'Data yoy'!$A$1:$AT$1,),)</f>
        <v/>
      </c>
      <c r="S48" s="26">
        <f>VLOOKUP(B48,'Data yoy'!$A:$AT,MATCH($S$1,'Data yoy'!$A$1:$AT$1,),)</f>
        <v/>
      </c>
      <c r="T48" s="26">
        <f>VLOOKUP(B48,'Data yoy'!$A:$AT,MATCH($T$1,'Data yoy'!$A$1:$AT$1,),)</f>
        <v/>
      </c>
      <c r="U48" s="26">
        <f>VLOOKUP(B48,'Data yoy'!$A:$AT,MATCH($U$1,'Data yoy'!$A$1:$AT$1,),)</f>
        <v/>
      </c>
      <c r="V48" s="26">
        <f>VLOOKUP(B48,'Data yoy'!$A:$AT,MATCH($V$1,'Data yoy'!$A$1:$AT$1,),)</f>
        <v/>
      </c>
      <c r="W48" s="26">
        <f>VLOOKUP(B48,'Data yoy'!$A:$AT,MATCH($W$1,'Data yoy'!$A$1:$AT$1,),)</f>
        <v/>
      </c>
      <c r="X48" s="26">
        <f>VLOOKUP(B48,'Data yoy'!$A:$AT,MATCH($X$1,'Data yoy'!$A$1:$AT$1,),)</f>
        <v/>
      </c>
      <c r="Y48" s="26">
        <f>VLOOKUP(B48,'Data yoy'!$A:$AT,MATCH($Y$1,'Data yoy'!$A$1:$AT$1,),)</f>
        <v/>
      </c>
      <c r="Z48" s="26">
        <f>VLOOKUP(B48,'Data yoy'!$A:$AU,MATCH($Z$1,'Data yoy'!$A$1:$AU$1,),)</f>
        <v/>
      </c>
      <c r="AA48" s="26">
        <f>VLOOKUP(B48,'Data yoy'!$A:$AU,MATCH($AA$1,'Data yoy'!$A$1:$AU$1,),)</f>
        <v/>
      </c>
      <c r="AB48" s="93" t="n"/>
      <c r="AC48" s="27">
        <f>B48</f>
        <v/>
      </c>
      <c r="AD48" s="28">
        <f>(VLOOKUP(AC48,B:Y,MATCH($AE$6,$B$1:$Y$1,),))</f>
        <v/>
      </c>
      <c r="AE48" s="28">
        <f>(VLOOKUP(AC48,B:Y,MATCH($AE$7,$B$1:$Y$1,),))</f>
        <v/>
      </c>
      <c r="AF48" s="28">
        <f>AD48-AE48</f>
        <v/>
      </c>
    </row>
    <row r="49" hidden="1" s="89">
      <c r="B49" s="25" t="inlineStr">
        <is>
          <t>2009-Q3</t>
        </is>
      </c>
      <c r="C49" s="26">
        <f>VLOOKUP(B49,'Data yoy'!$A:$AT,MATCH($C$1,'Data yoy'!$A$1:$AT$1,),)</f>
        <v/>
      </c>
      <c r="D49" s="26">
        <f>VLOOKUP(B49,'Data yoy'!$A:$AT,MATCH($D$1,'Data yoy'!$A$1:$AT$1,),)</f>
        <v/>
      </c>
      <c r="E49" s="26">
        <f>VLOOKUP(B49,'Data yoy'!$A:$AT,MATCH($E$1,'Data yoy'!$A$1:$AT$1,),)</f>
        <v/>
      </c>
      <c r="F49" s="26">
        <f>VLOOKUP(B49,'Data yoy'!$A:$AT,MATCH($F$1,'Data yoy'!$A$1:$AT$1,),)</f>
        <v/>
      </c>
      <c r="G49" s="26">
        <f>VLOOKUP(B49,'Data yoy'!$A:$AT,MATCH($G$1,'Data yoy'!$A$1:$AT$1,),)</f>
        <v/>
      </c>
      <c r="H49" s="26">
        <f>VLOOKUP(B49,'Data yoy'!$A:$AT,MATCH($H$1,'Data yoy'!$A$1:$AT$1,),)</f>
        <v/>
      </c>
      <c r="I49" s="26">
        <f>VLOOKUP(B49,'Data yoy'!$A:$AT,MATCH($I$1,'Data yoy'!$A$1:$AT$1,),)</f>
        <v/>
      </c>
      <c r="J49" s="26">
        <f>VLOOKUP(B49,'Data yoy'!$A:$AT,MATCH($J$1,'Data yoy'!$A$1:$AT$1,),)</f>
        <v/>
      </c>
      <c r="K49" s="26">
        <f>VLOOKUP(B49,'Data yoy'!$A:$AT,MATCH($K$1,'Data yoy'!$A$1:$AT$1,),)</f>
        <v/>
      </c>
      <c r="L49" s="26">
        <f>VLOOKUP(B49,'Data yoy'!$A:$AT,MATCH($L$1,'Data yoy'!$A$1:$AT$1,),)</f>
        <v/>
      </c>
      <c r="M49" s="26">
        <f>VLOOKUP(B49,'Data yoy'!$A:$AT,MATCH($M$1,'Data yoy'!$A$1:$AT$1,),)</f>
        <v/>
      </c>
      <c r="N49" s="26">
        <f>VLOOKUP(B49,'Data yoy'!$A:$AT,MATCH($N$1,'Data yoy'!$A$1:$AT$1,),)</f>
        <v/>
      </c>
      <c r="O49" s="26">
        <f>VLOOKUP(B49,'Data yoy'!$A:$AT,MATCH($C$1,'Data yoy'!$J$1:$AT$1,),)</f>
        <v/>
      </c>
      <c r="P49" s="26">
        <f>VLOOKUP(B49,'Data yoy'!$A:$AT,MATCH($P$1,'Data yoy'!$A$1:$AT$1,),)</f>
        <v/>
      </c>
      <c r="Q49" s="26">
        <f>VLOOKUP(B49,'Data yoy'!$A:$AT,MATCH($Q$1,'Data yoy'!$A$1:$AT$1,),)</f>
        <v/>
      </c>
      <c r="R49" s="26">
        <f>VLOOKUP(B49,'Data yoy'!$A:$AT,MATCH($E$1,'Data yoy'!$A$1:$AT$1,),)</f>
        <v/>
      </c>
      <c r="S49" s="26">
        <f>VLOOKUP(B49,'Data yoy'!$A:$AT,MATCH($S$1,'Data yoy'!$A$1:$AT$1,),)</f>
        <v/>
      </c>
      <c r="T49" s="26">
        <f>VLOOKUP(B49,'Data yoy'!$A:$AT,MATCH($T$1,'Data yoy'!$A$1:$AT$1,),)</f>
        <v/>
      </c>
      <c r="U49" s="26">
        <f>VLOOKUP(B49,'Data yoy'!$A:$AT,MATCH($U$1,'Data yoy'!$A$1:$AT$1,),)</f>
        <v/>
      </c>
      <c r="V49" s="26">
        <f>VLOOKUP(B49,'Data yoy'!$A:$AT,MATCH($V$1,'Data yoy'!$A$1:$AT$1,),)</f>
        <v/>
      </c>
      <c r="W49" s="26">
        <f>VLOOKUP(B49,'Data yoy'!$A:$AT,MATCH($W$1,'Data yoy'!$A$1:$AT$1,),)</f>
        <v/>
      </c>
      <c r="X49" s="26">
        <f>VLOOKUP(B49,'Data yoy'!$A:$AT,MATCH($X$1,'Data yoy'!$A$1:$AT$1,),)</f>
        <v/>
      </c>
      <c r="Y49" s="26">
        <f>VLOOKUP(B49,'Data yoy'!$A:$AT,MATCH($Y$1,'Data yoy'!$A$1:$AT$1,),)</f>
        <v/>
      </c>
      <c r="Z49" s="26">
        <f>VLOOKUP(B49,'Data yoy'!$A:$AU,MATCH($Z$1,'Data yoy'!$A$1:$AU$1,),)</f>
        <v/>
      </c>
      <c r="AA49" s="26">
        <f>VLOOKUP(B49,'Data yoy'!$A:$AU,MATCH($AA$1,'Data yoy'!$A$1:$AU$1,),)</f>
        <v/>
      </c>
      <c r="AB49" s="93" t="n"/>
      <c r="AC49" s="27">
        <f>B49</f>
        <v/>
      </c>
      <c r="AD49" s="28">
        <f>(VLOOKUP(AC49,B:Y,MATCH($AE$6,$B$1:$Y$1,),))</f>
        <v/>
      </c>
      <c r="AE49" s="28">
        <f>(VLOOKUP(AC49,B:Y,MATCH($AE$7,$B$1:$Y$1,),))</f>
        <v/>
      </c>
      <c r="AF49" s="28">
        <f>AD49-AE49</f>
        <v/>
      </c>
    </row>
    <row r="50" hidden="1" s="89">
      <c r="B50" s="25" t="inlineStr">
        <is>
          <t>2009-Q4</t>
        </is>
      </c>
      <c r="C50" s="26">
        <f>VLOOKUP(B50,'Data yoy'!$A:$AT,MATCH($C$1,'Data yoy'!$A$1:$AT$1,),)</f>
        <v/>
      </c>
      <c r="D50" s="26">
        <f>VLOOKUP(B50,'Data yoy'!$A:$AT,MATCH($D$1,'Data yoy'!$A$1:$AT$1,),)</f>
        <v/>
      </c>
      <c r="E50" s="26">
        <f>VLOOKUP(B50,'Data yoy'!$A:$AT,MATCH($E$1,'Data yoy'!$A$1:$AT$1,),)</f>
        <v/>
      </c>
      <c r="F50" s="26">
        <f>VLOOKUP(B50,'Data yoy'!$A:$AT,MATCH($F$1,'Data yoy'!$A$1:$AT$1,),)</f>
        <v/>
      </c>
      <c r="G50" s="26">
        <f>VLOOKUP(B50,'Data yoy'!$A:$AT,MATCH($G$1,'Data yoy'!$A$1:$AT$1,),)</f>
        <v/>
      </c>
      <c r="H50" s="26">
        <f>VLOOKUP(B50,'Data yoy'!$A:$AT,MATCH($H$1,'Data yoy'!$A$1:$AT$1,),)</f>
        <v/>
      </c>
      <c r="I50" s="26">
        <f>VLOOKUP(B50,'Data yoy'!$A:$AT,MATCH($I$1,'Data yoy'!$A$1:$AT$1,),)</f>
        <v/>
      </c>
      <c r="J50" s="26">
        <f>VLOOKUP(B50,'Data yoy'!$A:$AT,MATCH($J$1,'Data yoy'!$A$1:$AT$1,),)</f>
        <v/>
      </c>
      <c r="K50" s="26">
        <f>VLOOKUP(B50,'Data yoy'!$A:$AT,MATCH($K$1,'Data yoy'!$A$1:$AT$1,),)</f>
        <v/>
      </c>
      <c r="L50" s="26">
        <f>VLOOKUP(B50,'Data yoy'!$A:$AT,MATCH($L$1,'Data yoy'!$A$1:$AT$1,),)</f>
        <v/>
      </c>
      <c r="M50" s="26">
        <f>VLOOKUP(B50,'Data yoy'!$A:$AT,MATCH($M$1,'Data yoy'!$A$1:$AT$1,),)</f>
        <v/>
      </c>
      <c r="N50" s="26">
        <f>VLOOKUP(B50,'Data yoy'!$A:$AT,MATCH($N$1,'Data yoy'!$A$1:$AT$1,),)</f>
        <v/>
      </c>
      <c r="O50" s="26">
        <f>VLOOKUP(B50,'Data yoy'!$A:$AT,MATCH($C$1,'Data yoy'!$J$1:$AT$1,),)</f>
        <v/>
      </c>
      <c r="P50" s="26">
        <f>VLOOKUP(B50,'Data yoy'!$A:$AT,MATCH($P$1,'Data yoy'!$A$1:$AT$1,),)</f>
        <v/>
      </c>
      <c r="Q50" s="26">
        <f>VLOOKUP(B50,'Data yoy'!$A:$AT,MATCH($Q$1,'Data yoy'!$A$1:$AT$1,),)</f>
        <v/>
      </c>
      <c r="R50" s="26">
        <f>VLOOKUP(B50,'Data yoy'!$A:$AT,MATCH($E$1,'Data yoy'!$A$1:$AT$1,),)</f>
        <v/>
      </c>
      <c r="S50" s="26">
        <f>VLOOKUP(B50,'Data yoy'!$A:$AT,MATCH($S$1,'Data yoy'!$A$1:$AT$1,),)</f>
        <v/>
      </c>
      <c r="T50" s="26">
        <f>VLOOKUP(B50,'Data yoy'!$A:$AT,MATCH($T$1,'Data yoy'!$A$1:$AT$1,),)</f>
        <v/>
      </c>
      <c r="U50" s="26">
        <f>VLOOKUP(B50,'Data yoy'!$A:$AT,MATCH($U$1,'Data yoy'!$A$1:$AT$1,),)</f>
        <v/>
      </c>
      <c r="V50" s="26">
        <f>VLOOKUP(B50,'Data yoy'!$A:$AT,MATCH($V$1,'Data yoy'!$A$1:$AT$1,),)</f>
        <v/>
      </c>
      <c r="W50" s="26">
        <f>VLOOKUP(B50,'Data yoy'!$A:$AT,MATCH($W$1,'Data yoy'!$A$1:$AT$1,),)</f>
        <v/>
      </c>
      <c r="X50" s="26">
        <f>VLOOKUP(B50,'Data yoy'!$A:$AT,MATCH($X$1,'Data yoy'!$A$1:$AT$1,),)</f>
        <v/>
      </c>
      <c r="Y50" s="26">
        <f>VLOOKUP(B50,'Data yoy'!$A:$AT,MATCH($Y$1,'Data yoy'!$A$1:$AT$1,),)</f>
        <v/>
      </c>
      <c r="Z50" s="26">
        <f>VLOOKUP(B50,'Data yoy'!$A:$AU,MATCH($Z$1,'Data yoy'!$A$1:$AU$1,),)</f>
        <v/>
      </c>
      <c r="AA50" s="26">
        <f>VLOOKUP(B50,'Data yoy'!$A:$AU,MATCH($AA$1,'Data yoy'!$A$1:$AU$1,),)</f>
        <v/>
      </c>
      <c r="AB50" s="93" t="n"/>
      <c r="AC50" s="27">
        <f>B50</f>
        <v/>
      </c>
      <c r="AD50" s="28">
        <f>(VLOOKUP(AC50,B:Y,MATCH($AE$6,$B$1:$Y$1,),))</f>
        <v/>
      </c>
      <c r="AE50" s="28">
        <f>(VLOOKUP(AC50,B:Y,MATCH($AE$7,$B$1:$Y$1,),))</f>
        <v/>
      </c>
      <c r="AF50" s="28">
        <f>AD50-AE50</f>
        <v/>
      </c>
    </row>
    <row r="51" hidden="1" s="89">
      <c r="B51" s="25" t="inlineStr">
        <is>
          <t>2010-Q1</t>
        </is>
      </c>
      <c r="C51" s="26">
        <f>VLOOKUP(B51,'Data yoy'!$A:$AT,MATCH($C$1,'Data yoy'!$A$1:$AT$1,),)</f>
        <v/>
      </c>
      <c r="D51" s="26">
        <f>VLOOKUP(B51,'Data yoy'!$A:$AT,MATCH($D$1,'Data yoy'!$A$1:$AT$1,),)</f>
        <v/>
      </c>
      <c r="E51" s="26">
        <f>VLOOKUP(B51,'Data yoy'!$A:$AT,MATCH($E$1,'Data yoy'!$A$1:$AT$1,),)</f>
        <v/>
      </c>
      <c r="F51" s="26">
        <f>VLOOKUP(B51,'Data yoy'!$A:$AT,MATCH($F$1,'Data yoy'!$A$1:$AT$1,),)</f>
        <v/>
      </c>
      <c r="G51" s="26">
        <f>VLOOKUP(B51,'Data yoy'!$A:$AT,MATCH($G$1,'Data yoy'!$A$1:$AT$1,),)</f>
        <v/>
      </c>
      <c r="H51" s="26">
        <f>VLOOKUP(B51,'Data yoy'!$A:$AT,MATCH($H$1,'Data yoy'!$A$1:$AT$1,),)</f>
        <v/>
      </c>
      <c r="I51" s="26">
        <f>VLOOKUP(B51,'Data yoy'!$A:$AT,MATCH($I$1,'Data yoy'!$A$1:$AT$1,),)</f>
        <v/>
      </c>
      <c r="J51" s="26">
        <f>VLOOKUP(B51,'Data yoy'!$A:$AT,MATCH($J$1,'Data yoy'!$A$1:$AT$1,),)</f>
        <v/>
      </c>
      <c r="K51" s="26">
        <f>VLOOKUP(B51,'Data yoy'!$A:$AT,MATCH($K$1,'Data yoy'!$A$1:$AT$1,),)</f>
        <v/>
      </c>
      <c r="L51" s="26">
        <f>VLOOKUP(B51,'Data yoy'!$A:$AT,MATCH($L$1,'Data yoy'!$A$1:$AT$1,),)</f>
        <v/>
      </c>
      <c r="M51" s="26">
        <f>VLOOKUP(B51,'Data yoy'!$A:$AT,MATCH($M$1,'Data yoy'!$A$1:$AT$1,),)</f>
        <v/>
      </c>
      <c r="N51" s="26">
        <f>VLOOKUP(B51,'Data yoy'!$A:$AT,MATCH($N$1,'Data yoy'!$A$1:$AT$1,),)</f>
        <v/>
      </c>
      <c r="O51" s="26">
        <f>VLOOKUP(B51,'Data yoy'!$A:$AT,MATCH($C$1,'Data yoy'!$J$1:$AT$1,),)</f>
        <v/>
      </c>
      <c r="P51" s="26">
        <f>VLOOKUP(B51,'Data yoy'!$A:$AT,MATCH($P$1,'Data yoy'!$A$1:$AT$1,),)</f>
        <v/>
      </c>
      <c r="Q51" s="26">
        <f>VLOOKUP(B51,'Data yoy'!$A:$AT,MATCH($Q$1,'Data yoy'!$A$1:$AT$1,),)</f>
        <v/>
      </c>
      <c r="R51" s="26">
        <f>VLOOKUP(B51,'Data yoy'!$A:$AT,MATCH($E$1,'Data yoy'!$A$1:$AT$1,),)</f>
        <v/>
      </c>
      <c r="S51" s="26">
        <f>VLOOKUP(B51,'Data yoy'!$A:$AT,MATCH($S$1,'Data yoy'!$A$1:$AT$1,),)</f>
        <v/>
      </c>
      <c r="T51" s="26">
        <f>VLOOKUP(B51,'Data yoy'!$A:$AT,MATCH($T$1,'Data yoy'!$A$1:$AT$1,),)</f>
        <v/>
      </c>
      <c r="U51" s="26">
        <f>VLOOKUP(B51,'Data yoy'!$A:$AT,MATCH($U$1,'Data yoy'!$A$1:$AT$1,),)</f>
        <v/>
      </c>
      <c r="V51" s="26">
        <f>VLOOKUP(B51,'Data yoy'!$A:$AT,MATCH($V$1,'Data yoy'!$A$1:$AT$1,),)</f>
        <v/>
      </c>
      <c r="W51" s="26">
        <f>VLOOKUP(B51,'Data yoy'!$A:$AT,MATCH($W$1,'Data yoy'!$A$1:$AT$1,),)</f>
        <v/>
      </c>
      <c r="X51" s="26">
        <f>VLOOKUP(B51,'Data yoy'!$A:$AT,MATCH($X$1,'Data yoy'!$A$1:$AT$1,),)</f>
        <v/>
      </c>
      <c r="Y51" s="26">
        <f>VLOOKUP(B51,'Data yoy'!$A:$AT,MATCH($Y$1,'Data yoy'!$A$1:$AT$1,),)</f>
        <v/>
      </c>
      <c r="Z51" s="26">
        <f>VLOOKUP(B51,'Data yoy'!$A:$AU,MATCH($Z$1,'Data yoy'!$A$1:$AU$1,),)</f>
        <v/>
      </c>
      <c r="AA51" s="26">
        <f>VLOOKUP(B51,'Data yoy'!$A:$AU,MATCH($AA$1,'Data yoy'!$A$1:$AU$1,),)</f>
        <v/>
      </c>
      <c r="AB51" s="93" t="n"/>
      <c r="AC51" s="27">
        <f>B51</f>
        <v/>
      </c>
      <c r="AD51" s="28">
        <f>(VLOOKUP(AC51,B:Y,MATCH($AE$6,$B$1:$Y$1,),))</f>
        <v/>
      </c>
      <c r="AE51" s="28">
        <f>(VLOOKUP(AC51,B:Y,MATCH($AE$7,$B$1:$Y$1,),))</f>
        <v/>
      </c>
      <c r="AF51" s="28">
        <f>AD51-AE51</f>
        <v/>
      </c>
    </row>
    <row r="52" hidden="1" s="89">
      <c r="B52" s="25" t="inlineStr">
        <is>
          <t>2010-Q2</t>
        </is>
      </c>
      <c r="C52" s="26">
        <f>VLOOKUP(B52,'Data yoy'!$A:$AT,MATCH($C$1,'Data yoy'!$A$1:$AT$1,),)</f>
        <v/>
      </c>
      <c r="D52" s="26">
        <f>VLOOKUP(B52,'Data yoy'!$A:$AT,MATCH($D$1,'Data yoy'!$A$1:$AT$1,),)</f>
        <v/>
      </c>
      <c r="E52" s="26">
        <f>VLOOKUP(B52,'Data yoy'!$A:$AT,MATCH($E$1,'Data yoy'!$A$1:$AT$1,),)</f>
        <v/>
      </c>
      <c r="F52" s="26">
        <f>VLOOKUP(B52,'Data yoy'!$A:$AT,MATCH($F$1,'Data yoy'!$A$1:$AT$1,),)</f>
        <v/>
      </c>
      <c r="G52" s="26">
        <f>VLOOKUP(B52,'Data yoy'!$A:$AT,MATCH($G$1,'Data yoy'!$A$1:$AT$1,),)</f>
        <v/>
      </c>
      <c r="H52" s="26">
        <f>VLOOKUP(B52,'Data yoy'!$A:$AT,MATCH($H$1,'Data yoy'!$A$1:$AT$1,),)</f>
        <v/>
      </c>
      <c r="I52" s="26">
        <f>VLOOKUP(B52,'Data yoy'!$A:$AT,MATCH($I$1,'Data yoy'!$A$1:$AT$1,),)</f>
        <v/>
      </c>
      <c r="J52" s="26">
        <f>VLOOKUP(B52,'Data yoy'!$A:$AT,MATCH($J$1,'Data yoy'!$A$1:$AT$1,),)</f>
        <v/>
      </c>
      <c r="K52" s="26">
        <f>VLOOKUP(B52,'Data yoy'!$A:$AT,MATCH($K$1,'Data yoy'!$A$1:$AT$1,),)</f>
        <v/>
      </c>
      <c r="L52" s="26">
        <f>VLOOKUP(B52,'Data yoy'!$A:$AT,MATCH($L$1,'Data yoy'!$A$1:$AT$1,),)</f>
        <v/>
      </c>
      <c r="M52" s="26">
        <f>VLOOKUP(B52,'Data yoy'!$A:$AT,MATCH($M$1,'Data yoy'!$A$1:$AT$1,),)</f>
        <v/>
      </c>
      <c r="N52" s="26">
        <f>VLOOKUP(B52,'Data yoy'!$A:$AT,MATCH($N$1,'Data yoy'!$A$1:$AT$1,),)</f>
        <v/>
      </c>
      <c r="O52" s="26">
        <f>VLOOKUP(B52,'Data yoy'!$A:$AT,MATCH($C$1,'Data yoy'!$J$1:$AT$1,),)</f>
        <v/>
      </c>
      <c r="P52" s="26">
        <f>VLOOKUP(B52,'Data yoy'!$A:$AT,MATCH($P$1,'Data yoy'!$A$1:$AT$1,),)</f>
        <v/>
      </c>
      <c r="Q52" s="26">
        <f>VLOOKUP(B52,'Data yoy'!$A:$AT,MATCH($Q$1,'Data yoy'!$A$1:$AT$1,),)</f>
        <v/>
      </c>
      <c r="R52" s="26">
        <f>VLOOKUP(B52,'Data yoy'!$A:$AT,MATCH($E$1,'Data yoy'!$A$1:$AT$1,),)</f>
        <v/>
      </c>
      <c r="S52" s="26">
        <f>VLOOKUP(B52,'Data yoy'!$A:$AT,MATCH($S$1,'Data yoy'!$A$1:$AT$1,),)</f>
        <v/>
      </c>
      <c r="T52" s="26">
        <f>VLOOKUP(B52,'Data yoy'!$A:$AT,MATCH($T$1,'Data yoy'!$A$1:$AT$1,),)</f>
        <v/>
      </c>
      <c r="U52" s="26">
        <f>VLOOKUP(B52,'Data yoy'!$A:$AT,MATCH($U$1,'Data yoy'!$A$1:$AT$1,),)</f>
        <v/>
      </c>
      <c r="V52" s="26">
        <f>VLOOKUP(B52,'Data yoy'!$A:$AT,MATCH($V$1,'Data yoy'!$A$1:$AT$1,),)</f>
        <v/>
      </c>
      <c r="W52" s="26">
        <f>VLOOKUP(B52,'Data yoy'!$A:$AT,MATCH($W$1,'Data yoy'!$A$1:$AT$1,),)</f>
        <v/>
      </c>
      <c r="X52" s="26">
        <f>VLOOKUP(B52,'Data yoy'!$A:$AT,MATCH($X$1,'Data yoy'!$A$1:$AT$1,),)</f>
        <v/>
      </c>
      <c r="Y52" s="26">
        <f>VLOOKUP(B52,'Data yoy'!$A:$AT,MATCH($Y$1,'Data yoy'!$A$1:$AT$1,),)</f>
        <v/>
      </c>
      <c r="Z52" s="26">
        <f>VLOOKUP(B52,'Data yoy'!$A:$AU,MATCH($Z$1,'Data yoy'!$A$1:$AU$1,),)</f>
        <v/>
      </c>
      <c r="AA52" s="26">
        <f>VLOOKUP(B52,'Data yoy'!$A:$AU,MATCH($AA$1,'Data yoy'!$A$1:$AU$1,),)</f>
        <v/>
      </c>
      <c r="AB52" s="93" t="n"/>
      <c r="AC52" s="27">
        <f>B52</f>
        <v/>
      </c>
      <c r="AD52" s="28">
        <f>(VLOOKUP(AC52,B:Y,MATCH($AE$6,$B$1:$Y$1,),))</f>
        <v/>
      </c>
      <c r="AE52" s="28">
        <f>(VLOOKUP(AC52,B:Y,MATCH($AE$7,$B$1:$Y$1,),))</f>
        <v/>
      </c>
      <c r="AF52" s="28">
        <f>AD52-AE52</f>
        <v/>
      </c>
    </row>
    <row r="53" hidden="1" s="89">
      <c r="B53" s="25" t="inlineStr">
        <is>
          <t>2010-Q3</t>
        </is>
      </c>
      <c r="C53" s="26">
        <f>VLOOKUP(B53,'Data yoy'!$A:$AT,MATCH($C$1,'Data yoy'!$A$1:$AT$1,),)</f>
        <v/>
      </c>
      <c r="D53" s="26">
        <f>VLOOKUP(B53,'Data yoy'!$A:$AT,MATCH($D$1,'Data yoy'!$A$1:$AT$1,),)</f>
        <v/>
      </c>
      <c r="E53" s="26">
        <f>VLOOKUP(B53,'Data yoy'!$A:$AT,MATCH($E$1,'Data yoy'!$A$1:$AT$1,),)</f>
        <v/>
      </c>
      <c r="F53" s="26">
        <f>VLOOKUP(B53,'Data yoy'!$A:$AT,MATCH($F$1,'Data yoy'!$A$1:$AT$1,),)</f>
        <v/>
      </c>
      <c r="G53" s="26">
        <f>VLOOKUP(B53,'Data yoy'!$A:$AT,MATCH($G$1,'Data yoy'!$A$1:$AT$1,),)</f>
        <v/>
      </c>
      <c r="H53" s="26">
        <f>VLOOKUP(B53,'Data yoy'!$A:$AT,MATCH($H$1,'Data yoy'!$A$1:$AT$1,),)</f>
        <v/>
      </c>
      <c r="I53" s="26">
        <f>VLOOKUP(B53,'Data yoy'!$A:$AT,MATCH($I$1,'Data yoy'!$A$1:$AT$1,),)</f>
        <v/>
      </c>
      <c r="J53" s="26">
        <f>VLOOKUP(B53,'Data yoy'!$A:$AT,MATCH($J$1,'Data yoy'!$A$1:$AT$1,),)</f>
        <v/>
      </c>
      <c r="K53" s="26">
        <f>VLOOKUP(B53,'Data yoy'!$A:$AT,MATCH($K$1,'Data yoy'!$A$1:$AT$1,),)</f>
        <v/>
      </c>
      <c r="L53" s="26">
        <f>VLOOKUP(B53,'Data yoy'!$A:$AT,MATCH($L$1,'Data yoy'!$A$1:$AT$1,),)</f>
        <v/>
      </c>
      <c r="M53" s="26">
        <f>VLOOKUP(B53,'Data yoy'!$A:$AT,MATCH($M$1,'Data yoy'!$A$1:$AT$1,),)</f>
        <v/>
      </c>
      <c r="N53" s="26">
        <f>VLOOKUP(B53,'Data yoy'!$A:$AT,MATCH($N$1,'Data yoy'!$A$1:$AT$1,),)</f>
        <v/>
      </c>
      <c r="O53" s="26">
        <f>VLOOKUP(B53,'Data yoy'!$A:$AT,MATCH($C$1,'Data yoy'!$J$1:$AT$1,),)</f>
        <v/>
      </c>
      <c r="P53" s="26">
        <f>VLOOKUP(B53,'Data yoy'!$A:$AT,MATCH($P$1,'Data yoy'!$A$1:$AT$1,),)</f>
        <v/>
      </c>
      <c r="Q53" s="26">
        <f>VLOOKUP(B53,'Data yoy'!$A:$AT,MATCH($Q$1,'Data yoy'!$A$1:$AT$1,),)</f>
        <v/>
      </c>
      <c r="R53" s="26">
        <f>VLOOKUP(B53,'Data yoy'!$A:$AT,MATCH($E$1,'Data yoy'!$A$1:$AT$1,),)</f>
        <v/>
      </c>
      <c r="S53" s="26">
        <f>VLOOKUP(B53,'Data yoy'!$A:$AT,MATCH($S$1,'Data yoy'!$A$1:$AT$1,),)</f>
        <v/>
      </c>
      <c r="T53" s="26">
        <f>VLOOKUP(B53,'Data yoy'!$A:$AT,MATCH($T$1,'Data yoy'!$A$1:$AT$1,),)</f>
        <v/>
      </c>
      <c r="U53" s="26">
        <f>VLOOKUP(B53,'Data yoy'!$A:$AT,MATCH($U$1,'Data yoy'!$A$1:$AT$1,),)</f>
        <v/>
      </c>
      <c r="V53" s="26">
        <f>VLOOKUP(B53,'Data yoy'!$A:$AT,MATCH($V$1,'Data yoy'!$A$1:$AT$1,),)</f>
        <v/>
      </c>
      <c r="W53" s="26">
        <f>VLOOKUP(B53,'Data yoy'!$A:$AT,MATCH($W$1,'Data yoy'!$A$1:$AT$1,),)</f>
        <v/>
      </c>
      <c r="X53" s="26">
        <f>VLOOKUP(B53,'Data yoy'!$A:$AT,MATCH($X$1,'Data yoy'!$A$1:$AT$1,),)</f>
        <v/>
      </c>
      <c r="Y53" s="26">
        <f>VLOOKUP(B53,'Data yoy'!$A:$AT,MATCH($Y$1,'Data yoy'!$A$1:$AT$1,),)</f>
        <v/>
      </c>
      <c r="Z53" s="26">
        <f>VLOOKUP(B53,'Data yoy'!$A:$AU,MATCH($Z$1,'Data yoy'!$A$1:$AU$1,),)</f>
        <v/>
      </c>
      <c r="AA53" s="26">
        <f>VLOOKUP(B53,'Data yoy'!$A:$AU,MATCH($AA$1,'Data yoy'!$A$1:$AU$1,),)</f>
        <v/>
      </c>
      <c r="AB53" s="93" t="n"/>
      <c r="AC53" s="27">
        <f>B53</f>
        <v/>
      </c>
      <c r="AD53" s="28">
        <f>(VLOOKUP(AC53,B:Y,MATCH($AE$6,$B$1:$Y$1,),))</f>
        <v/>
      </c>
      <c r="AE53" s="28">
        <f>(VLOOKUP(AC53,B:Y,MATCH($AE$7,$B$1:$Y$1,),))</f>
        <v/>
      </c>
      <c r="AF53" s="28">
        <f>AD53-AE53</f>
        <v/>
      </c>
    </row>
    <row r="54" hidden="1" s="89">
      <c r="B54" s="25" t="inlineStr">
        <is>
          <t>2010-Q4</t>
        </is>
      </c>
      <c r="C54" s="26">
        <f>VLOOKUP(B54,'Data yoy'!$A:$AT,MATCH($C$1,'Data yoy'!$A$1:$AT$1,),)</f>
        <v/>
      </c>
      <c r="D54" s="26">
        <f>VLOOKUP(B54,'Data yoy'!$A:$AT,MATCH($D$1,'Data yoy'!$A$1:$AT$1,),)</f>
        <v/>
      </c>
      <c r="E54" s="26">
        <f>VLOOKUP(B54,'Data yoy'!$A:$AT,MATCH($E$1,'Data yoy'!$A$1:$AT$1,),)</f>
        <v/>
      </c>
      <c r="F54" s="26">
        <f>VLOOKUP(B54,'Data yoy'!$A:$AT,MATCH($F$1,'Data yoy'!$A$1:$AT$1,),)</f>
        <v/>
      </c>
      <c r="G54" s="26">
        <f>VLOOKUP(B54,'Data yoy'!$A:$AT,MATCH($G$1,'Data yoy'!$A$1:$AT$1,),)</f>
        <v/>
      </c>
      <c r="H54" s="26">
        <f>VLOOKUP(B54,'Data yoy'!$A:$AT,MATCH($H$1,'Data yoy'!$A$1:$AT$1,),)</f>
        <v/>
      </c>
      <c r="I54" s="26">
        <f>VLOOKUP(B54,'Data yoy'!$A:$AT,MATCH($I$1,'Data yoy'!$A$1:$AT$1,),)</f>
        <v/>
      </c>
      <c r="J54" s="26">
        <f>VLOOKUP(B54,'Data yoy'!$A:$AT,MATCH($J$1,'Data yoy'!$A$1:$AT$1,),)</f>
        <v/>
      </c>
      <c r="K54" s="26">
        <f>VLOOKUP(B54,'Data yoy'!$A:$AT,MATCH($K$1,'Data yoy'!$A$1:$AT$1,),)</f>
        <v/>
      </c>
      <c r="L54" s="26">
        <f>VLOOKUP(B54,'Data yoy'!$A:$AT,MATCH($L$1,'Data yoy'!$A$1:$AT$1,),)</f>
        <v/>
      </c>
      <c r="M54" s="26">
        <f>VLOOKUP(B54,'Data yoy'!$A:$AT,MATCH($M$1,'Data yoy'!$A$1:$AT$1,),)</f>
        <v/>
      </c>
      <c r="N54" s="26">
        <f>VLOOKUP(B54,'Data yoy'!$A:$AT,MATCH($N$1,'Data yoy'!$A$1:$AT$1,),)</f>
        <v/>
      </c>
      <c r="O54" s="26">
        <f>VLOOKUP(B54,'Data yoy'!$A:$AT,MATCH($C$1,'Data yoy'!$J$1:$AT$1,),)</f>
        <v/>
      </c>
      <c r="P54" s="26">
        <f>VLOOKUP(B54,'Data yoy'!$A:$AT,MATCH($P$1,'Data yoy'!$A$1:$AT$1,),)</f>
        <v/>
      </c>
      <c r="Q54" s="26">
        <f>VLOOKUP(B54,'Data yoy'!$A:$AT,MATCH($Q$1,'Data yoy'!$A$1:$AT$1,),)</f>
        <v/>
      </c>
      <c r="R54" s="26">
        <f>VLOOKUP(B54,'Data yoy'!$A:$AT,MATCH($E$1,'Data yoy'!$A$1:$AT$1,),)</f>
        <v/>
      </c>
      <c r="S54" s="26">
        <f>VLOOKUP(B54,'Data yoy'!$A:$AT,MATCH($S$1,'Data yoy'!$A$1:$AT$1,),)</f>
        <v/>
      </c>
      <c r="T54" s="26">
        <f>VLOOKUP(B54,'Data yoy'!$A:$AT,MATCH($T$1,'Data yoy'!$A$1:$AT$1,),)</f>
        <v/>
      </c>
      <c r="U54" s="26">
        <f>VLOOKUP(B54,'Data yoy'!$A:$AT,MATCH($U$1,'Data yoy'!$A$1:$AT$1,),)</f>
        <v/>
      </c>
      <c r="V54" s="26">
        <f>VLOOKUP(B54,'Data yoy'!$A:$AT,MATCH($V$1,'Data yoy'!$A$1:$AT$1,),)</f>
        <v/>
      </c>
      <c r="W54" s="26">
        <f>VLOOKUP(B54,'Data yoy'!$A:$AT,MATCH($W$1,'Data yoy'!$A$1:$AT$1,),)</f>
        <v/>
      </c>
      <c r="X54" s="26">
        <f>VLOOKUP(B54,'Data yoy'!$A:$AT,MATCH($X$1,'Data yoy'!$A$1:$AT$1,),)</f>
        <v/>
      </c>
      <c r="Y54" s="26">
        <f>VLOOKUP(B54,'Data yoy'!$A:$AT,MATCH($Y$1,'Data yoy'!$A$1:$AT$1,),)</f>
        <v/>
      </c>
      <c r="Z54" s="26">
        <f>VLOOKUP(B54,'Data yoy'!$A:$AU,MATCH($Z$1,'Data yoy'!$A$1:$AU$1,),)</f>
        <v/>
      </c>
      <c r="AA54" s="26">
        <f>VLOOKUP(B54,'Data yoy'!$A:$AU,MATCH($AA$1,'Data yoy'!$A$1:$AU$1,),)</f>
        <v/>
      </c>
      <c r="AB54" s="93" t="n"/>
      <c r="AC54" s="27">
        <f>B54</f>
        <v/>
      </c>
      <c r="AD54" s="28">
        <f>(VLOOKUP(AC54,B:Y,MATCH($AE$6,$B$1:$Y$1,),))</f>
        <v/>
      </c>
      <c r="AE54" s="28">
        <f>(VLOOKUP(AC54,B:Y,MATCH($AE$7,$B$1:$Y$1,),))</f>
        <v/>
      </c>
      <c r="AF54" s="28">
        <f>AD54-AE54</f>
        <v/>
      </c>
    </row>
    <row r="55" hidden="1" s="89">
      <c r="B55" s="25" t="inlineStr">
        <is>
          <t>2011-Q1</t>
        </is>
      </c>
      <c r="C55" s="26">
        <f>VLOOKUP(B55,'Data yoy'!$A:$AT,MATCH($C$1,'Data yoy'!$A$1:$AT$1,),)</f>
        <v/>
      </c>
      <c r="D55" s="26">
        <f>VLOOKUP(B55,'Data yoy'!$A:$AT,MATCH($D$1,'Data yoy'!$A$1:$AT$1,),)</f>
        <v/>
      </c>
      <c r="E55" s="26">
        <f>VLOOKUP(B55,'Data yoy'!$A:$AT,MATCH($E$1,'Data yoy'!$A$1:$AT$1,),)</f>
        <v/>
      </c>
      <c r="F55" s="26">
        <f>VLOOKUP(B55,'Data yoy'!$A:$AT,MATCH($F$1,'Data yoy'!$A$1:$AT$1,),)</f>
        <v/>
      </c>
      <c r="G55" s="26">
        <f>VLOOKUP(B55,'Data yoy'!$A:$AT,MATCH($G$1,'Data yoy'!$A$1:$AT$1,),)</f>
        <v/>
      </c>
      <c r="H55" s="26">
        <f>VLOOKUP(B55,'Data yoy'!$A:$AT,MATCH($H$1,'Data yoy'!$A$1:$AT$1,),)</f>
        <v/>
      </c>
      <c r="I55" s="26">
        <f>VLOOKUP(B55,'Data yoy'!$A:$AT,MATCH($I$1,'Data yoy'!$A$1:$AT$1,),)</f>
        <v/>
      </c>
      <c r="J55" s="26">
        <f>VLOOKUP(B55,'Data yoy'!$A:$AT,MATCH($J$1,'Data yoy'!$A$1:$AT$1,),)</f>
        <v/>
      </c>
      <c r="K55" s="26">
        <f>VLOOKUP(B55,'Data yoy'!$A:$AT,MATCH($K$1,'Data yoy'!$A$1:$AT$1,),)</f>
        <v/>
      </c>
      <c r="L55" s="26">
        <f>VLOOKUP(B55,'Data yoy'!$A:$AT,MATCH($L$1,'Data yoy'!$A$1:$AT$1,),)</f>
        <v/>
      </c>
      <c r="M55" s="26">
        <f>VLOOKUP(B55,'Data yoy'!$A:$AT,MATCH($M$1,'Data yoy'!$A$1:$AT$1,),)</f>
        <v/>
      </c>
      <c r="N55" s="26">
        <f>VLOOKUP(B55,'Data yoy'!$A:$AT,MATCH($N$1,'Data yoy'!$A$1:$AT$1,),)</f>
        <v/>
      </c>
      <c r="O55" s="26">
        <f>VLOOKUP(B55,'Data yoy'!$A:$AT,MATCH($C$1,'Data yoy'!$J$1:$AT$1,),)</f>
        <v/>
      </c>
      <c r="P55" s="26">
        <f>VLOOKUP(B55,'Data yoy'!$A:$AT,MATCH($P$1,'Data yoy'!$A$1:$AT$1,),)</f>
        <v/>
      </c>
      <c r="Q55" s="26">
        <f>VLOOKUP(B55,'Data yoy'!$A:$AT,MATCH($Q$1,'Data yoy'!$A$1:$AT$1,),)</f>
        <v/>
      </c>
      <c r="R55" s="26">
        <f>VLOOKUP(B55,'Data yoy'!$A:$AT,MATCH($E$1,'Data yoy'!$A$1:$AT$1,),)</f>
        <v/>
      </c>
      <c r="S55" s="26">
        <f>VLOOKUP(B55,'Data yoy'!$A:$AT,MATCH($S$1,'Data yoy'!$A$1:$AT$1,),)</f>
        <v/>
      </c>
      <c r="T55" s="26">
        <f>VLOOKUP(B55,'Data yoy'!$A:$AT,MATCH($T$1,'Data yoy'!$A$1:$AT$1,),)</f>
        <v/>
      </c>
      <c r="U55" s="26">
        <f>VLOOKUP(B55,'Data yoy'!$A:$AT,MATCH($U$1,'Data yoy'!$A$1:$AT$1,),)</f>
        <v/>
      </c>
      <c r="V55" s="26">
        <f>VLOOKUP(B55,'Data yoy'!$A:$AT,MATCH($V$1,'Data yoy'!$A$1:$AT$1,),)</f>
        <v/>
      </c>
      <c r="W55" s="26">
        <f>VLOOKUP(B55,'Data yoy'!$A:$AT,MATCH($W$1,'Data yoy'!$A$1:$AT$1,),)</f>
        <v/>
      </c>
      <c r="X55" s="26">
        <f>VLOOKUP(B55,'Data yoy'!$A:$AT,MATCH($X$1,'Data yoy'!$A$1:$AT$1,),)</f>
        <v/>
      </c>
      <c r="Y55" s="26">
        <f>VLOOKUP(B55,'Data yoy'!$A:$AT,MATCH($Y$1,'Data yoy'!$A$1:$AT$1,),)</f>
        <v/>
      </c>
      <c r="Z55" s="26">
        <f>VLOOKUP(B55,'Data yoy'!$A:$AU,MATCH($Z$1,'Data yoy'!$A$1:$AU$1,),)</f>
        <v/>
      </c>
      <c r="AA55" s="26">
        <f>VLOOKUP(B55,'Data yoy'!$A:$AU,MATCH($AA$1,'Data yoy'!$A$1:$AU$1,),)</f>
        <v/>
      </c>
      <c r="AB55" s="93" t="n"/>
      <c r="AC55" s="27">
        <f>B55</f>
        <v/>
      </c>
      <c r="AD55" s="28">
        <f>(VLOOKUP(AC55,B:Y,MATCH($AE$6,$B$1:$Y$1,),))</f>
        <v/>
      </c>
      <c r="AE55" s="28">
        <f>(VLOOKUP(AC55,B:Y,MATCH($AE$7,$B$1:$Y$1,),))</f>
        <v/>
      </c>
      <c r="AF55" s="28">
        <f>AD55-AE55</f>
        <v/>
      </c>
    </row>
    <row r="56" hidden="1" s="89">
      <c r="B56" s="25" t="inlineStr">
        <is>
          <t>2011-Q2</t>
        </is>
      </c>
      <c r="C56" s="26">
        <f>VLOOKUP(B56,'Data yoy'!$A:$AT,MATCH($C$1,'Data yoy'!$A$1:$AT$1,),)</f>
        <v/>
      </c>
      <c r="D56" s="26">
        <f>VLOOKUP(B56,'Data yoy'!$A:$AT,MATCH($D$1,'Data yoy'!$A$1:$AT$1,),)</f>
        <v/>
      </c>
      <c r="E56" s="26">
        <f>VLOOKUP(B56,'Data yoy'!$A:$AT,MATCH($E$1,'Data yoy'!$A$1:$AT$1,),)</f>
        <v/>
      </c>
      <c r="F56" s="26">
        <f>VLOOKUP(B56,'Data yoy'!$A:$AT,MATCH($F$1,'Data yoy'!$A$1:$AT$1,),)</f>
        <v/>
      </c>
      <c r="G56" s="26">
        <f>VLOOKUP(B56,'Data yoy'!$A:$AT,MATCH($G$1,'Data yoy'!$A$1:$AT$1,),)</f>
        <v/>
      </c>
      <c r="H56" s="26">
        <f>VLOOKUP(B56,'Data yoy'!$A:$AT,MATCH($H$1,'Data yoy'!$A$1:$AT$1,),)</f>
        <v/>
      </c>
      <c r="I56" s="26">
        <f>VLOOKUP(B56,'Data yoy'!$A:$AT,MATCH($I$1,'Data yoy'!$A$1:$AT$1,),)</f>
        <v/>
      </c>
      <c r="J56" s="26">
        <f>VLOOKUP(B56,'Data yoy'!$A:$AT,MATCH($J$1,'Data yoy'!$A$1:$AT$1,),)</f>
        <v/>
      </c>
      <c r="K56" s="26">
        <f>VLOOKUP(B56,'Data yoy'!$A:$AT,MATCH($K$1,'Data yoy'!$A$1:$AT$1,),)</f>
        <v/>
      </c>
      <c r="L56" s="26">
        <f>VLOOKUP(B56,'Data yoy'!$A:$AT,MATCH($L$1,'Data yoy'!$A$1:$AT$1,),)</f>
        <v/>
      </c>
      <c r="M56" s="26">
        <f>VLOOKUP(B56,'Data yoy'!$A:$AT,MATCH($M$1,'Data yoy'!$A$1:$AT$1,),)</f>
        <v/>
      </c>
      <c r="N56" s="26">
        <f>VLOOKUP(B56,'Data yoy'!$A:$AT,MATCH($N$1,'Data yoy'!$A$1:$AT$1,),)</f>
        <v/>
      </c>
      <c r="O56" s="26">
        <f>VLOOKUP(B56,'Data yoy'!$A:$AT,MATCH($C$1,'Data yoy'!$J$1:$AT$1,),)</f>
        <v/>
      </c>
      <c r="P56" s="26">
        <f>VLOOKUP(B56,'Data yoy'!$A:$AT,MATCH($P$1,'Data yoy'!$A$1:$AT$1,),)</f>
        <v/>
      </c>
      <c r="Q56" s="26">
        <f>VLOOKUP(B56,'Data yoy'!$A:$AT,MATCH($Q$1,'Data yoy'!$A$1:$AT$1,),)</f>
        <v/>
      </c>
      <c r="R56" s="26">
        <f>VLOOKUP(B56,'Data yoy'!$A:$AT,MATCH($E$1,'Data yoy'!$A$1:$AT$1,),)</f>
        <v/>
      </c>
      <c r="S56" s="26">
        <f>VLOOKUP(B56,'Data yoy'!$A:$AT,MATCH($S$1,'Data yoy'!$A$1:$AT$1,),)</f>
        <v/>
      </c>
      <c r="T56" s="26">
        <f>VLOOKUP(B56,'Data yoy'!$A:$AT,MATCH($T$1,'Data yoy'!$A$1:$AT$1,),)</f>
        <v/>
      </c>
      <c r="U56" s="26">
        <f>VLOOKUP(B56,'Data yoy'!$A:$AT,MATCH($U$1,'Data yoy'!$A$1:$AT$1,),)</f>
        <v/>
      </c>
      <c r="V56" s="26">
        <f>VLOOKUP(B56,'Data yoy'!$A:$AT,MATCH($V$1,'Data yoy'!$A$1:$AT$1,),)</f>
        <v/>
      </c>
      <c r="W56" s="26">
        <f>VLOOKUP(B56,'Data yoy'!$A:$AT,MATCH($W$1,'Data yoy'!$A$1:$AT$1,),)</f>
        <v/>
      </c>
      <c r="X56" s="26">
        <f>VLOOKUP(B56,'Data yoy'!$A:$AT,MATCH($X$1,'Data yoy'!$A$1:$AT$1,),)</f>
        <v/>
      </c>
      <c r="Y56" s="26">
        <f>VLOOKUP(B56,'Data yoy'!$A:$AT,MATCH($Y$1,'Data yoy'!$A$1:$AT$1,),)</f>
        <v/>
      </c>
      <c r="Z56" s="26">
        <f>VLOOKUP(B56,'Data yoy'!$A:$AU,MATCH($Z$1,'Data yoy'!$A$1:$AU$1,),)</f>
        <v/>
      </c>
      <c r="AA56" s="26">
        <f>VLOOKUP(B56,'Data yoy'!$A:$AU,MATCH($AA$1,'Data yoy'!$A$1:$AU$1,),)</f>
        <v/>
      </c>
      <c r="AB56" s="93" t="n"/>
      <c r="AC56" s="27">
        <f>B56</f>
        <v/>
      </c>
      <c r="AD56" s="28">
        <f>(VLOOKUP(AC56,B:Y,MATCH($AE$6,$B$1:$Y$1,),))</f>
        <v/>
      </c>
      <c r="AE56" s="28">
        <f>(VLOOKUP(AC56,B:Y,MATCH($AE$7,$B$1:$Y$1,),))</f>
        <v/>
      </c>
      <c r="AF56" s="28">
        <f>AD56-AE56</f>
        <v/>
      </c>
    </row>
    <row r="57" hidden="1" s="89">
      <c r="B57" s="25" t="inlineStr">
        <is>
          <t>2011-Q3</t>
        </is>
      </c>
      <c r="C57" s="26">
        <f>VLOOKUP(B57,'Data yoy'!$A:$AT,MATCH($C$1,'Data yoy'!$A$1:$AT$1,),)</f>
        <v/>
      </c>
      <c r="D57" s="26">
        <f>VLOOKUP(B57,'Data yoy'!$A:$AT,MATCH($D$1,'Data yoy'!$A$1:$AT$1,),)</f>
        <v/>
      </c>
      <c r="E57" s="26">
        <f>VLOOKUP(B57,'Data yoy'!$A:$AT,MATCH($E$1,'Data yoy'!$A$1:$AT$1,),)</f>
        <v/>
      </c>
      <c r="F57" s="26">
        <f>VLOOKUP(B57,'Data yoy'!$A:$AT,MATCH($F$1,'Data yoy'!$A$1:$AT$1,),)</f>
        <v/>
      </c>
      <c r="G57" s="26">
        <f>VLOOKUP(B57,'Data yoy'!$A:$AT,MATCH($G$1,'Data yoy'!$A$1:$AT$1,),)</f>
        <v/>
      </c>
      <c r="H57" s="26">
        <f>VLOOKUP(B57,'Data yoy'!$A:$AT,MATCH($H$1,'Data yoy'!$A$1:$AT$1,),)</f>
        <v/>
      </c>
      <c r="I57" s="26">
        <f>VLOOKUP(B57,'Data yoy'!$A:$AT,MATCH($I$1,'Data yoy'!$A$1:$AT$1,),)</f>
        <v/>
      </c>
      <c r="J57" s="26">
        <f>VLOOKUP(B57,'Data yoy'!$A:$AT,MATCH($J$1,'Data yoy'!$A$1:$AT$1,),)</f>
        <v/>
      </c>
      <c r="K57" s="26">
        <f>VLOOKUP(B57,'Data yoy'!$A:$AT,MATCH($K$1,'Data yoy'!$A$1:$AT$1,),)</f>
        <v/>
      </c>
      <c r="L57" s="26">
        <f>VLOOKUP(B57,'Data yoy'!$A:$AT,MATCH($L$1,'Data yoy'!$A$1:$AT$1,),)</f>
        <v/>
      </c>
      <c r="M57" s="26">
        <f>VLOOKUP(B57,'Data yoy'!$A:$AT,MATCH($M$1,'Data yoy'!$A$1:$AT$1,),)</f>
        <v/>
      </c>
      <c r="N57" s="26">
        <f>VLOOKUP(B57,'Data yoy'!$A:$AT,MATCH($N$1,'Data yoy'!$A$1:$AT$1,),)</f>
        <v/>
      </c>
      <c r="O57" s="26">
        <f>VLOOKUP(B57,'Data yoy'!$A:$AT,MATCH($C$1,'Data yoy'!$J$1:$AT$1,),)</f>
        <v/>
      </c>
      <c r="P57" s="26">
        <f>VLOOKUP(B57,'Data yoy'!$A:$AT,MATCH($P$1,'Data yoy'!$A$1:$AT$1,),)</f>
        <v/>
      </c>
      <c r="Q57" s="26">
        <f>VLOOKUP(B57,'Data yoy'!$A:$AT,MATCH($Q$1,'Data yoy'!$A$1:$AT$1,),)</f>
        <v/>
      </c>
      <c r="R57" s="26">
        <f>VLOOKUP(B57,'Data yoy'!$A:$AT,MATCH($E$1,'Data yoy'!$A$1:$AT$1,),)</f>
        <v/>
      </c>
      <c r="S57" s="26">
        <f>VLOOKUP(B57,'Data yoy'!$A:$AT,MATCH($S$1,'Data yoy'!$A$1:$AT$1,),)</f>
        <v/>
      </c>
      <c r="T57" s="26">
        <f>VLOOKUP(B57,'Data yoy'!$A:$AT,MATCH($T$1,'Data yoy'!$A$1:$AT$1,),)</f>
        <v/>
      </c>
      <c r="U57" s="26">
        <f>VLOOKUP(B57,'Data yoy'!$A:$AT,MATCH($U$1,'Data yoy'!$A$1:$AT$1,),)</f>
        <v/>
      </c>
      <c r="V57" s="26">
        <f>VLOOKUP(B57,'Data yoy'!$A:$AT,MATCH($V$1,'Data yoy'!$A$1:$AT$1,),)</f>
        <v/>
      </c>
      <c r="W57" s="26">
        <f>VLOOKUP(B57,'Data yoy'!$A:$AT,MATCH($W$1,'Data yoy'!$A$1:$AT$1,),)</f>
        <v/>
      </c>
      <c r="X57" s="26">
        <f>VLOOKUP(B57,'Data yoy'!$A:$AT,MATCH($X$1,'Data yoy'!$A$1:$AT$1,),)</f>
        <v/>
      </c>
      <c r="Y57" s="26">
        <f>VLOOKUP(B57,'Data yoy'!$A:$AT,MATCH($Y$1,'Data yoy'!$A$1:$AT$1,),)</f>
        <v/>
      </c>
      <c r="Z57" s="26">
        <f>VLOOKUP(B57,'Data yoy'!$A:$AU,MATCH($Z$1,'Data yoy'!$A$1:$AU$1,),)</f>
        <v/>
      </c>
      <c r="AA57" s="26">
        <f>VLOOKUP(B57,'Data yoy'!$A:$AU,MATCH($AA$1,'Data yoy'!$A$1:$AU$1,),)</f>
        <v/>
      </c>
      <c r="AB57" s="93" t="n"/>
      <c r="AC57" s="27">
        <f>B57</f>
        <v/>
      </c>
      <c r="AD57" s="28">
        <f>(VLOOKUP(AC57,B:Y,MATCH($AE$6,$B$1:$Y$1,),))</f>
        <v/>
      </c>
      <c r="AE57" s="28">
        <f>(VLOOKUP(AC57,B:Y,MATCH($AE$7,$B$1:$Y$1,),))</f>
        <v/>
      </c>
      <c r="AF57" s="28">
        <f>AD57-AE57</f>
        <v/>
      </c>
    </row>
    <row r="58" hidden="1" s="89">
      <c r="B58" s="25" t="inlineStr">
        <is>
          <t>2011-Q4</t>
        </is>
      </c>
      <c r="C58" s="26">
        <f>VLOOKUP(B58,'Data yoy'!$A:$AT,MATCH($C$1,'Data yoy'!$A$1:$AT$1,),)</f>
        <v/>
      </c>
      <c r="D58" s="26">
        <f>VLOOKUP(B58,'Data yoy'!$A:$AT,MATCH($D$1,'Data yoy'!$A$1:$AT$1,),)</f>
        <v/>
      </c>
      <c r="E58" s="26">
        <f>VLOOKUP(B58,'Data yoy'!$A:$AT,MATCH($E$1,'Data yoy'!$A$1:$AT$1,),)</f>
        <v/>
      </c>
      <c r="F58" s="26">
        <f>VLOOKUP(B58,'Data yoy'!$A:$AT,MATCH($F$1,'Data yoy'!$A$1:$AT$1,),)</f>
        <v/>
      </c>
      <c r="G58" s="26">
        <f>VLOOKUP(B58,'Data yoy'!$A:$AT,MATCH($G$1,'Data yoy'!$A$1:$AT$1,),)</f>
        <v/>
      </c>
      <c r="H58" s="26">
        <f>VLOOKUP(B58,'Data yoy'!$A:$AT,MATCH($H$1,'Data yoy'!$A$1:$AT$1,),)</f>
        <v/>
      </c>
      <c r="I58" s="26">
        <f>VLOOKUP(B58,'Data yoy'!$A:$AT,MATCH($I$1,'Data yoy'!$A$1:$AT$1,),)</f>
        <v/>
      </c>
      <c r="J58" s="26">
        <f>VLOOKUP(B58,'Data yoy'!$A:$AT,MATCH($J$1,'Data yoy'!$A$1:$AT$1,),)</f>
        <v/>
      </c>
      <c r="K58" s="26">
        <f>VLOOKUP(B58,'Data yoy'!$A:$AT,MATCH($K$1,'Data yoy'!$A$1:$AT$1,),)</f>
        <v/>
      </c>
      <c r="L58" s="26">
        <f>VLOOKUP(B58,'Data yoy'!$A:$AT,MATCH($L$1,'Data yoy'!$A$1:$AT$1,),)</f>
        <v/>
      </c>
      <c r="M58" s="26">
        <f>VLOOKUP(B58,'Data yoy'!$A:$AT,MATCH($M$1,'Data yoy'!$A$1:$AT$1,),)</f>
        <v/>
      </c>
      <c r="N58" s="26">
        <f>VLOOKUP(B58,'Data yoy'!$A:$AT,MATCH($N$1,'Data yoy'!$A$1:$AT$1,),)</f>
        <v/>
      </c>
      <c r="O58" s="26">
        <f>VLOOKUP(B58,'Data yoy'!$A:$AT,MATCH($C$1,'Data yoy'!$J$1:$AT$1,),)</f>
        <v/>
      </c>
      <c r="P58" s="26">
        <f>VLOOKUP(B58,'Data yoy'!$A:$AT,MATCH($P$1,'Data yoy'!$A$1:$AT$1,),)</f>
        <v/>
      </c>
      <c r="Q58" s="26">
        <f>VLOOKUP(B58,'Data yoy'!$A:$AT,MATCH($Q$1,'Data yoy'!$A$1:$AT$1,),)</f>
        <v/>
      </c>
      <c r="R58" s="26">
        <f>VLOOKUP(B58,'Data yoy'!$A:$AT,MATCH($E$1,'Data yoy'!$A$1:$AT$1,),)</f>
        <v/>
      </c>
      <c r="S58" s="26">
        <f>VLOOKUP(B58,'Data yoy'!$A:$AT,MATCH($S$1,'Data yoy'!$A$1:$AT$1,),)</f>
        <v/>
      </c>
      <c r="T58" s="26">
        <f>VLOOKUP(B58,'Data yoy'!$A:$AT,MATCH($T$1,'Data yoy'!$A$1:$AT$1,),)</f>
        <v/>
      </c>
      <c r="U58" s="26">
        <f>VLOOKUP(B58,'Data yoy'!$A:$AT,MATCH($U$1,'Data yoy'!$A$1:$AT$1,),)</f>
        <v/>
      </c>
      <c r="V58" s="26">
        <f>VLOOKUP(B58,'Data yoy'!$A:$AT,MATCH($V$1,'Data yoy'!$A$1:$AT$1,),)</f>
        <v/>
      </c>
      <c r="W58" s="26">
        <f>VLOOKUP(B58,'Data yoy'!$A:$AT,MATCH($W$1,'Data yoy'!$A$1:$AT$1,),)</f>
        <v/>
      </c>
      <c r="X58" s="26">
        <f>VLOOKUP(B58,'Data yoy'!$A:$AT,MATCH($X$1,'Data yoy'!$A$1:$AT$1,),)</f>
        <v/>
      </c>
      <c r="Y58" s="26">
        <f>VLOOKUP(B58,'Data yoy'!$A:$AT,MATCH($Y$1,'Data yoy'!$A$1:$AT$1,),)</f>
        <v/>
      </c>
      <c r="Z58" s="26">
        <f>VLOOKUP(B58,'Data yoy'!$A:$AU,MATCH($Z$1,'Data yoy'!$A$1:$AU$1,),)</f>
        <v/>
      </c>
      <c r="AA58" s="26">
        <f>VLOOKUP(B58,'Data yoy'!$A:$AU,MATCH($AA$1,'Data yoy'!$A$1:$AU$1,),)</f>
        <v/>
      </c>
      <c r="AB58" s="93" t="n"/>
      <c r="AC58" s="27">
        <f>B58</f>
        <v/>
      </c>
      <c r="AD58" s="28">
        <f>(VLOOKUP(AC58,B:Y,MATCH($AE$6,$B$1:$Y$1,),))</f>
        <v/>
      </c>
      <c r="AE58" s="28">
        <f>(VLOOKUP(AC58,B:Y,MATCH($AE$7,$B$1:$Y$1,),))</f>
        <v/>
      </c>
      <c r="AF58" s="28">
        <f>AD58-AE58</f>
        <v/>
      </c>
    </row>
    <row r="59" hidden="1" s="89">
      <c r="B59" s="25" t="inlineStr">
        <is>
          <t>2012-Q1</t>
        </is>
      </c>
      <c r="C59" s="26">
        <f>VLOOKUP(B59,'Data yoy'!$A:$AT,MATCH($C$1,'Data yoy'!$A$1:$AT$1,),)</f>
        <v/>
      </c>
      <c r="D59" s="26">
        <f>VLOOKUP(B59,'Data yoy'!$A:$AT,MATCH($D$1,'Data yoy'!$A$1:$AT$1,),)</f>
        <v/>
      </c>
      <c r="E59" s="26">
        <f>VLOOKUP(B59,'Data yoy'!$A:$AT,MATCH($E$1,'Data yoy'!$A$1:$AT$1,),)</f>
        <v/>
      </c>
      <c r="F59" s="26">
        <f>VLOOKUP(B59,'Data yoy'!$A:$AT,MATCH($F$1,'Data yoy'!$A$1:$AT$1,),)</f>
        <v/>
      </c>
      <c r="G59" s="26">
        <f>VLOOKUP(B59,'Data yoy'!$A:$AT,MATCH($G$1,'Data yoy'!$A$1:$AT$1,),)</f>
        <v/>
      </c>
      <c r="H59" s="26">
        <f>VLOOKUP(B59,'Data yoy'!$A:$AT,MATCH($H$1,'Data yoy'!$A$1:$AT$1,),)</f>
        <v/>
      </c>
      <c r="I59" s="26">
        <f>VLOOKUP(B59,'Data yoy'!$A:$AT,MATCH($I$1,'Data yoy'!$A$1:$AT$1,),)</f>
        <v/>
      </c>
      <c r="J59" s="26">
        <f>VLOOKUP(B59,'Data yoy'!$A:$AT,MATCH($J$1,'Data yoy'!$A$1:$AT$1,),)</f>
        <v/>
      </c>
      <c r="K59" s="26">
        <f>VLOOKUP(B59,'Data yoy'!$A:$AT,MATCH($K$1,'Data yoy'!$A$1:$AT$1,),)</f>
        <v/>
      </c>
      <c r="L59" s="26">
        <f>VLOOKUP(B59,'Data yoy'!$A:$AT,MATCH($L$1,'Data yoy'!$A$1:$AT$1,),)</f>
        <v/>
      </c>
      <c r="M59" s="26">
        <f>VLOOKUP(B59,'Data yoy'!$A:$AT,MATCH($M$1,'Data yoy'!$A$1:$AT$1,),)</f>
        <v/>
      </c>
      <c r="N59" s="26">
        <f>VLOOKUP(B59,'Data yoy'!$A:$AT,MATCH($N$1,'Data yoy'!$A$1:$AT$1,),)</f>
        <v/>
      </c>
      <c r="O59" s="26">
        <f>VLOOKUP(B59,'Data yoy'!$A:$AT,MATCH($C$1,'Data yoy'!$J$1:$AT$1,),)</f>
        <v/>
      </c>
      <c r="P59" s="26">
        <f>VLOOKUP(B59,'Data yoy'!$A:$AT,MATCH($P$1,'Data yoy'!$A$1:$AT$1,),)</f>
        <v/>
      </c>
      <c r="Q59" s="26">
        <f>VLOOKUP(B59,'Data yoy'!$A:$AT,MATCH($Q$1,'Data yoy'!$A$1:$AT$1,),)</f>
        <v/>
      </c>
      <c r="R59" s="26">
        <f>VLOOKUP(B59,'Data yoy'!$A:$AT,MATCH($E$1,'Data yoy'!$A$1:$AT$1,),)</f>
        <v/>
      </c>
      <c r="S59" s="26">
        <f>VLOOKUP(B59,'Data yoy'!$A:$AT,MATCH($S$1,'Data yoy'!$A$1:$AT$1,),)</f>
        <v/>
      </c>
      <c r="T59" s="26">
        <f>VLOOKUP(B59,'Data yoy'!$A:$AT,MATCH($T$1,'Data yoy'!$A$1:$AT$1,),)</f>
        <v/>
      </c>
      <c r="U59" s="26">
        <f>VLOOKUP(B59,'Data yoy'!$A:$AT,MATCH($U$1,'Data yoy'!$A$1:$AT$1,),)</f>
        <v/>
      </c>
      <c r="V59" s="26">
        <f>VLOOKUP(B59,'Data yoy'!$A:$AT,MATCH($V$1,'Data yoy'!$A$1:$AT$1,),)</f>
        <v/>
      </c>
      <c r="W59" s="26">
        <f>VLOOKUP(B59,'Data yoy'!$A:$AT,MATCH($W$1,'Data yoy'!$A$1:$AT$1,),)</f>
        <v/>
      </c>
      <c r="X59" s="26">
        <f>VLOOKUP(B59,'Data yoy'!$A:$AT,MATCH($X$1,'Data yoy'!$A$1:$AT$1,),)</f>
        <v/>
      </c>
      <c r="Y59" s="26">
        <f>VLOOKUP(B59,'Data yoy'!$A:$AT,MATCH($Y$1,'Data yoy'!$A$1:$AT$1,),)</f>
        <v/>
      </c>
      <c r="Z59" s="26">
        <f>VLOOKUP(B59,'Data yoy'!$A:$AU,MATCH($Z$1,'Data yoy'!$A$1:$AU$1,),)</f>
        <v/>
      </c>
      <c r="AA59" s="26">
        <f>VLOOKUP(B59,'Data yoy'!$A:$AU,MATCH($AA$1,'Data yoy'!$A$1:$AU$1,),)</f>
        <v/>
      </c>
      <c r="AB59" s="93" t="n"/>
      <c r="AC59" s="27">
        <f>B59</f>
        <v/>
      </c>
      <c r="AD59" s="28">
        <f>(VLOOKUP(AC59,B:Y,MATCH($AE$6,$B$1:$Y$1,),))</f>
        <v/>
      </c>
      <c r="AE59" s="28">
        <f>(VLOOKUP(AC59,B:Y,MATCH($AE$7,$B$1:$Y$1,),))</f>
        <v/>
      </c>
      <c r="AF59" s="28">
        <f>AD59-AE59</f>
        <v/>
      </c>
    </row>
    <row r="60" hidden="1" s="89">
      <c r="B60" s="25" t="inlineStr">
        <is>
          <t>2012-Q2</t>
        </is>
      </c>
      <c r="C60" s="26">
        <f>VLOOKUP(B60,'Data yoy'!$A:$AT,MATCH($C$1,'Data yoy'!$A$1:$AT$1,),)</f>
        <v/>
      </c>
      <c r="D60" s="26">
        <f>VLOOKUP(B60,'Data yoy'!$A:$AT,MATCH($D$1,'Data yoy'!$A$1:$AT$1,),)</f>
        <v/>
      </c>
      <c r="E60" s="26">
        <f>VLOOKUP(B60,'Data yoy'!$A:$AT,MATCH($E$1,'Data yoy'!$A$1:$AT$1,),)</f>
        <v/>
      </c>
      <c r="F60" s="26">
        <f>VLOOKUP(B60,'Data yoy'!$A:$AT,MATCH($F$1,'Data yoy'!$A$1:$AT$1,),)</f>
        <v/>
      </c>
      <c r="G60" s="26">
        <f>VLOOKUP(B60,'Data yoy'!$A:$AT,MATCH($G$1,'Data yoy'!$A$1:$AT$1,),)</f>
        <v/>
      </c>
      <c r="H60" s="26">
        <f>VLOOKUP(B60,'Data yoy'!$A:$AT,MATCH($H$1,'Data yoy'!$A$1:$AT$1,),)</f>
        <v/>
      </c>
      <c r="I60" s="26">
        <f>VLOOKUP(B60,'Data yoy'!$A:$AT,MATCH($I$1,'Data yoy'!$A$1:$AT$1,),)</f>
        <v/>
      </c>
      <c r="J60" s="26">
        <f>VLOOKUP(B60,'Data yoy'!$A:$AT,MATCH($J$1,'Data yoy'!$A$1:$AT$1,),)</f>
        <v/>
      </c>
      <c r="K60" s="26">
        <f>VLOOKUP(B60,'Data yoy'!$A:$AT,MATCH($K$1,'Data yoy'!$A$1:$AT$1,),)</f>
        <v/>
      </c>
      <c r="L60" s="26">
        <f>VLOOKUP(B60,'Data yoy'!$A:$AT,MATCH($L$1,'Data yoy'!$A$1:$AT$1,),)</f>
        <v/>
      </c>
      <c r="M60" s="26">
        <f>VLOOKUP(B60,'Data yoy'!$A:$AT,MATCH($M$1,'Data yoy'!$A$1:$AT$1,),)</f>
        <v/>
      </c>
      <c r="N60" s="26">
        <f>VLOOKUP(B60,'Data yoy'!$A:$AT,MATCH($N$1,'Data yoy'!$A$1:$AT$1,),)</f>
        <v/>
      </c>
      <c r="O60" s="26">
        <f>VLOOKUP(B60,'Data yoy'!$A:$AT,MATCH($C$1,'Data yoy'!$J$1:$AT$1,),)</f>
        <v/>
      </c>
      <c r="P60" s="26">
        <f>VLOOKUP(B60,'Data yoy'!$A:$AT,MATCH($P$1,'Data yoy'!$A$1:$AT$1,),)</f>
        <v/>
      </c>
      <c r="Q60" s="26">
        <f>VLOOKUP(B60,'Data yoy'!$A:$AT,MATCH($Q$1,'Data yoy'!$A$1:$AT$1,),)</f>
        <v/>
      </c>
      <c r="R60" s="26">
        <f>VLOOKUP(B60,'Data yoy'!$A:$AT,MATCH($E$1,'Data yoy'!$A$1:$AT$1,),)</f>
        <v/>
      </c>
      <c r="S60" s="26">
        <f>VLOOKUP(B60,'Data yoy'!$A:$AT,MATCH($S$1,'Data yoy'!$A$1:$AT$1,),)</f>
        <v/>
      </c>
      <c r="T60" s="26">
        <f>VLOOKUP(B60,'Data yoy'!$A:$AT,MATCH($T$1,'Data yoy'!$A$1:$AT$1,),)</f>
        <v/>
      </c>
      <c r="U60" s="26">
        <f>VLOOKUP(B60,'Data yoy'!$A:$AT,MATCH($U$1,'Data yoy'!$A$1:$AT$1,),)</f>
        <v/>
      </c>
      <c r="V60" s="26">
        <f>VLOOKUP(B60,'Data yoy'!$A:$AT,MATCH($V$1,'Data yoy'!$A$1:$AT$1,),)</f>
        <v/>
      </c>
      <c r="W60" s="26">
        <f>VLOOKUP(B60,'Data yoy'!$A:$AT,MATCH($W$1,'Data yoy'!$A$1:$AT$1,),)</f>
        <v/>
      </c>
      <c r="X60" s="26">
        <f>VLOOKUP(B60,'Data yoy'!$A:$AT,MATCH($X$1,'Data yoy'!$A$1:$AT$1,),)</f>
        <v/>
      </c>
      <c r="Y60" s="26">
        <f>VLOOKUP(B60,'Data yoy'!$A:$AT,MATCH($Y$1,'Data yoy'!$A$1:$AT$1,),)</f>
        <v/>
      </c>
      <c r="Z60" s="26">
        <f>VLOOKUP(B60,'Data yoy'!$A:$AU,MATCH($Z$1,'Data yoy'!$A$1:$AU$1,),)</f>
        <v/>
      </c>
      <c r="AA60" s="26">
        <f>VLOOKUP(B60,'Data yoy'!$A:$AU,MATCH($AA$1,'Data yoy'!$A$1:$AU$1,),)</f>
        <v/>
      </c>
      <c r="AB60" s="93" t="n"/>
      <c r="AC60" s="27">
        <f>B60</f>
        <v/>
      </c>
      <c r="AD60" s="28">
        <f>(VLOOKUP(AC60,B:Y,MATCH($AE$6,$B$1:$Y$1,),))</f>
        <v/>
      </c>
      <c r="AE60" s="28">
        <f>(VLOOKUP(AC60,B:Y,MATCH($AE$7,$B$1:$Y$1,),))</f>
        <v/>
      </c>
      <c r="AF60" s="28">
        <f>AD60-AE60</f>
        <v/>
      </c>
    </row>
    <row r="61" hidden="1" s="89">
      <c r="B61" s="25" t="inlineStr">
        <is>
          <t>2012-Q3</t>
        </is>
      </c>
      <c r="C61" s="26">
        <f>VLOOKUP(B61,'Data yoy'!$A:$AT,MATCH($C$1,'Data yoy'!$A$1:$AT$1,),)</f>
        <v/>
      </c>
      <c r="D61" s="26">
        <f>VLOOKUP(B61,'Data yoy'!$A:$AT,MATCH($D$1,'Data yoy'!$A$1:$AT$1,),)</f>
        <v/>
      </c>
      <c r="E61" s="26">
        <f>VLOOKUP(B61,'Data yoy'!$A:$AT,MATCH($E$1,'Data yoy'!$A$1:$AT$1,),)</f>
        <v/>
      </c>
      <c r="F61" s="26">
        <f>VLOOKUP(B61,'Data yoy'!$A:$AT,MATCH($F$1,'Data yoy'!$A$1:$AT$1,),)</f>
        <v/>
      </c>
      <c r="G61" s="26">
        <f>VLOOKUP(B61,'Data yoy'!$A:$AT,MATCH($G$1,'Data yoy'!$A$1:$AT$1,),)</f>
        <v/>
      </c>
      <c r="H61" s="26">
        <f>VLOOKUP(B61,'Data yoy'!$A:$AT,MATCH($H$1,'Data yoy'!$A$1:$AT$1,),)</f>
        <v/>
      </c>
      <c r="I61" s="26">
        <f>VLOOKUP(B61,'Data yoy'!$A:$AT,MATCH($I$1,'Data yoy'!$A$1:$AT$1,),)</f>
        <v/>
      </c>
      <c r="J61" s="26">
        <f>VLOOKUP(B61,'Data yoy'!$A:$AT,MATCH($J$1,'Data yoy'!$A$1:$AT$1,),)</f>
        <v/>
      </c>
      <c r="K61" s="26">
        <f>VLOOKUP(B61,'Data yoy'!$A:$AT,MATCH($K$1,'Data yoy'!$A$1:$AT$1,),)</f>
        <v/>
      </c>
      <c r="L61" s="26">
        <f>VLOOKUP(B61,'Data yoy'!$A:$AT,MATCH($L$1,'Data yoy'!$A$1:$AT$1,),)</f>
        <v/>
      </c>
      <c r="M61" s="26">
        <f>VLOOKUP(B61,'Data yoy'!$A:$AT,MATCH($M$1,'Data yoy'!$A$1:$AT$1,),)</f>
        <v/>
      </c>
      <c r="N61" s="26">
        <f>VLOOKUP(B61,'Data yoy'!$A:$AT,MATCH($N$1,'Data yoy'!$A$1:$AT$1,),)</f>
        <v/>
      </c>
      <c r="O61" s="26">
        <f>VLOOKUP(B61,'Data yoy'!$A:$AT,MATCH($C$1,'Data yoy'!$J$1:$AT$1,),)</f>
        <v/>
      </c>
      <c r="P61" s="26">
        <f>VLOOKUP(B61,'Data yoy'!$A:$AT,MATCH($P$1,'Data yoy'!$A$1:$AT$1,),)</f>
        <v/>
      </c>
      <c r="Q61" s="26">
        <f>VLOOKUP(B61,'Data yoy'!$A:$AT,MATCH($Q$1,'Data yoy'!$A$1:$AT$1,),)</f>
        <v/>
      </c>
      <c r="R61" s="26">
        <f>VLOOKUP(B61,'Data yoy'!$A:$AT,MATCH($E$1,'Data yoy'!$A$1:$AT$1,),)</f>
        <v/>
      </c>
      <c r="S61" s="26">
        <f>VLOOKUP(B61,'Data yoy'!$A:$AT,MATCH($S$1,'Data yoy'!$A$1:$AT$1,),)</f>
        <v/>
      </c>
      <c r="T61" s="26">
        <f>VLOOKUP(B61,'Data yoy'!$A:$AT,MATCH($T$1,'Data yoy'!$A$1:$AT$1,),)</f>
        <v/>
      </c>
      <c r="U61" s="26">
        <f>VLOOKUP(B61,'Data yoy'!$A:$AT,MATCH($U$1,'Data yoy'!$A$1:$AT$1,),)</f>
        <v/>
      </c>
      <c r="V61" s="26">
        <f>VLOOKUP(B61,'Data yoy'!$A:$AT,MATCH($V$1,'Data yoy'!$A$1:$AT$1,),)</f>
        <v/>
      </c>
      <c r="W61" s="26">
        <f>VLOOKUP(B61,'Data yoy'!$A:$AT,MATCH($W$1,'Data yoy'!$A$1:$AT$1,),)</f>
        <v/>
      </c>
      <c r="X61" s="26">
        <f>VLOOKUP(B61,'Data yoy'!$A:$AT,MATCH($X$1,'Data yoy'!$A$1:$AT$1,),)</f>
        <v/>
      </c>
      <c r="Y61" s="26">
        <f>VLOOKUP(B61,'Data yoy'!$A:$AT,MATCH($Y$1,'Data yoy'!$A$1:$AT$1,),)</f>
        <v/>
      </c>
      <c r="Z61" s="26">
        <f>VLOOKUP(B61,'Data yoy'!$A:$AU,MATCH($Z$1,'Data yoy'!$A$1:$AU$1,),)</f>
        <v/>
      </c>
      <c r="AA61" s="26">
        <f>VLOOKUP(B61,'Data yoy'!$A:$AU,MATCH($AA$1,'Data yoy'!$A$1:$AU$1,),)</f>
        <v/>
      </c>
      <c r="AB61" s="93" t="n"/>
      <c r="AC61" s="27">
        <f>B61</f>
        <v/>
      </c>
      <c r="AD61" s="28">
        <f>(VLOOKUP(AC61,B:Y,MATCH($AE$6,$B$1:$Y$1,),))</f>
        <v/>
      </c>
      <c r="AE61" s="28">
        <f>(VLOOKUP(AC61,B:Y,MATCH($AE$7,$B$1:$Y$1,),))</f>
        <v/>
      </c>
      <c r="AF61" s="28">
        <f>AD61-AE61</f>
        <v/>
      </c>
    </row>
    <row r="62" hidden="1" s="89">
      <c r="B62" s="25" t="inlineStr">
        <is>
          <t>2012-Q4</t>
        </is>
      </c>
      <c r="C62" s="26">
        <f>VLOOKUP(B62,'Data yoy'!$A:$AT,MATCH($C$1,'Data yoy'!$A$1:$AT$1,),)</f>
        <v/>
      </c>
      <c r="D62" s="26">
        <f>VLOOKUP(B62,'Data yoy'!$A:$AT,MATCH($D$1,'Data yoy'!$A$1:$AT$1,),)</f>
        <v/>
      </c>
      <c r="E62" s="26">
        <f>VLOOKUP(B62,'Data yoy'!$A:$AT,MATCH($E$1,'Data yoy'!$A$1:$AT$1,),)</f>
        <v/>
      </c>
      <c r="F62" s="26">
        <f>VLOOKUP(B62,'Data yoy'!$A:$AT,MATCH($F$1,'Data yoy'!$A$1:$AT$1,),)</f>
        <v/>
      </c>
      <c r="G62" s="26">
        <f>VLOOKUP(B62,'Data yoy'!$A:$AT,MATCH($G$1,'Data yoy'!$A$1:$AT$1,),)</f>
        <v/>
      </c>
      <c r="H62" s="26">
        <f>VLOOKUP(B62,'Data yoy'!$A:$AT,MATCH($H$1,'Data yoy'!$A$1:$AT$1,),)</f>
        <v/>
      </c>
      <c r="I62" s="26">
        <f>VLOOKUP(B62,'Data yoy'!$A:$AT,MATCH($I$1,'Data yoy'!$A$1:$AT$1,),)</f>
        <v/>
      </c>
      <c r="J62" s="26">
        <f>VLOOKUP(B62,'Data yoy'!$A:$AT,MATCH($J$1,'Data yoy'!$A$1:$AT$1,),)</f>
        <v/>
      </c>
      <c r="K62" s="26">
        <f>VLOOKUP(B62,'Data yoy'!$A:$AT,MATCH($K$1,'Data yoy'!$A$1:$AT$1,),)</f>
        <v/>
      </c>
      <c r="L62" s="26">
        <f>VLOOKUP(B62,'Data yoy'!$A:$AT,MATCH($L$1,'Data yoy'!$A$1:$AT$1,),)</f>
        <v/>
      </c>
      <c r="M62" s="26">
        <f>VLOOKUP(B62,'Data yoy'!$A:$AT,MATCH($M$1,'Data yoy'!$A$1:$AT$1,),)</f>
        <v/>
      </c>
      <c r="N62" s="26">
        <f>VLOOKUP(B62,'Data yoy'!$A:$AT,MATCH($N$1,'Data yoy'!$A$1:$AT$1,),)</f>
        <v/>
      </c>
      <c r="O62" s="26">
        <f>VLOOKUP(B62,'Data yoy'!$A:$AT,MATCH($C$1,'Data yoy'!$J$1:$AT$1,),)</f>
        <v/>
      </c>
      <c r="P62" s="26">
        <f>VLOOKUP(B62,'Data yoy'!$A:$AT,MATCH($P$1,'Data yoy'!$A$1:$AT$1,),)</f>
        <v/>
      </c>
      <c r="Q62" s="26">
        <f>VLOOKUP(B62,'Data yoy'!$A:$AT,MATCH($Q$1,'Data yoy'!$A$1:$AT$1,),)</f>
        <v/>
      </c>
      <c r="R62" s="26">
        <f>VLOOKUP(B62,'Data yoy'!$A:$AT,MATCH($E$1,'Data yoy'!$A$1:$AT$1,),)</f>
        <v/>
      </c>
      <c r="S62" s="26">
        <f>VLOOKUP(B62,'Data yoy'!$A:$AT,MATCH($S$1,'Data yoy'!$A$1:$AT$1,),)</f>
        <v/>
      </c>
      <c r="T62" s="26">
        <f>VLOOKUP(B62,'Data yoy'!$A:$AT,MATCH($T$1,'Data yoy'!$A$1:$AT$1,),)</f>
        <v/>
      </c>
      <c r="U62" s="26">
        <f>VLOOKUP(B62,'Data yoy'!$A:$AT,MATCH($U$1,'Data yoy'!$A$1:$AT$1,),)</f>
        <v/>
      </c>
      <c r="V62" s="26">
        <f>VLOOKUP(B62,'Data yoy'!$A:$AT,MATCH($V$1,'Data yoy'!$A$1:$AT$1,),)</f>
        <v/>
      </c>
      <c r="W62" s="26">
        <f>VLOOKUP(B62,'Data yoy'!$A:$AT,MATCH($W$1,'Data yoy'!$A$1:$AT$1,),)</f>
        <v/>
      </c>
      <c r="X62" s="26">
        <f>VLOOKUP(B62,'Data yoy'!$A:$AT,MATCH($X$1,'Data yoy'!$A$1:$AT$1,),)</f>
        <v/>
      </c>
      <c r="Y62" s="26">
        <f>VLOOKUP(B62,'Data yoy'!$A:$AT,MATCH($Y$1,'Data yoy'!$A$1:$AT$1,),)</f>
        <v/>
      </c>
      <c r="Z62" s="26">
        <f>VLOOKUP(B62,'Data yoy'!$A:$AU,MATCH($Z$1,'Data yoy'!$A$1:$AU$1,),)</f>
        <v/>
      </c>
      <c r="AA62" s="26">
        <f>VLOOKUP(B62,'Data yoy'!$A:$AU,MATCH($AA$1,'Data yoy'!$A$1:$AU$1,),)</f>
        <v/>
      </c>
      <c r="AB62" s="93" t="n"/>
      <c r="AC62" s="27">
        <f>B62</f>
        <v/>
      </c>
      <c r="AD62" s="28">
        <f>(VLOOKUP(AC62,B:Y,MATCH($AE$6,$B$1:$Y$1,),))</f>
        <v/>
      </c>
      <c r="AE62" s="28">
        <f>(VLOOKUP(AC62,B:Y,MATCH($AE$7,$B$1:$Y$1,),))</f>
        <v/>
      </c>
      <c r="AF62" s="28">
        <f>AD62-AE62</f>
        <v/>
      </c>
    </row>
    <row r="63" hidden="1" s="89">
      <c r="B63" s="25" t="inlineStr">
        <is>
          <t>2013-Q1</t>
        </is>
      </c>
      <c r="C63" s="26">
        <f>VLOOKUP(B63,'Data yoy'!$A:$AT,MATCH($C$1,'Data yoy'!$A$1:$AT$1,),)</f>
        <v/>
      </c>
      <c r="D63" s="26">
        <f>VLOOKUP(B63,'Data yoy'!$A:$AT,MATCH($D$1,'Data yoy'!$A$1:$AT$1,),)</f>
        <v/>
      </c>
      <c r="E63" s="26">
        <f>VLOOKUP(B63,'Data yoy'!$A:$AT,MATCH($E$1,'Data yoy'!$A$1:$AT$1,),)</f>
        <v/>
      </c>
      <c r="F63" s="26">
        <f>VLOOKUP(B63,'Data yoy'!$A:$AT,MATCH($F$1,'Data yoy'!$A$1:$AT$1,),)</f>
        <v/>
      </c>
      <c r="G63" s="26">
        <f>VLOOKUP(B63,'Data yoy'!$A:$AT,MATCH($G$1,'Data yoy'!$A$1:$AT$1,),)</f>
        <v/>
      </c>
      <c r="H63" s="26">
        <f>VLOOKUP(B63,'Data yoy'!$A:$AT,MATCH($H$1,'Data yoy'!$A$1:$AT$1,),)</f>
        <v/>
      </c>
      <c r="I63" s="26">
        <f>VLOOKUP(B63,'Data yoy'!$A:$AT,MATCH($I$1,'Data yoy'!$A$1:$AT$1,),)</f>
        <v/>
      </c>
      <c r="J63" s="26">
        <f>VLOOKUP(B63,'Data yoy'!$A:$AT,MATCH($J$1,'Data yoy'!$A$1:$AT$1,),)</f>
        <v/>
      </c>
      <c r="K63" s="26">
        <f>VLOOKUP(B63,'Data yoy'!$A:$AT,MATCH($K$1,'Data yoy'!$A$1:$AT$1,),)</f>
        <v/>
      </c>
      <c r="L63" s="26">
        <f>VLOOKUP(B63,'Data yoy'!$A:$AT,MATCH($L$1,'Data yoy'!$A$1:$AT$1,),)</f>
        <v/>
      </c>
      <c r="M63" s="26">
        <f>VLOOKUP(B63,'Data yoy'!$A:$AT,MATCH($M$1,'Data yoy'!$A$1:$AT$1,),)</f>
        <v/>
      </c>
      <c r="N63" s="26">
        <f>VLOOKUP(B63,'Data yoy'!$A:$AT,MATCH($N$1,'Data yoy'!$A$1:$AT$1,),)</f>
        <v/>
      </c>
      <c r="O63" s="26">
        <f>VLOOKUP(B63,'Data yoy'!$A:$AT,MATCH($C$1,'Data yoy'!$J$1:$AT$1,),)</f>
        <v/>
      </c>
      <c r="P63" s="26">
        <f>VLOOKUP(B63,'Data yoy'!$A:$AT,MATCH($P$1,'Data yoy'!$A$1:$AT$1,),)</f>
        <v/>
      </c>
      <c r="Q63" s="26">
        <f>VLOOKUP(B63,'Data yoy'!$A:$AT,MATCH($Q$1,'Data yoy'!$A$1:$AT$1,),)</f>
        <v/>
      </c>
      <c r="R63" s="26">
        <f>VLOOKUP(B63,'Data yoy'!$A:$AT,MATCH($E$1,'Data yoy'!$A$1:$AT$1,),)</f>
        <v/>
      </c>
      <c r="S63" s="26">
        <f>VLOOKUP(B63,'Data yoy'!$A:$AT,MATCH($S$1,'Data yoy'!$A$1:$AT$1,),)</f>
        <v/>
      </c>
      <c r="T63" s="26">
        <f>VLOOKUP(B63,'Data yoy'!$A:$AT,MATCH($T$1,'Data yoy'!$A$1:$AT$1,),)</f>
        <v/>
      </c>
      <c r="U63" s="26">
        <f>VLOOKUP(B63,'Data yoy'!$A:$AT,MATCH($U$1,'Data yoy'!$A$1:$AT$1,),)</f>
        <v/>
      </c>
      <c r="V63" s="26">
        <f>VLOOKUP(B63,'Data yoy'!$A:$AT,MATCH($V$1,'Data yoy'!$A$1:$AT$1,),)</f>
        <v/>
      </c>
      <c r="W63" s="26">
        <f>VLOOKUP(B63,'Data yoy'!$A:$AT,MATCH($W$1,'Data yoy'!$A$1:$AT$1,),)</f>
        <v/>
      </c>
      <c r="X63" s="26">
        <f>VLOOKUP(B63,'Data yoy'!$A:$AT,MATCH($X$1,'Data yoy'!$A$1:$AT$1,),)</f>
        <v/>
      </c>
      <c r="Y63" s="26">
        <f>VLOOKUP(B63,'Data yoy'!$A:$AT,MATCH($Y$1,'Data yoy'!$A$1:$AT$1,),)</f>
        <v/>
      </c>
      <c r="Z63" s="26">
        <f>VLOOKUP(B63,'Data yoy'!$A:$AU,MATCH($Z$1,'Data yoy'!$A$1:$AU$1,),)</f>
        <v/>
      </c>
      <c r="AA63" s="26">
        <f>VLOOKUP(B63,'Data yoy'!$A:$AU,MATCH($AA$1,'Data yoy'!$A$1:$AU$1,),)</f>
        <v/>
      </c>
      <c r="AB63" s="93" t="n"/>
      <c r="AC63" s="27">
        <f>B63</f>
        <v/>
      </c>
      <c r="AD63" s="28">
        <f>(VLOOKUP(AC63,B:Y,MATCH($AE$6,$B$1:$Y$1,),))</f>
        <v/>
      </c>
      <c r="AE63" s="28">
        <f>(VLOOKUP(AC63,B:Y,MATCH($AE$7,$B$1:$Y$1,),))</f>
        <v/>
      </c>
      <c r="AF63" s="28">
        <f>AD63-AE63</f>
        <v/>
      </c>
    </row>
    <row r="64" hidden="1" s="89">
      <c r="B64" s="25" t="inlineStr">
        <is>
          <t>2013-Q2</t>
        </is>
      </c>
      <c r="C64" s="26">
        <f>VLOOKUP(B64,'Data yoy'!$A:$AT,MATCH($C$1,'Data yoy'!$A$1:$AT$1,),)</f>
        <v/>
      </c>
      <c r="D64" s="26">
        <f>VLOOKUP(B64,'Data yoy'!$A:$AT,MATCH($D$1,'Data yoy'!$A$1:$AT$1,),)</f>
        <v/>
      </c>
      <c r="E64" s="26">
        <f>VLOOKUP(B64,'Data yoy'!$A:$AT,MATCH($E$1,'Data yoy'!$A$1:$AT$1,),)</f>
        <v/>
      </c>
      <c r="F64" s="26">
        <f>VLOOKUP(B64,'Data yoy'!$A:$AT,MATCH($F$1,'Data yoy'!$A$1:$AT$1,),)</f>
        <v/>
      </c>
      <c r="G64" s="26">
        <f>VLOOKUP(B64,'Data yoy'!$A:$AT,MATCH($G$1,'Data yoy'!$A$1:$AT$1,),)</f>
        <v/>
      </c>
      <c r="H64" s="26">
        <f>VLOOKUP(B64,'Data yoy'!$A:$AT,MATCH($H$1,'Data yoy'!$A$1:$AT$1,),)</f>
        <v/>
      </c>
      <c r="I64" s="26">
        <f>VLOOKUP(B64,'Data yoy'!$A:$AT,MATCH($I$1,'Data yoy'!$A$1:$AT$1,),)</f>
        <v/>
      </c>
      <c r="J64" s="26">
        <f>VLOOKUP(B64,'Data yoy'!$A:$AT,MATCH($J$1,'Data yoy'!$A$1:$AT$1,),)</f>
        <v/>
      </c>
      <c r="K64" s="26">
        <f>VLOOKUP(B64,'Data yoy'!$A:$AT,MATCH($K$1,'Data yoy'!$A$1:$AT$1,),)</f>
        <v/>
      </c>
      <c r="L64" s="26">
        <f>VLOOKUP(B64,'Data yoy'!$A:$AT,MATCH($L$1,'Data yoy'!$A$1:$AT$1,),)</f>
        <v/>
      </c>
      <c r="M64" s="26">
        <f>VLOOKUP(B64,'Data yoy'!$A:$AT,MATCH($M$1,'Data yoy'!$A$1:$AT$1,),)</f>
        <v/>
      </c>
      <c r="N64" s="26">
        <f>VLOOKUP(B64,'Data yoy'!$A:$AT,MATCH($N$1,'Data yoy'!$A$1:$AT$1,),)</f>
        <v/>
      </c>
      <c r="O64" s="26">
        <f>VLOOKUP(B64,'Data yoy'!$A:$AT,MATCH($C$1,'Data yoy'!$J$1:$AT$1,),)</f>
        <v/>
      </c>
      <c r="P64" s="26">
        <f>VLOOKUP(B64,'Data yoy'!$A:$AT,MATCH($P$1,'Data yoy'!$A$1:$AT$1,),)</f>
        <v/>
      </c>
      <c r="Q64" s="26">
        <f>VLOOKUP(B64,'Data yoy'!$A:$AT,MATCH($Q$1,'Data yoy'!$A$1:$AT$1,),)</f>
        <v/>
      </c>
      <c r="R64" s="26">
        <f>VLOOKUP(B64,'Data yoy'!$A:$AT,MATCH($E$1,'Data yoy'!$A$1:$AT$1,),)</f>
        <v/>
      </c>
      <c r="S64" s="26">
        <f>VLOOKUP(B64,'Data yoy'!$A:$AT,MATCH($S$1,'Data yoy'!$A$1:$AT$1,),)</f>
        <v/>
      </c>
      <c r="T64" s="26">
        <f>VLOOKUP(B64,'Data yoy'!$A:$AT,MATCH($T$1,'Data yoy'!$A$1:$AT$1,),)</f>
        <v/>
      </c>
      <c r="U64" s="26">
        <f>VLOOKUP(B64,'Data yoy'!$A:$AT,MATCH($U$1,'Data yoy'!$A$1:$AT$1,),)</f>
        <v/>
      </c>
      <c r="V64" s="26">
        <f>VLOOKUP(B64,'Data yoy'!$A:$AT,MATCH($V$1,'Data yoy'!$A$1:$AT$1,),)</f>
        <v/>
      </c>
      <c r="W64" s="26">
        <f>VLOOKUP(B64,'Data yoy'!$A:$AT,MATCH($W$1,'Data yoy'!$A$1:$AT$1,),)</f>
        <v/>
      </c>
      <c r="X64" s="26">
        <f>VLOOKUP(B64,'Data yoy'!$A:$AT,MATCH($X$1,'Data yoy'!$A$1:$AT$1,),)</f>
        <v/>
      </c>
      <c r="Y64" s="26">
        <f>VLOOKUP(B64,'Data yoy'!$A:$AT,MATCH($Y$1,'Data yoy'!$A$1:$AT$1,),)</f>
        <v/>
      </c>
      <c r="Z64" s="26">
        <f>VLOOKUP(B64,'Data yoy'!$A:$AU,MATCH($Z$1,'Data yoy'!$A$1:$AU$1,),)</f>
        <v/>
      </c>
      <c r="AA64" s="26">
        <f>VLOOKUP(B64,'Data yoy'!$A:$AU,MATCH($AA$1,'Data yoy'!$A$1:$AU$1,),)</f>
        <v/>
      </c>
      <c r="AB64" s="93" t="n"/>
      <c r="AC64" s="27">
        <f>B64</f>
        <v/>
      </c>
      <c r="AD64" s="28">
        <f>(VLOOKUP(AC64,B:Y,MATCH($AE$6,$B$1:$Y$1,),))</f>
        <v/>
      </c>
      <c r="AE64" s="28">
        <f>(VLOOKUP(AC64,B:Y,MATCH($AE$7,$B$1:$Y$1,),))</f>
        <v/>
      </c>
      <c r="AF64" s="28">
        <f>AD64-AE64</f>
        <v/>
      </c>
    </row>
    <row r="65" hidden="1" s="89">
      <c r="B65" s="25" t="inlineStr">
        <is>
          <t>2013-Q3</t>
        </is>
      </c>
      <c r="C65" s="26">
        <f>VLOOKUP(B65,'Data yoy'!$A:$AT,MATCH($C$1,'Data yoy'!$A$1:$AT$1,),)</f>
        <v/>
      </c>
      <c r="D65" s="26">
        <f>VLOOKUP(B65,'Data yoy'!$A:$AT,MATCH($D$1,'Data yoy'!$A$1:$AT$1,),)</f>
        <v/>
      </c>
      <c r="E65" s="26">
        <f>VLOOKUP(B65,'Data yoy'!$A:$AT,MATCH($E$1,'Data yoy'!$A$1:$AT$1,),)</f>
        <v/>
      </c>
      <c r="F65" s="26">
        <f>VLOOKUP(B65,'Data yoy'!$A:$AT,MATCH($F$1,'Data yoy'!$A$1:$AT$1,),)</f>
        <v/>
      </c>
      <c r="G65" s="26">
        <f>VLOOKUP(B65,'Data yoy'!$A:$AT,MATCH($G$1,'Data yoy'!$A$1:$AT$1,),)</f>
        <v/>
      </c>
      <c r="H65" s="26">
        <f>VLOOKUP(B65,'Data yoy'!$A:$AT,MATCH($H$1,'Data yoy'!$A$1:$AT$1,),)</f>
        <v/>
      </c>
      <c r="I65" s="26">
        <f>VLOOKUP(B65,'Data yoy'!$A:$AT,MATCH($I$1,'Data yoy'!$A$1:$AT$1,),)</f>
        <v/>
      </c>
      <c r="J65" s="26">
        <f>VLOOKUP(B65,'Data yoy'!$A:$AT,MATCH($J$1,'Data yoy'!$A$1:$AT$1,),)</f>
        <v/>
      </c>
      <c r="K65" s="26">
        <f>VLOOKUP(B65,'Data yoy'!$A:$AT,MATCH($K$1,'Data yoy'!$A$1:$AT$1,),)</f>
        <v/>
      </c>
      <c r="L65" s="26">
        <f>VLOOKUP(B65,'Data yoy'!$A:$AT,MATCH($L$1,'Data yoy'!$A$1:$AT$1,),)</f>
        <v/>
      </c>
      <c r="M65" s="26">
        <f>VLOOKUP(B65,'Data yoy'!$A:$AT,MATCH($M$1,'Data yoy'!$A$1:$AT$1,),)</f>
        <v/>
      </c>
      <c r="N65" s="26">
        <f>VLOOKUP(B65,'Data yoy'!$A:$AT,MATCH($N$1,'Data yoy'!$A$1:$AT$1,),)</f>
        <v/>
      </c>
      <c r="O65" s="26">
        <f>VLOOKUP(B65,'Data yoy'!$A:$AT,MATCH($C$1,'Data yoy'!$J$1:$AT$1,),)</f>
        <v/>
      </c>
      <c r="P65" s="26">
        <f>VLOOKUP(B65,'Data yoy'!$A:$AT,MATCH($P$1,'Data yoy'!$A$1:$AT$1,),)</f>
        <v/>
      </c>
      <c r="Q65" s="26">
        <f>VLOOKUP(B65,'Data yoy'!$A:$AT,MATCH($Q$1,'Data yoy'!$A$1:$AT$1,),)</f>
        <v/>
      </c>
      <c r="R65" s="26">
        <f>VLOOKUP(B65,'Data yoy'!$A:$AT,MATCH($E$1,'Data yoy'!$A$1:$AT$1,),)</f>
        <v/>
      </c>
      <c r="S65" s="26">
        <f>VLOOKUP(B65,'Data yoy'!$A:$AT,MATCH($S$1,'Data yoy'!$A$1:$AT$1,),)</f>
        <v/>
      </c>
      <c r="T65" s="26">
        <f>VLOOKUP(B65,'Data yoy'!$A:$AT,MATCH($T$1,'Data yoy'!$A$1:$AT$1,),)</f>
        <v/>
      </c>
      <c r="U65" s="26">
        <f>VLOOKUP(B65,'Data yoy'!$A:$AT,MATCH($U$1,'Data yoy'!$A$1:$AT$1,),)</f>
        <v/>
      </c>
      <c r="V65" s="26">
        <f>VLOOKUP(B65,'Data yoy'!$A:$AT,MATCH($V$1,'Data yoy'!$A$1:$AT$1,),)</f>
        <v/>
      </c>
      <c r="W65" s="26">
        <f>VLOOKUP(B65,'Data yoy'!$A:$AT,MATCH($W$1,'Data yoy'!$A$1:$AT$1,),)</f>
        <v/>
      </c>
      <c r="X65" s="26">
        <f>VLOOKUP(B65,'Data yoy'!$A:$AT,MATCH($X$1,'Data yoy'!$A$1:$AT$1,),)</f>
        <v/>
      </c>
      <c r="Y65" s="26">
        <f>VLOOKUP(B65,'Data yoy'!$A:$AT,MATCH($Y$1,'Data yoy'!$A$1:$AT$1,),)</f>
        <v/>
      </c>
      <c r="Z65" s="26">
        <f>VLOOKUP(B65,'Data yoy'!$A:$AU,MATCH($Z$1,'Data yoy'!$A$1:$AU$1,),)</f>
        <v/>
      </c>
      <c r="AA65" s="26">
        <f>VLOOKUP(B65,'Data yoy'!$A:$AU,MATCH($AA$1,'Data yoy'!$A$1:$AU$1,),)</f>
        <v/>
      </c>
      <c r="AB65" s="93" t="n"/>
      <c r="AC65" s="27">
        <f>B65</f>
        <v/>
      </c>
      <c r="AD65" s="28">
        <f>(VLOOKUP(AC65,B:Y,MATCH($AE$6,$B$1:$Y$1,),))</f>
        <v/>
      </c>
      <c r="AE65" s="28">
        <f>(VLOOKUP(AC65,B:Y,MATCH($AE$7,$B$1:$Y$1,),))</f>
        <v/>
      </c>
      <c r="AF65" s="28">
        <f>AD65-AE65</f>
        <v/>
      </c>
    </row>
    <row r="66" hidden="1" s="89">
      <c r="B66" s="25" t="inlineStr">
        <is>
          <t>2013-Q4</t>
        </is>
      </c>
      <c r="C66" s="26">
        <f>VLOOKUP(B66,'Data yoy'!$A:$AT,MATCH($C$1,'Data yoy'!$A$1:$AT$1,),)</f>
        <v/>
      </c>
      <c r="D66" s="26">
        <f>VLOOKUP(B66,'Data yoy'!$A:$AT,MATCH($D$1,'Data yoy'!$A$1:$AT$1,),)</f>
        <v/>
      </c>
      <c r="E66" s="26">
        <f>VLOOKUP(B66,'Data yoy'!$A:$AT,MATCH($E$1,'Data yoy'!$A$1:$AT$1,),)</f>
        <v/>
      </c>
      <c r="F66" s="26">
        <f>VLOOKUP(B66,'Data yoy'!$A:$AT,MATCH($F$1,'Data yoy'!$A$1:$AT$1,),)</f>
        <v/>
      </c>
      <c r="G66" s="26">
        <f>VLOOKUP(B66,'Data yoy'!$A:$AT,MATCH($G$1,'Data yoy'!$A$1:$AT$1,),)</f>
        <v/>
      </c>
      <c r="H66" s="26">
        <f>VLOOKUP(B66,'Data yoy'!$A:$AT,MATCH($H$1,'Data yoy'!$A$1:$AT$1,),)</f>
        <v/>
      </c>
      <c r="I66" s="26">
        <f>VLOOKUP(B66,'Data yoy'!$A:$AT,MATCH($I$1,'Data yoy'!$A$1:$AT$1,),)</f>
        <v/>
      </c>
      <c r="J66" s="26">
        <f>VLOOKUP(B66,'Data yoy'!$A:$AT,MATCH($J$1,'Data yoy'!$A$1:$AT$1,),)</f>
        <v/>
      </c>
      <c r="K66" s="26">
        <f>VLOOKUP(B66,'Data yoy'!$A:$AT,MATCH($K$1,'Data yoy'!$A$1:$AT$1,),)</f>
        <v/>
      </c>
      <c r="L66" s="26">
        <f>VLOOKUP(B66,'Data yoy'!$A:$AT,MATCH($L$1,'Data yoy'!$A$1:$AT$1,),)</f>
        <v/>
      </c>
      <c r="M66" s="26">
        <f>VLOOKUP(B66,'Data yoy'!$A:$AT,MATCH($M$1,'Data yoy'!$A$1:$AT$1,),)</f>
        <v/>
      </c>
      <c r="N66" s="26">
        <f>VLOOKUP(B66,'Data yoy'!$A:$AT,MATCH($N$1,'Data yoy'!$A$1:$AT$1,),)</f>
        <v/>
      </c>
      <c r="O66" s="26">
        <f>VLOOKUP(B66,'Data yoy'!$A:$AT,MATCH($C$1,'Data yoy'!$J$1:$AT$1,),)</f>
        <v/>
      </c>
      <c r="P66" s="26">
        <f>VLOOKUP(B66,'Data yoy'!$A:$AT,MATCH($P$1,'Data yoy'!$A$1:$AT$1,),)</f>
        <v/>
      </c>
      <c r="Q66" s="26">
        <f>VLOOKUP(B66,'Data yoy'!$A:$AT,MATCH($Q$1,'Data yoy'!$A$1:$AT$1,),)</f>
        <v/>
      </c>
      <c r="R66" s="26">
        <f>VLOOKUP(B66,'Data yoy'!$A:$AT,MATCH($E$1,'Data yoy'!$A$1:$AT$1,),)</f>
        <v/>
      </c>
      <c r="S66" s="26">
        <f>VLOOKUP(B66,'Data yoy'!$A:$AT,MATCH($S$1,'Data yoy'!$A$1:$AT$1,),)</f>
        <v/>
      </c>
      <c r="T66" s="26">
        <f>VLOOKUP(B66,'Data yoy'!$A:$AT,MATCH($T$1,'Data yoy'!$A$1:$AT$1,),)</f>
        <v/>
      </c>
      <c r="U66" s="26">
        <f>VLOOKUP(B66,'Data yoy'!$A:$AT,MATCH($U$1,'Data yoy'!$A$1:$AT$1,),)</f>
        <v/>
      </c>
      <c r="V66" s="26">
        <f>VLOOKUP(B66,'Data yoy'!$A:$AT,MATCH($V$1,'Data yoy'!$A$1:$AT$1,),)</f>
        <v/>
      </c>
      <c r="W66" s="26">
        <f>VLOOKUP(B66,'Data yoy'!$A:$AT,MATCH($W$1,'Data yoy'!$A$1:$AT$1,),)</f>
        <v/>
      </c>
      <c r="X66" s="26">
        <f>VLOOKUP(B66,'Data yoy'!$A:$AT,MATCH($X$1,'Data yoy'!$A$1:$AT$1,),)</f>
        <v/>
      </c>
      <c r="Y66" s="26">
        <f>VLOOKUP(B66,'Data yoy'!$A:$AT,MATCH($Y$1,'Data yoy'!$A$1:$AT$1,),)</f>
        <v/>
      </c>
      <c r="Z66" s="26">
        <f>VLOOKUP(B66,'Data yoy'!$A:$AU,MATCH($Z$1,'Data yoy'!$A$1:$AU$1,),)</f>
        <v/>
      </c>
      <c r="AA66" s="26">
        <f>VLOOKUP(B66,'Data yoy'!$A:$AU,MATCH($AA$1,'Data yoy'!$A$1:$AU$1,),)</f>
        <v/>
      </c>
      <c r="AB66" s="93" t="n"/>
      <c r="AC66" s="27">
        <f>B66</f>
        <v/>
      </c>
      <c r="AD66" s="28">
        <f>(VLOOKUP(AC66,B:Y,MATCH($AE$6,$B$1:$Y$1,),))</f>
        <v/>
      </c>
      <c r="AE66" s="28">
        <f>(VLOOKUP(AC66,B:Y,MATCH($AE$7,$B$1:$Y$1,),))</f>
        <v/>
      </c>
      <c r="AF66" s="28">
        <f>AD66-AE66</f>
        <v/>
      </c>
    </row>
    <row r="67" hidden="1" s="89">
      <c r="B67" s="25" t="inlineStr">
        <is>
          <t>2014-Q1</t>
        </is>
      </c>
      <c r="C67" s="26">
        <f>VLOOKUP(B67,'Data yoy'!$A:$AT,MATCH($C$1,'Data yoy'!$A$1:$AT$1,),)</f>
        <v/>
      </c>
      <c r="D67" s="26">
        <f>VLOOKUP(B67,'Data yoy'!$A:$AT,MATCH($D$1,'Data yoy'!$A$1:$AT$1,),)</f>
        <v/>
      </c>
      <c r="E67" s="26">
        <f>VLOOKUP(B67,'Data yoy'!$A:$AT,MATCH($E$1,'Data yoy'!$A$1:$AT$1,),)</f>
        <v/>
      </c>
      <c r="F67" s="26">
        <f>VLOOKUP(B67,'Data yoy'!$A:$AT,MATCH($F$1,'Data yoy'!$A$1:$AT$1,),)</f>
        <v/>
      </c>
      <c r="G67" s="26">
        <f>VLOOKUP(B67,'Data yoy'!$A:$AT,MATCH($G$1,'Data yoy'!$A$1:$AT$1,),)</f>
        <v/>
      </c>
      <c r="H67" s="26">
        <f>VLOOKUP(B67,'Data yoy'!$A:$AT,MATCH($H$1,'Data yoy'!$A$1:$AT$1,),)</f>
        <v/>
      </c>
      <c r="I67" s="26">
        <f>VLOOKUP(B67,'Data yoy'!$A:$AT,MATCH($I$1,'Data yoy'!$A$1:$AT$1,),)</f>
        <v/>
      </c>
      <c r="J67" s="26">
        <f>VLOOKUP(B67,'Data yoy'!$A:$AT,MATCH($J$1,'Data yoy'!$A$1:$AT$1,),)</f>
        <v/>
      </c>
      <c r="K67" s="26">
        <f>VLOOKUP(B67,'Data yoy'!$A:$AT,MATCH($K$1,'Data yoy'!$A$1:$AT$1,),)</f>
        <v/>
      </c>
      <c r="L67" s="26">
        <f>VLOOKUP(B67,'Data yoy'!$A:$AT,MATCH($L$1,'Data yoy'!$A$1:$AT$1,),)</f>
        <v/>
      </c>
      <c r="M67" s="26">
        <f>VLOOKUP(B67,'Data yoy'!$A:$AT,MATCH($M$1,'Data yoy'!$A$1:$AT$1,),)</f>
        <v/>
      </c>
      <c r="N67" s="26">
        <f>VLOOKUP(B67,'Data yoy'!$A:$AT,MATCH($N$1,'Data yoy'!$A$1:$AT$1,),)</f>
        <v/>
      </c>
      <c r="O67" s="26">
        <f>VLOOKUP(B67,'Data yoy'!$A:$AT,MATCH($C$1,'Data yoy'!$J$1:$AT$1,),)</f>
        <v/>
      </c>
      <c r="P67" s="26">
        <f>VLOOKUP(B67,'Data yoy'!$A:$AT,MATCH($P$1,'Data yoy'!$A$1:$AT$1,),)</f>
        <v/>
      </c>
      <c r="Q67" s="26">
        <f>VLOOKUP(B67,'Data yoy'!$A:$AT,MATCH($Q$1,'Data yoy'!$A$1:$AT$1,),)</f>
        <v/>
      </c>
      <c r="R67" s="26">
        <f>VLOOKUP(B67,'Data yoy'!$A:$AT,MATCH($E$1,'Data yoy'!$A$1:$AT$1,),)</f>
        <v/>
      </c>
      <c r="S67" s="26">
        <f>VLOOKUP(B67,'Data yoy'!$A:$AT,MATCH($S$1,'Data yoy'!$A$1:$AT$1,),)</f>
        <v/>
      </c>
      <c r="T67" s="26">
        <f>VLOOKUP(B67,'Data yoy'!$A:$AT,MATCH($T$1,'Data yoy'!$A$1:$AT$1,),)</f>
        <v/>
      </c>
      <c r="U67" s="26">
        <f>VLOOKUP(B67,'Data yoy'!$A:$AT,MATCH($U$1,'Data yoy'!$A$1:$AT$1,),)</f>
        <v/>
      </c>
      <c r="V67" s="26">
        <f>VLOOKUP(B67,'Data yoy'!$A:$AT,MATCH($V$1,'Data yoy'!$A$1:$AT$1,),)</f>
        <v/>
      </c>
      <c r="W67" s="26">
        <f>VLOOKUP(B67,'Data yoy'!$A:$AT,MATCH($W$1,'Data yoy'!$A$1:$AT$1,),)</f>
        <v/>
      </c>
      <c r="X67" s="26">
        <f>VLOOKUP(B67,'Data yoy'!$A:$AT,MATCH($X$1,'Data yoy'!$A$1:$AT$1,),)</f>
        <v/>
      </c>
      <c r="Y67" s="26">
        <f>VLOOKUP(B67,'Data yoy'!$A:$AT,MATCH($Y$1,'Data yoy'!$A$1:$AT$1,),)</f>
        <v/>
      </c>
      <c r="Z67" s="26">
        <f>VLOOKUP(B67,'Data yoy'!$A:$AU,MATCH($Z$1,'Data yoy'!$A$1:$AU$1,),)</f>
        <v/>
      </c>
      <c r="AA67" s="26">
        <f>VLOOKUP(B67,'Data yoy'!$A:$AU,MATCH($AA$1,'Data yoy'!$A$1:$AU$1,),)</f>
        <v/>
      </c>
      <c r="AB67" s="93" t="n"/>
      <c r="AC67" s="27">
        <f>B67</f>
        <v/>
      </c>
      <c r="AD67" s="28">
        <f>(VLOOKUP(AC67,B:Y,MATCH($AE$6,$B$1:$Y$1,),))</f>
        <v/>
      </c>
      <c r="AE67" s="28">
        <f>(VLOOKUP(AC67,B:Y,MATCH($AE$7,$B$1:$Y$1,),))</f>
        <v/>
      </c>
      <c r="AF67" s="28">
        <f>AD67-AE67</f>
        <v/>
      </c>
    </row>
    <row r="68" hidden="1" s="89">
      <c r="B68" s="25" t="inlineStr">
        <is>
          <t>2014-Q2</t>
        </is>
      </c>
      <c r="C68" s="26">
        <f>VLOOKUP(B68,'Data yoy'!$A:$AT,MATCH($C$1,'Data yoy'!$A$1:$AT$1,),)</f>
        <v/>
      </c>
      <c r="D68" s="26">
        <f>VLOOKUP(B68,'Data yoy'!$A:$AT,MATCH($D$1,'Data yoy'!$A$1:$AT$1,),)</f>
        <v/>
      </c>
      <c r="E68" s="26">
        <f>VLOOKUP(B68,'Data yoy'!$A:$AT,MATCH($E$1,'Data yoy'!$A$1:$AT$1,),)</f>
        <v/>
      </c>
      <c r="F68" s="26">
        <f>VLOOKUP(B68,'Data yoy'!$A:$AT,MATCH($F$1,'Data yoy'!$A$1:$AT$1,),)</f>
        <v/>
      </c>
      <c r="G68" s="26">
        <f>VLOOKUP(B68,'Data yoy'!$A:$AT,MATCH($G$1,'Data yoy'!$A$1:$AT$1,),)</f>
        <v/>
      </c>
      <c r="H68" s="26">
        <f>VLOOKUP(B68,'Data yoy'!$A:$AT,MATCH($H$1,'Data yoy'!$A$1:$AT$1,),)</f>
        <v/>
      </c>
      <c r="I68" s="26">
        <f>VLOOKUP(B68,'Data yoy'!$A:$AT,MATCH($I$1,'Data yoy'!$A$1:$AT$1,),)</f>
        <v/>
      </c>
      <c r="J68" s="26">
        <f>VLOOKUP(B68,'Data yoy'!$A:$AT,MATCH($J$1,'Data yoy'!$A$1:$AT$1,),)</f>
        <v/>
      </c>
      <c r="K68" s="26">
        <f>VLOOKUP(B68,'Data yoy'!$A:$AT,MATCH($K$1,'Data yoy'!$A$1:$AT$1,),)</f>
        <v/>
      </c>
      <c r="L68" s="26">
        <f>VLOOKUP(B68,'Data yoy'!$A:$AT,MATCH($L$1,'Data yoy'!$A$1:$AT$1,),)</f>
        <v/>
      </c>
      <c r="M68" s="26">
        <f>VLOOKUP(B68,'Data yoy'!$A:$AT,MATCH($M$1,'Data yoy'!$A$1:$AT$1,),)</f>
        <v/>
      </c>
      <c r="N68" s="26">
        <f>VLOOKUP(B68,'Data yoy'!$A:$AT,MATCH($N$1,'Data yoy'!$A$1:$AT$1,),)</f>
        <v/>
      </c>
      <c r="O68" s="26">
        <f>VLOOKUP(B68,'Data yoy'!$A:$AT,MATCH($C$1,'Data yoy'!$J$1:$AT$1,),)</f>
        <v/>
      </c>
      <c r="P68" s="26">
        <f>VLOOKUP(B68,'Data yoy'!$A:$AT,MATCH($P$1,'Data yoy'!$A$1:$AT$1,),)</f>
        <v/>
      </c>
      <c r="Q68" s="26">
        <f>VLOOKUP(B68,'Data yoy'!$A:$AT,MATCH($Q$1,'Data yoy'!$A$1:$AT$1,),)</f>
        <v/>
      </c>
      <c r="R68" s="26">
        <f>VLOOKUP(B68,'Data yoy'!$A:$AT,MATCH($E$1,'Data yoy'!$A$1:$AT$1,),)</f>
        <v/>
      </c>
      <c r="S68" s="26">
        <f>VLOOKUP(B68,'Data yoy'!$A:$AT,MATCH($S$1,'Data yoy'!$A$1:$AT$1,),)</f>
        <v/>
      </c>
      <c r="T68" s="26">
        <f>VLOOKUP(B68,'Data yoy'!$A:$AT,MATCH($T$1,'Data yoy'!$A$1:$AT$1,),)</f>
        <v/>
      </c>
      <c r="U68" s="26">
        <f>VLOOKUP(B68,'Data yoy'!$A:$AT,MATCH($U$1,'Data yoy'!$A$1:$AT$1,),)</f>
        <v/>
      </c>
      <c r="V68" s="26">
        <f>VLOOKUP(B68,'Data yoy'!$A:$AT,MATCH($V$1,'Data yoy'!$A$1:$AT$1,),)</f>
        <v/>
      </c>
      <c r="W68" s="26">
        <f>VLOOKUP(B68,'Data yoy'!$A:$AT,MATCH($W$1,'Data yoy'!$A$1:$AT$1,),)</f>
        <v/>
      </c>
      <c r="X68" s="26">
        <f>VLOOKUP(B68,'Data yoy'!$A:$AT,MATCH($X$1,'Data yoy'!$A$1:$AT$1,),)</f>
        <v/>
      </c>
      <c r="Y68" s="26">
        <f>VLOOKUP(B68,'Data yoy'!$A:$AT,MATCH($Y$1,'Data yoy'!$A$1:$AT$1,),)</f>
        <v/>
      </c>
      <c r="Z68" s="26">
        <f>VLOOKUP(B68,'Data yoy'!$A:$AU,MATCH($Z$1,'Data yoy'!$A$1:$AU$1,),)</f>
        <v/>
      </c>
      <c r="AA68" s="26">
        <f>VLOOKUP(B68,'Data yoy'!$A:$AU,MATCH($AA$1,'Data yoy'!$A$1:$AU$1,),)</f>
        <v/>
      </c>
      <c r="AB68" s="93" t="n"/>
      <c r="AC68" s="27">
        <f>B68</f>
        <v/>
      </c>
      <c r="AD68" s="28">
        <f>(VLOOKUP(AC68,B:Y,MATCH($AE$6,$B$1:$Y$1,),))</f>
        <v/>
      </c>
      <c r="AE68" s="28">
        <f>(VLOOKUP(AC68,B:Y,MATCH($AE$7,$B$1:$Y$1,),))</f>
        <v/>
      </c>
      <c r="AF68" s="28">
        <f>AD68-AE68</f>
        <v/>
      </c>
    </row>
    <row r="69" hidden="1" s="89">
      <c r="B69" s="25" t="inlineStr">
        <is>
          <t>2014-Q3</t>
        </is>
      </c>
      <c r="C69" s="26">
        <f>VLOOKUP(B69,'Data yoy'!$A:$AT,MATCH($C$1,'Data yoy'!$A$1:$AT$1,),)</f>
        <v/>
      </c>
      <c r="D69" s="26">
        <f>VLOOKUP(B69,'Data yoy'!$A:$AT,MATCH($D$1,'Data yoy'!$A$1:$AT$1,),)</f>
        <v/>
      </c>
      <c r="E69" s="26">
        <f>VLOOKUP(B69,'Data yoy'!$A:$AT,MATCH($E$1,'Data yoy'!$A$1:$AT$1,),)</f>
        <v/>
      </c>
      <c r="F69" s="26">
        <f>VLOOKUP(B69,'Data yoy'!$A:$AT,MATCH($F$1,'Data yoy'!$A$1:$AT$1,),)</f>
        <v/>
      </c>
      <c r="G69" s="26">
        <f>VLOOKUP(B69,'Data yoy'!$A:$AT,MATCH($G$1,'Data yoy'!$A$1:$AT$1,),)</f>
        <v/>
      </c>
      <c r="H69" s="26">
        <f>VLOOKUP(B69,'Data yoy'!$A:$AT,MATCH($H$1,'Data yoy'!$A$1:$AT$1,),)</f>
        <v/>
      </c>
      <c r="I69" s="26">
        <f>VLOOKUP(B69,'Data yoy'!$A:$AT,MATCH($I$1,'Data yoy'!$A$1:$AT$1,),)</f>
        <v/>
      </c>
      <c r="J69" s="26">
        <f>VLOOKUP(B69,'Data yoy'!$A:$AT,MATCH($J$1,'Data yoy'!$A$1:$AT$1,),)</f>
        <v/>
      </c>
      <c r="K69" s="26">
        <f>VLOOKUP(B69,'Data yoy'!$A:$AT,MATCH($K$1,'Data yoy'!$A$1:$AT$1,),)</f>
        <v/>
      </c>
      <c r="L69" s="26">
        <f>VLOOKUP(B69,'Data yoy'!$A:$AT,MATCH($L$1,'Data yoy'!$A$1:$AT$1,),)</f>
        <v/>
      </c>
      <c r="M69" s="26">
        <f>VLOOKUP(B69,'Data yoy'!$A:$AT,MATCH($M$1,'Data yoy'!$A$1:$AT$1,),)</f>
        <v/>
      </c>
      <c r="N69" s="26">
        <f>VLOOKUP(B69,'Data yoy'!$A:$AT,MATCH($N$1,'Data yoy'!$A$1:$AT$1,),)</f>
        <v/>
      </c>
      <c r="O69" s="26">
        <f>VLOOKUP(B69,'Data yoy'!$A:$AT,MATCH($C$1,'Data yoy'!$J$1:$AT$1,),)</f>
        <v/>
      </c>
      <c r="P69" s="26">
        <f>VLOOKUP(B69,'Data yoy'!$A:$AT,MATCH($P$1,'Data yoy'!$A$1:$AT$1,),)</f>
        <v/>
      </c>
      <c r="Q69" s="26">
        <f>VLOOKUP(B69,'Data yoy'!$A:$AT,MATCH($Q$1,'Data yoy'!$A$1:$AT$1,),)</f>
        <v/>
      </c>
      <c r="R69" s="26">
        <f>VLOOKUP(B69,'Data yoy'!$A:$AT,MATCH($E$1,'Data yoy'!$A$1:$AT$1,),)</f>
        <v/>
      </c>
      <c r="S69" s="26">
        <f>VLOOKUP(B69,'Data yoy'!$A:$AT,MATCH($S$1,'Data yoy'!$A$1:$AT$1,),)</f>
        <v/>
      </c>
      <c r="T69" s="26">
        <f>VLOOKUP(B69,'Data yoy'!$A:$AT,MATCH($T$1,'Data yoy'!$A$1:$AT$1,),)</f>
        <v/>
      </c>
      <c r="U69" s="26">
        <f>VLOOKUP(B69,'Data yoy'!$A:$AT,MATCH($U$1,'Data yoy'!$A$1:$AT$1,),)</f>
        <v/>
      </c>
      <c r="V69" s="26">
        <f>VLOOKUP(B69,'Data yoy'!$A:$AT,MATCH($V$1,'Data yoy'!$A$1:$AT$1,),)</f>
        <v/>
      </c>
      <c r="W69" s="26">
        <f>VLOOKUP(B69,'Data yoy'!$A:$AT,MATCH($W$1,'Data yoy'!$A$1:$AT$1,),)</f>
        <v/>
      </c>
      <c r="X69" s="26">
        <f>VLOOKUP(B69,'Data yoy'!$A:$AT,MATCH($X$1,'Data yoy'!$A$1:$AT$1,),)</f>
        <v/>
      </c>
      <c r="Y69" s="26">
        <f>VLOOKUP(B69,'Data yoy'!$A:$AT,MATCH($Y$1,'Data yoy'!$A$1:$AT$1,),)</f>
        <v/>
      </c>
      <c r="Z69" s="26">
        <f>VLOOKUP(B69,'Data yoy'!$A:$AU,MATCH($Z$1,'Data yoy'!$A$1:$AU$1,),)</f>
        <v/>
      </c>
      <c r="AA69" s="26">
        <f>VLOOKUP(B69,'Data yoy'!$A:$AU,MATCH($AA$1,'Data yoy'!$A$1:$AU$1,),)</f>
        <v/>
      </c>
      <c r="AB69" s="93" t="n"/>
      <c r="AC69" s="27">
        <f>B69</f>
        <v/>
      </c>
      <c r="AD69" s="28">
        <f>(VLOOKUP(AC69,B:Y,MATCH($AE$6,$B$1:$Y$1,),))</f>
        <v/>
      </c>
      <c r="AE69" s="28">
        <f>(VLOOKUP(AC69,B:Y,MATCH($AE$7,$B$1:$Y$1,),))</f>
        <v/>
      </c>
      <c r="AF69" s="28">
        <f>AD69-AE69</f>
        <v/>
      </c>
    </row>
    <row r="70" hidden="1" s="89">
      <c r="B70" s="25" t="inlineStr">
        <is>
          <t>2014-Q4</t>
        </is>
      </c>
      <c r="C70" s="26">
        <f>VLOOKUP(B70,'Data yoy'!$A:$AT,MATCH($C$1,'Data yoy'!$A$1:$AT$1,),)</f>
        <v/>
      </c>
      <c r="D70" s="26">
        <f>VLOOKUP(B70,'Data yoy'!$A:$AT,MATCH($D$1,'Data yoy'!$A$1:$AT$1,),)</f>
        <v/>
      </c>
      <c r="E70" s="26">
        <f>VLOOKUP(B70,'Data yoy'!$A:$AT,MATCH($E$1,'Data yoy'!$A$1:$AT$1,),)</f>
        <v/>
      </c>
      <c r="F70" s="26">
        <f>VLOOKUP(B70,'Data yoy'!$A:$AT,MATCH($F$1,'Data yoy'!$A$1:$AT$1,),)</f>
        <v/>
      </c>
      <c r="G70" s="26">
        <f>VLOOKUP(B70,'Data yoy'!$A:$AT,MATCH($G$1,'Data yoy'!$A$1:$AT$1,),)</f>
        <v/>
      </c>
      <c r="H70" s="26">
        <f>VLOOKUP(B70,'Data yoy'!$A:$AT,MATCH($H$1,'Data yoy'!$A$1:$AT$1,),)</f>
        <v/>
      </c>
      <c r="I70" s="26">
        <f>VLOOKUP(B70,'Data yoy'!$A:$AT,MATCH($I$1,'Data yoy'!$A$1:$AT$1,),)</f>
        <v/>
      </c>
      <c r="J70" s="26">
        <f>VLOOKUP(B70,'Data yoy'!$A:$AT,MATCH($J$1,'Data yoy'!$A$1:$AT$1,),)</f>
        <v/>
      </c>
      <c r="K70" s="26">
        <f>VLOOKUP(B70,'Data yoy'!$A:$AT,MATCH($K$1,'Data yoy'!$A$1:$AT$1,),)</f>
        <v/>
      </c>
      <c r="L70" s="26">
        <f>VLOOKUP(B70,'Data yoy'!$A:$AT,MATCH($L$1,'Data yoy'!$A$1:$AT$1,),)</f>
        <v/>
      </c>
      <c r="M70" s="26">
        <f>VLOOKUP(B70,'Data yoy'!$A:$AT,MATCH($M$1,'Data yoy'!$A$1:$AT$1,),)</f>
        <v/>
      </c>
      <c r="N70" s="26">
        <f>VLOOKUP(B70,'Data yoy'!$A:$AT,MATCH($N$1,'Data yoy'!$A$1:$AT$1,),)</f>
        <v/>
      </c>
      <c r="O70" s="26">
        <f>VLOOKUP(B70,'Data yoy'!$A:$AT,MATCH($C$1,'Data yoy'!$J$1:$AT$1,),)</f>
        <v/>
      </c>
      <c r="P70" s="26">
        <f>VLOOKUP(B70,'Data yoy'!$A:$AT,MATCH($P$1,'Data yoy'!$A$1:$AT$1,),)</f>
        <v/>
      </c>
      <c r="Q70" s="26">
        <f>VLOOKUP(B70,'Data yoy'!$A:$AT,MATCH($Q$1,'Data yoy'!$A$1:$AT$1,),)</f>
        <v/>
      </c>
      <c r="R70" s="26">
        <f>VLOOKUP(B70,'Data yoy'!$A:$AT,MATCH($E$1,'Data yoy'!$A$1:$AT$1,),)</f>
        <v/>
      </c>
      <c r="S70" s="26">
        <f>VLOOKUP(B70,'Data yoy'!$A:$AT,MATCH($S$1,'Data yoy'!$A$1:$AT$1,),)</f>
        <v/>
      </c>
      <c r="T70" s="26">
        <f>VLOOKUP(B70,'Data yoy'!$A:$AT,MATCH($T$1,'Data yoy'!$A$1:$AT$1,),)</f>
        <v/>
      </c>
      <c r="U70" s="26">
        <f>VLOOKUP(B70,'Data yoy'!$A:$AT,MATCH($U$1,'Data yoy'!$A$1:$AT$1,),)</f>
        <v/>
      </c>
      <c r="V70" s="26">
        <f>VLOOKUP(B70,'Data yoy'!$A:$AT,MATCH($V$1,'Data yoy'!$A$1:$AT$1,),)</f>
        <v/>
      </c>
      <c r="W70" s="26">
        <f>VLOOKUP(B70,'Data yoy'!$A:$AT,MATCH($W$1,'Data yoy'!$A$1:$AT$1,),)</f>
        <v/>
      </c>
      <c r="X70" s="26">
        <f>VLOOKUP(B70,'Data yoy'!$A:$AT,MATCH($X$1,'Data yoy'!$A$1:$AT$1,),)</f>
        <v/>
      </c>
      <c r="Y70" s="26">
        <f>VLOOKUP(B70,'Data yoy'!$A:$AT,MATCH($Y$1,'Data yoy'!$A$1:$AT$1,),)</f>
        <v/>
      </c>
      <c r="Z70" s="26">
        <f>VLOOKUP(B70,'Data yoy'!$A:$AU,MATCH($Z$1,'Data yoy'!$A$1:$AU$1,),)</f>
        <v/>
      </c>
      <c r="AA70" s="26">
        <f>VLOOKUP(B70,'Data yoy'!$A:$AU,MATCH($AA$1,'Data yoy'!$A$1:$AU$1,),)</f>
        <v/>
      </c>
      <c r="AB70" s="93" t="n"/>
      <c r="AC70" s="27">
        <f>B70</f>
        <v/>
      </c>
      <c r="AD70" s="28">
        <f>(VLOOKUP(AC70,B:Y,MATCH($AE$6,$B$1:$Y$1,),))</f>
        <v/>
      </c>
      <c r="AE70" s="28">
        <f>(VLOOKUP(AC70,B:Y,MATCH($AE$7,$B$1:$Y$1,),))</f>
        <v/>
      </c>
      <c r="AF70" s="28">
        <f>AD70-AE70</f>
        <v/>
      </c>
    </row>
    <row r="71">
      <c r="B71" s="25" t="inlineStr">
        <is>
          <t>2015-Q1</t>
        </is>
      </c>
      <c r="C71" s="26">
        <f>VLOOKUP(B71,'Data yoy'!$A:$AT,MATCH($C$1,'Data yoy'!$A$1:$AT$1,),)</f>
        <v/>
      </c>
      <c r="D71" s="26">
        <f>VLOOKUP(B71,'Data yoy'!$A:$AT,MATCH($D$1,'Data yoy'!$A$1:$AT$1,),)</f>
        <v/>
      </c>
      <c r="E71" s="26">
        <f>VLOOKUP(B71,'Data yoy'!$A:$AT,MATCH($E$1,'Data yoy'!$A$1:$AT$1,),)</f>
        <v/>
      </c>
      <c r="F71" s="26">
        <f>VLOOKUP(B71,'Data yoy'!$A:$AT,MATCH($F$1,'Data yoy'!$A$1:$AT$1,),)</f>
        <v/>
      </c>
      <c r="G71" s="26">
        <f>VLOOKUP(B71,'Data yoy'!$A:$AT,MATCH($G$1,'Data yoy'!$A$1:$AT$1,),)</f>
        <v/>
      </c>
      <c r="H71" s="26">
        <f>VLOOKUP(B71,'Data yoy'!$A:$AT,MATCH($H$1,'Data yoy'!$A$1:$AT$1,),)</f>
        <v/>
      </c>
      <c r="I71" s="26">
        <f>VLOOKUP(B71,'Data yoy'!$A:$AT,MATCH($I$1,'Data yoy'!$A$1:$AT$1,),)</f>
        <v/>
      </c>
      <c r="J71" s="26">
        <f>VLOOKUP(B71,'Data yoy'!$A:$AT,MATCH($J$1,'Data yoy'!$A$1:$AT$1,),)</f>
        <v/>
      </c>
      <c r="K71" s="26">
        <f>VLOOKUP(B71,'Data yoy'!$A:$AT,MATCH($K$1,'Data yoy'!$A$1:$AT$1,),)</f>
        <v/>
      </c>
      <c r="L71" s="26">
        <f>VLOOKUP(B71,'Data yoy'!$A:$AT,MATCH($L$1,'Data yoy'!$A$1:$AT$1,),)</f>
        <v/>
      </c>
      <c r="M71" s="26">
        <f>VLOOKUP(B71,'Data yoy'!$A:$AT,MATCH($M$1,'Data yoy'!$A$1:$AT$1,),)</f>
        <v/>
      </c>
      <c r="N71" s="26">
        <f>VLOOKUP(B71,'Data yoy'!$A:$AT,MATCH($N$1,'Data yoy'!$A$1:$AT$1,),)</f>
        <v/>
      </c>
      <c r="O71" s="26">
        <f>VLOOKUP(B71,'Data yoy'!$A:$AT,MATCH($O$1,'Data yoy'!$J$1:$AT$1,),)</f>
        <v/>
      </c>
      <c r="P71" s="26">
        <f>VLOOKUP(B71,'Data yoy'!$A:$AT,MATCH($P$1,'Data yoy'!$A$1:$AT$1,),)</f>
        <v/>
      </c>
      <c r="Q71" s="26">
        <f>VLOOKUP(B71,'Data yoy'!$A:$AT,MATCH($Q$1,'Data yoy'!$A$1:$AT$1,),)</f>
        <v/>
      </c>
      <c r="R71" s="26">
        <f>VLOOKUP(B71,'Data yoy'!$A:$AT,MATCH($R$1,'Data yoy'!$A$1:$AT$1,),)</f>
        <v/>
      </c>
      <c r="S71" s="26">
        <f>VLOOKUP(B71,'Data yoy'!$A:$AT,MATCH($S$1,'Data yoy'!$A$1:$AT$1,),)</f>
        <v/>
      </c>
      <c r="T71" s="26">
        <f>VLOOKUP(B71,'Data yoy'!$A:$AT,MATCH($T$1,'Data yoy'!$A$1:$AT$1,),)</f>
        <v/>
      </c>
      <c r="U71" s="26">
        <f>VLOOKUP(B71,'Data yoy'!$A:$AT,MATCH($U$1,'Data yoy'!$A$1:$AT$1,),)</f>
        <v/>
      </c>
      <c r="V71" s="26">
        <f>VLOOKUP(B71,'Data yoy'!$A:$AT,MATCH($V$1,'Data yoy'!$A$1:$AT$1,),)</f>
        <v/>
      </c>
      <c r="W71" s="26">
        <f>VLOOKUP(B71,'Data yoy'!$A:$AT,MATCH($W$1,'Data yoy'!$A$1:$AT$1,),)</f>
        <v/>
      </c>
      <c r="X71" s="26">
        <f>VLOOKUP(B71,'Data yoy'!$A:$AT,MATCH($X$1,'Data yoy'!$A$1:$AT$1,),)</f>
        <v/>
      </c>
      <c r="Y71" s="26">
        <f>VLOOKUP(B71,'Data yoy'!$A:$AT,MATCH($Y$1,'Data yoy'!$A$1:$AT$1,),)</f>
        <v/>
      </c>
      <c r="Z71" s="26">
        <f>VLOOKUP(B71,'Data yoy'!$A:$AU,MATCH($Z$1,'Data yoy'!$A$1:$AU$1,),)</f>
        <v/>
      </c>
      <c r="AA71" s="26">
        <f>VLOOKUP(B71,'Data yoy'!$A:$AU,MATCH($AA$1,'Data yoy'!$A$1:$AU$1,),)</f>
        <v/>
      </c>
      <c r="AB71" s="93" t="n"/>
      <c r="AC71" s="27">
        <f>B71</f>
        <v/>
      </c>
      <c r="AD71" s="28">
        <f>(VLOOKUP(AC71,B:Y,MATCH($AE$6,$B$1:$Y$1,),))</f>
        <v/>
      </c>
      <c r="AE71" s="28">
        <f>(VLOOKUP(AC71,B:Y,MATCH($AE$7,$B$1:$Y$1,),))</f>
        <v/>
      </c>
      <c r="AF71" s="28">
        <f>AD71-AE71</f>
        <v/>
      </c>
    </row>
    <row r="72">
      <c r="B72" s="25" t="inlineStr">
        <is>
          <t>2015-Q2</t>
        </is>
      </c>
      <c r="C72" s="26">
        <f>VLOOKUP(B72,'Data yoy'!$A:$AT,MATCH($C$1,'Data yoy'!$A$1:$AT$1,),)</f>
        <v/>
      </c>
      <c r="D72" s="26">
        <f>VLOOKUP(B72,'Data yoy'!$A:$AT,MATCH($D$1,'Data yoy'!$A$1:$AT$1,),)</f>
        <v/>
      </c>
      <c r="E72" s="26">
        <f>VLOOKUP(B72,'Data yoy'!$A:$AT,MATCH($E$1,'Data yoy'!$A$1:$AT$1,),)</f>
        <v/>
      </c>
      <c r="F72" s="26">
        <f>VLOOKUP(B72,'Data yoy'!$A:$AT,MATCH($F$1,'Data yoy'!$A$1:$AT$1,),)</f>
        <v/>
      </c>
      <c r="G72" s="26">
        <f>VLOOKUP(B72,'Data yoy'!$A:$AT,MATCH($G$1,'Data yoy'!$A$1:$AT$1,),)</f>
        <v/>
      </c>
      <c r="H72" s="26">
        <f>VLOOKUP(B72,'Data yoy'!$A:$AT,MATCH($H$1,'Data yoy'!$A$1:$AT$1,),)</f>
        <v/>
      </c>
      <c r="I72" s="26">
        <f>VLOOKUP(B72,'Data yoy'!$A:$AT,MATCH($I$1,'Data yoy'!$A$1:$AT$1,),)</f>
        <v/>
      </c>
      <c r="J72" s="26">
        <f>VLOOKUP(B72,'Data yoy'!$A:$AT,MATCH($J$1,'Data yoy'!$A$1:$AT$1,),)</f>
        <v/>
      </c>
      <c r="K72" s="26">
        <f>VLOOKUP(B72,'Data yoy'!$A:$AT,MATCH($K$1,'Data yoy'!$A$1:$AT$1,),)</f>
        <v/>
      </c>
      <c r="L72" s="26">
        <f>VLOOKUP(B72,'Data yoy'!$A:$AT,MATCH($L$1,'Data yoy'!$A$1:$AT$1,),)</f>
        <v/>
      </c>
      <c r="M72" s="26">
        <f>VLOOKUP(B72,'Data yoy'!$A:$AT,MATCH($M$1,'Data yoy'!$A$1:$AT$1,),)</f>
        <v/>
      </c>
      <c r="N72" s="26">
        <f>VLOOKUP(B72,'Data yoy'!$A:$AT,MATCH($N$1,'Data yoy'!$A$1:$AT$1,),)</f>
        <v/>
      </c>
      <c r="O72" s="26">
        <f>VLOOKUP(B72,'Data yoy'!$A:$AT,MATCH($O$1,'Data yoy'!$J$1:$AT$1,),)</f>
        <v/>
      </c>
      <c r="P72" s="26">
        <f>VLOOKUP(B72,'Data yoy'!$A:$AT,MATCH($P$1,'Data yoy'!$A$1:$AT$1,),)</f>
        <v/>
      </c>
      <c r="Q72" s="26">
        <f>VLOOKUP(B72,'Data yoy'!$A:$AT,MATCH($Q$1,'Data yoy'!$A$1:$AT$1,),)</f>
        <v/>
      </c>
      <c r="R72" s="26">
        <f>VLOOKUP(B72,'Data yoy'!$A:$AT,MATCH($R$1,'Data yoy'!$A$1:$AT$1,),)</f>
        <v/>
      </c>
      <c r="S72" s="26">
        <f>VLOOKUP(B72,'Data yoy'!$A:$AT,MATCH($S$1,'Data yoy'!$A$1:$AT$1,),)</f>
        <v/>
      </c>
      <c r="T72" s="26">
        <f>VLOOKUP(B72,'Data yoy'!$A:$AT,MATCH($T$1,'Data yoy'!$A$1:$AT$1,),)</f>
        <v/>
      </c>
      <c r="U72" s="26">
        <f>VLOOKUP(B72,'Data yoy'!$A:$AT,MATCH($U$1,'Data yoy'!$A$1:$AT$1,),)</f>
        <v/>
      </c>
      <c r="V72" s="26">
        <f>VLOOKUP(B72,'Data yoy'!$A:$AT,MATCH($V$1,'Data yoy'!$A$1:$AT$1,),)</f>
        <v/>
      </c>
      <c r="W72" s="26">
        <f>VLOOKUP(B72,'Data yoy'!$A:$AT,MATCH($W$1,'Data yoy'!$A$1:$AT$1,),)</f>
        <v/>
      </c>
      <c r="X72" s="26">
        <f>VLOOKUP(B72,'Data yoy'!$A:$AT,MATCH($X$1,'Data yoy'!$A$1:$AT$1,),)</f>
        <v/>
      </c>
      <c r="Y72" s="26">
        <f>VLOOKUP(B72,'Data yoy'!$A:$AT,MATCH($Y$1,'Data yoy'!$A$1:$AT$1,),)</f>
        <v/>
      </c>
      <c r="Z72" s="26">
        <f>VLOOKUP(B72,'Data yoy'!$A:$AU,MATCH($Z$1,'Data yoy'!$A$1:$AU$1,),)</f>
        <v/>
      </c>
      <c r="AA72" s="26">
        <f>VLOOKUP(B72,'Data yoy'!$A:$AU,MATCH($AA$1,'Data yoy'!$A$1:$AU$1,),)</f>
        <v/>
      </c>
      <c r="AB72" s="93" t="n"/>
      <c r="AC72" s="27">
        <f>B72</f>
        <v/>
      </c>
      <c r="AD72" s="28">
        <f>(VLOOKUP(AC72,B:Y,MATCH($AE$6,$B$1:$Y$1,),))</f>
        <v/>
      </c>
      <c r="AE72" s="28">
        <f>(VLOOKUP(AC72,B:Y,MATCH($AE$7,$B$1:$Y$1,),))</f>
        <v/>
      </c>
      <c r="AF72" s="28">
        <f>AD72-AE72</f>
        <v/>
      </c>
    </row>
    <row r="73">
      <c r="B73" s="25" t="inlineStr">
        <is>
          <t>2015-Q3</t>
        </is>
      </c>
      <c r="C73" s="26">
        <f>VLOOKUP(B73,'Data yoy'!$A:$AT,MATCH($C$1,'Data yoy'!$A$1:$AT$1,),)</f>
        <v/>
      </c>
      <c r="D73" s="26">
        <f>VLOOKUP(B73,'Data yoy'!$A:$AT,MATCH($D$1,'Data yoy'!$A$1:$AT$1,),)</f>
        <v/>
      </c>
      <c r="E73" s="26">
        <f>VLOOKUP(B73,'Data yoy'!$A:$AT,MATCH($E$1,'Data yoy'!$A$1:$AT$1,),)</f>
        <v/>
      </c>
      <c r="F73" s="26">
        <f>VLOOKUP(B73,'Data yoy'!$A:$AT,MATCH($F$1,'Data yoy'!$A$1:$AT$1,),)</f>
        <v/>
      </c>
      <c r="G73" s="26">
        <f>VLOOKUP(B73,'Data yoy'!$A:$AT,MATCH($G$1,'Data yoy'!$A$1:$AT$1,),)</f>
        <v/>
      </c>
      <c r="H73" s="26">
        <f>VLOOKUP(B73,'Data yoy'!$A:$AT,MATCH($H$1,'Data yoy'!$A$1:$AT$1,),)</f>
        <v/>
      </c>
      <c r="I73" s="26">
        <f>VLOOKUP(B73,'Data yoy'!$A:$AT,MATCH($I$1,'Data yoy'!$A$1:$AT$1,),)</f>
        <v/>
      </c>
      <c r="J73" s="26">
        <f>VLOOKUP(B73,'Data yoy'!$A:$AT,MATCH($J$1,'Data yoy'!$A$1:$AT$1,),)</f>
        <v/>
      </c>
      <c r="K73" s="26">
        <f>VLOOKUP(B73,'Data yoy'!$A:$AT,MATCH($K$1,'Data yoy'!$A$1:$AT$1,),)</f>
        <v/>
      </c>
      <c r="L73" s="26">
        <f>VLOOKUP(B73,'Data yoy'!$A:$AT,MATCH($L$1,'Data yoy'!$A$1:$AT$1,),)</f>
        <v/>
      </c>
      <c r="M73" s="26">
        <f>VLOOKUP(B73,'Data yoy'!$A:$AT,MATCH($M$1,'Data yoy'!$A$1:$AT$1,),)</f>
        <v/>
      </c>
      <c r="N73" s="26">
        <f>VLOOKUP(B73,'Data yoy'!$A:$AT,MATCH($N$1,'Data yoy'!$A$1:$AT$1,),)</f>
        <v/>
      </c>
      <c r="O73" s="26">
        <f>VLOOKUP(B73,'Data yoy'!$A:$AT,MATCH($O$1,'Data yoy'!$J$1:$AT$1,),)</f>
        <v/>
      </c>
      <c r="P73" s="26">
        <f>VLOOKUP(B73,'Data yoy'!$A:$AT,MATCH($P$1,'Data yoy'!$A$1:$AT$1,),)</f>
        <v/>
      </c>
      <c r="Q73" s="26">
        <f>VLOOKUP(B73,'Data yoy'!$A:$AT,MATCH($Q$1,'Data yoy'!$A$1:$AT$1,),)</f>
        <v/>
      </c>
      <c r="R73" s="26">
        <f>VLOOKUP(B73,'Data yoy'!$A:$AT,MATCH($R$1,'Data yoy'!$A$1:$AT$1,),)</f>
        <v/>
      </c>
      <c r="S73" s="26">
        <f>VLOOKUP(B73,'Data yoy'!$A:$AT,MATCH($S$1,'Data yoy'!$A$1:$AT$1,),)</f>
        <v/>
      </c>
      <c r="T73" s="26">
        <f>VLOOKUP(B73,'Data yoy'!$A:$AT,MATCH($T$1,'Data yoy'!$A$1:$AT$1,),)</f>
        <v/>
      </c>
      <c r="U73" s="26">
        <f>VLOOKUP(B73,'Data yoy'!$A:$AT,MATCH($U$1,'Data yoy'!$A$1:$AT$1,),)</f>
        <v/>
      </c>
      <c r="V73" s="26">
        <f>VLOOKUP(B73,'Data yoy'!$A:$AT,MATCH($V$1,'Data yoy'!$A$1:$AT$1,),)</f>
        <v/>
      </c>
      <c r="W73" s="26">
        <f>VLOOKUP(B73,'Data yoy'!$A:$AT,MATCH($W$1,'Data yoy'!$A$1:$AT$1,),)</f>
        <v/>
      </c>
      <c r="X73" s="26">
        <f>VLOOKUP(B73,'Data yoy'!$A:$AT,MATCH($X$1,'Data yoy'!$A$1:$AT$1,),)</f>
        <v/>
      </c>
      <c r="Y73" s="26">
        <f>VLOOKUP(B73,'Data yoy'!$A:$AT,MATCH($Y$1,'Data yoy'!$A$1:$AT$1,),)</f>
        <v/>
      </c>
      <c r="Z73" s="26">
        <f>VLOOKUP(B73,'Data yoy'!$A:$AU,MATCH($Z$1,'Data yoy'!$A$1:$AU$1,),)</f>
        <v/>
      </c>
      <c r="AA73" s="26">
        <f>VLOOKUP(B73,'Data yoy'!$A:$AU,MATCH($AA$1,'Data yoy'!$A$1:$AU$1,),)</f>
        <v/>
      </c>
      <c r="AB73" s="93" t="n"/>
      <c r="AC73" s="27">
        <f>B73</f>
        <v/>
      </c>
      <c r="AD73" s="28">
        <f>(VLOOKUP(AC73,B:Y,MATCH($AE$6,$B$1:$Y$1,),))</f>
        <v/>
      </c>
      <c r="AE73" s="28">
        <f>(VLOOKUP(AC73,B:Y,MATCH($AE$7,$B$1:$Y$1,),))</f>
        <v/>
      </c>
      <c r="AF73" s="28">
        <f>AD73-AE73</f>
        <v/>
      </c>
    </row>
    <row r="74">
      <c r="B74" s="25" t="inlineStr">
        <is>
          <t>2015-Q4</t>
        </is>
      </c>
      <c r="C74" s="26">
        <f>VLOOKUP(B74,'Data yoy'!$A:$AT,MATCH($C$1,'Data yoy'!$A$1:$AT$1,),)</f>
        <v/>
      </c>
      <c r="D74" s="26">
        <f>VLOOKUP(B74,'Data yoy'!$A:$AT,MATCH($D$1,'Data yoy'!$A$1:$AT$1,),)</f>
        <v/>
      </c>
      <c r="E74" s="26">
        <f>VLOOKUP(B74,'Data yoy'!$A:$AT,MATCH($E$1,'Data yoy'!$A$1:$AT$1,),)</f>
        <v/>
      </c>
      <c r="F74" s="26">
        <f>VLOOKUP(B74,'Data yoy'!$A:$AT,MATCH($F$1,'Data yoy'!$A$1:$AT$1,),)</f>
        <v/>
      </c>
      <c r="G74" s="26">
        <f>VLOOKUP(B74,'Data yoy'!$A:$AT,MATCH($G$1,'Data yoy'!$A$1:$AT$1,),)</f>
        <v/>
      </c>
      <c r="H74" s="26">
        <f>VLOOKUP(B74,'Data yoy'!$A:$AT,MATCH($H$1,'Data yoy'!$A$1:$AT$1,),)</f>
        <v/>
      </c>
      <c r="I74" s="26">
        <f>VLOOKUP(B74,'Data yoy'!$A:$AT,MATCH($I$1,'Data yoy'!$A$1:$AT$1,),)</f>
        <v/>
      </c>
      <c r="J74" s="26">
        <f>VLOOKUP(B74,'Data yoy'!$A:$AT,MATCH($J$1,'Data yoy'!$A$1:$AT$1,),)</f>
        <v/>
      </c>
      <c r="K74" s="26">
        <f>VLOOKUP(B74,'Data yoy'!$A:$AT,MATCH($K$1,'Data yoy'!$A$1:$AT$1,),)</f>
        <v/>
      </c>
      <c r="L74" s="26">
        <f>VLOOKUP(B74,'Data yoy'!$A:$AT,MATCH($L$1,'Data yoy'!$A$1:$AT$1,),)</f>
        <v/>
      </c>
      <c r="M74" s="26">
        <f>VLOOKUP(B74,'Data yoy'!$A:$AT,MATCH($M$1,'Data yoy'!$A$1:$AT$1,),)</f>
        <v/>
      </c>
      <c r="N74" s="26">
        <f>VLOOKUP(B74,'Data yoy'!$A:$AT,MATCH($N$1,'Data yoy'!$A$1:$AT$1,),)</f>
        <v/>
      </c>
      <c r="O74" s="26">
        <f>VLOOKUP(B74,'Data yoy'!$A:$AT,MATCH($O$1,'Data yoy'!$J$1:$AT$1,),)</f>
        <v/>
      </c>
      <c r="P74" s="26">
        <f>VLOOKUP(B74,'Data yoy'!$A:$AT,MATCH($P$1,'Data yoy'!$A$1:$AT$1,),)</f>
        <v/>
      </c>
      <c r="Q74" s="26">
        <f>VLOOKUP(B74,'Data yoy'!$A:$AT,MATCH($Q$1,'Data yoy'!$A$1:$AT$1,),)</f>
        <v/>
      </c>
      <c r="R74" s="26">
        <f>VLOOKUP(B74,'Data yoy'!$A:$AT,MATCH($R$1,'Data yoy'!$A$1:$AT$1,),)</f>
        <v/>
      </c>
      <c r="S74" s="26">
        <f>VLOOKUP(B74,'Data yoy'!$A:$AT,MATCH($S$1,'Data yoy'!$A$1:$AT$1,),)</f>
        <v/>
      </c>
      <c r="T74" s="26">
        <f>VLOOKUP(B74,'Data yoy'!$A:$AT,MATCH($T$1,'Data yoy'!$A$1:$AT$1,),)</f>
        <v/>
      </c>
      <c r="U74" s="26">
        <f>VLOOKUP(B74,'Data yoy'!$A:$AT,MATCH($U$1,'Data yoy'!$A$1:$AT$1,),)</f>
        <v/>
      </c>
      <c r="V74" s="26">
        <f>VLOOKUP(B74,'Data yoy'!$A:$AT,MATCH($V$1,'Data yoy'!$A$1:$AT$1,),)</f>
        <v/>
      </c>
      <c r="W74" s="26">
        <f>VLOOKUP(B74,'Data yoy'!$A:$AT,MATCH($W$1,'Data yoy'!$A$1:$AT$1,),)</f>
        <v/>
      </c>
      <c r="X74" s="26">
        <f>VLOOKUP(B74,'Data yoy'!$A:$AT,MATCH($X$1,'Data yoy'!$A$1:$AT$1,),)</f>
        <v/>
      </c>
      <c r="Y74" s="26">
        <f>VLOOKUP(B74,'Data yoy'!$A:$AT,MATCH($Y$1,'Data yoy'!$A$1:$AT$1,),)</f>
        <v/>
      </c>
      <c r="Z74" s="26">
        <f>VLOOKUP(B74,'Data yoy'!$A:$AU,MATCH($Z$1,'Data yoy'!$A$1:$AU$1,),)</f>
        <v/>
      </c>
      <c r="AA74" s="26">
        <f>VLOOKUP(B74,'Data yoy'!$A:$AU,MATCH($AA$1,'Data yoy'!$A$1:$AU$1,),)</f>
        <v/>
      </c>
      <c r="AB74" s="93" t="n"/>
      <c r="AC74" s="27">
        <f>B74</f>
        <v/>
      </c>
      <c r="AD74" s="28">
        <f>(VLOOKUP(AC74,B:Y,MATCH($AE$6,$B$1:$Y$1,),))</f>
        <v/>
      </c>
      <c r="AE74" s="28">
        <f>(VLOOKUP(AC74,B:Y,MATCH($AE$7,$B$1:$Y$1,),))</f>
        <v/>
      </c>
      <c r="AF74" s="28">
        <f>AD74-AE74</f>
        <v/>
      </c>
    </row>
    <row r="75">
      <c r="B75" s="25" t="inlineStr">
        <is>
          <t>2016-Q1</t>
        </is>
      </c>
      <c r="C75" s="26">
        <f>VLOOKUP(B75,'Data yoy'!$A:$AT,MATCH($C$1,'Data yoy'!$A$1:$AT$1,),)</f>
        <v/>
      </c>
      <c r="D75" s="26">
        <f>VLOOKUP(B75,'Data yoy'!$A:$AT,MATCH($D$1,'Data yoy'!$A$1:$AT$1,),)</f>
        <v/>
      </c>
      <c r="E75" s="26">
        <f>VLOOKUP(B75,'Data yoy'!$A:$AT,MATCH($E$1,'Data yoy'!$A$1:$AT$1,),)</f>
        <v/>
      </c>
      <c r="F75" s="26">
        <f>VLOOKUP(B75,'Data yoy'!$A:$AT,MATCH($F$1,'Data yoy'!$A$1:$AT$1,),)</f>
        <v/>
      </c>
      <c r="G75" s="26">
        <f>VLOOKUP(B75,'Data yoy'!$A:$AT,MATCH($G$1,'Data yoy'!$A$1:$AT$1,),)</f>
        <v/>
      </c>
      <c r="H75" s="26">
        <f>VLOOKUP(B75,'Data yoy'!$A:$AT,MATCH($H$1,'Data yoy'!$A$1:$AT$1,),)</f>
        <v/>
      </c>
      <c r="I75" s="26">
        <f>VLOOKUP(B75,'Data yoy'!$A:$AT,MATCH($I$1,'Data yoy'!$A$1:$AT$1,),)</f>
        <v/>
      </c>
      <c r="J75" s="26">
        <f>VLOOKUP(B75,'Data yoy'!$A:$AT,MATCH($J$1,'Data yoy'!$A$1:$AT$1,),)</f>
        <v/>
      </c>
      <c r="K75" s="26">
        <f>VLOOKUP(B75,'Data yoy'!$A:$AT,MATCH($K$1,'Data yoy'!$A$1:$AT$1,),)</f>
        <v/>
      </c>
      <c r="L75" s="26">
        <f>VLOOKUP(B75,'Data yoy'!$A:$AT,MATCH($L$1,'Data yoy'!$A$1:$AT$1,),)</f>
        <v/>
      </c>
      <c r="M75" s="26">
        <f>VLOOKUP(B75,'Data yoy'!$A:$AT,MATCH($M$1,'Data yoy'!$A$1:$AT$1,),)</f>
        <v/>
      </c>
      <c r="N75" s="26">
        <f>VLOOKUP(B75,'Data yoy'!$A:$AT,MATCH($N$1,'Data yoy'!$A$1:$AT$1,),)</f>
        <v/>
      </c>
      <c r="O75" s="26">
        <f>VLOOKUP(B75,'Data yoy'!$A:$AT,MATCH($O$1,'Data yoy'!$J$1:$AT$1,),)</f>
        <v/>
      </c>
      <c r="P75" s="26">
        <f>VLOOKUP(B75,'Data yoy'!$A:$AT,MATCH($P$1,'Data yoy'!$A$1:$AT$1,),)</f>
        <v/>
      </c>
      <c r="Q75" s="26">
        <f>VLOOKUP(B75,'Data yoy'!$A:$AT,MATCH($Q$1,'Data yoy'!$A$1:$AT$1,),)</f>
        <v/>
      </c>
      <c r="R75" s="26">
        <f>VLOOKUP(B75,'Data yoy'!$A:$AT,MATCH($R$1,'Data yoy'!$A$1:$AT$1,),)</f>
        <v/>
      </c>
      <c r="S75" s="26">
        <f>VLOOKUP(B75,'Data yoy'!$A:$AT,MATCH($S$1,'Data yoy'!$A$1:$AT$1,),)</f>
        <v/>
      </c>
      <c r="T75" s="26">
        <f>VLOOKUP(B75,'Data yoy'!$A:$AT,MATCH($T$1,'Data yoy'!$A$1:$AT$1,),)</f>
        <v/>
      </c>
      <c r="U75" s="26">
        <f>VLOOKUP(B75,'Data yoy'!$A:$AT,MATCH($U$1,'Data yoy'!$A$1:$AT$1,),)</f>
        <v/>
      </c>
      <c r="V75" s="26">
        <f>VLOOKUP(B75,'Data yoy'!$A:$AT,MATCH($V$1,'Data yoy'!$A$1:$AT$1,),)</f>
        <v/>
      </c>
      <c r="W75" s="26">
        <f>VLOOKUP(B75,'Data yoy'!$A:$AT,MATCH($W$1,'Data yoy'!$A$1:$AT$1,),)</f>
        <v/>
      </c>
      <c r="X75" s="26">
        <f>VLOOKUP(B75,'Data yoy'!$A:$AT,MATCH($X$1,'Data yoy'!$A$1:$AT$1,),)</f>
        <v/>
      </c>
      <c r="Y75" s="26">
        <f>VLOOKUP(B75,'Data yoy'!$A:$AT,MATCH($Y$1,'Data yoy'!$A$1:$AT$1,),)</f>
        <v/>
      </c>
      <c r="Z75" s="26">
        <f>VLOOKUP(B75,'Data yoy'!$A:$AU,MATCH($Z$1,'Data yoy'!$A$1:$AU$1,),)</f>
        <v/>
      </c>
      <c r="AA75" s="26">
        <f>VLOOKUP(B75,'Data yoy'!$A:$AU,MATCH($AA$1,'Data yoy'!$A$1:$AU$1,),)</f>
        <v/>
      </c>
      <c r="AB75" s="93" t="n"/>
      <c r="AC75" s="27">
        <f>B75</f>
        <v/>
      </c>
      <c r="AD75" s="28">
        <f>(VLOOKUP(AC75,B:Y,MATCH($AE$6,$B$1:$Y$1,),))</f>
        <v/>
      </c>
      <c r="AE75" s="28">
        <f>(VLOOKUP(AC75,B:Y,MATCH($AE$7,$B$1:$Y$1,),))</f>
        <v/>
      </c>
      <c r="AF75" s="28">
        <f>AD75-AE75</f>
        <v/>
      </c>
    </row>
    <row r="76">
      <c r="B76" s="25" t="inlineStr">
        <is>
          <t>2016-Q2</t>
        </is>
      </c>
      <c r="C76" s="26">
        <f>VLOOKUP(B76,'Data yoy'!$A:$AT,MATCH($C$1,'Data yoy'!$A$1:$AT$1,),)</f>
        <v/>
      </c>
      <c r="D76" s="26">
        <f>VLOOKUP(B76,'Data yoy'!$A:$AT,MATCH($D$1,'Data yoy'!$A$1:$AT$1,),)</f>
        <v/>
      </c>
      <c r="E76" s="26">
        <f>VLOOKUP(B76,'Data yoy'!$A:$AT,MATCH($E$1,'Data yoy'!$A$1:$AT$1,),)</f>
        <v/>
      </c>
      <c r="F76" s="26">
        <f>VLOOKUP(B76,'Data yoy'!$A:$AT,MATCH($F$1,'Data yoy'!$A$1:$AT$1,),)</f>
        <v/>
      </c>
      <c r="G76" s="26">
        <f>VLOOKUP(B76,'Data yoy'!$A:$AT,MATCH($G$1,'Data yoy'!$A$1:$AT$1,),)</f>
        <v/>
      </c>
      <c r="H76" s="26">
        <f>VLOOKUP(B76,'Data yoy'!$A:$AT,MATCH($H$1,'Data yoy'!$A$1:$AT$1,),)</f>
        <v/>
      </c>
      <c r="I76" s="26">
        <f>VLOOKUP(B76,'Data yoy'!$A:$AT,MATCH($I$1,'Data yoy'!$A$1:$AT$1,),)</f>
        <v/>
      </c>
      <c r="J76" s="26">
        <f>VLOOKUP(B76,'Data yoy'!$A:$AT,MATCH($J$1,'Data yoy'!$A$1:$AT$1,),)</f>
        <v/>
      </c>
      <c r="K76" s="26">
        <f>VLOOKUP(B76,'Data yoy'!$A:$AT,MATCH($K$1,'Data yoy'!$A$1:$AT$1,),)</f>
        <v/>
      </c>
      <c r="L76" s="26">
        <f>VLOOKUP(B76,'Data yoy'!$A:$AT,MATCH($L$1,'Data yoy'!$A$1:$AT$1,),)</f>
        <v/>
      </c>
      <c r="M76" s="26">
        <f>VLOOKUP(B76,'Data yoy'!$A:$AT,MATCH($M$1,'Data yoy'!$A$1:$AT$1,),)</f>
        <v/>
      </c>
      <c r="N76" s="26">
        <f>VLOOKUP(B76,'Data yoy'!$A:$AT,MATCH($N$1,'Data yoy'!$A$1:$AT$1,),)</f>
        <v/>
      </c>
      <c r="O76" s="26">
        <f>VLOOKUP(B76,'Data yoy'!$A:$AT,MATCH($O$1,'Data yoy'!$J$1:$AT$1,),)</f>
        <v/>
      </c>
      <c r="P76" s="26">
        <f>VLOOKUP(B76,'Data yoy'!$A:$AT,MATCH($P$1,'Data yoy'!$A$1:$AT$1,),)</f>
        <v/>
      </c>
      <c r="Q76" s="26">
        <f>VLOOKUP(B76,'Data yoy'!$A:$AT,MATCH($Q$1,'Data yoy'!$A$1:$AT$1,),)</f>
        <v/>
      </c>
      <c r="R76" s="26">
        <f>VLOOKUP(B76,'Data yoy'!$A:$AT,MATCH($R$1,'Data yoy'!$A$1:$AT$1,),)</f>
        <v/>
      </c>
      <c r="S76" s="26">
        <f>VLOOKUP(B76,'Data yoy'!$A:$AT,MATCH($S$1,'Data yoy'!$A$1:$AT$1,),)</f>
        <v/>
      </c>
      <c r="T76" s="26">
        <f>VLOOKUP(B76,'Data yoy'!$A:$AT,MATCH($T$1,'Data yoy'!$A$1:$AT$1,),)</f>
        <v/>
      </c>
      <c r="U76" s="26">
        <f>VLOOKUP(B76,'Data yoy'!$A:$AT,MATCH($U$1,'Data yoy'!$A$1:$AT$1,),)</f>
        <v/>
      </c>
      <c r="V76" s="26">
        <f>VLOOKUP(B76,'Data yoy'!$A:$AT,MATCH($V$1,'Data yoy'!$A$1:$AT$1,),)</f>
        <v/>
      </c>
      <c r="W76" s="26">
        <f>VLOOKUP(B76,'Data yoy'!$A:$AT,MATCH($W$1,'Data yoy'!$A$1:$AT$1,),)</f>
        <v/>
      </c>
      <c r="X76" s="26">
        <f>VLOOKUP(B76,'Data yoy'!$A:$AT,MATCH($X$1,'Data yoy'!$A$1:$AT$1,),)</f>
        <v/>
      </c>
      <c r="Y76" s="26">
        <f>VLOOKUP(B76,'Data yoy'!$A:$AT,MATCH($Y$1,'Data yoy'!$A$1:$AT$1,),)</f>
        <v/>
      </c>
      <c r="Z76" s="26">
        <f>VLOOKUP(B76,'Data yoy'!$A:$AU,MATCH($Z$1,'Data yoy'!$A$1:$AU$1,),)</f>
        <v/>
      </c>
      <c r="AA76" s="26">
        <f>VLOOKUP(B76,'Data yoy'!$A:$AU,MATCH($AA$1,'Data yoy'!$A$1:$AU$1,),)</f>
        <v/>
      </c>
      <c r="AB76" s="93" t="n"/>
      <c r="AC76" s="27">
        <f>B76</f>
        <v/>
      </c>
      <c r="AD76" s="28">
        <f>(VLOOKUP(AC76,B:Y,MATCH($AE$6,$B$1:$Y$1,),))</f>
        <v/>
      </c>
      <c r="AE76" s="28">
        <f>(VLOOKUP(AC76,B:Y,MATCH($AE$7,$B$1:$Y$1,),))</f>
        <v/>
      </c>
      <c r="AF76" s="28">
        <f>AD76-AE76</f>
        <v/>
      </c>
    </row>
    <row r="77">
      <c r="B77" s="25" t="inlineStr">
        <is>
          <t>2016-Q3</t>
        </is>
      </c>
      <c r="C77" s="26">
        <f>VLOOKUP(B77,'Data yoy'!$A:$AT,MATCH($C$1,'Data yoy'!$A$1:$AT$1,),)</f>
        <v/>
      </c>
      <c r="D77" s="26">
        <f>VLOOKUP(B77,'Data yoy'!$A:$AT,MATCH($D$1,'Data yoy'!$A$1:$AT$1,),)</f>
        <v/>
      </c>
      <c r="E77" s="26">
        <f>VLOOKUP(B77,'Data yoy'!$A:$AT,MATCH($E$1,'Data yoy'!$A$1:$AT$1,),)</f>
        <v/>
      </c>
      <c r="F77" s="26">
        <f>VLOOKUP(B77,'Data yoy'!$A:$AT,MATCH($F$1,'Data yoy'!$A$1:$AT$1,),)</f>
        <v/>
      </c>
      <c r="G77" s="26">
        <f>VLOOKUP(B77,'Data yoy'!$A:$AT,MATCH($G$1,'Data yoy'!$A$1:$AT$1,),)</f>
        <v/>
      </c>
      <c r="H77" s="26">
        <f>VLOOKUP(B77,'Data yoy'!$A:$AT,MATCH($H$1,'Data yoy'!$A$1:$AT$1,),)</f>
        <v/>
      </c>
      <c r="I77" s="26">
        <f>VLOOKUP(B77,'Data yoy'!$A:$AT,MATCH($I$1,'Data yoy'!$A$1:$AT$1,),)</f>
        <v/>
      </c>
      <c r="J77" s="26">
        <f>VLOOKUP(B77,'Data yoy'!$A:$AT,MATCH($J$1,'Data yoy'!$A$1:$AT$1,),)</f>
        <v/>
      </c>
      <c r="K77" s="26">
        <f>VLOOKUP(B77,'Data yoy'!$A:$AT,MATCH($K$1,'Data yoy'!$A$1:$AT$1,),)</f>
        <v/>
      </c>
      <c r="L77" s="26">
        <f>VLOOKUP(B77,'Data yoy'!$A:$AT,MATCH($L$1,'Data yoy'!$A$1:$AT$1,),)</f>
        <v/>
      </c>
      <c r="M77" s="26">
        <f>VLOOKUP(B77,'Data yoy'!$A:$AT,MATCH($M$1,'Data yoy'!$A$1:$AT$1,),)</f>
        <v/>
      </c>
      <c r="N77" s="26">
        <f>VLOOKUP(B77,'Data yoy'!$A:$AT,MATCH($N$1,'Data yoy'!$A$1:$AT$1,),)</f>
        <v/>
      </c>
      <c r="O77" s="26">
        <f>VLOOKUP(B77,'Data yoy'!$A:$AT,MATCH($O$1,'Data yoy'!$J$1:$AT$1,),)</f>
        <v/>
      </c>
      <c r="P77" s="26">
        <f>VLOOKUP(B77,'Data yoy'!$A:$AT,MATCH($P$1,'Data yoy'!$A$1:$AT$1,),)</f>
        <v/>
      </c>
      <c r="Q77" s="26">
        <f>VLOOKUP(B77,'Data yoy'!$A:$AT,MATCH($Q$1,'Data yoy'!$A$1:$AT$1,),)</f>
        <v/>
      </c>
      <c r="R77" s="26">
        <f>VLOOKUP(B77,'Data yoy'!$A:$AT,MATCH($R$1,'Data yoy'!$A$1:$AT$1,),)</f>
        <v/>
      </c>
      <c r="S77" s="26">
        <f>VLOOKUP(B77,'Data yoy'!$A:$AT,MATCH($S$1,'Data yoy'!$A$1:$AT$1,),)</f>
        <v/>
      </c>
      <c r="T77" s="26">
        <f>VLOOKUP(B77,'Data yoy'!$A:$AT,MATCH($T$1,'Data yoy'!$A$1:$AT$1,),)</f>
        <v/>
      </c>
      <c r="U77" s="26">
        <f>VLOOKUP(B77,'Data yoy'!$A:$AT,MATCH($U$1,'Data yoy'!$A$1:$AT$1,),)</f>
        <v/>
      </c>
      <c r="V77" s="26">
        <f>VLOOKUP(B77,'Data yoy'!$A:$AT,MATCH($V$1,'Data yoy'!$A$1:$AT$1,),)</f>
        <v/>
      </c>
      <c r="W77" s="26">
        <f>VLOOKUP(B77,'Data yoy'!$A:$AT,MATCH($W$1,'Data yoy'!$A$1:$AT$1,),)</f>
        <v/>
      </c>
      <c r="X77" s="26">
        <f>VLOOKUP(B77,'Data yoy'!$A:$AT,MATCH($X$1,'Data yoy'!$A$1:$AT$1,),)</f>
        <v/>
      </c>
      <c r="Y77" s="26">
        <f>VLOOKUP(B77,'Data yoy'!$A:$AT,MATCH($Y$1,'Data yoy'!$A$1:$AT$1,),)</f>
        <v/>
      </c>
      <c r="Z77" s="26">
        <f>VLOOKUP(B77,'Data yoy'!$A:$AU,MATCH($Z$1,'Data yoy'!$A$1:$AU$1,),)</f>
        <v/>
      </c>
      <c r="AA77" s="26">
        <f>VLOOKUP(B77,'Data yoy'!$A:$AU,MATCH($AA$1,'Data yoy'!$A$1:$AU$1,),)</f>
        <v/>
      </c>
      <c r="AB77" s="93" t="n"/>
      <c r="AC77" s="27">
        <f>B77</f>
        <v/>
      </c>
      <c r="AD77" s="28">
        <f>(VLOOKUP(AC77,B:Y,MATCH($AE$6,$B$1:$Y$1,),))</f>
        <v/>
      </c>
      <c r="AE77" s="28">
        <f>(VLOOKUP(AC77,B:Y,MATCH($AE$7,$B$1:$Y$1,),))</f>
        <v/>
      </c>
      <c r="AF77" s="28">
        <f>AD77-AE77</f>
        <v/>
      </c>
    </row>
    <row r="78">
      <c r="B78" s="25" t="inlineStr">
        <is>
          <t>2016-Q4</t>
        </is>
      </c>
      <c r="C78" s="26">
        <f>VLOOKUP(B78,'Data yoy'!$A:$AT,MATCH($C$1,'Data yoy'!$A$1:$AT$1,),)</f>
        <v/>
      </c>
      <c r="D78" s="26">
        <f>VLOOKUP(B78,'Data yoy'!$A:$AT,MATCH($D$1,'Data yoy'!$A$1:$AT$1,),)</f>
        <v/>
      </c>
      <c r="E78" s="26">
        <f>VLOOKUP(B78,'Data yoy'!$A:$AT,MATCH($E$1,'Data yoy'!$A$1:$AT$1,),)</f>
        <v/>
      </c>
      <c r="F78" s="26">
        <f>VLOOKUP(B78,'Data yoy'!$A:$AT,MATCH($F$1,'Data yoy'!$A$1:$AT$1,),)</f>
        <v/>
      </c>
      <c r="G78" s="26">
        <f>VLOOKUP(B78,'Data yoy'!$A:$AT,MATCH($G$1,'Data yoy'!$A$1:$AT$1,),)</f>
        <v/>
      </c>
      <c r="H78" s="26">
        <f>VLOOKUP(B78,'Data yoy'!$A:$AT,MATCH($H$1,'Data yoy'!$A$1:$AT$1,),)</f>
        <v/>
      </c>
      <c r="I78" s="26">
        <f>VLOOKUP(B78,'Data yoy'!$A:$AT,MATCH($I$1,'Data yoy'!$A$1:$AT$1,),)</f>
        <v/>
      </c>
      <c r="J78" s="26">
        <f>VLOOKUP(B78,'Data yoy'!$A:$AT,MATCH($J$1,'Data yoy'!$A$1:$AT$1,),)</f>
        <v/>
      </c>
      <c r="K78" s="26">
        <f>VLOOKUP(B78,'Data yoy'!$A:$AT,MATCH($K$1,'Data yoy'!$A$1:$AT$1,),)</f>
        <v/>
      </c>
      <c r="L78" s="26">
        <f>VLOOKUP(B78,'Data yoy'!$A:$AT,MATCH($L$1,'Data yoy'!$A$1:$AT$1,),)</f>
        <v/>
      </c>
      <c r="M78" s="26">
        <f>VLOOKUP(B78,'Data yoy'!$A:$AT,MATCH($M$1,'Data yoy'!$A$1:$AT$1,),)</f>
        <v/>
      </c>
      <c r="N78" s="26">
        <f>VLOOKUP(B78,'Data yoy'!$A:$AT,MATCH($N$1,'Data yoy'!$A$1:$AT$1,),)</f>
        <v/>
      </c>
      <c r="O78" s="26">
        <f>VLOOKUP(B78,'Data yoy'!$A:$AT,MATCH($O$1,'Data yoy'!$J$1:$AT$1,),)</f>
        <v/>
      </c>
      <c r="P78" s="26">
        <f>VLOOKUP(B78,'Data yoy'!$A:$AT,MATCH($P$1,'Data yoy'!$A$1:$AT$1,),)</f>
        <v/>
      </c>
      <c r="Q78" s="26">
        <f>VLOOKUP(B78,'Data yoy'!$A:$AT,MATCH($Q$1,'Data yoy'!$A$1:$AT$1,),)</f>
        <v/>
      </c>
      <c r="R78" s="26">
        <f>VLOOKUP(B78,'Data yoy'!$A:$AT,MATCH($R$1,'Data yoy'!$A$1:$AT$1,),)</f>
        <v/>
      </c>
      <c r="S78" s="26">
        <f>VLOOKUP(B78,'Data yoy'!$A:$AT,MATCH($S$1,'Data yoy'!$A$1:$AT$1,),)</f>
        <v/>
      </c>
      <c r="T78" s="26">
        <f>VLOOKUP(B78,'Data yoy'!$A:$AT,MATCH($T$1,'Data yoy'!$A$1:$AT$1,),)</f>
        <v/>
      </c>
      <c r="U78" s="26">
        <f>VLOOKUP(B78,'Data yoy'!$A:$AT,MATCH($U$1,'Data yoy'!$A$1:$AT$1,),)</f>
        <v/>
      </c>
      <c r="V78" s="26">
        <f>VLOOKUP(B78,'Data yoy'!$A:$AT,MATCH($V$1,'Data yoy'!$A$1:$AT$1,),)</f>
        <v/>
      </c>
      <c r="W78" s="26">
        <f>VLOOKUP(B78,'Data yoy'!$A:$AT,MATCH($W$1,'Data yoy'!$A$1:$AT$1,),)</f>
        <v/>
      </c>
      <c r="X78" s="26">
        <f>VLOOKUP(B78,'Data yoy'!$A:$AT,MATCH($X$1,'Data yoy'!$A$1:$AT$1,),)</f>
        <v/>
      </c>
      <c r="Y78" s="26">
        <f>VLOOKUP(B78,'Data yoy'!$A:$AT,MATCH($Y$1,'Data yoy'!$A$1:$AT$1,),)</f>
        <v/>
      </c>
      <c r="Z78" s="26">
        <f>VLOOKUP(B78,'Data yoy'!$A:$AU,MATCH($Z$1,'Data yoy'!$A$1:$AU$1,),)</f>
        <v/>
      </c>
      <c r="AA78" s="26">
        <f>VLOOKUP(B78,'Data yoy'!$A:$AU,MATCH($AA$1,'Data yoy'!$A$1:$AU$1,),)</f>
        <v/>
      </c>
      <c r="AB78" s="93" t="n"/>
      <c r="AC78" s="27">
        <f>B78</f>
        <v/>
      </c>
      <c r="AD78" s="28">
        <f>(VLOOKUP(AC78,B:Y,MATCH($AE$6,$B$1:$Y$1,),))</f>
        <v/>
      </c>
      <c r="AE78" s="28">
        <f>(VLOOKUP(AC78,B:Y,MATCH($AE$7,$B$1:$Y$1,),))</f>
        <v/>
      </c>
      <c r="AF78" s="28">
        <f>AD78-AE78</f>
        <v/>
      </c>
    </row>
    <row r="79">
      <c r="B79" s="25" t="inlineStr">
        <is>
          <t>2017-Q1</t>
        </is>
      </c>
      <c r="C79" s="26">
        <f>VLOOKUP(B79,'Data yoy'!$A:$AT,MATCH($C$1,'Data yoy'!$A$1:$AT$1,),)</f>
        <v/>
      </c>
      <c r="D79" s="26">
        <f>VLOOKUP(B79,'Data yoy'!$A:$AT,MATCH($D$1,'Data yoy'!$A$1:$AT$1,),)</f>
        <v/>
      </c>
      <c r="E79" s="26">
        <f>VLOOKUP(B79,'Data yoy'!$A:$AT,MATCH($E$1,'Data yoy'!$A$1:$AT$1,),)</f>
        <v/>
      </c>
      <c r="F79" s="26">
        <f>VLOOKUP(B79,'Data yoy'!$A:$AT,MATCH($F$1,'Data yoy'!$A$1:$AT$1,),)</f>
        <v/>
      </c>
      <c r="G79" s="26">
        <f>VLOOKUP(B79,'Data yoy'!$A:$AT,MATCH($G$1,'Data yoy'!$A$1:$AT$1,),)</f>
        <v/>
      </c>
      <c r="H79" s="26">
        <f>VLOOKUP(B79,'Data yoy'!$A:$AT,MATCH($H$1,'Data yoy'!$A$1:$AT$1,),)</f>
        <v/>
      </c>
      <c r="I79" s="26">
        <f>VLOOKUP(B79,'Data yoy'!$A:$AT,MATCH($I$1,'Data yoy'!$A$1:$AT$1,),)</f>
        <v/>
      </c>
      <c r="J79" s="26">
        <f>VLOOKUP(B79,'Data yoy'!$A:$AT,MATCH($J$1,'Data yoy'!$A$1:$AT$1,),)</f>
        <v/>
      </c>
      <c r="K79" s="26">
        <f>VLOOKUP(B79,'Data yoy'!$A:$AT,MATCH($K$1,'Data yoy'!$A$1:$AT$1,),)</f>
        <v/>
      </c>
      <c r="L79" s="26">
        <f>VLOOKUP(B79,'Data yoy'!$A:$AT,MATCH($L$1,'Data yoy'!$A$1:$AT$1,),)</f>
        <v/>
      </c>
      <c r="M79" s="26">
        <f>VLOOKUP(B79,'Data yoy'!$A:$AT,MATCH($M$1,'Data yoy'!$A$1:$AT$1,),)</f>
        <v/>
      </c>
      <c r="N79" s="26">
        <f>VLOOKUP(B79,'Data yoy'!$A:$AT,MATCH($N$1,'Data yoy'!$A$1:$AT$1,),)</f>
        <v/>
      </c>
      <c r="O79" s="26">
        <f>VLOOKUP(B79,'Data yoy'!$A:$AT,MATCH($O$1,'Data yoy'!$J$1:$AT$1,),)</f>
        <v/>
      </c>
      <c r="P79" s="26">
        <f>VLOOKUP(B79,'Data yoy'!$A:$AT,MATCH($P$1,'Data yoy'!$A$1:$AT$1,),)</f>
        <v/>
      </c>
      <c r="Q79" s="26">
        <f>VLOOKUP(B79,'Data yoy'!$A:$AT,MATCH($Q$1,'Data yoy'!$A$1:$AT$1,),)</f>
        <v/>
      </c>
      <c r="R79" s="26">
        <f>VLOOKUP(B79,'Data yoy'!$A:$AT,MATCH($R$1,'Data yoy'!$A$1:$AT$1,),)</f>
        <v/>
      </c>
      <c r="S79" s="26">
        <f>VLOOKUP(B79,'Data yoy'!$A:$AT,MATCH($S$1,'Data yoy'!$A$1:$AT$1,),)</f>
        <v/>
      </c>
      <c r="T79" s="26">
        <f>VLOOKUP(B79,'Data yoy'!$A:$AT,MATCH($T$1,'Data yoy'!$A$1:$AT$1,),)</f>
        <v/>
      </c>
      <c r="U79" s="26">
        <f>VLOOKUP(B79,'Data yoy'!$A:$AT,MATCH($U$1,'Data yoy'!$A$1:$AT$1,),)</f>
        <v/>
      </c>
      <c r="V79" s="26">
        <f>VLOOKUP(B79,'Data yoy'!$A:$AT,MATCH($V$1,'Data yoy'!$A$1:$AT$1,),)</f>
        <v/>
      </c>
      <c r="W79" s="26">
        <f>VLOOKUP(B79,'Data yoy'!$A:$AT,MATCH($W$1,'Data yoy'!$A$1:$AT$1,),)</f>
        <v/>
      </c>
      <c r="X79" s="26">
        <f>VLOOKUP(B79,'Data yoy'!$A:$AT,MATCH($X$1,'Data yoy'!$A$1:$AT$1,),)</f>
        <v/>
      </c>
      <c r="Y79" s="26">
        <f>VLOOKUP(B79,'Data yoy'!$A:$AT,MATCH($Y$1,'Data yoy'!$A$1:$AT$1,),)</f>
        <v/>
      </c>
      <c r="Z79" s="26">
        <f>VLOOKUP(B79,'Data yoy'!$A:$AU,MATCH($Z$1,'Data yoy'!$A$1:$AU$1,),)</f>
        <v/>
      </c>
      <c r="AA79" s="26">
        <f>VLOOKUP(B79,'Data yoy'!$A:$AU,MATCH($AA$1,'Data yoy'!$A$1:$AU$1,),)</f>
        <v/>
      </c>
      <c r="AB79" s="93" t="n"/>
      <c r="AC79" s="27">
        <f>B79</f>
        <v/>
      </c>
      <c r="AD79" s="28">
        <f>(VLOOKUP(AC79,B:Y,MATCH($AE$6,$B$1:$Y$1,),))</f>
        <v/>
      </c>
      <c r="AE79" s="28">
        <f>(VLOOKUP(AC79,B:Y,MATCH($AE$7,$B$1:$Y$1,),))</f>
        <v/>
      </c>
      <c r="AF79" s="28">
        <f>AD79-AE79</f>
        <v/>
      </c>
    </row>
    <row r="80">
      <c r="B80" s="25" t="inlineStr">
        <is>
          <t>2017-Q2</t>
        </is>
      </c>
      <c r="C80" s="26">
        <f>VLOOKUP(B80,'Data yoy'!$A:$AT,MATCH($C$1,'Data yoy'!$A$1:$AT$1,),)</f>
        <v/>
      </c>
      <c r="D80" s="26">
        <f>VLOOKUP(B80,'Data yoy'!$A:$AT,MATCH($D$1,'Data yoy'!$A$1:$AT$1,),)</f>
        <v/>
      </c>
      <c r="E80" s="26">
        <f>VLOOKUP(B80,'Data yoy'!$A:$AT,MATCH($E$1,'Data yoy'!$A$1:$AT$1,),)</f>
        <v/>
      </c>
      <c r="F80" s="26">
        <f>VLOOKUP(B80,'Data yoy'!$A:$AT,MATCH($F$1,'Data yoy'!$A$1:$AT$1,),)</f>
        <v/>
      </c>
      <c r="G80" s="26">
        <f>VLOOKUP(B80,'Data yoy'!$A:$AT,MATCH($G$1,'Data yoy'!$A$1:$AT$1,),)</f>
        <v/>
      </c>
      <c r="H80" s="26">
        <f>VLOOKUP(B80,'Data yoy'!$A:$AT,MATCH($H$1,'Data yoy'!$A$1:$AT$1,),)</f>
        <v/>
      </c>
      <c r="I80" s="26">
        <f>VLOOKUP(B80,'Data yoy'!$A:$AT,MATCH($I$1,'Data yoy'!$A$1:$AT$1,),)</f>
        <v/>
      </c>
      <c r="J80" s="26">
        <f>VLOOKUP(B80,'Data yoy'!$A:$AT,MATCH($J$1,'Data yoy'!$A$1:$AT$1,),)</f>
        <v/>
      </c>
      <c r="K80" s="26">
        <f>VLOOKUP(B80,'Data yoy'!$A:$AT,MATCH($K$1,'Data yoy'!$A$1:$AT$1,),)</f>
        <v/>
      </c>
      <c r="L80" s="26">
        <f>VLOOKUP(B80,'Data yoy'!$A:$AT,MATCH($L$1,'Data yoy'!$A$1:$AT$1,),)</f>
        <v/>
      </c>
      <c r="M80" s="26">
        <f>VLOOKUP(B80,'Data yoy'!$A:$AT,MATCH($M$1,'Data yoy'!$A$1:$AT$1,),)</f>
        <v/>
      </c>
      <c r="N80" s="26">
        <f>VLOOKUP(B80,'Data yoy'!$A:$AT,MATCH($N$1,'Data yoy'!$A$1:$AT$1,),)</f>
        <v/>
      </c>
      <c r="O80" s="26">
        <f>VLOOKUP(B80,'Data yoy'!$A:$AT,MATCH($O$1,'Data yoy'!$J$1:$AT$1,),)</f>
        <v/>
      </c>
      <c r="P80" s="26">
        <f>VLOOKUP(B80,'Data yoy'!$A:$AT,MATCH($P$1,'Data yoy'!$A$1:$AT$1,),)</f>
        <v/>
      </c>
      <c r="Q80" s="26">
        <f>VLOOKUP(B80,'Data yoy'!$A:$AT,MATCH($Q$1,'Data yoy'!$A$1:$AT$1,),)</f>
        <v/>
      </c>
      <c r="R80" s="26">
        <f>VLOOKUP(B80,'Data yoy'!$A:$AT,MATCH($R$1,'Data yoy'!$A$1:$AT$1,),)</f>
        <v/>
      </c>
      <c r="S80" s="26">
        <f>VLOOKUP(B80,'Data yoy'!$A:$AT,MATCH($S$1,'Data yoy'!$A$1:$AT$1,),)</f>
        <v/>
      </c>
      <c r="T80" s="26">
        <f>VLOOKUP(B80,'Data yoy'!$A:$AT,MATCH($T$1,'Data yoy'!$A$1:$AT$1,),)</f>
        <v/>
      </c>
      <c r="U80" s="26">
        <f>VLOOKUP(B80,'Data yoy'!$A:$AT,MATCH($U$1,'Data yoy'!$A$1:$AT$1,),)</f>
        <v/>
      </c>
      <c r="V80" s="26">
        <f>VLOOKUP(B80,'Data yoy'!$A:$AT,MATCH($V$1,'Data yoy'!$A$1:$AT$1,),)</f>
        <v/>
      </c>
      <c r="W80" s="26">
        <f>VLOOKUP(B80,'Data yoy'!$A:$AT,MATCH($W$1,'Data yoy'!$A$1:$AT$1,),)</f>
        <v/>
      </c>
      <c r="X80" s="26">
        <f>VLOOKUP(B80,'Data yoy'!$A:$AT,MATCH($X$1,'Data yoy'!$A$1:$AT$1,),)</f>
        <v/>
      </c>
      <c r="Y80" s="26">
        <f>VLOOKUP(B80,'Data yoy'!$A:$AT,MATCH($Y$1,'Data yoy'!$A$1:$AT$1,),)</f>
        <v/>
      </c>
      <c r="Z80" s="26">
        <f>VLOOKUP(B80,'Data yoy'!$A:$AU,MATCH($Z$1,'Data yoy'!$A$1:$AU$1,),)</f>
        <v/>
      </c>
      <c r="AA80" s="26">
        <f>VLOOKUP(B80,'Data yoy'!$A:$AU,MATCH($AA$1,'Data yoy'!$A$1:$AU$1,),)</f>
        <v/>
      </c>
      <c r="AB80" s="93" t="n"/>
      <c r="AC80" s="27">
        <f>B80</f>
        <v/>
      </c>
      <c r="AD80" s="28">
        <f>(VLOOKUP(AC80,B:Y,MATCH($AE$6,$B$1:$Y$1,),))</f>
        <v/>
      </c>
      <c r="AE80" s="28">
        <f>(VLOOKUP(AC80,B:Y,MATCH($AE$7,$B$1:$Y$1,),))</f>
        <v/>
      </c>
      <c r="AF80" s="28">
        <f>AD80-AE80</f>
        <v/>
      </c>
    </row>
    <row r="81">
      <c r="B81" s="25" t="inlineStr">
        <is>
          <t>2017-Q3</t>
        </is>
      </c>
      <c r="C81" s="26">
        <f>VLOOKUP(B81,'Data yoy'!$A:$AT,MATCH($C$1,'Data yoy'!$A$1:$AT$1,),)</f>
        <v/>
      </c>
      <c r="D81" s="26">
        <f>VLOOKUP(B81,'Data yoy'!$A:$AT,MATCH($D$1,'Data yoy'!$A$1:$AT$1,),)</f>
        <v/>
      </c>
      <c r="E81" s="26">
        <f>VLOOKUP(B81,'Data yoy'!$A:$AT,MATCH($E$1,'Data yoy'!$A$1:$AT$1,),)</f>
        <v/>
      </c>
      <c r="F81" s="26">
        <f>VLOOKUP(B81,'Data yoy'!$A:$AT,MATCH($F$1,'Data yoy'!$A$1:$AT$1,),)</f>
        <v/>
      </c>
      <c r="G81" s="26">
        <f>VLOOKUP(B81,'Data yoy'!$A:$AT,MATCH($G$1,'Data yoy'!$A$1:$AT$1,),)</f>
        <v/>
      </c>
      <c r="H81" s="26">
        <f>VLOOKUP(B81,'Data yoy'!$A:$AT,MATCH($H$1,'Data yoy'!$A$1:$AT$1,),)</f>
        <v/>
      </c>
      <c r="I81" s="26">
        <f>VLOOKUP(B81,'Data yoy'!$A:$AT,MATCH($I$1,'Data yoy'!$A$1:$AT$1,),)</f>
        <v/>
      </c>
      <c r="J81" s="26">
        <f>VLOOKUP(B81,'Data yoy'!$A:$AT,MATCH($J$1,'Data yoy'!$A$1:$AT$1,),)</f>
        <v/>
      </c>
      <c r="K81" s="26">
        <f>VLOOKUP(B81,'Data yoy'!$A:$AT,MATCH($K$1,'Data yoy'!$A$1:$AT$1,),)</f>
        <v/>
      </c>
      <c r="L81" s="26">
        <f>VLOOKUP(B81,'Data yoy'!$A:$AT,MATCH($L$1,'Data yoy'!$A$1:$AT$1,),)</f>
        <v/>
      </c>
      <c r="M81" s="26">
        <f>VLOOKUP(B81,'Data yoy'!$A:$AT,MATCH($M$1,'Data yoy'!$A$1:$AT$1,),)</f>
        <v/>
      </c>
      <c r="N81" s="26">
        <f>VLOOKUP(B81,'Data yoy'!$A:$AT,MATCH($N$1,'Data yoy'!$A$1:$AT$1,),)</f>
        <v/>
      </c>
      <c r="O81" s="26">
        <f>VLOOKUP(B81,'Data yoy'!$A:$AT,MATCH($O$1,'Data yoy'!$J$1:$AT$1,),)</f>
        <v/>
      </c>
      <c r="P81" s="26">
        <f>VLOOKUP(B81,'Data yoy'!$A:$AT,MATCH($P$1,'Data yoy'!$A$1:$AT$1,),)</f>
        <v/>
      </c>
      <c r="Q81" s="26">
        <f>VLOOKUP(B81,'Data yoy'!$A:$AT,MATCH($Q$1,'Data yoy'!$A$1:$AT$1,),)</f>
        <v/>
      </c>
      <c r="R81" s="26">
        <f>VLOOKUP(B81,'Data yoy'!$A:$AT,MATCH($R$1,'Data yoy'!$A$1:$AT$1,),)</f>
        <v/>
      </c>
      <c r="S81" s="26">
        <f>VLOOKUP(B81,'Data yoy'!$A:$AT,MATCH($S$1,'Data yoy'!$A$1:$AT$1,),)</f>
        <v/>
      </c>
      <c r="T81" s="26">
        <f>VLOOKUP(B81,'Data yoy'!$A:$AT,MATCH($T$1,'Data yoy'!$A$1:$AT$1,),)</f>
        <v/>
      </c>
      <c r="U81" s="26">
        <f>VLOOKUP(B81,'Data yoy'!$A:$AT,MATCH($U$1,'Data yoy'!$A$1:$AT$1,),)</f>
        <v/>
      </c>
      <c r="V81" s="26">
        <f>VLOOKUP(B81,'Data yoy'!$A:$AT,MATCH($V$1,'Data yoy'!$A$1:$AT$1,),)</f>
        <v/>
      </c>
      <c r="W81" s="26">
        <f>VLOOKUP(B81,'Data yoy'!$A:$AT,MATCH($W$1,'Data yoy'!$A$1:$AT$1,),)</f>
        <v/>
      </c>
      <c r="X81" s="26">
        <f>VLOOKUP(B81,'Data yoy'!$A:$AT,MATCH($X$1,'Data yoy'!$A$1:$AT$1,),)</f>
        <v/>
      </c>
      <c r="Y81" s="26">
        <f>VLOOKUP(B81,'Data yoy'!$A:$AT,MATCH($Y$1,'Data yoy'!$A$1:$AT$1,),)</f>
        <v/>
      </c>
      <c r="Z81" s="26">
        <f>VLOOKUP(B81,'Data yoy'!$A:$AU,MATCH($Z$1,'Data yoy'!$A$1:$AU$1,),)</f>
        <v/>
      </c>
      <c r="AA81" s="26">
        <f>VLOOKUP(B81,'Data yoy'!$A:$AU,MATCH($AA$1,'Data yoy'!$A$1:$AU$1,),)</f>
        <v/>
      </c>
      <c r="AB81" s="93" t="n"/>
      <c r="AC81" s="27">
        <f>B81</f>
        <v/>
      </c>
      <c r="AD81" s="28">
        <f>(VLOOKUP(AC81,B:Y,MATCH($AE$6,$B$1:$Y$1,),))</f>
        <v/>
      </c>
      <c r="AE81" s="28">
        <f>(VLOOKUP(AC81,B:Y,MATCH($AE$7,$B$1:$Y$1,),))</f>
        <v/>
      </c>
      <c r="AF81" s="28">
        <f>AD81-AE81</f>
        <v/>
      </c>
    </row>
    <row r="82">
      <c r="B82" s="25" t="inlineStr">
        <is>
          <t>2017-Q4</t>
        </is>
      </c>
      <c r="C82" s="26">
        <f>VLOOKUP(B82,'Data yoy'!$A:$AT,MATCH($C$1,'Data yoy'!$A$1:$AT$1,),)</f>
        <v/>
      </c>
      <c r="D82" s="26">
        <f>VLOOKUP(B82,'Data yoy'!$A:$AT,MATCH($D$1,'Data yoy'!$A$1:$AT$1,),)</f>
        <v/>
      </c>
      <c r="E82" s="26">
        <f>VLOOKUP(B82,'Data yoy'!$A:$AT,MATCH($E$1,'Data yoy'!$A$1:$AT$1,),)</f>
        <v/>
      </c>
      <c r="F82" s="26">
        <f>VLOOKUP(B82,'Data yoy'!$A:$AT,MATCH($F$1,'Data yoy'!$A$1:$AT$1,),)</f>
        <v/>
      </c>
      <c r="G82" s="26">
        <f>VLOOKUP(B82,'Data yoy'!$A:$AT,MATCH($G$1,'Data yoy'!$A$1:$AT$1,),)</f>
        <v/>
      </c>
      <c r="H82" s="26">
        <f>VLOOKUP(B82,'Data yoy'!$A:$AT,MATCH($H$1,'Data yoy'!$A$1:$AT$1,),)</f>
        <v/>
      </c>
      <c r="I82" s="26">
        <f>VLOOKUP(B82,'Data yoy'!$A:$AT,MATCH($I$1,'Data yoy'!$A$1:$AT$1,),)</f>
        <v/>
      </c>
      <c r="J82" s="26">
        <f>VLOOKUP(B82,'Data yoy'!$A:$AT,MATCH($J$1,'Data yoy'!$A$1:$AT$1,),)</f>
        <v/>
      </c>
      <c r="K82" s="26">
        <f>VLOOKUP(B82,'Data yoy'!$A:$AT,MATCH($K$1,'Data yoy'!$A$1:$AT$1,),)</f>
        <v/>
      </c>
      <c r="L82" s="26">
        <f>VLOOKUP(B82,'Data yoy'!$A:$AT,MATCH($L$1,'Data yoy'!$A$1:$AT$1,),)</f>
        <v/>
      </c>
      <c r="M82" s="26">
        <f>VLOOKUP(B82,'Data yoy'!$A:$AT,MATCH($M$1,'Data yoy'!$A$1:$AT$1,),)</f>
        <v/>
      </c>
      <c r="N82" s="26">
        <f>VLOOKUP(B82,'Data yoy'!$A:$AT,MATCH($N$1,'Data yoy'!$A$1:$AT$1,),)</f>
        <v/>
      </c>
      <c r="O82" s="26">
        <f>VLOOKUP(B82,'Data yoy'!$A:$AT,MATCH($O$1,'Data yoy'!$J$1:$AT$1,),)</f>
        <v/>
      </c>
      <c r="P82" s="26">
        <f>VLOOKUP(B82,'Data yoy'!$A:$AT,MATCH($P$1,'Data yoy'!$A$1:$AT$1,),)</f>
        <v/>
      </c>
      <c r="Q82" s="26">
        <f>VLOOKUP(B82,'Data yoy'!$A:$AT,MATCH($Q$1,'Data yoy'!$A$1:$AT$1,),)</f>
        <v/>
      </c>
      <c r="R82" s="26">
        <f>VLOOKUP(B82,'Data yoy'!$A:$AT,MATCH($R$1,'Data yoy'!$A$1:$AT$1,),)</f>
        <v/>
      </c>
      <c r="S82" s="26">
        <f>VLOOKUP(B82,'Data yoy'!$A:$AT,MATCH($S$1,'Data yoy'!$A$1:$AT$1,),)</f>
        <v/>
      </c>
      <c r="T82" s="26">
        <f>VLOOKUP(B82,'Data yoy'!$A:$AT,MATCH($T$1,'Data yoy'!$A$1:$AT$1,),)</f>
        <v/>
      </c>
      <c r="U82" s="26">
        <f>VLOOKUP(B82,'Data yoy'!$A:$AT,MATCH($U$1,'Data yoy'!$A$1:$AT$1,),)</f>
        <v/>
      </c>
      <c r="V82" s="26">
        <f>VLOOKUP(B82,'Data yoy'!$A:$AT,MATCH($V$1,'Data yoy'!$A$1:$AT$1,),)</f>
        <v/>
      </c>
      <c r="W82" s="26">
        <f>VLOOKUP(B82,'Data yoy'!$A:$AT,MATCH($W$1,'Data yoy'!$A$1:$AT$1,),)</f>
        <v/>
      </c>
      <c r="X82" s="26">
        <f>VLOOKUP(B82,'Data yoy'!$A:$AT,MATCH($X$1,'Data yoy'!$A$1:$AT$1,),)</f>
        <v/>
      </c>
      <c r="Y82" s="26">
        <f>VLOOKUP(B82,'Data yoy'!$A:$AT,MATCH($Y$1,'Data yoy'!$A$1:$AT$1,),)</f>
        <v/>
      </c>
      <c r="Z82" s="26">
        <f>VLOOKUP(B82,'Data yoy'!$A:$AU,MATCH($Z$1,'Data yoy'!$A$1:$AU$1,),)</f>
        <v/>
      </c>
      <c r="AA82" s="26">
        <f>VLOOKUP(B82,'Data yoy'!$A:$AU,MATCH($AA$1,'Data yoy'!$A$1:$AU$1,),)</f>
        <v/>
      </c>
      <c r="AB82" s="93" t="n"/>
      <c r="AC82" s="27">
        <f>B82</f>
        <v/>
      </c>
      <c r="AD82" s="28">
        <f>(VLOOKUP(AC82,B:Y,MATCH($AE$6,$B$1:$Y$1,),))</f>
        <v/>
      </c>
      <c r="AE82" s="28">
        <f>(VLOOKUP(AC82,B:Y,MATCH($AE$7,$B$1:$Y$1,),))</f>
        <v/>
      </c>
      <c r="AF82" s="28">
        <f>AD82-AE82</f>
        <v/>
      </c>
    </row>
    <row r="83">
      <c r="B83" s="25" t="inlineStr">
        <is>
          <t>2018-Q1</t>
        </is>
      </c>
      <c r="C83" s="26">
        <f>VLOOKUP(B83,'Data yoy'!$A:$AT,MATCH($C$1,'Data yoy'!$A$1:$AT$1,),)</f>
        <v/>
      </c>
      <c r="D83" s="26">
        <f>VLOOKUP(B83,'Data yoy'!$A:$AT,MATCH($D$1,'Data yoy'!$A$1:$AT$1,),)</f>
        <v/>
      </c>
      <c r="E83" s="26">
        <f>VLOOKUP(B83,'Data yoy'!$A:$AT,MATCH($E$1,'Data yoy'!$A$1:$AT$1,),)</f>
        <v/>
      </c>
      <c r="F83" s="26">
        <f>VLOOKUP(B83,'Data yoy'!$A:$AT,MATCH($F$1,'Data yoy'!$A$1:$AT$1,),)</f>
        <v/>
      </c>
      <c r="G83" s="26">
        <f>VLOOKUP(B83,'Data yoy'!$A:$AT,MATCH($G$1,'Data yoy'!$A$1:$AT$1,),)</f>
        <v/>
      </c>
      <c r="H83" s="26">
        <f>VLOOKUP(B83,'Data yoy'!$A:$AT,MATCH($H$1,'Data yoy'!$A$1:$AT$1,),)</f>
        <v/>
      </c>
      <c r="I83" s="26">
        <f>VLOOKUP(B83,'Data yoy'!$A:$AT,MATCH($I$1,'Data yoy'!$A$1:$AT$1,),)</f>
        <v/>
      </c>
      <c r="J83" s="26">
        <f>VLOOKUP(B83,'Data yoy'!$A:$AT,MATCH($J$1,'Data yoy'!$A$1:$AT$1,),)</f>
        <v/>
      </c>
      <c r="K83" s="26">
        <f>VLOOKUP(B83,'Data yoy'!$A:$AT,MATCH($K$1,'Data yoy'!$A$1:$AT$1,),)</f>
        <v/>
      </c>
      <c r="L83" s="26">
        <f>VLOOKUP(B83,'Data yoy'!$A:$AT,MATCH($L$1,'Data yoy'!$A$1:$AT$1,),)</f>
        <v/>
      </c>
      <c r="M83" s="26">
        <f>VLOOKUP(B83,'Data yoy'!$A:$AT,MATCH($M$1,'Data yoy'!$A$1:$AT$1,),)</f>
        <v/>
      </c>
      <c r="N83" s="26">
        <f>VLOOKUP(B83,'Data yoy'!$A:$AT,MATCH($N$1,'Data yoy'!$A$1:$AT$1,),)</f>
        <v/>
      </c>
      <c r="O83" s="26">
        <f>VLOOKUP(B83,'Data yoy'!$A:$AT,MATCH($O$1,'Data yoy'!$J$1:$AT$1,),)</f>
        <v/>
      </c>
      <c r="P83" s="26">
        <f>VLOOKUP(B83,'Data yoy'!$A:$AT,MATCH($P$1,'Data yoy'!$A$1:$AT$1,),)</f>
        <v/>
      </c>
      <c r="Q83" s="26">
        <f>VLOOKUP(B83,'Data yoy'!$A:$AT,MATCH($Q$1,'Data yoy'!$A$1:$AT$1,),)</f>
        <v/>
      </c>
      <c r="R83" s="26">
        <f>VLOOKUP(B83,'Data yoy'!$A:$AT,MATCH($R$1,'Data yoy'!$A$1:$AT$1,),)</f>
        <v/>
      </c>
      <c r="S83" s="26">
        <f>VLOOKUP(B83,'Data yoy'!$A:$AT,MATCH($S$1,'Data yoy'!$A$1:$AT$1,),)</f>
        <v/>
      </c>
      <c r="T83" s="26">
        <f>VLOOKUP(B83,'Data yoy'!$A:$AT,MATCH($T$1,'Data yoy'!$A$1:$AT$1,),)</f>
        <v/>
      </c>
      <c r="U83" s="26">
        <f>VLOOKUP(B83,'Data yoy'!$A:$AT,MATCH($U$1,'Data yoy'!$A$1:$AT$1,),)</f>
        <v/>
      </c>
      <c r="V83" s="26">
        <f>VLOOKUP(B83,'Data yoy'!$A:$AT,MATCH($V$1,'Data yoy'!$A$1:$AT$1,),)</f>
        <v/>
      </c>
      <c r="W83" s="26">
        <f>VLOOKUP(B83,'Data yoy'!$A:$AT,MATCH($W$1,'Data yoy'!$A$1:$AT$1,),)</f>
        <v/>
      </c>
      <c r="X83" s="26">
        <f>VLOOKUP(B83,'Data yoy'!$A:$AT,MATCH($X$1,'Data yoy'!$A$1:$AT$1,),)</f>
        <v/>
      </c>
      <c r="Y83" s="26">
        <f>VLOOKUP(B83,'Data yoy'!$A:$AT,MATCH($Y$1,'Data yoy'!$A$1:$AT$1,),)</f>
        <v/>
      </c>
      <c r="Z83" s="26">
        <f>VLOOKUP(B83,'Data yoy'!$A:$AU,MATCH($Z$1,'Data yoy'!$A$1:$AU$1,),)</f>
        <v/>
      </c>
      <c r="AA83" s="26">
        <f>VLOOKUP(B83,'Data yoy'!$A:$AU,MATCH($AA$1,'Data yoy'!$A$1:$AU$1,),)</f>
        <v/>
      </c>
      <c r="AB83" s="93" t="n"/>
      <c r="AC83" s="27">
        <f>B83</f>
        <v/>
      </c>
      <c r="AD83" s="28">
        <f>(VLOOKUP(AC83,B:Y,MATCH($AE$6,$B$1:$Y$1,),))</f>
        <v/>
      </c>
      <c r="AE83" s="28">
        <f>(VLOOKUP(AC83,B:Y,MATCH($AE$7,$B$1:$Y$1,),))</f>
        <v/>
      </c>
      <c r="AF83" s="28">
        <f>AD83-AE83</f>
        <v/>
      </c>
    </row>
    <row r="84" customFormat="1" s="93">
      <c r="B84" s="25" t="inlineStr">
        <is>
          <t>2018-Q2</t>
        </is>
      </c>
      <c r="C84" s="26">
        <f>VLOOKUP(B84,'Data yoy'!$A:$AT,MATCH($C$1,'Data yoy'!$A$1:$AT$1,),)</f>
        <v/>
      </c>
      <c r="D84" s="26">
        <f>VLOOKUP(B84,'Data yoy'!$A:$AT,MATCH($D$1,'Data yoy'!$A$1:$AT$1,),)</f>
        <v/>
      </c>
      <c r="E84" s="26">
        <f>VLOOKUP(B84,'Data yoy'!$A:$AT,MATCH($E$1,'Data yoy'!$A$1:$AT$1,),)</f>
        <v/>
      </c>
      <c r="F84" s="26">
        <f>VLOOKUP(B84,'Data yoy'!$A:$AT,MATCH($F$1,'Data yoy'!$A$1:$AT$1,),)</f>
        <v/>
      </c>
      <c r="G84" s="26">
        <f>VLOOKUP(B84,'Data yoy'!$A:$AT,MATCH($G$1,'Data yoy'!$A$1:$AT$1,),)</f>
        <v/>
      </c>
      <c r="H84" s="26">
        <f>VLOOKUP(B84,'Data yoy'!$A:$AT,MATCH($H$1,'Data yoy'!$A$1:$AT$1,),)</f>
        <v/>
      </c>
      <c r="I84" s="26">
        <f>VLOOKUP(B84,'Data yoy'!$A:$AT,MATCH($I$1,'Data yoy'!$A$1:$AT$1,),)</f>
        <v/>
      </c>
      <c r="J84" s="26">
        <f>VLOOKUP(B84,'Data yoy'!$A:$AT,MATCH($J$1,'Data yoy'!$A$1:$AT$1,),)</f>
        <v/>
      </c>
      <c r="K84" s="26">
        <f>VLOOKUP(B84,'Data yoy'!$A:$AT,MATCH($K$1,'Data yoy'!$A$1:$AT$1,),)</f>
        <v/>
      </c>
      <c r="L84" s="26">
        <f>VLOOKUP(B84,'Data yoy'!$A:$AT,MATCH($L$1,'Data yoy'!$A$1:$AT$1,),)</f>
        <v/>
      </c>
      <c r="M84" s="26">
        <f>VLOOKUP(B84,'Data yoy'!$A:$AT,MATCH($M$1,'Data yoy'!$A$1:$AT$1,),)</f>
        <v/>
      </c>
      <c r="N84" s="26">
        <f>VLOOKUP(B84,'Data yoy'!$A:$AT,MATCH($N$1,'Data yoy'!$A$1:$AT$1,),)</f>
        <v/>
      </c>
      <c r="O84" s="26">
        <f>VLOOKUP(B84,'Data yoy'!$A:$AT,MATCH($O$1,'Data yoy'!$J$1:$AT$1,),)</f>
        <v/>
      </c>
      <c r="P84" s="26">
        <f>VLOOKUP(B84,'Data yoy'!$A:$AT,MATCH($P$1,'Data yoy'!$A$1:$AT$1,),)</f>
        <v/>
      </c>
      <c r="Q84" s="26">
        <f>VLOOKUP(B84,'Data yoy'!$A:$AT,MATCH($Q$1,'Data yoy'!$A$1:$AT$1,),)</f>
        <v/>
      </c>
      <c r="R84" s="26">
        <f>VLOOKUP(B84,'Data yoy'!$A:$AT,MATCH($R$1,'Data yoy'!$A$1:$AT$1,),)</f>
        <v/>
      </c>
      <c r="S84" s="26">
        <f>VLOOKUP(B84,'Data yoy'!$A:$AT,MATCH($S$1,'Data yoy'!$A$1:$AT$1,),)</f>
        <v/>
      </c>
      <c r="T84" s="26">
        <f>VLOOKUP(B84,'Data yoy'!$A:$AT,MATCH($T$1,'Data yoy'!$A$1:$AT$1,),)</f>
        <v/>
      </c>
      <c r="U84" s="26">
        <f>VLOOKUP(B84,'Data yoy'!$A:$AT,MATCH($U$1,'Data yoy'!$A$1:$AT$1,),)</f>
        <v/>
      </c>
      <c r="V84" s="26">
        <f>VLOOKUP(B84,'Data yoy'!$A:$AT,MATCH($V$1,'Data yoy'!$A$1:$AT$1,),)</f>
        <v/>
      </c>
      <c r="W84" s="26">
        <f>VLOOKUP(B84,'Data yoy'!$A:$AT,MATCH($W$1,'Data yoy'!$A$1:$AT$1,),)</f>
        <v/>
      </c>
      <c r="X84" s="26">
        <f>VLOOKUP(B84,'Data yoy'!$A:$AT,MATCH($X$1,'Data yoy'!$A$1:$AT$1,),)</f>
        <v/>
      </c>
      <c r="Y84" s="26">
        <f>VLOOKUP(B84,'Data yoy'!$A:$AT,MATCH($Y$1,'Data yoy'!$A$1:$AT$1,),)</f>
        <v/>
      </c>
      <c r="Z84" s="26">
        <f>VLOOKUP(B84,'Data yoy'!$A:$AU,MATCH($Z$1,'Data yoy'!$A$1:$AU$1,),)</f>
        <v/>
      </c>
      <c r="AA84" s="26">
        <f>VLOOKUP(B84,'Data yoy'!$A:$AU,MATCH($AA$1,'Data yoy'!$A$1:$AU$1,),)</f>
        <v/>
      </c>
      <c r="AC84" s="27">
        <f>B84</f>
        <v/>
      </c>
      <c r="AD84" s="28">
        <f>(VLOOKUP(AC84,B:Y,MATCH($AE$6,$B$1:$Y$1,),))</f>
        <v/>
      </c>
      <c r="AE84" s="28">
        <f>(VLOOKUP(AC84,B:Y,MATCH($AE$7,$B$1:$Y$1,),))</f>
        <v/>
      </c>
      <c r="AF84" s="28">
        <f>AD84-AE84</f>
        <v/>
      </c>
    </row>
    <row r="85" customFormat="1" s="93">
      <c r="B85" s="25" t="inlineStr">
        <is>
          <t>2018-Q3</t>
        </is>
      </c>
      <c r="C85" s="26">
        <f>VLOOKUP(B85,'Data yoy'!$A:$AT,MATCH($C$1,'Data yoy'!$A$1:$AT$1,),)</f>
        <v/>
      </c>
      <c r="D85" s="26">
        <f>VLOOKUP(B85,'Data yoy'!$A:$AT,MATCH($D$1,'Data yoy'!$A$1:$AT$1,),)</f>
        <v/>
      </c>
      <c r="E85" s="26">
        <f>VLOOKUP(B85,'Data yoy'!$A:$AT,MATCH($E$1,'Data yoy'!$A$1:$AT$1,),)</f>
        <v/>
      </c>
      <c r="F85" s="26">
        <f>VLOOKUP(B85,'Data yoy'!$A:$AT,MATCH($F$1,'Data yoy'!$A$1:$AT$1,),)</f>
        <v/>
      </c>
      <c r="G85" s="26">
        <f>VLOOKUP(B85,'Data yoy'!$A:$AT,MATCH($G$1,'Data yoy'!$A$1:$AT$1,),)</f>
        <v/>
      </c>
      <c r="H85" s="26">
        <f>VLOOKUP(B85,'Data yoy'!$A:$AT,MATCH($H$1,'Data yoy'!$A$1:$AT$1,),)</f>
        <v/>
      </c>
      <c r="I85" s="26">
        <f>VLOOKUP(B85,'Data yoy'!$A:$AT,MATCH($I$1,'Data yoy'!$A$1:$AT$1,),)</f>
        <v/>
      </c>
      <c r="J85" s="26">
        <f>VLOOKUP(B85,'Data yoy'!$A:$AT,MATCH($J$1,'Data yoy'!$A$1:$AT$1,),)</f>
        <v/>
      </c>
      <c r="K85" s="26">
        <f>VLOOKUP(B85,'Data yoy'!$A:$AT,MATCH($K$1,'Data yoy'!$A$1:$AT$1,),)</f>
        <v/>
      </c>
      <c r="L85" s="26">
        <f>VLOOKUP(B85,'Data yoy'!$A:$AT,MATCH($L$1,'Data yoy'!$A$1:$AT$1,),)</f>
        <v/>
      </c>
      <c r="M85" s="26">
        <f>VLOOKUP(B85,'Data yoy'!$A:$AT,MATCH($M$1,'Data yoy'!$A$1:$AT$1,),)</f>
        <v/>
      </c>
      <c r="N85" s="26">
        <f>VLOOKUP(B85,'Data yoy'!$A:$AT,MATCH($N$1,'Data yoy'!$A$1:$AT$1,),)</f>
        <v/>
      </c>
      <c r="O85" s="26">
        <f>VLOOKUP(B85,'Data yoy'!$A:$AT,MATCH($O$1,'Data yoy'!$J$1:$AT$1,),)</f>
        <v/>
      </c>
      <c r="P85" s="26">
        <f>VLOOKUP(B85,'Data yoy'!$A:$AT,MATCH($P$1,'Data yoy'!$A$1:$AT$1,),)</f>
        <v/>
      </c>
      <c r="Q85" s="26">
        <f>VLOOKUP(B85,'Data yoy'!$A:$AT,MATCH($Q$1,'Data yoy'!$A$1:$AT$1,),)</f>
        <v/>
      </c>
      <c r="R85" s="26">
        <f>VLOOKUP(B85,'Data yoy'!$A:$AT,MATCH($R$1,'Data yoy'!$A$1:$AT$1,),)</f>
        <v/>
      </c>
      <c r="S85" s="26">
        <f>VLOOKUP(B85,'Data yoy'!$A:$AT,MATCH($S$1,'Data yoy'!$A$1:$AT$1,),)</f>
        <v/>
      </c>
      <c r="T85" s="26">
        <f>VLOOKUP(B85,'Data yoy'!$A:$AT,MATCH($T$1,'Data yoy'!$A$1:$AT$1,),)</f>
        <v/>
      </c>
      <c r="U85" s="26">
        <f>VLOOKUP(B85,'Data yoy'!$A:$AT,MATCH($U$1,'Data yoy'!$A$1:$AT$1,),)</f>
        <v/>
      </c>
      <c r="V85" s="26">
        <f>VLOOKUP(B85,'Data yoy'!$A:$AT,MATCH($V$1,'Data yoy'!$A$1:$AT$1,),)</f>
        <v/>
      </c>
      <c r="W85" s="26">
        <f>VLOOKUP(B85,'Data yoy'!$A:$AT,MATCH($W$1,'Data yoy'!$A$1:$AT$1,),)</f>
        <v/>
      </c>
      <c r="X85" s="26">
        <f>VLOOKUP(B85,'Data yoy'!$A:$AT,MATCH($X$1,'Data yoy'!$A$1:$AT$1,),)</f>
        <v/>
      </c>
      <c r="Y85" s="26">
        <f>VLOOKUP(B85,'Data yoy'!$A:$AT,MATCH($Y$1,'Data yoy'!$A$1:$AT$1,),)</f>
        <v/>
      </c>
      <c r="Z85" s="26">
        <f>VLOOKUP(B85,'Data yoy'!$A:$AU,MATCH($Z$1,'Data yoy'!$A$1:$AU$1,),)</f>
        <v/>
      </c>
      <c r="AA85" s="26">
        <f>VLOOKUP(B85,'Data yoy'!$A:$AU,MATCH($AA$1,'Data yoy'!$A$1:$AU$1,),)</f>
        <v/>
      </c>
      <c r="AC85" s="27">
        <f>B85</f>
        <v/>
      </c>
      <c r="AD85" s="28">
        <f>(VLOOKUP(AC85,B:Y,MATCH($AE$6,$B$1:$Y$1,),))</f>
        <v/>
      </c>
      <c r="AE85" s="28">
        <f>(VLOOKUP(AC85,B:Y,MATCH($AE$7,$B$1:$Y$1,),))</f>
        <v/>
      </c>
      <c r="AF85" s="28">
        <f>AD85-AE85</f>
        <v/>
      </c>
    </row>
    <row r="86" customFormat="1" s="93">
      <c r="B86" s="25" t="inlineStr">
        <is>
          <t>2018-Q4</t>
        </is>
      </c>
      <c r="C86" s="26">
        <f>VLOOKUP(B86,'Data yoy'!$A:$AT,MATCH($C$1,'Data yoy'!$A$1:$AT$1,),)</f>
        <v/>
      </c>
      <c r="D86" s="26">
        <f>VLOOKUP(B86,'Data yoy'!$A:$AT,MATCH($D$1,'Data yoy'!$A$1:$AT$1,),)</f>
        <v/>
      </c>
      <c r="E86" s="26">
        <f>VLOOKUP(B86,'Data yoy'!$A:$AT,MATCH($E$1,'Data yoy'!$A$1:$AT$1,),)</f>
        <v/>
      </c>
      <c r="F86" s="26">
        <f>VLOOKUP(B86,'Data yoy'!$A:$AT,MATCH($F$1,'Data yoy'!$A$1:$AT$1,),)</f>
        <v/>
      </c>
      <c r="G86" s="26">
        <f>VLOOKUP(B86,'Data yoy'!$A:$AT,MATCH($G$1,'Data yoy'!$A$1:$AT$1,),)</f>
        <v/>
      </c>
      <c r="H86" s="26">
        <f>VLOOKUP(B86,'Data yoy'!$A:$AT,MATCH($H$1,'Data yoy'!$A$1:$AT$1,),)</f>
        <v/>
      </c>
      <c r="I86" s="26">
        <f>VLOOKUP(B86,'Data yoy'!$A:$AT,MATCH($I$1,'Data yoy'!$A$1:$AT$1,),)</f>
        <v/>
      </c>
      <c r="J86" s="26">
        <f>VLOOKUP(B86,'Data yoy'!$A:$AT,MATCH($J$1,'Data yoy'!$A$1:$AT$1,),)</f>
        <v/>
      </c>
      <c r="K86" s="26">
        <f>VLOOKUP(B86,'Data yoy'!$A:$AT,MATCH($K$1,'Data yoy'!$A$1:$AT$1,),)</f>
        <v/>
      </c>
      <c r="L86" s="26">
        <f>VLOOKUP(B86,'Data yoy'!$A:$AT,MATCH($L$1,'Data yoy'!$A$1:$AT$1,),)</f>
        <v/>
      </c>
      <c r="M86" s="26">
        <f>VLOOKUP(B86,'Data yoy'!$A:$AT,MATCH($M$1,'Data yoy'!$A$1:$AT$1,),)</f>
        <v/>
      </c>
      <c r="N86" s="26">
        <f>VLOOKUP(B86,'Data yoy'!$A:$AT,MATCH($N$1,'Data yoy'!$A$1:$AT$1,),)</f>
        <v/>
      </c>
      <c r="O86" s="26">
        <f>VLOOKUP(B86,'Data yoy'!$A:$AT,MATCH($O$1,'Data yoy'!$J$1:$AT$1,),)</f>
        <v/>
      </c>
      <c r="P86" s="26">
        <f>VLOOKUP(B86,'Data yoy'!$A:$AT,MATCH($P$1,'Data yoy'!$A$1:$AT$1,),)</f>
        <v/>
      </c>
      <c r="Q86" s="26">
        <f>VLOOKUP(B86,'Data yoy'!$A:$AT,MATCH($Q$1,'Data yoy'!$A$1:$AT$1,),)</f>
        <v/>
      </c>
      <c r="R86" s="26">
        <f>VLOOKUP(B86,'Data yoy'!$A:$AT,MATCH($R$1,'Data yoy'!$A$1:$AT$1,),)</f>
        <v/>
      </c>
      <c r="S86" s="26">
        <f>VLOOKUP(B86,'Data yoy'!$A:$AT,MATCH($S$1,'Data yoy'!$A$1:$AT$1,),)</f>
        <v/>
      </c>
      <c r="T86" s="26">
        <f>VLOOKUP(B86,'Data yoy'!$A:$AT,MATCH($T$1,'Data yoy'!$A$1:$AT$1,),)</f>
        <v/>
      </c>
      <c r="U86" s="26">
        <f>VLOOKUP(B86,'Data yoy'!$A:$AT,MATCH($U$1,'Data yoy'!$A$1:$AT$1,),)</f>
        <v/>
      </c>
      <c r="V86" s="26">
        <f>VLOOKUP(B86,'Data yoy'!$A:$AT,MATCH($V$1,'Data yoy'!$A$1:$AT$1,),)</f>
        <v/>
      </c>
      <c r="W86" s="26">
        <f>VLOOKUP(B86,'Data yoy'!$A:$AT,MATCH($W$1,'Data yoy'!$A$1:$AT$1,),)</f>
        <v/>
      </c>
      <c r="X86" s="26">
        <f>VLOOKUP(B86,'Data yoy'!$A:$AT,MATCH($X$1,'Data yoy'!$A$1:$AT$1,),)</f>
        <v/>
      </c>
      <c r="Y86" s="26">
        <f>VLOOKUP(B86,'Data yoy'!$A:$AT,MATCH($Y$1,'Data yoy'!$A$1:$AT$1,),)</f>
        <v/>
      </c>
      <c r="Z86" s="26">
        <f>VLOOKUP(B86,'Data yoy'!$A:$AU,MATCH($Z$1,'Data yoy'!$A$1:$AU$1,),)</f>
        <v/>
      </c>
      <c r="AA86" s="26">
        <f>VLOOKUP(B86,'Data yoy'!$A:$AU,MATCH($AA$1,'Data yoy'!$A$1:$AU$1,),)</f>
        <v/>
      </c>
      <c r="AC86" s="27">
        <f>B86</f>
        <v/>
      </c>
      <c r="AD86" s="28">
        <f>(VLOOKUP(AC86,B:Y,MATCH($AE$6,$B$1:$Y$1,),))</f>
        <v/>
      </c>
      <c r="AE86" s="28">
        <f>(VLOOKUP(AC86,B:Y,MATCH($AE$7,$B$1:$Y$1,),))</f>
        <v/>
      </c>
      <c r="AF86" s="28">
        <f>AD86-AE86</f>
        <v/>
      </c>
    </row>
    <row r="87" customFormat="1" s="93">
      <c r="B87" s="25" t="inlineStr">
        <is>
          <t>2019-Q1</t>
        </is>
      </c>
      <c r="C87" s="26">
        <f>VLOOKUP(B87,'Data yoy'!$A:$AT,MATCH($C$1,'Data yoy'!$A$1:$AT$1,),)</f>
        <v/>
      </c>
      <c r="D87" s="26">
        <f>VLOOKUP(B87,'Data yoy'!$A:$AT,MATCH($D$1,'Data yoy'!$A$1:$AT$1,),)</f>
        <v/>
      </c>
      <c r="E87" s="26">
        <f>VLOOKUP(B87,'Data yoy'!$A:$AT,MATCH($E$1,'Data yoy'!$A$1:$AT$1,),)</f>
        <v/>
      </c>
      <c r="F87" s="26">
        <f>VLOOKUP(B87,'Data yoy'!$A:$AT,MATCH($F$1,'Data yoy'!$A$1:$AT$1,),)</f>
        <v/>
      </c>
      <c r="G87" s="26">
        <f>VLOOKUP(B87,'Data yoy'!$A:$AT,MATCH($G$1,'Data yoy'!$A$1:$AT$1,),)</f>
        <v/>
      </c>
      <c r="H87" s="26">
        <f>VLOOKUP(B87,'Data yoy'!$A:$AT,MATCH($H$1,'Data yoy'!$A$1:$AT$1,),)</f>
        <v/>
      </c>
      <c r="I87" s="26">
        <f>VLOOKUP(B87,'Data yoy'!$A:$AT,MATCH($I$1,'Data yoy'!$A$1:$AT$1,),)</f>
        <v/>
      </c>
      <c r="J87" s="26">
        <f>VLOOKUP(B87,'Data yoy'!$A:$AT,MATCH($J$1,'Data yoy'!$A$1:$AT$1,),)</f>
        <v/>
      </c>
      <c r="K87" s="26">
        <f>VLOOKUP(B87,'Data yoy'!$A:$AT,MATCH($K$1,'Data yoy'!$A$1:$AT$1,),)</f>
        <v/>
      </c>
      <c r="L87" s="26">
        <f>VLOOKUP(B87,'Data yoy'!$A:$AT,MATCH($L$1,'Data yoy'!$A$1:$AT$1,),)</f>
        <v/>
      </c>
      <c r="M87" s="26">
        <f>VLOOKUP(B87,'Data yoy'!$A:$AT,MATCH($M$1,'Data yoy'!$A$1:$AT$1,),)</f>
        <v/>
      </c>
      <c r="N87" s="26">
        <f>VLOOKUP(B87,'Data yoy'!$A:$AT,MATCH($N$1,'Data yoy'!$A$1:$AT$1,),)</f>
        <v/>
      </c>
      <c r="O87" s="26">
        <f>VLOOKUP(B87,'Data yoy'!$A:$AT,MATCH($O$1,'Data yoy'!$J$1:$AT$1,),)</f>
        <v/>
      </c>
      <c r="P87" s="26">
        <f>VLOOKUP(B87,'Data yoy'!$A:$AT,MATCH($P$1,'Data yoy'!$A$1:$AT$1,),)</f>
        <v/>
      </c>
      <c r="Q87" s="26">
        <f>VLOOKUP(B87,'Data yoy'!$A:$AT,MATCH($Q$1,'Data yoy'!$A$1:$AT$1,),)</f>
        <v/>
      </c>
      <c r="R87" s="26">
        <f>VLOOKUP(B87,'Data yoy'!$A:$AT,MATCH($R$1,'Data yoy'!$A$1:$AT$1,),)</f>
        <v/>
      </c>
      <c r="S87" s="26">
        <f>VLOOKUP(B87,'Data yoy'!$A:$AT,MATCH($S$1,'Data yoy'!$A$1:$AT$1,),)</f>
        <v/>
      </c>
      <c r="T87" s="26">
        <f>VLOOKUP(B87,'Data yoy'!$A:$AT,MATCH($T$1,'Data yoy'!$A$1:$AT$1,),)</f>
        <v/>
      </c>
      <c r="U87" s="26">
        <f>VLOOKUP(B87,'Data yoy'!$A:$AT,MATCH($U$1,'Data yoy'!$A$1:$AT$1,),)</f>
        <v/>
      </c>
      <c r="V87" s="26">
        <f>VLOOKUP(B87,'Data yoy'!$A:$AT,MATCH($V$1,'Data yoy'!$A$1:$AT$1,),)</f>
        <v/>
      </c>
      <c r="W87" s="26">
        <f>VLOOKUP(B87,'Data yoy'!$A:$AT,MATCH($W$1,'Data yoy'!$A$1:$AT$1,),)</f>
        <v/>
      </c>
      <c r="X87" s="26">
        <f>VLOOKUP(B87,'Data yoy'!$A:$AT,MATCH($X$1,'Data yoy'!$A$1:$AT$1,),)</f>
        <v/>
      </c>
      <c r="Y87" s="26">
        <f>VLOOKUP(B87,'Data yoy'!$A:$AT,MATCH($Y$1,'Data yoy'!$A$1:$AT$1,),)</f>
        <v/>
      </c>
      <c r="Z87" s="26">
        <f>VLOOKUP(B87,'Data yoy'!$A:$AU,MATCH($Z$1,'Data yoy'!$A$1:$AU$1,),)</f>
        <v/>
      </c>
      <c r="AA87" s="26">
        <f>VLOOKUP(B87,'Data yoy'!$A:$AU,MATCH($AA$1,'Data yoy'!$A$1:$AU$1,),)</f>
        <v/>
      </c>
      <c r="AC87" s="27">
        <f>B87</f>
        <v/>
      </c>
      <c r="AD87" s="28">
        <f>(VLOOKUP(AC87,B:Y,MATCH($AE$6,$B$1:$Y$1,),))</f>
        <v/>
      </c>
      <c r="AE87" s="28">
        <f>(VLOOKUP(AC87,B:Y,MATCH($AE$7,$B$1:$Y$1,),))</f>
        <v/>
      </c>
      <c r="AF87" s="28">
        <f>AD87-AE87</f>
        <v/>
      </c>
    </row>
    <row r="88" customFormat="1" s="93">
      <c r="B88" s="25" t="inlineStr">
        <is>
          <t>2019-Q2</t>
        </is>
      </c>
      <c r="C88" s="26">
        <f>VLOOKUP(B88,'Data yoy'!$A:$AT,MATCH($C$1,'Data yoy'!$A$1:$AT$1,),)</f>
        <v/>
      </c>
      <c r="D88" s="26">
        <f>VLOOKUP(B88,'Data yoy'!$A:$AT,MATCH($D$1,'Data yoy'!$A$1:$AT$1,),)</f>
        <v/>
      </c>
      <c r="E88" s="26">
        <f>VLOOKUP(B88,'Data yoy'!$A:$AT,MATCH($E$1,'Data yoy'!$A$1:$AT$1,),)</f>
        <v/>
      </c>
      <c r="F88" s="26">
        <f>VLOOKUP(B88,'Data yoy'!$A:$AT,MATCH($F$1,'Data yoy'!$A$1:$AT$1,),)</f>
        <v/>
      </c>
      <c r="G88" s="26">
        <f>VLOOKUP(B88,'Data yoy'!$A:$AT,MATCH($G$1,'Data yoy'!$A$1:$AT$1,),)</f>
        <v/>
      </c>
      <c r="H88" s="26">
        <f>VLOOKUP(B88,'Data yoy'!$A:$AT,MATCH($H$1,'Data yoy'!$A$1:$AT$1,),)</f>
        <v/>
      </c>
      <c r="I88" s="26">
        <f>VLOOKUP(B88,'Data yoy'!$A:$AT,MATCH($I$1,'Data yoy'!$A$1:$AT$1,),)</f>
        <v/>
      </c>
      <c r="J88" s="26">
        <f>VLOOKUP(B88,'Data yoy'!$A:$AT,MATCH($J$1,'Data yoy'!$A$1:$AT$1,),)</f>
        <v/>
      </c>
      <c r="K88" s="26">
        <f>VLOOKUP(B88,'Data yoy'!$A:$AT,MATCH($K$1,'Data yoy'!$A$1:$AT$1,),)</f>
        <v/>
      </c>
      <c r="L88" s="26">
        <f>VLOOKUP(B88,'Data yoy'!$A:$AT,MATCH($L$1,'Data yoy'!$A$1:$AT$1,),)</f>
        <v/>
      </c>
      <c r="M88" s="26">
        <f>VLOOKUP(B88,'Data yoy'!$A:$AT,MATCH($M$1,'Data yoy'!$A$1:$AT$1,),)</f>
        <v/>
      </c>
      <c r="N88" s="26">
        <f>VLOOKUP(B88,'Data yoy'!$A:$AT,MATCH($N$1,'Data yoy'!$A$1:$AT$1,),)</f>
        <v/>
      </c>
      <c r="O88" s="26">
        <f>VLOOKUP(B88,'Data yoy'!$A:$AT,MATCH($O$1,'Data yoy'!$J$1:$AT$1,),)</f>
        <v/>
      </c>
      <c r="P88" s="26">
        <f>VLOOKUP(B88,'Data yoy'!$A:$AT,MATCH($P$1,'Data yoy'!$A$1:$AT$1,),)</f>
        <v/>
      </c>
      <c r="Q88" s="26">
        <f>VLOOKUP(B88,'Data yoy'!$A:$AT,MATCH($Q$1,'Data yoy'!$A$1:$AT$1,),)</f>
        <v/>
      </c>
      <c r="R88" s="26">
        <f>VLOOKUP(B88,'Data yoy'!$A:$AT,MATCH($R$1,'Data yoy'!$A$1:$AT$1,),)</f>
        <v/>
      </c>
      <c r="S88" s="26">
        <f>VLOOKUP(B88,'Data yoy'!$A:$AT,MATCH($S$1,'Data yoy'!$A$1:$AT$1,),)</f>
        <v/>
      </c>
      <c r="T88" s="26">
        <f>VLOOKUP(B88,'Data yoy'!$A:$AT,MATCH($T$1,'Data yoy'!$A$1:$AT$1,),)</f>
        <v/>
      </c>
      <c r="U88" s="26">
        <f>VLOOKUP(B88,'Data yoy'!$A:$AT,MATCH($U$1,'Data yoy'!$A$1:$AT$1,),)</f>
        <v/>
      </c>
      <c r="V88" s="26">
        <f>VLOOKUP(B88,'Data yoy'!$A:$AT,MATCH($V$1,'Data yoy'!$A$1:$AT$1,),)</f>
        <v/>
      </c>
      <c r="W88" s="26">
        <f>VLOOKUP(B88,'Data yoy'!$A:$AT,MATCH($W$1,'Data yoy'!$A$1:$AT$1,),)</f>
        <v/>
      </c>
      <c r="X88" s="26">
        <f>VLOOKUP(B88,'Data yoy'!$A:$AT,MATCH($X$1,'Data yoy'!$A$1:$AT$1,),)</f>
        <v/>
      </c>
      <c r="Y88" s="26">
        <f>VLOOKUP(B88,'Data yoy'!$A:$AT,MATCH($Y$1,'Data yoy'!$A$1:$AT$1,),)</f>
        <v/>
      </c>
      <c r="Z88" s="26">
        <f>VLOOKUP(B88,'Data yoy'!$A:$AU,MATCH($Z$1,'Data yoy'!$A$1:$AU$1,),)</f>
        <v/>
      </c>
      <c r="AA88" s="26">
        <f>VLOOKUP(B88,'Data yoy'!$A:$AU,MATCH($AA$1,'Data yoy'!$A$1:$AU$1,),)</f>
        <v/>
      </c>
      <c r="AC88" s="27">
        <f>B88</f>
        <v/>
      </c>
      <c r="AD88" s="28">
        <f>(VLOOKUP(AC88,B:Y,MATCH($AE$6,$B$1:$Y$1,),))</f>
        <v/>
      </c>
      <c r="AE88" s="28">
        <f>(VLOOKUP(AC88,B:Y,MATCH($AE$7,$B$1:$Y$1,),))</f>
        <v/>
      </c>
      <c r="AF88" s="28">
        <f>AD88-AE88</f>
        <v/>
      </c>
    </row>
    <row r="89" customFormat="1" s="93">
      <c r="B89" s="25" t="inlineStr">
        <is>
          <t>2019-Q3</t>
        </is>
      </c>
      <c r="C89" s="26">
        <f>VLOOKUP(B89,'Data yoy'!$A:$AT,MATCH($C$1,'Data yoy'!$A$1:$AT$1,),)</f>
        <v/>
      </c>
      <c r="D89" s="26">
        <f>VLOOKUP(B89,'Data yoy'!$A:$AT,MATCH($D$1,'Data yoy'!$A$1:$AT$1,),)</f>
        <v/>
      </c>
      <c r="E89" s="26">
        <f>VLOOKUP(B89,'Data yoy'!$A:$AT,MATCH($E$1,'Data yoy'!$A$1:$AT$1,),)</f>
        <v/>
      </c>
      <c r="F89" s="26">
        <f>VLOOKUP(B89,'Data yoy'!$A:$AT,MATCH($F$1,'Data yoy'!$A$1:$AT$1,),)</f>
        <v/>
      </c>
      <c r="G89" s="26">
        <f>VLOOKUP(B89,'Data yoy'!$A:$AT,MATCH($G$1,'Data yoy'!$A$1:$AT$1,),)</f>
        <v/>
      </c>
      <c r="H89" s="26">
        <f>VLOOKUP(B89,'Data yoy'!$A:$AT,MATCH($H$1,'Data yoy'!$A$1:$AT$1,),)</f>
        <v/>
      </c>
      <c r="I89" s="26">
        <f>VLOOKUP(B89,'Data yoy'!$A:$AT,MATCH($I$1,'Data yoy'!$A$1:$AT$1,),)</f>
        <v/>
      </c>
      <c r="J89" s="26">
        <f>VLOOKUP(B89,'Data yoy'!$A:$AT,MATCH($J$1,'Data yoy'!$A$1:$AT$1,),)</f>
        <v/>
      </c>
      <c r="K89" s="26">
        <f>VLOOKUP(B89,'Data yoy'!$A:$AT,MATCH($K$1,'Data yoy'!$A$1:$AT$1,),)</f>
        <v/>
      </c>
      <c r="L89" s="26">
        <f>VLOOKUP(B89,'Data yoy'!$A:$AT,MATCH($L$1,'Data yoy'!$A$1:$AT$1,),)</f>
        <v/>
      </c>
      <c r="M89" s="26">
        <f>VLOOKUP(B89,'Data yoy'!$A:$AT,MATCH($M$1,'Data yoy'!$A$1:$AT$1,),)</f>
        <v/>
      </c>
      <c r="N89" s="26">
        <f>VLOOKUP(B89,'Data yoy'!$A:$AT,MATCH($N$1,'Data yoy'!$A$1:$AT$1,),)</f>
        <v/>
      </c>
      <c r="O89" s="26">
        <f>VLOOKUP(B89,'Data yoy'!$A:$AT,MATCH($O$1,'Data yoy'!$J$1:$AT$1,),)</f>
        <v/>
      </c>
      <c r="P89" s="26">
        <f>VLOOKUP(B89,'Data yoy'!$A:$AT,MATCH($P$1,'Data yoy'!$A$1:$AT$1,),)</f>
        <v/>
      </c>
      <c r="Q89" s="26">
        <f>VLOOKUP(B89,'Data yoy'!$A:$AT,MATCH($Q$1,'Data yoy'!$A$1:$AT$1,),)</f>
        <v/>
      </c>
      <c r="R89" s="26">
        <f>VLOOKUP(B89,'Data yoy'!$A:$AT,MATCH($R$1,'Data yoy'!$A$1:$AT$1,),)</f>
        <v/>
      </c>
      <c r="S89" s="26">
        <f>VLOOKUP(B89,'Data yoy'!$A:$AT,MATCH($S$1,'Data yoy'!$A$1:$AT$1,),)</f>
        <v/>
      </c>
      <c r="T89" s="26">
        <f>VLOOKUP(B89,'Data yoy'!$A:$AT,MATCH($T$1,'Data yoy'!$A$1:$AT$1,),)</f>
        <v/>
      </c>
      <c r="U89" s="26">
        <f>VLOOKUP(B89,'Data yoy'!$A:$AT,MATCH($U$1,'Data yoy'!$A$1:$AT$1,),)</f>
        <v/>
      </c>
      <c r="V89" s="26">
        <f>VLOOKUP(B89,'Data yoy'!$A:$AT,MATCH($V$1,'Data yoy'!$A$1:$AT$1,),)</f>
        <v/>
      </c>
      <c r="W89" s="26">
        <f>VLOOKUP(B89,'Data yoy'!$A:$AT,MATCH($W$1,'Data yoy'!$A$1:$AT$1,),)</f>
        <v/>
      </c>
      <c r="X89" s="26">
        <f>VLOOKUP(B89,'Data yoy'!$A:$AT,MATCH($X$1,'Data yoy'!$A$1:$AT$1,),)</f>
        <v/>
      </c>
      <c r="Y89" s="26">
        <f>VLOOKUP(B89,'Data yoy'!$A:$AT,MATCH($Y$1,'Data yoy'!$A$1:$AT$1,),)</f>
        <v/>
      </c>
      <c r="Z89" s="26">
        <f>VLOOKUP(B89,'Data yoy'!$A:$AU,MATCH($Z$1,'Data yoy'!$A$1:$AU$1,),)</f>
        <v/>
      </c>
      <c r="AA89" s="26">
        <f>VLOOKUP(B89,'Data yoy'!$A:$AU,MATCH($AA$1,'Data yoy'!$A$1:$AU$1,),)</f>
        <v/>
      </c>
      <c r="AC89" s="27">
        <f>B89</f>
        <v/>
      </c>
      <c r="AD89" s="28">
        <f>(VLOOKUP(AC89,B:Y,MATCH($AE$6,$B$1:$Y$1,),))</f>
        <v/>
      </c>
      <c r="AE89" s="28">
        <f>(VLOOKUP(AC89,B:Y,MATCH($AE$7,$B$1:$Y$1,),))</f>
        <v/>
      </c>
      <c r="AF89" s="28">
        <f>AD89-AE89</f>
        <v/>
      </c>
    </row>
    <row r="90" customFormat="1" s="93">
      <c r="B90" s="25" t="inlineStr">
        <is>
          <t>2019-Q4</t>
        </is>
      </c>
      <c r="C90" s="26">
        <f>VLOOKUP(B90,'Data yoy'!$A:$AT,MATCH($C$1,'Data yoy'!$A$1:$AT$1,),)</f>
        <v/>
      </c>
      <c r="D90" s="26">
        <f>VLOOKUP(B90,'Data yoy'!$A:$AT,MATCH($D$1,'Data yoy'!$A$1:$AT$1,),)</f>
        <v/>
      </c>
      <c r="E90" s="26">
        <f>VLOOKUP(B90,'Data yoy'!$A:$AT,MATCH($E$1,'Data yoy'!$A$1:$AT$1,),)</f>
        <v/>
      </c>
      <c r="F90" s="26">
        <f>VLOOKUP(B90,'Data yoy'!$A:$AT,MATCH($F$1,'Data yoy'!$A$1:$AT$1,),)</f>
        <v/>
      </c>
      <c r="G90" s="26">
        <f>VLOOKUP(B90,'Data yoy'!$A:$AT,MATCH($G$1,'Data yoy'!$A$1:$AT$1,),)</f>
        <v/>
      </c>
      <c r="H90" s="26">
        <f>VLOOKUP(B90,'Data yoy'!$A:$AT,MATCH($H$1,'Data yoy'!$A$1:$AT$1,),)</f>
        <v/>
      </c>
      <c r="I90" s="26">
        <f>VLOOKUP(B90,'Data yoy'!$A:$AT,MATCH($I$1,'Data yoy'!$A$1:$AT$1,),)</f>
        <v/>
      </c>
      <c r="J90" s="26">
        <f>VLOOKUP(B90,'Data yoy'!$A:$AT,MATCH($J$1,'Data yoy'!$A$1:$AT$1,),)</f>
        <v/>
      </c>
      <c r="K90" s="26">
        <f>VLOOKUP(B90,'Data yoy'!$A:$AT,MATCH($K$1,'Data yoy'!$A$1:$AT$1,),)</f>
        <v/>
      </c>
      <c r="L90" s="26">
        <f>VLOOKUP(B90,'Data yoy'!$A:$AT,MATCH($L$1,'Data yoy'!$A$1:$AT$1,),)</f>
        <v/>
      </c>
      <c r="M90" s="26">
        <f>VLOOKUP(B90,'Data yoy'!$A:$AT,MATCH($M$1,'Data yoy'!$A$1:$AT$1,),)</f>
        <v/>
      </c>
      <c r="N90" s="26">
        <f>VLOOKUP(B90,'Data yoy'!$A:$AT,MATCH($N$1,'Data yoy'!$A$1:$AT$1,),)</f>
        <v/>
      </c>
      <c r="O90" s="26">
        <f>VLOOKUP(B90,'Data yoy'!$A:$AT,MATCH($O$1,'Data yoy'!$J$1:$AT$1,),)</f>
        <v/>
      </c>
      <c r="P90" s="26">
        <f>VLOOKUP(B90,'Data yoy'!$A:$AT,MATCH($P$1,'Data yoy'!$A$1:$AT$1,),)</f>
        <v/>
      </c>
      <c r="Q90" s="26">
        <f>VLOOKUP(B90,'Data yoy'!$A:$AT,MATCH($Q$1,'Data yoy'!$A$1:$AT$1,),)</f>
        <v/>
      </c>
      <c r="R90" s="26">
        <f>VLOOKUP(B90,'Data yoy'!$A:$AT,MATCH($R$1,'Data yoy'!$A$1:$AT$1,),)</f>
        <v/>
      </c>
      <c r="S90" s="26">
        <f>VLOOKUP(B90,'Data yoy'!$A:$AT,MATCH($S$1,'Data yoy'!$A$1:$AT$1,),)</f>
        <v/>
      </c>
      <c r="T90" s="26">
        <f>VLOOKUP(B90,'Data yoy'!$A:$AT,MATCH($T$1,'Data yoy'!$A$1:$AT$1,),)</f>
        <v/>
      </c>
      <c r="U90" s="26">
        <f>VLOOKUP(B90,'Data yoy'!$A:$AT,MATCH($U$1,'Data yoy'!$A$1:$AT$1,),)</f>
        <v/>
      </c>
      <c r="V90" s="26">
        <f>VLOOKUP(B90,'Data yoy'!$A:$AT,MATCH($V$1,'Data yoy'!$A$1:$AT$1,),)</f>
        <v/>
      </c>
      <c r="W90" s="26">
        <f>VLOOKUP(B90,'Data yoy'!$A:$AT,MATCH($W$1,'Data yoy'!$A$1:$AT$1,),)</f>
        <v/>
      </c>
      <c r="X90" s="26">
        <f>VLOOKUP(B90,'Data yoy'!$A:$AT,MATCH($X$1,'Data yoy'!$A$1:$AT$1,),)</f>
        <v/>
      </c>
      <c r="Y90" s="26">
        <f>VLOOKUP(B90,'Data yoy'!$A:$AT,MATCH($Y$1,'Data yoy'!$A$1:$AT$1,),)</f>
        <v/>
      </c>
      <c r="Z90" s="26">
        <f>VLOOKUP(B90,'Data yoy'!$A:$AU,MATCH($Z$1,'Data yoy'!$A$1:$AU$1,),)</f>
        <v/>
      </c>
      <c r="AA90" s="26">
        <f>VLOOKUP(B90,'Data yoy'!$A:$AU,MATCH($AA$1,'Data yoy'!$A$1:$AU$1,),)</f>
        <v/>
      </c>
      <c r="AC90" s="27">
        <f>B90</f>
        <v/>
      </c>
      <c r="AD90" s="28">
        <f>(VLOOKUP(AC90,B:Y,MATCH($AE$6,$B$1:$Y$1,),))</f>
        <v/>
      </c>
      <c r="AE90" s="28">
        <f>(VLOOKUP(AC90,B:Y,MATCH($AE$7,$B$1:$Y$1,),))</f>
        <v/>
      </c>
      <c r="AF90" s="28">
        <f>AD90-AE90</f>
        <v/>
      </c>
    </row>
    <row r="91" customFormat="1" s="93">
      <c r="B91" s="25" t="inlineStr">
        <is>
          <t>2020-Q1</t>
        </is>
      </c>
      <c r="C91" s="26">
        <f>VLOOKUP(B91,'Data yoy'!$A:$AT,MATCH($C$1,'Data yoy'!$A$1:$AT$1,),)</f>
        <v/>
      </c>
      <c r="D91" s="26">
        <f>VLOOKUP(B91,'Data yoy'!$A:$AT,MATCH($D$1,'Data yoy'!$A$1:$AT$1,),)</f>
        <v/>
      </c>
      <c r="E91" s="26">
        <f>VLOOKUP(B91,'Data yoy'!$A:$AT,MATCH($E$1,'Data yoy'!$A$1:$AT$1,),)</f>
        <v/>
      </c>
      <c r="F91" s="26">
        <f>VLOOKUP(B91,'Data yoy'!$A:$AT,MATCH($F$1,'Data yoy'!$A$1:$AT$1,),)</f>
        <v/>
      </c>
      <c r="G91" s="26">
        <f>VLOOKUP(B91,'Data yoy'!$A:$AT,MATCH($G$1,'Data yoy'!$A$1:$AT$1,),)</f>
        <v/>
      </c>
      <c r="H91" s="26">
        <f>VLOOKUP(B91,'Data yoy'!$A:$AT,MATCH($H$1,'Data yoy'!$A$1:$AT$1,),)</f>
        <v/>
      </c>
      <c r="I91" s="26">
        <f>VLOOKUP(B91,'Data yoy'!$A:$AT,MATCH($I$1,'Data yoy'!$A$1:$AT$1,),)</f>
        <v/>
      </c>
      <c r="J91" s="26">
        <f>VLOOKUP(B91,'Data yoy'!$A:$AT,MATCH($J$1,'Data yoy'!$A$1:$AT$1,),)</f>
        <v/>
      </c>
      <c r="K91" s="26">
        <f>VLOOKUP(B91,'Data yoy'!$A:$AT,MATCH($K$1,'Data yoy'!$A$1:$AT$1,),)</f>
        <v/>
      </c>
      <c r="L91" s="26">
        <f>VLOOKUP(B91,'Data yoy'!$A:$AT,MATCH($L$1,'Data yoy'!$A$1:$AT$1,),)</f>
        <v/>
      </c>
      <c r="M91" s="26">
        <f>VLOOKUP(B91,'Data yoy'!$A:$AT,MATCH($M$1,'Data yoy'!$A$1:$AT$1,),)</f>
        <v/>
      </c>
      <c r="N91" s="26">
        <f>VLOOKUP(B91,'Data yoy'!$A:$AT,MATCH($N$1,'Data yoy'!$A$1:$AT$1,),)</f>
        <v/>
      </c>
      <c r="O91" s="26">
        <f>VLOOKUP(B91,'Data yoy'!$A:$AT,MATCH($O$1,'Data yoy'!$J$1:$AT$1,),)</f>
        <v/>
      </c>
      <c r="P91" s="26">
        <f>VLOOKUP(B91,'Data yoy'!$A:$AT,MATCH($P$1,'Data yoy'!$A$1:$AT$1,),)</f>
        <v/>
      </c>
      <c r="Q91" s="26">
        <f>VLOOKUP(B91,'Data yoy'!$A:$AT,MATCH($Q$1,'Data yoy'!$A$1:$AT$1,),)</f>
        <v/>
      </c>
      <c r="R91" s="26">
        <f>VLOOKUP(B91,'Data yoy'!$A:$AT,MATCH($R$1,'Data yoy'!$A$1:$AT$1,),)</f>
        <v/>
      </c>
      <c r="S91" s="26">
        <f>VLOOKUP(B91,'Data yoy'!$A:$AT,MATCH($S$1,'Data yoy'!$A$1:$AT$1,),)</f>
        <v/>
      </c>
      <c r="T91" s="26">
        <f>VLOOKUP(B91,'Data yoy'!$A:$AT,MATCH($T$1,'Data yoy'!$A$1:$AT$1,),)</f>
        <v/>
      </c>
      <c r="U91" s="26">
        <f>VLOOKUP(B91,'Data yoy'!$A:$AT,MATCH($U$1,'Data yoy'!$A$1:$AT$1,),)</f>
        <v/>
      </c>
      <c r="V91" s="26">
        <f>VLOOKUP(B91,'Data yoy'!$A:$AT,MATCH($V$1,'Data yoy'!$A$1:$AT$1,),)</f>
        <v/>
      </c>
      <c r="W91" s="26">
        <f>VLOOKUP(B91,'Data yoy'!$A:$AT,MATCH($W$1,'Data yoy'!$A$1:$AT$1,),)</f>
        <v/>
      </c>
      <c r="X91" s="26">
        <f>VLOOKUP(B91,'Data yoy'!$A:$AT,MATCH($X$1,'Data yoy'!$A$1:$AT$1,),)</f>
        <v/>
      </c>
      <c r="Y91" s="26">
        <f>VLOOKUP(B91,'Data yoy'!$A:$AT,MATCH($Y$1,'Data yoy'!$A$1:$AT$1,),)</f>
        <v/>
      </c>
      <c r="Z91" s="26">
        <f>VLOOKUP(B91,'Data yoy'!$A:$AU,MATCH($Z$1,'Data yoy'!$A$1:$AU$1,),)</f>
        <v/>
      </c>
      <c r="AA91" s="26">
        <f>VLOOKUP(B91,'Data yoy'!$A:$AU,MATCH($AA$1,'Data yoy'!$A$1:$AU$1,),)</f>
        <v/>
      </c>
      <c r="AC91" s="27">
        <f>B91</f>
        <v/>
      </c>
      <c r="AD91" s="28">
        <f>(VLOOKUP(AC91,B:Y,MATCH($AE$6,$B$1:$Y$1,),))</f>
        <v/>
      </c>
      <c r="AE91" s="28">
        <f>(VLOOKUP(AC91,B:Y,MATCH($AE$7,$B$1:$Y$1,),))</f>
        <v/>
      </c>
      <c r="AF91" s="28">
        <f>AD91-AE91</f>
        <v/>
      </c>
    </row>
    <row r="92" customFormat="1" s="93">
      <c r="B92" s="25" t="inlineStr">
        <is>
          <t>2020-Q2</t>
        </is>
      </c>
      <c r="C92" s="26">
        <f>VLOOKUP(B92,'Data yoy'!$A:$AT,MATCH($C$1,'Data yoy'!$A$1:$AT$1,),)</f>
        <v/>
      </c>
      <c r="D92" s="26">
        <f>VLOOKUP(B92,'Data yoy'!$A:$AT,MATCH($D$1,'Data yoy'!$A$1:$AT$1,),)</f>
        <v/>
      </c>
      <c r="E92" s="26">
        <f>VLOOKUP(B92,'Data yoy'!$A:$AT,MATCH($E$1,'Data yoy'!$A$1:$AT$1,),)</f>
        <v/>
      </c>
      <c r="F92" s="26">
        <f>VLOOKUP(B92,'Data yoy'!$A:$AT,MATCH($F$1,'Data yoy'!$A$1:$AT$1,),)</f>
        <v/>
      </c>
      <c r="G92" s="26">
        <f>VLOOKUP(B92,'Data yoy'!$A:$AT,MATCH($G$1,'Data yoy'!$A$1:$AT$1,),)</f>
        <v/>
      </c>
      <c r="H92" s="26">
        <f>VLOOKUP(B92,'Data yoy'!$A:$AT,MATCH($H$1,'Data yoy'!$A$1:$AT$1,),)</f>
        <v/>
      </c>
      <c r="I92" s="26">
        <f>VLOOKUP(B92,'Data yoy'!$A:$AT,MATCH($I$1,'Data yoy'!$A$1:$AT$1,),)</f>
        <v/>
      </c>
      <c r="J92" s="26">
        <f>VLOOKUP(B92,'Data yoy'!$A:$AT,MATCH($J$1,'Data yoy'!$A$1:$AT$1,),)</f>
        <v/>
      </c>
      <c r="K92" s="26">
        <f>VLOOKUP(B92,'Data yoy'!$A:$AT,MATCH($K$1,'Data yoy'!$A$1:$AT$1,),)</f>
        <v/>
      </c>
      <c r="L92" s="26">
        <f>VLOOKUP(B92,'Data yoy'!$A:$AT,MATCH($L$1,'Data yoy'!$A$1:$AT$1,),)</f>
        <v/>
      </c>
      <c r="M92" s="26">
        <f>VLOOKUP(B92,'Data yoy'!$A:$AT,MATCH($M$1,'Data yoy'!$A$1:$AT$1,),)</f>
        <v/>
      </c>
      <c r="N92" s="26">
        <f>VLOOKUP(B92,'Data yoy'!$A:$AT,MATCH($N$1,'Data yoy'!$A$1:$AT$1,),)</f>
        <v/>
      </c>
      <c r="O92" s="26">
        <f>VLOOKUP(B92,'Data yoy'!$A:$AT,MATCH($O$1,'Data yoy'!$J$1:$AT$1,),)</f>
        <v/>
      </c>
      <c r="P92" s="26">
        <f>VLOOKUP(B92,'Data yoy'!$A:$AT,MATCH($P$1,'Data yoy'!$A$1:$AT$1,),)</f>
        <v/>
      </c>
      <c r="Q92" s="26">
        <f>VLOOKUP(B92,'Data yoy'!$A:$AT,MATCH($Q$1,'Data yoy'!$A$1:$AT$1,),)</f>
        <v/>
      </c>
      <c r="R92" s="26">
        <f>VLOOKUP(B92,'Data yoy'!$A:$AT,MATCH($R$1,'Data yoy'!$A$1:$AT$1,),)</f>
        <v/>
      </c>
      <c r="S92" s="26">
        <f>VLOOKUP(B92,'Data yoy'!$A:$AT,MATCH($S$1,'Data yoy'!$A$1:$AT$1,),)</f>
        <v/>
      </c>
      <c r="T92" s="26">
        <f>VLOOKUP(B92,'Data yoy'!$A:$AT,MATCH($T$1,'Data yoy'!$A$1:$AT$1,),)</f>
        <v/>
      </c>
      <c r="U92" s="26">
        <f>VLOOKUP(B92,'Data yoy'!$A:$AT,MATCH($U$1,'Data yoy'!$A$1:$AT$1,),)</f>
        <v/>
      </c>
      <c r="V92" s="26">
        <f>VLOOKUP(B92,'Data yoy'!$A:$AT,MATCH($V$1,'Data yoy'!$A$1:$AT$1,),)</f>
        <v/>
      </c>
      <c r="W92" s="26">
        <f>VLOOKUP(B92,'Data yoy'!$A:$AT,MATCH($W$1,'Data yoy'!$A$1:$AT$1,),)</f>
        <v/>
      </c>
      <c r="X92" s="26">
        <f>VLOOKUP(B92,'Data yoy'!$A:$AT,MATCH($X$1,'Data yoy'!$A$1:$AT$1,),)</f>
        <v/>
      </c>
      <c r="Y92" s="26">
        <f>VLOOKUP(B92,'Data yoy'!$A:$AT,MATCH($Y$1,'Data yoy'!$A$1:$AT$1,),)</f>
        <v/>
      </c>
      <c r="Z92" s="26">
        <f>VLOOKUP(B92,'Data yoy'!$A:$AU,MATCH($Z$1,'Data yoy'!$A$1:$AU$1,),)</f>
        <v/>
      </c>
      <c r="AA92" s="26">
        <f>VLOOKUP(B92,'Data yoy'!$A:$AU,MATCH($AA$1,'Data yoy'!$A$1:$AU$1,),)</f>
        <v/>
      </c>
      <c r="AC92" s="27">
        <f>B92</f>
        <v/>
      </c>
      <c r="AD92" s="28">
        <f>(VLOOKUP(AC92,B:Y,MATCH($AE$6,$B$1:$Y$1,),))</f>
        <v/>
      </c>
      <c r="AE92" s="28">
        <f>(VLOOKUP(AC92,B:Y,MATCH($AE$7,$B$1:$Y$1,),))</f>
        <v/>
      </c>
      <c r="AF92" s="28">
        <f>AD92-AE92</f>
        <v/>
      </c>
    </row>
    <row r="93" customFormat="1" s="93">
      <c r="B93" s="25" t="inlineStr">
        <is>
          <t>2020-Q3</t>
        </is>
      </c>
      <c r="C93" s="26">
        <f>VLOOKUP(B93,'Data yoy'!$A:$AT,MATCH($C$1,'Data yoy'!$A$1:$AT$1,),)</f>
        <v/>
      </c>
      <c r="D93" s="26">
        <f>VLOOKUP(B93,'Data yoy'!$A:$AT,MATCH($D$1,'Data yoy'!$A$1:$AT$1,),)</f>
        <v/>
      </c>
      <c r="E93" s="26">
        <f>VLOOKUP(B93,'Data yoy'!$A:$AT,MATCH($E$1,'Data yoy'!$A$1:$AT$1,),)</f>
        <v/>
      </c>
      <c r="F93" s="26">
        <f>VLOOKUP(B93,'Data yoy'!$A:$AT,MATCH($F$1,'Data yoy'!$A$1:$AT$1,),)</f>
        <v/>
      </c>
      <c r="G93" s="26">
        <f>VLOOKUP(B93,'Data yoy'!$A:$AT,MATCH($G$1,'Data yoy'!$A$1:$AT$1,),)</f>
        <v/>
      </c>
      <c r="H93" s="26">
        <f>VLOOKUP(B93,'Data yoy'!$A:$AT,MATCH($H$1,'Data yoy'!$A$1:$AT$1,),)</f>
        <v/>
      </c>
      <c r="I93" s="26">
        <f>VLOOKUP(B93,'Data yoy'!$A:$AT,MATCH($I$1,'Data yoy'!$A$1:$AT$1,),)</f>
        <v/>
      </c>
      <c r="J93" s="26">
        <f>VLOOKUP(B93,'Data yoy'!$A:$AT,MATCH($J$1,'Data yoy'!$A$1:$AT$1,),)</f>
        <v/>
      </c>
      <c r="K93" s="26">
        <f>VLOOKUP(B93,'Data yoy'!$A:$AT,MATCH($K$1,'Data yoy'!$A$1:$AT$1,),)</f>
        <v/>
      </c>
      <c r="L93" s="26">
        <f>VLOOKUP(B93,'Data yoy'!$A:$AT,MATCH($L$1,'Data yoy'!$A$1:$AT$1,),)</f>
        <v/>
      </c>
      <c r="M93" s="26">
        <f>VLOOKUP(B93,'Data yoy'!$A:$AT,MATCH($M$1,'Data yoy'!$A$1:$AT$1,),)</f>
        <v/>
      </c>
      <c r="N93" s="26">
        <f>VLOOKUP(B93,'Data yoy'!$A:$AT,MATCH($N$1,'Data yoy'!$A$1:$AT$1,),)</f>
        <v/>
      </c>
      <c r="O93" s="26">
        <f>VLOOKUP(B93,'Data yoy'!$A:$AT,MATCH($O$1,'Data yoy'!$J$1:$AT$1,),)</f>
        <v/>
      </c>
      <c r="P93" s="26">
        <f>VLOOKUP(B93,'Data yoy'!$A:$AT,MATCH($P$1,'Data yoy'!$A$1:$AT$1,),)</f>
        <v/>
      </c>
      <c r="Q93" s="26">
        <f>VLOOKUP(B93,'Data yoy'!$A:$AT,MATCH($Q$1,'Data yoy'!$A$1:$AT$1,),)</f>
        <v/>
      </c>
      <c r="R93" s="26">
        <f>VLOOKUP(B93,'Data yoy'!$A:$AT,MATCH($R$1,'Data yoy'!$A$1:$AT$1,),)</f>
        <v/>
      </c>
      <c r="S93" s="26">
        <f>VLOOKUP(B93,'Data yoy'!$A:$AT,MATCH($S$1,'Data yoy'!$A$1:$AT$1,),)</f>
        <v/>
      </c>
      <c r="T93" s="26">
        <f>VLOOKUP(B93,'Data yoy'!$A:$AT,MATCH($T$1,'Data yoy'!$A$1:$AT$1,),)</f>
        <v/>
      </c>
      <c r="U93" s="26">
        <f>VLOOKUP(B93,'Data yoy'!$A:$AT,MATCH($U$1,'Data yoy'!$A$1:$AT$1,),)</f>
        <v/>
      </c>
      <c r="V93" s="26">
        <f>VLOOKUP(B93,'Data yoy'!$A:$AT,MATCH($V$1,'Data yoy'!$A$1:$AT$1,),)</f>
        <v/>
      </c>
      <c r="W93" s="26">
        <f>VLOOKUP(B93,'Data yoy'!$A:$AT,MATCH($W$1,'Data yoy'!$A$1:$AT$1,),)</f>
        <v/>
      </c>
      <c r="X93" s="26">
        <f>VLOOKUP(B93,'Data yoy'!$A:$AT,MATCH($X$1,'Data yoy'!$A$1:$AT$1,),)</f>
        <v/>
      </c>
      <c r="Y93" s="26">
        <f>VLOOKUP(B93,'Data yoy'!$A:$AT,MATCH($Y$1,'Data yoy'!$A$1:$AT$1,),)</f>
        <v/>
      </c>
      <c r="Z93" s="26">
        <f>VLOOKUP(B93,'Data yoy'!$A:$AU,MATCH($Z$1,'Data yoy'!$A$1:$AU$1,),)</f>
        <v/>
      </c>
      <c r="AA93" s="26">
        <f>VLOOKUP(B93,'Data yoy'!$A:$AU,MATCH($AA$1,'Data yoy'!$A$1:$AU$1,),)</f>
        <v/>
      </c>
      <c r="AC93" s="27">
        <f>B93</f>
        <v/>
      </c>
      <c r="AD93" s="28">
        <f>(VLOOKUP(AC93,B:Y,MATCH($AE$6,$B$1:$Y$1,),))</f>
        <v/>
      </c>
      <c r="AE93" s="28">
        <f>(VLOOKUP(AC93,B:Y,MATCH($AE$7,$B$1:$Y$1,),))</f>
        <v/>
      </c>
      <c r="AF93" s="28">
        <f>AD93-AE93</f>
        <v/>
      </c>
    </row>
    <row r="94" customFormat="1" s="93">
      <c r="B94" s="25" t="inlineStr">
        <is>
          <t>2020-Q4</t>
        </is>
      </c>
      <c r="C94" s="26">
        <f>VLOOKUP(B94,'Data yoy'!$A:$AT,MATCH($C$1,'Data yoy'!$A$1:$AT$1,),)</f>
        <v/>
      </c>
      <c r="D94" s="26">
        <f>VLOOKUP(B94,'Data yoy'!$A:$AT,MATCH($D$1,'Data yoy'!$A$1:$AT$1,),)</f>
        <v/>
      </c>
      <c r="E94" s="26">
        <f>VLOOKUP(B94,'Data yoy'!$A:$AT,MATCH($E$1,'Data yoy'!$A$1:$AT$1,),)</f>
        <v/>
      </c>
      <c r="F94" s="26">
        <f>VLOOKUP(B94,'Data yoy'!$A:$AT,MATCH($F$1,'Data yoy'!$A$1:$AT$1,),)</f>
        <v/>
      </c>
      <c r="G94" s="26">
        <f>VLOOKUP(B94,'Data yoy'!$A:$AT,MATCH($G$1,'Data yoy'!$A$1:$AT$1,),)</f>
        <v/>
      </c>
      <c r="H94" s="26">
        <f>VLOOKUP(B94,'Data yoy'!$A:$AT,MATCH($H$1,'Data yoy'!$A$1:$AT$1,),)</f>
        <v/>
      </c>
      <c r="I94" s="26">
        <f>VLOOKUP(B94,'Data yoy'!$A:$AT,MATCH($I$1,'Data yoy'!$A$1:$AT$1,),)</f>
        <v/>
      </c>
      <c r="J94" s="26">
        <f>VLOOKUP(B94,'Data yoy'!$A:$AT,MATCH($J$1,'Data yoy'!$A$1:$AT$1,),)</f>
        <v/>
      </c>
      <c r="K94" s="26">
        <f>VLOOKUP(B94,'Data yoy'!$A:$AT,MATCH($K$1,'Data yoy'!$A$1:$AT$1,),)</f>
        <v/>
      </c>
      <c r="L94" s="26">
        <f>VLOOKUP(B94,'Data yoy'!$A:$AT,MATCH($L$1,'Data yoy'!$A$1:$AT$1,),)</f>
        <v/>
      </c>
      <c r="M94" s="26">
        <f>VLOOKUP(B94,'Data yoy'!$A:$AT,MATCH($M$1,'Data yoy'!$A$1:$AT$1,),)</f>
        <v/>
      </c>
      <c r="N94" s="26">
        <f>VLOOKUP(B94,'Data yoy'!$A:$AT,MATCH($N$1,'Data yoy'!$A$1:$AT$1,),)</f>
        <v/>
      </c>
      <c r="O94" s="26">
        <f>VLOOKUP(B94,'Data yoy'!$A:$AT,MATCH($O$1,'Data yoy'!$J$1:$AT$1,),)</f>
        <v/>
      </c>
      <c r="P94" s="26">
        <f>VLOOKUP(B94,'Data yoy'!$A:$AT,MATCH($P$1,'Data yoy'!$A$1:$AT$1,),)</f>
        <v/>
      </c>
      <c r="Q94" s="26">
        <f>VLOOKUP(B94,'Data yoy'!$A:$AT,MATCH($Q$1,'Data yoy'!$A$1:$AT$1,),)</f>
        <v/>
      </c>
      <c r="R94" s="26">
        <f>VLOOKUP(B94,'Data yoy'!$A:$AT,MATCH($R$1,'Data yoy'!$A$1:$AT$1,),)</f>
        <v/>
      </c>
      <c r="S94" s="26">
        <f>VLOOKUP(B94,'Data yoy'!$A:$AT,MATCH($S$1,'Data yoy'!$A$1:$AT$1,),)</f>
        <v/>
      </c>
      <c r="T94" s="26">
        <f>VLOOKUP(B94,'Data yoy'!$A:$AT,MATCH($T$1,'Data yoy'!$A$1:$AT$1,),)</f>
        <v/>
      </c>
      <c r="U94" s="26">
        <f>VLOOKUP(B94,'Data yoy'!$A:$AT,MATCH($U$1,'Data yoy'!$A$1:$AT$1,),)</f>
        <v/>
      </c>
      <c r="V94" s="26">
        <f>VLOOKUP(B94,'Data yoy'!$A:$AT,MATCH($V$1,'Data yoy'!$A$1:$AT$1,),)</f>
        <v/>
      </c>
      <c r="W94" s="26">
        <f>VLOOKUP(B94,'Data yoy'!$A:$AT,MATCH($W$1,'Data yoy'!$A$1:$AT$1,),)</f>
        <v/>
      </c>
      <c r="X94" s="26">
        <f>VLOOKUP(B94,'Data yoy'!$A:$AT,MATCH($X$1,'Data yoy'!$A$1:$AT$1,),)</f>
        <v/>
      </c>
      <c r="Y94" s="26">
        <f>VLOOKUP(B94,'Data yoy'!$A:$AT,MATCH($Y$1,'Data yoy'!$A$1:$AT$1,),)</f>
        <v/>
      </c>
      <c r="Z94" s="26">
        <f>VLOOKUP(B94,'Data yoy'!$A:$AU,MATCH($Z$1,'Data yoy'!$A$1:$AU$1,),)</f>
        <v/>
      </c>
      <c r="AA94" s="26">
        <f>VLOOKUP(B94,'Data yoy'!$A:$AU,MATCH($AA$1,'Data yoy'!$A$1:$AU$1,),)</f>
        <v/>
      </c>
      <c r="AC94" s="27">
        <f>B94</f>
        <v/>
      </c>
      <c r="AD94" s="28">
        <f>(VLOOKUP(AC94,B:Y,MATCH($AE$6,$B$1:$Y$1,),))</f>
        <v/>
      </c>
      <c r="AE94" s="28">
        <f>(VLOOKUP(AC94,B:Y,MATCH($AE$7,$B$1:$Y$1,),))</f>
        <v/>
      </c>
      <c r="AF94" s="28">
        <f>AD94-AE94</f>
        <v/>
      </c>
    </row>
    <row r="95" customFormat="1" s="93">
      <c r="B95" s="25" t="inlineStr">
        <is>
          <t>2021-Q1</t>
        </is>
      </c>
      <c r="C95" s="26">
        <f>VLOOKUP(B95,'Data yoy'!$A:$AT,MATCH($C$1,'Data yoy'!$A$1:$AT$1,),)</f>
        <v/>
      </c>
      <c r="D95" s="26">
        <f>VLOOKUP(B95,'Data yoy'!$A:$AT,MATCH($D$1,'Data yoy'!$A$1:$AT$1,),)</f>
        <v/>
      </c>
      <c r="E95" s="26">
        <f>VLOOKUP(B95,'Data yoy'!$A:$AT,MATCH($E$1,'Data yoy'!$A$1:$AT$1,),)</f>
        <v/>
      </c>
      <c r="F95" s="26">
        <f>VLOOKUP(B95,'Data yoy'!$A:$AT,MATCH($F$1,'Data yoy'!$A$1:$AT$1,),)</f>
        <v/>
      </c>
      <c r="G95" s="26">
        <f>VLOOKUP(B95,'Data yoy'!$A:$AT,MATCH($G$1,'Data yoy'!$A$1:$AT$1,),)</f>
        <v/>
      </c>
      <c r="H95" s="26">
        <f>VLOOKUP(B95,'Data yoy'!$A:$AT,MATCH($H$1,'Data yoy'!$A$1:$AT$1,),)</f>
        <v/>
      </c>
      <c r="I95" s="26">
        <f>VLOOKUP(B95,'Data yoy'!$A:$AT,MATCH($I$1,'Data yoy'!$A$1:$AT$1,),)</f>
        <v/>
      </c>
      <c r="J95" s="26">
        <f>VLOOKUP(B95,'Data yoy'!$A:$AT,MATCH($J$1,'Data yoy'!$A$1:$AT$1,),)</f>
        <v/>
      </c>
      <c r="K95" s="26">
        <f>VLOOKUP(B95,'Data yoy'!$A:$AT,MATCH($K$1,'Data yoy'!$A$1:$AT$1,),)</f>
        <v/>
      </c>
      <c r="L95" s="26">
        <f>VLOOKUP(B95,'Data yoy'!$A:$AT,MATCH($L$1,'Data yoy'!$A$1:$AT$1,),)</f>
        <v/>
      </c>
      <c r="M95" s="26">
        <f>VLOOKUP(B95,'Data yoy'!$A:$AT,MATCH($M$1,'Data yoy'!$A$1:$AT$1,),)</f>
        <v/>
      </c>
      <c r="N95" s="26">
        <f>VLOOKUP(B95,'Data yoy'!$A:$AT,MATCH($N$1,'Data yoy'!$A$1:$AT$1,),)</f>
        <v/>
      </c>
      <c r="O95" s="26">
        <f>VLOOKUP(B95,'Data yoy'!$A:$AT,MATCH($O$1,'Data yoy'!$J$1:$AT$1,),)</f>
        <v/>
      </c>
      <c r="P95" s="26">
        <f>VLOOKUP(B95,'Data yoy'!$A:$AT,MATCH($P$1,'Data yoy'!$A$1:$AT$1,),)</f>
        <v/>
      </c>
      <c r="Q95" s="26">
        <f>VLOOKUP(B95,'Data yoy'!$A:$AT,MATCH($Q$1,'Data yoy'!$A$1:$AT$1,),)</f>
        <v/>
      </c>
      <c r="R95" s="26">
        <f>VLOOKUP(B95,'Data yoy'!$A:$AT,MATCH($R$1,'Data yoy'!$A$1:$AT$1,),)</f>
        <v/>
      </c>
      <c r="S95" s="26">
        <f>VLOOKUP(B95,'Data yoy'!$A:$AT,MATCH($S$1,'Data yoy'!$A$1:$AT$1,),)</f>
        <v/>
      </c>
      <c r="T95" s="26">
        <f>VLOOKUP(B95,'Data yoy'!$A:$AT,MATCH($T$1,'Data yoy'!$A$1:$AT$1,),)</f>
        <v/>
      </c>
      <c r="U95" s="26">
        <f>VLOOKUP(B95,'Data yoy'!$A:$AT,MATCH($U$1,'Data yoy'!$A$1:$AT$1,),)</f>
        <v/>
      </c>
      <c r="V95" s="26">
        <f>VLOOKUP(B95,'Data yoy'!$A:$AT,MATCH($V$1,'Data yoy'!$A$1:$AT$1,),)</f>
        <v/>
      </c>
      <c r="W95" s="26">
        <f>VLOOKUP(B95,'Data yoy'!$A:$AT,MATCH($W$1,'Data yoy'!$A$1:$AT$1,),)</f>
        <v/>
      </c>
      <c r="X95" s="26">
        <f>VLOOKUP(B95,'Data yoy'!$A:$AT,MATCH($X$1,'Data yoy'!$A$1:$AT$1,),)</f>
        <v/>
      </c>
      <c r="Y95" s="26">
        <f>VLOOKUP(B95,'Data yoy'!$A:$AT,MATCH($Y$1,'Data yoy'!$A$1:$AT$1,),)</f>
        <v/>
      </c>
      <c r="Z95" s="26">
        <f>VLOOKUP(B95,'Data yoy'!$A:$AU,MATCH($Z$1,'Data yoy'!$A$1:$AU$1,),)</f>
        <v/>
      </c>
      <c r="AA95" s="26">
        <f>VLOOKUP(B95,'Data yoy'!$A:$AU,MATCH($AA$1,'Data yoy'!$A$1:$AU$1,),)</f>
        <v/>
      </c>
      <c r="AC95" s="27">
        <f>B95</f>
        <v/>
      </c>
      <c r="AD95" s="28">
        <f>(VLOOKUP(AC95,B:Y,MATCH($AE$6,$B$1:$Y$1,),))</f>
        <v/>
      </c>
      <c r="AE95" s="28">
        <f>(VLOOKUP(AC95,B:Y,MATCH($AE$7,$B$1:$Y$1,),))</f>
        <v/>
      </c>
      <c r="AF95" s="28">
        <f>AD95-AE95</f>
        <v/>
      </c>
    </row>
    <row r="96" customFormat="1" s="93">
      <c r="B96" s="25" t="inlineStr">
        <is>
          <t>2021-Q2</t>
        </is>
      </c>
      <c r="C96" s="26">
        <f>VLOOKUP(B96,'Data yoy'!$A:$AT,MATCH($C$1,'Data yoy'!$A$1:$AT$1,),)</f>
        <v/>
      </c>
      <c r="D96" s="26">
        <f>VLOOKUP(B96,'Data yoy'!$A:$AT,MATCH($D$1,'Data yoy'!$A$1:$AT$1,),)</f>
        <v/>
      </c>
      <c r="E96" s="26">
        <f>VLOOKUP(B96,'Data yoy'!$A:$AT,MATCH($E$1,'Data yoy'!$A$1:$AT$1,),)</f>
        <v/>
      </c>
      <c r="F96" s="26">
        <f>VLOOKUP(B96,'Data yoy'!$A:$AT,MATCH($F$1,'Data yoy'!$A$1:$AT$1,),)</f>
        <v/>
      </c>
      <c r="G96" s="26">
        <f>VLOOKUP(B96,'Data yoy'!$A:$AT,MATCH($G$1,'Data yoy'!$A$1:$AT$1,),)</f>
        <v/>
      </c>
      <c r="H96" s="26">
        <f>VLOOKUP(B96,'Data yoy'!$A:$AT,MATCH($H$1,'Data yoy'!$A$1:$AT$1,),)</f>
        <v/>
      </c>
      <c r="I96" s="26">
        <f>VLOOKUP(B96,'Data yoy'!$A:$AT,MATCH($I$1,'Data yoy'!$A$1:$AT$1,),)</f>
        <v/>
      </c>
      <c r="J96" s="26">
        <f>VLOOKUP(B96,'Data yoy'!$A:$AT,MATCH($J$1,'Data yoy'!$A$1:$AT$1,),)</f>
        <v/>
      </c>
      <c r="K96" s="26">
        <f>VLOOKUP(B96,'Data yoy'!$A:$AT,MATCH($K$1,'Data yoy'!$A$1:$AT$1,),)</f>
        <v/>
      </c>
      <c r="L96" s="26">
        <f>VLOOKUP(B96,'Data yoy'!$A:$AT,MATCH($L$1,'Data yoy'!$A$1:$AT$1,),)</f>
        <v/>
      </c>
      <c r="M96" s="26">
        <f>VLOOKUP(B96,'Data yoy'!$A:$AT,MATCH($M$1,'Data yoy'!$A$1:$AT$1,),)</f>
        <v/>
      </c>
      <c r="N96" s="26">
        <f>VLOOKUP(B96,'Data yoy'!$A:$AT,MATCH($N$1,'Data yoy'!$A$1:$AT$1,),)</f>
        <v/>
      </c>
      <c r="O96" s="26">
        <f>VLOOKUP(B96,'Data yoy'!$A:$AT,MATCH($O$1,'Data yoy'!$J$1:$AT$1,),)</f>
        <v/>
      </c>
      <c r="P96" s="26">
        <f>VLOOKUP(B96,'Data yoy'!$A:$AT,MATCH($P$1,'Data yoy'!$A$1:$AT$1,),)</f>
        <v/>
      </c>
      <c r="Q96" s="26">
        <f>VLOOKUP(B96,'Data yoy'!$A:$AT,MATCH($Q$1,'Data yoy'!$A$1:$AT$1,),)</f>
        <v/>
      </c>
      <c r="R96" s="26">
        <f>VLOOKUP(B96,'Data yoy'!$A:$AT,MATCH($R$1,'Data yoy'!$A$1:$AT$1,),)</f>
        <v/>
      </c>
      <c r="S96" s="26">
        <f>VLOOKUP(B96,'Data yoy'!$A:$AT,MATCH($S$1,'Data yoy'!$A$1:$AT$1,),)</f>
        <v/>
      </c>
      <c r="T96" s="26">
        <f>VLOOKUP(B96,'Data yoy'!$A:$AT,MATCH($T$1,'Data yoy'!$A$1:$AT$1,),)</f>
        <v/>
      </c>
      <c r="U96" s="26">
        <f>VLOOKUP(B96,'Data yoy'!$A:$AT,MATCH($U$1,'Data yoy'!$A$1:$AT$1,),)</f>
        <v/>
      </c>
      <c r="V96" s="26">
        <f>VLOOKUP(B96,'Data yoy'!$A:$AT,MATCH($V$1,'Data yoy'!$A$1:$AT$1,),)</f>
        <v/>
      </c>
      <c r="W96" s="26">
        <f>VLOOKUP(B96,'Data yoy'!$A:$AT,MATCH($W$1,'Data yoy'!$A$1:$AT$1,),)</f>
        <v/>
      </c>
      <c r="X96" s="26">
        <f>VLOOKUP(B96,'Data yoy'!$A:$AT,MATCH($X$1,'Data yoy'!$A$1:$AT$1,),)</f>
        <v/>
      </c>
      <c r="Y96" s="26">
        <f>VLOOKUP(B96,'Data yoy'!$A:$AT,MATCH($Y$1,'Data yoy'!$A$1:$AT$1,),)</f>
        <v/>
      </c>
      <c r="Z96" s="26">
        <f>VLOOKUP(B96,'Data yoy'!$A:$AU,MATCH($Z$1,'Data yoy'!$A$1:$AU$1,),)</f>
        <v/>
      </c>
      <c r="AA96" s="26">
        <f>VLOOKUP(B96,'Data yoy'!$A:$AU,MATCH($AA$1,'Data yoy'!$A$1:$AU$1,),)</f>
        <v/>
      </c>
      <c r="AC96" s="27">
        <f>B96</f>
        <v/>
      </c>
      <c r="AD96" s="28">
        <f>(VLOOKUP(AC96,B:Y,MATCH($AE$6,$B$1:$Y$1,),))</f>
        <v/>
      </c>
      <c r="AE96" s="28">
        <f>(VLOOKUP(AC96,B:Y,MATCH($AE$7,$B$1:$Y$1,),))</f>
        <v/>
      </c>
      <c r="AF96" s="28">
        <f>AD96-AE96</f>
        <v/>
      </c>
    </row>
    <row r="97" customFormat="1" s="93"/>
    <row r="98" customFormat="1" s="93"/>
    <row r="99" customFormat="1" s="93"/>
    <row r="100" customFormat="1" s="93"/>
    <row r="101" customFormat="1" s="93"/>
    <row r="102" customFormat="1" s="93"/>
    <row r="103" customFormat="1" s="93"/>
    <row r="104" customFormat="1" s="93"/>
    <row r="105" customFormat="1" s="93"/>
    <row r="106" customFormat="1" s="93"/>
    <row r="107" customFormat="1" s="93"/>
    <row r="108" customFormat="1" s="93"/>
    <row r="109" customFormat="1" s="93"/>
    <row r="110" customFormat="1" s="93"/>
    <row r="111" customFormat="1" s="93"/>
    <row r="112" customFormat="1" s="93"/>
    <row r="113" customFormat="1" s="93"/>
    <row r="114" customFormat="1" s="93"/>
    <row r="115" customFormat="1" s="93"/>
    <row r="116" customFormat="1" s="93"/>
    <row r="117" customFormat="1" s="93"/>
    <row r="118" customFormat="1" s="93"/>
    <row r="119" customFormat="1" s="93"/>
    <row r="120" customFormat="1" s="93"/>
    <row r="121" customFormat="1" s="93"/>
    <row r="122" customFormat="1" s="93"/>
    <row r="123" customFormat="1" s="93"/>
    <row r="124" customFormat="1" s="93"/>
    <row r="125" customFormat="1" s="93"/>
    <row r="126" customFormat="1" s="93"/>
    <row r="127" customFormat="1" s="93"/>
    <row r="128" customFormat="1" s="93"/>
    <row r="129" customFormat="1" s="93"/>
    <row r="130" customFormat="1" s="93"/>
    <row r="131" customFormat="1" s="93"/>
    <row r="132" customFormat="1" s="93"/>
    <row r="133" customFormat="1" s="93"/>
    <row r="134" customFormat="1" s="93"/>
    <row r="135" customFormat="1" s="93"/>
    <row r="136" customFormat="1" s="93"/>
    <row r="137" customFormat="1" s="93"/>
    <row r="138" customFormat="1" s="93"/>
    <row r="139" customFormat="1" s="93"/>
    <row r="140" customFormat="1" s="93"/>
    <row r="141" customFormat="1" s="93"/>
    <row r="142" customFormat="1" s="93"/>
    <row r="143" customFormat="1" s="93"/>
    <row r="144" customFormat="1" s="93"/>
    <row r="145" customFormat="1" s="93"/>
    <row r="146" customFormat="1" s="93"/>
    <row r="147" customFormat="1" s="93"/>
    <row r="148" customFormat="1" s="93"/>
    <row r="149" customFormat="1" s="93"/>
    <row r="150" customFormat="1" s="93"/>
    <row r="151" customFormat="1" s="93"/>
    <row r="152" customFormat="1" s="93"/>
    <row r="153" customFormat="1" s="93"/>
    <row r="154" customFormat="1" s="93"/>
    <row r="155" customFormat="1" s="93"/>
    <row r="156" customFormat="1" s="93"/>
    <row r="157" customFormat="1" s="93"/>
    <row r="158" customFormat="1" s="93"/>
    <row r="159" customFormat="1" s="93"/>
    <row r="160" customFormat="1" s="93"/>
    <row r="161" customFormat="1" s="93"/>
    <row r="162" customFormat="1" s="93"/>
    <row r="163" customFormat="1" s="93"/>
    <row r="164" customFormat="1" s="93"/>
    <row r="165" customFormat="1" s="93"/>
    <row r="166" customFormat="1" s="93"/>
    <row r="167" customFormat="1" s="93"/>
    <row r="168" customFormat="1" s="93"/>
    <row r="169" customFormat="1" s="93"/>
    <row r="170" customFormat="1" s="93"/>
    <row r="171" customFormat="1" s="93"/>
    <row r="172" customFormat="1" s="93"/>
    <row r="173" customFormat="1" s="93"/>
    <row r="174" customFormat="1" s="93"/>
    <row r="175" customFormat="1" s="93"/>
    <row r="176" customFormat="1" s="93"/>
    <row r="177" customFormat="1" s="93"/>
    <row r="178" customFormat="1" s="93"/>
    <row r="179" customFormat="1" s="93"/>
    <row r="180" customFormat="1" s="93"/>
    <row r="181" customFormat="1" s="93"/>
    <row r="182" customFormat="1" s="93"/>
    <row r="183" customFormat="1" s="93"/>
    <row r="184" customFormat="1" s="93"/>
    <row r="185" customFormat="1" s="93"/>
    <row r="186" customFormat="1" s="93"/>
    <row r="187" customFormat="1" s="93"/>
    <row r="188" customFormat="1" s="93"/>
    <row r="189" customFormat="1" s="93"/>
    <row r="190" customFormat="1" s="93"/>
    <row r="191" customFormat="1" s="93"/>
    <row r="192" customFormat="1" s="93"/>
    <row r="193" customFormat="1" s="93"/>
    <row r="194" customFormat="1" s="93"/>
    <row r="195" customFormat="1" s="93"/>
    <row r="196" customFormat="1" s="93"/>
    <row r="197" customFormat="1" s="93"/>
    <row r="198" customFormat="1" s="93"/>
    <row r="199" customFormat="1" s="93"/>
    <row r="200" customFormat="1" s="93"/>
    <row r="201" customFormat="1" s="93"/>
    <row r="202" customFormat="1" s="93"/>
    <row r="203" customFormat="1" s="93"/>
    <row r="204" customFormat="1" s="93"/>
    <row r="205" customFormat="1" s="93"/>
    <row r="206" customFormat="1" s="93"/>
    <row r="207" customFormat="1" s="93"/>
    <row r="208" customFormat="1" s="93"/>
    <row r="209" customFormat="1" s="93"/>
    <row r="210" customFormat="1" s="93"/>
    <row r="211" customFormat="1" s="93"/>
    <row r="212" customFormat="1" s="93"/>
    <row r="213" customFormat="1" s="93"/>
    <row r="214" customFormat="1" s="93"/>
    <row r="215" customFormat="1" s="93"/>
    <row r="216" customFormat="1" s="93"/>
    <row r="217" customFormat="1" s="93"/>
    <row r="218" customFormat="1" s="93"/>
    <row r="219" customFormat="1" s="93"/>
    <row r="220" customFormat="1" s="93"/>
    <row r="221" customFormat="1" s="93"/>
    <row r="222" customFormat="1" s="93"/>
    <row r="223" customFormat="1" s="93"/>
    <row r="224" customFormat="1" s="93"/>
    <row r="225" customFormat="1" s="93"/>
    <row r="226" customFormat="1" s="93"/>
    <row r="227" customFormat="1" s="93"/>
    <row r="228" customFormat="1" s="93"/>
    <row r="229" customFormat="1" s="93"/>
    <row r="230" customFormat="1" s="93"/>
    <row r="231" customFormat="1" s="93"/>
    <row r="232" customFormat="1" s="93"/>
    <row r="233" customFormat="1" s="93"/>
    <row r="234" customFormat="1" s="93"/>
    <row r="235" customFormat="1" s="93"/>
    <row r="236" customFormat="1" s="93"/>
    <row r="237" customFormat="1" s="93"/>
    <row r="238" customFormat="1" s="93"/>
    <row r="239" customFormat="1" s="93"/>
    <row r="240" customFormat="1" s="93"/>
    <row r="241" customFormat="1" s="93"/>
    <row r="242" customFormat="1" s="93"/>
    <row r="243" customFormat="1" s="93"/>
    <row r="244" customFormat="1" s="93"/>
    <row r="245" customFormat="1" s="93"/>
    <row r="246" customFormat="1" s="93"/>
    <row r="247" customFormat="1" s="93"/>
    <row r="248" customFormat="1" s="93"/>
    <row r="249" customFormat="1" s="93"/>
    <row r="250" customFormat="1" s="93"/>
    <row r="251" customFormat="1" s="93"/>
    <row r="252" customFormat="1" s="93"/>
    <row r="253" customFormat="1" s="93"/>
    <row r="254" customFormat="1" s="93"/>
    <row r="255" customFormat="1" s="93"/>
    <row r="256" customFormat="1" s="93"/>
    <row r="257" customFormat="1" s="93"/>
    <row r="258" customFormat="1" s="93"/>
    <row r="259" customFormat="1" s="93"/>
    <row r="260" customFormat="1" s="93"/>
    <row r="261" customFormat="1" s="93"/>
    <row r="262" customFormat="1" s="93"/>
    <row r="263" customFormat="1" s="93"/>
    <row r="264" customFormat="1" s="93"/>
    <row r="265" customFormat="1" s="93"/>
    <row r="266" customFormat="1" s="93"/>
    <row r="267" customFormat="1" s="93"/>
    <row r="268" customFormat="1" s="93"/>
    <row r="269" customFormat="1" s="93"/>
    <row r="270" customFormat="1" s="93"/>
    <row r="271" customFormat="1" s="93"/>
    <row r="272" customFormat="1" s="93"/>
    <row r="273" customFormat="1" s="93"/>
    <row r="274" customFormat="1" s="93"/>
    <row r="275" customFormat="1" s="93"/>
    <row r="276" customFormat="1" s="93"/>
    <row r="277" customFormat="1" s="93"/>
    <row r="278" customFormat="1" s="93"/>
    <row r="279" customFormat="1" s="93"/>
    <row r="280" customFormat="1" s="93"/>
    <row r="281" customFormat="1" s="93"/>
    <row r="282" customFormat="1" s="93"/>
    <row r="283" customFormat="1" s="93"/>
    <row r="284" customFormat="1" s="93"/>
    <row r="285" customFormat="1" s="93"/>
    <row r="286" customFormat="1" s="93"/>
    <row r="287" customFormat="1" s="93"/>
    <row r="288" customFormat="1" s="93"/>
    <row r="289" customFormat="1" s="93"/>
    <row r="290" customFormat="1" s="93"/>
    <row r="291" customFormat="1" s="93"/>
    <row r="292" customFormat="1" s="93"/>
    <row r="293" customFormat="1" s="93"/>
    <row r="294" customFormat="1" s="93"/>
    <row r="295" customFormat="1" s="93"/>
    <row r="296" customFormat="1" s="93"/>
    <row r="297" customFormat="1" s="93"/>
    <row r="298" customFormat="1" s="93"/>
    <row r="299" customFormat="1" s="93"/>
    <row r="300" customFormat="1" s="93"/>
    <row r="301" customFormat="1" s="93"/>
    <row r="302" customFormat="1" s="93"/>
    <row r="303" customFormat="1" s="93"/>
    <row r="304" customFormat="1" s="93"/>
    <row r="305" customFormat="1" s="93"/>
    <row r="306" customFormat="1" s="93"/>
    <row r="307" customFormat="1" s="93"/>
    <row r="308" customFormat="1" s="93"/>
    <row r="309" customFormat="1" s="93"/>
    <row r="310" customFormat="1" s="93"/>
    <row r="311" customFormat="1" s="93"/>
    <row r="312" customFormat="1" s="93"/>
    <row r="313" customFormat="1" s="93"/>
    <row r="314" customFormat="1" s="93"/>
    <row r="315" customFormat="1" s="93"/>
    <row r="316" customFormat="1" s="93"/>
    <row r="317" customFormat="1" s="93"/>
    <row r="318" customFormat="1" s="93"/>
    <row r="319" customFormat="1" s="93"/>
    <row r="320" customFormat="1" s="93"/>
    <row r="321" customFormat="1" s="93"/>
    <row r="322" customFormat="1" s="93"/>
    <row r="323" customFormat="1" s="93"/>
    <row r="324" customFormat="1" s="93"/>
    <row r="325" customFormat="1" s="93"/>
    <row r="326" customFormat="1" s="93"/>
    <row r="327" customFormat="1" s="93"/>
    <row r="328" customFormat="1" s="93"/>
    <row r="329" customFormat="1" s="93"/>
    <row r="330" customFormat="1" s="93"/>
    <row r="331" customFormat="1" s="93"/>
    <row r="332" customFormat="1" s="93"/>
    <row r="333" customFormat="1" s="93"/>
    <row r="334" customFormat="1" s="93"/>
    <row r="335" customFormat="1" s="93"/>
    <row r="336" customFormat="1" s="93"/>
    <row r="337" customFormat="1" s="93"/>
    <row r="338" customFormat="1" s="93"/>
    <row r="339" customFormat="1" s="93"/>
    <row r="340" customFormat="1" s="93"/>
    <row r="341" customFormat="1" s="93"/>
    <row r="342" customFormat="1" s="93"/>
    <row r="343" customFormat="1" s="93"/>
    <row r="344" customFormat="1" s="93"/>
    <row r="345" customFormat="1" s="93"/>
    <row r="346" customFormat="1" s="93"/>
    <row r="347" customFormat="1" s="93"/>
    <row r="348" customFormat="1" s="93"/>
    <row r="349" customFormat="1" s="93"/>
    <row r="350" customFormat="1" s="93"/>
    <row r="351" customFormat="1" s="93"/>
    <row r="352" customFormat="1" s="93"/>
    <row r="353" customFormat="1" s="93"/>
    <row r="354" customFormat="1" s="93"/>
    <row r="355" customFormat="1" s="93"/>
    <row r="356" customFormat="1" s="93"/>
    <row r="357" customFormat="1" s="93"/>
    <row r="358" customFormat="1" s="93"/>
    <row r="359" customFormat="1" s="93"/>
    <row r="360" customFormat="1" s="93"/>
    <row r="361" customFormat="1" s="93"/>
    <row r="362" customFormat="1" s="93"/>
    <row r="363" customFormat="1" s="93"/>
    <row r="364" customFormat="1" s="93"/>
    <row r="365" customFormat="1" s="93"/>
    <row r="366" customFormat="1" s="93"/>
    <row r="367" customFormat="1" s="93"/>
    <row r="368" customFormat="1" s="93"/>
    <row r="369" customFormat="1" s="93"/>
    <row r="370" customFormat="1" s="93"/>
    <row r="371" customFormat="1" s="93"/>
    <row r="372" customFormat="1" s="93"/>
    <row r="373" customFormat="1" s="93"/>
    <row r="374" customFormat="1" s="93"/>
    <row r="375" customFormat="1" s="93"/>
    <row r="376" customFormat="1" s="93"/>
    <row r="377" customFormat="1" s="93"/>
    <row r="378" customFormat="1" s="93"/>
  </sheetData>
  <conditionalFormatting sqref="C11:C96">
    <cfRule type="colorScale" priority="1">
      <colorScale>
        <cfvo type="min"/>
        <cfvo type="percentile" val="50"/>
        <cfvo type="max"/>
        <color rgb="FFF8696B"/>
        <color rgb="FFFFEB84"/>
        <color rgb="FF63BE7B"/>
      </colorScale>
    </cfRule>
  </conditionalFormatting>
  <conditionalFormatting sqref="D11:D96">
    <cfRule type="colorScale" priority="2">
      <colorScale>
        <cfvo type="min"/>
        <cfvo type="percentile" val="50"/>
        <cfvo type="max"/>
        <color rgb="FFF8696B"/>
        <color rgb="FFFFEB84"/>
        <color rgb="FF63BE7B"/>
      </colorScale>
    </cfRule>
  </conditionalFormatting>
  <conditionalFormatting sqref="E11:E96">
    <cfRule type="colorScale" priority="3">
      <colorScale>
        <cfvo type="min"/>
        <cfvo type="percentile" val="50"/>
        <cfvo type="max"/>
        <color rgb="FFF8696B"/>
        <color rgb="FFFFEB84"/>
        <color rgb="FF63BE7B"/>
      </colorScale>
    </cfRule>
  </conditionalFormatting>
  <conditionalFormatting sqref="F11:F96">
    <cfRule type="colorScale" priority="4">
      <colorScale>
        <cfvo type="min"/>
        <cfvo type="percentile" val="50"/>
        <cfvo type="max"/>
        <color rgb="FFF8696B"/>
        <color rgb="FFFFEB84"/>
        <color rgb="FF63BE7B"/>
      </colorScale>
    </cfRule>
  </conditionalFormatting>
  <conditionalFormatting sqref="G11:G96">
    <cfRule type="colorScale" priority="5">
      <colorScale>
        <cfvo type="min"/>
        <cfvo type="percentile" val="50"/>
        <cfvo type="max"/>
        <color rgb="FFF8696B"/>
        <color rgb="FFFFEB84"/>
        <color rgb="FF63BE7B"/>
      </colorScale>
    </cfRule>
  </conditionalFormatting>
  <conditionalFormatting sqref="H11:H96">
    <cfRule type="colorScale" priority="6">
      <colorScale>
        <cfvo type="min"/>
        <cfvo type="percentile" val="50"/>
        <cfvo type="max"/>
        <color rgb="FFF8696B"/>
        <color rgb="FFFFEB84"/>
        <color rgb="FF63BE7B"/>
      </colorScale>
    </cfRule>
  </conditionalFormatting>
  <conditionalFormatting sqref="I11:I96">
    <cfRule type="colorScale" priority="7">
      <colorScale>
        <cfvo type="min"/>
        <cfvo type="percentile" val="50"/>
        <cfvo type="max"/>
        <color rgb="FFF8696B"/>
        <color rgb="FFFFEB84"/>
        <color rgb="FF63BE7B"/>
      </colorScale>
    </cfRule>
  </conditionalFormatting>
  <conditionalFormatting sqref="J11:J96">
    <cfRule type="colorScale" priority="8">
      <colorScale>
        <cfvo type="min"/>
        <cfvo type="percentile" val="50"/>
        <cfvo type="max"/>
        <color rgb="FFF8696B"/>
        <color rgb="FFFFEB84"/>
        <color rgb="FF63BE7B"/>
      </colorScale>
    </cfRule>
  </conditionalFormatting>
  <conditionalFormatting sqref="K11:K96">
    <cfRule type="colorScale" priority="9">
      <colorScale>
        <cfvo type="min"/>
        <cfvo type="percentile" val="50"/>
        <cfvo type="max"/>
        <color rgb="FFF8696B"/>
        <color rgb="FFFFEB84"/>
        <color rgb="FF63BE7B"/>
      </colorScale>
    </cfRule>
  </conditionalFormatting>
  <conditionalFormatting sqref="L11:L96">
    <cfRule type="colorScale" priority="10">
      <colorScale>
        <cfvo type="min"/>
        <cfvo type="percentile" val="50"/>
        <cfvo type="max"/>
        <color rgb="FFF8696B"/>
        <color rgb="FFFFEB84"/>
        <color rgb="FF63BE7B"/>
      </colorScale>
    </cfRule>
  </conditionalFormatting>
  <conditionalFormatting sqref="M11:M96">
    <cfRule type="colorScale" priority="11">
      <colorScale>
        <cfvo type="min"/>
        <cfvo type="percentile" val="50"/>
        <cfvo type="max"/>
        <color rgb="FFF8696B"/>
        <color rgb="FFFFEB84"/>
        <color rgb="FF63BE7B"/>
      </colorScale>
    </cfRule>
  </conditionalFormatting>
  <conditionalFormatting sqref="N11:N96">
    <cfRule type="colorScale" priority="12">
      <colorScale>
        <cfvo type="min"/>
        <cfvo type="percentile" val="50"/>
        <cfvo type="max"/>
        <color rgb="FFF8696B"/>
        <color rgb="FFFFEB84"/>
        <color rgb="FF63BE7B"/>
      </colorScale>
    </cfRule>
  </conditionalFormatting>
  <conditionalFormatting sqref="O11:O96">
    <cfRule type="colorScale" priority="13">
      <colorScale>
        <cfvo type="min"/>
        <cfvo type="percentile" val="50"/>
        <cfvo type="max"/>
        <color rgb="FFF8696B"/>
        <color rgb="FFFFEB84"/>
        <color rgb="FF63BE7B"/>
      </colorScale>
    </cfRule>
  </conditionalFormatting>
  <conditionalFormatting sqref="P11:P96">
    <cfRule type="colorScale" priority="14">
      <colorScale>
        <cfvo type="min"/>
        <cfvo type="percentile" val="50"/>
        <cfvo type="max"/>
        <color rgb="FFF8696B"/>
        <color rgb="FFFFEB84"/>
        <color rgb="FF63BE7B"/>
      </colorScale>
    </cfRule>
  </conditionalFormatting>
  <conditionalFormatting sqref="Q11:Q96">
    <cfRule type="colorScale" priority="15">
      <colorScale>
        <cfvo type="min"/>
        <cfvo type="percentile" val="50"/>
        <cfvo type="max"/>
        <color rgb="FFF8696B"/>
        <color rgb="FFFFEB84"/>
        <color rgb="FF63BE7B"/>
      </colorScale>
    </cfRule>
  </conditionalFormatting>
  <conditionalFormatting sqref="R11:R96">
    <cfRule type="colorScale" priority="16">
      <colorScale>
        <cfvo type="min"/>
        <cfvo type="percentile" val="50"/>
        <cfvo type="max"/>
        <color rgb="FFF8696B"/>
        <color rgb="FFFFEB84"/>
        <color rgb="FF63BE7B"/>
      </colorScale>
    </cfRule>
  </conditionalFormatting>
  <conditionalFormatting sqref="S11:S96">
    <cfRule type="colorScale" priority="17">
      <colorScale>
        <cfvo type="min"/>
        <cfvo type="percentile" val="50"/>
        <cfvo type="max"/>
        <color rgb="FFF8696B"/>
        <color rgb="FFFFEB84"/>
        <color rgb="FF63BE7B"/>
      </colorScale>
    </cfRule>
  </conditionalFormatting>
  <conditionalFormatting sqref="T11:T96">
    <cfRule type="colorScale" priority="18">
      <colorScale>
        <cfvo type="min"/>
        <cfvo type="percentile" val="50"/>
        <cfvo type="max"/>
        <color rgb="FFF8696B"/>
        <color rgb="FFFFEB84"/>
        <color rgb="FF63BE7B"/>
      </colorScale>
    </cfRule>
  </conditionalFormatting>
  <conditionalFormatting sqref="U11:U96">
    <cfRule type="colorScale" priority="19">
      <colorScale>
        <cfvo type="min"/>
        <cfvo type="percentile" val="50"/>
        <cfvo type="max"/>
        <color rgb="FFF8696B"/>
        <color rgb="FFFFEB84"/>
        <color rgb="FF63BE7B"/>
      </colorScale>
    </cfRule>
  </conditionalFormatting>
  <conditionalFormatting sqref="V11:V96">
    <cfRule type="colorScale" priority="20">
      <colorScale>
        <cfvo type="min"/>
        <cfvo type="percentile" val="50"/>
        <cfvo type="max"/>
        <color rgb="FFF8696B"/>
        <color rgb="FFFFEB84"/>
        <color rgb="FF63BE7B"/>
      </colorScale>
    </cfRule>
  </conditionalFormatting>
  <conditionalFormatting sqref="W11:W96">
    <cfRule type="colorScale" priority="21">
      <colorScale>
        <cfvo type="min"/>
        <cfvo type="percentile" val="50"/>
        <cfvo type="max"/>
        <color rgb="FFF8696B"/>
        <color rgb="FFFFEB84"/>
        <color rgb="FF63BE7B"/>
      </colorScale>
    </cfRule>
  </conditionalFormatting>
  <conditionalFormatting sqref="X11:X96">
    <cfRule type="colorScale" priority="22">
      <colorScale>
        <cfvo type="min"/>
        <cfvo type="percentile" val="50"/>
        <cfvo type="max"/>
        <color rgb="FFF8696B"/>
        <color rgb="FFFFEB84"/>
        <color rgb="FF63BE7B"/>
      </colorScale>
    </cfRule>
  </conditionalFormatting>
  <conditionalFormatting sqref="Y11:Y96">
    <cfRule type="colorScale" priority="23">
      <colorScale>
        <cfvo type="min"/>
        <cfvo type="percentile" val="50"/>
        <cfvo type="max"/>
        <color rgb="FFF8696B"/>
        <color rgb="FFFFEB84"/>
        <color rgb="FF63BE7B"/>
      </colorScale>
    </cfRule>
  </conditionalFormatting>
  <conditionalFormatting sqref="Z11:Z96">
    <cfRule type="colorScale" priority="24">
      <colorScale>
        <cfvo type="min"/>
        <cfvo type="percentile" val="50"/>
        <cfvo type="max"/>
        <color rgb="FFF8696B"/>
        <color rgb="FFFFEB84"/>
        <color rgb="FF63BE7B"/>
      </colorScale>
    </cfRule>
  </conditionalFormatting>
  <conditionalFormatting sqref="AA11:AA96">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selection activeCell="O319" sqref="O319"/>
    </sheetView>
  </sheetViews>
  <sheetFormatPr baseColWidth="10" defaultColWidth="8.83203125" defaultRowHeight="15"/>
  <cols>
    <col width="9.1640625" customWidth="1" style="93" min="1" max="1"/>
    <col width="13.6640625" customWidth="1" style="89" min="2" max="2"/>
    <col width="6.1640625" customWidth="1" style="89" min="3" max="27"/>
    <col width="6.1640625" customWidth="1" style="93" min="28" max="28"/>
    <col width="15.33203125" customWidth="1" style="93" min="29" max="30"/>
    <col width="10.6640625" bestFit="1" customWidth="1" style="93" min="31" max="31"/>
    <col width="9.1640625" customWidth="1" style="93"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93">
      <c r="AD2" s="93" t="inlineStr">
        <is>
          <t>Last quarter</t>
        </is>
      </c>
      <c r="AE2" s="4">
        <f>'Table yoy'!AE2</f>
        <v/>
      </c>
      <c r="AH2" s="93" t="inlineStr">
        <is>
          <t>modify max/min/avg</t>
        </is>
      </c>
    </row>
    <row r="3" ht="75.75" customHeight="1" s="89">
      <c r="B3" s="5" t="n"/>
      <c r="C3" s="6" t="inlineStr">
        <is>
          <t>US</t>
        </is>
      </c>
      <c r="D3" s="7" t="inlineStr">
        <is>
          <t xml:space="preserve">China </t>
        </is>
      </c>
      <c r="E3" s="8" t="inlineStr">
        <is>
          <t>Eurozone</t>
        </is>
      </c>
      <c r="F3" s="9" t="inlineStr">
        <is>
          <t xml:space="preserve">Japan </t>
        </is>
      </c>
      <c r="G3" s="10" t="inlineStr">
        <is>
          <t>Germany</t>
        </is>
      </c>
      <c r="H3" s="10" t="inlineStr">
        <is>
          <t>France</t>
        </is>
      </c>
      <c r="I3" s="10" t="inlineStr">
        <is>
          <t>UK</t>
        </is>
      </c>
      <c r="J3" s="10" t="inlineStr">
        <is>
          <t xml:space="preserve">Italy </t>
        </is>
      </c>
      <c r="K3" s="10" t="inlineStr">
        <is>
          <t>Spain</t>
        </is>
      </c>
      <c r="L3" s="10" t="inlineStr">
        <is>
          <t>Sweden</t>
        </is>
      </c>
      <c r="M3" s="10" t="inlineStr">
        <is>
          <t>Mexico</t>
        </is>
      </c>
      <c r="N3" s="10" t="inlineStr">
        <is>
          <t>Russia</t>
        </is>
      </c>
      <c r="O3" s="10" t="inlineStr">
        <is>
          <t>India</t>
        </is>
      </c>
      <c r="P3" s="10" t="inlineStr">
        <is>
          <t>Canada</t>
        </is>
      </c>
      <c r="Q3" s="10" t="inlineStr">
        <is>
          <t>Australia</t>
        </is>
      </c>
      <c r="R3" s="11" t="inlineStr">
        <is>
          <t>Switzerland</t>
        </is>
      </c>
      <c r="S3" s="10" t="inlineStr">
        <is>
          <t xml:space="preserve">S Korea </t>
        </is>
      </c>
      <c r="T3" s="10" t="inlineStr">
        <is>
          <t>Brazil</t>
        </is>
      </c>
      <c r="U3" s="10" t="inlineStr">
        <is>
          <t>Greece</t>
        </is>
      </c>
      <c r="V3" s="10" t="inlineStr">
        <is>
          <t>Ireland</t>
        </is>
      </c>
      <c r="W3" s="10" t="inlineStr">
        <is>
          <t>Turkey</t>
        </is>
      </c>
      <c r="X3" s="10" t="inlineStr">
        <is>
          <t xml:space="preserve">Czech </t>
        </is>
      </c>
      <c r="Y3" s="10" t="inlineStr">
        <is>
          <t>Poland</t>
        </is>
      </c>
      <c r="Z3" s="10" t="inlineStr">
        <is>
          <t>Argentina</t>
        </is>
      </c>
      <c r="AA3" s="10" t="inlineStr">
        <is>
          <t>New Zealand</t>
        </is>
      </c>
      <c r="AD3" s="12" t="inlineStr">
        <is>
          <t>Previous Quarter</t>
        </is>
      </c>
      <c r="AE3" s="13">
        <f>'Table yoy'!AE3</f>
        <v/>
      </c>
    </row>
    <row r="4" ht="16" customHeight="1" s="89" thickBot="1">
      <c r="B4" s="5" t="inlineStr">
        <is>
          <t>max 1y</t>
        </is>
      </c>
      <c r="C4" s="14">
        <f>MAX(C90:C93)</f>
        <v/>
      </c>
      <c r="D4" s="14">
        <f>MAX(D90:D93)</f>
        <v/>
      </c>
      <c r="E4" s="14">
        <f>MAX(E90:E93)</f>
        <v/>
      </c>
      <c r="F4" s="14">
        <f>MAX(F90:F93)</f>
        <v/>
      </c>
      <c r="G4" s="14">
        <f>MAX(G90:G93)</f>
        <v/>
      </c>
      <c r="H4" s="14">
        <f>MAX(H90:H93)</f>
        <v/>
      </c>
      <c r="I4" s="14">
        <f>MAX(I90:I93)</f>
        <v/>
      </c>
      <c r="J4" s="14">
        <f>MAX(J90:J93)</f>
        <v/>
      </c>
      <c r="K4" s="14">
        <f>MAX(K90:K93)</f>
        <v/>
      </c>
      <c r="L4" s="14">
        <f>MAX(L90:L93)</f>
        <v/>
      </c>
      <c r="M4" s="14">
        <f>MAX(M90:M93)</f>
        <v/>
      </c>
      <c r="N4" s="14">
        <f>MAX(N90:N93)</f>
        <v/>
      </c>
      <c r="O4" s="14">
        <f>MAX(O90:O93)</f>
        <v/>
      </c>
      <c r="P4" s="14">
        <f>MAX(P90:P93)</f>
        <v/>
      </c>
      <c r="Q4" s="14">
        <f>MAX(Q90:Q93)</f>
        <v/>
      </c>
      <c r="R4" s="14">
        <f>MAX(R90:R93)</f>
        <v/>
      </c>
      <c r="S4" s="14">
        <f>MAX(S90:S93)</f>
        <v/>
      </c>
      <c r="T4" s="14">
        <f>MAX(T90:T93)</f>
        <v/>
      </c>
      <c r="U4" s="14">
        <f>MAX(U90:U93)</f>
        <v/>
      </c>
      <c r="V4" s="14">
        <f>MAX(V90:V93)</f>
        <v/>
      </c>
      <c r="W4" s="14">
        <f>MAX(W90:W93)</f>
        <v/>
      </c>
      <c r="X4" s="14">
        <f>MAX(X90:X93)</f>
        <v/>
      </c>
      <c r="Y4" s="14">
        <f>MAX(Y90:Y93)</f>
        <v/>
      </c>
      <c r="Z4" s="14">
        <f>MAX(Z90:Z93)</f>
        <v/>
      </c>
      <c r="AA4" s="14">
        <f>MAX(AA90:AA93)</f>
        <v/>
      </c>
      <c r="AD4" s="15" t="inlineStr">
        <is>
          <t>12 months</t>
        </is>
      </c>
      <c r="AE4" s="16">
        <f>'Table yoy'!AE4</f>
        <v/>
      </c>
    </row>
    <row r="5">
      <c r="B5" s="5" t="inlineStr">
        <is>
          <t>min 1y</t>
        </is>
      </c>
      <c r="C5" s="14">
        <f>MIN(C90:C93)</f>
        <v/>
      </c>
      <c r="D5" s="14">
        <f>MIN(D90:D93)</f>
        <v/>
      </c>
      <c r="E5" s="14">
        <f>MIN(E90:E93)</f>
        <v/>
      </c>
      <c r="F5" s="14">
        <f>MIN(F90:F93)</f>
        <v/>
      </c>
      <c r="G5" s="14">
        <f>MIN(G90:G93)</f>
        <v/>
      </c>
      <c r="H5" s="14">
        <f>MIN(H90:H93)</f>
        <v/>
      </c>
      <c r="I5" s="14">
        <f>MIN(I90:I93)</f>
        <v/>
      </c>
      <c r="J5" s="14">
        <f>MIN(J90:J93)</f>
        <v/>
      </c>
      <c r="K5" s="14">
        <f>MIN(K90:K93)</f>
        <v/>
      </c>
      <c r="L5" s="14">
        <f>MIN(L90:L93)</f>
        <v/>
      </c>
      <c r="M5" s="14">
        <f>MIN(M90:M93)</f>
        <v/>
      </c>
      <c r="N5" s="14">
        <f>MIN(N90:N93)</f>
        <v/>
      </c>
      <c r="O5" s="14">
        <f>MIN(O90:O93)</f>
        <v/>
      </c>
      <c r="P5" s="14">
        <f>MIN(P90:P93)</f>
        <v/>
      </c>
      <c r="Q5" s="14">
        <f>MIN(Q90:Q93)</f>
        <v/>
      </c>
      <c r="R5" s="14">
        <f>MIN(R90:R93)</f>
        <v/>
      </c>
      <c r="S5" s="14">
        <f>MIN(S90:S93)</f>
        <v/>
      </c>
      <c r="T5" s="14">
        <f>MIN(T90:T93)</f>
        <v/>
      </c>
      <c r="U5" s="14">
        <f>MIN(U90:U93)</f>
        <v/>
      </c>
      <c r="V5" s="14">
        <f>MIN(V90:V93)</f>
        <v/>
      </c>
      <c r="W5" s="14">
        <f>MIN(W90:W93)</f>
        <v/>
      </c>
      <c r="X5" s="14">
        <f>MIN(X90:X93)</f>
        <v/>
      </c>
      <c r="Y5" s="14">
        <f>MIN(Y90:Y93)</f>
        <v/>
      </c>
      <c r="Z5" s="14">
        <f>MIN(Z90:Z93)</f>
        <v/>
      </c>
      <c r="AA5" s="14">
        <f>MIN(AA90:AA93)</f>
        <v/>
      </c>
      <c r="AC5" s="17" t="inlineStr">
        <is>
          <t>SPREAD</t>
        </is>
      </c>
      <c r="AE5" s="18" t="n"/>
    </row>
    <row r="6">
      <c r="B6" s="5" t="inlineStr">
        <is>
          <t>1y avg</t>
        </is>
      </c>
      <c r="C6" s="14">
        <f>AVERAGE(C90:C93)</f>
        <v/>
      </c>
      <c r="D6" s="14">
        <f>AVERAGE(D90:D93)</f>
        <v/>
      </c>
      <c r="E6" s="14">
        <f>AVERAGE(E90:E93)</f>
        <v/>
      </c>
      <c r="F6" s="14">
        <f>AVERAGE(F90:F93)</f>
        <v/>
      </c>
      <c r="G6" s="14">
        <f>AVERAGE(G90:G93)</f>
        <v/>
      </c>
      <c r="H6" s="14">
        <f>AVERAGE(H90:H93)</f>
        <v/>
      </c>
      <c r="I6" s="14">
        <f>AVERAGE(I90:I93)</f>
        <v/>
      </c>
      <c r="J6" s="14">
        <f>AVERAGE(J90:J93)</f>
        <v/>
      </c>
      <c r="K6" s="14">
        <f>AVERAGE(K90:K93)</f>
        <v/>
      </c>
      <c r="L6" s="14">
        <f>AVERAGE(L90:L93)</f>
        <v/>
      </c>
      <c r="M6" s="14">
        <f>AVERAGE(M90:M93)</f>
        <v/>
      </c>
      <c r="N6" s="14">
        <f>AVERAGE(N90:N93)</f>
        <v/>
      </c>
      <c r="O6" s="14">
        <f>AVERAGE(O90:O93)</f>
        <v/>
      </c>
      <c r="P6" s="14">
        <f>AVERAGE(P90:P93)</f>
        <v/>
      </c>
      <c r="Q6" s="14">
        <f>AVERAGE(Q90:Q93)</f>
        <v/>
      </c>
      <c r="R6" s="14">
        <f>AVERAGE(R90:R93)</f>
        <v/>
      </c>
      <c r="S6" s="14">
        <f>AVERAGE(S90:S93)</f>
        <v/>
      </c>
      <c r="T6" s="14">
        <f>AVERAGE(T90:T93)</f>
        <v/>
      </c>
      <c r="U6" s="14">
        <f>AVERAGE(U90:U93)</f>
        <v/>
      </c>
      <c r="V6" s="14">
        <f>AVERAGE(V90:V93)</f>
        <v/>
      </c>
      <c r="W6" s="14">
        <f>AVERAGE(W90:W93)</f>
        <v/>
      </c>
      <c r="X6" s="14">
        <f>AVERAGE(X90:X93)</f>
        <v/>
      </c>
      <c r="Y6" s="14">
        <f>AVERAGE(Y90:Y93)</f>
        <v/>
      </c>
      <c r="Z6" s="14">
        <f>AVERAGE(Z90:Z93)</f>
        <v/>
      </c>
      <c r="AA6" s="14">
        <f>AVERAGE(AA90:AA93)</f>
        <v/>
      </c>
      <c r="AC6" s="19" t="n"/>
      <c r="AD6" s="93" t="inlineStr">
        <is>
          <t>Country 1</t>
        </is>
      </c>
      <c r="AE6" s="18" t="inlineStr">
        <is>
          <t>USA</t>
        </is>
      </c>
    </row>
    <row r="7" ht="16" customHeight="1" s="89" thickBot="1">
      <c r="B7" s="5" t="inlineStr">
        <is>
          <t>Last vs 12m avg</t>
        </is>
      </c>
      <c r="C7" s="14">
        <f>IF((VLOOKUP($AE$2,$B:$Y,MATCH(C3,$B$3:$Y$3,),))&gt;C6,"above","below")</f>
        <v/>
      </c>
      <c r="D7" s="14">
        <f>IF((VLOOKUP($AE$2,$B:$Y,MATCH(D3,$B$3:$Y$3,),))&gt;D6,"above","below")</f>
        <v/>
      </c>
      <c r="E7" s="14">
        <f>IF((VLOOKUP($AE$2,$B:$Y,MATCH(E3,$B$3:$Y$3,),))&gt;E6,"above","below")</f>
        <v/>
      </c>
      <c r="F7" s="14">
        <f>IF((VLOOKUP($AE$2,$B:$Y,MATCH(F3,$B$3:$Y$3,),))&gt;F6,"above","below")</f>
        <v/>
      </c>
      <c r="G7" s="14">
        <f>IF((VLOOKUP($AE$2,$B:$Y,MATCH(G3,$B$3:$Y$3,),))&gt;G6,"above","below")</f>
        <v/>
      </c>
      <c r="H7" s="14">
        <f>IF((VLOOKUP($AE$2,$B:$Y,MATCH(H3,$B$3:$Y$3,),))&gt;H6,"above","below")</f>
        <v/>
      </c>
      <c r="I7" s="14">
        <f>IF((VLOOKUP($AE$2,$B:$Y,MATCH(I3,$B$3:$Y$3,),))&gt;I6,"above","below")</f>
        <v/>
      </c>
      <c r="J7" s="14">
        <f>IF((VLOOKUP($AE$2,$B:$Y,MATCH(J3,$B$3:$Y$3,),))&gt;J6,"above","below")</f>
        <v/>
      </c>
      <c r="K7" s="14">
        <f>IF((VLOOKUP($AE$2,$B:$Y,MATCH(K3,$B$3:$Y$3,),))&gt;K6,"above","below")</f>
        <v/>
      </c>
      <c r="L7" s="14">
        <f>IF((VLOOKUP($AE$2,$B:$Y,MATCH(L3,$B$3:$Y$3,),))&gt;L6,"above","below")</f>
        <v/>
      </c>
      <c r="M7" s="14">
        <f>IF((VLOOKUP($AE$2,$B:$Y,MATCH(M3,$B$3:$Y$3,),))&gt;M6,"above","below")</f>
        <v/>
      </c>
      <c r="N7" s="14">
        <f>IF((VLOOKUP($AE$2,$B:$Y,MATCH(N3,$B$3:$Y$3,),))&gt;N6,"above","below")</f>
        <v/>
      </c>
      <c r="O7" s="14">
        <f>IF((VLOOKUP($AE$2,$B:$Y,MATCH(O3,$B$3:$Y$3,),))&gt;O6,"above","below")</f>
        <v/>
      </c>
      <c r="P7" s="14">
        <f>IF((VLOOKUP($AE$2,$B:$Y,MATCH(P3,$B$3:$Y$3,),))&gt;P6,"above","below")</f>
        <v/>
      </c>
      <c r="Q7" s="14">
        <f>IF((VLOOKUP($AE$2,$B:$Y,MATCH(Q3,$B$3:$Y$3,),))&gt;Q6,"above","below")</f>
        <v/>
      </c>
      <c r="R7" s="14">
        <f>IF((VLOOKUP($AE$2,$B:$Y,MATCH(R3,$B$3:$Y$3,),))&gt;R6,"above","below")</f>
        <v/>
      </c>
      <c r="S7" s="14">
        <f>IF((VLOOKUP($AE$2,$B:$Y,MATCH(S3,$B$3:$Y$3,),))&gt;S6,"above","below")</f>
        <v/>
      </c>
      <c r="T7" s="14">
        <f>IF((VLOOKUP($AE$2,$B:$Y,MATCH(T3,$B$3:$Y$3,),))&gt;T6,"above","below")</f>
        <v/>
      </c>
      <c r="U7" s="14">
        <f>IF((VLOOKUP($AE$2,$B:$Y,MATCH(U3,$B$3:$Y$3,),))&gt;U6,"above","below")</f>
        <v/>
      </c>
      <c r="V7" s="14">
        <f>IF((VLOOKUP($AE$2,$B:$Y,MATCH(V3,$B$3:$Y$3,),))&gt;V6,"above","below")</f>
        <v/>
      </c>
      <c r="W7" s="14">
        <f>IF((VLOOKUP($AE$2,$B:$Y,MATCH(W3,$B$3:$Y$3,),))&gt;W6,"above","below")</f>
        <v/>
      </c>
      <c r="X7" s="14">
        <f>IF((VLOOKUP($AE$2,$B:$Y,MATCH(X3,$B$3:$Y$3,),))&gt;X6,"above","below")</f>
        <v/>
      </c>
      <c r="Y7" s="14">
        <f>IF((VLOOKUP($AE$2,$B:$Y,MATCH(Y3,$B$3:$Y$3,),))&gt;Y6,"above","below")</f>
        <v/>
      </c>
      <c r="Z7" s="14">
        <f>IF((VLOOKUP($AE$2,$B:$Z,MATCH(Z3,$B$3:$Z$3,),))&gt;Z6,"above","below")</f>
        <v/>
      </c>
      <c r="AA7" s="14">
        <f>IF((VLOOKUP($AE$2,$B:$AA,MATCH(AA3,$B$3:$AA$3,),))&gt;AA6,"above","below")</f>
        <v/>
      </c>
      <c r="AC7" s="20" t="n"/>
      <c r="AD7" s="21" t="inlineStr">
        <is>
          <t>Country 2</t>
        </is>
      </c>
      <c r="AE7" s="22" t="inlineStr">
        <is>
          <t>DEU</t>
        </is>
      </c>
    </row>
    <row r="8">
      <c r="B8" s="5" t="inlineStr">
        <is>
          <t>Y/Y</t>
        </is>
      </c>
      <c r="C8" s="14">
        <f>VLOOKUP($AE$2,$B:$Y,MATCH(C3,$B$3:$Y$3,),)-VLOOKUP($AE$4,$B:$Y,MATCH(C3,$B$3:$Y$3,),)</f>
        <v/>
      </c>
      <c r="D8" s="14">
        <f>VLOOKUP($AE$2,$B:$Y,MATCH(D3,$B$3:$Y$3,),)-VLOOKUP($AE$4,$B:$Y,MATCH(D3,$B$3:$Y$3,),)</f>
        <v/>
      </c>
      <c r="E8" s="14">
        <f>VLOOKUP($AE$2,$B:$Y,MATCH(E3,$B$3:$Y$3,),)-VLOOKUP($AE$4,$B:$Y,MATCH(E3,$B$3:$Y$3,),)</f>
        <v/>
      </c>
      <c r="F8" s="14">
        <f>VLOOKUP($AE$2,$B:$Y,MATCH(F3,$B$3:$Y$3,),)-VLOOKUP($AE$4,$B:$Y,MATCH(F3,$B$3:$Y$3,),)</f>
        <v/>
      </c>
      <c r="G8" s="14">
        <f>VLOOKUP($AE$2,$B:$Y,MATCH(G3,$B$3:$Y$3,),)-VLOOKUP($AE$4,$B:$Y,MATCH(G3,$B$3:$Y$3,),)</f>
        <v/>
      </c>
      <c r="H8" s="14">
        <f>VLOOKUP($AE$2,$B:$Y,MATCH(H3,$B$3:$Y$3,),)-VLOOKUP($AE$4,$B:$Y,MATCH(H3,$B$3:$Y$3,),)</f>
        <v/>
      </c>
      <c r="I8" s="14">
        <f>VLOOKUP($AE$2,$B:$Y,MATCH(I3,$B$3:$Y$3,),)-VLOOKUP($AE$4,$B:$Y,MATCH(I3,$B$3:$Y$3,),)</f>
        <v/>
      </c>
      <c r="J8" s="14">
        <f>VLOOKUP($AE$2,$B:$Y,MATCH(J3,$B$3:$Y$3,),)-VLOOKUP($AE$4,$B:$Y,MATCH(J3,$B$3:$Y$3,),)</f>
        <v/>
      </c>
      <c r="K8" s="14">
        <f>VLOOKUP($AE$2,$B:$Y,MATCH(K3,$B$3:$Y$3,),)-VLOOKUP($AE$4,$B:$Y,MATCH(K3,$B$3:$Y$3,),)</f>
        <v/>
      </c>
      <c r="L8" s="14">
        <f>VLOOKUP($AE$2,$B:$Y,MATCH(L3,$B$3:$Y$3,),)-VLOOKUP($AE$4,$B:$Y,MATCH(L3,$B$3:$Y$3,),)</f>
        <v/>
      </c>
      <c r="M8" s="14">
        <f>VLOOKUP($AE$2,$B:$Y,MATCH(M3,$B$3:$Y$3,),)-VLOOKUP($AE$4,$B:$Y,MATCH(M3,$B$3:$Y$3,),)</f>
        <v/>
      </c>
      <c r="N8" s="14">
        <f>VLOOKUP($AE$2,$B:$Y,MATCH(N3,$B$3:$Y$3,),)-VLOOKUP($AE$4,$B:$Y,MATCH(N3,$B$3:$Y$3,),)</f>
        <v/>
      </c>
      <c r="O8" s="14">
        <f>VLOOKUP($AE$2,$B:$Y,MATCH(O3,$B$3:$Y$3,),)-VLOOKUP($AE$4,$B:$Y,MATCH(O3,$B$3:$Y$3,),)</f>
        <v/>
      </c>
      <c r="P8" s="14">
        <f>VLOOKUP($AE$2,$B:$Y,MATCH(P3,$B$3:$Y$3,),)-VLOOKUP($AE$4,$B:$Y,MATCH(P3,$B$3:$Y$3,),)</f>
        <v/>
      </c>
      <c r="Q8" s="14">
        <f>VLOOKUP($AE$2,$B:$Y,MATCH(Q3,$B$3:$Y$3,),)-VLOOKUP($AE$4,$B:$Y,MATCH(Q3,$B$3:$Y$3,),)</f>
        <v/>
      </c>
      <c r="R8" s="14">
        <f>VLOOKUP($AE$2,$B:$Y,MATCH(R3,$B$3:$Y$3,),)-VLOOKUP($AE$4,$B:$Y,MATCH(R3,$B$3:$Y$3,),)</f>
        <v/>
      </c>
      <c r="S8" s="14">
        <f>VLOOKUP($AE$2,$B:$Y,MATCH(S3,$B$3:$Y$3,),)-VLOOKUP($AE$4,$B:$Y,MATCH(S3,$B$3:$Y$3,),)</f>
        <v/>
      </c>
      <c r="T8" s="14">
        <f>VLOOKUP($AE$2,$B:$Y,MATCH(T3,$B$3:$Y$3,),)-VLOOKUP($AE$4,$B:$Y,MATCH(T3,$B$3:$Y$3,),)</f>
        <v/>
      </c>
      <c r="U8" s="14">
        <f>VLOOKUP($AE$2,$B:$Y,MATCH(U3,$B$3:$Y$3,),)-VLOOKUP($AE$4,$B:$Y,MATCH(U3,$B$3:$Y$3,),)</f>
        <v/>
      </c>
      <c r="V8" s="14">
        <f>VLOOKUP($AE$2,$B:$Y,MATCH(V3,$B$3:$Y$3,),)-VLOOKUP($AE$4,$B:$Y,MATCH(V3,$B$3:$Y$3,),)</f>
        <v/>
      </c>
      <c r="W8" s="14">
        <f>VLOOKUP($AE$2,$B:$Y,MATCH(W3,$B$3:$Y$3,),)-VLOOKUP($AE$4,$B:$Y,MATCH(W3,$B$3:$Y$3,),)</f>
        <v/>
      </c>
      <c r="X8" s="14">
        <f>VLOOKUP($AE$2,$B:$Y,MATCH(X3,$B$3:$Y$3,),)-VLOOKUP($AE$4,$B:$Y,MATCH(X3,$B$3:$Y$3,),)</f>
        <v/>
      </c>
      <c r="Y8" s="14">
        <f>VLOOKUP($AE$2,$B:$Y,MATCH(Y3,$B$3:$Y$3,),)-VLOOKUP($AE$4,$B:$Y,MATCH(Y3,$B$3:$Y$3,),)</f>
        <v/>
      </c>
      <c r="Z8" s="14">
        <f>VLOOKUP($AE$2,$B:$Z,MATCH(Z3,$B$3:$Z$3,),)-VLOOKUP($AE$4,$B:$Z,MATCH(Z3,$B$3:$Z$3,),)</f>
        <v/>
      </c>
      <c r="AA8" s="14">
        <f>VLOOKUP($AE$2,$B:$AA,MATCH(AA3,$B$3:$AA$3,),)-VLOOKUP($AE$4,$B:$AA,MATCH(AA3,$B$3:$AA$3,),)</f>
        <v/>
      </c>
    </row>
    <row r="9">
      <c r="B9" s="5" t="inlineStr">
        <is>
          <t>Q/Q</t>
        </is>
      </c>
      <c r="C9" s="14">
        <f>VLOOKUP($AE$2,$B:$Y,MATCH(C3,$B$3:$Y$3,),)-VLOOKUP($AE$3,$B:$Y,MATCH(C3,$B$3:$Y$3,),)</f>
        <v/>
      </c>
      <c r="D9" s="14">
        <f>VLOOKUP($AE$2,$B:$Y,MATCH(D3,$B$3:$Y$3,),)-VLOOKUP($AE$3,$B:$Y,MATCH(D3,$B$3:$Y$3,),)</f>
        <v/>
      </c>
      <c r="E9" s="14">
        <f>VLOOKUP($AE$2,$B:$Y,MATCH(E3,$B$3:$Y$3,),)-VLOOKUP($AE$3,$B:$Y,MATCH(E3,$B$3:$Y$3,),)</f>
        <v/>
      </c>
      <c r="F9" s="14">
        <f>VLOOKUP($AE$2,$B:$Y,MATCH(F3,$B$3:$Y$3,),)-VLOOKUP($AE$3,$B:$Y,MATCH(F3,$B$3:$Y$3,),)</f>
        <v/>
      </c>
      <c r="G9" s="14">
        <f>VLOOKUP($AE$2,$B:$Y,MATCH(G3,$B$3:$Y$3,),)-VLOOKUP($AE$3,$B:$Y,MATCH(G3,$B$3:$Y$3,),)</f>
        <v/>
      </c>
      <c r="H9" s="14">
        <f>VLOOKUP($AE$2,$B:$Y,MATCH(H3,$B$3:$Y$3,),)-VLOOKUP($AE$3,$B:$Y,MATCH(H3,$B$3:$Y$3,),)</f>
        <v/>
      </c>
      <c r="I9" s="14">
        <f>VLOOKUP($AE$2,$B:$Y,MATCH(I3,$B$3:$Y$3,),)-VLOOKUP($AE$3,$B:$Y,MATCH(I3,$B$3:$Y$3,),)</f>
        <v/>
      </c>
      <c r="J9" s="14">
        <f>VLOOKUP($AE$2,$B:$Y,MATCH(J3,$B$3:$Y$3,),)-VLOOKUP($AE$3,$B:$Y,MATCH(J3,$B$3:$Y$3,),)</f>
        <v/>
      </c>
      <c r="K9" s="14">
        <f>VLOOKUP($AE$2,$B:$Y,MATCH(K3,$B$3:$Y$3,),)-VLOOKUP($AE$3,$B:$Y,MATCH(K3,$B$3:$Y$3,),)</f>
        <v/>
      </c>
      <c r="L9" s="14">
        <f>VLOOKUP($AE$2,$B:$Y,MATCH(L3,$B$3:$Y$3,),)-VLOOKUP($AE$3,$B:$Y,MATCH(L3,$B$3:$Y$3,),)</f>
        <v/>
      </c>
      <c r="M9" s="14">
        <f>VLOOKUP($AE$2,$B:$Y,MATCH(M3,$B$3:$Y$3,),)-VLOOKUP($AE$3,$B:$Y,MATCH(M3,$B$3:$Y$3,),)</f>
        <v/>
      </c>
      <c r="N9" s="14">
        <f>VLOOKUP($AE$2,$B:$Y,MATCH(N3,$B$3:$Y$3,),)-VLOOKUP($AE$3,$B:$Y,MATCH(N3,$B$3:$Y$3,),)</f>
        <v/>
      </c>
      <c r="O9" s="14">
        <f>VLOOKUP($AE$2,$B:$Y,MATCH(O3,$B$3:$Y$3,),)-VLOOKUP($AE$3,$B:$Y,MATCH(O3,$B$3:$Y$3,),)</f>
        <v/>
      </c>
      <c r="P9" s="14">
        <f>VLOOKUP($AE$2,$B:$Y,MATCH(P3,$B$3:$Y$3,),)-VLOOKUP($AE$3,$B:$Y,MATCH(P3,$B$3:$Y$3,),)</f>
        <v/>
      </c>
      <c r="Q9" s="14">
        <f>VLOOKUP($AE$2,$B:$Y,MATCH(Q3,$B$3:$Y$3,),)-VLOOKUP($AE$3,$B:$Y,MATCH(Q3,$B$3:$Y$3,),)</f>
        <v/>
      </c>
      <c r="R9" s="14">
        <f>VLOOKUP($AE$2,$B:$Y,MATCH(R3,$B$3:$Y$3,),)-VLOOKUP($AE$3,$B:$Y,MATCH(R3,$B$3:$Y$3,),)</f>
        <v/>
      </c>
      <c r="S9" s="14">
        <f>VLOOKUP($AE$2,$B:$Y,MATCH(S3,$B$3:$Y$3,),)-VLOOKUP($AE$3,$B:$Y,MATCH(S3,$B$3:$Y$3,),)</f>
        <v/>
      </c>
      <c r="T9" s="14">
        <f>VLOOKUP($AE$2,$B:$Y,MATCH(T3,$B$3:$Y$3,),)-VLOOKUP($AE$3,$B:$Y,MATCH(T3,$B$3:$Y$3,),)</f>
        <v/>
      </c>
      <c r="U9" s="14">
        <f>VLOOKUP($AE$2,$B:$Y,MATCH(U3,$B$3:$Y$3,),)-VLOOKUP($AE$3,$B:$Y,MATCH(U3,$B$3:$Y$3,),)</f>
        <v/>
      </c>
      <c r="V9" s="14">
        <f>VLOOKUP($AE$2,$B:$Y,MATCH(V3,$B$3:$Y$3,),)-VLOOKUP($AE$3,$B:$Y,MATCH(V3,$B$3:$Y$3,),)</f>
        <v/>
      </c>
      <c r="W9" s="14">
        <f>VLOOKUP($AE$2,$B:$Y,MATCH(W3,$B$3:$Y$3,),)-VLOOKUP($AE$3,$B:$Y,MATCH(W3,$B$3:$Y$3,),)</f>
        <v/>
      </c>
      <c r="X9" s="14">
        <f>VLOOKUP($AE$2,$B:$Y,MATCH(X3,$B$3:$Y$3,),)-VLOOKUP($AE$3,$B:$Y,MATCH(X3,$B$3:$Y$3,),)</f>
        <v/>
      </c>
      <c r="Y9" s="14">
        <f>VLOOKUP($AE$2,$B:$Y,MATCH(Y3,$B$3:$Y$3,),)-VLOOKUP($AE$3,$B:$Y,MATCH(Y3,$B$3:$Y$3,),)</f>
        <v/>
      </c>
      <c r="Z9" s="14">
        <f>VLOOKUP($AE$2,$B:$Z,MATCH(Z3,$B$3:$Z$3,),)-VLOOKUP($AE$3,$B:$Z,MATCH(Z3,$B$3:$Z$3,),)</f>
        <v/>
      </c>
      <c r="AA9" s="14">
        <f>VLOOKUP($AE$2,$B:$AA,MATCH(AA3,$B$3:$AA$3,),)-VLOOKUP($AE$3,$B:$AA,MATCH(AA3,$B$3:$AA$3,),)</f>
        <v/>
      </c>
    </row>
    <row r="10">
      <c r="B10" s="5"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23" t="n"/>
      <c r="AA10" s="23" t="n"/>
    </row>
    <row r="11" hidden="1" s="89">
      <c r="B11" s="25" t="inlineStr">
        <is>
          <t>2000-Q1</t>
        </is>
      </c>
      <c r="C11" s="26">
        <f>VLOOKUP(B11,'Data qoq'!$A:$AT,MATCH($C$1,'Data qoq'!$A$1:$AT$1,),)</f>
        <v/>
      </c>
      <c r="D11" s="26">
        <f>VLOOKUP(B11,'Data qoq'!$A:$AT,MATCH($D$1,'Data qoq'!$A$1:$AT$1,),)</f>
        <v/>
      </c>
      <c r="E11" s="26">
        <f>VLOOKUP(B11,'Data qoq'!$A:$AT,MATCH($E$1,'Data qoq'!$A$1:$AT$1,),)</f>
        <v/>
      </c>
      <c r="F11" s="26">
        <f>VLOOKUP(B11,'Data qoq'!$A:$AT,MATCH($F$1,'Data qoq'!$A$1:$AT$1,),)</f>
        <v/>
      </c>
      <c r="G11" s="26">
        <f>VLOOKUP(B11,'Data qoq'!$A:$AT,MATCH($G$1,'Data qoq'!$A$1:$AT$1,),)</f>
        <v/>
      </c>
      <c r="H11" s="26">
        <f>VLOOKUP(B11,'Data qoq'!$A:$AT,MATCH($H$1,'Data qoq'!$A$1:$AT$1,),)</f>
        <v/>
      </c>
      <c r="I11" s="26">
        <f>VLOOKUP(B11,'Data qoq'!$A:$AT,MATCH($I$1,'Data qoq'!$A$1:$AT$1,),)</f>
        <v/>
      </c>
      <c r="J11" s="26">
        <f>VLOOKUP(B11,'Data qoq'!$A:$AT,MATCH($J$1,'Data qoq'!$A$1:$AT$1,),)</f>
        <v/>
      </c>
      <c r="K11" s="26">
        <f>VLOOKUP(B11,'Data qoq'!$A:$AT,MATCH($K$1,'Data qoq'!$A$1:$AT$1,),)</f>
        <v/>
      </c>
      <c r="L11" s="26">
        <f>VLOOKUP(B11,'Data qoq'!$A:$AT,MATCH($L$1,'Data qoq'!$A$1:$AT$1,),)</f>
        <v/>
      </c>
      <c r="M11" s="26">
        <f>VLOOKUP(B11,'Data qoq'!$A:$AT,MATCH($M$1,'Data qoq'!$A$1:$AT$1,),)</f>
        <v/>
      </c>
      <c r="N11" s="26">
        <f>VLOOKUP(B11,'Data qoq'!$A:$AT,MATCH($N$1,'Data qoq'!$A$1:$AT$1,),)</f>
        <v/>
      </c>
      <c r="O11" s="26">
        <f>VLOOKUP(B11,'Data qoq'!$A:$AT,MATCH($C$1,'Data qoq'!$J$1:$AT$1,),)</f>
        <v/>
      </c>
      <c r="P11" s="26">
        <f>VLOOKUP(B11,'Data qoq'!$A:$AT,MATCH($P$1,'Data qoq'!$A$1:$AT$1,),)</f>
        <v/>
      </c>
      <c r="Q11" s="26">
        <f>VLOOKUP(B11,'Data qoq'!$A:$AT,MATCH($Q$1,'Data qoq'!$A$1:$AT$1,),)</f>
        <v/>
      </c>
      <c r="R11" s="26">
        <f>VLOOKUP(B11,'Data qoq'!$A:$AT,MATCH($E$1,'Data qoq'!$A$1:$AT$1,),)</f>
        <v/>
      </c>
      <c r="S11" s="26">
        <f>VLOOKUP(B11,'Data qoq'!$A:$AT,MATCH($S$1,'Data qoq'!$A$1:$AT$1,),)</f>
        <v/>
      </c>
      <c r="T11" s="26">
        <f>VLOOKUP(B11,'Data qoq'!$A:$AT,MATCH($T$1,'Data qoq'!$A$1:$AT$1,),)</f>
        <v/>
      </c>
      <c r="U11" s="26">
        <f>VLOOKUP(B11,'Data qoq'!$A:$AT,MATCH($U$1,'Data qoq'!$A$1:$AT$1,),)</f>
        <v/>
      </c>
      <c r="V11" s="26">
        <f>VLOOKUP(B11,'Data qoq'!$A:$AT,MATCH($V$1,'Data qoq'!$A$1:$AT$1,),)</f>
        <v/>
      </c>
      <c r="W11" s="26">
        <f>VLOOKUP(B11,'Data qoq'!$A:$AT,MATCH($W$1,'Data qoq'!$A$1:$AT$1,),)</f>
        <v/>
      </c>
      <c r="X11" s="26">
        <f>VLOOKUP(B11,'Data qoq'!$A:$AT,MATCH($X$1,'Data qoq'!$A$1:$AT$1,),)</f>
        <v/>
      </c>
      <c r="Y11" s="26">
        <f>VLOOKUP(B11,'Data qoq'!$A:$AT,MATCH($Y$1,'Data qoq'!$A$1:$AT$1,),)</f>
        <v/>
      </c>
      <c r="Z11" s="26">
        <f>VLOOKUP(B11,'Data qoq'!$A:$AU,MATCH($Z$1,'Data qoq'!$A$1:$AU$1,),)</f>
        <v/>
      </c>
      <c r="AA11" s="26">
        <f>VLOOKUP(C11,'Data qoq'!$A:$AU,MATCH($Z$1,'Data qoq'!$A$1:$AU$1,),)</f>
        <v/>
      </c>
      <c r="AC11" s="27">
        <f>B11</f>
        <v/>
      </c>
      <c r="AD11" s="28">
        <f>(VLOOKUP(AC11,B:Y,MATCH($AE$6,$B$1:$Y$1,),))-(VLOOKUP(AC11,B:Y,MATCH($AE$7,$B$1:$Y$1,),))</f>
        <v/>
      </c>
      <c r="AE11" s="28">
        <f>C11-G11</f>
        <v/>
      </c>
    </row>
    <row r="12" hidden="1" s="89">
      <c r="B12" s="25" t="inlineStr">
        <is>
          <t>2000-Q2</t>
        </is>
      </c>
      <c r="C12" s="26">
        <f>VLOOKUP(B12,'Data qoq'!$A:$AT,MATCH($C$1,'Data qoq'!$A$1:$AT$1,),)</f>
        <v/>
      </c>
      <c r="D12" s="26">
        <f>VLOOKUP(B12,'Data qoq'!$A:$AT,MATCH($D$1,'Data qoq'!$A$1:$AT$1,),)</f>
        <v/>
      </c>
      <c r="E12" s="26">
        <f>VLOOKUP(B12,'Data qoq'!$A:$AT,MATCH($E$1,'Data qoq'!$A$1:$AT$1,),)</f>
        <v/>
      </c>
      <c r="F12" s="26">
        <f>VLOOKUP(B12,'Data qoq'!$A:$AT,MATCH($F$1,'Data qoq'!$A$1:$AT$1,),)</f>
        <v/>
      </c>
      <c r="G12" s="26">
        <f>VLOOKUP(B12,'Data qoq'!$A:$AT,MATCH($G$1,'Data qoq'!$A$1:$AT$1,),)</f>
        <v/>
      </c>
      <c r="H12" s="26">
        <f>VLOOKUP(B12,'Data qoq'!$A:$AT,MATCH($H$1,'Data qoq'!$A$1:$AT$1,),)</f>
        <v/>
      </c>
      <c r="I12" s="26">
        <f>VLOOKUP(B12,'Data qoq'!$A:$AT,MATCH($I$1,'Data qoq'!$A$1:$AT$1,),)</f>
        <v/>
      </c>
      <c r="J12" s="26">
        <f>VLOOKUP(B12,'Data qoq'!$A:$AT,MATCH($J$1,'Data qoq'!$A$1:$AT$1,),)</f>
        <v/>
      </c>
      <c r="K12" s="26">
        <f>VLOOKUP(B12,'Data qoq'!$A:$AT,MATCH($K$1,'Data qoq'!$A$1:$AT$1,),)</f>
        <v/>
      </c>
      <c r="L12" s="26">
        <f>VLOOKUP(B12,'Data qoq'!$A:$AT,MATCH($L$1,'Data qoq'!$A$1:$AT$1,),)</f>
        <v/>
      </c>
      <c r="M12" s="26">
        <f>VLOOKUP(B12,'Data qoq'!$A:$AT,MATCH($M$1,'Data qoq'!$A$1:$AT$1,),)</f>
        <v/>
      </c>
      <c r="N12" s="26">
        <f>VLOOKUP(B12,'Data qoq'!$A:$AT,MATCH($N$1,'Data qoq'!$A$1:$AT$1,),)</f>
        <v/>
      </c>
      <c r="O12" s="26">
        <f>VLOOKUP(B12,'Data qoq'!$A:$AT,MATCH($C$1,'Data qoq'!$J$1:$AT$1,),)</f>
        <v/>
      </c>
      <c r="P12" s="26">
        <f>VLOOKUP(B12,'Data qoq'!$A:$AT,MATCH($P$1,'Data qoq'!$A$1:$AT$1,),)</f>
        <v/>
      </c>
      <c r="Q12" s="26">
        <f>VLOOKUP(B12,'Data qoq'!$A:$AT,MATCH($Q$1,'Data qoq'!$A$1:$AT$1,),)</f>
        <v/>
      </c>
      <c r="R12" s="26">
        <f>VLOOKUP(B12,'Data qoq'!$A:$AT,MATCH($E$1,'Data qoq'!$A$1:$AT$1,),)</f>
        <v/>
      </c>
      <c r="S12" s="26">
        <f>VLOOKUP(B12,'Data qoq'!$A:$AT,MATCH($S$1,'Data qoq'!$A$1:$AT$1,),)</f>
        <v/>
      </c>
      <c r="T12" s="26">
        <f>VLOOKUP(B12,'Data qoq'!$A:$AT,MATCH($T$1,'Data qoq'!$A$1:$AT$1,),)</f>
        <v/>
      </c>
      <c r="U12" s="26">
        <f>VLOOKUP(B12,'Data qoq'!$A:$AT,MATCH($U$1,'Data qoq'!$A$1:$AT$1,),)</f>
        <v/>
      </c>
      <c r="V12" s="26">
        <f>VLOOKUP(B12,'Data qoq'!$A:$AT,MATCH($V$1,'Data qoq'!$A$1:$AT$1,),)</f>
        <v/>
      </c>
      <c r="W12" s="26">
        <f>VLOOKUP(B12,'Data qoq'!$A:$AT,MATCH($W$1,'Data qoq'!$A$1:$AT$1,),)</f>
        <v/>
      </c>
      <c r="X12" s="26">
        <f>VLOOKUP(B12,'Data qoq'!$A:$AT,MATCH($X$1,'Data qoq'!$A$1:$AT$1,),)</f>
        <v/>
      </c>
      <c r="Y12" s="26">
        <f>VLOOKUP(B12,'Data qoq'!$A:$AT,MATCH($Y$1,'Data qoq'!$A$1:$AT$1,),)</f>
        <v/>
      </c>
      <c r="Z12" s="26">
        <f>VLOOKUP(B12,'Data qoq'!$A:$AU,MATCH($Z$1,'Data qoq'!$A$1:$AU$1,),)</f>
        <v/>
      </c>
      <c r="AA12" s="26">
        <f>VLOOKUP(C12,'Data qoq'!$A:$AU,MATCH($Z$1,'Data qoq'!$A$1:$AU$1,),)</f>
        <v/>
      </c>
      <c r="AC12" s="27">
        <f>B12</f>
        <v/>
      </c>
      <c r="AD12" s="28">
        <f>(VLOOKUP(AC12,B:Y,MATCH($AE$6,$B$1:$Y$1,),))-(VLOOKUP(AC12,B:Y,MATCH($AE$7,$B$1:$Y$1,),))</f>
        <v/>
      </c>
      <c r="AE12" s="28">
        <f>C12-G12</f>
        <v/>
      </c>
    </row>
    <row r="13" hidden="1" s="89">
      <c r="B13" s="25" t="inlineStr">
        <is>
          <t>2000-Q3</t>
        </is>
      </c>
      <c r="C13" s="26">
        <f>VLOOKUP(B13,'Data qoq'!$A:$AT,MATCH($C$1,'Data qoq'!$A$1:$AT$1,),)</f>
        <v/>
      </c>
      <c r="D13" s="26">
        <f>VLOOKUP(B13,'Data qoq'!$A:$AT,MATCH($D$1,'Data qoq'!$A$1:$AT$1,),)</f>
        <v/>
      </c>
      <c r="E13" s="26">
        <f>VLOOKUP(B13,'Data qoq'!$A:$AT,MATCH($E$1,'Data qoq'!$A$1:$AT$1,),)</f>
        <v/>
      </c>
      <c r="F13" s="26">
        <f>VLOOKUP(B13,'Data qoq'!$A:$AT,MATCH($F$1,'Data qoq'!$A$1:$AT$1,),)</f>
        <v/>
      </c>
      <c r="G13" s="26">
        <f>VLOOKUP(B13,'Data qoq'!$A:$AT,MATCH($G$1,'Data qoq'!$A$1:$AT$1,),)</f>
        <v/>
      </c>
      <c r="H13" s="26">
        <f>VLOOKUP(B13,'Data qoq'!$A:$AT,MATCH($H$1,'Data qoq'!$A$1:$AT$1,),)</f>
        <v/>
      </c>
      <c r="I13" s="26">
        <f>VLOOKUP(B13,'Data qoq'!$A:$AT,MATCH($I$1,'Data qoq'!$A$1:$AT$1,),)</f>
        <v/>
      </c>
      <c r="J13" s="26">
        <f>VLOOKUP(B13,'Data qoq'!$A:$AT,MATCH($J$1,'Data qoq'!$A$1:$AT$1,),)</f>
        <v/>
      </c>
      <c r="K13" s="26">
        <f>VLOOKUP(B13,'Data qoq'!$A:$AT,MATCH($K$1,'Data qoq'!$A$1:$AT$1,),)</f>
        <v/>
      </c>
      <c r="L13" s="26">
        <f>VLOOKUP(B13,'Data qoq'!$A:$AT,MATCH($L$1,'Data qoq'!$A$1:$AT$1,),)</f>
        <v/>
      </c>
      <c r="M13" s="26">
        <f>VLOOKUP(B13,'Data qoq'!$A:$AT,MATCH($M$1,'Data qoq'!$A$1:$AT$1,),)</f>
        <v/>
      </c>
      <c r="N13" s="26">
        <f>VLOOKUP(B13,'Data qoq'!$A:$AT,MATCH($N$1,'Data qoq'!$A$1:$AT$1,),)</f>
        <v/>
      </c>
      <c r="O13" s="26">
        <f>VLOOKUP(B13,'Data qoq'!$A:$AT,MATCH($C$1,'Data qoq'!$J$1:$AT$1,),)</f>
        <v/>
      </c>
      <c r="P13" s="26">
        <f>VLOOKUP(B13,'Data qoq'!$A:$AT,MATCH($P$1,'Data qoq'!$A$1:$AT$1,),)</f>
        <v/>
      </c>
      <c r="Q13" s="26">
        <f>VLOOKUP(B13,'Data qoq'!$A:$AT,MATCH($Q$1,'Data qoq'!$A$1:$AT$1,),)</f>
        <v/>
      </c>
      <c r="R13" s="26">
        <f>VLOOKUP(B13,'Data qoq'!$A:$AT,MATCH($E$1,'Data qoq'!$A$1:$AT$1,),)</f>
        <v/>
      </c>
      <c r="S13" s="26">
        <f>VLOOKUP(B13,'Data qoq'!$A:$AT,MATCH($S$1,'Data qoq'!$A$1:$AT$1,),)</f>
        <v/>
      </c>
      <c r="T13" s="26">
        <f>VLOOKUP(B13,'Data qoq'!$A:$AT,MATCH($T$1,'Data qoq'!$A$1:$AT$1,),)</f>
        <v/>
      </c>
      <c r="U13" s="26">
        <f>VLOOKUP(B13,'Data qoq'!$A:$AT,MATCH($U$1,'Data qoq'!$A$1:$AT$1,),)</f>
        <v/>
      </c>
      <c r="V13" s="26">
        <f>VLOOKUP(B13,'Data qoq'!$A:$AT,MATCH($V$1,'Data qoq'!$A$1:$AT$1,),)</f>
        <v/>
      </c>
      <c r="W13" s="26">
        <f>VLOOKUP(B13,'Data qoq'!$A:$AT,MATCH($W$1,'Data qoq'!$A$1:$AT$1,),)</f>
        <v/>
      </c>
      <c r="X13" s="26">
        <f>VLOOKUP(B13,'Data qoq'!$A:$AT,MATCH($X$1,'Data qoq'!$A$1:$AT$1,),)</f>
        <v/>
      </c>
      <c r="Y13" s="26">
        <f>VLOOKUP(B13,'Data qoq'!$A:$AT,MATCH($Y$1,'Data qoq'!$A$1:$AT$1,),)</f>
        <v/>
      </c>
      <c r="Z13" s="26">
        <f>VLOOKUP(B13,'Data qoq'!$A:$AU,MATCH($Z$1,'Data qoq'!$A$1:$AU$1,),)</f>
        <v/>
      </c>
      <c r="AA13" s="26">
        <f>VLOOKUP(B13,'Data qoq'!$A:$AU,MATCH($AA$1,'Data qoq'!$A$1:$AU$1,),)</f>
        <v/>
      </c>
      <c r="AC13" s="27">
        <f>B13</f>
        <v/>
      </c>
      <c r="AD13" s="28">
        <f>(VLOOKUP(AC13,B:Y,MATCH($AE$6,$B$1:$Y$1,),))-(VLOOKUP(AC13,B:Y,MATCH($AE$7,$B$1:$Y$1,),))</f>
        <v/>
      </c>
      <c r="AE13" s="28">
        <f>C13-G13</f>
        <v/>
      </c>
    </row>
    <row r="14" hidden="1" s="89">
      <c r="B14" s="25" t="inlineStr">
        <is>
          <t>2000-Q4</t>
        </is>
      </c>
      <c r="C14" s="26">
        <f>VLOOKUP(B14,'Data qoq'!$A:$AT,MATCH($C$1,'Data qoq'!$A$1:$AT$1,),)</f>
        <v/>
      </c>
      <c r="D14" s="26">
        <f>VLOOKUP(B14,'Data qoq'!$A:$AT,MATCH($D$1,'Data qoq'!$A$1:$AT$1,),)</f>
        <v/>
      </c>
      <c r="E14" s="26">
        <f>VLOOKUP(B14,'Data qoq'!$A:$AT,MATCH($E$1,'Data qoq'!$A$1:$AT$1,),)</f>
        <v/>
      </c>
      <c r="F14" s="26">
        <f>VLOOKUP(B14,'Data qoq'!$A:$AT,MATCH($F$1,'Data qoq'!$A$1:$AT$1,),)</f>
        <v/>
      </c>
      <c r="G14" s="26">
        <f>VLOOKUP(B14,'Data qoq'!$A:$AT,MATCH($G$1,'Data qoq'!$A$1:$AT$1,),)</f>
        <v/>
      </c>
      <c r="H14" s="26">
        <f>VLOOKUP(B14,'Data qoq'!$A:$AT,MATCH($H$1,'Data qoq'!$A$1:$AT$1,),)</f>
        <v/>
      </c>
      <c r="I14" s="26">
        <f>VLOOKUP(B14,'Data qoq'!$A:$AT,MATCH($I$1,'Data qoq'!$A$1:$AT$1,),)</f>
        <v/>
      </c>
      <c r="J14" s="26">
        <f>VLOOKUP(B14,'Data qoq'!$A:$AT,MATCH($J$1,'Data qoq'!$A$1:$AT$1,),)</f>
        <v/>
      </c>
      <c r="K14" s="26">
        <f>VLOOKUP(B14,'Data qoq'!$A:$AT,MATCH($K$1,'Data qoq'!$A$1:$AT$1,),)</f>
        <v/>
      </c>
      <c r="L14" s="26">
        <f>VLOOKUP(B14,'Data qoq'!$A:$AT,MATCH($L$1,'Data qoq'!$A$1:$AT$1,),)</f>
        <v/>
      </c>
      <c r="M14" s="26">
        <f>VLOOKUP(B14,'Data qoq'!$A:$AT,MATCH($M$1,'Data qoq'!$A$1:$AT$1,),)</f>
        <v/>
      </c>
      <c r="N14" s="26">
        <f>VLOOKUP(B14,'Data qoq'!$A:$AT,MATCH($N$1,'Data qoq'!$A$1:$AT$1,),)</f>
        <v/>
      </c>
      <c r="O14" s="26">
        <f>VLOOKUP(B14,'Data qoq'!$A:$AT,MATCH($C$1,'Data qoq'!$J$1:$AT$1,),)</f>
        <v/>
      </c>
      <c r="P14" s="26">
        <f>VLOOKUP(B14,'Data qoq'!$A:$AT,MATCH($P$1,'Data qoq'!$A$1:$AT$1,),)</f>
        <v/>
      </c>
      <c r="Q14" s="26">
        <f>VLOOKUP(B14,'Data qoq'!$A:$AT,MATCH($Q$1,'Data qoq'!$A$1:$AT$1,),)</f>
        <v/>
      </c>
      <c r="R14" s="26">
        <f>VLOOKUP(B14,'Data qoq'!$A:$AT,MATCH($E$1,'Data qoq'!$A$1:$AT$1,),)</f>
        <v/>
      </c>
      <c r="S14" s="26">
        <f>VLOOKUP(B14,'Data qoq'!$A:$AT,MATCH($S$1,'Data qoq'!$A$1:$AT$1,),)</f>
        <v/>
      </c>
      <c r="T14" s="26">
        <f>VLOOKUP(B14,'Data qoq'!$A:$AT,MATCH($T$1,'Data qoq'!$A$1:$AT$1,),)</f>
        <v/>
      </c>
      <c r="U14" s="26">
        <f>VLOOKUP(B14,'Data qoq'!$A:$AT,MATCH($U$1,'Data qoq'!$A$1:$AT$1,),)</f>
        <v/>
      </c>
      <c r="V14" s="26">
        <f>VLOOKUP(B14,'Data qoq'!$A:$AT,MATCH($V$1,'Data qoq'!$A$1:$AT$1,),)</f>
        <v/>
      </c>
      <c r="W14" s="26">
        <f>VLOOKUP(B14,'Data qoq'!$A:$AT,MATCH($W$1,'Data qoq'!$A$1:$AT$1,),)</f>
        <v/>
      </c>
      <c r="X14" s="26">
        <f>VLOOKUP(B14,'Data qoq'!$A:$AT,MATCH($X$1,'Data qoq'!$A$1:$AT$1,),)</f>
        <v/>
      </c>
      <c r="Y14" s="26">
        <f>VLOOKUP(B14,'Data qoq'!$A:$AT,MATCH($Y$1,'Data qoq'!$A$1:$AT$1,),)</f>
        <v/>
      </c>
      <c r="Z14" s="26">
        <f>VLOOKUP(B14,'Data qoq'!$A:$AU,MATCH($Z$1,'Data qoq'!$A$1:$AU$1,),)</f>
        <v/>
      </c>
      <c r="AA14" s="26">
        <f>VLOOKUP(B14,'Data qoq'!$A:$AU,MATCH($AA$1,'Data qoq'!$A$1:$AU$1,),)</f>
        <v/>
      </c>
      <c r="AC14" s="27">
        <f>B14</f>
        <v/>
      </c>
      <c r="AD14" s="28">
        <f>(VLOOKUP(AC14,B:Y,MATCH($AE$6,$B$1:$Y$1,),))-(VLOOKUP(AC14,B:Y,MATCH($AE$7,$B$1:$Y$1,),))</f>
        <v/>
      </c>
      <c r="AE14" s="28">
        <f>C14-G14</f>
        <v/>
      </c>
    </row>
    <row r="15" hidden="1" s="89">
      <c r="B15" s="25" t="inlineStr">
        <is>
          <t>2001-Q1</t>
        </is>
      </c>
      <c r="C15" s="26">
        <f>VLOOKUP(B15,'Data qoq'!$A:$AT,MATCH($C$1,'Data qoq'!$A$1:$AT$1,),)</f>
        <v/>
      </c>
      <c r="D15" s="26">
        <f>VLOOKUP(B15,'Data qoq'!$A:$AT,MATCH($D$1,'Data qoq'!$A$1:$AT$1,),)</f>
        <v/>
      </c>
      <c r="E15" s="26">
        <f>VLOOKUP(B15,'Data qoq'!$A:$AT,MATCH($E$1,'Data qoq'!$A$1:$AT$1,),)</f>
        <v/>
      </c>
      <c r="F15" s="26">
        <f>VLOOKUP(B15,'Data qoq'!$A:$AT,MATCH($F$1,'Data qoq'!$A$1:$AT$1,),)</f>
        <v/>
      </c>
      <c r="G15" s="26">
        <f>VLOOKUP(B15,'Data qoq'!$A:$AT,MATCH($G$1,'Data qoq'!$A$1:$AT$1,),)</f>
        <v/>
      </c>
      <c r="H15" s="26">
        <f>VLOOKUP(B15,'Data qoq'!$A:$AT,MATCH($H$1,'Data qoq'!$A$1:$AT$1,),)</f>
        <v/>
      </c>
      <c r="I15" s="26">
        <f>VLOOKUP(B15,'Data qoq'!$A:$AT,MATCH($I$1,'Data qoq'!$A$1:$AT$1,),)</f>
        <v/>
      </c>
      <c r="J15" s="26">
        <f>VLOOKUP(B15,'Data qoq'!$A:$AT,MATCH($J$1,'Data qoq'!$A$1:$AT$1,),)</f>
        <v/>
      </c>
      <c r="K15" s="26">
        <f>VLOOKUP(B15,'Data qoq'!$A:$AT,MATCH($K$1,'Data qoq'!$A$1:$AT$1,),)</f>
        <v/>
      </c>
      <c r="L15" s="26">
        <f>VLOOKUP(B15,'Data qoq'!$A:$AT,MATCH($L$1,'Data qoq'!$A$1:$AT$1,),)</f>
        <v/>
      </c>
      <c r="M15" s="26">
        <f>VLOOKUP(B15,'Data qoq'!$A:$AT,MATCH($M$1,'Data qoq'!$A$1:$AT$1,),)</f>
        <v/>
      </c>
      <c r="N15" s="26">
        <f>VLOOKUP(B15,'Data qoq'!$A:$AT,MATCH($N$1,'Data qoq'!$A$1:$AT$1,),)</f>
        <v/>
      </c>
      <c r="O15" s="26">
        <f>VLOOKUP(B15,'Data qoq'!$A:$AT,MATCH($C$1,'Data qoq'!$J$1:$AT$1,),)</f>
        <v/>
      </c>
      <c r="P15" s="26">
        <f>VLOOKUP(B15,'Data qoq'!$A:$AT,MATCH($P$1,'Data qoq'!$A$1:$AT$1,),)</f>
        <v/>
      </c>
      <c r="Q15" s="26">
        <f>VLOOKUP(B15,'Data qoq'!$A:$AT,MATCH($Q$1,'Data qoq'!$A$1:$AT$1,),)</f>
        <v/>
      </c>
      <c r="R15" s="26">
        <f>VLOOKUP(B15,'Data qoq'!$A:$AT,MATCH($E$1,'Data qoq'!$A$1:$AT$1,),)</f>
        <v/>
      </c>
      <c r="S15" s="26">
        <f>VLOOKUP(B15,'Data qoq'!$A:$AT,MATCH($S$1,'Data qoq'!$A$1:$AT$1,),)</f>
        <v/>
      </c>
      <c r="T15" s="26">
        <f>VLOOKUP(B15,'Data qoq'!$A:$AT,MATCH($T$1,'Data qoq'!$A$1:$AT$1,),)</f>
        <v/>
      </c>
      <c r="U15" s="26">
        <f>VLOOKUP(B15,'Data qoq'!$A:$AT,MATCH($U$1,'Data qoq'!$A$1:$AT$1,),)</f>
        <v/>
      </c>
      <c r="V15" s="26">
        <f>VLOOKUP(B15,'Data qoq'!$A:$AT,MATCH($V$1,'Data qoq'!$A$1:$AT$1,),)</f>
        <v/>
      </c>
      <c r="W15" s="26">
        <f>VLOOKUP(B15,'Data qoq'!$A:$AT,MATCH($W$1,'Data qoq'!$A$1:$AT$1,),)</f>
        <v/>
      </c>
      <c r="X15" s="26">
        <f>VLOOKUP(B15,'Data qoq'!$A:$AT,MATCH($X$1,'Data qoq'!$A$1:$AT$1,),)</f>
        <v/>
      </c>
      <c r="Y15" s="26">
        <f>VLOOKUP(B15,'Data qoq'!$A:$AT,MATCH($Y$1,'Data qoq'!$A$1:$AT$1,),)</f>
        <v/>
      </c>
      <c r="Z15" s="26">
        <f>VLOOKUP(B15,'Data qoq'!$A:$AU,MATCH($Z$1,'Data qoq'!$A$1:$AU$1,),)</f>
        <v/>
      </c>
      <c r="AA15" s="26">
        <f>VLOOKUP(B15,'Data qoq'!$A:$AU,MATCH($AA$1,'Data qoq'!$A$1:$AU$1,),)</f>
        <v/>
      </c>
      <c r="AC15" s="27">
        <f>B15</f>
        <v/>
      </c>
      <c r="AD15" s="28">
        <f>(VLOOKUP(AC15,B:Y,MATCH($AE$6,$B$1:$Y$1,),))-(VLOOKUP(AC15,B:Y,MATCH($AE$7,$B$1:$Y$1,),))</f>
        <v/>
      </c>
      <c r="AE15" s="28">
        <f>C15-G15</f>
        <v/>
      </c>
    </row>
    <row r="16" hidden="1" s="89">
      <c r="B16" s="25" t="inlineStr">
        <is>
          <t>2001-Q2</t>
        </is>
      </c>
      <c r="C16" s="26">
        <f>VLOOKUP(B16,'Data qoq'!$A:$AT,MATCH($C$1,'Data qoq'!$A$1:$AT$1,),)</f>
        <v/>
      </c>
      <c r="D16" s="26">
        <f>VLOOKUP(B16,'Data qoq'!$A:$AT,MATCH($D$1,'Data qoq'!$A$1:$AT$1,),)</f>
        <v/>
      </c>
      <c r="E16" s="26">
        <f>VLOOKUP(B16,'Data qoq'!$A:$AT,MATCH($E$1,'Data qoq'!$A$1:$AT$1,),)</f>
        <v/>
      </c>
      <c r="F16" s="26">
        <f>VLOOKUP(B16,'Data qoq'!$A:$AT,MATCH($F$1,'Data qoq'!$A$1:$AT$1,),)</f>
        <v/>
      </c>
      <c r="G16" s="26">
        <f>VLOOKUP(B16,'Data qoq'!$A:$AT,MATCH($G$1,'Data qoq'!$A$1:$AT$1,),)</f>
        <v/>
      </c>
      <c r="H16" s="26">
        <f>VLOOKUP(B16,'Data qoq'!$A:$AT,MATCH($H$1,'Data qoq'!$A$1:$AT$1,),)</f>
        <v/>
      </c>
      <c r="I16" s="26">
        <f>VLOOKUP(B16,'Data qoq'!$A:$AT,MATCH($I$1,'Data qoq'!$A$1:$AT$1,),)</f>
        <v/>
      </c>
      <c r="J16" s="26">
        <f>VLOOKUP(B16,'Data qoq'!$A:$AT,MATCH($J$1,'Data qoq'!$A$1:$AT$1,),)</f>
        <v/>
      </c>
      <c r="K16" s="26">
        <f>VLOOKUP(B16,'Data qoq'!$A:$AT,MATCH($K$1,'Data qoq'!$A$1:$AT$1,),)</f>
        <v/>
      </c>
      <c r="L16" s="26">
        <f>VLOOKUP(B16,'Data qoq'!$A:$AT,MATCH($L$1,'Data qoq'!$A$1:$AT$1,),)</f>
        <v/>
      </c>
      <c r="M16" s="26">
        <f>VLOOKUP(B16,'Data qoq'!$A:$AT,MATCH($M$1,'Data qoq'!$A$1:$AT$1,),)</f>
        <v/>
      </c>
      <c r="N16" s="26">
        <f>VLOOKUP(B16,'Data qoq'!$A:$AT,MATCH($N$1,'Data qoq'!$A$1:$AT$1,),)</f>
        <v/>
      </c>
      <c r="O16" s="26">
        <f>VLOOKUP(B16,'Data qoq'!$A:$AT,MATCH($C$1,'Data qoq'!$J$1:$AT$1,),)</f>
        <v/>
      </c>
      <c r="P16" s="26">
        <f>VLOOKUP(B16,'Data qoq'!$A:$AT,MATCH($P$1,'Data qoq'!$A$1:$AT$1,),)</f>
        <v/>
      </c>
      <c r="Q16" s="26">
        <f>VLOOKUP(B16,'Data qoq'!$A:$AT,MATCH($Q$1,'Data qoq'!$A$1:$AT$1,),)</f>
        <v/>
      </c>
      <c r="R16" s="26">
        <f>VLOOKUP(B16,'Data qoq'!$A:$AT,MATCH($E$1,'Data qoq'!$A$1:$AT$1,),)</f>
        <v/>
      </c>
      <c r="S16" s="26">
        <f>VLOOKUP(B16,'Data qoq'!$A:$AT,MATCH($S$1,'Data qoq'!$A$1:$AT$1,),)</f>
        <v/>
      </c>
      <c r="T16" s="26">
        <f>VLOOKUP(B16,'Data qoq'!$A:$AT,MATCH($T$1,'Data qoq'!$A$1:$AT$1,),)</f>
        <v/>
      </c>
      <c r="U16" s="26">
        <f>VLOOKUP(B16,'Data qoq'!$A:$AT,MATCH($U$1,'Data qoq'!$A$1:$AT$1,),)</f>
        <v/>
      </c>
      <c r="V16" s="26">
        <f>VLOOKUP(B16,'Data qoq'!$A:$AT,MATCH($V$1,'Data qoq'!$A$1:$AT$1,),)</f>
        <v/>
      </c>
      <c r="W16" s="26">
        <f>VLOOKUP(B16,'Data qoq'!$A:$AT,MATCH($W$1,'Data qoq'!$A$1:$AT$1,),)</f>
        <v/>
      </c>
      <c r="X16" s="26">
        <f>VLOOKUP(B16,'Data qoq'!$A:$AT,MATCH($X$1,'Data qoq'!$A$1:$AT$1,),)</f>
        <v/>
      </c>
      <c r="Y16" s="26">
        <f>VLOOKUP(B16,'Data qoq'!$A:$AT,MATCH($Y$1,'Data qoq'!$A$1:$AT$1,),)</f>
        <v/>
      </c>
      <c r="Z16" s="26">
        <f>VLOOKUP(B16,'Data qoq'!$A:$AU,MATCH($Z$1,'Data qoq'!$A$1:$AU$1,),)</f>
        <v/>
      </c>
      <c r="AA16" s="26">
        <f>VLOOKUP(B16,'Data qoq'!$A:$AU,MATCH($AA$1,'Data qoq'!$A$1:$AU$1,),)</f>
        <v/>
      </c>
      <c r="AC16" s="27">
        <f>B16</f>
        <v/>
      </c>
      <c r="AD16" s="28">
        <f>(VLOOKUP(AC16,B:Y,MATCH($AE$6,$B$1:$Y$1,),))-(VLOOKUP(AC16,B:Y,MATCH($AE$7,$B$1:$Y$1,),))</f>
        <v/>
      </c>
      <c r="AE16" s="28">
        <f>C16-G16</f>
        <v/>
      </c>
    </row>
    <row r="17" hidden="1" s="89">
      <c r="B17" s="25" t="inlineStr">
        <is>
          <t>2001-Q3</t>
        </is>
      </c>
      <c r="C17" s="26">
        <f>VLOOKUP(B17,'Data qoq'!$A:$AT,MATCH($C$1,'Data qoq'!$A$1:$AT$1,),)</f>
        <v/>
      </c>
      <c r="D17" s="26">
        <f>VLOOKUP(B17,'Data qoq'!$A:$AT,MATCH($D$1,'Data qoq'!$A$1:$AT$1,),)</f>
        <v/>
      </c>
      <c r="E17" s="26">
        <f>VLOOKUP(B17,'Data qoq'!$A:$AT,MATCH($E$1,'Data qoq'!$A$1:$AT$1,),)</f>
        <v/>
      </c>
      <c r="F17" s="26">
        <f>VLOOKUP(B17,'Data qoq'!$A:$AT,MATCH($F$1,'Data qoq'!$A$1:$AT$1,),)</f>
        <v/>
      </c>
      <c r="G17" s="26">
        <f>VLOOKUP(B17,'Data qoq'!$A:$AT,MATCH($G$1,'Data qoq'!$A$1:$AT$1,),)</f>
        <v/>
      </c>
      <c r="H17" s="26">
        <f>VLOOKUP(B17,'Data qoq'!$A:$AT,MATCH($H$1,'Data qoq'!$A$1:$AT$1,),)</f>
        <v/>
      </c>
      <c r="I17" s="26">
        <f>VLOOKUP(B17,'Data qoq'!$A:$AT,MATCH($I$1,'Data qoq'!$A$1:$AT$1,),)</f>
        <v/>
      </c>
      <c r="J17" s="26">
        <f>VLOOKUP(B17,'Data qoq'!$A:$AT,MATCH($J$1,'Data qoq'!$A$1:$AT$1,),)</f>
        <v/>
      </c>
      <c r="K17" s="26">
        <f>VLOOKUP(B17,'Data qoq'!$A:$AT,MATCH($K$1,'Data qoq'!$A$1:$AT$1,),)</f>
        <v/>
      </c>
      <c r="L17" s="26">
        <f>VLOOKUP(B17,'Data qoq'!$A:$AT,MATCH($L$1,'Data qoq'!$A$1:$AT$1,),)</f>
        <v/>
      </c>
      <c r="M17" s="26">
        <f>VLOOKUP(B17,'Data qoq'!$A:$AT,MATCH($M$1,'Data qoq'!$A$1:$AT$1,),)</f>
        <v/>
      </c>
      <c r="N17" s="26">
        <f>VLOOKUP(B17,'Data qoq'!$A:$AT,MATCH($N$1,'Data qoq'!$A$1:$AT$1,),)</f>
        <v/>
      </c>
      <c r="O17" s="26">
        <f>VLOOKUP(B17,'Data qoq'!$A:$AT,MATCH($C$1,'Data qoq'!$J$1:$AT$1,),)</f>
        <v/>
      </c>
      <c r="P17" s="26">
        <f>VLOOKUP(B17,'Data qoq'!$A:$AT,MATCH($P$1,'Data qoq'!$A$1:$AT$1,),)</f>
        <v/>
      </c>
      <c r="Q17" s="26">
        <f>VLOOKUP(B17,'Data qoq'!$A:$AT,MATCH($Q$1,'Data qoq'!$A$1:$AT$1,),)</f>
        <v/>
      </c>
      <c r="R17" s="26">
        <f>VLOOKUP(B17,'Data qoq'!$A:$AT,MATCH($E$1,'Data qoq'!$A$1:$AT$1,),)</f>
        <v/>
      </c>
      <c r="S17" s="26">
        <f>VLOOKUP(B17,'Data qoq'!$A:$AT,MATCH($S$1,'Data qoq'!$A$1:$AT$1,),)</f>
        <v/>
      </c>
      <c r="T17" s="26">
        <f>VLOOKUP(B17,'Data qoq'!$A:$AT,MATCH($T$1,'Data qoq'!$A$1:$AT$1,),)</f>
        <v/>
      </c>
      <c r="U17" s="26">
        <f>VLOOKUP(B17,'Data qoq'!$A:$AT,MATCH($U$1,'Data qoq'!$A$1:$AT$1,),)</f>
        <v/>
      </c>
      <c r="V17" s="26">
        <f>VLOOKUP(B17,'Data qoq'!$A:$AT,MATCH($V$1,'Data qoq'!$A$1:$AT$1,),)</f>
        <v/>
      </c>
      <c r="W17" s="26">
        <f>VLOOKUP(B17,'Data qoq'!$A:$AT,MATCH($W$1,'Data qoq'!$A$1:$AT$1,),)</f>
        <v/>
      </c>
      <c r="X17" s="26">
        <f>VLOOKUP(B17,'Data qoq'!$A:$AT,MATCH($X$1,'Data qoq'!$A$1:$AT$1,),)</f>
        <v/>
      </c>
      <c r="Y17" s="26">
        <f>VLOOKUP(B17,'Data qoq'!$A:$AT,MATCH($Y$1,'Data qoq'!$A$1:$AT$1,),)</f>
        <v/>
      </c>
      <c r="Z17" s="26">
        <f>VLOOKUP(B17,'Data qoq'!$A:$AU,MATCH($Z$1,'Data qoq'!$A$1:$AU$1,),)</f>
        <v/>
      </c>
      <c r="AA17" s="26">
        <f>VLOOKUP(B17,'Data qoq'!$A:$AU,MATCH($AA$1,'Data qoq'!$A$1:$AU$1,),)</f>
        <v/>
      </c>
      <c r="AC17" s="27">
        <f>B17</f>
        <v/>
      </c>
      <c r="AD17" s="28">
        <f>(VLOOKUP(AC17,B:Y,MATCH($AE$6,$B$1:$Y$1,),))-(VLOOKUP(AC17,B:Y,MATCH($AE$7,$B$1:$Y$1,),))</f>
        <v/>
      </c>
      <c r="AE17" s="28">
        <f>C17-G17</f>
        <v/>
      </c>
    </row>
    <row r="18" hidden="1" s="89">
      <c r="B18" s="25" t="inlineStr">
        <is>
          <t>2001-Q4</t>
        </is>
      </c>
      <c r="C18" s="26">
        <f>VLOOKUP(B18,'Data qoq'!$A:$AT,MATCH($C$1,'Data qoq'!$A$1:$AT$1,),)</f>
        <v/>
      </c>
      <c r="D18" s="26">
        <f>VLOOKUP(B18,'Data qoq'!$A:$AT,MATCH($D$1,'Data qoq'!$A$1:$AT$1,),)</f>
        <v/>
      </c>
      <c r="E18" s="26">
        <f>VLOOKUP(B18,'Data qoq'!$A:$AT,MATCH($E$1,'Data qoq'!$A$1:$AT$1,),)</f>
        <v/>
      </c>
      <c r="F18" s="26">
        <f>VLOOKUP(B18,'Data qoq'!$A:$AT,MATCH($F$1,'Data qoq'!$A$1:$AT$1,),)</f>
        <v/>
      </c>
      <c r="G18" s="26">
        <f>VLOOKUP(B18,'Data qoq'!$A:$AT,MATCH($G$1,'Data qoq'!$A$1:$AT$1,),)</f>
        <v/>
      </c>
      <c r="H18" s="26">
        <f>VLOOKUP(B18,'Data qoq'!$A:$AT,MATCH($H$1,'Data qoq'!$A$1:$AT$1,),)</f>
        <v/>
      </c>
      <c r="I18" s="26">
        <f>VLOOKUP(B18,'Data qoq'!$A:$AT,MATCH($I$1,'Data qoq'!$A$1:$AT$1,),)</f>
        <v/>
      </c>
      <c r="J18" s="26">
        <f>VLOOKUP(B18,'Data qoq'!$A:$AT,MATCH($J$1,'Data qoq'!$A$1:$AT$1,),)</f>
        <v/>
      </c>
      <c r="K18" s="26">
        <f>VLOOKUP(B18,'Data qoq'!$A:$AT,MATCH($K$1,'Data qoq'!$A$1:$AT$1,),)</f>
        <v/>
      </c>
      <c r="L18" s="26">
        <f>VLOOKUP(B18,'Data qoq'!$A:$AT,MATCH($L$1,'Data qoq'!$A$1:$AT$1,),)</f>
        <v/>
      </c>
      <c r="M18" s="26">
        <f>VLOOKUP(B18,'Data qoq'!$A:$AT,MATCH($M$1,'Data qoq'!$A$1:$AT$1,),)</f>
        <v/>
      </c>
      <c r="N18" s="26">
        <f>VLOOKUP(B18,'Data qoq'!$A:$AT,MATCH($N$1,'Data qoq'!$A$1:$AT$1,),)</f>
        <v/>
      </c>
      <c r="O18" s="26">
        <f>VLOOKUP(B18,'Data qoq'!$A:$AT,MATCH($C$1,'Data qoq'!$J$1:$AT$1,),)</f>
        <v/>
      </c>
      <c r="P18" s="26">
        <f>VLOOKUP(B18,'Data qoq'!$A:$AT,MATCH($P$1,'Data qoq'!$A$1:$AT$1,),)</f>
        <v/>
      </c>
      <c r="Q18" s="26">
        <f>VLOOKUP(B18,'Data qoq'!$A:$AT,MATCH($Q$1,'Data qoq'!$A$1:$AT$1,),)</f>
        <v/>
      </c>
      <c r="R18" s="26">
        <f>VLOOKUP(B18,'Data qoq'!$A:$AT,MATCH($E$1,'Data qoq'!$A$1:$AT$1,),)</f>
        <v/>
      </c>
      <c r="S18" s="26">
        <f>VLOOKUP(B18,'Data qoq'!$A:$AT,MATCH($S$1,'Data qoq'!$A$1:$AT$1,),)</f>
        <v/>
      </c>
      <c r="T18" s="26">
        <f>VLOOKUP(B18,'Data qoq'!$A:$AT,MATCH($T$1,'Data qoq'!$A$1:$AT$1,),)</f>
        <v/>
      </c>
      <c r="U18" s="26">
        <f>VLOOKUP(B18,'Data qoq'!$A:$AT,MATCH($U$1,'Data qoq'!$A$1:$AT$1,),)</f>
        <v/>
      </c>
      <c r="V18" s="26">
        <f>VLOOKUP(B18,'Data qoq'!$A:$AT,MATCH($V$1,'Data qoq'!$A$1:$AT$1,),)</f>
        <v/>
      </c>
      <c r="W18" s="26">
        <f>VLOOKUP(B18,'Data qoq'!$A:$AT,MATCH($W$1,'Data qoq'!$A$1:$AT$1,),)</f>
        <v/>
      </c>
      <c r="X18" s="26">
        <f>VLOOKUP(B18,'Data qoq'!$A:$AT,MATCH($X$1,'Data qoq'!$A$1:$AT$1,),)</f>
        <v/>
      </c>
      <c r="Y18" s="26">
        <f>VLOOKUP(B18,'Data qoq'!$A:$AT,MATCH($Y$1,'Data qoq'!$A$1:$AT$1,),)</f>
        <v/>
      </c>
      <c r="Z18" s="26">
        <f>VLOOKUP(B18,'Data qoq'!$A:$AU,MATCH($Z$1,'Data qoq'!$A$1:$AU$1,),)</f>
        <v/>
      </c>
      <c r="AA18" s="26">
        <f>VLOOKUP(B18,'Data qoq'!$A:$AU,MATCH($AA$1,'Data qoq'!$A$1:$AU$1,),)</f>
        <v/>
      </c>
      <c r="AC18" s="27">
        <f>B18</f>
        <v/>
      </c>
      <c r="AD18" s="28">
        <f>(VLOOKUP(AC18,B:Y,MATCH($AE$6,$B$1:$Y$1,),))-(VLOOKUP(AC18,B:Y,MATCH($AE$7,$B$1:$Y$1,),))</f>
        <v/>
      </c>
      <c r="AE18" s="28">
        <f>C18-G18</f>
        <v/>
      </c>
    </row>
    <row r="19" hidden="1" s="89">
      <c r="B19" s="25" t="inlineStr">
        <is>
          <t>2002-Q1</t>
        </is>
      </c>
      <c r="C19" s="26">
        <f>VLOOKUP(B19,'Data qoq'!$A:$AT,MATCH($C$1,'Data qoq'!$A$1:$AT$1,),)</f>
        <v/>
      </c>
      <c r="D19" s="26">
        <f>VLOOKUP(B19,'Data qoq'!$A:$AT,MATCH($D$1,'Data qoq'!$A$1:$AT$1,),)</f>
        <v/>
      </c>
      <c r="E19" s="26">
        <f>VLOOKUP(B19,'Data qoq'!$A:$AT,MATCH($E$1,'Data qoq'!$A$1:$AT$1,),)</f>
        <v/>
      </c>
      <c r="F19" s="26">
        <f>VLOOKUP(B19,'Data qoq'!$A:$AT,MATCH($F$1,'Data qoq'!$A$1:$AT$1,),)</f>
        <v/>
      </c>
      <c r="G19" s="26">
        <f>VLOOKUP(B19,'Data qoq'!$A:$AT,MATCH($G$1,'Data qoq'!$A$1:$AT$1,),)</f>
        <v/>
      </c>
      <c r="H19" s="26">
        <f>VLOOKUP(B19,'Data qoq'!$A:$AT,MATCH($H$1,'Data qoq'!$A$1:$AT$1,),)</f>
        <v/>
      </c>
      <c r="I19" s="26">
        <f>VLOOKUP(B19,'Data qoq'!$A:$AT,MATCH($I$1,'Data qoq'!$A$1:$AT$1,),)</f>
        <v/>
      </c>
      <c r="J19" s="26">
        <f>VLOOKUP(B19,'Data qoq'!$A:$AT,MATCH($J$1,'Data qoq'!$A$1:$AT$1,),)</f>
        <v/>
      </c>
      <c r="K19" s="26">
        <f>VLOOKUP(B19,'Data qoq'!$A:$AT,MATCH($K$1,'Data qoq'!$A$1:$AT$1,),)</f>
        <v/>
      </c>
      <c r="L19" s="26">
        <f>VLOOKUP(B19,'Data qoq'!$A:$AT,MATCH($L$1,'Data qoq'!$A$1:$AT$1,),)</f>
        <v/>
      </c>
      <c r="M19" s="26">
        <f>VLOOKUP(B19,'Data qoq'!$A:$AT,MATCH($M$1,'Data qoq'!$A$1:$AT$1,),)</f>
        <v/>
      </c>
      <c r="N19" s="26">
        <f>VLOOKUP(B19,'Data qoq'!$A:$AT,MATCH($N$1,'Data qoq'!$A$1:$AT$1,),)</f>
        <v/>
      </c>
      <c r="O19" s="26">
        <f>VLOOKUP(B19,'Data qoq'!$A:$AT,MATCH($C$1,'Data qoq'!$J$1:$AT$1,),)</f>
        <v/>
      </c>
      <c r="P19" s="26">
        <f>VLOOKUP(B19,'Data qoq'!$A:$AT,MATCH($P$1,'Data qoq'!$A$1:$AT$1,),)</f>
        <v/>
      </c>
      <c r="Q19" s="26">
        <f>VLOOKUP(B19,'Data qoq'!$A:$AT,MATCH($Q$1,'Data qoq'!$A$1:$AT$1,),)</f>
        <v/>
      </c>
      <c r="R19" s="26">
        <f>VLOOKUP(B19,'Data qoq'!$A:$AT,MATCH($E$1,'Data qoq'!$A$1:$AT$1,),)</f>
        <v/>
      </c>
      <c r="S19" s="26">
        <f>VLOOKUP(B19,'Data qoq'!$A:$AT,MATCH($S$1,'Data qoq'!$A$1:$AT$1,),)</f>
        <v/>
      </c>
      <c r="T19" s="26">
        <f>VLOOKUP(B19,'Data qoq'!$A:$AT,MATCH($T$1,'Data qoq'!$A$1:$AT$1,),)</f>
        <v/>
      </c>
      <c r="U19" s="26">
        <f>VLOOKUP(B19,'Data qoq'!$A:$AT,MATCH($U$1,'Data qoq'!$A$1:$AT$1,),)</f>
        <v/>
      </c>
      <c r="V19" s="26">
        <f>VLOOKUP(B19,'Data qoq'!$A:$AT,MATCH($V$1,'Data qoq'!$A$1:$AT$1,),)</f>
        <v/>
      </c>
      <c r="W19" s="26">
        <f>VLOOKUP(B19,'Data qoq'!$A:$AT,MATCH($W$1,'Data qoq'!$A$1:$AT$1,),)</f>
        <v/>
      </c>
      <c r="X19" s="26">
        <f>VLOOKUP(B19,'Data qoq'!$A:$AT,MATCH($X$1,'Data qoq'!$A$1:$AT$1,),)</f>
        <v/>
      </c>
      <c r="Y19" s="26">
        <f>VLOOKUP(B19,'Data qoq'!$A:$AT,MATCH($Y$1,'Data qoq'!$A$1:$AT$1,),)</f>
        <v/>
      </c>
      <c r="Z19" s="26">
        <f>VLOOKUP(B19,'Data qoq'!$A:$AU,MATCH($Z$1,'Data qoq'!$A$1:$AU$1,),)</f>
        <v/>
      </c>
      <c r="AA19" s="26">
        <f>VLOOKUP(B19,'Data qoq'!$A:$AU,MATCH($AA$1,'Data qoq'!$A$1:$AU$1,),)</f>
        <v/>
      </c>
      <c r="AC19" s="27">
        <f>B19</f>
        <v/>
      </c>
      <c r="AD19" s="28">
        <f>(VLOOKUP(AC19,B:Y,MATCH($AE$6,$B$1:$Y$1,),))-(VLOOKUP(AC19,B:Y,MATCH($AE$7,$B$1:$Y$1,),))</f>
        <v/>
      </c>
      <c r="AE19" s="28">
        <f>C19-G19</f>
        <v/>
      </c>
    </row>
    <row r="20" hidden="1" s="89">
      <c r="B20" s="25" t="inlineStr">
        <is>
          <t>2002-Q2</t>
        </is>
      </c>
      <c r="C20" s="26">
        <f>VLOOKUP(B20,'Data qoq'!$A:$AT,MATCH($C$1,'Data qoq'!$A$1:$AT$1,),)</f>
        <v/>
      </c>
      <c r="D20" s="26">
        <f>VLOOKUP(B20,'Data qoq'!$A:$AT,MATCH($D$1,'Data qoq'!$A$1:$AT$1,),)</f>
        <v/>
      </c>
      <c r="E20" s="26">
        <f>VLOOKUP(B20,'Data qoq'!$A:$AT,MATCH($E$1,'Data qoq'!$A$1:$AT$1,),)</f>
        <v/>
      </c>
      <c r="F20" s="26">
        <f>VLOOKUP(B20,'Data qoq'!$A:$AT,MATCH($F$1,'Data qoq'!$A$1:$AT$1,),)</f>
        <v/>
      </c>
      <c r="G20" s="26">
        <f>VLOOKUP(B20,'Data qoq'!$A:$AT,MATCH($G$1,'Data qoq'!$A$1:$AT$1,),)</f>
        <v/>
      </c>
      <c r="H20" s="26">
        <f>VLOOKUP(B20,'Data qoq'!$A:$AT,MATCH($H$1,'Data qoq'!$A$1:$AT$1,),)</f>
        <v/>
      </c>
      <c r="I20" s="26">
        <f>VLOOKUP(B20,'Data qoq'!$A:$AT,MATCH($I$1,'Data qoq'!$A$1:$AT$1,),)</f>
        <v/>
      </c>
      <c r="J20" s="26">
        <f>VLOOKUP(B20,'Data qoq'!$A:$AT,MATCH($J$1,'Data qoq'!$A$1:$AT$1,),)</f>
        <v/>
      </c>
      <c r="K20" s="26">
        <f>VLOOKUP(B20,'Data qoq'!$A:$AT,MATCH($K$1,'Data qoq'!$A$1:$AT$1,),)</f>
        <v/>
      </c>
      <c r="L20" s="26">
        <f>VLOOKUP(B20,'Data qoq'!$A:$AT,MATCH($L$1,'Data qoq'!$A$1:$AT$1,),)</f>
        <v/>
      </c>
      <c r="M20" s="26">
        <f>VLOOKUP(B20,'Data qoq'!$A:$AT,MATCH($M$1,'Data qoq'!$A$1:$AT$1,),)</f>
        <v/>
      </c>
      <c r="N20" s="26">
        <f>VLOOKUP(B20,'Data qoq'!$A:$AT,MATCH($N$1,'Data qoq'!$A$1:$AT$1,),)</f>
        <v/>
      </c>
      <c r="O20" s="26">
        <f>VLOOKUP(B20,'Data qoq'!$A:$AT,MATCH($C$1,'Data qoq'!$J$1:$AT$1,),)</f>
        <v/>
      </c>
      <c r="P20" s="26">
        <f>VLOOKUP(B20,'Data qoq'!$A:$AT,MATCH($P$1,'Data qoq'!$A$1:$AT$1,),)</f>
        <v/>
      </c>
      <c r="Q20" s="26">
        <f>VLOOKUP(B20,'Data qoq'!$A:$AT,MATCH($Q$1,'Data qoq'!$A$1:$AT$1,),)</f>
        <v/>
      </c>
      <c r="R20" s="26">
        <f>VLOOKUP(B20,'Data qoq'!$A:$AT,MATCH($E$1,'Data qoq'!$A$1:$AT$1,),)</f>
        <v/>
      </c>
      <c r="S20" s="26">
        <f>VLOOKUP(B20,'Data qoq'!$A:$AT,MATCH($S$1,'Data qoq'!$A$1:$AT$1,),)</f>
        <v/>
      </c>
      <c r="T20" s="26">
        <f>VLOOKUP(B20,'Data qoq'!$A:$AT,MATCH($T$1,'Data qoq'!$A$1:$AT$1,),)</f>
        <v/>
      </c>
      <c r="U20" s="26">
        <f>VLOOKUP(B20,'Data qoq'!$A:$AT,MATCH($U$1,'Data qoq'!$A$1:$AT$1,),)</f>
        <v/>
      </c>
      <c r="V20" s="26">
        <f>VLOOKUP(B20,'Data qoq'!$A:$AT,MATCH($V$1,'Data qoq'!$A$1:$AT$1,),)</f>
        <v/>
      </c>
      <c r="W20" s="26">
        <f>VLOOKUP(B20,'Data qoq'!$A:$AT,MATCH($W$1,'Data qoq'!$A$1:$AT$1,),)</f>
        <v/>
      </c>
      <c r="X20" s="26">
        <f>VLOOKUP(B20,'Data qoq'!$A:$AT,MATCH($X$1,'Data qoq'!$A$1:$AT$1,),)</f>
        <v/>
      </c>
      <c r="Y20" s="26">
        <f>VLOOKUP(B20,'Data qoq'!$A:$AT,MATCH($Y$1,'Data qoq'!$A$1:$AT$1,),)</f>
        <v/>
      </c>
      <c r="Z20" s="26">
        <f>VLOOKUP(B20,'Data qoq'!$A:$AU,MATCH($Z$1,'Data qoq'!$A$1:$AU$1,),)</f>
        <v/>
      </c>
      <c r="AA20" s="26">
        <f>VLOOKUP(B20,'Data qoq'!$A:$AU,MATCH($AA$1,'Data qoq'!$A$1:$AU$1,),)</f>
        <v/>
      </c>
      <c r="AC20" s="27">
        <f>B20</f>
        <v/>
      </c>
      <c r="AD20" s="28">
        <f>(VLOOKUP(AC20,B:Y,MATCH($AE$6,$B$1:$Y$1,),))-(VLOOKUP(AC20,B:Y,MATCH($AE$7,$B$1:$Y$1,),))</f>
        <v/>
      </c>
      <c r="AE20" s="28">
        <f>C20-G20</f>
        <v/>
      </c>
    </row>
    <row r="21" hidden="1" s="89">
      <c r="B21" s="25" t="inlineStr">
        <is>
          <t>2002-Q3</t>
        </is>
      </c>
      <c r="C21" s="26">
        <f>VLOOKUP(B21,'Data qoq'!$A:$AT,MATCH($C$1,'Data qoq'!$A$1:$AT$1,),)</f>
        <v/>
      </c>
      <c r="D21" s="26">
        <f>VLOOKUP(B21,'Data qoq'!$A:$AT,MATCH($D$1,'Data qoq'!$A$1:$AT$1,),)</f>
        <v/>
      </c>
      <c r="E21" s="26">
        <f>VLOOKUP(B21,'Data qoq'!$A:$AT,MATCH($E$1,'Data qoq'!$A$1:$AT$1,),)</f>
        <v/>
      </c>
      <c r="F21" s="26">
        <f>VLOOKUP(B21,'Data qoq'!$A:$AT,MATCH($F$1,'Data qoq'!$A$1:$AT$1,),)</f>
        <v/>
      </c>
      <c r="G21" s="26">
        <f>VLOOKUP(B21,'Data qoq'!$A:$AT,MATCH($G$1,'Data qoq'!$A$1:$AT$1,),)</f>
        <v/>
      </c>
      <c r="H21" s="26">
        <f>VLOOKUP(B21,'Data qoq'!$A:$AT,MATCH($H$1,'Data qoq'!$A$1:$AT$1,),)</f>
        <v/>
      </c>
      <c r="I21" s="26">
        <f>VLOOKUP(B21,'Data qoq'!$A:$AT,MATCH($I$1,'Data qoq'!$A$1:$AT$1,),)</f>
        <v/>
      </c>
      <c r="J21" s="26">
        <f>VLOOKUP(B21,'Data qoq'!$A:$AT,MATCH($J$1,'Data qoq'!$A$1:$AT$1,),)</f>
        <v/>
      </c>
      <c r="K21" s="26">
        <f>VLOOKUP(B21,'Data qoq'!$A:$AT,MATCH($K$1,'Data qoq'!$A$1:$AT$1,),)</f>
        <v/>
      </c>
      <c r="L21" s="26">
        <f>VLOOKUP(B21,'Data qoq'!$A:$AT,MATCH($L$1,'Data qoq'!$A$1:$AT$1,),)</f>
        <v/>
      </c>
      <c r="M21" s="26">
        <f>VLOOKUP(B21,'Data qoq'!$A:$AT,MATCH($M$1,'Data qoq'!$A$1:$AT$1,),)</f>
        <v/>
      </c>
      <c r="N21" s="26">
        <f>VLOOKUP(B21,'Data qoq'!$A:$AT,MATCH($N$1,'Data qoq'!$A$1:$AT$1,),)</f>
        <v/>
      </c>
      <c r="O21" s="26">
        <f>VLOOKUP(B21,'Data qoq'!$A:$AT,MATCH($C$1,'Data qoq'!$J$1:$AT$1,),)</f>
        <v/>
      </c>
      <c r="P21" s="26">
        <f>VLOOKUP(B21,'Data qoq'!$A:$AT,MATCH($P$1,'Data qoq'!$A$1:$AT$1,),)</f>
        <v/>
      </c>
      <c r="Q21" s="26">
        <f>VLOOKUP(B21,'Data qoq'!$A:$AT,MATCH($Q$1,'Data qoq'!$A$1:$AT$1,),)</f>
        <v/>
      </c>
      <c r="R21" s="26">
        <f>VLOOKUP(B21,'Data qoq'!$A:$AT,MATCH($E$1,'Data qoq'!$A$1:$AT$1,),)</f>
        <v/>
      </c>
      <c r="S21" s="26">
        <f>VLOOKUP(B21,'Data qoq'!$A:$AT,MATCH($S$1,'Data qoq'!$A$1:$AT$1,),)</f>
        <v/>
      </c>
      <c r="T21" s="26">
        <f>VLOOKUP(B21,'Data qoq'!$A:$AT,MATCH($T$1,'Data qoq'!$A$1:$AT$1,),)</f>
        <v/>
      </c>
      <c r="U21" s="26">
        <f>VLOOKUP(B21,'Data qoq'!$A:$AT,MATCH($U$1,'Data qoq'!$A$1:$AT$1,),)</f>
        <v/>
      </c>
      <c r="V21" s="26">
        <f>VLOOKUP(B21,'Data qoq'!$A:$AT,MATCH($V$1,'Data qoq'!$A$1:$AT$1,),)</f>
        <v/>
      </c>
      <c r="W21" s="26">
        <f>VLOOKUP(B21,'Data qoq'!$A:$AT,MATCH($W$1,'Data qoq'!$A$1:$AT$1,),)</f>
        <v/>
      </c>
      <c r="X21" s="26">
        <f>VLOOKUP(B21,'Data qoq'!$A:$AT,MATCH($X$1,'Data qoq'!$A$1:$AT$1,),)</f>
        <v/>
      </c>
      <c r="Y21" s="26">
        <f>VLOOKUP(B21,'Data qoq'!$A:$AT,MATCH($Y$1,'Data qoq'!$A$1:$AT$1,),)</f>
        <v/>
      </c>
      <c r="Z21" s="26">
        <f>VLOOKUP(B21,'Data qoq'!$A:$AU,MATCH($Z$1,'Data qoq'!$A$1:$AU$1,),)</f>
        <v/>
      </c>
      <c r="AA21" s="26">
        <f>VLOOKUP(B21,'Data qoq'!$A:$AU,MATCH($AA$1,'Data qoq'!$A$1:$AU$1,),)</f>
        <v/>
      </c>
      <c r="AC21" s="27">
        <f>B21</f>
        <v/>
      </c>
      <c r="AD21" s="28">
        <f>(VLOOKUP(AC21,B:Y,MATCH($AE$6,$B$1:$Y$1,),))-(VLOOKUP(AC21,B:Y,MATCH($AE$7,$B$1:$Y$1,),))</f>
        <v/>
      </c>
      <c r="AE21" s="28">
        <f>C21-G21</f>
        <v/>
      </c>
    </row>
    <row r="22" hidden="1" s="89">
      <c r="B22" s="25" t="inlineStr">
        <is>
          <t>2002-Q4</t>
        </is>
      </c>
      <c r="C22" s="26">
        <f>VLOOKUP(B22,'Data qoq'!$A:$AT,MATCH($C$1,'Data qoq'!$A$1:$AT$1,),)</f>
        <v/>
      </c>
      <c r="D22" s="26">
        <f>VLOOKUP(B22,'Data qoq'!$A:$AT,MATCH($D$1,'Data qoq'!$A$1:$AT$1,),)</f>
        <v/>
      </c>
      <c r="E22" s="26">
        <f>VLOOKUP(B22,'Data qoq'!$A:$AT,MATCH($E$1,'Data qoq'!$A$1:$AT$1,),)</f>
        <v/>
      </c>
      <c r="F22" s="26">
        <f>VLOOKUP(B22,'Data qoq'!$A:$AT,MATCH($F$1,'Data qoq'!$A$1:$AT$1,),)</f>
        <v/>
      </c>
      <c r="G22" s="26">
        <f>VLOOKUP(B22,'Data qoq'!$A:$AT,MATCH($G$1,'Data qoq'!$A$1:$AT$1,),)</f>
        <v/>
      </c>
      <c r="H22" s="26">
        <f>VLOOKUP(B22,'Data qoq'!$A:$AT,MATCH($H$1,'Data qoq'!$A$1:$AT$1,),)</f>
        <v/>
      </c>
      <c r="I22" s="26">
        <f>VLOOKUP(B22,'Data qoq'!$A:$AT,MATCH($I$1,'Data qoq'!$A$1:$AT$1,),)</f>
        <v/>
      </c>
      <c r="J22" s="26">
        <f>VLOOKUP(B22,'Data qoq'!$A:$AT,MATCH($J$1,'Data qoq'!$A$1:$AT$1,),)</f>
        <v/>
      </c>
      <c r="K22" s="26">
        <f>VLOOKUP(B22,'Data qoq'!$A:$AT,MATCH($K$1,'Data qoq'!$A$1:$AT$1,),)</f>
        <v/>
      </c>
      <c r="L22" s="26">
        <f>VLOOKUP(B22,'Data qoq'!$A:$AT,MATCH($L$1,'Data qoq'!$A$1:$AT$1,),)</f>
        <v/>
      </c>
      <c r="M22" s="26">
        <f>VLOOKUP(B22,'Data qoq'!$A:$AT,MATCH($M$1,'Data qoq'!$A$1:$AT$1,),)</f>
        <v/>
      </c>
      <c r="N22" s="26">
        <f>VLOOKUP(B22,'Data qoq'!$A:$AT,MATCH($N$1,'Data qoq'!$A$1:$AT$1,),)</f>
        <v/>
      </c>
      <c r="O22" s="26">
        <f>VLOOKUP(B22,'Data qoq'!$A:$AT,MATCH($C$1,'Data qoq'!$J$1:$AT$1,),)</f>
        <v/>
      </c>
      <c r="P22" s="26">
        <f>VLOOKUP(B22,'Data qoq'!$A:$AT,MATCH($P$1,'Data qoq'!$A$1:$AT$1,),)</f>
        <v/>
      </c>
      <c r="Q22" s="26">
        <f>VLOOKUP(B22,'Data qoq'!$A:$AT,MATCH($Q$1,'Data qoq'!$A$1:$AT$1,),)</f>
        <v/>
      </c>
      <c r="R22" s="26">
        <f>VLOOKUP(B22,'Data qoq'!$A:$AT,MATCH($E$1,'Data qoq'!$A$1:$AT$1,),)</f>
        <v/>
      </c>
      <c r="S22" s="26">
        <f>VLOOKUP(B22,'Data qoq'!$A:$AT,MATCH($S$1,'Data qoq'!$A$1:$AT$1,),)</f>
        <v/>
      </c>
      <c r="T22" s="26">
        <f>VLOOKUP(B22,'Data qoq'!$A:$AT,MATCH($T$1,'Data qoq'!$A$1:$AT$1,),)</f>
        <v/>
      </c>
      <c r="U22" s="26">
        <f>VLOOKUP(B22,'Data qoq'!$A:$AT,MATCH($U$1,'Data qoq'!$A$1:$AT$1,),)</f>
        <v/>
      </c>
      <c r="V22" s="26">
        <f>VLOOKUP(B22,'Data qoq'!$A:$AT,MATCH($V$1,'Data qoq'!$A$1:$AT$1,),)</f>
        <v/>
      </c>
      <c r="W22" s="26">
        <f>VLOOKUP(B22,'Data qoq'!$A:$AT,MATCH($W$1,'Data qoq'!$A$1:$AT$1,),)</f>
        <v/>
      </c>
      <c r="X22" s="26">
        <f>VLOOKUP(B22,'Data qoq'!$A:$AT,MATCH($X$1,'Data qoq'!$A$1:$AT$1,),)</f>
        <v/>
      </c>
      <c r="Y22" s="26">
        <f>VLOOKUP(B22,'Data qoq'!$A:$AT,MATCH($Y$1,'Data qoq'!$A$1:$AT$1,),)</f>
        <v/>
      </c>
      <c r="Z22" s="26">
        <f>VLOOKUP(B22,'Data qoq'!$A:$AU,MATCH($Z$1,'Data qoq'!$A$1:$AU$1,),)</f>
        <v/>
      </c>
      <c r="AA22" s="26">
        <f>VLOOKUP(B22,'Data qoq'!$A:$AU,MATCH($AA$1,'Data qoq'!$A$1:$AU$1,),)</f>
        <v/>
      </c>
      <c r="AC22" s="27">
        <f>B22</f>
        <v/>
      </c>
      <c r="AD22" s="28">
        <f>(VLOOKUP(AC22,B:Y,MATCH($AE$6,$B$1:$Y$1,),))-(VLOOKUP(AC22,B:Y,MATCH($AE$7,$B$1:$Y$1,),))</f>
        <v/>
      </c>
      <c r="AE22" s="28">
        <f>C22-G22</f>
        <v/>
      </c>
    </row>
    <row r="23" hidden="1" s="89">
      <c r="B23" s="25" t="inlineStr">
        <is>
          <t>2003-Q1</t>
        </is>
      </c>
      <c r="C23" s="26">
        <f>VLOOKUP(B23,'Data qoq'!$A:$AT,MATCH($C$1,'Data qoq'!$A$1:$AT$1,),)</f>
        <v/>
      </c>
      <c r="D23" s="26">
        <f>VLOOKUP(B23,'Data qoq'!$A:$AT,MATCH($D$1,'Data qoq'!$A$1:$AT$1,),)</f>
        <v/>
      </c>
      <c r="E23" s="26">
        <f>VLOOKUP(B23,'Data qoq'!$A:$AT,MATCH($E$1,'Data qoq'!$A$1:$AT$1,),)</f>
        <v/>
      </c>
      <c r="F23" s="26">
        <f>VLOOKUP(B23,'Data qoq'!$A:$AT,MATCH($F$1,'Data qoq'!$A$1:$AT$1,),)</f>
        <v/>
      </c>
      <c r="G23" s="26">
        <f>VLOOKUP(B23,'Data qoq'!$A:$AT,MATCH($G$1,'Data qoq'!$A$1:$AT$1,),)</f>
        <v/>
      </c>
      <c r="H23" s="26">
        <f>VLOOKUP(B23,'Data qoq'!$A:$AT,MATCH($H$1,'Data qoq'!$A$1:$AT$1,),)</f>
        <v/>
      </c>
      <c r="I23" s="26">
        <f>VLOOKUP(B23,'Data qoq'!$A:$AT,MATCH($I$1,'Data qoq'!$A$1:$AT$1,),)</f>
        <v/>
      </c>
      <c r="J23" s="26">
        <f>VLOOKUP(B23,'Data qoq'!$A:$AT,MATCH($J$1,'Data qoq'!$A$1:$AT$1,),)</f>
        <v/>
      </c>
      <c r="K23" s="26">
        <f>VLOOKUP(B23,'Data qoq'!$A:$AT,MATCH($K$1,'Data qoq'!$A$1:$AT$1,),)</f>
        <v/>
      </c>
      <c r="L23" s="26">
        <f>VLOOKUP(B23,'Data qoq'!$A:$AT,MATCH($L$1,'Data qoq'!$A$1:$AT$1,),)</f>
        <v/>
      </c>
      <c r="M23" s="26">
        <f>VLOOKUP(B23,'Data qoq'!$A:$AT,MATCH($M$1,'Data qoq'!$A$1:$AT$1,),)</f>
        <v/>
      </c>
      <c r="N23" s="26">
        <f>VLOOKUP(B23,'Data qoq'!$A:$AT,MATCH($N$1,'Data qoq'!$A$1:$AT$1,),)</f>
        <v/>
      </c>
      <c r="O23" s="26">
        <f>VLOOKUP(B23,'Data qoq'!$A:$AT,MATCH($C$1,'Data qoq'!$J$1:$AT$1,),)</f>
        <v/>
      </c>
      <c r="P23" s="26">
        <f>VLOOKUP(B23,'Data qoq'!$A:$AT,MATCH($P$1,'Data qoq'!$A$1:$AT$1,),)</f>
        <v/>
      </c>
      <c r="Q23" s="26">
        <f>VLOOKUP(B23,'Data qoq'!$A:$AT,MATCH($Q$1,'Data qoq'!$A$1:$AT$1,),)</f>
        <v/>
      </c>
      <c r="R23" s="26">
        <f>VLOOKUP(B23,'Data qoq'!$A:$AT,MATCH($E$1,'Data qoq'!$A$1:$AT$1,),)</f>
        <v/>
      </c>
      <c r="S23" s="26">
        <f>VLOOKUP(B23,'Data qoq'!$A:$AT,MATCH($S$1,'Data qoq'!$A$1:$AT$1,),)</f>
        <v/>
      </c>
      <c r="T23" s="26">
        <f>VLOOKUP(B23,'Data qoq'!$A:$AT,MATCH($T$1,'Data qoq'!$A$1:$AT$1,),)</f>
        <v/>
      </c>
      <c r="U23" s="26">
        <f>VLOOKUP(B23,'Data qoq'!$A:$AT,MATCH($U$1,'Data qoq'!$A$1:$AT$1,),)</f>
        <v/>
      </c>
      <c r="V23" s="26">
        <f>VLOOKUP(B23,'Data qoq'!$A:$AT,MATCH($V$1,'Data qoq'!$A$1:$AT$1,),)</f>
        <v/>
      </c>
      <c r="W23" s="26">
        <f>VLOOKUP(B23,'Data qoq'!$A:$AT,MATCH($W$1,'Data qoq'!$A$1:$AT$1,),)</f>
        <v/>
      </c>
      <c r="X23" s="26">
        <f>VLOOKUP(B23,'Data qoq'!$A:$AT,MATCH($X$1,'Data qoq'!$A$1:$AT$1,),)</f>
        <v/>
      </c>
      <c r="Y23" s="26">
        <f>VLOOKUP(B23,'Data qoq'!$A:$AT,MATCH($Y$1,'Data qoq'!$A$1:$AT$1,),)</f>
        <v/>
      </c>
      <c r="Z23" s="26">
        <f>VLOOKUP(B23,'Data qoq'!$A:$AU,MATCH($Z$1,'Data qoq'!$A$1:$AU$1,),)</f>
        <v/>
      </c>
      <c r="AA23" s="26">
        <f>VLOOKUP(B23,'Data qoq'!$A:$AU,MATCH($AA$1,'Data qoq'!$A$1:$AU$1,),)</f>
        <v/>
      </c>
      <c r="AC23" s="27">
        <f>B23</f>
        <v/>
      </c>
      <c r="AD23" s="28">
        <f>(VLOOKUP(AC23,B:Y,MATCH($AE$6,$B$1:$Y$1,),))-(VLOOKUP(AC23,B:Y,MATCH($AE$7,$B$1:$Y$1,),))</f>
        <v/>
      </c>
      <c r="AE23" s="28">
        <f>C23-G23</f>
        <v/>
      </c>
    </row>
    <row r="24" hidden="1" s="89">
      <c r="B24" s="25" t="inlineStr">
        <is>
          <t>2003-Q2</t>
        </is>
      </c>
      <c r="C24" s="26">
        <f>VLOOKUP(B24,'Data qoq'!$A:$AT,MATCH($C$1,'Data qoq'!$A$1:$AT$1,),)</f>
        <v/>
      </c>
      <c r="D24" s="26">
        <f>VLOOKUP(B24,'Data qoq'!$A:$AT,MATCH($D$1,'Data qoq'!$A$1:$AT$1,),)</f>
        <v/>
      </c>
      <c r="E24" s="26">
        <f>VLOOKUP(B24,'Data qoq'!$A:$AT,MATCH($E$1,'Data qoq'!$A$1:$AT$1,),)</f>
        <v/>
      </c>
      <c r="F24" s="26">
        <f>VLOOKUP(B24,'Data qoq'!$A:$AT,MATCH($F$1,'Data qoq'!$A$1:$AT$1,),)</f>
        <v/>
      </c>
      <c r="G24" s="26">
        <f>VLOOKUP(B24,'Data qoq'!$A:$AT,MATCH($G$1,'Data qoq'!$A$1:$AT$1,),)</f>
        <v/>
      </c>
      <c r="H24" s="26">
        <f>VLOOKUP(B24,'Data qoq'!$A:$AT,MATCH($H$1,'Data qoq'!$A$1:$AT$1,),)</f>
        <v/>
      </c>
      <c r="I24" s="26">
        <f>VLOOKUP(B24,'Data qoq'!$A:$AT,MATCH($I$1,'Data qoq'!$A$1:$AT$1,),)</f>
        <v/>
      </c>
      <c r="J24" s="26">
        <f>VLOOKUP(B24,'Data qoq'!$A:$AT,MATCH($J$1,'Data qoq'!$A$1:$AT$1,),)</f>
        <v/>
      </c>
      <c r="K24" s="26">
        <f>VLOOKUP(B24,'Data qoq'!$A:$AT,MATCH($K$1,'Data qoq'!$A$1:$AT$1,),)</f>
        <v/>
      </c>
      <c r="L24" s="26">
        <f>VLOOKUP(B24,'Data qoq'!$A:$AT,MATCH($L$1,'Data qoq'!$A$1:$AT$1,),)</f>
        <v/>
      </c>
      <c r="M24" s="26">
        <f>VLOOKUP(B24,'Data qoq'!$A:$AT,MATCH($M$1,'Data qoq'!$A$1:$AT$1,),)</f>
        <v/>
      </c>
      <c r="N24" s="26">
        <f>VLOOKUP(B24,'Data qoq'!$A:$AT,MATCH($N$1,'Data qoq'!$A$1:$AT$1,),)</f>
        <v/>
      </c>
      <c r="O24" s="26">
        <f>VLOOKUP(B24,'Data qoq'!$A:$AT,MATCH($C$1,'Data qoq'!$J$1:$AT$1,),)</f>
        <v/>
      </c>
      <c r="P24" s="26">
        <f>VLOOKUP(B24,'Data qoq'!$A:$AT,MATCH($P$1,'Data qoq'!$A$1:$AT$1,),)</f>
        <v/>
      </c>
      <c r="Q24" s="26">
        <f>VLOOKUP(B24,'Data qoq'!$A:$AT,MATCH($Q$1,'Data qoq'!$A$1:$AT$1,),)</f>
        <v/>
      </c>
      <c r="R24" s="26">
        <f>VLOOKUP(B24,'Data qoq'!$A:$AT,MATCH($E$1,'Data qoq'!$A$1:$AT$1,),)</f>
        <v/>
      </c>
      <c r="S24" s="26">
        <f>VLOOKUP(B24,'Data qoq'!$A:$AT,MATCH($S$1,'Data qoq'!$A$1:$AT$1,),)</f>
        <v/>
      </c>
      <c r="T24" s="26">
        <f>VLOOKUP(B24,'Data qoq'!$A:$AT,MATCH($T$1,'Data qoq'!$A$1:$AT$1,),)</f>
        <v/>
      </c>
      <c r="U24" s="26">
        <f>VLOOKUP(B24,'Data qoq'!$A:$AT,MATCH($U$1,'Data qoq'!$A$1:$AT$1,),)</f>
        <v/>
      </c>
      <c r="V24" s="26">
        <f>VLOOKUP(B24,'Data qoq'!$A:$AT,MATCH($V$1,'Data qoq'!$A$1:$AT$1,),)</f>
        <v/>
      </c>
      <c r="W24" s="26">
        <f>VLOOKUP(B24,'Data qoq'!$A:$AT,MATCH($W$1,'Data qoq'!$A$1:$AT$1,),)</f>
        <v/>
      </c>
      <c r="X24" s="26">
        <f>VLOOKUP(B24,'Data qoq'!$A:$AT,MATCH($X$1,'Data qoq'!$A$1:$AT$1,),)</f>
        <v/>
      </c>
      <c r="Y24" s="26">
        <f>VLOOKUP(B24,'Data qoq'!$A:$AT,MATCH($Y$1,'Data qoq'!$A$1:$AT$1,),)</f>
        <v/>
      </c>
      <c r="Z24" s="26">
        <f>VLOOKUP(B24,'Data qoq'!$A:$AU,MATCH($Z$1,'Data qoq'!$A$1:$AU$1,),)</f>
        <v/>
      </c>
      <c r="AA24" s="26">
        <f>VLOOKUP(B24,'Data qoq'!$A:$AU,MATCH($AA$1,'Data qoq'!$A$1:$AU$1,),)</f>
        <v/>
      </c>
      <c r="AC24" s="27">
        <f>B24</f>
        <v/>
      </c>
      <c r="AD24" s="28">
        <f>(VLOOKUP(AC24,B:Y,MATCH($AE$6,$B$1:$Y$1,),))-(VLOOKUP(AC24,B:Y,MATCH($AE$7,$B$1:$Y$1,),))</f>
        <v/>
      </c>
      <c r="AE24" s="28">
        <f>C24-G24</f>
        <v/>
      </c>
    </row>
    <row r="25" hidden="1" s="89">
      <c r="B25" s="25" t="inlineStr">
        <is>
          <t>2003-Q3</t>
        </is>
      </c>
      <c r="C25" s="26">
        <f>VLOOKUP(B25,'Data qoq'!$A:$AT,MATCH($C$1,'Data qoq'!$A$1:$AT$1,),)</f>
        <v/>
      </c>
      <c r="D25" s="26">
        <f>VLOOKUP(B25,'Data qoq'!$A:$AT,MATCH($D$1,'Data qoq'!$A$1:$AT$1,),)</f>
        <v/>
      </c>
      <c r="E25" s="26">
        <f>VLOOKUP(B25,'Data qoq'!$A:$AT,MATCH($E$1,'Data qoq'!$A$1:$AT$1,),)</f>
        <v/>
      </c>
      <c r="F25" s="26">
        <f>VLOOKUP(B25,'Data qoq'!$A:$AT,MATCH($F$1,'Data qoq'!$A$1:$AT$1,),)</f>
        <v/>
      </c>
      <c r="G25" s="26">
        <f>VLOOKUP(B25,'Data qoq'!$A:$AT,MATCH($G$1,'Data qoq'!$A$1:$AT$1,),)</f>
        <v/>
      </c>
      <c r="H25" s="26">
        <f>VLOOKUP(B25,'Data qoq'!$A:$AT,MATCH($H$1,'Data qoq'!$A$1:$AT$1,),)</f>
        <v/>
      </c>
      <c r="I25" s="26">
        <f>VLOOKUP(B25,'Data qoq'!$A:$AT,MATCH($I$1,'Data qoq'!$A$1:$AT$1,),)</f>
        <v/>
      </c>
      <c r="J25" s="26">
        <f>VLOOKUP(B25,'Data qoq'!$A:$AT,MATCH($J$1,'Data qoq'!$A$1:$AT$1,),)</f>
        <v/>
      </c>
      <c r="K25" s="26">
        <f>VLOOKUP(B25,'Data qoq'!$A:$AT,MATCH($K$1,'Data qoq'!$A$1:$AT$1,),)</f>
        <v/>
      </c>
      <c r="L25" s="26">
        <f>VLOOKUP(B25,'Data qoq'!$A:$AT,MATCH($L$1,'Data qoq'!$A$1:$AT$1,),)</f>
        <v/>
      </c>
      <c r="M25" s="26">
        <f>VLOOKUP(B25,'Data qoq'!$A:$AT,MATCH($M$1,'Data qoq'!$A$1:$AT$1,),)</f>
        <v/>
      </c>
      <c r="N25" s="26">
        <f>VLOOKUP(B25,'Data qoq'!$A:$AT,MATCH($N$1,'Data qoq'!$A$1:$AT$1,),)</f>
        <v/>
      </c>
      <c r="O25" s="26">
        <f>VLOOKUP(B25,'Data qoq'!$A:$AT,MATCH($C$1,'Data qoq'!$J$1:$AT$1,),)</f>
        <v/>
      </c>
      <c r="P25" s="26">
        <f>VLOOKUP(B25,'Data qoq'!$A:$AT,MATCH($P$1,'Data qoq'!$A$1:$AT$1,),)</f>
        <v/>
      </c>
      <c r="Q25" s="26">
        <f>VLOOKUP(B25,'Data qoq'!$A:$AT,MATCH($Q$1,'Data qoq'!$A$1:$AT$1,),)</f>
        <v/>
      </c>
      <c r="R25" s="26">
        <f>VLOOKUP(B25,'Data qoq'!$A:$AT,MATCH($E$1,'Data qoq'!$A$1:$AT$1,),)</f>
        <v/>
      </c>
      <c r="S25" s="26">
        <f>VLOOKUP(B25,'Data qoq'!$A:$AT,MATCH($S$1,'Data qoq'!$A$1:$AT$1,),)</f>
        <v/>
      </c>
      <c r="T25" s="26">
        <f>VLOOKUP(B25,'Data qoq'!$A:$AT,MATCH($T$1,'Data qoq'!$A$1:$AT$1,),)</f>
        <v/>
      </c>
      <c r="U25" s="26">
        <f>VLOOKUP(B25,'Data qoq'!$A:$AT,MATCH($U$1,'Data qoq'!$A$1:$AT$1,),)</f>
        <v/>
      </c>
      <c r="V25" s="26">
        <f>VLOOKUP(B25,'Data qoq'!$A:$AT,MATCH($V$1,'Data qoq'!$A$1:$AT$1,),)</f>
        <v/>
      </c>
      <c r="W25" s="26">
        <f>VLOOKUP(B25,'Data qoq'!$A:$AT,MATCH($W$1,'Data qoq'!$A$1:$AT$1,),)</f>
        <v/>
      </c>
      <c r="X25" s="26">
        <f>VLOOKUP(B25,'Data qoq'!$A:$AT,MATCH($X$1,'Data qoq'!$A$1:$AT$1,),)</f>
        <v/>
      </c>
      <c r="Y25" s="26">
        <f>VLOOKUP(B25,'Data qoq'!$A:$AT,MATCH($Y$1,'Data qoq'!$A$1:$AT$1,),)</f>
        <v/>
      </c>
      <c r="Z25" s="26">
        <f>VLOOKUP(B25,'Data qoq'!$A:$AU,MATCH($Z$1,'Data qoq'!$A$1:$AU$1,),)</f>
        <v/>
      </c>
      <c r="AA25" s="26">
        <f>VLOOKUP(B25,'Data qoq'!$A:$AU,MATCH($AA$1,'Data qoq'!$A$1:$AU$1,),)</f>
        <v/>
      </c>
      <c r="AC25" s="27">
        <f>B25</f>
        <v/>
      </c>
      <c r="AD25" s="28">
        <f>(VLOOKUP(AC25,B:Y,MATCH($AE$6,$B$1:$Y$1,),))-(VLOOKUP(AC25,B:Y,MATCH($AE$7,$B$1:$Y$1,),))</f>
        <v/>
      </c>
      <c r="AE25" s="28">
        <f>C25-G25</f>
        <v/>
      </c>
    </row>
    <row r="26" hidden="1" s="89">
      <c r="B26" s="25" t="inlineStr">
        <is>
          <t>2003-Q4</t>
        </is>
      </c>
      <c r="C26" s="26">
        <f>VLOOKUP(B26,'Data qoq'!$A:$AT,MATCH($C$1,'Data qoq'!$A$1:$AT$1,),)</f>
        <v/>
      </c>
      <c r="D26" s="26">
        <f>VLOOKUP(B26,'Data qoq'!$A:$AT,MATCH($D$1,'Data qoq'!$A$1:$AT$1,),)</f>
        <v/>
      </c>
      <c r="E26" s="26">
        <f>VLOOKUP(B26,'Data qoq'!$A:$AT,MATCH($E$1,'Data qoq'!$A$1:$AT$1,),)</f>
        <v/>
      </c>
      <c r="F26" s="26">
        <f>VLOOKUP(B26,'Data qoq'!$A:$AT,MATCH($F$1,'Data qoq'!$A$1:$AT$1,),)</f>
        <v/>
      </c>
      <c r="G26" s="26">
        <f>VLOOKUP(B26,'Data qoq'!$A:$AT,MATCH($G$1,'Data qoq'!$A$1:$AT$1,),)</f>
        <v/>
      </c>
      <c r="H26" s="26">
        <f>VLOOKUP(B26,'Data qoq'!$A:$AT,MATCH($H$1,'Data qoq'!$A$1:$AT$1,),)</f>
        <v/>
      </c>
      <c r="I26" s="26">
        <f>VLOOKUP(B26,'Data qoq'!$A:$AT,MATCH($I$1,'Data qoq'!$A$1:$AT$1,),)</f>
        <v/>
      </c>
      <c r="J26" s="26">
        <f>VLOOKUP(B26,'Data qoq'!$A:$AT,MATCH($J$1,'Data qoq'!$A$1:$AT$1,),)</f>
        <v/>
      </c>
      <c r="K26" s="26">
        <f>VLOOKUP(B26,'Data qoq'!$A:$AT,MATCH($K$1,'Data qoq'!$A$1:$AT$1,),)</f>
        <v/>
      </c>
      <c r="L26" s="26">
        <f>VLOOKUP(B26,'Data qoq'!$A:$AT,MATCH($L$1,'Data qoq'!$A$1:$AT$1,),)</f>
        <v/>
      </c>
      <c r="M26" s="26">
        <f>VLOOKUP(B26,'Data qoq'!$A:$AT,MATCH($M$1,'Data qoq'!$A$1:$AT$1,),)</f>
        <v/>
      </c>
      <c r="N26" s="26">
        <f>VLOOKUP(B26,'Data qoq'!$A:$AT,MATCH($N$1,'Data qoq'!$A$1:$AT$1,),)</f>
        <v/>
      </c>
      <c r="O26" s="26">
        <f>VLOOKUP(B26,'Data qoq'!$A:$AT,MATCH($C$1,'Data qoq'!$J$1:$AT$1,),)</f>
        <v/>
      </c>
      <c r="P26" s="26">
        <f>VLOOKUP(B26,'Data qoq'!$A:$AT,MATCH($P$1,'Data qoq'!$A$1:$AT$1,),)</f>
        <v/>
      </c>
      <c r="Q26" s="26">
        <f>VLOOKUP(B26,'Data qoq'!$A:$AT,MATCH($Q$1,'Data qoq'!$A$1:$AT$1,),)</f>
        <v/>
      </c>
      <c r="R26" s="26">
        <f>VLOOKUP(B26,'Data qoq'!$A:$AT,MATCH($E$1,'Data qoq'!$A$1:$AT$1,),)</f>
        <v/>
      </c>
      <c r="S26" s="26">
        <f>VLOOKUP(B26,'Data qoq'!$A:$AT,MATCH($S$1,'Data qoq'!$A$1:$AT$1,),)</f>
        <v/>
      </c>
      <c r="T26" s="26">
        <f>VLOOKUP(B26,'Data qoq'!$A:$AT,MATCH($T$1,'Data qoq'!$A$1:$AT$1,),)</f>
        <v/>
      </c>
      <c r="U26" s="26">
        <f>VLOOKUP(B26,'Data qoq'!$A:$AT,MATCH($U$1,'Data qoq'!$A$1:$AT$1,),)</f>
        <v/>
      </c>
      <c r="V26" s="26">
        <f>VLOOKUP(B26,'Data qoq'!$A:$AT,MATCH($V$1,'Data qoq'!$A$1:$AT$1,),)</f>
        <v/>
      </c>
      <c r="W26" s="26">
        <f>VLOOKUP(B26,'Data qoq'!$A:$AT,MATCH($W$1,'Data qoq'!$A$1:$AT$1,),)</f>
        <v/>
      </c>
      <c r="X26" s="26">
        <f>VLOOKUP(B26,'Data qoq'!$A:$AT,MATCH($X$1,'Data qoq'!$A$1:$AT$1,),)</f>
        <v/>
      </c>
      <c r="Y26" s="26">
        <f>VLOOKUP(B26,'Data qoq'!$A:$AT,MATCH($Y$1,'Data qoq'!$A$1:$AT$1,),)</f>
        <v/>
      </c>
      <c r="Z26" s="26">
        <f>VLOOKUP(B26,'Data qoq'!$A:$AU,MATCH($Z$1,'Data qoq'!$A$1:$AU$1,),)</f>
        <v/>
      </c>
      <c r="AA26" s="26">
        <f>VLOOKUP(B26,'Data qoq'!$A:$AU,MATCH($AA$1,'Data qoq'!$A$1:$AU$1,),)</f>
        <v/>
      </c>
      <c r="AC26" s="27">
        <f>B26</f>
        <v/>
      </c>
      <c r="AD26" s="28">
        <f>(VLOOKUP(AC26,B:Y,MATCH($AE$6,$B$1:$Y$1,),))-(VLOOKUP(AC26,B:Y,MATCH($AE$7,$B$1:$Y$1,),))</f>
        <v/>
      </c>
      <c r="AE26" s="28">
        <f>C26-G26</f>
        <v/>
      </c>
    </row>
    <row r="27" hidden="1" s="89">
      <c r="B27" s="25" t="inlineStr">
        <is>
          <t>2004-Q1</t>
        </is>
      </c>
      <c r="C27" s="26">
        <f>VLOOKUP(B27,'Data qoq'!$A:$AT,MATCH($C$1,'Data qoq'!$A$1:$AT$1,),)</f>
        <v/>
      </c>
      <c r="D27" s="26">
        <f>VLOOKUP(B27,'Data qoq'!$A:$AT,MATCH($D$1,'Data qoq'!$A$1:$AT$1,),)</f>
        <v/>
      </c>
      <c r="E27" s="26">
        <f>VLOOKUP(B27,'Data qoq'!$A:$AT,MATCH($E$1,'Data qoq'!$A$1:$AT$1,),)</f>
        <v/>
      </c>
      <c r="F27" s="26">
        <f>VLOOKUP(B27,'Data qoq'!$A:$AT,MATCH($F$1,'Data qoq'!$A$1:$AT$1,),)</f>
        <v/>
      </c>
      <c r="G27" s="26">
        <f>VLOOKUP(B27,'Data qoq'!$A:$AT,MATCH($G$1,'Data qoq'!$A$1:$AT$1,),)</f>
        <v/>
      </c>
      <c r="H27" s="26">
        <f>VLOOKUP(B27,'Data qoq'!$A:$AT,MATCH($H$1,'Data qoq'!$A$1:$AT$1,),)</f>
        <v/>
      </c>
      <c r="I27" s="26">
        <f>VLOOKUP(B27,'Data qoq'!$A:$AT,MATCH($I$1,'Data qoq'!$A$1:$AT$1,),)</f>
        <v/>
      </c>
      <c r="J27" s="26">
        <f>VLOOKUP(B27,'Data qoq'!$A:$AT,MATCH($J$1,'Data qoq'!$A$1:$AT$1,),)</f>
        <v/>
      </c>
      <c r="K27" s="26">
        <f>VLOOKUP(B27,'Data qoq'!$A:$AT,MATCH($K$1,'Data qoq'!$A$1:$AT$1,),)</f>
        <v/>
      </c>
      <c r="L27" s="26">
        <f>VLOOKUP(B27,'Data qoq'!$A:$AT,MATCH($L$1,'Data qoq'!$A$1:$AT$1,),)</f>
        <v/>
      </c>
      <c r="M27" s="26">
        <f>VLOOKUP(B27,'Data qoq'!$A:$AT,MATCH($M$1,'Data qoq'!$A$1:$AT$1,),)</f>
        <v/>
      </c>
      <c r="N27" s="26">
        <f>VLOOKUP(B27,'Data qoq'!$A:$AT,MATCH($N$1,'Data qoq'!$A$1:$AT$1,),)</f>
        <v/>
      </c>
      <c r="O27" s="26">
        <f>VLOOKUP(B27,'Data qoq'!$A:$AT,MATCH($C$1,'Data qoq'!$J$1:$AT$1,),)</f>
        <v/>
      </c>
      <c r="P27" s="26">
        <f>VLOOKUP(B27,'Data qoq'!$A:$AT,MATCH($P$1,'Data qoq'!$A$1:$AT$1,),)</f>
        <v/>
      </c>
      <c r="Q27" s="26">
        <f>VLOOKUP(B27,'Data qoq'!$A:$AT,MATCH($Q$1,'Data qoq'!$A$1:$AT$1,),)</f>
        <v/>
      </c>
      <c r="R27" s="26">
        <f>VLOOKUP(B27,'Data qoq'!$A:$AT,MATCH($E$1,'Data qoq'!$A$1:$AT$1,),)</f>
        <v/>
      </c>
      <c r="S27" s="26">
        <f>VLOOKUP(B27,'Data qoq'!$A:$AT,MATCH($S$1,'Data qoq'!$A$1:$AT$1,),)</f>
        <v/>
      </c>
      <c r="T27" s="26">
        <f>VLOOKUP(B27,'Data qoq'!$A:$AT,MATCH($T$1,'Data qoq'!$A$1:$AT$1,),)</f>
        <v/>
      </c>
      <c r="U27" s="26">
        <f>VLOOKUP(B27,'Data qoq'!$A:$AT,MATCH($U$1,'Data qoq'!$A$1:$AT$1,),)</f>
        <v/>
      </c>
      <c r="V27" s="26">
        <f>VLOOKUP(B27,'Data qoq'!$A:$AT,MATCH($V$1,'Data qoq'!$A$1:$AT$1,),)</f>
        <v/>
      </c>
      <c r="W27" s="26">
        <f>VLOOKUP(B27,'Data qoq'!$A:$AT,MATCH($W$1,'Data qoq'!$A$1:$AT$1,),)</f>
        <v/>
      </c>
      <c r="X27" s="26">
        <f>VLOOKUP(B27,'Data qoq'!$A:$AT,MATCH($X$1,'Data qoq'!$A$1:$AT$1,),)</f>
        <v/>
      </c>
      <c r="Y27" s="26">
        <f>VLOOKUP(B27,'Data qoq'!$A:$AT,MATCH($Y$1,'Data qoq'!$A$1:$AT$1,),)</f>
        <v/>
      </c>
      <c r="Z27" s="26">
        <f>VLOOKUP(B27,'Data qoq'!$A:$AU,MATCH($Z$1,'Data qoq'!$A$1:$AU$1,),)</f>
        <v/>
      </c>
      <c r="AA27" s="26">
        <f>VLOOKUP(B27,'Data qoq'!$A:$AU,MATCH($AA$1,'Data qoq'!$A$1:$AU$1,),)</f>
        <v/>
      </c>
      <c r="AC27" s="27">
        <f>B27</f>
        <v/>
      </c>
      <c r="AD27" s="28">
        <f>(VLOOKUP(AC27,B:Y,MATCH($AE$6,$B$1:$Y$1,),))-(VLOOKUP(AC27,B:Y,MATCH($AE$7,$B$1:$Y$1,),))</f>
        <v/>
      </c>
      <c r="AE27" s="28">
        <f>C27-G27</f>
        <v/>
      </c>
    </row>
    <row r="28" hidden="1" s="89">
      <c r="B28" s="25" t="inlineStr">
        <is>
          <t>2004-Q2</t>
        </is>
      </c>
      <c r="C28" s="26">
        <f>VLOOKUP(B28,'Data qoq'!$A:$AT,MATCH($C$1,'Data qoq'!$A$1:$AT$1,),)</f>
        <v/>
      </c>
      <c r="D28" s="26">
        <f>VLOOKUP(B28,'Data qoq'!$A:$AT,MATCH($D$1,'Data qoq'!$A$1:$AT$1,),)</f>
        <v/>
      </c>
      <c r="E28" s="26">
        <f>VLOOKUP(B28,'Data qoq'!$A:$AT,MATCH($E$1,'Data qoq'!$A$1:$AT$1,),)</f>
        <v/>
      </c>
      <c r="F28" s="26">
        <f>VLOOKUP(B28,'Data qoq'!$A:$AT,MATCH($F$1,'Data qoq'!$A$1:$AT$1,),)</f>
        <v/>
      </c>
      <c r="G28" s="26">
        <f>VLOOKUP(B28,'Data qoq'!$A:$AT,MATCH($G$1,'Data qoq'!$A$1:$AT$1,),)</f>
        <v/>
      </c>
      <c r="H28" s="26">
        <f>VLOOKUP(B28,'Data qoq'!$A:$AT,MATCH($H$1,'Data qoq'!$A$1:$AT$1,),)</f>
        <v/>
      </c>
      <c r="I28" s="26">
        <f>VLOOKUP(B28,'Data qoq'!$A:$AT,MATCH($I$1,'Data qoq'!$A$1:$AT$1,),)</f>
        <v/>
      </c>
      <c r="J28" s="26">
        <f>VLOOKUP(B28,'Data qoq'!$A:$AT,MATCH($J$1,'Data qoq'!$A$1:$AT$1,),)</f>
        <v/>
      </c>
      <c r="K28" s="26">
        <f>VLOOKUP(B28,'Data qoq'!$A:$AT,MATCH($K$1,'Data qoq'!$A$1:$AT$1,),)</f>
        <v/>
      </c>
      <c r="L28" s="26">
        <f>VLOOKUP(B28,'Data qoq'!$A:$AT,MATCH($L$1,'Data qoq'!$A$1:$AT$1,),)</f>
        <v/>
      </c>
      <c r="M28" s="26">
        <f>VLOOKUP(B28,'Data qoq'!$A:$AT,MATCH($M$1,'Data qoq'!$A$1:$AT$1,),)</f>
        <v/>
      </c>
      <c r="N28" s="26">
        <f>VLOOKUP(B28,'Data qoq'!$A:$AT,MATCH($N$1,'Data qoq'!$A$1:$AT$1,),)</f>
        <v/>
      </c>
      <c r="O28" s="26">
        <f>VLOOKUP(B28,'Data qoq'!$A:$AT,MATCH($C$1,'Data qoq'!$J$1:$AT$1,),)</f>
        <v/>
      </c>
      <c r="P28" s="26">
        <f>VLOOKUP(B28,'Data qoq'!$A:$AT,MATCH($P$1,'Data qoq'!$A$1:$AT$1,),)</f>
        <v/>
      </c>
      <c r="Q28" s="26">
        <f>VLOOKUP(B28,'Data qoq'!$A:$AT,MATCH($Q$1,'Data qoq'!$A$1:$AT$1,),)</f>
        <v/>
      </c>
      <c r="R28" s="26">
        <f>VLOOKUP(B28,'Data qoq'!$A:$AT,MATCH($E$1,'Data qoq'!$A$1:$AT$1,),)</f>
        <v/>
      </c>
      <c r="S28" s="26">
        <f>VLOOKUP(B28,'Data qoq'!$A:$AT,MATCH($S$1,'Data qoq'!$A$1:$AT$1,),)</f>
        <v/>
      </c>
      <c r="T28" s="26">
        <f>VLOOKUP(B28,'Data qoq'!$A:$AT,MATCH($T$1,'Data qoq'!$A$1:$AT$1,),)</f>
        <v/>
      </c>
      <c r="U28" s="26">
        <f>VLOOKUP(B28,'Data qoq'!$A:$AT,MATCH($U$1,'Data qoq'!$A$1:$AT$1,),)</f>
        <v/>
      </c>
      <c r="V28" s="26">
        <f>VLOOKUP(B28,'Data qoq'!$A:$AT,MATCH($V$1,'Data qoq'!$A$1:$AT$1,),)</f>
        <v/>
      </c>
      <c r="W28" s="26">
        <f>VLOOKUP(B28,'Data qoq'!$A:$AT,MATCH($W$1,'Data qoq'!$A$1:$AT$1,),)</f>
        <v/>
      </c>
      <c r="X28" s="26">
        <f>VLOOKUP(B28,'Data qoq'!$A:$AT,MATCH($X$1,'Data qoq'!$A$1:$AT$1,),)</f>
        <v/>
      </c>
      <c r="Y28" s="26">
        <f>VLOOKUP(B28,'Data qoq'!$A:$AT,MATCH($Y$1,'Data qoq'!$A$1:$AT$1,),)</f>
        <v/>
      </c>
      <c r="Z28" s="26">
        <f>VLOOKUP(B28,'Data qoq'!$A:$AU,MATCH($Z$1,'Data qoq'!$A$1:$AU$1,),)</f>
        <v/>
      </c>
      <c r="AA28" s="26">
        <f>VLOOKUP(B28,'Data qoq'!$A:$AU,MATCH($AA$1,'Data qoq'!$A$1:$AU$1,),)</f>
        <v/>
      </c>
      <c r="AC28" s="27">
        <f>B28</f>
        <v/>
      </c>
      <c r="AD28" s="28">
        <f>(VLOOKUP(AC28,B:Y,MATCH($AE$6,$B$1:$Y$1,),))-(VLOOKUP(AC28,B:Y,MATCH($AE$7,$B$1:$Y$1,),))</f>
        <v/>
      </c>
      <c r="AE28" s="28">
        <f>C28-G28</f>
        <v/>
      </c>
    </row>
    <row r="29" hidden="1" s="89">
      <c r="B29" s="25" t="inlineStr">
        <is>
          <t>2004-Q3</t>
        </is>
      </c>
      <c r="C29" s="26">
        <f>VLOOKUP(B29,'Data qoq'!$A:$AT,MATCH($C$1,'Data qoq'!$A$1:$AT$1,),)</f>
        <v/>
      </c>
      <c r="D29" s="26">
        <f>VLOOKUP(B29,'Data qoq'!$A:$AT,MATCH($D$1,'Data qoq'!$A$1:$AT$1,),)</f>
        <v/>
      </c>
      <c r="E29" s="26">
        <f>VLOOKUP(B29,'Data qoq'!$A:$AT,MATCH($E$1,'Data qoq'!$A$1:$AT$1,),)</f>
        <v/>
      </c>
      <c r="F29" s="26">
        <f>VLOOKUP(B29,'Data qoq'!$A:$AT,MATCH($F$1,'Data qoq'!$A$1:$AT$1,),)</f>
        <v/>
      </c>
      <c r="G29" s="26">
        <f>VLOOKUP(B29,'Data qoq'!$A:$AT,MATCH($G$1,'Data qoq'!$A$1:$AT$1,),)</f>
        <v/>
      </c>
      <c r="H29" s="26">
        <f>VLOOKUP(B29,'Data qoq'!$A:$AT,MATCH($H$1,'Data qoq'!$A$1:$AT$1,),)</f>
        <v/>
      </c>
      <c r="I29" s="26">
        <f>VLOOKUP(B29,'Data qoq'!$A:$AT,MATCH($I$1,'Data qoq'!$A$1:$AT$1,),)</f>
        <v/>
      </c>
      <c r="J29" s="26">
        <f>VLOOKUP(B29,'Data qoq'!$A:$AT,MATCH($J$1,'Data qoq'!$A$1:$AT$1,),)</f>
        <v/>
      </c>
      <c r="K29" s="26">
        <f>VLOOKUP(B29,'Data qoq'!$A:$AT,MATCH($K$1,'Data qoq'!$A$1:$AT$1,),)</f>
        <v/>
      </c>
      <c r="L29" s="26">
        <f>VLOOKUP(B29,'Data qoq'!$A:$AT,MATCH($L$1,'Data qoq'!$A$1:$AT$1,),)</f>
        <v/>
      </c>
      <c r="M29" s="26">
        <f>VLOOKUP(B29,'Data qoq'!$A:$AT,MATCH($M$1,'Data qoq'!$A$1:$AT$1,),)</f>
        <v/>
      </c>
      <c r="N29" s="26">
        <f>VLOOKUP(B29,'Data qoq'!$A:$AT,MATCH($N$1,'Data qoq'!$A$1:$AT$1,),)</f>
        <v/>
      </c>
      <c r="O29" s="26">
        <f>VLOOKUP(B29,'Data qoq'!$A:$AT,MATCH($C$1,'Data qoq'!$J$1:$AT$1,),)</f>
        <v/>
      </c>
      <c r="P29" s="26">
        <f>VLOOKUP(B29,'Data qoq'!$A:$AT,MATCH($P$1,'Data qoq'!$A$1:$AT$1,),)</f>
        <v/>
      </c>
      <c r="Q29" s="26">
        <f>VLOOKUP(B29,'Data qoq'!$A:$AT,MATCH($Q$1,'Data qoq'!$A$1:$AT$1,),)</f>
        <v/>
      </c>
      <c r="R29" s="26">
        <f>VLOOKUP(B29,'Data qoq'!$A:$AT,MATCH($E$1,'Data qoq'!$A$1:$AT$1,),)</f>
        <v/>
      </c>
      <c r="S29" s="26">
        <f>VLOOKUP(B29,'Data qoq'!$A:$AT,MATCH($S$1,'Data qoq'!$A$1:$AT$1,),)</f>
        <v/>
      </c>
      <c r="T29" s="26">
        <f>VLOOKUP(B29,'Data qoq'!$A:$AT,MATCH($T$1,'Data qoq'!$A$1:$AT$1,),)</f>
        <v/>
      </c>
      <c r="U29" s="26">
        <f>VLOOKUP(B29,'Data qoq'!$A:$AT,MATCH($U$1,'Data qoq'!$A$1:$AT$1,),)</f>
        <v/>
      </c>
      <c r="V29" s="26">
        <f>VLOOKUP(B29,'Data qoq'!$A:$AT,MATCH($V$1,'Data qoq'!$A$1:$AT$1,),)</f>
        <v/>
      </c>
      <c r="W29" s="26">
        <f>VLOOKUP(B29,'Data qoq'!$A:$AT,MATCH($W$1,'Data qoq'!$A$1:$AT$1,),)</f>
        <v/>
      </c>
      <c r="X29" s="26">
        <f>VLOOKUP(B29,'Data qoq'!$A:$AT,MATCH($X$1,'Data qoq'!$A$1:$AT$1,),)</f>
        <v/>
      </c>
      <c r="Y29" s="26">
        <f>VLOOKUP(B29,'Data qoq'!$A:$AT,MATCH($Y$1,'Data qoq'!$A$1:$AT$1,),)</f>
        <v/>
      </c>
      <c r="Z29" s="26">
        <f>VLOOKUP(B29,'Data qoq'!$A:$AU,MATCH($Z$1,'Data qoq'!$A$1:$AU$1,),)</f>
        <v/>
      </c>
      <c r="AA29" s="26">
        <f>VLOOKUP(B29,'Data qoq'!$A:$AU,MATCH($AA$1,'Data qoq'!$A$1:$AU$1,),)</f>
        <v/>
      </c>
      <c r="AC29" s="27">
        <f>B29</f>
        <v/>
      </c>
      <c r="AD29" s="28">
        <f>(VLOOKUP(AC29,B:Y,MATCH($AE$6,$B$1:$Y$1,),))-(VLOOKUP(AC29,B:Y,MATCH($AE$7,$B$1:$Y$1,),))</f>
        <v/>
      </c>
      <c r="AE29" s="28">
        <f>C29-G29</f>
        <v/>
      </c>
    </row>
    <row r="30" hidden="1" s="89">
      <c r="B30" s="25" t="inlineStr">
        <is>
          <t>2004-Q4</t>
        </is>
      </c>
      <c r="C30" s="26">
        <f>VLOOKUP(B30,'Data qoq'!$A:$AT,MATCH($C$1,'Data qoq'!$A$1:$AT$1,),)</f>
        <v/>
      </c>
      <c r="D30" s="26">
        <f>VLOOKUP(B30,'Data qoq'!$A:$AT,MATCH($D$1,'Data qoq'!$A$1:$AT$1,),)</f>
        <v/>
      </c>
      <c r="E30" s="26">
        <f>VLOOKUP(B30,'Data qoq'!$A:$AT,MATCH($E$1,'Data qoq'!$A$1:$AT$1,),)</f>
        <v/>
      </c>
      <c r="F30" s="26">
        <f>VLOOKUP(B30,'Data qoq'!$A:$AT,MATCH($F$1,'Data qoq'!$A$1:$AT$1,),)</f>
        <v/>
      </c>
      <c r="G30" s="26">
        <f>VLOOKUP(B30,'Data qoq'!$A:$AT,MATCH($G$1,'Data qoq'!$A$1:$AT$1,),)</f>
        <v/>
      </c>
      <c r="H30" s="26">
        <f>VLOOKUP(B30,'Data qoq'!$A:$AT,MATCH($H$1,'Data qoq'!$A$1:$AT$1,),)</f>
        <v/>
      </c>
      <c r="I30" s="26">
        <f>VLOOKUP(B30,'Data qoq'!$A:$AT,MATCH($I$1,'Data qoq'!$A$1:$AT$1,),)</f>
        <v/>
      </c>
      <c r="J30" s="26">
        <f>VLOOKUP(B30,'Data qoq'!$A:$AT,MATCH($J$1,'Data qoq'!$A$1:$AT$1,),)</f>
        <v/>
      </c>
      <c r="K30" s="26">
        <f>VLOOKUP(B30,'Data qoq'!$A:$AT,MATCH($K$1,'Data qoq'!$A$1:$AT$1,),)</f>
        <v/>
      </c>
      <c r="L30" s="26">
        <f>VLOOKUP(B30,'Data qoq'!$A:$AT,MATCH($L$1,'Data qoq'!$A$1:$AT$1,),)</f>
        <v/>
      </c>
      <c r="M30" s="26">
        <f>VLOOKUP(B30,'Data qoq'!$A:$AT,MATCH($M$1,'Data qoq'!$A$1:$AT$1,),)</f>
        <v/>
      </c>
      <c r="N30" s="26">
        <f>VLOOKUP(B30,'Data qoq'!$A:$AT,MATCH($N$1,'Data qoq'!$A$1:$AT$1,),)</f>
        <v/>
      </c>
      <c r="O30" s="26">
        <f>VLOOKUP(B30,'Data qoq'!$A:$AT,MATCH($C$1,'Data qoq'!$J$1:$AT$1,),)</f>
        <v/>
      </c>
      <c r="P30" s="26">
        <f>VLOOKUP(B30,'Data qoq'!$A:$AT,MATCH($P$1,'Data qoq'!$A$1:$AT$1,),)</f>
        <v/>
      </c>
      <c r="Q30" s="26">
        <f>VLOOKUP(B30,'Data qoq'!$A:$AT,MATCH($Q$1,'Data qoq'!$A$1:$AT$1,),)</f>
        <v/>
      </c>
      <c r="R30" s="26">
        <f>VLOOKUP(B30,'Data qoq'!$A:$AT,MATCH($E$1,'Data qoq'!$A$1:$AT$1,),)</f>
        <v/>
      </c>
      <c r="S30" s="26">
        <f>VLOOKUP(B30,'Data qoq'!$A:$AT,MATCH($S$1,'Data qoq'!$A$1:$AT$1,),)</f>
        <v/>
      </c>
      <c r="T30" s="26">
        <f>VLOOKUP(B30,'Data qoq'!$A:$AT,MATCH($T$1,'Data qoq'!$A$1:$AT$1,),)</f>
        <v/>
      </c>
      <c r="U30" s="26">
        <f>VLOOKUP(B30,'Data qoq'!$A:$AT,MATCH($U$1,'Data qoq'!$A$1:$AT$1,),)</f>
        <v/>
      </c>
      <c r="V30" s="26">
        <f>VLOOKUP(B30,'Data qoq'!$A:$AT,MATCH($V$1,'Data qoq'!$A$1:$AT$1,),)</f>
        <v/>
      </c>
      <c r="W30" s="26">
        <f>VLOOKUP(B30,'Data qoq'!$A:$AT,MATCH($W$1,'Data qoq'!$A$1:$AT$1,),)</f>
        <v/>
      </c>
      <c r="X30" s="26">
        <f>VLOOKUP(B30,'Data qoq'!$A:$AT,MATCH($X$1,'Data qoq'!$A$1:$AT$1,),)</f>
        <v/>
      </c>
      <c r="Y30" s="26">
        <f>VLOOKUP(B30,'Data qoq'!$A:$AT,MATCH($Y$1,'Data qoq'!$A$1:$AT$1,),)</f>
        <v/>
      </c>
      <c r="Z30" s="26">
        <f>VLOOKUP(B30,'Data qoq'!$A:$AU,MATCH($Z$1,'Data qoq'!$A$1:$AU$1,),)</f>
        <v/>
      </c>
      <c r="AA30" s="26">
        <f>VLOOKUP(B30,'Data qoq'!$A:$AU,MATCH($AA$1,'Data qoq'!$A$1:$AU$1,),)</f>
        <v/>
      </c>
      <c r="AC30" s="27">
        <f>B30</f>
        <v/>
      </c>
      <c r="AD30" s="28">
        <f>(VLOOKUP(AC30,B:Y,MATCH($AE$6,$B$1:$Y$1,),))-(VLOOKUP(AC30,B:Y,MATCH($AE$7,$B$1:$Y$1,),))</f>
        <v/>
      </c>
      <c r="AE30" s="28">
        <f>C30-G30</f>
        <v/>
      </c>
    </row>
    <row r="31" hidden="1" s="89">
      <c r="B31" s="25" t="inlineStr">
        <is>
          <t>2005-Q1</t>
        </is>
      </c>
      <c r="C31" s="26">
        <f>VLOOKUP(B31,'Data qoq'!$A:$AT,MATCH($C$1,'Data qoq'!$A$1:$AT$1,),)</f>
        <v/>
      </c>
      <c r="D31" s="26">
        <f>VLOOKUP(B31,'Data qoq'!$A:$AT,MATCH($D$1,'Data qoq'!$A$1:$AT$1,),)</f>
        <v/>
      </c>
      <c r="E31" s="26">
        <f>VLOOKUP(B31,'Data qoq'!$A:$AT,MATCH($E$1,'Data qoq'!$A$1:$AT$1,),)</f>
        <v/>
      </c>
      <c r="F31" s="26">
        <f>VLOOKUP(B31,'Data qoq'!$A:$AT,MATCH($F$1,'Data qoq'!$A$1:$AT$1,),)</f>
        <v/>
      </c>
      <c r="G31" s="26">
        <f>VLOOKUP(B31,'Data qoq'!$A:$AT,MATCH($G$1,'Data qoq'!$A$1:$AT$1,),)</f>
        <v/>
      </c>
      <c r="H31" s="26">
        <f>VLOOKUP(B31,'Data qoq'!$A:$AT,MATCH($H$1,'Data qoq'!$A$1:$AT$1,),)</f>
        <v/>
      </c>
      <c r="I31" s="26">
        <f>VLOOKUP(B31,'Data qoq'!$A:$AT,MATCH($I$1,'Data qoq'!$A$1:$AT$1,),)</f>
        <v/>
      </c>
      <c r="J31" s="26">
        <f>VLOOKUP(B31,'Data qoq'!$A:$AT,MATCH($J$1,'Data qoq'!$A$1:$AT$1,),)</f>
        <v/>
      </c>
      <c r="K31" s="26">
        <f>VLOOKUP(B31,'Data qoq'!$A:$AT,MATCH($K$1,'Data qoq'!$A$1:$AT$1,),)</f>
        <v/>
      </c>
      <c r="L31" s="26">
        <f>VLOOKUP(B31,'Data qoq'!$A:$AT,MATCH($L$1,'Data qoq'!$A$1:$AT$1,),)</f>
        <v/>
      </c>
      <c r="M31" s="26">
        <f>VLOOKUP(B31,'Data qoq'!$A:$AT,MATCH($M$1,'Data qoq'!$A$1:$AT$1,),)</f>
        <v/>
      </c>
      <c r="N31" s="26">
        <f>VLOOKUP(B31,'Data qoq'!$A:$AT,MATCH($N$1,'Data qoq'!$A$1:$AT$1,),)</f>
        <v/>
      </c>
      <c r="O31" s="26">
        <f>VLOOKUP(B31,'Data qoq'!$A:$AT,MATCH($C$1,'Data qoq'!$J$1:$AT$1,),)</f>
        <v/>
      </c>
      <c r="P31" s="26">
        <f>VLOOKUP(B31,'Data qoq'!$A:$AT,MATCH($P$1,'Data qoq'!$A$1:$AT$1,),)</f>
        <v/>
      </c>
      <c r="Q31" s="26">
        <f>VLOOKUP(B31,'Data qoq'!$A:$AT,MATCH($Q$1,'Data qoq'!$A$1:$AT$1,),)</f>
        <v/>
      </c>
      <c r="R31" s="26">
        <f>VLOOKUP(B31,'Data qoq'!$A:$AT,MATCH($E$1,'Data qoq'!$A$1:$AT$1,),)</f>
        <v/>
      </c>
      <c r="S31" s="26">
        <f>VLOOKUP(B31,'Data qoq'!$A:$AT,MATCH($S$1,'Data qoq'!$A$1:$AT$1,),)</f>
        <v/>
      </c>
      <c r="T31" s="26">
        <f>VLOOKUP(B31,'Data qoq'!$A:$AT,MATCH($T$1,'Data qoq'!$A$1:$AT$1,),)</f>
        <v/>
      </c>
      <c r="U31" s="26">
        <f>VLOOKUP(B31,'Data qoq'!$A:$AT,MATCH($U$1,'Data qoq'!$A$1:$AT$1,),)</f>
        <v/>
      </c>
      <c r="V31" s="26">
        <f>VLOOKUP(B31,'Data qoq'!$A:$AT,MATCH($V$1,'Data qoq'!$A$1:$AT$1,),)</f>
        <v/>
      </c>
      <c r="W31" s="26">
        <f>VLOOKUP(B31,'Data qoq'!$A:$AT,MATCH($W$1,'Data qoq'!$A$1:$AT$1,),)</f>
        <v/>
      </c>
      <c r="X31" s="26">
        <f>VLOOKUP(B31,'Data qoq'!$A:$AT,MATCH($X$1,'Data qoq'!$A$1:$AT$1,),)</f>
        <v/>
      </c>
      <c r="Y31" s="26">
        <f>VLOOKUP(B31,'Data qoq'!$A:$AT,MATCH($Y$1,'Data qoq'!$A$1:$AT$1,),)</f>
        <v/>
      </c>
      <c r="Z31" s="26">
        <f>VLOOKUP(B31,'Data qoq'!$A:$AU,MATCH($Z$1,'Data qoq'!$A$1:$AU$1,),)</f>
        <v/>
      </c>
      <c r="AA31" s="26">
        <f>VLOOKUP(B31,'Data qoq'!$A:$AU,MATCH($AA$1,'Data qoq'!$A$1:$AU$1,),)</f>
        <v/>
      </c>
      <c r="AC31" s="27">
        <f>B31</f>
        <v/>
      </c>
      <c r="AD31" s="28">
        <f>(VLOOKUP(AC31,B:Y,MATCH($AE$6,$B$1:$Y$1,),))-(VLOOKUP(AC31,B:Y,MATCH($AE$7,$B$1:$Y$1,),))</f>
        <v/>
      </c>
      <c r="AE31" s="28">
        <f>C31-G31</f>
        <v/>
      </c>
    </row>
    <row r="32" hidden="1" s="89">
      <c r="B32" s="25" t="inlineStr">
        <is>
          <t>2005-Q2</t>
        </is>
      </c>
      <c r="C32" s="26">
        <f>VLOOKUP(B32,'Data qoq'!$A:$AT,MATCH($C$1,'Data qoq'!$A$1:$AT$1,),)</f>
        <v/>
      </c>
      <c r="D32" s="26">
        <f>VLOOKUP(B32,'Data qoq'!$A:$AT,MATCH($D$1,'Data qoq'!$A$1:$AT$1,),)</f>
        <v/>
      </c>
      <c r="E32" s="26">
        <f>VLOOKUP(B32,'Data qoq'!$A:$AT,MATCH($E$1,'Data qoq'!$A$1:$AT$1,),)</f>
        <v/>
      </c>
      <c r="F32" s="26">
        <f>VLOOKUP(B32,'Data qoq'!$A:$AT,MATCH($F$1,'Data qoq'!$A$1:$AT$1,),)</f>
        <v/>
      </c>
      <c r="G32" s="26">
        <f>VLOOKUP(B32,'Data qoq'!$A:$AT,MATCH($G$1,'Data qoq'!$A$1:$AT$1,),)</f>
        <v/>
      </c>
      <c r="H32" s="26">
        <f>VLOOKUP(B32,'Data qoq'!$A:$AT,MATCH($H$1,'Data qoq'!$A$1:$AT$1,),)</f>
        <v/>
      </c>
      <c r="I32" s="26">
        <f>VLOOKUP(B32,'Data qoq'!$A:$AT,MATCH($I$1,'Data qoq'!$A$1:$AT$1,),)</f>
        <v/>
      </c>
      <c r="J32" s="26">
        <f>VLOOKUP(B32,'Data qoq'!$A:$AT,MATCH($J$1,'Data qoq'!$A$1:$AT$1,),)</f>
        <v/>
      </c>
      <c r="K32" s="26">
        <f>VLOOKUP(B32,'Data qoq'!$A:$AT,MATCH($K$1,'Data qoq'!$A$1:$AT$1,),)</f>
        <v/>
      </c>
      <c r="L32" s="26">
        <f>VLOOKUP(B32,'Data qoq'!$A:$AT,MATCH($L$1,'Data qoq'!$A$1:$AT$1,),)</f>
        <v/>
      </c>
      <c r="M32" s="26">
        <f>VLOOKUP(B32,'Data qoq'!$A:$AT,MATCH($M$1,'Data qoq'!$A$1:$AT$1,),)</f>
        <v/>
      </c>
      <c r="N32" s="26">
        <f>VLOOKUP(B32,'Data qoq'!$A:$AT,MATCH($N$1,'Data qoq'!$A$1:$AT$1,),)</f>
        <v/>
      </c>
      <c r="O32" s="26">
        <f>VLOOKUP(B32,'Data qoq'!$A:$AT,MATCH($C$1,'Data qoq'!$J$1:$AT$1,),)</f>
        <v/>
      </c>
      <c r="P32" s="26">
        <f>VLOOKUP(B32,'Data qoq'!$A:$AT,MATCH($P$1,'Data qoq'!$A$1:$AT$1,),)</f>
        <v/>
      </c>
      <c r="Q32" s="26">
        <f>VLOOKUP(B32,'Data qoq'!$A:$AT,MATCH($Q$1,'Data qoq'!$A$1:$AT$1,),)</f>
        <v/>
      </c>
      <c r="R32" s="26">
        <f>VLOOKUP(B32,'Data qoq'!$A:$AT,MATCH($E$1,'Data qoq'!$A$1:$AT$1,),)</f>
        <v/>
      </c>
      <c r="S32" s="26">
        <f>VLOOKUP(B32,'Data qoq'!$A:$AT,MATCH($S$1,'Data qoq'!$A$1:$AT$1,),)</f>
        <v/>
      </c>
      <c r="T32" s="26">
        <f>VLOOKUP(B32,'Data qoq'!$A:$AT,MATCH($T$1,'Data qoq'!$A$1:$AT$1,),)</f>
        <v/>
      </c>
      <c r="U32" s="26">
        <f>VLOOKUP(B32,'Data qoq'!$A:$AT,MATCH($U$1,'Data qoq'!$A$1:$AT$1,),)</f>
        <v/>
      </c>
      <c r="V32" s="26">
        <f>VLOOKUP(B32,'Data qoq'!$A:$AT,MATCH($V$1,'Data qoq'!$A$1:$AT$1,),)</f>
        <v/>
      </c>
      <c r="W32" s="26">
        <f>VLOOKUP(B32,'Data qoq'!$A:$AT,MATCH($W$1,'Data qoq'!$A$1:$AT$1,),)</f>
        <v/>
      </c>
      <c r="X32" s="26">
        <f>VLOOKUP(B32,'Data qoq'!$A:$AT,MATCH($X$1,'Data qoq'!$A$1:$AT$1,),)</f>
        <v/>
      </c>
      <c r="Y32" s="26">
        <f>VLOOKUP(B32,'Data qoq'!$A:$AT,MATCH($Y$1,'Data qoq'!$A$1:$AT$1,),)</f>
        <v/>
      </c>
      <c r="Z32" s="26">
        <f>VLOOKUP(B32,'Data qoq'!$A:$AU,MATCH($Z$1,'Data qoq'!$A$1:$AU$1,),)</f>
        <v/>
      </c>
      <c r="AA32" s="26">
        <f>VLOOKUP(B32,'Data qoq'!$A:$AU,MATCH($AA$1,'Data qoq'!$A$1:$AU$1,),)</f>
        <v/>
      </c>
      <c r="AC32" s="27">
        <f>B32</f>
        <v/>
      </c>
      <c r="AD32" s="28">
        <f>(VLOOKUP(AC32,B:Y,MATCH($AE$6,$B$1:$Y$1,),))-(VLOOKUP(AC32,B:Y,MATCH($AE$7,$B$1:$Y$1,),))</f>
        <v/>
      </c>
      <c r="AE32" s="28">
        <f>C32-G32</f>
        <v/>
      </c>
    </row>
    <row r="33" hidden="1" s="89">
      <c r="B33" s="25" t="inlineStr">
        <is>
          <t>2005-Q3</t>
        </is>
      </c>
      <c r="C33" s="26">
        <f>VLOOKUP(B33,'Data qoq'!$A:$AT,MATCH($C$1,'Data qoq'!$A$1:$AT$1,),)</f>
        <v/>
      </c>
      <c r="D33" s="26">
        <f>VLOOKUP(B33,'Data qoq'!$A:$AT,MATCH($D$1,'Data qoq'!$A$1:$AT$1,),)</f>
        <v/>
      </c>
      <c r="E33" s="26">
        <f>VLOOKUP(B33,'Data qoq'!$A:$AT,MATCH($E$1,'Data qoq'!$A$1:$AT$1,),)</f>
        <v/>
      </c>
      <c r="F33" s="26">
        <f>VLOOKUP(B33,'Data qoq'!$A:$AT,MATCH($F$1,'Data qoq'!$A$1:$AT$1,),)</f>
        <v/>
      </c>
      <c r="G33" s="26">
        <f>VLOOKUP(B33,'Data qoq'!$A:$AT,MATCH($G$1,'Data qoq'!$A$1:$AT$1,),)</f>
        <v/>
      </c>
      <c r="H33" s="26">
        <f>VLOOKUP(B33,'Data qoq'!$A:$AT,MATCH($H$1,'Data qoq'!$A$1:$AT$1,),)</f>
        <v/>
      </c>
      <c r="I33" s="26">
        <f>VLOOKUP(B33,'Data qoq'!$A:$AT,MATCH($I$1,'Data qoq'!$A$1:$AT$1,),)</f>
        <v/>
      </c>
      <c r="J33" s="26">
        <f>VLOOKUP(B33,'Data qoq'!$A:$AT,MATCH($J$1,'Data qoq'!$A$1:$AT$1,),)</f>
        <v/>
      </c>
      <c r="K33" s="26">
        <f>VLOOKUP(B33,'Data qoq'!$A:$AT,MATCH($K$1,'Data qoq'!$A$1:$AT$1,),)</f>
        <v/>
      </c>
      <c r="L33" s="26">
        <f>VLOOKUP(B33,'Data qoq'!$A:$AT,MATCH($L$1,'Data qoq'!$A$1:$AT$1,),)</f>
        <v/>
      </c>
      <c r="M33" s="26">
        <f>VLOOKUP(B33,'Data qoq'!$A:$AT,MATCH($M$1,'Data qoq'!$A$1:$AT$1,),)</f>
        <v/>
      </c>
      <c r="N33" s="26">
        <f>VLOOKUP(B33,'Data qoq'!$A:$AT,MATCH($N$1,'Data qoq'!$A$1:$AT$1,),)</f>
        <v/>
      </c>
      <c r="O33" s="26">
        <f>VLOOKUP(B33,'Data qoq'!$A:$AT,MATCH($C$1,'Data qoq'!$J$1:$AT$1,),)</f>
        <v/>
      </c>
      <c r="P33" s="26">
        <f>VLOOKUP(B33,'Data qoq'!$A:$AT,MATCH($P$1,'Data qoq'!$A$1:$AT$1,),)</f>
        <v/>
      </c>
      <c r="Q33" s="26">
        <f>VLOOKUP(B33,'Data qoq'!$A:$AT,MATCH($Q$1,'Data qoq'!$A$1:$AT$1,),)</f>
        <v/>
      </c>
      <c r="R33" s="26">
        <f>VLOOKUP(B33,'Data qoq'!$A:$AT,MATCH($E$1,'Data qoq'!$A$1:$AT$1,),)</f>
        <v/>
      </c>
      <c r="S33" s="26">
        <f>VLOOKUP(B33,'Data qoq'!$A:$AT,MATCH($S$1,'Data qoq'!$A$1:$AT$1,),)</f>
        <v/>
      </c>
      <c r="T33" s="26">
        <f>VLOOKUP(B33,'Data qoq'!$A:$AT,MATCH($T$1,'Data qoq'!$A$1:$AT$1,),)</f>
        <v/>
      </c>
      <c r="U33" s="26">
        <f>VLOOKUP(B33,'Data qoq'!$A:$AT,MATCH($U$1,'Data qoq'!$A$1:$AT$1,),)</f>
        <v/>
      </c>
      <c r="V33" s="26">
        <f>VLOOKUP(B33,'Data qoq'!$A:$AT,MATCH($V$1,'Data qoq'!$A$1:$AT$1,),)</f>
        <v/>
      </c>
      <c r="W33" s="26">
        <f>VLOOKUP(B33,'Data qoq'!$A:$AT,MATCH($W$1,'Data qoq'!$A$1:$AT$1,),)</f>
        <v/>
      </c>
      <c r="X33" s="26">
        <f>VLOOKUP(B33,'Data qoq'!$A:$AT,MATCH($X$1,'Data qoq'!$A$1:$AT$1,),)</f>
        <v/>
      </c>
      <c r="Y33" s="26">
        <f>VLOOKUP(B33,'Data qoq'!$A:$AT,MATCH($Y$1,'Data qoq'!$A$1:$AT$1,),)</f>
        <v/>
      </c>
      <c r="Z33" s="26">
        <f>VLOOKUP(B33,'Data qoq'!$A:$AU,MATCH($Z$1,'Data qoq'!$A$1:$AU$1,),)</f>
        <v/>
      </c>
      <c r="AA33" s="26">
        <f>VLOOKUP(B33,'Data qoq'!$A:$AU,MATCH($AA$1,'Data qoq'!$A$1:$AU$1,),)</f>
        <v/>
      </c>
      <c r="AC33" s="27">
        <f>B33</f>
        <v/>
      </c>
      <c r="AD33" s="28">
        <f>(VLOOKUP(AC33,B:Y,MATCH($AE$6,$B$1:$Y$1,),))-(VLOOKUP(AC33,B:Y,MATCH($AE$7,$B$1:$Y$1,),))</f>
        <v/>
      </c>
      <c r="AE33" s="28">
        <f>C33-G33</f>
        <v/>
      </c>
    </row>
    <row r="34" hidden="1" s="89">
      <c r="B34" s="25" t="inlineStr">
        <is>
          <t>2005-Q4</t>
        </is>
      </c>
      <c r="C34" s="26">
        <f>VLOOKUP(B34,'Data qoq'!$A:$AT,MATCH($C$1,'Data qoq'!$A$1:$AT$1,),)</f>
        <v/>
      </c>
      <c r="D34" s="26">
        <f>VLOOKUP(B34,'Data qoq'!$A:$AT,MATCH($D$1,'Data qoq'!$A$1:$AT$1,),)</f>
        <v/>
      </c>
      <c r="E34" s="26">
        <f>VLOOKUP(B34,'Data qoq'!$A:$AT,MATCH($E$1,'Data qoq'!$A$1:$AT$1,),)</f>
        <v/>
      </c>
      <c r="F34" s="26">
        <f>VLOOKUP(B34,'Data qoq'!$A:$AT,MATCH($F$1,'Data qoq'!$A$1:$AT$1,),)</f>
        <v/>
      </c>
      <c r="G34" s="26">
        <f>VLOOKUP(B34,'Data qoq'!$A:$AT,MATCH($G$1,'Data qoq'!$A$1:$AT$1,),)</f>
        <v/>
      </c>
      <c r="H34" s="26">
        <f>VLOOKUP(B34,'Data qoq'!$A:$AT,MATCH($H$1,'Data qoq'!$A$1:$AT$1,),)</f>
        <v/>
      </c>
      <c r="I34" s="26">
        <f>VLOOKUP(B34,'Data qoq'!$A:$AT,MATCH($I$1,'Data qoq'!$A$1:$AT$1,),)</f>
        <v/>
      </c>
      <c r="J34" s="26">
        <f>VLOOKUP(B34,'Data qoq'!$A:$AT,MATCH($J$1,'Data qoq'!$A$1:$AT$1,),)</f>
        <v/>
      </c>
      <c r="K34" s="26">
        <f>VLOOKUP(B34,'Data qoq'!$A:$AT,MATCH($K$1,'Data qoq'!$A$1:$AT$1,),)</f>
        <v/>
      </c>
      <c r="L34" s="26">
        <f>VLOOKUP(B34,'Data qoq'!$A:$AT,MATCH($L$1,'Data qoq'!$A$1:$AT$1,),)</f>
        <v/>
      </c>
      <c r="M34" s="26">
        <f>VLOOKUP(B34,'Data qoq'!$A:$AT,MATCH($M$1,'Data qoq'!$A$1:$AT$1,),)</f>
        <v/>
      </c>
      <c r="N34" s="26">
        <f>VLOOKUP(B34,'Data qoq'!$A:$AT,MATCH($N$1,'Data qoq'!$A$1:$AT$1,),)</f>
        <v/>
      </c>
      <c r="O34" s="26">
        <f>VLOOKUP(B34,'Data qoq'!$A:$AT,MATCH($C$1,'Data qoq'!$J$1:$AT$1,),)</f>
        <v/>
      </c>
      <c r="P34" s="26">
        <f>VLOOKUP(B34,'Data qoq'!$A:$AT,MATCH($P$1,'Data qoq'!$A$1:$AT$1,),)</f>
        <v/>
      </c>
      <c r="Q34" s="26">
        <f>VLOOKUP(B34,'Data qoq'!$A:$AT,MATCH($Q$1,'Data qoq'!$A$1:$AT$1,),)</f>
        <v/>
      </c>
      <c r="R34" s="26">
        <f>VLOOKUP(B34,'Data qoq'!$A:$AT,MATCH($E$1,'Data qoq'!$A$1:$AT$1,),)</f>
        <v/>
      </c>
      <c r="S34" s="26">
        <f>VLOOKUP(B34,'Data qoq'!$A:$AT,MATCH($S$1,'Data qoq'!$A$1:$AT$1,),)</f>
        <v/>
      </c>
      <c r="T34" s="26">
        <f>VLOOKUP(B34,'Data qoq'!$A:$AT,MATCH($T$1,'Data qoq'!$A$1:$AT$1,),)</f>
        <v/>
      </c>
      <c r="U34" s="26">
        <f>VLOOKUP(B34,'Data qoq'!$A:$AT,MATCH($U$1,'Data qoq'!$A$1:$AT$1,),)</f>
        <v/>
      </c>
      <c r="V34" s="26">
        <f>VLOOKUP(B34,'Data qoq'!$A:$AT,MATCH($V$1,'Data qoq'!$A$1:$AT$1,),)</f>
        <v/>
      </c>
      <c r="W34" s="26">
        <f>VLOOKUP(B34,'Data qoq'!$A:$AT,MATCH($W$1,'Data qoq'!$A$1:$AT$1,),)</f>
        <v/>
      </c>
      <c r="X34" s="26">
        <f>VLOOKUP(B34,'Data qoq'!$A:$AT,MATCH($X$1,'Data qoq'!$A$1:$AT$1,),)</f>
        <v/>
      </c>
      <c r="Y34" s="26">
        <f>VLOOKUP(B34,'Data qoq'!$A:$AT,MATCH($Y$1,'Data qoq'!$A$1:$AT$1,),)</f>
        <v/>
      </c>
      <c r="Z34" s="26">
        <f>VLOOKUP(B34,'Data qoq'!$A:$AU,MATCH($Z$1,'Data qoq'!$A$1:$AU$1,),)</f>
        <v/>
      </c>
      <c r="AA34" s="26">
        <f>VLOOKUP(B34,'Data qoq'!$A:$AU,MATCH($AA$1,'Data qoq'!$A$1:$AU$1,),)</f>
        <v/>
      </c>
      <c r="AC34" s="27">
        <f>B34</f>
        <v/>
      </c>
      <c r="AD34" s="28">
        <f>(VLOOKUP(AC34,B:Y,MATCH($AE$6,$B$1:$Y$1,),))-(VLOOKUP(AC34,B:Y,MATCH($AE$7,$B$1:$Y$1,),))</f>
        <v/>
      </c>
      <c r="AE34" s="28">
        <f>C34-G34</f>
        <v/>
      </c>
    </row>
    <row r="35" hidden="1" s="89">
      <c r="B35" s="25" t="inlineStr">
        <is>
          <t>2006-Q1</t>
        </is>
      </c>
      <c r="C35" s="26">
        <f>VLOOKUP(B35,'Data qoq'!$A:$AT,MATCH($C$1,'Data qoq'!$A$1:$AT$1,),)</f>
        <v/>
      </c>
      <c r="D35" s="26">
        <f>VLOOKUP(B35,'Data qoq'!$A:$AT,MATCH($D$1,'Data qoq'!$A$1:$AT$1,),)</f>
        <v/>
      </c>
      <c r="E35" s="26">
        <f>VLOOKUP(B35,'Data qoq'!$A:$AT,MATCH($E$1,'Data qoq'!$A$1:$AT$1,),)</f>
        <v/>
      </c>
      <c r="F35" s="26">
        <f>VLOOKUP(B35,'Data qoq'!$A:$AT,MATCH($F$1,'Data qoq'!$A$1:$AT$1,),)</f>
        <v/>
      </c>
      <c r="G35" s="26">
        <f>VLOOKUP(B35,'Data qoq'!$A:$AT,MATCH($G$1,'Data qoq'!$A$1:$AT$1,),)</f>
        <v/>
      </c>
      <c r="H35" s="26">
        <f>VLOOKUP(B35,'Data qoq'!$A:$AT,MATCH($H$1,'Data qoq'!$A$1:$AT$1,),)</f>
        <v/>
      </c>
      <c r="I35" s="26">
        <f>VLOOKUP(B35,'Data qoq'!$A:$AT,MATCH($I$1,'Data qoq'!$A$1:$AT$1,),)</f>
        <v/>
      </c>
      <c r="J35" s="26">
        <f>VLOOKUP(B35,'Data qoq'!$A:$AT,MATCH($J$1,'Data qoq'!$A$1:$AT$1,),)</f>
        <v/>
      </c>
      <c r="K35" s="26">
        <f>VLOOKUP(B35,'Data qoq'!$A:$AT,MATCH($K$1,'Data qoq'!$A$1:$AT$1,),)</f>
        <v/>
      </c>
      <c r="L35" s="26">
        <f>VLOOKUP(B35,'Data qoq'!$A:$AT,MATCH($L$1,'Data qoq'!$A$1:$AT$1,),)</f>
        <v/>
      </c>
      <c r="M35" s="26">
        <f>VLOOKUP(B35,'Data qoq'!$A:$AT,MATCH($M$1,'Data qoq'!$A$1:$AT$1,),)</f>
        <v/>
      </c>
      <c r="N35" s="26">
        <f>VLOOKUP(B35,'Data qoq'!$A:$AT,MATCH($N$1,'Data qoq'!$A$1:$AT$1,),)</f>
        <v/>
      </c>
      <c r="O35" s="26">
        <f>VLOOKUP(B35,'Data qoq'!$A:$AT,MATCH($C$1,'Data qoq'!$J$1:$AT$1,),)</f>
        <v/>
      </c>
      <c r="P35" s="26">
        <f>VLOOKUP(B35,'Data qoq'!$A:$AT,MATCH($P$1,'Data qoq'!$A$1:$AT$1,),)</f>
        <v/>
      </c>
      <c r="Q35" s="26">
        <f>VLOOKUP(B35,'Data qoq'!$A:$AT,MATCH($Q$1,'Data qoq'!$A$1:$AT$1,),)</f>
        <v/>
      </c>
      <c r="R35" s="26">
        <f>VLOOKUP(B35,'Data qoq'!$A:$AT,MATCH($E$1,'Data qoq'!$A$1:$AT$1,),)</f>
        <v/>
      </c>
      <c r="S35" s="26">
        <f>VLOOKUP(B35,'Data qoq'!$A:$AT,MATCH($S$1,'Data qoq'!$A$1:$AT$1,),)</f>
        <v/>
      </c>
      <c r="T35" s="26">
        <f>VLOOKUP(B35,'Data qoq'!$A:$AT,MATCH($T$1,'Data qoq'!$A$1:$AT$1,),)</f>
        <v/>
      </c>
      <c r="U35" s="26">
        <f>VLOOKUP(B35,'Data qoq'!$A:$AT,MATCH($U$1,'Data qoq'!$A$1:$AT$1,),)</f>
        <v/>
      </c>
      <c r="V35" s="26">
        <f>VLOOKUP(B35,'Data qoq'!$A:$AT,MATCH($V$1,'Data qoq'!$A$1:$AT$1,),)</f>
        <v/>
      </c>
      <c r="W35" s="26">
        <f>VLOOKUP(B35,'Data qoq'!$A:$AT,MATCH($W$1,'Data qoq'!$A$1:$AT$1,),)</f>
        <v/>
      </c>
      <c r="X35" s="26">
        <f>VLOOKUP(B35,'Data qoq'!$A:$AT,MATCH($X$1,'Data qoq'!$A$1:$AT$1,),)</f>
        <v/>
      </c>
      <c r="Y35" s="26">
        <f>VLOOKUP(B35,'Data qoq'!$A:$AT,MATCH($Y$1,'Data qoq'!$A$1:$AT$1,),)</f>
        <v/>
      </c>
      <c r="Z35" s="26">
        <f>VLOOKUP(B35,'Data qoq'!$A:$AU,MATCH($Z$1,'Data qoq'!$A$1:$AU$1,),)</f>
        <v/>
      </c>
      <c r="AA35" s="26">
        <f>VLOOKUP(B35,'Data qoq'!$A:$AU,MATCH($AA$1,'Data qoq'!$A$1:$AU$1,),)</f>
        <v/>
      </c>
      <c r="AC35" s="27">
        <f>B35</f>
        <v/>
      </c>
      <c r="AD35" s="28">
        <f>(VLOOKUP(AC35,B:Y,MATCH($AE$6,$B$1:$Y$1,),))-(VLOOKUP(AC35,B:Y,MATCH($AE$7,$B$1:$Y$1,),))</f>
        <v/>
      </c>
      <c r="AE35" s="28">
        <f>C35-G35</f>
        <v/>
      </c>
    </row>
    <row r="36" hidden="1" s="89">
      <c r="B36" s="25" t="inlineStr">
        <is>
          <t>2006-Q2</t>
        </is>
      </c>
      <c r="C36" s="26">
        <f>VLOOKUP(B36,'Data qoq'!$A:$AT,MATCH($C$1,'Data qoq'!$A$1:$AT$1,),)</f>
        <v/>
      </c>
      <c r="D36" s="26">
        <f>VLOOKUP(B36,'Data qoq'!$A:$AT,MATCH($D$1,'Data qoq'!$A$1:$AT$1,),)</f>
        <v/>
      </c>
      <c r="E36" s="26">
        <f>VLOOKUP(B36,'Data qoq'!$A:$AT,MATCH($E$1,'Data qoq'!$A$1:$AT$1,),)</f>
        <v/>
      </c>
      <c r="F36" s="26">
        <f>VLOOKUP(B36,'Data qoq'!$A:$AT,MATCH($F$1,'Data qoq'!$A$1:$AT$1,),)</f>
        <v/>
      </c>
      <c r="G36" s="26">
        <f>VLOOKUP(B36,'Data qoq'!$A:$AT,MATCH($G$1,'Data qoq'!$A$1:$AT$1,),)</f>
        <v/>
      </c>
      <c r="H36" s="26">
        <f>VLOOKUP(B36,'Data qoq'!$A:$AT,MATCH($H$1,'Data qoq'!$A$1:$AT$1,),)</f>
        <v/>
      </c>
      <c r="I36" s="26">
        <f>VLOOKUP(B36,'Data qoq'!$A:$AT,MATCH($I$1,'Data qoq'!$A$1:$AT$1,),)</f>
        <v/>
      </c>
      <c r="J36" s="26">
        <f>VLOOKUP(B36,'Data qoq'!$A:$AT,MATCH($J$1,'Data qoq'!$A$1:$AT$1,),)</f>
        <v/>
      </c>
      <c r="K36" s="26">
        <f>VLOOKUP(B36,'Data qoq'!$A:$AT,MATCH($K$1,'Data qoq'!$A$1:$AT$1,),)</f>
        <v/>
      </c>
      <c r="L36" s="26">
        <f>VLOOKUP(B36,'Data qoq'!$A:$AT,MATCH($L$1,'Data qoq'!$A$1:$AT$1,),)</f>
        <v/>
      </c>
      <c r="M36" s="26">
        <f>VLOOKUP(B36,'Data qoq'!$A:$AT,MATCH($M$1,'Data qoq'!$A$1:$AT$1,),)</f>
        <v/>
      </c>
      <c r="N36" s="26">
        <f>VLOOKUP(B36,'Data qoq'!$A:$AT,MATCH($N$1,'Data qoq'!$A$1:$AT$1,),)</f>
        <v/>
      </c>
      <c r="O36" s="26">
        <f>VLOOKUP(B36,'Data qoq'!$A:$AT,MATCH($C$1,'Data qoq'!$J$1:$AT$1,),)</f>
        <v/>
      </c>
      <c r="P36" s="26">
        <f>VLOOKUP(B36,'Data qoq'!$A:$AT,MATCH($P$1,'Data qoq'!$A$1:$AT$1,),)</f>
        <v/>
      </c>
      <c r="Q36" s="26">
        <f>VLOOKUP(B36,'Data qoq'!$A:$AT,MATCH($Q$1,'Data qoq'!$A$1:$AT$1,),)</f>
        <v/>
      </c>
      <c r="R36" s="26">
        <f>VLOOKUP(B36,'Data qoq'!$A:$AT,MATCH($E$1,'Data qoq'!$A$1:$AT$1,),)</f>
        <v/>
      </c>
      <c r="S36" s="26">
        <f>VLOOKUP(B36,'Data qoq'!$A:$AT,MATCH($S$1,'Data qoq'!$A$1:$AT$1,),)</f>
        <v/>
      </c>
      <c r="T36" s="26">
        <f>VLOOKUP(B36,'Data qoq'!$A:$AT,MATCH($T$1,'Data qoq'!$A$1:$AT$1,),)</f>
        <v/>
      </c>
      <c r="U36" s="26">
        <f>VLOOKUP(B36,'Data qoq'!$A:$AT,MATCH($U$1,'Data qoq'!$A$1:$AT$1,),)</f>
        <v/>
      </c>
      <c r="V36" s="26">
        <f>VLOOKUP(B36,'Data qoq'!$A:$AT,MATCH($V$1,'Data qoq'!$A$1:$AT$1,),)</f>
        <v/>
      </c>
      <c r="W36" s="26">
        <f>VLOOKUP(B36,'Data qoq'!$A:$AT,MATCH($W$1,'Data qoq'!$A$1:$AT$1,),)</f>
        <v/>
      </c>
      <c r="X36" s="26">
        <f>VLOOKUP(B36,'Data qoq'!$A:$AT,MATCH($X$1,'Data qoq'!$A$1:$AT$1,),)</f>
        <v/>
      </c>
      <c r="Y36" s="26">
        <f>VLOOKUP(B36,'Data qoq'!$A:$AT,MATCH($Y$1,'Data qoq'!$A$1:$AT$1,),)</f>
        <v/>
      </c>
      <c r="Z36" s="26">
        <f>VLOOKUP(B36,'Data qoq'!$A:$AU,MATCH($Z$1,'Data qoq'!$A$1:$AU$1,),)</f>
        <v/>
      </c>
      <c r="AA36" s="26">
        <f>VLOOKUP(B36,'Data qoq'!$A:$AU,MATCH($AA$1,'Data qoq'!$A$1:$AU$1,),)</f>
        <v/>
      </c>
      <c r="AC36" s="27">
        <f>B36</f>
        <v/>
      </c>
      <c r="AD36" s="28">
        <f>(VLOOKUP(AC36,B:Y,MATCH($AE$6,$B$1:$Y$1,),))-(VLOOKUP(AC36,B:Y,MATCH($AE$7,$B$1:$Y$1,),))</f>
        <v/>
      </c>
      <c r="AE36" s="28">
        <f>C36-G36</f>
        <v/>
      </c>
    </row>
    <row r="37" hidden="1" s="89">
      <c r="B37" s="25" t="inlineStr">
        <is>
          <t>2006-Q3</t>
        </is>
      </c>
      <c r="C37" s="26">
        <f>VLOOKUP(B37,'Data qoq'!$A:$AT,MATCH($C$1,'Data qoq'!$A$1:$AT$1,),)</f>
        <v/>
      </c>
      <c r="D37" s="26">
        <f>VLOOKUP(B37,'Data qoq'!$A:$AT,MATCH($D$1,'Data qoq'!$A$1:$AT$1,),)</f>
        <v/>
      </c>
      <c r="E37" s="26">
        <f>VLOOKUP(B37,'Data qoq'!$A:$AT,MATCH($E$1,'Data qoq'!$A$1:$AT$1,),)</f>
        <v/>
      </c>
      <c r="F37" s="26">
        <f>VLOOKUP(B37,'Data qoq'!$A:$AT,MATCH($F$1,'Data qoq'!$A$1:$AT$1,),)</f>
        <v/>
      </c>
      <c r="G37" s="26">
        <f>VLOOKUP(B37,'Data qoq'!$A:$AT,MATCH($G$1,'Data qoq'!$A$1:$AT$1,),)</f>
        <v/>
      </c>
      <c r="H37" s="26">
        <f>VLOOKUP(B37,'Data qoq'!$A:$AT,MATCH($H$1,'Data qoq'!$A$1:$AT$1,),)</f>
        <v/>
      </c>
      <c r="I37" s="26">
        <f>VLOOKUP(B37,'Data qoq'!$A:$AT,MATCH($I$1,'Data qoq'!$A$1:$AT$1,),)</f>
        <v/>
      </c>
      <c r="J37" s="26">
        <f>VLOOKUP(B37,'Data qoq'!$A:$AT,MATCH($J$1,'Data qoq'!$A$1:$AT$1,),)</f>
        <v/>
      </c>
      <c r="K37" s="26">
        <f>VLOOKUP(B37,'Data qoq'!$A:$AT,MATCH($K$1,'Data qoq'!$A$1:$AT$1,),)</f>
        <v/>
      </c>
      <c r="L37" s="26">
        <f>VLOOKUP(B37,'Data qoq'!$A:$AT,MATCH($L$1,'Data qoq'!$A$1:$AT$1,),)</f>
        <v/>
      </c>
      <c r="M37" s="26">
        <f>VLOOKUP(B37,'Data qoq'!$A:$AT,MATCH($M$1,'Data qoq'!$A$1:$AT$1,),)</f>
        <v/>
      </c>
      <c r="N37" s="26">
        <f>VLOOKUP(B37,'Data qoq'!$A:$AT,MATCH($N$1,'Data qoq'!$A$1:$AT$1,),)</f>
        <v/>
      </c>
      <c r="O37" s="26">
        <f>VLOOKUP(B37,'Data qoq'!$A:$AT,MATCH($C$1,'Data qoq'!$J$1:$AT$1,),)</f>
        <v/>
      </c>
      <c r="P37" s="26">
        <f>VLOOKUP(B37,'Data qoq'!$A:$AT,MATCH($P$1,'Data qoq'!$A$1:$AT$1,),)</f>
        <v/>
      </c>
      <c r="Q37" s="26">
        <f>VLOOKUP(B37,'Data qoq'!$A:$AT,MATCH($Q$1,'Data qoq'!$A$1:$AT$1,),)</f>
        <v/>
      </c>
      <c r="R37" s="26">
        <f>VLOOKUP(B37,'Data qoq'!$A:$AT,MATCH($E$1,'Data qoq'!$A$1:$AT$1,),)</f>
        <v/>
      </c>
      <c r="S37" s="26">
        <f>VLOOKUP(B37,'Data qoq'!$A:$AT,MATCH($S$1,'Data qoq'!$A$1:$AT$1,),)</f>
        <v/>
      </c>
      <c r="T37" s="26">
        <f>VLOOKUP(B37,'Data qoq'!$A:$AT,MATCH($T$1,'Data qoq'!$A$1:$AT$1,),)</f>
        <v/>
      </c>
      <c r="U37" s="26">
        <f>VLOOKUP(B37,'Data qoq'!$A:$AT,MATCH($U$1,'Data qoq'!$A$1:$AT$1,),)</f>
        <v/>
      </c>
      <c r="V37" s="26">
        <f>VLOOKUP(B37,'Data qoq'!$A:$AT,MATCH($V$1,'Data qoq'!$A$1:$AT$1,),)</f>
        <v/>
      </c>
      <c r="W37" s="26">
        <f>VLOOKUP(B37,'Data qoq'!$A:$AT,MATCH($W$1,'Data qoq'!$A$1:$AT$1,),)</f>
        <v/>
      </c>
      <c r="X37" s="26">
        <f>VLOOKUP(B37,'Data qoq'!$A:$AT,MATCH($X$1,'Data qoq'!$A$1:$AT$1,),)</f>
        <v/>
      </c>
      <c r="Y37" s="26">
        <f>VLOOKUP(B37,'Data qoq'!$A:$AT,MATCH($Y$1,'Data qoq'!$A$1:$AT$1,),)</f>
        <v/>
      </c>
      <c r="Z37" s="26">
        <f>VLOOKUP(B37,'Data qoq'!$A:$AU,MATCH($Z$1,'Data qoq'!$A$1:$AU$1,),)</f>
        <v/>
      </c>
      <c r="AA37" s="26">
        <f>VLOOKUP(B37,'Data qoq'!$A:$AU,MATCH($AA$1,'Data qoq'!$A$1:$AU$1,),)</f>
        <v/>
      </c>
      <c r="AC37" s="27">
        <f>B37</f>
        <v/>
      </c>
      <c r="AD37" s="28">
        <f>(VLOOKUP(AC37,B:Y,MATCH($AE$6,$B$1:$Y$1,),))-(VLOOKUP(AC37,B:Y,MATCH($AE$7,$B$1:$Y$1,),))</f>
        <v/>
      </c>
      <c r="AE37" s="28">
        <f>C37-G37</f>
        <v/>
      </c>
    </row>
    <row r="38" hidden="1" s="89">
      <c r="B38" s="25" t="inlineStr">
        <is>
          <t>2006-Q4</t>
        </is>
      </c>
      <c r="C38" s="26">
        <f>VLOOKUP(B38,'Data qoq'!$A:$AT,MATCH($C$1,'Data qoq'!$A$1:$AT$1,),)</f>
        <v/>
      </c>
      <c r="D38" s="26">
        <f>VLOOKUP(B38,'Data qoq'!$A:$AT,MATCH($D$1,'Data qoq'!$A$1:$AT$1,),)</f>
        <v/>
      </c>
      <c r="E38" s="26">
        <f>VLOOKUP(B38,'Data qoq'!$A:$AT,MATCH($E$1,'Data qoq'!$A$1:$AT$1,),)</f>
        <v/>
      </c>
      <c r="F38" s="26">
        <f>VLOOKUP(B38,'Data qoq'!$A:$AT,MATCH($F$1,'Data qoq'!$A$1:$AT$1,),)</f>
        <v/>
      </c>
      <c r="G38" s="26">
        <f>VLOOKUP(B38,'Data qoq'!$A:$AT,MATCH($G$1,'Data qoq'!$A$1:$AT$1,),)</f>
        <v/>
      </c>
      <c r="H38" s="26">
        <f>VLOOKUP(B38,'Data qoq'!$A:$AT,MATCH($H$1,'Data qoq'!$A$1:$AT$1,),)</f>
        <v/>
      </c>
      <c r="I38" s="26">
        <f>VLOOKUP(B38,'Data qoq'!$A:$AT,MATCH($I$1,'Data qoq'!$A$1:$AT$1,),)</f>
        <v/>
      </c>
      <c r="J38" s="26">
        <f>VLOOKUP(B38,'Data qoq'!$A:$AT,MATCH($J$1,'Data qoq'!$A$1:$AT$1,),)</f>
        <v/>
      </c>
      <c r="K38" s="26">
        <f>VLOOKUP(B38,'Data qoq'!$A:$AT,MATCH($K$1,'Data qoq'!$A$1:$AT$1,),)</f>
        <v/>
      </c>
      <c r="L38" s="26">
        <f>VLOOKUP(B38,'Data qoq'!$A:$AT,MATCH($L$1,'Data qoq'!$A$1:$AT$1,),)</f>
        <v/>
      </c>
      <c r="M38" s="26">
        <f>VLOOKUP(B38,'Data qoq'!$A:$AT,MATCH($M$1,'Data qoq'!$A$1:$AT$1,),)</f>
        <v/>
      </c>
      <c r="N38" s="26">
        <f>VLOOKUP(B38,'Data qoq'!$A:$AT,MATCH($N$1,'Data qoq'!$A$1:$AT$1,),)</f>
        <v/>
      </c>
      <c r="O38" s="26">
        <f>VLOOKUP(B38,'Data qoq'!$A:$AT,MATCH($C$1,'Data qoq'!$J$1:$AT$1,),)</f>
        <v/>
      </c>
      <c r="P38" s="26">
        <f>VLOOKUP(B38,'Data qoq'!$A:$AT,MATCH($P$1,'Data qoq'!$A$1:$AT$1,),)</f>
        <v/>
      </c>
      <c r="Q38" s="26">
        <f>VLOOKUP(B38,'Data qoq'!$A:$AT,MATCH($Q$1,'Data qoq'!$A$1:$AT$1,),)</f>
        <v/>
      </c>
      <c r="R38" s="26">
        <f>VLOOKUP(B38,'Data qoq'!$A:$AT,MATCH($E$1,'Data qoq'!$A$1:$AT$1,),)</f>
        <v/>
      </c>
      <c r="S38" s="26">
        <f>VLOOKUP(B38,'Data qoq'!$A:$AT,MATCH($S$1,'Data qoq'!$A$1:$AT$1,),)</f>
        <v/>
      </c>
      <c r="T38" s="26">
        <f>VLOOKUP(B38,'Data qoq'!$A:$AT,MATCH($T$1,'Data qoq'!$A$1:$AT$1,),)</f>
        <v/>
      </c>
      <c r="U38" s="26">
        <f>VLOOKUP(B38,'Data qoq'!$A:$AT,MATCH($U$1,'Data qoq'!$A$1:$AT$1,),)</f>
        <v/>
      </c>
      <c r="V38" s="26">
        <f>VLOOKUP(B38,'Data qoq'!$A:$AT,MATCH($V$1,'Data qoq'!$A$1:$AT$1,),)</f>
        <v/>
      </c>
      <c r="W38" s="26">
        <f>VLOOKUP(B38,'Data qoq'!$A:$AT,MATCH($W$1,'Data qoq'!$A$1:$AT$1,),)</f>
        <v/>
      </c>
      <c r="X38" s="26">
        <f>VLOOKUP(B38,'Data qoq'!$A:$AT,MATCH($X$1,'Data qoq'!$A$1:$AT$1,),)</f>
        <v/>
      </c>
      <c r="Y38" s="26">
        <f>VLOOKUP(B38,'Data qoq'!$A:$AT,MATCH($Y$1,'Data qoq'!$A$1:$AT$1,),)</f>
        <v/>
      </c>
      <c r="Z38" s="26">
        <f>VLOOKUP(B38,'Data qoq'!$A:$AU,MATCH($Z$1,'Data qoq'!$A$1:$AU$1,),)</f>
        <v/>
      </c>
      <c r="AA38" s="26">
        <f>VLOOKUP(B38,'Data qoq'!$A:$AU,MATCH($AA$1,'Data qoq'!$A$1:$AU$1,),)</f>
        <v/>
      </c>
      <c r="AC38" s="27">
        <f>B38</f>
        <v/>
      </c>
      <c r="AD38" s="28">
        <f>(VLOOKUP(AC38,B:Y,MATCH($AE$6,$B$1:$Y$1,),))-(VLOOKUP(AC38,B:Y,MATCH($AE$7,$B$1:$Y$1,),))</f>
        <v/>
      </c>
      <c r="AE38" s="28">
        <f>C38-G38</f>
        <v/>
      </c>
    </row>
    <row r="39" hidden="1" s="89">
      <c r="B39" s="25" t="inlineStr">
        <is>
          <t>2007-Q1</t>
        </is>
      </c>
      <c r="C39" s="26">
        <f>VLOOKUP(B39,'Data qoq'!$A:$AT,MATCH($C$1,'Data qoq'!$A$1:$AT$1,),)</f>
        <v/>
      </c>
      <c r="D39" s="26">
        <f>VLOOKUP(B39,'Data qoq'!$A:$AT,MATCH($D$1,'Data qoq'!$A$1:$AT$1,),)</f>
        <v/>
      </c>
      <c r="E39" s="26">
        <f>VLOOKUP(B39,'Data qoq'!$A:$AT,MATCH($E$1,'Data qoq'!$A$1:$AT$1,),)</f>
        <v/>
      </c>
      <c r="F39" s="26">
        <f>VLOOKUP(B39,'Data qoq'!$A:$AT,MATCH($F$1,'Data qoq'!$A$1:$AT$1,),)</f>
        <v/>
      </c>
      <c r="G39" s="26">
        <f>VLOOKUP(B39,'Data qoq'!$A:$AT,MATCH($G$1,'Data qoq'!$A$1:$AT$1,),)</f>
        <v/>
      </c>
      <c r="H39" s="26">
        <f>VLOOKUP(B39,'Data qoq'!$A:$AT,MATCH($H$1,'Data qoq'!$A$1:$AT$1,),)</f>
        <v/>
      </c>
      <c r="I39" s="26">
        <f>VLOOKUP(B39,'Data qoq'!$A:$AT,MATCH($I$1,'Data qoq'!$A$1:$AT$1,),)</f>
        <v/>
      </c>
      <c r="J39" s="26">
        <f>VLOOKUP(B39,'Data qoq'!$A:$AT,MATCH($J$1,'Data qoq'!$A$1:$AT$1,),)</f>
        <v/>
      </c>
      <c r="K39" s="26">
        <f>VLOOKUP(B39,'Data qoq'!$A:$AT,MATCH($K$1,'Data qoq'!$A$1:$AT$1,),)</f>
        <v/>
      </c>
      <c r="L39" s="26">
        <f>VLOOKUP(B39,'Data qoq'!$A:$AT,MATCH($L$1,'Data qoq'!$A$1:$AT$1,),)</f>
        <v/>
      </c>
      <c r="M39" s="26">
        <f>VLOOKUP(B39,'Data qoq'!$A:$AT,MATCH($M$1,'Data qoq'!$A$1:$AT$1,),)</f>
        <v/>
      </c>
      <c r="N39" s="26">
        <f>VLOOKUP(B39,'Data qoq'!$A:$AT,MATCH($N$1,'Data qoq'!$A$1:$AT$1,),)</f>
        <v/>
      </c>
      <c r="O39" s="26">
        <f>VLOOKUP(B39,'Data qoq'!$A:$AT,MATCH($C$1,'Data qoq'!$J$1:$AT$1,),)</f>
        <v/>
      </c>
      <c r="P39" s="26">
        <f>VLOOKUP(B39,'Data qoq'!$A:$AT,MATCH($P$1,'Data qoq'!$A$1:$AT$1,),)</f>
        <v/>
      </c>
      <c r="Q39" s="26">
        <f>VLOOKUP(B39,'Data qoq'!$A:$AT,MATCH($Q$1,'Data qoq'!$A$1:$AT$1,),)</f>
        <v/>
      </c>
      <c r="R39" s="26">
        <f>VLOOKUP(B39,'Data qoq'!$A:$AT,MATCH($E$1,'Data qoq'!$A$1:$AT$1,),)</f>
        <v/>
      </c>
      <c r="S39" s="26">
        <f>VLOOKUP(B39,'Data qoq'!$A:$AT,MATCH($S$1,'Data qoq'!$A$1:$AT$1,),)</f>
        <v/>
      </c>
      <c r="T39" s="26">
        <f>VLOOKUP(B39,'Data qoq'!$A:$AT,MATCH($T$1,'Data qoq'!$A$1:$AT$1,),)</f>
        <v/>
      </c>
      <c r="U39" s="26">
        <f>VLOOKUP(B39,'Data qoq'!$A:$AT,MATCH($U$1,'Data qoq'!$A$1:$AT$1,),)</f>
        <v/>
      </c>
      <c r="V39" s="26">
        <f>VLOOKUP(B39,'Data qoq'!$A:$AT,MATCH($V$1,'Data qoq'!$A$1:$AT$1,),)</f>
        <v/>
      </c>
      <c r="W39" s="26">
        <f>VLOOKUP(B39,'Data qoq'!$A:$AT,MATCH($W$1,'Data qoq'!$A$1:$AT$1,),)</f>
        <v/>
      </c>
      <c r="X39" s="26">
        <f>VLOOKUP(B39,'Data qoq'!$A:$AT,MATCH($X$1,'Data qoq'!$A$1:$AT$1,),)</f>
        <v/>
      </c>
      <c r="Y39" s="26">
        <f>VLOOKUP(B39,'Data qoq'!$A:$AT,MATCH($Y$1,'Data qoq'!$A$1:$AT$1,),)</f>
        <v/>
      </c>
      <c r="Z39" s="26">
        <f>VLOOKUP(B39,'Data qoq'!$A:$AU,MATCH($Z$1,'Data qoq'!$A$1:$AU$1,),)</f>
        <v/>
      </c>
      <c r="AA39" s="26">
        <f>VLOOKUP(B39,'Data qoq'!$A:$AU,MATCH($AA$1,'Data qoq'!$A$1:$AU$1,),)</f>
        <v/>
      </c>
      <c r="AC39" s="27">
        <f>B39</f>
        <v/>
      </c>
      <c r="AD39" s="28">
        <f>(VLOOKUP(AC39,B:Y,MATCH($AE$6,$B$1:$Y$1,),))-(VLOOKUP(AC39,B:Y,MATCH($AE$7,$B$1:$Y$1,),))</f>
        <v/>
      </c>
      <c r="AE39" s="28">
        <f>C39-G39</f>
        <v/>
      </c>
    </row>
    <row r="40" hidden="1" s="89">
      <c r="B40" s="25" t="inlineStr">
        <is>
          <t>2007-Q2</t>
        </is>
      </c>
      <c r="C40" s="26">
        <f>VLOOKUP(B40,'Data qoq'!$A:$AT,MATCH($C$1,'Data qoq'!$A$1:$AT$1,),)</f>
        <v/>
      </c>
      <c r="D40" s="26">
        <f>VLOOKUP(B40,'Data qoq'!$A:$AT,MATCH($D$1,'Data qoq'!$A$1:$AT$1,),)</f>
        <v/>
      </c>
      <c r="E40" s="26">
        <f>VLOOKUP(B40,'Data qoq'!$A:$AT,MATCH($E$1,'Data qoq'!$A$1:$AT$1,),)</f>
        <v/>
      </c>
      <c r="F40" s="26">
        <f>VLOOKUP(B40,'Data qoq'!$A:$AT,MATCH($F$1,'Data qoq'!$A$1:$AT$1,),)</f>
        <v/>
      </c>
      <c r="G40" s="26">
        <f>VLOOKUP(B40,'Data qoq'!$A:$AT,MATCH($G$1,'Data qoq'!$A$1:$AT$1,),)</f>
        <v/>
      </c>
      <c r="H40" s="26">
        <f>VLOOKUP(B40,'Data qoq'!$A:$AT,MATCH($H$1,'Data qoq'!$A$1:$AT$1,),)</f>
        <v/>
      </c>
      <c r="I40" s="26">
        <f>VLOOKUP(B40,'Data qoq'!$A:$AT,MATCH($I$1,'Data qoq'!$A$1:$AT$1,),)</f>
        <v/>
      </c>
      <c r="J40" s="26">
        <f>VLOOKUP(B40,'Data qoq'!$A:$AT,MATCH($J$1,'Data qoq'!$A$1:$AT$1,),)</f>
        <v/>
      </c>
      <c r="K40" s="26">
        <f>VLOOKUP(B40,'Data qoq'!$A:$AT,MATCH($K$1,'Data qoq'!$A$1:$AT$1,),)</f>
        <v/>
      </c>
      <c r="L40" s="26">
        <f>VLOOKUP(B40,'Data qoq'!$A:$AT,MATCH($L$1,'Data qoq'!$A$1:$AT$1,),)</f>
        <v/>
      </c>
      <c r="M40" s="26">
        <f>VLOOKUP(B40,'Data qoq'!$A:$AT,MATCH($M$1,'Data qoq'!$A$1:$AT$1,),)</f>
        <v/>
      </c>
      <c r="N40" s="26">
        <f>VLOOKUP(B40,'Data qoq'!$A:$AT,MATCH($N$1,'Data qoq'!$A$1:$AT$1,),)</f>
        <v/>
      </c>
      <c r="O40" s="26">
        <f>VLOOKUP(B40,'Data qoq'!$A:$AT,MATCH($C$1,'Data qoq'!$J$1:$AT$1,),)</f>
        <v/>
      </c>
      <c r="P40" s="26">
        <f>VLOOKUP(B40,'Data qoq'!$A:$AT,MATCH($P$1,'Data qoq'!$A$1:$AT$1,),)</f>
        <v/>
      </c>
      <c r="Q40" s="26">
        <f>VLOOKUP(B40,'Data qoq'!$A:$AT,MATCH($Q$1,'Data qoq'!$A$1:$AT$1,),)</f>
        <v/>
      </c>
      <c r="R40" s="26">
        <f>VLOOKUP(B40,'Data qoq'!$A:$AT,MATCH($E$1,'Data qoq'!$A$1:$AT$1,),)</f>
        <v/>
      </c>
      <c r="S40" s="26">
        <f>VLOOKUP(B40,'Data qoq'!$A:$AT,MATCH($S$1,'Data qoq'!$A$1:$AT$1,),)</f>
        <v/>
      </c>
      <c r="T40" s="26">
        <f>VLOOKUP(B40,'Data qoq'!$A:$AT,MATCH($T$1,'Data qoq'!$A$1:$AT$1,),)</f>
        <v/>
      </c>
      <c r="U40" s="26">
        <f>VLOOKUP(B40,'Data qoq'!$A:$AT,MATCH($U$1,'Data qoq'!$A$1:$AT$1,),)</f>
        <v/>
      </c>
      <c r="V40" s="26">
        <f>VLOOKUP(B40,'Data qoq'!$A:$AT,MATCH($V$1,'Data qoq'!$A$1:$AT$1,),)</f>
        <v/>
      </c>
      <c r="W40" s="26">
        <f>VLOOKUP(B40,'Data qoq'!$A:$AT,MATCH($W$1,'Data qoq'!$A$1:$AT$1,),)</f>
        <v/>
      </c>
      <c r="X40" s="26">
        <f>VLOOKUP(B40,'Data qoq'!$A:$AT,MATCH($X$1,'Data qoq'!$A$1:$AT$1,),)</f>
        <v/>
      </c>
      <c r="Y40" s="26">
        <f>VLOOKUP(B40,'Data qoq'!$A:$AT,MATCH($Y$1,'Data qoq'!$A$1:$AT$1,),)</f>
        <v/>
      </c>
      <c r="Z40" s="26">
        <f>VLOOKUP(B40,'Data qoq'!$A:$AU,MATCH($Z$1,'Data qoq'!$A$1:$AU$1,),)</f>
        <v/>
      </c>
      <c r="AA40" s="26">
        <f>VLOOKUP(B40,'Data qoq'!$A:$AU,MATCH($AA$1,'Data qoq'!$A$1:$AU$1,),)</f>
        <v/>
      </c>
      <c r="AC40" s="27">
        <f>B40</f>
        <v/>
      </c>
      <c r="AD40" s="28">
        <f>(VLOOKUP(AC40,B:Y,MATCH($AE$6,$B$1:$Y$1,),))-(VLOOKUP(AC40,B:Y,MATCH($AE$7,$B$1:$Y$1,),))</f>
        <v/>
      </c>
      <c r="AE40" s="28">
        <f>C40-G40</f>
        <v/>
      </c>
    </row>
    <row r="41" hidden="1" s="89">
      <c r="B41" s="25" t="inlineStr">
        <is>
          <t>2007-Q3</t>
        </is>
      </c>
      <c r="C41" s="26">
        <f>VLOOKUP(B41,'Data qoq'!$A:$AT,MATCH($C$1,'Data qoq'!$A$1:$AT$1,),)</f>
        <v/>
      </c>
      <c r="D41" s="26">
        <f>VLOOKUP(B41,'Data qoq'!$A:$AT,MATCH($D$1,'Data qoq'!$A$1:$AT$1,),)</f>
        <v/>
      </c>
      <c r="E41" s="26">
        <f>VLOOKUP(B41,'Data qoq'!$A:$AT,MATCH($E$1,'Data qoq'!$A$1:$AT$1,),)</f>
        <v/>
      </c>
      <c r="F41" s="26">
        <f>VLOOKUP(B41,'Data qoq'!$A:$AT,MATCH($F$1,'Data qoq'!$A$1:$AT$1,),)</f>
        <v/>
      </c>
      <c r="G41" s="26">
        <f>VLOOKUP(B41,'Data qoq'!$A:$AT,MATCH($G$1,'Data qoq'!$A$1:$AT$1,),)</f>
        <v/>
      </c>
      <c r="H41" s="26">
        <f>VLOOKUP(B41,'Data qoq'!$A:$AT,MATCH($H$1,'Data qoq'!$A$1:$AT$1,),)</f>
        <v/>
      </c>
      <c r="I41" s="26">
        <f>VLOOKUP(B41,'Data qoq'!$A:$AT,MATCH($I$1,'Data qoq'!$A$1:$AT$1,),)</f>
        <v/>
      </c>
      <c r="J41" s="26">
        <f>VLOOKUP(B41,'Data qoq'!$A:$AT,MATCH($J$1,'Data qoq'!$A$1:$AT$1,),)</f>
        <v/>
      </c>
      <c r="K41" s="26">
        <f>VLOOKUP(B41,'Data qoq'!$A:$AT,MATCH($K$1,'Data qoq'!$A$1:$AT$1,),)</f>
        <v/>
      </c>
      <c r="L41" s="26">
        <f>VLOOKUP(B41,'Data qoq'!$A:$AT,MATCH($L$1,'Data qoq'!$A$1:$AT$1,),)</f>
        <v/>
      </c>
      <c r="M41" s="26">
        <f>VLOOKUP(B41,'Data qoq'!$A:$AT,MATCH($M$1,'Data qoq'!$A$1:$AT$1,),)</f>
        <v/>
      </c>
      <c r="N41" s="26">
        <f>VLOOKUP(B41,'Data qoq'!$A:$AT,MATCH($N$1,'Data qoq'!$A$1:$AT$1,),)</f>
        <v/>
      </c>
      <c r="O41" s="26">
        <f>VLOOKUP(B41,'Data qoq'!$A:$AT,MATCH($C$1,'Data qoq'!$J$1:$AT$1,),)</f>
        <v/>
      </c>
      <c r="P41" s="26">
        <f>VLOOKUP(B41,'Data qoq'!$A:$AT,MATCH($P$1,'Data qoq'!$A$1:$AT$1,),)</f>
        <v/>
      </c>
      <c r="Q41" s="26">
        <f>VLOOKUP(B41,'Data qoq'!$A:$AT,MATCH($Q$1,'Data qoq'!$A$1:$AT$1,),)</f>
        <v/>
      </c>
      <c r="R41" s="26">
        <f>VLOOKUP(B41,'Data qoq'!$A:$AT,MATCH($E$1,'Data qoq'!$A$1:$AT$1,),)</f>
        <v/>
      </c>
      <c r="S41" s="26">
        <f>VLOOKUP(B41,'Data qoq'!$A:$AT,MATCH($S$1,'Data qoq'!$A$1:$AT$1,),)</f>
        <v/>
      </c>
      <c r="T41" s="26">
        <f>VLOOKUP(B41,'Data qoq'!$A:$AT,MATCH($T$1,'Data qoq'!$A$1:$AT$1,),)</f>
        <v/>
      </c>
      <c r="U41" s="26">
        <f>VLOOKUP(B41,'Data qoq'!$A:$AT,MATCH($U$1,'Data qoq'!$A$1:$AT$1,),)</f>
        <v/>
      </c>
      <c r="V41" s="26">
        <f>VLOOKUP(B41,'Data qoq'!$A:$AT,MATCH($V$1,'Data qoq'!$A$1:$AT$1,),)</f>
        <v/>
      </c>
      <c r="W41" s="26">
        <f>VLOOKUP(B41,'Data qoq'!$A:$AT,MATCH($W$1,'Data qoq'!$A$1:$AT$1,),)</f>
        <v/>
      </c>
      <c r="X41" s="26">
        <f>VLOOKUP(B41,'Data qoq'!$A:$AT,MATCH($X$1,'Data qoq'!$A$1:$AT$1,),)</f>
        <v/>
      </c>
      <c r="Y41" s="26">
        <f>VLOOKUP(B41,'Data qoq'!$A:$AT,MATCH($Y$1,'Data qoq'!$A$1:$AT$1,),)</f>
        <v/>
      </c>
      <c r="Z41" s="26">
        <f>VLOOKUP(B41,'Data qoq'!$A:$AU,MATCH($Z$1,'Data qoq'!$A$1:$AU$1,),)</f>
        <v/>
      </c>
      <c r="AA41" s="26">
        <f>VLOOKUP(B41,'Data qoq'!$A:$AU,MATCH($AA$1,'Data qoq'!$A$1:$AU$1,),)</f>
        <v/>
      </c>
      <c r="AC41" s="27">
        <f>B41</f>
        <v/>
      </c>
      <c r="AD41" s="28">
        <f>(VLOOKUP(AC41,B:Y,MATCH($AE$6,$B$1:$Y$1,),))-(VLOOKUP(AC41,B:Y,MATCH($AE$7,$B$1:$Y$1,),))</f>
        <v/>
      </c>
      <c r="AE41" s="28">
        <f>C41-G41</f>
        <v/>
      </c>
    </row>
    <row r="42" hidden="1" s="89">
      <c r="B42" s="25" t="inlineStr">
        <is>
          <t>2007-Q4</t>
        </is>
      </c>
      <c r="C42" s="26">
        <f>VLOOKUP(B42,'Data qoq'!$A:$AT,MATCH($C$1,'Data qoq'!$A$1:$AT$1,),)</f>
        <v/>
      </c>
      <c r="D42" s="26">
        <f>VLOOKUP(B42,'Data qoq'!$A:$AT,MATCH($D$1,'Data qoq'!$A$1:$AT$1,),)</f>
        <v/>
      </c>
      <c r="E42" s="26">
        <f>VLOOKUP(B42,'Data qoq'!$A:$AT,MATCH($E$1,'Data qoq'!$A$1:$AT$1,),)</f>
        <v/>
      </c>
      <c r="F42" s="26">
        <f>VLOOKUP(B42,'Data qoq'!$A:$AT,MATCH($F$1,'Data qoq'!$A$1:$AT$1,),)</f>
        <v/>
      </c>
      <c r="G42" s="26">
        <f>VLOOKUP(B42,'Data qoq'!$A:$AT,MATCH($G$1,'Data qoq'!$A$1:$AT$1,),)</f>
        <v/>
      </c>
      <c r="H42" s="26">
        <f>VLOOKUP(B42,'Data qoq'!$A:$AT,MATCH($H$1,'Data qoq'!$A$1:$AT$1,),)</f>
        <v/>
      </c>
      <c r="I42" s="26">
        <f>VLOOKUP(B42,'Data qoq'!$A:$AT,MATCH($I$1,'Data qoq'!$A$1:$AT$1,),)</f>
        <v/>
      </c>
      <c r="J42" s="26">
        <f>VLOOKUP(B42,'Data qoq'!$A:$AT,MATCH($J$1,'Data qoq'!$A$1:$AT$1,),)</f>
        <v/>
      </c>
      <c r="K42" s="26">
        <f>VLOOKUP(B42,'Data qoq'!$A:$AT,MATCH($K$1,'Data qoq'!$A$1:$AT$1,),)</f>
        <v/>
      </c>
      <c r="L42" s="26">
        <f>VLOOKUP(B42,'Data qoq'!$A:$AT,MATCH($L$1,'Data qoq'!$A$1:$AT$1,),)</f>
        <v/>
      </c>
      <c r="M42" s="26">
        <f>VLOOKUP(B42,'Data qoq'!$A:$AT,MATCH($M$1,'Data qoq'!$A$1:$AT$1,),)</f>
        <v/>
      </c>
      <c r="N42" s="26">
        <f>VLOOKUP(B42,'Data qoq'!$A:$AT,MATCH($N$1,'Data qoq'!$A$1:$AT$1,),)</f>
        <v/>
      </c>
      <c r="O42" s="26">
        <f>VLOOKUP(B42,'Data qoq'!$A:$AT,MATCH($C$1,'Data qoq'!$J$1:$AT$1,),)</f>
        <v/>
      </c>
      <c r="P42" s="26">
        <f>VLOOKUP(B42,'Data qoq'!$A:$AT,MATCH($P$1,'Data qoq'!$A$1:$AT$1,),)</f>
        <v/>
      </c>
      <c r="Q42" s="26">
        <f>VLOOKUP(B42,'Data qoq'!$A:$AT,MATCH($Q$1,'Data qoq'!$A$1:$AT$1,),)</f>
        <v/>
      </c>
      <c r="R42" s="26">
        <f>VLOOKUP(B42,'Data qoq'!$A:$AT,MATCH($E$1,'Data qoq'!$A$1:$AT$1,),)</f>
        <v/>
      </c>
      <c r="S42" s="26">
        <f>VLOOKUP(B42,'Data qoq'!$A:$AT,MATCH($S$1,'Data qoq'!$A$1:$AT$1,),)</f>
        <v/>
      </c>
      <c r="T42" s="26">
        <f>VLOOKUP(B42,'Data qoq'!$A:$AT,MATCH($T$1,'Data qoq'!$A$1:$AT$1,),)</f>
        <v/>
      </c>
      <c r="U42" s="26">
        <f>VLOOKUP(B42,'Data qoq'!$A:$AT,MATCH($U$1,'Data qoq'!$A$1:$AT$1,),)</f>
        <v/>
      </c>
      <c r="V42" s="26">
        <f>VLOOKUP(B42,'Data qoq'!$A:$AT,MATCH($V$1,'Data qoq'!$A$1:$AT$1,),)</f>
        <v/>
      </c>
      <c r="W42" s="26">
        <f>VLOOKUP(B42,'Data qoq'!$A:$AT,MATCH($W$1,'Data qoq'!$A$1:$AT$1,),)</f>
        <v/>
      </c>
      <c r="X42" s="26">
        <f>VLOOKUP(B42,'Data qoq'!$A:$AT,MATCH($X$1,'Data qoq'!$A$1:$AT$1,),)</f>
        <v/>
      </c>
      <c r="Y42" s="26">
        <f>VLOOKUP(B42,'Data qoq'!$A:$AT,MATCH($Y$1,'Data qoq'!$A$1:$AT$1,),)</f>
        <v/>
      </c>
      <c r="Z42" s="26">
        <f>VLOOKUP(B42,'Data qoq'!$A:$AU,MATCH($Z$1,'Data qoq'!$A$1:$AU$1,),)</f>
        <v/>
      </c>
      <c r="AA42" s="26">
        <f>VLOOKUP(B42,'Data qoq'!$A:$AU,MATCH($AA$1,'Data qoq'!$A$1:$AU$1,),)</f>
        <v/>
      </c>
      <c r="AC42" s="27">
        <f>B42</f>
        <v/>
      </c>
      <c r="AD42" s="28">
        <f>(VLOOKUP(AC42,B:Y,MATCH($AE$6,$B$1:$Y$1,),))-(VLOOKUP(AC42,B:Y,MATCH($AE$7,$B$1:$Y$1,),))</f>
        <v/>
      </c>
      <c r="AE42" s="28">
        <f>C42-G42</f>
        <v/>
      </c>
    </row>
    <row r="43" hidden="1" s="89">
      <c r="B43" s="25" t="inlineStr">
        <is>
          <t>2008-Q1</t>
        </is>
      </c>
      <c r="C43" s="26">
        <f>VLOOKUP(B43,'Data qoq'!$A:$AT,MATCH($C$1,'Data qoq'!$A$1:$AT$1,),)</f>
        <v/>
      </c>
      <c r="D43" s="26">
        <f>VLOOKUP(B43,'Data qoq'!$A:$AT,MATCH($D$1,'Data qoq'!$A$1:$AT$1,),)</f>
        <v/>
      </c>
      <c r="E43" s="26">
        <f>VLOOKUP(B43,'Data qoq'!$A:$AT,MATCH($E$1,'Data qoq'!$A$1:$AT$1,),)</f>
        <v/>
      </c>
      <c r="F43" s="26">
        <f>VLOOKUP(B43,'Data qoq'!$A:$AT,MATCH($F$1,'Data qoq'!$A$1:$AT$1,),)</f>
        <v/>
      </c>
      <c r="G43" s="26">
        <f>VLOOKUP(B43,'Data qoq'!$A:$AT,MATCH($G$1,'Data qoq'!$A$1:$AT$1,),)</f>
        <v/>
      </c>
      <c r="H43" s="26">
        <f>VLOOKUP(B43,'Data qoq'!$A:$AT,MATCH($H$1,'Data qoq'!$A$1:$AT$1,),)</f>
        <v/>
      </c>
      <c r="I43" s="26">
        <f>VLOOKUP(B43,'Data qoq'!$A:$AT,MATCH($I$1,'Data qoq'!$A$1:$AT$1,),)</f>
        <v/>
      </c>
      <c r="J43" s="26">
        <f>VLOOKUP(B43,'Data qoq'!$A:$AT,MATCH($J$1,'Data qoq'!$A$1:$AT$1,),)</f>
        <v/>
      </c>
      <c r="K43" s="26">
        <f>VLOOKUP(B43,'Data qoq'!$A:$AT,MATCH($K$1,'Data qoq'!$A$1:$AT$1,),)</f>
        <v/>
      </c>
      <c r="L43" s="26">
        <f>VLOOKUP(B43,'Data qoq'!$A:$AT,MATCH($L$1,'Data qoq'!$A$1:$AT$1,),)</f>
        <v/>
      </c>
      <c r="M43" s="26">
        <f>VLOOKUP(B43,'Data qoq'!$A:$AT,MATCH($M$1,'Data qoq'!$A$1:$AT$1,),)</f>
        <v/>
      </c>
      <c r="N43" s="26">
        <f>VLOOKUP(B43,'Data qoq'!$A:$AT,MATCH($N$1,'Data qoq'!$A$1:$AT$1,),)</f>
        <v/>
      </c>
      <c r="O43" s="26">
        <f>VLOOKUP(B43,'Data qoq'!$A:$AT,MATCH($C$1,'Data qoq'!$J$1:$AT$1,),)</f>
        <v/>
      </c>
      <c r="P43" s="26">
        <f>VLOOKUP(B43,'Data qoq'!$A:$AT,MATCH($P$1,'Data qoq'!$A$1:$AT$1,),)</f>
        <v/>
      </c>
      <c r="Q43" s="26">
        <f>VLOOKUP(B43,'Data qoq'!$A:$AT,MATCH($Q$1,'Data qoq'!$A$1:$AT$1,),)</f>
        <v/>
      </c>
      <c r="R43" s="26">
        <f>VLOOKUP(B43,'Data qoq'!$A:$AT,MATCH($E$1,'Data qoq'!$A$1:$AT$1,),)</f>
        <v/>
      </c>
      <c r="S43" s="26">
        <f>VLOOKUP(B43,'Data qoq'!$A:$AT,MATCH($S$1,'Data qoq'!$A$1:$AT$1,),)</f>
        <v/>
      </c>
      <c r="T43" s="26">
        <f>VLOOKUP(B43,'Data qoq'!$A:$AT,MATCH($T$1,'Data qoq'!$A$1:$AT$1,),)</f>
        <v/>
      </c>
      <c r="U43" s="26">
        <f>VLOOKUP(B43,'Data qoq'!$A:$AT,MATCH($U$1,'Data qoq'!$A$1:$AT$1,),)</f>
        <v/>
      </c>
      <c r="V43" s="26">
        <f>VLOOKUP(B43,'Data qoq'!$A:$AT,MATCH($V$1,'Data qoq'!$A$1:$AT$1,),)</f>
        <v/>
      </c>
      <c r="W43" s="26">
        <f>VLOOKUP(B43,'Data qoq'!$A:$AT,MATCH($W$1,'Data qoq'!$A$1:$AT$1,),)</f>
        <v/>
      </c>
      <c r="X43" s="26">
        <f>VLOOKUP(B43,'Data qoq'!$A:$AT,MATCH($X$1,'Data qoq'!$A$1:$AT$1,),)</f>
        <v/>
      </c>
      <c r="Y43" s="26">
        <f>VLOOKUP(B43,'Data qoq'!$A:$AT,MATCH($Y$1,'Data qoq'!$A$1:$AT$1,),)</f>
        <v/>
      </c>
      <c r="Z43" s="26">
        <f>VLOOKUP(B43,'Data qoq'!$A:$AU,MATCH($Z$1,'Data qoq'!$A$1:$AU$1,),)</f>
        <v/>
      </c>
      <c r="AA43" s="26">
        <f>VLOOKUP(B43,'Data qoq'!$A:$AU,MATCH($AA$1,'Data qoq'!$A$1:$AU$1,),)</f>
        <v/>
      </c>
      <c r="AC43" s="27">
        <f>B43</f>
        <v/>
      </c>
      <c r="AD43" s="28">
        <f>(VLOOKUP(AC43,B:Y,MATCH($AE$6,$B$1:$Y$1,),))-(VLOOKUP(AC43,B:Y,MATCH($AE$7,$B$1:$Y$1,),))</f>
        <v/>
      </c>
      <c r="AE43" s="28">
        <f>C43-G43</f>
        <v/>
      </c>
    </row>
    <row r="44" hidden="1" s="89">
      <c r="B44" s="25" t="inlineStr">
        <is>
          <t>2008-Q2</t>
        </is>
      </c>
      <c r="C44" s="26">
        <f>VLOOKUP(B44,'Data qoq'!$A:$AT,MATCH($C$1,'Data qoq'!$A$1:$AT$1,),)</f>
        <v/>
      </c>
      <c r="D44" s="26">
        <f>VLOOKUP(B44,'Data qoq'!$A:$AT,MATCH($D$1,'Data qoq'!$A$1:$AT$1,),)</f>
        <v/>
      </c>
      <c r="E44" s="26">
        <f>VLOOKUP(B44,'Data qoq'!$A:$AT,MATCH($E$1,'Data qoq'!$A$1:$AT$1,),)</f>
        <v/>
      </c>
      <c r="F44" s="26">
        <f>VLOOKUP(B44,'Data qoq'!$A:$AT,MATCH($F$1,'Data qoq'!$A$1:$AT$1,),)</f>
        <v/>
      </c>
      <c r="G44" s="26">
        <f>VLOOKUP(B44,'Data qoq'!$A:$AT,MATCH($G$1,'Data qoq'!$A$1:$AT$1,),)</f>
        <v/>
      </c>
      <c r="H44" s="26">
        <f>VLOOKUP(B44,'Data qoq'!$A:$AT,MATCH($H$1,'Data qoq'!$A$1:$AT$1,),)</f>
        <v/>
      </c>
      <c r="I44" s="26">
        <f>VLOOKUP(B44,'Data qoq'!$A:$AT,MATCH($I$1,'Data qoq'!$A$1:$AT$1,),)</f>
        <v/>
      </c>
      <c r="J44" s="26">
        <f>VLOOKUP(B44,'Data qoq'!$A:$AT,MATCH($J$1,'Data qoq'!$A$1:$AT$1,),)</f>
        <v/>
      </c>
      <c r="K44" s="26">
        <f>VLOOKUP(B44,'Data qoq'!$A:$AT,MATCH($K$1,'Data qoq'!$A$1:$AT$1,),)</f>
        <v/>
      </c>
      <c r="L44" s="26">
        <f>VLOOKUP(B44,'Data qoq'!$A:$AT,MATCH($L$1,'Data qoq'!$A$1:$AT$1,),)</f>
        <v/>
      </c>
      <c r="M44" s="26">
        <f>VLOOKUP(B44,'Data qoq'!$A:$AT,MATCH($M$1,'Data qoq'!$A$1:$AT$1,),)</f>
        <v/>
      </c>
      <c r="N44" s="26">
        <f>VLOOKUP(B44,'Data qoq'!$A:$AT,MATCH($N$1,'Data qoq'!$A$1:$AT$1,),)</f>
        <v/>
      </c>
      <c r="O44" s="26">
        <f>VLOOKUP(B44,'Data qoq'!$A:$AT,MATCH($C$1,'Data qoq'!$J$1:$AT$1,),)</f>
        <v/>
      </c>
      <c r="P44" s="26">
        <f>VLOOKUP(B44,'Data qoq'!$A:$AT,MATCH($P$1,'Data qoq'!$A$1:$AT$1,),)</f>
        <v/>
      </c>
      <c r="Q44" s="26">
        <f>VLOOKUP(B44,'Data qoq'!$A:$AT,MATCH($Q$1,'Data qoq'!$A$1:$AT$1,),)</f>
        <v/>
      </c>
      <c r="R44" s="26">
        <f>VLOOKUP(B44,'Data qoq'!$A:$AT,MATCH($E$1,'Data qoq'!$A$1:$AT$1,),)</f>
        <v/>
      </c>
      <c r="S44" s="26">
        <f>VLOOKUP(B44,'Data qoq'!$A:$AT,MATCH($S$1,'Data qoq'!$A$1:$AT$1,),)</f>
        <v/>
      </c>
      <c r="T44" s="26">
        <f>VLOOKUP(B44,'Data qoq'!$A:$AT,MATCH($T$1,'Data qoq'!$A$1:$AT$1,),)</f>
        <v/>
      </c>
      <c r="U44" s="26">
        <f>VLOOKUP(B44,'Data qoq'!$A:$AT,MATCH($U$1,'Data qoq'!$A$1:$AT$1,),)</f>
        <v/>
      </c>
      <c r="V44" s="26">
        <f>VLOOKUP(B44,'Data qoq'!$A:$AT,MATCH($V$1,'Data qoq'!$A$1:$AT$1,),)</f>
        <v/>
      </c>
      <c r="W44" s="26">
        <f>VLOOKUP(B44,'Data qoq'!$A:$AT,MATCH($W$1,'Data qoq'!$A$1:$AT$1,),)</f>
        <v/>
      </c>
      <c r="X44" s="26">
        <f>VLOOKUP(B44,'Data qoq'!$A:$AT,MATCH($X$1,'Data qoq'!$A$1:$AT$1,),)</f>
        <v/>
      </c>
      <c r="Y44" s="26">
        <f>VLOOKUP(B44,'Data qoq'!$A:$AT,MATCH($Y$1,'Data qoq'!$A$1:$AT$1,),)</f>
        <v/>
      </c>
      <c r="Z44" s="26">
        <f>VLOOKUP(B44,'Data qoq'!$A:$AU,MATCH($Z$1,'Data qoq'!$A$1:$AU$1,),)</f>
        <v/>
      </c>
      <c r="AA44" s="26">
        <f>VLOOKUP(B44,'Data qoq'!$A:$AU,MATCH($AA$1,'Data qoq'!$A$1:$AU$1,),)</f>
        <v/>
      </c>
      <c r="AC44" s="27">
        <f>B44</f>
        <v/>
      </c>
      <c r="AD44" s="28">
        <f>(VLOOKUP(AC44,B:Y,MATCH($AE$6,$B$1:$Y$1,),))-(VLOOKUP(AC44,B:Y,MATCH($AE$7,$B$1:$Y$1,),))</f>
        <v/>
      </c>
      <c r="AE44" s="28">
        <f>C44-G44</f>
        <v/>
      </c>
    </row>
    <row r="45" hidden="1" s="89">
      <c r="B45" s="25" t="inlineStr">
        <is>
          <t>2008-Q3</t>
        </is>
      </c>
      <c r="C45" s="26">
        <f>VLOOKUP(B45,'Data qoq'!$A:$AT,MATCH($C$1,'Data qoq'!$A$1:$AT$1,),)</f>
        <v/>
      </c>
      <c r="D45" s="26">
        <f>VLOOKUP(B45,'Data qoq'!$A:$AT,MATCH($D$1,'Data qoq'!$A$1:$AT$1,),)</f>
        <v/>
      </c>
      <c r="E45" s="26">
        <f>VLOOKUP(B45,'Data qoq'!$A:$AT,MATCH($E$1,'Data qoq'!$A$1:$AT$1,),)</f>
        <v/>
      </c>
      <c r="F45" s="26">
        <f>VLOOKUP(B45,'Data qoq'!$A:$AT,MATCH($F$1,'Data qoq'!$A$1:$AT$1,),)</f>
        <v/>
      </c>
      <c r="G45" s="26">
        <f>VLOOKUP(B45,'Data qoq'!$A:$AT,MATCH($G$1,'Data qoq'!$A$1:$AT$1,),)</f>
        <v/>
      </c>
      <c r="H45" s="26">
        <f>VLOOKUP(B45,'Data qoq'!$A:$AT,MATCH($H$1,'Data qoq'!$A$1:$AT$1,),)</f>
        <v/>
      </c>
      <c r="I45" s="26">
        <f>VLOOKUP(B45,'Data qoq'!$A:$AT,MATCH($I$1,'Data qoq'!$A$1:$AT$1,),)</f>
        <v/>
      </c>
      <c r="J45" s="26">
        <f>VLOOKUP(B45,'Data qoq'!$A:$AT,MATCH($J$1,'Data qoq'!$A$1:$AT$1,),)</f>
        <v/>
      </c>
      <c r="K45" s="26">
        <f>VLOOKUP(B45,'Data qoq'!$A:$AT,MATCH($K$1,'Data qoq'!$A$1:$AT$1,),)</f>
        <v/>
      </c>
      <c r="L45" s="26">
        <f>VLOOKUP(B45,'Data qoq'!$A:$AT,MATCH($L$1,'Data qoq'!$A$1:$AT$1,),)</f>
        <v/>
      </c>
      <c r="M45" s="26">
        <f>VLOOKUP(B45,'Data qoq'!$A:$AT,MATCH($M$1,'Data qoq'!$A$1:$AT$1,),)</f>
        <v/>
      </c>
      <c r="N45" s="26">
        <f>VLOOKUP(B45,'Data qoq'!$A:$AT,MATCH($N$1,'Data qoq'!$A$1:$AT$1,),)</f>
        <v/>
      </c>
      <c r="O45" s="26">
        <f>VLOOKUP(B45,'Data qoq'!$A:$AT,MATCH($C$1,'Data qoq'!$J$1:$AT$1,),)</f>
        <v/>
      </c>
      <c r="P45" s="26">
        <f>VLOOKUP(B45,'Data qoq'!$A:$AT,MATCH($P$1,'Data qoq'!$A$1:$AT$1,),)</f>
        <v/>
      </c>
      <c r="Q45" s="26">
        <f>VLOOKUP(B45,'Data qoq'!$A:$AT,MATCH($Q$1,'Data qoq'!$A$1:$AT$1,),)</f>
        <v/>
      </c>
      <c r="R45" s="26">
        <f>VLOOKUP(B45,'Data qoq'!$A:$AT,MATCH($E$1,'Data qoq'!$A$1:$AT$1,),)</f>
        <v/>
      </c>
      <c r="S45" s="26">
        <f>VLOOKUP(B45,'Data qoq'!$A:$AT,MATCH($S$1,'Data qoq'!$A$1:$AT$1,),)</f>
        <v/>
      </c>
      <c r="T45" s="26">
        <f>VLOOKUP(B45,'Data qoq'!$A:$AT,MATCH($T$1,'Data qoq'!$A$1:$AT$1,),)</f>
        <v/>
      </c>
      <c r="U45" s="26">
        <f>VLOOKUP(B45,'Data qoq'!$A:$AT,MATCH($U$1,'Data qoq'!$A$1:$AT$1,),)</f>
        <v/>
      </c>
      <c r="V45" s="26">
        <f>VLOOKUP(B45,'Data qoq'!$A:$AT,MATCH($V$1,'Data qoq'!$A$1:$AT$1,),)</f>
        <v/>
      </c>
      <c r="W45" s="26">
        <f>VLOOKUP(B45,'Data qoq'!$A:$AT,MATCH($W$1,'Data qoq'!$A$1:$AT$1,),)</f>
        <v/>
      </c>
      <c r="X45" s="26">
        <f>VLOOKUP(B45,'Data qoq'!$A:$AT,MATCH($X$1,'Data qoq'!$A$1:$AT$1,),)</f>
        <v/>
      </c>
      <c r="Y45" s="26">
        <f>VLOOKUP(B45,'Data qoq'!$A:$AT,MATCH($Y$1,'Data qoq'!$A$1:$AT$1,),)</f>
        <v/>
      </c>
      <c r="Z45" s="26">
        <f>VLOOKUP(B45,'Data qoq'!$A:$AU,MATCH($Z$1,'Data qoq'!$A$1:$AU$1,),)</f>
        <v/>
      </c>
      <c r="AA45" s="26">
        <f>VLOOKUP(B45,'Data qoq'!$A:$AU,MATCH($AA$1,'Data qoq'!$A$1:$AU$1,),)</f>
        <v/>
      </c>
      <c r="AC45" s="27">
        <f>B45</f>
        <v/>
      </c>
      <c r="AD45" s="28">
        <f>(VLOOKUP(AC45,B:Y,MATCH($AE$6,$B$1:$Y$1,),))-(VLOOKUP(AC45,B:Y,MATCH($AE$7,$B$1:$Y$1,),))</f>
        <v/>
      </c>
      <c r="AE45" s="28">
        <f>C45-G45</f>
        <v/>
      </c>
    </row>
    <row r="46" hidden="1" s="89">
      <c r="B46" s="25" t="inlineStr">
        <is>
          <t>2008-Q4</t>
        </is>
      </c>
      <c r="C46" s="26">
        <f>VLOOKUP(B46,'Data qoq'!$A:$AT,MATCH($C$1,'Data qoq'!$A$1:$AT$1,),)</f>
        <v/>
      </c>
      <c r="D46" s="26">
        <f>VLOOKUP(B46,'Data qoq'!$A:$AT,MATCH($D$1,'Data qoq'!$A$1:$AT$1,),)</f>
        <v/>
      </c>
      <c r="E46" s="26">
        <f>VLOOKUP(B46,'Data qoq'!$A:$AT,MATCH($E$1,'Data qoq'!$A$1:$AT$1,),)</f>
        <v/>
      </c>
      <c r="F46" s="26">
        <f>VLOOKUP(B46,'Data qoq'!$A:$AT,MATCH($F$1,'Data qoq'!$A$1:$AT$1,),)</f>
        <v/>
      </c>
      <c r="G46" s="26">
        <f>VLOOKUP(B46,'Data qoq'!$A:$AT,MATCH($G$1,'Data qoq'!$A$1:$AT$1,),)</f>
        <v/>
      </c>
      <c r="H46" s="26">
        <f>VLOOKUP(B46,'Data qoq'!$A:$AT,MATCH($H$1,'Data qoq'!$A$1:$AT$1,),)</f>
        <v/>
      </c>
      <c r="I46" s="26">
        <f>VLOOKUP(B46,'Data qoq'!$A:$AT,MATCH($I$1,'Data qoq'!$A$1:$AT$1,),)</f>
        <v/>
      </c>
      <c r="J46" s="26">
        <f>VLOOKUP(B46,'Data qoq'!$A:$AT,MATCH($J$1,'Data qoq'!$A$1:$AT$1,),)</f>
        <v/>
      </c>
      <c r="K46" s="26">
        <f>VLOOKUP(B46,'Data qoq'!$A:$AT,MATCH($K$1,'Data qoq'!$A$1:$AT$1,),)</f>
        <v/>
      </c>
      <c r="L46" s="26">
        <f>VLOOKUP(B46,'Data qoq'!$A:$AT,MATCH($L$1,'Data qoq'!$A$1:$AT$1,),)</f>
        <v/>
      </c>
      <c r="M46" s="26">
        <f>VLOOKUP(B46,'Data qoq'!$A:$AT,MATCH($M$1,'Data qoq'!$A$1:$AT$1,),)</f>
        <v/>
      </c>
      <c r="N46" s="26">
        <f>VLOOKUP(B46,'Data qoq'!$A:$AT,MATCH($N$1,'Data qoq'!$A$1:$AT$1,),)</f>
        <v/>
      </c>
      <c r="O46" s="26">
        <f>VLOOKUP(B46,'Data qoq'!$A:$AT,MATCH($C$1,'Data qoq'!$J$1:$AT$1,),)</f>
        <v/>
      </c>
      <c r="P46" s="26">
        <f>VLOOKUP(B46,'Data qoq'!$A:$AT,MATCH($P$1,'Data qoq'!$A$1:$AT$1,),)</f>
        <v/>
      </c>
      <c r="Q46" s="26">
        <f>VLOOKUP(B46,'Data qoq'!$A:$AT,MATCH($Q$1,'Data qoq'!$A$1:$AT$1,),)</f>
        <v/>
      </c>
      <c r="R46" s="26">
        <f>VLOOKUP(B46,'Data qoq'!$A:$AT,MATCH($E$1,'Data qoq'!$A$1:$AT$1,),)</f>
        <v/>
      </c>
      <c r="S46" s="26">
        <f>VLOOKUP(B46,'Data qoq'!$A:$AT,MATCH($S$1,'Data qoq'!$A$1:$AT$1,),)</f>
        <v/>
      </c>
      <c r="T46" s="26">
        <f>VLOOKUP(B46,'Data qoq'!$A:$AT,MATCH($T$1,'Data qoq'!$A$1:$AT$1,),)</f>
        <v/>
      </c>
      <c r="U46" s="26">
        <f>VLOOKUP(B46,'Data qoq'!$A:$AT,MATCH($U$1,'Data qoq'!$A$1:$AT$1,),)</f>
        <v/>
      </c>
      <c r="V46" s="26">
        <f>VLOOKUP(B46,'Data qoq'!$A:$AT,MATCH($V$1,'Data qoq'!$A$1:$AT$1,),)</f>
        <v/>
      </c>
      <c r="W46" s="26">
        <f>VLOOKUP(B46,'Data qoq'!$A:$AT,MATCH($W$1,'Data qoq'!$A$1:$AT$1,),)</f>
        <v/>
      </c>
      <c r="X46" s="26">
        <f>VLOOKUP(B46,'Data qoq'!$A:$AT,MATCH($X$1,'Data qoq'!$A$1:$AT$1,),)</f>
        <v/>
      </c>
      <c r="Y46" s="26">
        <f>VLOOKUP(B46,'Data qoq'!$A:$AT,MATCH($Y$1,'Data qoq'!$A$1:$AT$1,),)</f>
        <v/>
      </c>
      <c r="Z46" s="26">
        <f>VLOOKUP(B46,'Data qoq'!$A:$AU,MATCH($Z$1,'Data qoq'!$A$1:$AU$1,),)</f>
        <v/>
      </c>
      <c r="AA46" s="26">
        <f>VLOOKUP(B46,'Data qoq'!$A:$AU,MATCH($AA$1,'Data qoq'!$A$1:$AU$1,),)</f>
        <v/>
      </c>
      <c r="AC46" s="27">
        <f>B46</f>
        <v/>
      </c>
      <c r="AD46" s="28">
        <f>(VLOOKUP(AC46,B:Y,MATCH($AE$6,$B$1:$Y$1,),))-(VLOOKUP(AC46,B:Y,MATCH($AE$7,$B$1:$Y$1,),))</f>
        <v/>
      </c>
      <c r="AE46" s="28">
        <f>C46-G46</f>
        <v/>
      </c>
    </row>
    <row r="47" hidden="1" s="89">
      <c r="B47" s="25" t="inlineStr">
        <is>
          <t>2009-Q1</t>
        </is>
      </c>
      <c r="C47" s="26">
        <f>VLOOKUP(B47,'Data qoq'!$A:$AT,MATCH($C$1,'Data qoq'!$A$1:$AT$1,),)</f>
        <v/>
      </c>
      <c r="D47" s="26">
        <f>VLOOKUP(B47,'Data qoq'!$A:$AT,MATCH($D$1,'Data qoq'!$A$1:$AT$1,),)</f>
        <v/>
      </c>
      <c r="E47" s="26">
        <f>VLOOKUP(B47,'Data qoq'!$A:$AT,MATCH($E$1,'Data qoq'!$A$1:$AT$1,),)</f>
        <v/>
      </c>
      <c r="F47" s="26">
        <f>VLOOKUP(B47,'Data qoq'!$A:$AT,MATCH($F$1,'Data qoq'!$A$1:$AT$1,),)</f>
        <v/>
      </c>
      <c r="G47" s="26">
        <f>VLOOKUP(B47,'Data qoq'!$A:$AT,MATCH($G$1,'Data qoq'!$A$1:$AT$1,),)</f>
        <v/>
      </c>
      <c r="H47" s="26">
        <f>VLOOKUP(B47,'Data qoq'!$A:$AT,MATCH($H$1,'Data qoq'!$A$1:$AT$1,),)</f>
        <v/>
      </c>
      <c r="I47" s="26">
        <f>VLOOKUP(B47,'Data qoq'!$A:$AT,MATCH($I$1,'Data qoq'!$A$1:$AT$1,),)</f>
        <v/>
      </c>
      <c r="J47" s="26">
        <f>VLOOKUP(B47,'Data qoq'!$A:$AT,MATCH($J$1,'Data qoq'!$A$1:$AT$1,),)</f>
        <v/>
      </c>
      <c r="K47" s="26">
        <f>VLOOKUP(B47,'Data qoq'!$A:$AT,MATCH($K$1,'Data qoq'!$A$1:$AT$1,),)</f>
        <v/>
      </c>
      <c r="L47" s="26">
        <f>VLOOKUP(B47,'Data qoq'!$A:$AT,MATCH($L$1,'Data qoq'!$A$1:$AT$1,),)</f>
        <v/>
      </c>
      <c r="M47" s="26">
        <f>VLOOKUP(B47,'Data qoq'!$A:$AT,MATCH($M$1,'Data qoq'!$A$1:$AT$1,),)</f>
        <v/>
      </c>
      <c r="N47" s="26">
        <f>VLOOKUP(B47,'Data qoq'!$A:$AT,MATCH($N$1,'Data qoq'!$A$1:$AT$1,),)</f>
        <v/>
      </c>
      <c r="O47" s="26">
        <f>VLOOKUP(B47,'Data qoq'!$A:$AT,MATCH($C$1,'Data qoq'!$J$1:$AT$1,),)</f>
        <v/>
      </c>
      <c r="P47" s="26">
        <f>VLOOKUP(B47,'Data qoq'!$A:$AT,MATCH($P$1,'Data qoq'!$A$1:$AT$1,),)</f>
        <v/>
      </c>
      <c r="Q47" s="26">
        <f>VLOOKUP(B47,'Data qoq'!$A:$AT,MATCH($Q$1,'Data qoq'!$A$1:$AT$1,),)</f>
        <v/>
      </c>
      <c r="R47" s="26">
        <f>VLOOKUP(B47,'Data qoq'!$A:$AT,MATCH($E$1,'Data qoq'!$A$1:$AT$1,),)</f>
        <v/>
      </c>
      <c r="S47" s="26">
        <f>VLOOKUP(B47,'Data qoq'!$A:$AT,MATCH($S$1,'Data qoq'!$A$1:$AT$1,),)</f>
        <v/>
      </c>
      <c r="T47" s="26">
        <f>VLOOKUP(B47,'Data qoq'!$A:$AT,MATCH($T$1,'Data qoq'!$A$1:$AT$1,),)</f>
        <v/>
      </c>
      <c r="U47" s="26">
        <f>VLOOKUP(B47,'Data qoq'!$A:$AT,MATCH($U$1,'Data qoq'!$A$1:$AT$1,),)</f>
        <v/>
      </c>
      <c r="V47" s="26">
        <f>VLOOKUP(B47,'Data qoq'!$A:$AT,MATCH($V$1,'Data qoq'!$A$1:$AT$1,),)</f>
        <v/>
      </c>
      <c r="W47" s="26">
        <f>VLOOKUP(B47,'Data qoq'!$A:$AT,MATCH($W$1,'Data qoq'!$A$1:$AT$1,),)</f>
        <v/>
      </c>
      <c r="X47" s="26">
        <f>VLOOKUP(B47,'Data qoq'!$A:$AT,MATCH($X$1,'Data qoq'!$A$1:$AT$1,),)</f>
        <v/>
      </c>
      <c r="Y47" s="26">
        <f>VLOOKUP(B47,'Data qoq'!$A:$AT,MATCH($Y$1,'Data qoq'!$A$1:$AT$1,),)</f>
        <v/>
      </c>
      <c r="Z47" s="26">
        <f>VLOOKUP(B47,'Data qoq'!$A:$AU,MATCH($Z$1,'Data qoq'!$A$1:$AU$1,),)</f>
        <v/>
      </c>
      <c r="AA47" s="26">
        <f>VLOOKUP(B47,'Data qoq'!$A:$AU,MATCH($AA$1,'Data qoq'!$A$1:$AU$1,),)</f>
        <v/>
      </c>
      <c r="AC47" s="27">
        <f>B47</f>
        <v/>
      </c>
      <c r="AD47" s="28">
        <f>(VLOOKUP(AC47,B:Y,MATCH($AE$6,$B$1:$Y$1,),))-(VLOOKUP(AC47,B:Y,MATCH($AE$7,$B$1:$Y$1,),))</f>
        <v/>
      </c>
      <c r="AE47" s="28">
        <f>C47-G47</f>
        <v/>
      </c>
    </row>
    <row r="48" hidden="1" s="89">
      <c r="B48" s="25" t="inlineStr">
        <is>
          <t>2009-Q2</t>
        </is>
      </c>
      <c r="C48" s="26">
        <f>VLOOKUP(B48,'Data qoq'!$A:$AT,MATCH($C$1,'Data qoq'!$A$1:$AT$1,),)</f>
        <v/>
      </c>
      <c r="D48" s="26">
        <f>VLOOKUP(B48,'Data qoq'!$A:$AT,MATCH($D$1,'Data qoq'!$A$1:$AT$1,),)</f>
        <v/>
      </c>
      <c r="E48" s="26">
        <f>VLOOKUP(B48,'Data qoq'!$A:$AT,MATCH($E$1,'Data qoq'!$A$1:$AT$1,),)</f>
        <v/>
      </c>
      <c r="F48" s="26">
        <f>VLOOKUP(B48,'Data qoq'!$A:$AT,MATCH($F$1,'Data qoq'!$A$1:$AT$1,),)</f>
        <v/>
      </c>
      <c r="G48" s="26">
        <f>VLOOKUP(B48,'Data qoq'!$A:$AT,MATCH($G$1,'Data qoq'!$A$1:$AT$1,),)</f>
        <v/>
      </c>
      <c r="H48" s="26">
        <f>VLOOKUP(B48,'Data qoq'!$A:$AT,MATCH($H$1,'Data qoq'!$A$1:$AT$1,),)</f>
        <v/>
      </c>
      <c r="I48" s="26">
        <f>VLOOKUP(B48,'Data qoq'!$A:$AT,MATCH($I$1,'Data qoq'!$A$1:$AT$1,),)</f>
        <v/>
      </c>
      <c r="J48" s="26">
        <f>VLOOKUP(B48,'Data qoq'!$A:$AT,MATCH($J$1,'Data qoq'!$A$1:$AT$1,),)</f>
        <v/>
      </c>
      <c r="K48" s="26">
        <f>VLOOKUP(B48,'Data qoq'!$A:$AT,MATCH($K$1,'Data qoq'!$A$1:$AT$1,),)</f>
        <v/>
      </c>
      <c r="L48" s="26">
        <f>VLOOKUP(B48,'Data qoq'!$A:$AT,MATCH($L$1,'Data qoq'!$A$1:$AT$1,),)</f>
        <v/>
      </c>
      <c r="M48" s="26">
        <f>VLOOKUP(B48,'Data qoq'!$A:$AT,MATCH($M$1,'Data qoq'!$A$1:$AT$1,),)</f>
        <v/>
      </c>
      <c r="N48" s="26">
        <f>VLOOKUP(B48,'Data qoq'!$A:$AT,MATCH($N$1,'Data qoq'!$A$1:$AT$1,),)</f>
        <v/>
      </c>
      <c r="O48" s="26">
        <f>VLOOKUP(B48,'Data qoq'!$A:$AT,MATCH($C$1,'Data qoq'!$J$1:$AT$1,),)</f>
        <v/>
      </c>
      <c r="P48" s="26">
        <f>VLOOKUP(B48,'Data qoq'!$A:$AT,MATCH($P$1,'Data qoq'!$A$1:$AT$1,),)</f>
        <v/>
      </c>
      <c r="Q48" s="26">
        <f>VLOOKUP(B48,'Data qoq'!$A:$AT,MATCH($Q$1,'Data qoq'!$A$1:$AT$1,),)</f>
        <v/>
      </c>
      <c r="R48" s="26">
        <f>VLOOKUP(B48,'Data qoq'!$A:$AT,MATCH($E$1,'Data qoq'!$A$1:$AT$1,),)</f>
        <v/>
      </c>
      <c r="S48" s="26">
        <f>VLOOKUP(B48,'Data qoq'!$A:$AT,MATCH($S$1,'Data qoq'!$A$1:$AT$1,),)</f>
        <v/>
      </c>
      <c r="T48" s="26">
        <f>VLOOKUP(B48,'Data qoq'!$A:$AT,MATCH($T$1,'Data qoq'!$A$1:$AT$1,),)</f>
        <v/>
      </c>
      <c r="U48" s="26">
        <f>VLOOKUP(B48,'Data qoq'!$A:$AT,MATCH($U$1,'Data qoq'!$A$1:$AT$1,),)</f>
        <v/>
      </c>
      <c r="V48" s="26">
        <f>VLOOKUP(B48,'Data qoq'!$A:$AT,MATCH($V$1,'Data qoq'!$A$1:$AT$1,),)</f>
        <v/>
      </c>
      <c r="W48" s="26">
        <f>VLOOKUP(B48,'Data qoq'!$A:$AT,MATCH($W$1,'Data qoq'!$A$1:$AT$1,),)</f>
        <v/>
      </c>
      <c r="X48" s="26">
        <f>VLOOKUP(B48,'Data qoq'!$A:$AT,MATCH($X$1,'Data qoq'!$A$1:$AT$1,),)</f>
        <v/>
      </c>
      <c r="Y48" s="26">
        <f>VLOOKUP(B48,'Data qoq'!$A:$AT,MATCH($Y$1,'Data qoq'!$A$1:$AT$1,),)</f>
        <v/>
      </c>
      <c r="Z48" s="26">
        <f>VLOOKUP(B48,'Data qoq'!$A:$AU,MATCH($Z$1,'Data qoq'!$A$1:$AU$1,),)</f>
        <v/>
      </c>
      <c r="AA48" s="26">
        <f>VLOOKUP(B48,'Data qoq'!$A:$AU,MATCH($AA$1,'Data qoq'!$A$1:$AU$1,),)</f>
        <v/>
      </c>
      <c r="AC48" s="27">
        <f>B48</f>
        <v/>
      </c>
      <c r="AD48" s="28">
        <f>(VLOOKUP(AC48,B:Y,MATCH($AE$6,$B$1:$Y$1,),))-(VLOOKUP(AC48,B:Y,MATCH($AE$7,$B$1:$Y$1,),))</f>
        <v/>
      </c>
      <c r="AE48" s="28">
        <f>C48-G48</f>
        <v/>
      </c>
    </row>
    <row r="49" hidden="1" s="89">
      <c r="B49" s="25" t="inlineStr">
        <is>
          <t>2009-Q3</t>
        </is>
      </c>
      <c r="C49" s="26">
        <f>VLOOKUP(B49,'Data qoq'!$A:$AT,MATCH($C$1,'Data qoq'!$A$1:$AT$1,),)</f>
        <v/>
      </c>
      <c r="D49" s="26">
        <f>VLOOKUP(B49,'Data qoq'!$A:$AT,MATCH($D$1,'Data qoq'!$A$1:$AT$1,),)</f>
        <v/>
      </c>
      <c r="E49" s="26">
        <f>VLOOKUP(B49,'Data qoq'!$A:$AT,MATCH($E$1,'Data qoq'!$A$1:$AT$1,),)</f>
        <v/>
      </c>
      <c r="F49" s="26">
        <f>VLOOKUP(B49,'Data qoq'!$A:$AT,MATCH($F$1,'Data qoq'!$A$1:$AT$1,),)</f>
        <v/>
      </c>
      <c r="G49" s="26">
        <f>VLOOKUP(B49,'Data qoq'!$A:$AT,MATCH($G$1,'Data qoq'!$A$1:$AT$1,),)</f>
        <v/>
      </c>
      <c r="H49" s="26">
        <f>VLOOKUP(B49,'Data qoq'!$A:$AT,MATCH($H$1,'Data qoq'!$A$1:$AT$1,),)</f>
        <v/>
      </c>
      <c r="I49" s="26">
        <f>VLOOKUP(B49,'Data qoq'!$A:$AT,MATCH($I$1,'Data qoq'!$A$1:$AT$1,),)</f>
        <v/>
      </c>
      <c r="J49" s="26">
        <f>VLOOKUP(B49,'Data qoq'!$A:$AT,MATCH($J$1,'Data qoq'!$A$1:$AT$1,),)</f>
        <v/>
      </c>
      <c r="K49" s="26">
        <f>VLOOKUP(B49,'Data qoq'!$A:$AT,MATCH($K$1,'Data qoq'!$A$1:$AT$1,),)</f>
        <v/>
      </c>
      <c r="L49" s="26">
        <f>VLOOKUP(B49,'Data qoq'!$A:$AT,MATCH($L$1,'Data qoq'!$A$1:$AT$1,),)</f>
        <v/>
      </c>
      <c r="M49" s="26">
        <f>VLOOKUP(B49,'Data qoq'!$A:$AT,MATCH($M$1,'Data qoq'!$A$1:$AT$1,),)</f>
        <v/>
      </c>
      <c r="N49" s="26">
        <f>VLOOKUP(B49,'Data qoq'!$A:$AT,MATCH($N$1,'Data qoq'!$A$1:$AT$1,),)</f>
        <v/>
      </c>
      <c r="O49" s="26">
        <f>VLOOKUP(B49,'Data qoq'!$A:$AT,MATCH($C$1,'Data qoq'!$J$1:$AT$1,),)</f>
        <v/>
      </c>
      <c r="P49" s="26">
        <f>VLOOKUP(B49,'Data qoq'!$A:$AT,MATCH($P$1,'Data qoq'!$A$1:$AT$1,),)</f>
        <v/>
      </c>
      <c r="Q49" s="26">
        <f>VLOOKUP(B49,'Data qoq'!$A:$AT,MATCH($Q$1,'Data qoq'!$A$1:$AT$1,),)</f>
        <v/>
      </c>
      <c r="R49" s="26">
        <f>VLOOKUP(B49,'Data qoq'!$A:$AT,MATCH($E$1,'Data qoq'!$A$1:$AT$1,),)</f>
        <v/>
      </c>
      <c r="S49" s="26">
        <f>VLOOKUP(B49,'Data qoq'!$A:$AT,MATCH($S$1,'Data qoq'!$A$1:$AT$1,),)</f>
        <v/>
      </c>
      <c r="T49" s="26">
        <f>VLOOKUP(B49,'Data qoq'!$A:$AT,MATCH($T$1,'Data qoq'!$A$1:$AT$1,),)</f>
        <v/>
      </c>
      <c r="U49" s="26">
        <f>VLOOKUP(B49,'Data qoq'!$A:$AT,MATCH($U$1,'Data qoq'!$A$1:$AT$1,),)</f>
        <v/>
      </c>
      <c r="V49" s="26">
        <f>VLOOKUP(B49,'Data qoq'!$A:$AT,MATCH($V$1,'Data qoq'!$A$1:$AT$1,),)</f>
        <v/>
      </c>
      <c r="W49" s="26">
        <f>VLOOKUP(B49,'Data qoq'!$A:$AT,MATCH($W$1,'Data qoq'!$A$1:$AT$1,),)</f>
        <v/>
      </c>
      <c r="X49" s="26">
        <f>VLOOKUP(B49,'Data qoq'!$A:$AT,MATCH($X$1,'Data qoq'!$A$1:$AT$1,),)</f>
        <v/>
      </c>
      <c r="Y49" s="26">
        <f>VLOOKUP(B49,'Data qoq'!$A:$AT,MATCH($Y$1,'Data qoq'!$A$1:$AT$1,),)</f>
        <v/>
      </c>
      <c r="Z49" s="26">
        <f>VLOOKUP(B49,'Data qoq'!$A:$AU,MATCH($Z$1,'Data qoq'!$A$1:$AU$1,),)</f>
        <v/>
      </c>
      <c r="AA49" s="26">
        <f>VLOOKUP(B49,'Data qoq'!$A:$AU,MATCH($AA$1,'Data qoq'!$A$1:$AU$1,),)</f>
        <v/>
      </c>
      <c r="AC49" s="27">
        <f>B49</f>
        <v/>
      </c>
      <c r="AD49" s="28">
        <f>(VLOOKUP(AC49,B:Y,MATCH($AE$6,$B$1:$Y$1,),))-(VLOOKUP(AC49,B:Y,MATCH($AE$7,$B$1:$Y$1,),))</f>
        <v/>
      </c>
      <c r="AE49" s="28">
        <f>C49-G49</f>
        <v/>
      </c>
    </row>
    <row r="50" hidden="1" s="89">
      <c r="B50" s="25" t="inlineStr">
        <is>
          <t>2009-Q4</t>
        </is>
      </c>
      <c r="C50" s="26">
        <f>VLOOKUP(B50,'Data qoq'!$A:$AT,MATCH($C$1,'Data qoq'!$A$1:$AT$1,),)</f>
        <v/>
      </c>
      <c r="D50" s="26">
        <f>VLOOKUP(B50,'Data qoq'!$A:$AT,MATCH($D$1,'Data qoq'!$A$1:$AT$1,),)</f>
        <v/>
      </c>
      <c r="E50" s="26">
        <f>VLOOKUP(B50,'Data qoq'!$A:$AT,MATCH($E$1,'Data qoq'!$A$1:$AT$1,),)</f>
        <v/>
      </c>
      <c r="F50" s="26">
        <f>VLOOKUP(B50,'Data qoq'!$A:$AT,MATCH($F$1,'Data qoq'!$A$1:$AT$1,),)</f>
        <v/>
      </c>
      <c r="G50" s="26">
        <f>VLOOKUP(B50,'Data qoq'!$A:$AT,MATCH($G$1,'Data qoq'!$A$1:$AT$1,),)</f>
        <v/>
      </c>
      <c r="H50" s="26">
        <f>VLOOKUP(B50,'Data qoq'!$A:$AT,MATCH($H$1,'Data qoq'!$A$1:$AT$1,),)</f>
        <v/>
      </c>
      <c r="I50" s="26">
        <f>VLOOKUP(B50,'Data qoq'!$A:$AT,MATCH($I$1,'Data qoq'!$A$1:$AT$1,),)</f>
        <v/>
      </c>
      <c r="J50" s="26">
        <f>VLOOKUP(B50,'Data qoq'!$A:$AT,MATCH($J$1,'Data qoq'!$A$1:$AT$1,),)</f>
        <v/>
      </c>
      <c r="K50" s="26">
        <f>VLOOKUP(B50,'Data qoq'!$A:$AT,MATCH($K$1,'Data qoq'!$A$1:$AT$1,),)</f>
        <v/>
      </c>
      <c r="L50" s="26">
        <f>VLOOKUP(B50,'Data qoq'!$A:$AT,MATCH($L$1,'Data qoq'!$A$1:$AT$1,),)</f>
        <v/>
      </c>
      <c r="M50" s="26">
        <f>VLOOKUP(B50,'Data qoq'!$A:$AT,MATCH($M$1,'Data qoq'!$A$1:$AT$1,),)</f>
        <v/>
      </c>
      <c r="N50" s="26">
        <f>VLOOKUP(B50,'Data qoq'!$A:$AT,MATCH($N$1,'Data qoq'!$A$1:$AT$1,),)</f>
        <v/>
      </c>
      <c r="O50" s="26">
        <f>VLOOKUP(B50,'Data qoq'!$A:$AT,MATCH($C$1,'Data qoq'!$J$1:$AT$1,),)</f>
        <v/>
      </c>
      <c r="P50" s="26">
        <f>VLOOKUP(B50,'Data qoq'!$A:$AT,MATCH($P$1,'Data qoq'!$A$1:$AT$1,),)</f>
        <v/>
      </c>
      <c r="Q50" s="26">
        <f>VLOOKUP(B50,'Data qoq'!$A:$AT,MATCH($Q$1,'Data qoq'!$A$1:$AT$1,),)</f>
        <v/>
      </c>
      <c r="R50" s="26">
        <f>VLOOKUP(B50,'Data qoq'!$A:$AT,MATCH($E$1,'Data qoq'!$A$1:$AT$1,),)</f>
        <v/>
      </c>
      <c r="S50" s="26">
        <f>VLOOKUP(B50,'Data qoq'!$A:$AT,MATCH($S$1,'Data qoq'!$A$1:$AT$1,),)</f>
        <v/>
      </c>
      <c r="T50" s="26">
        <f>VLOOKUP(B50,'Data qoq'!$A:$AT,MATCH($T$1,'Data qoq'!$A$1:$AT$1,),)</f>
        <v/>
      </c>
      <c r="U50" s="26">
        <f>VLOOKUP(B50,'Data qoq'!$A:$AT,MATCH($U$1,'Data qoq'!$A$1:$AT$1,),)</f>
        <v/>
      </c>
      <c r="V50" s="26">
        <f>VLOOKUP(B50,'Data qoq'!$A:$AT,MATCH($V$1,'Data qoq'!$A$1:$AT$1,),)</f>
        <v/>
      </c>
      <c r="W50" s="26">
        <f>VLOOKUP(B50,'Data qoq'!$A:$AT,MATCH($W$1,'Data qoq'!$A$1:$AT$1,),)</f>
        <v/>
      </c>
      <c r="X50" s="26">
        <f>VLOOKUP(B50,'Data qoq'!$A:$AT,MATCH($X$1,'Data qoq'!$A$1:$AT$1,),)</f>
        <v/>
      </c>
      <c r="Y50" s="26">
        <f>VLOOKUP(B50,'Data qoq'!$A:$AT,MATCH($Y$1,'Data qoq'!$A$1:$AT$1,),)</f>
        <v/>
      </c>
      <c r="Z50" s="26">
        <f>VLOOKUP(B50,'Data qoq'!$A:$AU,MATCH($Z$1,'Data qoq'!$A$1:$AU$1,),)</f>
        <v/>
      </c>
      <c r="AA50" s="26">
        <f>VLOOKUP(B50,'Data qoq'!$A:$AU,MATCH($AA$1,'Data qoq'!$A$1:$AU$1,),)</f>
        <v/>
      </c>
      <c r="AC50" s="27">
        <f>B50</f>
        <v/>
      </c>
      <c r="AD50" s="28">
        <f>(VLOOKUP(AC50,B:Y,MATCH($AE$6,$B$1:$Y$1,),))-(VLOOKUP(AC50,B:Y,MATCH($AE$7,$B$1:$Y$1,),))</f>
        <v/>
      </c>
      <c r="AE50" s="28">
        <f>C50-G50</f>
        <v/>
      </c>
    </row>
    <row r="51" hidden="1" s="89">
      <c r="B51" s="25" t="inlineStr">
        <is>
          <t>2010-Q1</t>
        </is>
      </c>
      <c r="C51" s="26">
        <f>VLOOKUP(B51,'Data qoq'!$A:$AT,MATCH($C$1,'Data qoq'!$A$1:$AT$1,),)</f>
        <v/>
      </c>
      <c r="D51" s="26">
        <f>VLOOKUP(B51,'Data qoq'!$A:$AT,MATCH($D$1,'Data qoq'!$A$1:$AT$1,),)</f>
        <v/>
      </c>
      <c r="E51" s="26">
        <f>VLOOKUP(B51,'Data qoq'!$A:$AT,MATCH($E$1,'Data qoq'!$A$1:$AT$1,),)</f>
        <v/>
      </c>
      <c r="F51" s="26">
        <f>VLOOKUP(B51,'Data qoq'!$A:$AT,MATCH($F$1,'Data qoq'!$A$1:$AT$1,),)</f>
        <v/>
      </c>
      <c r="G51" s="26">
        <f>VLOOKUP(B51,'Data qoq'!$A:$AT,MATCH($G$1,'Data qoq'!$A$1:$AT$1,),)</f>
        <v/>
      </c>
      <c r="H51" s="26">
        <f>VLOOKUP(B51,'Data qoq'!$A:$AT,MATCH($H$1,'Data qoq'!$A$1:$AT$1,),)</f>
        <v/>
      </c>
      <c r="I51" s="26">
        <f>VLOOKUP(B51,'Data qoq'!$A:$AT,MATCH($I$1,'Data qoq'!$A$1:$AT$1,),)</f>
        <v/>
      </c>
      <c r="J51" s="26">
        <f>VLOOKUP(B51,'Data qoq'!$A:$AT,MATCH($J$1,'Data qoq'!$A$1:$AT$1,),)</f>
        <v/>
      </c>
      <c r="K51" s="26">
        <f>VLOOKUP(B51,'Data qoq'!$A:$AT,MATCH($K$1,'Data qoq'!$A$1:$AT$1,),)</f>
        <v/>
      </c>
      <c r="L51" s="26">
        <f>VLOOKUP(B51,'Data qoq'!$A:$AT,MATCH($L$1,'Data qoq'!$A$1:$AT$1,),)</f>
        <v/>
      </c>
      <c r="M51" s="26">
        <f>VLOOKUP(B51,'Data qoq'!$A:$AT,MATCH($M$1,'Data qoq'!$A$1:$AT$1,),)</f>
        <v/>
      </c>
      <c r="N51" s="26">
        <f>VLOOKUP(B51,'Data qoq'!$A:$AT,MATCH($N$1,'Data qoq'!$A$1:$AT$1,),)</f>
        <v/>
      </c>
      <c r="O51" s="26">
        <f>VLOOKUP(B51,'Data qoq'!$A:$AT,MATCH($C$1,'Data qoq'!$J$1:$AT$1,),)</f>
        <v/>
      </c>
      <c r="P51" s="26">
        <f>VLOOKUP(B51,'Data qoq'!$A:$AT,MATCH($P$1,'Data qoq'!$A$1:$AT$1,),)</f>
        <v/>
      </c>
      <c r="Q51" s="26">
        <f>VLOOKUP(B51,'Data qoq'!$A:$AT,MATCH($Q$1,'Data qoq'!$A$1:$AT$1,),)</f>
        <v/>
      </c>
      <c r="R51" s="26">
        <f>VLOOKUP(B51,'Data qoq'!$A:$AT,MATCH($E$1,'Data qoq'!$A$1:$AT$1,),)</f>
        <v/>
      </c>
      <c r="S51" s="26">
        <f>VLOOKUP(B51,'Data qoq'!$A:$AT,MATCH($S$1,'Data qoq'!$A$1:$AT$1,),)</f>
        <v/>
      </c>
      <c r="T51" s="26">
        <f>VLOOKUP(B51,'Data qoq'!$A:$AT,MATCH($T$1,'Data qoq'!$A$1:$AT$1,),)</f>
        <v/>
      </c>
      <c r="U51" s="26">
        <f>VLOOKUP(B51,'Data qoq'!$A:$AT,MATCH($U$1,'Data qoq'!$A$1:$AT$1,),)</f>
        <v/>
      </c>
      <c r="V51" s="26">
        <f>VLOOKUP(B51,'Data qoq'!$A:$AT,MATCH($V$1,'Data qoq'!$A$1:$AT$1,),)</f>
        <v/>
      </c>
      <c r="W51" s="26">
        <f>VLOOKUP(B51,'Data qoq'!$A:$AT,MATCH($W$1,'Data qoq'!$A$1:$AT$1,),)</f>
        <v/>
      </c>
      <c r="X51" s="26">
        <f>VLOOKUP(B51,'Data qoq'!$A:$AT,MATCH($X$1,'Data qoq'!$A$1:$AT$1,),)</f>
        <v/>
      </c>
      <c r="Y51" s="26">
        <f>VLOOKUP(B51,'Data qoq'!$A:$AT,MATCH($Y$1,'Data qoq'!$A$1:$AT$1,),)</f>
        <v/>
      </c>
      <c r="Z51" s="26">
        <f>VLOOKUP(B51,'Data qoq'!$A:$AU,MATCH($Z$1,'Data qoq'!$A$1:$AU$1,),)</f>
        <v/>
      </c>
      <c r="AA51" s="26">
        <f>VLOOKUP(B51,'Data qoq'!$A:$AU,MATCH($AA$1,'Data qoq'!$A$1:$AU$1,),)</f>
        <v/>
      </c>
      <c r="AC51" s="27">
        <f>B51</f>
        <v/>
      </c>
      <c r="AD51" s="28">
        <f>(VLOOKUP(AC51,B:Y,MATCH($AE$6,$B$1:$Y$1,),))-(VLOOKUP(AC51,B:Y,MATCH($AE$7,$B$1:$Y$1,),))</f>
        <v/>
      </c>
      <c r="AE51" s="28">
        <f>C51-G51</f>
        <v/>
      </c>
    </row>
    <row r="52" hidden="1" s="89">
      <c r="B52" s="25" t="inlineStr">
        <is>
          <t>2010-Q2</t>
        </is>
      </c>
      <c r="C52" s="26">
        <f>VLOOKUP(B52,'Data qoq'!$A:$AT,MATCH($C$1,'Data qoq'!$A$1:$AT$1,),)</f>
        <v/>
      </c>
      <c r="D52" s="26">
        <f>VLOOKUP(B52,'Data qoq'!$A:$AT,MATCH($D$1,'Data qoq'!$A$1:$AT$1,),)</f>
        <v/>
      </c>
      <c r="E52" s="26">
        <f>VLOOKUP(B52,'Data qoq'!$A:$AT,MATCH($E$1,'Data qoq'!$A$1:$AT$1,),)</f>
        <v/>
      </c>
      <c r="F52" s="26">
        <f>VLOOKUP(B52,'Data qoq'!$A:$AT,MATCH($F$1,'Data qoq'!$A$1:$AT$1,),)</f>
        <v/>
      </c>
      <c r="G52" s="26">
        <f>VLOOKUP(B52,'Data qoq'!$A:$AT,MATCH($G$1,'Data qoq'!$A$1:$AT$1,),)</f>
        <v/>
      </c>
      <c r="H52" s="26">
        <f>VLOOKUP(B52,'Data qoq'!$A:$AT,MATCH($H$1,'Data qoq'!$A$1:$AT$1,),)</f>
        <v/>
      </c>
      <c r="I52" s="26">
        <f>VLOOKUP(B52,'Data qoq'!$A:$AT,MATCH($I$1,'Data qoq'!$A$1:$AT$1,),)</f>
        <v/>
      </c>
      <c r="J52" s="26">
        <f>VLOOKUP(B52,'Data qoq'!$A:$AT,MATCH($J$1,'Data qoq'!$A$1:$AT$1,),)</f>
        <v/>
      </c>
      <c r="K52" s="26">
        <f>VLOOKUP(B52,'Data qoq'!$A:$AT,MATCH($K$1,'Data qoq'!$A$1:$AT$1,),)</f>
        <v/>
      </c>
      <c r="L52" s="26">
        <f>VLOOKUP(B52,'Data qoq'!$A:$AT,MATCH($L$1,'Data qoq'!$A$1:$AT$1,),)</f>
        <v/>
      </c>
      <c r="M52" s="26">
        <f>VLOOKUP(B52,'Data qoq'!$A:$AT,MATCH($M$1,'Data qoq'!$A$1:$AT$1,),)</f>
        <v/>
      </c>
      <c r="N52" s="26">
        <f>VLOOKUP(B52,'Data qoq'!$A:$AT,MATCH($N$1,'Data qoq'!$A$1:$AT$1,),)</f>
        <v/>
      </c>
      <c r="O52" s="26">
        <f>VLOOKUP(B52,'Data qoq'!$A:$AT,MATCH($C$1,'Data qoq'!$J$1:$AT$1,),)</f>
        <v/>
      </c>
      <c r="P52" s="26">
        <f>VLOOKUP(B52,'Data qoq'!$A:$AT,MATCH($P$1,'Data qoq'!$A$1:$AT$1,),)</f>
        <v/>
      </c>
      <c r="Q52" s="26">
        <f>VLOOKUP(B52,'Data qoq'!$A:$AT,MATCH($Q$1,'Data qoq'!$A$1:$AT$1,),)</f>
        <v/>
      </c>
      <c r="R52" s="26">
        <f>VLOOKUP(B52,'Data qoq'!$A:$AT,MATCH($E$1,'Data qoq'!$A$1:$AT$1,),)</f>
        <v/>
      </c>
      <c r="S52" s="26">
        <f>VLOOKUP(B52,'Data qoq'!$A:$AT,MATCH($S$1,'Data qoq'!$A$1:$AT$1,),)</f>
        <v/>
      </c>
      <c r="T52" s="26">
        <f>VLOOKUP(B52,'Data qoq'!$A:$AT,MATCH($T$1,'Data qoq'!$A$1:$AT$1,),)</f>
        <v/>
      </c>
      <c r="U52" s="26">
        <f>VLOOKUP(B52,'Data qoq'!$A:$AT,MATCH($U$1,'Data qoq'!$A$1:$AT$1,),)</f>
        <v/>
      </c>
      <c r="V52" s="26">
        <f>VLOOKUP(B52,'Data qoq'!$A:$AT,MATCH($V$1,'Data qoq'!$A$1:$AT$1,),)</f>
        <v/>
      </c>
      <c r="W52" s="26">
        <f>VLOOKUP(B52,'Data qoq'!$A:$AT,MATCH($W$1,'Data qoq'!$A$1:$AT$1,),)</f>
        <v/>
      </c>
      <c r="X52" s="26">
        <f>VLOOKUP(B52,'Data qoq'!$A:$AT,MATCH($X$1,'Data qoq'!$A$1:$AT$1,),)</f>
        <v/>
      </c>
      <c r="Y52" s="26">
        <f>VLOOKUP(B52,'Data qoq'!$A:$AT,MATCH($Y$1,'Data qoq'!$A$1:$AT$1,),)</f>
        <v/>
      </c>
      <c r="Z52" s="26">
        <f>VLOOKUP(B52,'Data qoq'!$A:$AU,MATCH($Z$1,'Data qoq'!$A$1:$AU$1,),)</f>
        <v/>
      </c>
      <c r="AA52" s="26">
        <f>VLOOKUP(B52,'Data qoq'!$A:$AU,MATCH($AA$1,'Data qoq'!$A$1:$AU$1,),)</f>
        <v/>
      </c>
      <c r="AC52" s="27">
        <f>B52</f>
        <v/>
      </c>
      <c r="AD52" s="28">
        <f>(VLOOKUP(AC52,B:Y,MATCH($AE$6,$B$1:$Y$1,),))-(VLOOKUP(AC52,B:Y,MATCH($AE$7,$B$1:$Y$1,),))</f>
        <v/>
      </c>
      <c r="AE52" s="28">
        <f>C52-G52</f>
        <v/>
      </c>
    </row>
    <row r="53" hidden="1" s="89">
      <c r="B53" s="25" t="inlineStr">
        <is>
          <t>2010-Q3</t>
        </is>
      </c>
      <c r="C53" s="26">
        <f>VLOOKUP(B53,'Data qoq'!$A:$AT,MATCH($C$1,'Data qoq'!$A$1:$AT$1,),)</f>
        <v/>
      </c>
      <c r="D53" s="26">
        <f>VLOOKUP(B53,'Data qoq'!$A:$AT,MATCH($D$1,'Data qoq'!$A$1:$AT$1,),)</f>
        <v/>
      </c>
      <c r="E53" s="26">
        <f>VLOOKUP(B53,'Data qoq'!$A:$AT,MATCH($E$1,'Data qoq'!$A$1:$AT$1,),)</f>
        <v/>
      </c>
      <c r="F53" s="26">
        <f>VLOOKUP(B53,'Data qoq'!$A:$AT,MATCH($F$1,'Data qoq'!$A$1:$AT$1,),)</f>
        <v/>
      </c>
      <c r="G53" s="26">
        <f>VLOOKUP(B53,'Data qoq'!$A:$AT,MATCH($G$1,'Data qoq'!$A$1:$AT$1,),)</f>
        <v/>
      </c>
      <c r="H53" s="26">
        <f>VLOOKUP(B53,'Data qoq'!$A:$AT,MATCH($H$1,'Data qoq'!$A$1:$AT$1,),)</f>
        <v/>
      </c>
      <c r="I53" s="26">
        <f>VLOOKUP(B53,'Data qoq'!$A:$AT,MATCH($I$1,'Data qoq'!$A$1:$AT$1,),)</f>
        <v/>
      </c>
      <c r="J53" s="26">
        <f>VLOOKUP(B53,'Data qoq'!$A:$AT,MATCH($J$1,'Data qoq'!$A$1:$AT$1,),)</f>
        <v/>
      </c>
      <c r="K53" s="26">
        <f>VLOOKUP(B53,'Data qoq'!$A:$AT,MATCH($K$1,'Data qoq'!$A$1:$AT$1,),)</f>
        <v/>
      </c>
      <c r="L53" s="26">
        <f>VLOOKUP(B53,'Data qoq'!$A:$AT,MATCH($L$1,'Data qoq'!$A$1:$AT$1,),)</f>
        <v/>
      </c>
      <c r="M53" s="26">
        <f>VLOOKUP(B53,'Data qoq'!$A:$AT,MATCH($M$1,'Data qoq'!$A$1:$AT$1,),)</f>
        <v/>
      </c>
      <c r="N53" s="26">
        <f>VLOOKUP(B53,'Data qoq'!$A:$AT,MATCH($N$1,'Data qoq'!$A$1:$AT$1,),)</f>
        <v/>
      </c>
      <c r="O53" s="26">
        <f>VLOOKUP(B53,'Data qoq'!$A:$AT,MATCH($C$1,'Data qoq'!$J$1:$AT$1,),)</f>
        <v/>
      </c>
      <c r="P53" s="26">
        <f>VLOOKUP(B53,'Data qoq'!$A:$AT,MATCH($P$1,'Data qoq'!$A$1:$AT$1,),)</f>
        <v/>
      </c>
      <c r="Q53" s="26">
        <f>VLOOKUP(B53,'Data qoq'!$A:$AT,MATCH($Q$1,'Data qoq'!$A$1:$AT$1,),)</f>
        <v/>
      </c>
      <c r="R53" s="26">
        <f>VLOOKUP(B53,'Data qoq'!$A:$AT,MATCH($E$1,'Data qoq'!$A$1:$AT$1,),)</f>
        <v/>
      </c>
      <c r="S53" s="26">
        <f>VLOOKUP(B53,'Data qoq'!$A:$AT,MATCH($S$1,'Data qoq'!$A$1:$AT$1,),)</f>
        <v/>
      </c>
      <c r="T53" s="26">
        <f>VLOOKUP(B53,'Data qoq'!$A:$AT,MATCH($T$1,'Data qoq'!$A$1:$AT$1,),)</f>
        <v/>
      </c>
      <c r="U53" s="26">
        <f>VLOOKUP(B53,'Data qoq'!$A:$AT,MATCH($U$1,'Data qoq'!$A$1:$AT$1,),)</f>
        <v/>
      </c>
      <c r="V53" s="26">
        <f>VLOOKUP(B53,'Data qoq'!$A:$AT,MATCH($V$1,'Data qoq'!$A$1:$AT$1,),)</f>
        <v/>
      </c>
      <c r="W53" s="26">
        <f>VLOOKUP(B53,'Data qoq'!$A:$AT,MATCH($W$1,'Data qoq'!$A$1:$AT$1,),)</f>
        <v/>
      </c>
      <c r="X53" s="26">
        <f>VLOOKUP(B53,'Data qoq'!$A:$AT,MATCH($X$1,'Data qoq'!$A$1:$AT$1,),)</f>
        <v/>
      </c>
      <c r="Y53" s="26">
        <f>VLOOKUP(B53,'Data qoq'!$A:$AT,MATCH($Y$1,'Data qoq'!$A$1:$AT$1,),)</f>
        <v/>
      </c>
      <c r="Z53" s="26">
        <f>VLOOKUP(B53,'Data qoq'!$A:$AU,MATCH($Z$1,'Data qoq'!$A$1:$AU$1,),)</f>
        <v/>
      </c>
      <c r="AA53" s="26">
        <f>VLOOKUP(B53,'Data qoq'!$A:$AU,MATCH($AA$1,'Data qoq'!$A$1:$AU$1,),)</f>
        <v/>
      </c>
      <c r="AC53" s="27">
        <f>B53</f>
        <v/>
      </c>
      <c r="AD53" s="28">
        <f>(VLOOKUP(AC53,B:Y,MATCH($AE$6,$B$1:$Y$1,),))-(VLOOKUP(AC53,B:Y,MATCH($AE$7,$B$1:$Y$1,),))</f>
        <v/>
      </c>
      <c r="AE53" s="28">
        <f>C53-G53</f>
        <v/>
      </c>
    </row>
    <row r="54" hidden="1" s="89">
      <c r="B54" s="25" t="inlineStr">
        <is>
          <t>2010-Q4</t>
        </is>
      </c>
      <c r="C54" s="26">
        <f>VLOOKUP(B54,'Data qoq'!$A:$AT,MATCH($C$1,'Data qoq'!$A$1:$AT$1,),)</f>
        <v/>
      </c>
      <c r="D54" s="26">
        <f>VLOOKUP(B54,'Data qoq'!$A:$AT,MATCH($D$1,'Data qoq'!$A$1:$AT$1,),)</f>
        <v/>
      </c>
      <c r="E54" s="26">
        <f>VLOOKUP(B54,'Data qoq'!$A:$AT,MATCH($E$1,'Data qoq'!$A$1:$AT$1,),)</f>
        <v/>
      </c>
      <c r="F54" s="26">
        <f>VLOOKUP(B54,'Data qoq'!$A:$AT,MATCH($F$1,'Data qoq'!$A$1:$AT$1,),)</f>
        <v/>
      </c>
      <c r="G54" s="26">
        <f>VLOOKUP(B54,'Data qoq'!$A:$AT,MATCH($G$1,'Data qoq'!$A$1:$AT$1,),)</f>
        <v/>
      </c>
      <c r="H54" s="26">
        <f>VLOOKUP(B54,'Data qoq'!$A:$AT,MATCH($H$1,'Data qoq'!$A$1:$AT$1,),)</f>
        <v/>
      </c>
      <c r="I54" s="26">
        <f>VLOOKUP(B54,'Data qoq'!$A:$AT,MATCH($I$1,'Data qoq'!$A$1:$AT$1,),)</f>
        <v/>
      </c>
      <c r="J54" s="26">
        <f>VLOOKUP(B54,'Data qoq'!$A:$AT,MATCH($J$1,'Data qoq'!$A$1:$AT$1,),)</f>
        <v/>
      </c>
      <c r="K54" s="26">
        <f>VLOOKUP(B54,'Data qoq'!$A:$AT,MATCH($K$1,'Data qoq'!$A$1:$AT$1,),)</f>
        <v/>
      </c>
      <c r="L54" s="26">
        <f>VLOOKUP(B54,'Data qoq'!$A:$AT,MATCH($L$1,'Data qoq'!$A$1:$AT$1,),)</f>
        <v/>
      </c>
      <c r="M54" s="26">
        <f>VLOOKUP(B54,'Data qoq'!$A:$AT,MATCH($M$1,'Data qoq'!$A$1:$AT$1,),)</f>
        <v/>
      </c>
      <c r="N54" s="26">
        <f>VLOOKUP(B54,'Data qoq'!$A:$AT,MATCH($N$1,'Data qoq'!$A$1:$AT$1,),)</f>
        <v/>
      </c>
      <c r="O54" s="26">
        <f>VLOOKUP(B54,'Data qoq'!$A:$AT,MATCH($C$1,'Data qoq'!$J$1:$AT$1,),)</f>
        <v/>
      </c>
      <c r="P54" s="26">
        <f>VLOOKUP(B54,'Data qoq'!$A:$AT,MATCH($P$1,'Data qoq'!$A$1:$AT$1,),)</f>
        <v/>
      </c>
      <c r="Q54" s="26">
        <f>VLOOKUP(B54,'Data qoq'!$A:$AT,MATCH($Q$1,'Data qoq'!$A$1:$AT$1,),)</f>
        <v/>
      </c>
      <c r="R54" s="26">
        <f>VLOOKUP(B54,'Data qoq'!$A:$AT,MATCH($E$1,'Data qoq'!$A$1:$AT$1,),)</f>
        <v/>
      </c>
      <c r="S54" s="26">
        <f>VLOOKUP(B54,'Data qoq'!$A:$AT,MATCH($S$1,'Data qoq'!$A$1:$AT$1,),)</f>
        <v/>
      </c>
      <c r="T54" s="26">
        <f>VLOOKUP(B54,'Data qoq'!$A:$AT,MATCH($T$1,'Data qoq'!$A$1:$AT$1,),)</f>
        <v/>
      </c>
      <c r="U54" s="26">
        <f>VLOOKUP(B54,'Data qoq'!$A:$AT,MATCH($U$1,'Data qoq'!$A$1:$AT$1,),)</f>
        <v/>
      </c>
      <c r="V54" s="26">
        <f>VLOOKUP(B54,'Data qoq'!$A:$AT,MATCH($V$1,'Data qoq'!$A$1:$AT$1,),)</f>
        <v/>
      </c>
      <c r="W54" s="26">
        <f>VLOOKUP(B54,'Data qoq'!$A:$AT,MATCH($W$1,'Data qoq'!$A$1:$AT$1,),)</f>
        <v/>
      </c>
      <c r="X54" s="26">
        <f>VLOOKUP(B54,'Data qoq'!$A:$AT,MATCH($X$1,'Data qoq'!$A$1:$AT$1,),)</f>
        <v/>
      </c>
      <c r="Y54" s="26">
        <f>VLOOKUP(B54,'Data qoq'!$A:$AT,MATCH($Y$1,'Data qoq'!$A$1:$AT$1,),)</f>
        <v/>
      </c>
      <c r="Z54" s="26">
        <f>VLOOKUP(B54,'Data qoq'!$A:$AU,MATCH($Z$1,'Data qoq'!$A$1:$AU$1,),)</f>
        <v/>
      </c>
      <c r="AA54" s="26">
        <f>VLOOKUP(B54,'Data qoq'!$A:$AU,MATCH($AA$1,'Data qoq'!$A$1:$AU$1,),)</f>
        <v/>
      </c>
      <c r="AC54" s="27">
        <f>B54</f>
        <v/>
      </c>
      <c r="AD54" s="28">
        <f>(VLOOKUP(AC54,B:Y,MATCH($AE$6,$B$1:$Y$1,),))-(VLOOKUP(AC54,B:Y,MATCH($AE$7,$B$1:$Y$1,),))</f>
        <v/>
      </c>
      <c r="AE54" s="28">
        <f>C54-G54</f>
        <v/>
      </c>
    </row>
    <row r="55" hidden="1" s="89">
      <c r="B55" s="25" t="inlineStr">
        <is>
          <t>2011-Q1</t>
        </is>
      </c>
      <c r="C55" s="26">
        <f>VLOOKUP(B55,'Data qoq'!$A:$AT,MATCH($C$1,'Data qoq'!$A$1:$AT$1,),)</f>
        <v/>
      </c>
      <c r="D55" s="26">
        <f>VLOOKUP(B55,'Data qoq'!$A:$AT,MATCH($D$1,'Data qoq'!$A$1:$AT$1,),)</f>
        <v/>
      </c>
      <c r="E55" s="26">
        <f>VLOOKUP(B55,'Data qoq'!$A:$AT,MATCH($E$1,'Data qoq'!$A$1:$AT$1,),)</f>
        <v/>
      </c>
      <c r="F55" s="26">
        <f>VLOOKUP(B55,'Data qoq'!$A:$AT,MATCH($F$1,'Data qoq'!$A$1:$AT$1,),)</f>
        <v/>
      </c>
      <c r="G55" s="26">
        <f>VLOOKUP(B55,'Data qoq'!$A:$AT,MATCH($G$1,'Data qoq'!$A$1:$AT$1,),)</f>
        <v/>
      </c>
      <c r="H55" s="26">
        <f>VLOOKUP(B55,'Data qoq'!$A:$AT,MATCH($H$1,'Data qoq'!$A$1:$AT$1,),)</f>
        <v/>
      </c>
      <c r="I55" s="26">
        <f>VLOOKUP(B55,'Data qoq'!$A:$AT,MATCH($I$1,'Data qoq'!$A$1:$AT$1,),)</f>
        <v/>
      </c>
      <c r="J55" s="26">
        <f>VLOOKUP(B55,'Data qoq'!$A:$AT,MATCH($J$1,'Data qoq'!$A$1:$AT$1,),)</f>
        <v/>
      </c>
      <c r="K55" s="26">
        <f>VLOOKUP(B55,'Data qoq'!$A:$AT,MATCH($K$1,'Data qoq'!$A$1:$AT$1,),)</f>
        <v/>
      </c>
      <c r="L55" s="26">
        <f>VLOOKUP(B55,'Data qoq'!$A:$AT,MATCH($L$1,'Data qoq'!$A$1:$AT$1,),)</f>
        <v/>
      </c>
      <c r="M55" s="26">
        <f>VLOOKUP(B55,'Data qoq'!$A:$AT,MATCH($M$1,'Data qoq'!$A$1:$AT$1,),)</f>
        <v/>
      </c>
      <c r="N55" s="26">
        <f>VLOOKUP(B55,'Data qoq'!$A:$AT,MATCH($N$1,'Data qoq'!$A$1:$AT$1,),)</f>
        <v/>
      </c>
      <c r="O55" s="26">
        <f>VLOOKUP(B55,'Data qoq'!$A:$AT,MATCH($C$1,'Data qoq'!$J$1:$AT$1,),)</f>
        <v/>
      </c>
      <c r="P55" s="26">
        <f>VLOOKUP(B55,'Data qoq'!$A:$AT,MATCH($P$1,'Data qoq'!$A$1:$AT$1,),)</f>
        <v/>
      </c>
      <c r="Q55" s="26">
        <f>VLOOKUP(B55,'Data qoq'!$A:$AT,MATCH($Q$1,'Data qoq'!$A$1:$AT$1,),)</f>
        <v/>
      </c>
      <c r="R55" s="26">
        <f>VLOOKUP(B55,'Data qoq'!$A:$AT,MATCH($E$1,'Data qoq'!$A$1:$AT$1,),)</f>
        <v/>
      </c>
      <c r="S55" s="26">
        <f>VLOOKUP(B55,'Data qoq'!$A:$AT,MATCH($S$1,'Data qoq'!$A$1:$AT$1,),)</f>
        <v/>
      </c>
      <c r="T55" s="26">
        <f>VLOOKUP(B55,'Data qoq'!$A:$AT,MATCH($T$1,'Data qoq'!$A$1:$AT$1,),)</f>
        <v/>
      </c>
      <c r="U55" s="26">
        <f>VLOOKUP(B55,'Data qoq'!$A:$AT,MATCH($U$1,'Data qoq'!$A$1:$AT$1,),)</f>
        <v/>
      </c>
      <c r="V55" s="26">
        <f>VLOOKUP(B55,'Data qoq'!$A:$AT,MATCH($V$1,'Data qoq'!$A$1:$AT$1,),)</f>
        <v/>
      </c>
      <c r="W55" s="26">
        <f>VLOOKUP(B55,'Data qoq'!$A:$AT,MATCH($W$1,'Data qoq'!$A$1:$AT$1,),)</f>
        <v/>
      </c>
      <c r="X55" s="26">
        <f>VLOOKUP(B55,'Data qoq'!$A:$AT,MATCH($X$1,'Data qoq'!$A$1:$AT$1,),)</f>
        <v/>
      </c>
      <c r="Y55" s="26">
        <f>VLOOKUP(B55,'Data qoq'!$A:$AT,MATCH($Y$1,'Data qoq'!$A$1:$AT$1,),)</f>
        <v/>
      </c>
      <c r="Z55" s="26">
        <f>VLOOKUP(B55,'Data qoq'!$A:$AU,MATCH($Z$1,'Data qoq'!$A$1:$AU$1,),)</f>
        <v/>
      </c>
      <c r="AA55" s="26">
        <f>VLOOKUP(B55,'Data qoq'!$A:$AU,MATCH($AA$1,'Data qoq'!$A$1:$AU$1,),)</f>
        <v/>
      </c>
      <c r="AC55" s="27">
        <f>B55</f>
        <v/>
      </c>
      <c r="AD55" s="28">
        <f>(VLOOKUP(AC55,B:Y,MATCH($AE$6,$B$1:$Y$1,),))-(VLOOKUP(AC55,B:Y,MATCH($AE$7,$B$1:$Y$1,),))</f>
        <v/>
      </c>
      <c r="AE55" s="28">
        <f>C55-G55</f>
        <v/>
      </c>
    </row>
    <row r="56" hidden="1" s="89">
      <c r="B56" s="25" t="inlineStr">
        <is>
          <t>2011-Q2</t>
        </is>
      </c>
      <c r="C56" s="26">
        <f>VLOOKUP(B56,'Data qoq'!$A:$AT,MATCH($C$1,'Data qoq'!$A$1:$AT$1,),)</f>
        <v/>
      </c>
      <c r="D56" s="26">
        <f>VLOOKUP(B56,'Data qoq'!$A:$AT,MATCH($D$1,'Data qoq'!$A$1:$AT$1,),)</f>
        <v/>
      </c>
      <c r="E56" s="26">
        <f>VLOOKUP(B56,'Data qoq'!$A:$AT,MATCH($E$1,'Data qoq'!$A$1:$AT$1,),)</f>
        <v/>
      </c>
      <c r="F56" s="26">
        <f>VLOOKUP(B56,'Data qoq'!$A:$AT,MATCH($F$1,'Data qoq'!$A$1:$AT$1,),)</f>
        <v/>
      </c>
      <c r="G56" s="26">
        <f>VLOOKUP(B56,'Data qoq'!$A:$AT,MATCH($G$1,'Data qoq'!$A$1:$AT$1,),)</f>
        <v/>
      </c>
      <c r="H56" s="26">
        <f>VLOOKUP(B56,'Data qoq'!$A:$AT,MATCH($H$1,'Data qoq'!$A$1:$AT$1,),)</f>
        <v/>
      </c>
      <c r="I56" s="26">
        <f>VLOOKUP(B56,'Data qoq'!$A:$AT,MATCH($I$1,'Data qoq'!$A$1:$AT$1,),)</f>
        <v/>
      </c>
      <c r="J56" s="26">
        <f>VLOOKUP(B56,'Data qoq'!$A:$AT,MATCH($J$1,'Data qoq'!$A$1:$AT$1,),)</f>
        <v/>
      </c>
      <c r="K56" s="26">
        <f>VLOOKUP(B56,'Data qoq'!$A:$AT,MATCH($K$1,'Data qoq'!$A$1:$AT$1,),)</f>
        <v/>
      </c>
      <c r="L56" s="26">
        <f>VLOOKUP(B56,'Data qoq'!$A:$AT,MATCH($L$1,'Data qoq'!$A$1:$AT$1,),)</f>
        <v/>
      </c>
      <c r="M56" s="26">
        <f>VLOOKUP(B56,'Data qoq'!$A:$AT,MATCH($M$1,'Data qoq'!$A$1:$AT$1,),)</f>
        <v/>
      </c>
      <c r="N56" s="26">
        <f>VLOOKUP(B56,'Data qoq'!$A:$AT,MATCH($N$1,'Data qoq'!$A$1:$AT$1,),)</f>
        <v/>
      </c>
      <c r="O56" s="26">
        <f>VLOOKUP(B56,'Data qoq'!$A:$AT,MATCH($C$1,'Data qoq'!$J$1:$AT$1,),)</f>
        <v/>
      </c>
      <c r="P56" s="26">
        <f>VLOOKUP(B56,'Data qoq'!$A:$AT,MATCH($P$1,'Data qoq'!$A$1:$AT$1,),)</f>
        <v/>
      </c>
      <c r="Q56" s="26">
        <f>VLOOKUP(B56,'Data qoq'!$A:$AT,MATCH($Q$1,'Data qoq'!$A$1:$AT$1,),)</f>
        <v/>
      </c>
      <c r="R56" s="26">
        <f>VLOOKUP(B56,'Data qoq'!$A:$AT,MATCH($E$1,'Data qoq'!$A$1:$AT$1,),)</f>
        <v/>
      </c>
      <c r="S56" s="26">
        <f>VLOOKUP(B56,'Data qoq'!$A:$AT,MATCH($S$1,'Data qoq'!$A$1:$AT$1,),)</f>
        <v/>
      </c>
      <c r="T56" s="26">
        <f>VLOOKUP(B56,'Data qoq'!$A:$AT,MATCH($T$1,'Data qoq'!$A$1:$AT$1,),)</f>
        <v/>
      </c>
      <c r="U56" s="26">
        <f>VLOOKUP(B56,'Data qoq'!$A:$AT,MATCH($U$1,'Data qoq'!$A$1:$AT$1,),)</f>
        <v/>
      </c>
      <c r="V56" s="26">
        <f>VLOOKUP(B56,'Data qoq'!$A:$AT,MATCH($V$1,'Data qoq'!$A$1:$AT$1,),)</f>
        <v/>
      </c>
      <c r="W56" s="26">
        <f>VLOOKUP(B56,'Data qoq'!$A:$AT,MATCH($W$1,'Data qoq'!$A$1:$AT$1,),)</f>
        <v/>
      </c>
      <c r="X56" s="26">
        <f>VLOOKUP(B56,'Data qoq'!$A:$AT,MATCH($X$1,'Data qoq'!$A$1:$AT$1,),)</f>
        <v/>
      </c>
      <c r="Y56" s="26">
        <f>VLOOKUP(B56,'Data qoq'!$A:$AT,MATCH($Y$1,'Data qoq'!$A$1:$AT$1,),)</f>
        <v/>
      </c>
      <c r="Z56" s="26">
        <f>VLOOKUP(B56,'Data qoq'!$A:$AU,MATCH($Z$1,'Data qoq'!$A$1:$AU$1,),)</f>
        <v/>
      </c>
      <c r="AA56" s="26">
        <f>VLOOKUP(B56,'Data qoq'!$A:$AU,MATCH($AA$1,'Data qoq'!$A$1:$AU$1,),)</f>
        <v/>
      </c>
      <c r="AC56" s="27">
        <f>B56</f>
        <v/>
      </c>
      <c r="AD56" s="28">
        <f>(VLOOKUP(AC56,B:Y,MATCH($AE$6,$B$1:$Y$1,),))-(VLOOKUP(AC56,B:Y,MATCH($AE$7,$B$1:$Y$1,),))</f>
        <v/>
      </c>
      <c r="AE56" s="28">
        <f>C56-G56</f>
        <v/>
      </c>
    </row>
    <row r="57" hidden="1" s="89">
      <c r="B57" s="25" t="inlineStr">
        <is>
          <t>2011-Q3</t>
        </is>
      </c>
      <c r="C57" s="26">
        <f>VLOOKUP(B57,'Data qoq'!$A:$AT,MATCH($C$1,'Data qoq'!$A$1:$AT$1,),)</f>
        <v/>
      </c>
      <c r="D57" s="26">
        <f>VLOOKUP(B57,'Data qoq'!$A:$AT,MATCH($D$1,'Data qoq'!$A$1:$AT$1,),)</f>
        <v/>
      </c>
      <c r="E57" s="26">
        <f>VLOOKUP(B57,'Data qoq'!$A:$AT,MATCH($E$1,'Data qoq'!$A$1:$AT$1,),)</f>
        <v/>
      </c>
      <c r="F57" s="26">
        <f>VLOOKUP(B57,'Data qoq'!$A:$AT,MATCH($F$1,'Data qoq'!$A$1:$AT$1,),)</f>
        <v/>
      </c>
      <c r="G57" s="26">
        <f>VLOOKUP(B57,'Data qoq'!$A:$AT,MATCH($G$1,'Data qoq'!$A$1:$AT$1,),)</f>
        <v/>
      </c>
      <c r="H57" s="26">
        <f>VLOOKUP(B57,'Data qoq'!$A:$AT,MATCH($H$1,'Data qoq'!$A$1:$AT$1,),)</f>
        <v/>
      </c>
      <c r="I57" s="26">
        <f>VLOOKUP(B57,'Data qoq'!$A:$AT,MATCH($I$1,'Data qoq'!$A$1:$AT$1,),)</f>
        <v/>
      </c>
      <c r="J57" s="26">
        <f>VLOOKUP(B57,'Data qoq'!$A:$AT,MATCH($J$1,'Data qoq'!$A$1:$AT$1,),)</f>
        <v/>
      </c>
      <c r="K57" s="26">
        <f>VLOOKUP(B57,'Data qoq'!$A:$AT,MATCH($K$1,'Data qoq'!$A$1:$AT$1,),)</f>
        <v/>
      </c>
      <c r="L57" s="26">
        <f>VLOOKUP(B57,'Data qoq'!$A:$AT,MATCH($L$1,'Data qoq'!$A$1:$AT$1,),)</f>
        <v/>
      </c>
      <c r="M57" s="26">
        <f>VLOOKUP(B57,'Data qoq'!$A:$AT,MATCH($M$1,'Data qoq'!$A$1:$AT$1,),)</f>
        <v/>
      </c>
      <c r="N57" s="26">
        <f>VLOOKUP(B57,'Data qoq'!$A:$AT,MATCH($N$1,'Data qoq'!$A$1:$AT$1,),)</f>
        <v/>
      </c>
      <c r="O57" s="26">
        <f>VLOOKUP(B57,'Data qoq'!$A:$AT,MATCH($C$1,'Data qoq'!$J$1:$AT$1,),)</f>
        <v/>
      </c>
      <c r="P57" s="26">
        <f>VLOOKUP(B57,'Data qoq'!$A:$AT,MATCH($P$1,'Data qoq'!$A$1:$AT$1,),)</f>
        <v/>
      </c>
      <c r="Q57" s="26">
        <f>VLOOKUP(B57,'Data qoq'!$A:$AT,MATCH($Q$1,'Data qoq'!$A$1:$AT$1,),)</f>
        <v/>
      </c>
      <c r="R57" s="26">
        <f>VLOOKUP(B57,'Data qoq'!$A:$AT,MATCH($E$1,'Data qoq'!$A$1:$AT$1,),)</f>
        <v/>
      </c>
      <c r="S57" s="26">
        <f>VLOOKUP(B57,'Data qoq'!$A:$AT,MATCH($S$1,'Data qoq'!$A$1:$AT$1,),)</f>
        <v/>
      </c>
      <c r="T57" s="26">
        <f>VLOOKUP(B57,'Data qoq'!$A:$AT,MATCH($T$1,'Data qoq'!$A$1:$AT$1,),)</f>
        <v/>
      </c>
      <c r="U57" s="26">
        <f>VLOOKUP(B57,'Data qoq'!$A:$AT,MATCH($U$1,'Data qoq'!$A$1:$AT$1,),)</f>
        <v/>
      </c>
      <c r="V57" s="26">
        <f>VLOOKUP(B57,'Data qoq'!$A:$AT,MATCH($V$1,'Data qoq'!$A$1:$AT$1,),)</f>
        <v/>
      </c>
      <c r="W57" s="26">
        <f>VLOOKUP(B57,'Data qoq'!$A:$AT,MATCH($W$1,'Data qoq'!$A$1:$AT$1,),)</f>
        <v/>
      </c>
      <c r="X57" s="26">
        <f>VLOOKUP(B57,'Data qoq'!$A:$AT,MATCH($X$1,'Data qoq'!$A$1:$AT$1,),)</f>
        <v/>
      </c>
      <c r="Y57" s="26">
        <f>VLOOKUP(B57,'Data qoq'!$A:$AT,MATCH($Y$1,'Data qoq'!$A$1:$AT$1,),)</f>
        <v/>
      </c>
      <c r="Z57" s="26">
        <f>VLOOKUP(B57,'Data qoq'!$A:$AU,MATCH($Z$1,'Data qoq'!$A$1:$AU$1,),)</f>
        <v/>
      </c>
      <c r="AA57" s="26">
        <f>VLOOKUP(B57,'Data qoq'!$A:$AU,MATCH($AA$1,'Data qoq'!$A$1:$AU$1,),)</f>
        <v/>
      </c>
      <c r="AC57" s="27">
        <f>B57</f>
        <v/>
      </c>
      <c r="AD57" s="28">
        <f>(VLOOKUP(AC57,B:Y,MATCH($AE$6,$B$1:$Y$1,),))-(VLOOKUP(AC57,B:Y,MATCH($AE$7,$B$1:$Y$1,),))</f>
        <v/>
      </c>
      <c r="AE57" s="28">
        <f>C57-G57</f>
        <v/>
      </c>
    </row>
    <row r="58" hidden="1" s="89">
      <c r="B58" s="25" t="inlineStr">
        <is>
          <t>2011-Q4</t>
        </is>
      </c>
      <c r="C58" s="26">
        <f>VLOOKUP(B58,'Data qoq'!$A:$AT,MATCH($C$1,'Data qoq'!$A$1:$AT$1,),)</f>
        <v/>
      </c>
      <c r="D58" s="26">
        <f>VLOOKUP(B58,'Data qoq'!$A:$AT,MATCH($D$1,'Data qoq'!$A$1:$AT$1,),)</f>
        <v/>
      </c>
      <c r="E58" s="26">
        <f>VLOOKUP(B58,'Data qoq'!$A:$AT,MATCH($E$1,'Data qoq'!$A$1:$AT$1,),)</f>
        <v/>
      </c>
      <c r="F58" s="26">
        <f>VLOOKUP(B58,'Data qoq'!$A:$AT,MATCH($F$1,'Data qoq'!$A$1:$AT$1,),)</f>
        <v/>
      </c>
      <c r="G58" s="26">
        <f>VLOOKUP(B58,'Data qoq'!$A:$AT,MATCH($G$1,'Data qoq'!$A$1:$AT$1,),)</f>
        <v/>
      </c>
      <c r="H58" s="26">
        <f>VLOOKUP(B58,'Data qoq'!$A:$AT,MATCH($H$1,'Data qoq'!$A$1:$AT$1,),)</f>
        <v/>
      </c>
      <c r="I58" s="26">
        <f>VLOOKUP(B58,'Data qoq'!$A:$AT,MATCH($I$1,'Data qoq'!$A$1:$AT$1,),)</f>
        <v/>
      </c>
      <c r="J58" s="26">
        <f>VLOOKUP(B58,'Data qoq'!$A:$AT,MATCH($J$1,'Data qoq'!$A$1:$AT$1,),)</f>
        <v/>
      </c>
      <c r="K58" s="26">
        <f>VLOOKUP(B58,'Data qoq'!$A:$AT,MATCH($K$1,'Data qoq'!$A$1:$AT$1,),)</f>
        <v/>
      </c>
      <c r="L58" s="26">
        <f>VLOOKUP(B58,'Data qoq'!$A:$AT,MATCH($L$1,'Data qoq'!$A$1:$AT$1,),)</f>
        <v/>
      </c>
      <c r="M58" s="26">
        <f>VLOOKUP(B58,'Data qoq'!$A:$AT,MATCH($M$1,'Data qoq'!$A$1:$AT$1,),)</f>
        <v/>
      </c>
      <c r="N58" s="26">
        <f>VLOOKUP(B58,'Data qoq'!$A:$AT,MATCH($N$1,'Data qoq'!$A$1:$AT$1,),)</f>
        <v/>
      </c>
      <c r="O58" s="26">
        <f>VLOOKUP(B58,'Data qoq'!$A:$AT,MATCH($C$1,'Data qoq'!$J$1:$AT$1,),)</f>
        <v/>
      </c>
      <c r="P58" s="26">
        <f>VLOOKUP(B58,'Data qoq'!$A:$AT,MATCH($P$1,'Data qoq'!$A$1:$AT$1,),)</f>
        <v/>
      </c>
      <c r="Q58" s="26">
        <f>VLOOKUP(B58,'Data qoq'!$A:$AT,MATCH($Q$1,'Data qoq'!$A$1:$AT$1,),)</f>
        <v/>
      </c>
      <c r="R58" s="26">
        <f>VLOOKUP(B58,'Data qoq'!$A:$AT,MATCH($E$1,'Data qoq'!$A$1:$AT$1,),)</f>
        <v/>
      </c>
      <c r="S58" s="26">
        <f>VLOOKUP(B58,'Data qoq'!$A:$AT,MATCH($S$1,'Data qoq'!$A$1:$AT$1,),)</f>
        <v/>
      </c>
      <c r="T58" s="26">
        <f>VLOOKUP(B58,'Data qoq'!$A:$AT,MATCH($T$1,'Data qoq'!$A$1:$AT$1,),)</f>
        <v/>
      </c>
      <c r="U58" s="26">
        <f>VLOOKUP(B58,'Data qoq'!$A:$AT,MATCH($U$1,'Data qoq'!$A$1:$AT$1,),)</f>
        <v/>
      </c>
      <c r="V58" s="26">
        <f>VLOOKUP(B58,'Data qoq'!$A:$AT,MATCH($V$1,'Data qoq'!$A$1:$AT$1,),)</f>
        <v/>
      </c>
      <c r="W58" s="26">
        <f>VLOOKUP(B58,'Data qoq'!$A:$AT,MATCH($W$1,'Data qoq'!$A$1:$AT$1,),)</f>
        <v/>
      </c>
      <c r="X58" s="26">
        <f>VLOOKUP(B58,'Data qoq'!$A:$AT,MATCH($X$1,'Data qoq'!$A$1:$AT$1,),)</f>
        <v/>
      </c>
      <c r="Y58" s="26">
        <f>VLOOKUP(B58,'Data qoq'!$A:$AT,MATCH($Y$1,'Data qoq'!$A$1:$AT$1,),)</f>
        <v/>
      </c>
      <c r="Z58" s="26">
        <f>VLOOKUP(B58,'Data qoq'!$A:$AU,MATCH($Z$1,'Data qoq'!$A$1:$AU$1,),)</f>
        <v/>
      </c>
      <c r="AA58" s="26">
        <f>VLOOKUP(B58,'Data qoq'!$A:$AU,MATCH($AA$1,'Data qoq'!$A$1:$AU$1,),)</f>
        <v/>
      </c>
      <c r="AC58" s="27">
        <f>B58</f>
        <v/>
      </c>
      <c r="AD58" s="28">
        <f>(VLOOKUP(AC58,B:Y,MATCH($AE$6,$B$1:$Y$1,),))-(VLOOKUP(AC58,B:Y,MATCH($AE$7,$B$1:$Y$1,),))</f>
        <v/>
      </c>
      <c r="AE58" s="28">
        <f>C58-G58</f>
        <v/>
      </c>
    </row>
    <row r="59" hidden="1" s="89">
      <c r="B59" s="25" t="inlineStr">
        <is>
          <t>2012-Q1</t>
        </is>
      </c>
      <c r="C59" s="26">
        <f>VLOOKUP(B59,'Data qoq'!$A:$AT,MATCH($C$1,'Data qoq'!$A$1:$AT$1,),)</f>
        <v/>
      </c>
      <c r="D59" s="26">
        <f>VLOOKUP(B59,'Data qoq'!$A:$AT,MATCH($D$1,'Data qoq'!$A$1:$AT$1,),)</f>
        <v/>
      </c>
      <c r="E59" s="26">
        <f>VLOOKUP(B59,'Data qoq'!$A:$AT,MATCH($E$1,'Data qoq'!$A$1:$AT$1,),)</f>
        <v/>
      </c>
      <c r="F59" s="26">
        <f>VLOOKUP(B59,'Data qoq'!$A:$AT,MATCH($F$1,'Data qoq'!$A$1:$AT$1,),)</f>
        <v/>
      </c>
      <c r="G59" s="26">
        <f>VLOOKUP(B59,'Data qoq'!$A:$AT,MATCH($G$1,'Data qoq'!$A$1:$AT$1,),)</f>
        <v/>
      </c>
      <c r="H59" s="26">
        <f>VLOOKUP(B59,'Data qoq'!$A:$AT,MATCH($H$1,'Data qoq'!$A$1:$AT$1,),)</f>
        <v/>
      </c>
      <c r="I59" s="26">
        <f>VLOOKUP(B59,'Data qoq'!$A:$AT,MATCH($I$1,'Data qoq'!$A$1:$AT$1,),)</f>
        <v/>
      </c>
      <c r="J59" s="26">
        <f>VLOOKUP(B59,'Data qoq'!$A:$AT,MATCH($J$1,'Data qoq'!$A$1:$AT$1,),)</f>
        <v/>
      </c>
      <c r="K59" s="26">
        <f>VLOOKUP(B59,'Data qoq'!$A:$AT,MATCH($K$1,'Data qoq'!$A$1:$AT$1,),)</f>
        <v/>
      </c>
      <c r="L59" s="26">
        <f>VLOOKUP(B59,'Data qoq'!$A:$AT,MATCH($L$1,'Data qoq'!$A$1:$AT$1,),)</f>
        <v/>
      </c>
      <c r="M59" s="26">
        <f>VLOOKUP(B59,'Data qoq'!$A:$AT,MATCH($M$1,'Data qoq'!$A$1:$AT$1,),)</f>
        <v/>
      </c>
      <c r="N59" s="26">
        <f>VLOOKUP(B59,'Data qoq'!$A:$AT,MATCH($N$1,'Data qoq'!$A$1:$AT$1,),)</f>
        <v/>
      </c>
      <c r="O59" s="26">
        <f>VLOOKUP(B59,'Data qoq'!$A:$AT,MATCH($C$1,'Data qoq'!$J$1:$AT$1,),)</f>
        <v/>
      </c>
      <c r="P59" s="26">
        <f>VLOOKUP(B59,'Data qoq'!$A:$AT,MATCH($P$1,'Data qoq'!$A$1:$AT$1,),)</f>
        <v/>
      </c>
      <c r="Q59" s="26">
        <f>VLOOKUP(B59,'Data qoq'!$A:$AT,MATCH($Q$1,'Data qoq'!$A$1:$AT$1,),)</f>
        <v/>
      </c>
      <c r="R59" s="26">
        <f>VLOOKUP(B59,'Data qoq'!$A:$AT,MATCH($E$1,'Data qoq'!$A$1:$AT$1,),)</f>
        <v/>
      </c>
      <c r="S59" s="26">
        <f>VLOOKUP(B59,'Data qoq'!$A:$AT,MATCH($S$1,'Data qoq'!$A$1:$AT$1,),)</f>
        <v/>
      </c>
      <c r="T59" s="26">
        <f>VLOOKUP(B59,'Data qoq'!$A:$AT,MATCH($T$1,'Data qoq'!$A$1:$AT$1,),)</f>
        <v/>
      </c>
      <c r="U59" s="26">
        <f>VLOOKUP(B59,'Data qoq'!$A:$AT,MATCH($U$1,'Data qoq'!$A$1:$AT$1,),)</f>
        <v/>
      </c>
      <c r="V59" s="26">
        <f>VLOOKUP(B59,'Data qoq'!$A:$AT,MATCH($V$1,'Data qoq'!$A$1:$AT$1,),)</f>
        <v/>
      </c>
      <c r="W59" s="26">
        <f>VLOOKUP(B59,'Data qoq'!$A:$AT,MATCH($W$1,'Data qoq'!$A$1:$AT$1,),)</f>
        <v/>
      </c>
      <c r="X59" s="26">
        <f>VLOOKUP(B59,'Data qoq'!$A:$AT,MATCH($X$1,'Data qoq'!$A$1:$AT$1,),)</f>
        <v/>
      </c>
      <c r="Y59" s="26">
        <f>VLOOKUP(B59,'Data qoq'!$A:$AT,MATCH($Y$1,'Data qoq'!$A$1:$AT$1,),)</f>
        <v/>
      </c>
      <c r="Z59" s="26">
        <f>VLOOKUP(B59,'Data qoq'!$A:$AU,MATCH($Z$1,'Data qoq'!$A$1:$AU$1,),)</f>
        <v/>
      </c>
      <c r="AA59" s="26">
        <f>VLOOKUP(B59,'Data qoq'!$A:$AU,MATCH($AA$1,'Data qoq'!$A$1:$AU$1,),)</f>
        <v/>
      </c>
      <c r="AC59" s="27">
        <f>B59</f>
        <v/>
      </c>
      <c r="AD59" s="28">
        <f>(VLOOKUP(AC59,B:Y,MATCH($AE$6,$B$1:$Y$1,),))-(VLOOKUP(AC59,B:Y,MATCH($AE$7,$B$1:$Y$1,),))</f>
        <v/>
      </c>
      <c r="AE59" s="28">
        <f>C59-G59</f>
        <v/>
      </c>
    </row>
    <row r="60" hidden="1" s="89">
      <c r="B60" s="25" t="inlineStr">
        <is>
          <t>2012-Q2</t>
        </is>
      </c>
      <c r="C60" s="26">
        <f>VLOOKUP(B60,'Data qoq'!$A:$AT,MATCH($C$1,'Data qoq'!$A$1:$AT$1,),)</f>
        <v/>
      </c>
      <c r="D60" s="26">
        <f>VLOOKUP(B60,'Data qoq'!$A:$AT,MATCH($D$1,'Data qoq'!$A$1:$AT$1,),)</f>
        <v/>
      </c>
      <c r="E60" s="26">
        <f>VLOOKUP(B60,'Data qoq'!$A:$AT,MATCH($E$1,'Data qoq'!$A$1:$AT$1,),)</f>
        <v/>
      </c>
      <c r="F60" s="26">
        <f>VLOOKUP(B60,'Data qoq'!$A:$AT,MATCH($F$1,'Data qoq'!$A$1:$AT$1,),)</f>
        <v/>
      </c>
      <c r="G60" s="26">
        <f>VLOOKUP(B60,'Data qoq'!$A:$AT,MATCH($G$1,'Data qoq'!$A$1:$AT$1,),)</f>
        <v/>
      </c>
      <c r="H60" s="26">
        <f>VLOOKUP(B60,'Data qoq'!$A:$AT,MATCH($H$1,'Data qoq'!$A$1:$AT$1,),)</f>
        <v/>
      </c>
      <c r="I60" s="26">
        <f>VLOOKUP(B60,'Data qoq'!$A:$AT,MATCH($I$1,'Data qoq'!$A$1:$AT$1,),)</f>
        <v/>
      </c>
      <c r="J60" s="26">
        <f>VLOOKUP(B60,'Data qoq'!$A:$AT,MATCH($J$1,'Data qoq'!$A$1:$AT$1,),)</f>
        <v/>
      </c>
      <c r="K60" s="26">
        <f>VLOOKUP(B60,'Data qoq'!$A:$AT,MATCH($K$1,'Data qoq'!$A$1:$AT$1,),)</f>
        <v/>
      </c>
      <c r="L60" s="26">
        <f>VLOOKUP(B60,'Data qoq'!$A:$AT,MATCH($L$1,'Data qoq'!$A$1:$AT$1,),)</f>
        <v/>
      </c>
      <c r="M60" s="26">
        <f>VLOOKUP(B60,'Data qoq'!$A:$AT,MATCH($M$1,'Data qoq'!$A$1:$AT$1,),)</f>
        <v/>
      </c>
      <c r="N60" s="26">
        <f>VLOOKUP(B60,'Data qoq'!$A:$AT,MATCH($N$1,'Data qoq'!$A$1:$AT$1,),)</f>
        <v/>
      </c>
      <c r="O60" s="26">
        <f>VLOOKUP(B60,'Data qoq'!$A:$AT,MATCH($C$1,'Data qoq'!$J$1:$AT$1,),)</f>
        <v/>
      </c>
      <c r="P60" s="26">
        <f>VLOOKUP(B60,'Data qoq'!$A:$AT,MATCH($P$1,'Data qoq'!$A$1:$AT$1,),)</f>
        <v/>
      </c>
      <c r="Q60" s="26">
        <f>VLOOKUP(B60,'Data qoq'!$A:$AT,MATCH($Q$1,'Data qoq'!$A$1:$AT$1,),)</f>
        <v/>
      </c>
      <c r="R60" s="26">
        <f>VLOOKUP(B60,'Data qoq'!$A:$AT,MATCH($E$1,'Data qoq'!$A$1:$AT$1,),)</f>
        <v/>
      </c>
      <c r="S60" s="26">
        <f>VLOOKUP(B60,'Data qoq'!$A:$AT,MATCH($S$1,'Data qoq'!$A$1:$AT$1,),)</f>
        <v/>
      </c>
      <c r="T60" s="26">
        <f>VLOOKUP(B60,'Data qoq'!$A:$AT,MATCH($T$1,'Data qoq'!$A$1:$AT$1,),)</f>
        <v/>
      </c>
      <c r="U60" s="26">
        <f>VLOOKUP(B60,'Data qoq'!$A:$AT,MATCH($U$1,'Data qoq'!$A$1:$AT$1,),)</f>
        <v/>
      </c>
      <c r="V60" s="26">
        <f>VLOOKUP(B60,'Data qoq'!$A:$AT,MATCH($V$1,'Data qoq'!$A$1:$AT$1,),)</f>
        <v/>
      </c>
      <c r="W60" s="26">
        <f>VLOOKUP(B60,'Data qoq'!$A:$AT,MATCH($W$1,'Data qoq'!$A$1:$AT$1,),)</f>
        <v/>
      </c>
      <c r="X60" s="26">
        <f>VLOOKUP(B60,'Data qoq'!$A:$AT,MATCH($X$1,'Data qoq'!$A$1:$AT$1,),)</f>
        <v/>
      </c>
      <c r="Y60" s="26">
        <f>VLOOKUP(B60,'Data qoq'!$A:$AT,MATCH($Y$1,'Data qoq'!$A$1:$AT$1,),)</f>
        <v/>
      </c>
      <c r="Z60" s="26">
        <f>VLOOKUP(B60,'Data qoq'!$A:$AU,MATCH($Z$1,'Data qoq'!$A$1:$AU$1,),)</f>
        <v/>
      </c>
      <c r="AA60" s="26">
        <f>VLOOKUP(B60,'Data qoq'!$A:$AU,MATCH($AA$1,'Data qoq'!$A$1:$AU$1,),)</f>
        <v/>
      </c>
      <c r="AC60" s="27">
        <f>B60</f>
        <v/>
      </c>
      <c r="AD60" s="28">
        <f>(VLOOKUP(AC60,B:Y,MATCH($AE$6,$B$1:$Y$1,),))-(VLOOKUP(AC60,B:Y,MATCH($AE$7,$B$1:$Y$1,),))</f>
        <v/>
      </c>
      <c r="AE60" s="28">
        <f>C60-G60</f>
        <v/>
      </c>
    </row>
    <row r="61" hidden="1" s="89">
      <c r="B61" s="25" t="inlineStr">
        <is>
          <t>2012-Q3</t>
        </is>
      </c>
      <c r="C61" s="26">
        <f>VLOOKUP(B61,'Data qoq'!$A:$AT,MATCH($C$1,'Data qoq'!$A$1:$AT$1,),)</f>
        <v/>
      </c>
      <c r="D61" s="26">
        <f>VLOOKUP(B61,'Data qoq'!$A:$AT,MATCH($D$1,'Data qoq'!$A$1:$AT$1,),)</f>
        <v/>
      </c>
      <c r="E61" s="26">
        <f>VLOOKUP(B61,'Data qoq'!$A:$AT,MATCH($E$1,'Data qoq'!$A$1:$AT$1,),)</f>
        <v/>
      </c>
      <c r="F61" s="26">
        <f>VLOOKUP(B61,'Data qoq'!$A:$AT,MATCH($F$1,'Data qoq'!$A$1:$AT$1,),)</f>
        <v/>
      </c>
      <c r="G61" s="26">
        <f>VLOOKUP(B61,'Data qoq'!$A:$AT,MATCH($G$1,'Data qoq'!$A$1:$AT$1,),)</f>
        <v/>
      </c>
      <c r="H61" s="26">
        <f>VLOOKUP(B61,'Data qoq'!$A:$AT,MATCH($H$1,'Data qoq'!$A$1:$AT$1,),)</f>
        <v/>
      </c>
      <c r="I61" s="26">
        <f>VLOOKUP(B61,'Data qoq'!$A:$AT,MATCH($I$1,'Data qoq'!$A$1:$AT$1,),)</f>
        <v/>
      </c>
      <c r="J61" s="26">
        <f>VLOOKUP(B61,'Data qoq'!$A:$AT,MATCH($J$1,'Data qoq'!$A$1:$AT$1,),)</f>
        <v/>
      </c>
      <c r="K61" s="26">
        <f>VLOOKUP(B61,'Data qoq'!$A:$AT,MATCH($K$1,'Data qoq'!$A$1:$AT$1,),)</f>
        <v/>
      </c>
      <c r="L61" s="26">
        <f>VLOOKUP(B61,'Data qoq'!$A:$AT,MATCH($L$1,'Data qoq'!$A$1:$AT$1,),)</f>
        <v/>
      </c>
      <c r="M61" s="26">
        <f>VLOOKUP(B61,'Data qoq'!$A:$AT,MATCH($M$1,'Data qoq'!$A$1:$AT$1,),)</f>
        <v/>
      </c>
      <c r="N61" s="26">
        <f>VLOOKUP(B61,'Data qoq'!$A:$AT,MATCH($N$1,'Data qoq'!$A$1:$AT$1,),)</f>
        <v/>
      </c>
      <c r="O61" s="26">
        <f>VLOOKUP(B61,'Data qoq'!$A:$AT,MATCH($C$1,'Data qoq'!$J$1:$AT$1,),)</f>
        <v/>
      </c>
      <c r="P61" s="26">
        <f>VLOOKUP(B61,'Data qoq'!$A:$AT,MATCH($P$1,'Data qoq'!$A$1:$AT$1,),)</f>
        <v/>
      </c>
      <c r="Q61" s="26">
        <f>VLOOKUP(B61,'Data qoq'!$A:$AT,MATCH($Q$1,'Data qoq'!$A$1:$AT$1,),)</f>
        <v/>
      </c>
      <c r="R61" s="26">
        <f>VLOOKUP(B61,'Data qoq'!$A:$AT,MATCH($E$1,'Data qoq'!$A$1:$AT$1,),)</f>
        <v/>
      </c>
      <c r="S61" s="26">
        <f>VLOOKUP(B61,'Data qoq'!$A:$AT,MATCH($S$1,'Data qoq'!$A$1:$AT$1,),)</f>
        <v/>
      </c>
      <c r="T61" s="26">
        <f>VLOOKUP(B61,'Data qoq'!$A:$AT,MATCH($T$1,'Data qoq'!$A$1:$AT$1,),)</f>
        <v/>
      </c>
      <c r="U61" s="26">
        <f>VLOOKUP(B61,'Data qoq'!$A:$AT,MATCH($U$1,'Data qoq'!$A$1:$AT$1,),)</f>
        <v/>
      </c>
      <c r="V61" s="26">
        <f>VLOOKUP(B61,'Data qoq'!$A:$AT,MATCH($V$1,'Data qoq'!$A$1:$AT$1,),)</f>
        <v/>
      </c>
      <c r="W61" s="26">
        <f>VLOOKUP(B61,'Data qoq'!$A:$AT,MATCH($W$1,'Data qoq'!$A$1:$AT$1,),)</f>
        <v/>
      </c>
      <c r="X61" s="26">
        <f>VLOOKUP(B61,'Data qoq'!$A:$AT,MATCH($X$1,'Data qoq'!$A$1:$AT$1,),)</f>
        <v/>
      </c>
      <c r="Y61" s="26">
        <f>VLOOKUP(B61,'Data qoq'!$A:$AT,MATCH($Y$1,'Data qoq'!$A$1:$AT$1,),)</f>
        <v/>
      </c>
      <c r="Z61" s="26">
        <f>VLOOKUP(B61,'Data qoq'!$A:$AU,MATCH($Z$1,'Data qoq'!$A$1:$AU$1,),)</f>
        <v/>
      </c>
      <c r="AA61" s="26">
        <f>VLOOKUP(B61,'Data qoq'!$A:$AU,MATCH($AA$1,'Data qoq'!$A$1:$AU$1,),)</f>
        <v/>
      </c>
      <c r="AC61" s="27">
        <f>B61</f>
        <v/>
      </c>
      <c r="AD61" s="28">
        <f>(VLOOKUP(AC61,B:Y,MATCH($AE$6,$B$1:$Y$1,),))-(VLOOKUP(AC61,B:Y,MATCH($AE$7,$B$1:$Y$1,),))</f>
        <v/>
      </c>
      <c r="AE61" s="28">
        <f>C61-G61</f>
        <v/>
      </c>
    </row>
    <row r="62" hidden="1" s="89">
      <c r="B62" s="25" t="inlineStr">
        <is>
          <t>2012-Q4</t>
        </is>
      </c>
      <c r="C62" s="26">
        <f>VLOOKUP(B62,'Data qoq'!$A:$AT,MATCH($C$1,'Data qoq'!$A$1:$AT$1,),)</f>
        <v/>
      </c>
      <c r="D62" s="26">
        <f>VLOOKUP(B62,'Data qoq'!$A:$AT,MATCH($D$1,'Data qoq'!$A$1:$AT$1,),)</f>
        <v/>
      </c>
      <c r="E62" s="26">
        <f>VLOOKUP(B62,'Data qoq'!$A:$AT,MATCH($E$1,'Data qoq'!$A$1:$AT$1,),)</f>
        <v/>
      </c>
      <c r="F62" s="26">
        <f>VLOOKUP(B62,'Data qoq'!$A:$AT,MATCH($F$1,'Data qoq'!$A$1:$AT$1,),)</f>
        <v/>
      </c>
      <c r="G62" s="26">
        <f>VLOOKUP(B62,'Data qoq'!$A:$AT,MATCH($G$1,'Data qoq'!$A$1:$AT$1,),)</f>
        <v/>
      </c>
      <c r="H62" s="26">
        <f>VLOOKUP(B62,'Data qoq'!$A:$AT,MATCH($H$1,'Data qoq'!$A$1:$AT$1,),)</f>
        <v/>
      </c>
      <c r="I62" s="26">
        <f>VLOOKUP(B62,'Data qoq'!$A:$AT,MATCH($I$1,'Data qoq'!$A$1:$AT$1,),)</f>
        <v/>
      </c>
      <c r="J62" s="26">
        <f>VLOOKUP(B62,'Data qoq'!$A:$AT,MATCH($J$1,'Data qoq'!$A$1:$AT$1,),)</f>
        <v/>
      </c>
      <c r="K62" s="26">
        <f>VLOOKUP(B62,'Data qoq'!$A:$AT,MATCH($K$1,'Data qoq'!$A$1:$AT$1,),)</f>
        <v/>
      </c>
      <c r="L62" s="26">
        <f>VLOOKUP(B62,'Data qoq'!$A:$AT,MATCH($L$1,'Data qoq'!$A$1:$AT$1,),)</f>
        <v/>
      </c>
      <c r="M62" s="26">
        <f>VLOOKUP(B62,'Data qoq'!$A:$AT,MATCH($M$1,'Data qoq'!$A$1:$AT$1,),)</f>
        <v/>
      </c>
      <c r="N62" s="26">
        <f>VLOOKUP(B62,'Data qoq'!$A:$AT,MATCH($N$1,'Data qoq'!$A$1:$AT$1,),)</f>
        <v/>
      </c>
      <c r="O62" s="26">
        <f>VLOOKUP(B62,'Data qoq'!$A:$AT,MATCH($C$1,'Data qoq'!$J$1:$AT$1,),)</f>
        <v/>
      </c>
      <c r="P62" s="26">
        <f>VLOOKUP(B62,'Data qoq'!$A:$AT,MATCH($P$1,'Data qoq'!$A$1:$AT$1,),)</f>
        <v/>
      </c>
      <c r="Q62" s="26">
        <f>VLOOKUP(B62,'Data qoq'!$A:$AT,MATCH($Q$1,'Data qoq'!$A$1:$AT$1,),)</f>
        <v/>
      </c>
      <c r="R62" s="26">
        <f>VLOOKUP(B62,'Data qoq'!$A:$AT,MATCH($E$1,'Data qoq'!$A$1:$AT$1,),)</f>
        <v/>
      </c>
      <c r="S62" s="26">
        <f>VLOOKUP(B62,'Data qoq'!$A:$AT,MATCH($S$1,'Data qoq'!$A$1:$AT$1,),)</f>
        <v/>
      </c>
      <c r="T62" s="26">
        <f>VLOOKUP(B62,'Data qoq'!$A:$AT,MATCH($T$1,'Data qoq'!$A$1:$AT$1,),)</f>
        <v/>
      </c>
      <c r="U62" s="26">
        <f>VLOOKUP(B62,'Data qoq'!$A:$AT,MATCH($U$1,'Data qoq'!$A$1:$AT$1,),)</f>
        <v/>
      </c>
      <c r="V62" s="26">
        <f>VLOOKUP(B62,'Data qoq'!$A:$AT,MATCH($V$1,'Data qoq'!$A$1:$AT$1,),)</f>
        <v/>
      </c>
      <c r="W62" s="26">
        <f>VLOOKUP(B62,'Data qoq'!$A:$AT,MATCH($W$1,'Data qoq'!$A$1:$AT$1,),)</f>
        <v/>
      </c>
      <c r="X62" s="26">
        <f>VLOOKUP(B62,'Data qoq'!$A:$AT,MATCH($X$1,'Data qoq'!$A$1:$AT$1,),)</f>
        <v/>
      </c>
      <c r="Y62" s="26">
        <f>VLOOKUP(B62,'Data qoq'!$A:$AT,MATCH($Y$1,'Data qoq'!$A$1:$AT$1,),)</f>
        <v/>
      </c>
      <c r="Z62" s="26">
        <f>VLOOKUP(B62,'Data qoq'!$A:$AU,MATCH($Z$1,'Data qoq'!$A$1:$AU$1,),)</f>
        <v/>
      </c>
      <c r="AA62" s="26">
        <f>VLOOKUP(B62,'Data qoq'!$A:$AU,MATCH($AA$1,'Data qoq'!$A$1:$AU$1,),)</f>
        <v/>
      </c>
      <c r="AC62" s="27">
        <f>B62</f>
        <v/>
      </c>
      <c r="AD62" s="28">
        <f>(VLOOKUP(AC62,B:Y,MATCH($AE$6,$B$1:$Y$1,),))-(VLOOKUP(AC62,B:Y,MATCH($AE$7,$B$1:$Y$1,),))</f>
        <v/>
      </c>
      <c r="AE62" s="28">
        <f>C62-G62</f>
        <v/>
      </c>
    </row>
    <row r="63" hidden="1" s="89">
      <c r="B63" s="25" t="inlineStr">
        <is>
          <t>2013-Q1</t>
        </is>
      </c>
      <c r="C63" s="26">
        <f>VLOOKUP(B63,'Data qoq'!$A:$AT,MATCH($C$1,'Data qoq'!$A$1:$AT$1,),)</f>
        <v/>
      </c>
      <c r="D63" s="26">
        <f>VLOOKUP(B63,'Data qoq'!$A:$AT,MATCH($D$1,'Data qoq'!$A$1:$AT$1,),)</f>
        <v/>
      </c>
      <c r="E63" s="26">
        <f>VLOOKUP(B63,'Data qoq'!$A:$AT,MATCH($E$1,'Data qoq'!$A$1:$AT$1,),)</f>
        <v/>
      </c>
      <c r="F63" s="26">
        <f>VLOOKUP(B63,'Data qoq'!$A:$AT,MATCH($F$1,'Data qoq'!$A$1:$AT$1,),)</f>
        <v/>
      </c>
      <c r="G63" s="26">
        <f>VLOOKUP(B63,'Data qoq'!$A:$AT,MATCH($G$1,'Data qoq'!$A$1:$AT$1,),)</f>
        <v/>
      </c>
      <c r="H63" s="26">
        <f>VLOOKUP(B63,'Data qoq'!$A:$AT,MATCH($H$1,'Data qoq'!$A$1:$AT$1,),)</f>
        <v/>
      </c>
      <c r="I63" s="26">
        <f>VLOOKUP(B63,'Data qoq'!$A:$AT,MATCH($I$1,'Data qoq'!$A$1:$AT$1,),)</f>
        <v/>
      </c>
      <c r="J63" s="26">
        <f>VLOOKUP(B63,'Data qoq'!$A:$AT,MATCH($J$1,'Data qoq'!$A$1:$AT$1,),)</f>
        <v/>
      </c>
      <c r="K63" s="26">
        <f>VLOOKUP(B63,'Data qoq'!$A:$AT,MATCH($K$1,'Data qoq'!$A$1:$AT$1,),)</f>
        <v/>
      </c>
      <c r="L63" s="26">
        <f>VLOOKUP(B63,'Data qoq'!$A:$AT,MATCH($L$1,'Data qoq'!$A$1:$AT$1,),)</f>
        <v/>
      </c>
      <c r="M63" s="26">
        <f>VLOOKUP(B63,'Data qoq'!$A:$AT,MATCH($M$1,'Data qoq'!$A$1:$AT$1,),)</f>
        <v/>
      </c>
      <c r="N63" s="26">
        <f>VLOOKUP(B63,'Data qoq'!$A:$AT,MATCH($N$1,'Data qoq'!$A$1:$AT$1,),)</f>
        <v/>
      </c>
      <c r="O63" s="26">
        <f>VLOOKUP(B63,'Data qoq'!$A:$AT,MATCH($C$1,'Data qoq'!$J$1:$AT$1,),)</f>
        <v/>
      </c>
      <c r="P63" s="26">
        <f>VLOOKUP(B63,'Data qoq'!$A:$AT,MATCH($P$1,'Data qoq'!$A$1:$AT$1,),)</f>
        <v/>
      </c>
      <c r="Q63" s="26">
        <f>VLOOKUP(B63,'Data qoq'!$A:$AT,MATCH($Q$1,'Data qoq'!$A$1:$AT$1,),)</f>
        <v/>
      </c>
      <c r="R63" s="26">
        <f>VLOOKUP(B63,'Data qoq'!$A:$AT,MATCH($E$1,'Data qoq'!$A$1:$AT$1,),)</f>
        <v/>
      </c>
      <c r="S63" s="26">
        <f>VLOOKUP(B63,'Data qoq'!$A:$AT,MATCH($S$1,'Data qoq'!$A$1:$AT$1,),)</f>
        <v/>
      </c>
      <c r="T63" s="26">
        <f>VLOOKUP(B63,'Data qoq'!$A:$AT,MATCH($T$1,'Data qoq'!$A$1:$AT$1,),)</f>
        <v/>
      </c>
      <c r="U63" s="26">
        <f>VLOOKUP(B63,'Data qoq'!$A:$AT,MATCH($U$1,'Data qoq'!$A$1:$AT$1,),)</f>
        <v/>
      </c>
      <c r="V63" s="26">
        <f>VLOOKUP(B63,'Data qoq'!$A:$AT,MATCH($V$1,'Data qoq'!$A$1:$AT$1,),)</f>
        <v/>
      </c>
      <c r="W63" s="26">
        <f>VLOOKUP(B63,'Data qoq'!$A:$AT,MATCH($W$1,'Data qoq'!$A$1:$AT$1,),)</f>
        <v/>
      </c>
      <c r="X63" s="26">
        <f>VLOOKUP(B63,'Data qoq'!$A:$AT,MATCH($X$1,'Data qoq'!$A$1:$AT$1,),)</f>
        <v/>
      </c>
      <c r="Y63" s="26">
        <f>VLOOKUP(B63,'Data qoq'!$A:$AT,MATCH($Y$1,'Data qoq'!$A$1:$AT$1,),)</f>
        <v/>
      </c>
      <c r="Z63" s="26">
        <f>VLOOKUP(B63,'Data qoq'!$A:$AU,MATCH($Z$1,'Data qoq'!$A$1:$AU$1,),)</f>
        <v/>
      </c>
      <c r="AA63" s="26">
        <f>VLOOKUP(B63,'Data qoq'!$A:$AU,MATCH($AA$1,'Data qoq'!$A$1:$AU$1,),)</f>
        <v/>
      </c>
      <c r="AC63" s="27">
        <f>B63</f>
        <v/>
      </c>
      <c r="AD63" s="28">
        <f>(VLOOKUP(AC63,B:Y,MATCH($AE$6,$B$1:$Y$1,),))-(VLOOKUP(AC63,B:Y,MATCH($AE$7,$B$1:$Y$1,),))</f>
        <v/>
      </c>
      <c r="AE63" s="28">
        <f>C63-G63</f>
        <v/>
      </c>
    </row>
    <row r="64" hidden="1" s="89">
      <c r="B64" s="25" t="inlineStr">
        <is>
          <t>2013-Q2</t>
        </is>
      </c>
      <c r="C64" s="26">
        <f>VLOOKUP(B64,'Data qoq'!$A:$AT,MATCH($C$1,'Data qoq'!$A$1:$AT$1,),)</f>
        <v/>
      </c>
      <c r="D64" s="26">
        <f>VLOOKUP(B64,'Data qoq'!$A:$AT,MATCH($D$1,'Data qoq'!$A$1:$AT$1,),)</f>
        <v/>
      </c>
      <c r="E64" s="26">
        <f>VLOOKUP(B64,'Data qoq'!$A:$AT,MATCH($E$1,'Data qoq'!$A$1:$AT$1,),)</f>
        <v/>
      </c>
      <c r="F64" s="26">
        <f>VLOOKUP(B64,'Data qoq'!$A:$AT,MATCH($F$1,'Data qoq'!$A$1:$AT$1,),)</f>
        <v/>
      </c>
      <c r="G64" s="26">
        <f>VLOOKUP(B64,'Data qoq'!$A:$AT,MATCH($G$1,'Data qoq'!$A$1:$AT$1,),)</f>
        <v/>
      </c>
      <c r="H64" s="26">
        <f>VLOOKUP(B64,'Data qoq'!$A:$AT,MATCH($H$1,'Data qoq'!$A$1:$AT$1,),)</f>
        <v/>
      </c>
      <c r="I64" s="26">
        <f>VLOOKUP(B64,'Data qoq'!$A:$AT,MATCH($I$1,'Data qoq'!$A$1:$AT$1,),)</f>
        <v/>
      </c>
      <c r="J64" s="26">
        <f>VLOOKUP(B64,'Data qoq'!$A:$AT,MATCH($J$1,'Data qoq'!$A$1:$AT$1,),)</f>
        <v/>
      </c>
      <c r="K64" s="26">
        <f>VLOOKUP(B64,'Data qoq'!$A:$AT,MATCH($K$1,'Data qoq'!$A$1:$AT$1,),)</f>
        <v/>
      </c>
      <c r="L64" s="26">
        <f>VLOOKUP(B64,'Data qoq'!$A:$AT,MATCH($L$1,'Data qoq'!$A$1:$AT$1,),)</f>
        <v/>
      </c>
      <c r="M64" s="26">
        <f>VLOOKUP(B64,'Data qoq'!$A:$AT,MATCH($M$1,'Data qoq'!$A$1:$AT$1,),)</f>
        <v/>
      </c>
      <c r="N64" s="26">
        <f>VLOOKUP(B64,'Data qoq'!$A:$AT,MATCH($N$1,'Data qoq'!$A$1:$AT$1,),)</f>
        <v/>
      </c>
      <c r="O64" s="26">
        <f>VLOOKUP(B64,'Data qoq'!$A:$AT,MATCH($C$1,'Data qoq'!$J$1:$AT$1,),)</f>
        <v/>
      </c>
      <c r="P64" s="26">
        <f>VLOOKUP(B64,'Data qoq'!$A:$AT,MATCH($P$1,'Data qoq'!$A$1:$AT$1,),)</f>
        <v/>
      </c>
      <c r="Q64" s="26">
        <f>VLOOKUP(B64,'Data qoq'!$A:$AT,MATCH($Q$1,'Data qoq'!$A$1:$AT$1,),)</f>
        <v/>
      </c>
      <c r="R64" s="26">
        <f>VLOOKUP(B64,'Data qoq'!$A:$AT,MATCH($E$1,'Data qoq'!$A$1:$AT$1,),)</f>
        <v/>
      </c>
      <c r="S64" s="26">
        <f>VLOOKUP(B64,'Data qoq'!$A:$AT,MATCH($S$1,'Data qoq'!$A$1:$AT$1,),)</f>
        <v/>
      </c>
      <c r="T64" s="26">
        <f>VLOOKUP(B64,'Data qoq'!$A:$AT,MATCH($T$1,'Data qoq'!$A$1:$AT$1,),)</f>
        <v/>
      </c>
      <c r="U64" s="26">
        <f>VLOOKUP(B64,'Data qoq'!$A:$AT,MATCH($U$1,'Data qoq'!$A$1:$AT$1,),)</f>
        <v/>
      </c>
      <c r="V64" s="26">
        <f>VLOOKUP(B64,'Data qoq'!$A:$AT,MATCH($V$1,'Data qoq'!$A$1:$AT$1,),)</f>
        <v/>
      </c>
      <c r="W64" s="26">
        <f>VLOOKUP(B64,'Data qoq'!$A:$AT,MATCH($W$1,'Data qoq'!$A$1:$AT$1,),)</f>
        <v/>
      </c>
      <c r="X64" s="26">
        <f>VLOOKUP(B64,'Data qoq'!$A:$AT,MATCH($X$1,'Data qoq'!$A$1:$AT$1,),)</f>
        <v/>
      </c>
      <c r="Y64" s="26">
        <f>VLOOKUP(B64,'Data qoq'!$A:$AT,MATCH($Y$1,'Data qoq'!$A$1:$AT$1,),)</f>
        <v/>
      </c>
      <c r="Z64" s="26">
        <f>VLOOKUP(B64,'Data qoq'!$A:$AU,MATCH($Z$1,'Data qoq'!$A$1:$AU$1,),)</f>
        <v/>
      </c>
      <c r="AA64" s="26">
        <f>VLOOKUP(B64,'Data qoq'!$A:$AU,MATCH($AA$1,'Data qoq'!$A$1:$AU$1,),)</f>
        <v/>
      </c>
      <c r="AC64" s="27">
        <f>B64</f>
        <v/>
      </c>
      <c r="AD64" s="28">
        <f>(VLOOKUP(AC64,B:Y,MATCH($AE$6,$B$1:$Y$1,),))-(VLOOKUP(AC64,B:Y,MATCH($AE$7,$B$1:$Y$1,),))</f>
        <v/>
      </c>
      <c r="AE64" s="28">
        <f>C64-G64</f>
        <v/>
      </c>
    </row>
    <row r="65" hidden="1" s="89">
      <c r="B65" s="25" t="inlineStr">
        <is>
          <t>2013-Q3</t>
        </is>
      </c>
      <c r="C65" s="26">
        <f>VLOOKUP(B65,'Data qoq'!$A:$AT,MATCH($C$1,'Data qoq'!$A$1:$AT$1,),)</f>
        <v/>
      </c>
      <c r="D65" s="26">
        <f>VLOOKUP(B65,'Data qoq'!$A:$AT,MATCH($D$1,'Data qoq'!$A$1:$AT$1,),)</f>
        <v/>
      </c>
      <c r="E65" s="26">
        <f>VLOOKUP(B65,'Data qoq'!$A:$AT,MATCH($E$1,'Data qoq'!$A$1:$AT$1,),)</f>
        <v/>
      </c>
      <c r="F65" s="26">
        <f>VLOOKUP(B65,'Data qoq'!$A:$AT,MATCH($F$1,'Data qoq'!$A$1:$AT$1,),)</f>
        <v/>
      </c>
      <c r="G65" s="26">
        <f>VLOOKUP(B65,'Data qoq'!$A:$AT,MATCH($G$1,'Data qoq'!$A$1:$AT$1,),)</f>
        <v/>
      </c>
      <c r="H65" s="26">
        <f>VLOOKUP(B65,'Data qoq'!$A:$AT,MATCH($H$1,'Data qoq'!$A$1:$AT$1,),)</f>
        <v/>
      </c>
      <c r="I65" s="26">
        <f>VLOOKUP(B65,'Data qoq'!$A:$AT,MATCH($I$1,'Data qoq'!$A$1:$AT$1,),)</f>
        <v/>
      </c>
      <c r="J65" s="26">
        <f>VLOOKUP(B65,'Data qoq'!$A:$AT,MATCH($J$1,'Data qoq'!$A$1:$AT$1,),)</f>
        <v/>
      </c>
      <c r="K65" s="26">
        <f>VLOOKUP(B65,'Data qoq'!$A:$AT,MATCH($K$1,'Data qoq'!$A$1:$AT$1,),)</f>
        <v/>
      </c>
      <c r="L65" s="26">
        <f>VLOOKUP(B65,'Data qoq'!$A:$AT,MATCH($L$1,'Data qoq'!$A$1:$AT$1,),)</f>
        <v/>
      </c>
      <c r="M65" s="26">
        <f>VLOOKUP(B65,'Data qoq'!$A:$AT,MATCH($M$1,'Data qoq'!$A$1:$AT$1,),)</f>
        <v/>
      </c>
      <c r="N65" s="26">
        <f>VLOOKUP(B65,'Data qoq'!$A:$AT,MATCH($N$1,'Data qoq'!$A$1:$AT$1,),)</f>
        <v/>
      </c>
      <c r="O65" s="26">
        <f>VLOOKUP(B65,'Data qoq'!$A:$AT,MATCH($C$1,'Data qoq'!$J$1:$AT$1,),)</f>
        <v/>
      </c>
      <c r="P65" s="26">
        <f>VLOOKUP(B65,'Data qoq'!$A:$AT,MATCH($P$1,'Data qoq'!$A$1:$AT$1,),)</f>
        <v/>
      </c>
      <c r="Q65" s="26">
        <f>VLOOKUP(B65,'Data qoq'!$A:$AT,MATCH($Q$1,'Data qoq'!$A$1:$AT$1,),)</f>
        <v/>
      </c>
      <c r="R65" s="26">
        <f>VLOOKUP(B65,'Data qoq'!$A:$AT,MATCH($E$1,'Data qoq'!$A$1:$AT$1,),)</f>
        <v/>
      </c>
      <c r="S65" s="26">
        <f>VLOOKUP(B65,'Data qoq'!$A:$AT,MATCH($S$1,'Data qoq'!$A$1:$AT$1,),)</f>
        <v/>
      </c>
      <c r="T65" s="26">
        <f>VLOOKUP(B65,'Data qoq'!$A:$AT,MATCH($T$1,'Data qoq'!$A$1:$AT$1,),)</f>
        <v/>
      </c>
      <c r="U65" s="26">
        <f>VLOOKUP(B65,'Data qoq'!$A:$AT,MATCH($U$1,'Data qoq'!$A$1:$AT$1,),)</f>
        <v/>
      </c>
      <c r="V65" s="26">
        <f>VLOOKUP(B65,'Data qoq'!$A:$AT,MATCH($V$1,'Data qoq'!$A$1:$AT$1,),)</f>
        <v/>
      </c>
      <c r="W65" s="26">
        <f>VLOOKUP(B65,'Data qoq'!$A:$AT,MATCH($W$1,'Data qoq'!$A$1:$AT$1,),)</f>
        <v/>
      </c>
      <c r="X65" s="26">
        <f>VLOOKUP(B65,'Data qoq'!$A:$AT,MATCH($X$1,'Data qoq'!$A$1:$AT$1,),)</f>
        <v/>
      </c>
      <c r="Y65" s="26">
        <f>VLOOKUP(B65,'Data qoq'!$A:$AT,MATCH($Y$1,'Data qoq'!$A$1:$AT$1,),)</f>
        <v/>
      </c>
      <c r="Z65" s="26">
        <f>VLOOKUP(B65,'Data qoq'!$A:$AU,MATCH($Z$1,'Data qoq'!$A$1:$AU$1,),)</f>
        <v/>
      </c>
      <c r="AA65" s="26">
        <f>VLOOKUP(B65,'Data qoq'!$A:$AU,MATCH($AA$1,'Data qoq'!$A$1:$AU$1,),)</f>
        <v/>
      </c>
      <c r="AC65" s="27">
        <f>B65</f>
        <v/>
      </c>
      <c r="AD65" s="28">
        <f>(VLOOKUP(AC65,B:Y,MATCH($AE$6,$B$1:$Y$1,),))-(VLOOKUP(AC65,B:Y,MATCH($AE$7,$B$1:$Y$1,),))</f>
        <v/>
      </c>
      <c r="AE65" s="28">
        <f>C65-G65</f>
        <v/>
      </c>
    </row>
    <row r="66" hidden="1" s="89">
      <c r="B66" s="25" t="inlineStr">
        <is>
          <t>2013-Q4</t>
        </is>
      </c>
      <c r="C66" s="26">
        <f>VLOOKUP(B66,'Data qoq'!$A:$AT,MATCH($C$1,'Data qoq'!$A$1:$AT$1,),)</f>
        <v/>
      </c>
      <c r="D66" s="26">
        <f>VLOOKUP(B66,'Data qoq'!$A:$AT,MATCH($D$1,'Data qoq'!$A$1:$AT$1,),)</f>
        <v/>
      </c>
      <c r="E66" s="26">
        <f>VLOOKUP(B66,'Data qoq'!$A:$AT,MATCH($E$1,'Data qoq'!$A$1:$AT$1,),)</f>
        <v/>
      </c>
      <c r="F66" s="26">
        <f>VLOOKUP(B66,'Data qoq'!$A:$AT,MATCH($F$1,'Data qoq'!$A$1:$AT$1,),)</f>
        <v/>
      </c>
      <c r="G66" s="26">
        <f>VLOOKUP(B66,'Data qoq'!$A:$AT,MATCH($G$1,'Data qoq'!$A$1:$AT$1,),)</f>
        <v/>
      </c>
      <c r="H66" s="26">
        <f>VLOOKUP(B66,'Data qoq'!$A:$AT,MATCH($H$1,'Data qoq'!$A$1:$AT$1,),)</f>
        <v/>
      </c>
      <c r="I66" s="26">
        <f>VLOOKUP(B66,'Data qoq'!$A:$AT,MATCH($I$1,'Data qoq'!$A$1:$AT$1,),)</f>
        <v/>
      </c>
      <c r="J66" s="26">
        <f>VLOOKUP(B66,'Data qoq'!$A:$AT,MATCH($J$1,'Data qoq'!$A$1:$AT$1,),)</f>
        <v/>
      </c>
      <c r="K66" s="26">
        <f>VLOOKUP(B66,'Data qoq'!$A:$AT,MATCH($K$1,'Data qoq'!$A$1:$AT$1,),)</f>
        <v/>
      </c>
      <c r="L66" s="26">
        <f>VLOOKUP(B66,'Data qoq'!$A:$AT,MATCH($L$1,'Data qoq'!$A$1:$AT$1,),)</f>
        <v/>
      </c>
      <c r="M66" s="26">
        <f>VLOOKUP(B66,'Data qoq'!$A:$AT,MATCH($M$1,'Data qoq'!$A$1:$AT$1,),)</f>
        <v/>
      </c>
      <c r="N66" s="26">
        <f>VLOOKUP(B66,'Data qoq'!$A:$AT,MATCH($N$1,'Data qoq'!$A$1:$AT$1,),)</f>
        <v/>
      </c>
      <c r="O66" s="26">
        <f>VLOOKUP(B66,'Data qoq'!$A:$AT,MATCH($C$1,'Data qoq'!$J$1:$AT$1,),)</f>
        <v/>
      </c>
      <c r="P66" s="26">
        <f>VLOOKUP(B66,'Data qoq'!$A:$AT,MATCH($P$1,'Data qoq'!$A$1:$AT$1,),)</f>
        <v/>
      </c>
      <c r="Q66" s="26">
        <f>VLOOKUP(B66,'Data qoq'!$A:$AT,MATCH($Q$1,'Data qoq'!$A$1:$AT$1,),)</f>
        <v/>
      </c>
      <c r="R66" s="26">
        <f>VLOOKUP(B66,'Data qoq'!$A:$AT,MATCH($E$1,'Data qoq'!$A$1:$AT$1,),)</f>
        <v/>
      </c>
      <c r="S66" s="26">
        <f>VLOOKUP(B66,'Data qoq'!$A:$AT,MATCH($S$1,'Data qoq'!$A$1:$AT$1,),)</f>
        <v/>
      </c>
      <c r="T66" s="26">
        <f>VLOOKUP(B66,'Data qoq'!$A:$AT,MATCH($T$1,'Data qoq'!$A$1:$AT$1,),)</f>
        <v/>
      </c>
      <c r="U66" s="26">
        <f>VLOOKUP(B66,'Data qoq'!$A:$AT,MATCH($U$1,'Data qoq'!$A$1:$AT$1,),)</f>
        <v/>
      </c>
      <c r="V66" s="26">
        <f>VLOOKUP(B66,'Data qoq'!$A:$AT,MATCH($V$1,'Data qoq'!$A$1:$AT$1,),)</f>
        <v/>
      </c>
      <c r="W66" s="26">
        <f>VLOOKUP(B66,'Data qoq'!$A:$AT,MATCH($W$1,'Data qoq'!$A$1:$AT$1,),)</f>
        <v/>
      </c>
      <c r="X66" s="26">
        <f>VLOOKUP(B66,'Data qoq'!$A:$AT,MATCH($X$1,'Data qoq'!$A$1:$AT$1,),)</f>
        <v/>
      </c>
      <c r="Y66" s="26">
        <f>VLOOKUP(B66,'Data qoq'!$A:$AT,MATCH($Y$1,'Data qoq'!$A$1:$AT$1,),)</f>
        <v/>
      </c>
      <c r="Z66" s="26">
        <f>VLOOKUP(B66,'Data qoq'!$A:$AU,MATCH($Z$1,'Data qoq'!$A$1:$AU$1,),)</f>
        <v/>
      </c>
      <c r="AA66" s="26">
        <f>VLOOKUP(B66,'Data qoq'!$A:$AU,MATCH($AA$1,'Data qoq'!$A$1:$AU$1,),)</f>
        <v/>
      </c>
      <c r="AC66" s="27">
        <f>B66</f>
        <v/>
      </c>
      <c r="AD66" s="28">
        <f>(VLOOKUP(AC66,B:Y,MATCH($AE$6,$B$1:$Y$1,),))-(VLOOKUP(AC66,B:Y,MATCH($AE$7,$B$1:$Y$1,),))</f>
        <v/>
      </c>
      <c r="AE66" s="28">
        <f>C66-G66</f>
        <v/>
      </c>
    </row>
    <row r="67" hidden="1" s="89">
      <c r="B67" s="25" t="inlineStr">
        <is>
          <t>2014-Q1</t>
        </is>
      </c>
      <c r="C67" s="26">
        <f>VLOOKUP(B67,'Data qoq'!$A:$AT,MATCH($C$1,'Data qoq'!$A$1:$AT$1,),)</f>
        <v/>
      </c>
      <c r="D67" s="26">
        <f>VLOOKUP(B67,'Data qoq'!$A:$AT,MATCH($D$1,'Data qoq'!$A$1:$AT$1,),)</f>
        <v/>
      </c>
      <c r="E67" s="26">
        <f>VLOOKUP(B67,'Data qoq'!$A:$AT,MATCH($E$1,'Data qoq'!$A$1:$AT$1,),)</f>
        <v/>
      </c>
      <c r="F67" s="26">
        <f>VLOOKUP(B67,'Data qoq'!$A:$AT,MATCH($F$1,'Data qoq'!$A$1:$AT$1,),)</f>
        <v/>
      </c>
      <c r="G67" s="26">
        <f>VLOOKUP(B67,'Data qoq'!$A:$AT,MATCH($G$1,'Data qoq'!$A$1:$AT$1,),)</f>
        <v/>
      </c>
      <c r="H67" s="26">
        <f>VLOOKUP(B67,'Data qoq'!$A:$AT,MATCH($H$1,'Data qoq'!$A$1:$AT$1,),)</f>
        <v/>
      </c>
      <c r="I67" s="26">
        <f>VLOOKUP(B67,'Data qoq'!$A:$AT,MATCH($I$1,'Data qoq'!$A$1:$AT$1,),)</f>
        <v/>
      </c>
      <c r="J67" s="26">
        <f>VLOOKUP(B67,'Data qoq'!$A:$AT,MATCH($J$1,'Data qoq'!$A$1:$AT$1,),)</f>
        <v/>
      </c>
      <c r="K67" s="26">
        <f>VLOOKUP(B67,'Data qoq'!$A:$AT,MATCH($K$1,'Data qoq'!$A$1:$AT$1,),)</f>
        <v/>
      </c>
      <c r="L67" s="26">
        <f>VLOOKUP(B67,'Data qoq'!$A:$AT,MATCH($L$1,'Data qoq'!$A$1:$AT$1,),)</f>
        <v/>
      </c>
      <c r="M67" s="26">
        <f>VLOOKUP(B67,'Data qoq'!$A:$AT,MATCH($M$1,'Data qoq'!$A$1:$AT$1,),)</f>
        <v/>
      </c>
      <c r="N67" s="26">
        <f>VLOOKUP(B67,'Data qoq'!$A:$AT,MATCH($N$1,'Data qoq'!$A$1:$AT$1,),)</f>
        <v/>
      </c>
      <c r="O67" s="26">
        <f>VLOOKUP(B67,'Data qoq'!$A:$AT,MATCH($C$1,'Data qoq'!$J$1:$AT$1,),)</f>
        <v/>
      </c>
      <c r="P67" s="26">
        <f>VLOOKUP(B67,'Data qoq'!$A:$AT,MATCH($P$1,'Data qoq'!$A$1:$AT$1,),)</f>
        <v/>
      </c>
      <c r="Q67" s="26">
        <f>VLOOKUP(B67,'Data qoq'!$A:$AT,MATCH($Q$1,'Data qoq'!$A$1:$AT$1,),)</f>
        <v/>
      </c>
      <c r="R67" s="26">
        <f>VLOOKUP(B67,'Data qoq'!$A:$AT,MATCH($E$1,'Data qoq'!$A$1:$AT$1,),)</f>
        <v/>
      </c>
      <c r="S67" s="26">
        <f>VLOOKUP(B67,'Data qoq'!$A:$AT,MATCH($S$1,'Data qoq'!$A$1:$AT$1,),)</f>
        <v/>
      </c>
      <c r="T67" s="26">
        <f>VLOOKUP(B67,'Data qoq'!$A:$AT,MATCH($T$1,'Data qoq'!$A$1:$AT$1,),)</f>
        <v/>
      </c>
      <c r="U67" s="26">
        <f>VLOOKUP(B67,'Data qoq'!$A:$AT,MATCH($U$1,'Data qoq'!$A$1:$AT$1,),)</f>
        <v/>
      </c>
      <c r="V67" s="26">
        <f>VLOOKUP(B67,'Data qoq'!$A:$AT,MATCH($V$1,'Data qoq'!$A$1:$AT$1,),)</f>
        <v/>
      </c>
      <c r="W67" s="26">
        <f>VLOOKUP(B67,'Data qoq'!$A:$AT,MATCH($W$1,'Data qoq'!$A$1:$AT$1,),)</f>
        <v/>
      </c>
      <c r="X67" s="26">
        <f>VLOOKUP(B67,'Data qoq'!$A:$AT,MATCH($X$1,'Data qoq'!$A$1:$AT$1,),)</f>
        <v/>
      </c>
      <c r="Y67" s="26">
        <f>VLOOKUP(B67,'Data qoq'!$A:$AT,MATCH($Y$1,'Data qoq'!$A$1:$AT$1,),)</f>
        <v/>
      </c>
      <c r="Z67" s="26">
        <f>VLOOKUP(B67,'Data qoq'!$A:$AU,MATCH($Z$1,'Data qoq'!$A$1:$AU$1,),)</f>
        <v/>
      </c>
      <c r="AA67" s="26">
        <f>VLOOKUP(B67,'Data qoq'!$A:$AU,MATCH($AA$1,'Data qoq'!$A$1:$AU$1,),)</f>
        <v/>
      </c>
      <c r="AC67" s="27">
        <f>B67</f>
        <v/>
      </c>
      <c r="AD67" s="28">
        <f>(VLOOKUP(AC67,B:Y,MATCH($AE$6,$B$1:$Y$1,),))-(VLOOKUP(AC67,B:Y,MATCH($AE$7,$B$1:$Y$1,),))</f>
        <v/>
      </c>
      <c r="AE67" s="28">
        <f>C67-G67</f>
        <v/>
      </c>
    </row>
    <row r="68" hidden="1" s="89">
      <c r="B68" s="25" t="inlineStr">
        <is>
          <t>2014-Q2</t>
        </is>
      </c>
      <c r="C68" s="26">
        <f>VLOOKUP(B68,'Data qoq'!$A:$AT,MATCH($C$1,'Data qoq'!$A$1:$AT$1,),)</f>
        <v/>
      </c>
      <c r="D68" s="26">
        <f>VLOOKUP(B68,'Data qoq'!$A:$AT,MATCH($D$1,'Data qoq'!$A$1:$AT$1,),)</f>
        <v/>
      </c>
      <c r="E68" s="26">
        <f>VLOOKUP(B68,'Data qoq'!$A:$AT,MATCH($E$1,'Data qoq'!$A$1:$AT$1,),)</f>
        <v/>
      </c>
      <c r="F68" s="26">
        <f>VLOOKUP(B68,'Data qoq'!$A:$AT,MATCH($F$1,'Data qoq'!$A$1:$AT$1,),)</f>
        <v/>
      </c>
      <c r="G68" s="26">
        <f>VLOOKUP(B68,'Data qoq'!$A:$AT,MATCH($G$1,'Data qoq'!$A$1:$AT$1,),)</f>
        <v/>
      </c>
      <c r="H68" s="26">
        <f>VLOOKUP(B68,'Data qoq'!$A:$AT,MATCH($H$1,'Data qoq'!$A$1:$AT$1,),)</f>
        <v/>
      </c>
      <c r="I68" s="26">
        <f>VLOOKUP(B68,'Data qoq'!$A:$AT,MATCH($I$1,'Data qoq'!$A$1:$AT$1,),)</f>
        <v/>
      </c>
      <c r="J68" s="26">
        <f>VLOOKUP(B68,'Data qoq'!$A:$AT,MATCH($J$1,'Data qoq'!$A$1:$AT$1,),)</f>
        <v/>
      </c>
      <c r="K68" s="26">
        <f>VLOOKUP(B68,'Data qoq'!$A:$AT,MATCH($K$1,'Data qoq'!$A$1:$AT$1,),)</f>
        <v/>
      </c>
      <c r="L68" s="26">
        <f>VLOOKUP(B68,'Data qoq'!$A:$AT,MATCH($L$1,'Data qoq'!$A$1:$AT$1,),)</f>
        <v/>
      </c>
      <c r="M68" s="26">
        <f>VLOOKUP(B68,'Data qoq'!$A:$AT,MATCH($M$1,'Data qoq'!$A$1:$AT$1,),)</f>
        <v/>
      </c>
      <c r="N68" s="26">
        <f>VLOOKUP(B68,'Data qoq'!$A:$AT,MATCH($N$1,'Data qoq'!$A$1:$AT$1,),)</f>
        <v/>
      </c>
      <c r="O68" s="26">
        <f>VLOOKUP(B68,'Data qoq'!$A:$AT,MATCH($C$1,'Data qoq'!$J$1:$AT$1,),)</f>
        <v/>
      </c>
      <c r="P68" s="26">
        <f>VLOOKUP(B68,'Data qoq'!$A:$AT,MATCH($P$1,'Data qoq'!$A$1:$AT$1,),)</f>
        <v/>
      </c>
      <c r="Q68" s="26">
        <f>VLOOKUP(B68,'Data qoq'!$A:$AT,MATCH($Q$1,'Data qoq'!$A$1:$AT$1,),)</f>
        <v/>
      </c>
      <c r="R68" s="26">
        <f>VLOOKUP(B68,'Data qoq'!$A:$AT,MATCH($E$1,'Data qoq'!$A$1:$AT$1,),)</f>
        <v/>
      </c>
      <c r="S68" s="26">
        <f>VLOOKUP(B68,'Data qoq'!$A:$AT,MATCH($S$1,'Data qoq'!$A$1:$AT$1,),)</f>
        <v/>
      </c>
      <c r="T68" s="26">
        <f>VLOOKUP(B68,'Data qoq'!$A:$AT,MATCH($T$1,'Data qoq'!$A$1:$AT$1,),)</f>
        <v/>
      </c>
      <c r="U68" s="26">
        <f>VLOOKUP(B68,'Data qoq'!$A:$AT,MATCH($U$1,'Data qoq'!$A$1:$AT$1,),)</f>
        <v/>
      </c>
      <c r="V68" s="26">
        <f>VLOOKUP(B68,'Data qoq'!$A:$AT,MATCH($V$1,'Data qoq'!$A$1:$AT$1,),)</f>
        <v/>
      </c>
      <c r="W68" s="26">
        <f>VLOOKUP(B68,'Data qoq'!$A:$AT,MATCH($W$1,'Data qoq'!$A$1:$AT$1,),)</f>
        <v/>
      </c>
      <c r="X68" s="26">
        <f>VLOOKUP(B68,'Data qoq'!$A:$AT,MATCH($X$1,'Data qoq'!$A$1:$AT$1,),)</f>
        <v/>
      </c>
      <c r="Y68" s="26">
        <f>VLOOKUP(B68,'Data qoq'!$A:$AT,MATCH($Y$1,'Data qoq'!$A$1:$AT$1,),)</f>
        <v/>
      </c>
      <c r="Z68" s="26">
        <f>VLOOKUP(B68,'Data qoq'!$A:$AU,MATCH($Z$1,'Data qoq'!$A$1:$AU$1,),)</f>
        <v/>
      </c>
      <c r="AA68" s="26">
        <f>VLOOKUP(B68,'Data qoq'!$A:$AU,MATCH($AA$1,'Data qoq'!$A$1:$AU$1,),)</f>
        <v/>
      </c>
      <c r="AC68" s="27">
        <f>B68</f>
        <v/>
      </c>
      <c r="AD68" s="28">
        <f>(VLOOKUP(AC68,B:Y,MATCH($AE$6,$B$1:$Y$1,),))-(VLOOKUP(AC68,B:Y,MATCH($AE$7,$B$1:$Y$1,),))</f>
        <v/>
      </c>
      <c r="AE68" s="28">
        <f>C68-G68</f>
        <v/>
      </c>
    </row>
    <row r="69" hidden="1" s="89">
      <c r="B69" s="25" t="inlineStr">
        <is>
          <t>2014-Q3</t>
        </is>
      </c>
      <c r="C69" s="26">
        <f>VLOOKUP(B69,'Data qoq'!$A:$AT,MATCH($C$1,'Data qoq'!$A$1:$AT$1,),)</f>
        <v/>
      </c>
      <c r="D69" s="26">
        <f>VLOOKUP(B69,'Data qoq'!$A:$AT,MATCH($D$1,'Data qoq'!$A$1:$AT$1,),)</f>
        <v/>
      </c>
      <c r="E69" s="26">
        <f>VLOOKUP(B69,'Data qoq'!$A:$AT,MATCH($E$1,'Data qoq'!$A$1:$AT$1,),)</f>
        <v/>
      </c>
      <c r="F69" s="26">
        <f>VLOOKUP(B69,'Data qoq'!$A:$AT,MATCH($F$1,'Data qoq'!$A$1:$AT$1,),)</f>
        <v/>
      </c>
      <c r="G69" s="26">
        <f>VLOOKUP(B69,'Data qoq'!$A:$AT,MATCH($G$1,'Data qoq'!$A$1:$AT$1,),)</f>
        <v/>
      </c>
      <c r="H69" s="26">
        <f>VLOOKUP(B69,'Data qoq'!$A:$AT,MATCH($H$1,'Data qoq'!$A$1:$AT$1,),)</f>
        <v/>
      </c>
      <c r="I69" s="26">
        <f>VLOOKUP(B69,'Data qoq'!$A:$AT,MATCH($I$1,'Data qoq'!$A$1:$AT$1,),)</f>
        <v/>
      </c>
      <c r="J69" s="26">
        <f>VLOOKUP(B69,'Data qoq'!$A:$AT,MATCH($J$1,'Data qoq'!$A$1:$AT$1,),)</f>
        <v/>
      </c>
      <c r="K69" s="26">
        <f>VLOOKUP(B69,'Data qoq'!$A:$AT,MATCH($K$1,'Data qoq'!$A$1:$AT$1,),)</f>
        <v/>
      </c>
      <c r="L69" s="26">
        <f>VLOOKUP(B69,'Data qoq'!$A:$AT,MATCH($L$1,'Data qoq'!$A$1:$AT$1,),)</f>
        <v/>
      </c>
      <c r="M69" s="26">
        <f>VLOOKUP(B69,'Data qoq'!$A:$AT,MATCH($M$1,'Data qoq'!$A$1:$AT$1,),)</f>
        <v/>
      </c>
      <c r="N69" s="26">
        <f>VLOOKUP(B69,'Data qoq'!$A:$AT,MATCH($N$1,'Data qoq'!$A$1:$AT$1,),)</f>
        <v/>
      </c>
      <c r="O69" s="26">
        <f>VLOOKUP(B69,'Data qoq'!$A:$AT,MATCH($C$1,'Data qoq'!$J$1:$AT$1,),)</f>
        <v/>
      </c>
      <c r="P69" s="26">
        <f>VLOOKUP(B69,'Data qoq'!$A:$AT,MATCH($P$1,'Data qoq'!$A$1:$AT$1,),)</f>
        <v/>
      </c>
      <c r="Q69" s="26">
        <f>VLOOKUP(B69,'Data qoq'!$A:$AT,MATCH($Q$1,'Data qoq'!$A$1:$AT$1,),)</f>
        <v/>
      </c>
      <c r="R69" s="26">
        <f>VLOOKUP(B69,'Data qoq'!$A:$AT,MATCH($E$1,'Data qoq'!$A$1:$AT$1,),)</f>
        <v/>
      </c>
      <c r="S69" s="26">
        <f>VLOOKUP(B69,'Data qoq'!$A:$AT,MATCH($S$1,'Data qoq'!$A$1:$AT$1,),)</f>
        <v/>
      </c>
      <c r="T69" s="26">
        <f>VLOOKUP(B69,'Data qoq'!$A:$AT,MATCH($T$1,'Data qoq'!$A$1:$AT$1,),)</f>
        <v/>
      </c>
      <c r="U69" s="26">
        <f>VLOOKUP(B69,'Data qoq'!$A:$AT,MATCH($U$1,'Data qoq'!$A$1:$AT$1,),)</f>
        <v/>
      </c>
      <c r="V69" s="26">
        <f>VLOOKUP(B69,'Data qoq'!$A:$AT,MATCH($V$1,'Data qoq'!$A$1:$AT$1,),)</f>
        <v/>
      </c>
      <c r="W69" s="26">
        <f>VLOOKUP(B69,'Data qoq'!$A:$AT,MATCH($W$1,'Data qoq'!$A$1:$AT$1,),)</f>
        <v/>
      </c>
      <c r="X69" s="26">
        <f>VLOOKUP(B69,'Data qoq'!$A:$AT,MATCH($X$1,'Data qoq'!$A$1:$AT$1,),)</f>
        <v/>
      </c>
      <c r="Y69" s="26">
        <f>VLOOKUP(B69,'Data qoq'!$A:$AT,MATCH($Y$1,'Data qoq'!$A$1:$AT$1,),)</f>
        <v/>
      </c>
      <c r="Z69" s="26">
        <f>VLOOKUP(B69,'Data qoq'!$A:$AU,MATCH($Z$1,'Data qoq'!$A$1:$AU$1,),)</f>
        <v/>
      </c>
      <c r="AA69" s="26">
        <f>VLOOKUP(B69,'Data qoq'!$A:$AU,MATCH($AA$1,'Data qoq'!$A$1:$AU$1,),)</f>
        <v/>
      </c>
      <c r="AC69" s="27">
        <f>B69</f>
        <v/>
      </c>
      <c r="AD69" s="28">
        <f>(VLOOKUP(AC69,B:Y,MATCH($AE$6,$B$1:$Y$1,),))-(VLOOKUP(AC69,B:Y,MATCH($AE$7,$B$1:$Y$1,),))</f>
        <v/>
      </c>
      <c r="AE69" s="28">
        <f>C69-G69</f>
        <v/>
      </c>
    </row>
    <row r="70" hidden="1" s="89">
      <c r="B70" s="25" t="inlineStr">
        <is>
          <t>2014-Q4</t>
        </is>
      </c>
      <c r="C70" s="26">
        <f>VLOOKUP(B70,'Data qoq'!$A:$AT,MATCH($C$1,'Data qoq'!$A$1:$AT$1,),)</f>
        <v/>
      </c>
      <c r="D70" s="26">
        <f>VLOOKUP(B70,'Data qoq'!$A:$AT,MATCH($D$1,'Data qoq'!$A$1:$AT$1,),)</f>
        <v/>
      </c>
      <c r="E70" s="26">
        <f>VLOOKUP(B70,'Data qoq'!$A:$AT,MATCH($E$1,'Data qoq'!$A$1:$AT$1,),)</f>
        <v/>
      </c>
      <c r="F70" s="26">
        <f>VLOOKUP(B70,'Data qoq'!$A:$AT,MATCH($F$1,'Data qoq'!$A$1:$AT$1,),)</f>
        <v/>
      </c>
      <c r="G70" s="26">
        <f>VLOOKUP(B70,'Data qoq'!$A:$AT,MATCH($G$1,'Data qoq'!$A$1:$AT$1,),)</f>
        <v/>
      </c>
      <c r="H70" s="26">
        <f>VLOOKUP(B70,'Data qoq'!$A:$AT,MATCH($H$1,'Data qoq'!$A$1:$AT$1,),)</f>
        <v/>
      </c>
      <c r="I70" s="26">
        <f>VLOOKUP(B70,'Data qoq'!$A:$AT,MATCH($I$1,'Data qoq'!$A$1:$AT$1,),)</f>
        <v/>
      </c>
      <c r="J70" s="26">
        <f>VLOOKUP(B70,'Data qoq'!$A:$AT,MATCH($J$1,'Data qoq'!$A$1:$AT$1,),)</f>
        <v/>
      </c>
      <c r="K70" s="26">
        <f>VLOOKUP(B70,'Data qoq'!$A:$AT,MATCH($K$1,'Data qoq'!$A$1:$AT$1,),)</f>
        <v/>
      </c>
      <c r="L70" s="26">
        <f>VLOOKUP(B70,'Data qoq'!$A:$AT,MATCH($L$1,'Data qoq'!$A$1:$AT$1,),)</f>
        <v/>
      </c>
      <c r="M70" s="26">
        <f>VLOOKUP(B70,'Data qoq'!$A:$AT,MATCH($M$1,'Data qoq'!$A$1:$AT$1,),)</f>
        <v/>
      </c>
      <c r="N70" s="26">
        <f>VLOOKUP(B70,'Data qoq'!$A:$AT,MATCH($N$1,'Data qoq'!$A$1:$AT$1,),)</f>
        <v/>
      </c>
      <c r="O70" s="26">
        <f>VLOOKUP(B70,'Data qoq'!$A:$AT,MATCH($C$1,'Data qoq'!$J$1:$AT$1,),)</f>
        <v/>
      </c>
      <c r="P70" s="26">
        <f>VLOOKUP(B70,'Data qoq'!$A:$AT,MATCH($P$1,'Data qoq'!$A$1:$AT$1,),)</f>
        <v/>
      </c>
      <c r="Q70" s="26">
        <f>VLOOKUP(B70,'Data qoq'!$A:$AT,MATCH($Q$1,'Data qoq'!$A$1:$AT$1,),)</f>
        <v/>
      </c>
      <c r="R70" s="26">
        <f>VLOOKUP(B70,'Data qoq'!$A:$AT,MATCH($E$1,'Data qoq'!$A$1:$AT$1,),)</f>
        <v/>
      </c>
      <c r="S70" s="26">
        <f>VLOOKUP(B70,'Data qoq'!$A:$AT,MATCH($S$1,'Data qoq'!$A$1:$AT$1,),)</f>
        <v/>
      </c>
      <c r="T70" s="26">
        <f>VLOOKUP(B70,'Data qoq'!$A:$AT,MATCH($T$1,'Data qoq'!$A$1:$AT$1,),)</f>
        <v/>
      </c>
      <c r="U70" s="26">
        <f>VLOOKUP(B70,'Data qoq'!$A:$AT,MATCH($U$1,'Data qoq'!$A$1:$AT$1,),)</f>
        <v/>
      </c>
      <c r="V70" s="26">
        <f>VLOOKUP(B70,'Data qoq'!$A:$AT,MATCH($V$1,'Data qoq'!$A$1:$AT$1,),)</f>
        <v/>
      </c>
      <c r="W70" s="26">
        <f>VLOOKUP(B70,'Data qoq'!$A:$AT,MATCH($W$1,'Data qoq'!$A$1:$AT$1,),)</f>
        <v/>
      </c>
      <c r="X70" s="26">
        <f>VLOOKUP(B70,'Data qoq'!$A:$AT,MATCH($X$1,'Data qoq'!$A$1:$AT$1,),)</f>
        <v/>
      </c>
      <c r="Y70" s="26">
        <f>VLOOKUP(B70,'Data qoq'!$A:$AT,MATCH($Y$1,'Data qoq'!$A$1:$AT$1,),)</f>
        <v/>
      </c>
      <c r="Z70" s="26">
        <f>VLOOKUP(B70,'Data qoq'!$A:$AU,MATCH($Z$1,'Data qoq'!$A$1:$AU$1,),)</f>
        <v/>
      </c>
      <c r="AA70" s="26">
        <f>VLOOKUP(B70,'Data qoq'!$A:$AU,MATCH($AA$1,'Data qoq'!$A$1:$AU$1,),)</f>
        <v/>
      </c>
      <c r="AC70" s="27">
        <f>B70</f>
        <v/>
      </c>
      <c r="AD70" s="28">
        <f>(VLOOKUP(AC70,B:Y,MATCH($AE$6,$B$1:$Y$1,),))-(VLOOKUP(AC70,B:Y,MATCH($AE$7,$B$1:$Y$1,),))</f>
        <v/>
      </c>
      <c r="AE70" s="28">
        <f>C70-G70</f>
        <v/>
      </c>
    </row>
    <row r="71">
      <c r="B71" s="25" t="inlineStr">
        <is>
          <t>2015-Q1</t>
        </is>
      </c>
      <c r="C71" s="26">
        <f>VLOOKUP(B71,'Data qoq'!$A:$AT,MATCH($C$1,'Data qoq'!$A$1:$AT$1,),)</f>
        <v/>
      </c>
      <c r="D71" s="26">
        <f>VLOOKUP(B71,'Data qoq'!$A:$AT,MATCH($D$1,'Data qoq'!$A$1:$AT$1,),)</f>
        <v/>
      </c>
      <c r="E71" s="26">
        <f>VLOOKUP(B71,'Data qoq'!$A:$AT,MATCH($E$1,'Data qoq'!$A$1:$AT$1,),)</f>
        <v/>
      </c>
      <c r="F71" s="26">
        <f>VLOOKUP(B71,'Data qoq'!$A:$AT,MATCH($F$1,'Data qoq'!$A$1:$AT$1,),)</f>
        <v/>
      </c>
      <c r="G71" s="26">
        <f>VLOOKUP(B71,'Data qoq'!$A:$AT,MATCH($G$1,'Data qoq'!$A$1:$AT$1,),)</f>
        <v/>
      </c>
      <c r="H71" s="26">
        <f>VLOOKUP(B71,'Data qoq'!$A:$AT,MATCH($H$1,'Data qoq'!$A$1:$AT$1,),)</f>
        <v/>
      </c>
      <c r="I71" s="26">
        <f>VLOOKUP(B71,'Data qoq'!$A:$AT,MATCH($I$1,'Data qoq'!$A$1:$AT$1,),)</f>
        <v/>
      </c>
      <c r="J71" s="26">
        <f>VLOOKUP(B71,'Data qoq'!$A:$AT,MATCH($J$1,'Data qoq'!$A$1:$AT$1,),)</f>
        <v/>
      </c>
      <c r="K71" s="26">
        <f>VLOOKUP(B71,'Data qoq'!$A:$AT,MATCH($K$1,'Data qoq'!$A$1:$AT$1,),)</f>
        <v/>
      </c>
      <c r="L71" s="26">
        <f>VLOOKUP(B71,'Data qoq'!$A:$AT,MATCH($L$1,'Data qoq'!$A$1:$AT$1,),)</f>
        <v/>
      </c>
      <c r="M71" s="26">
        <f>VLOOKUP(B71,'Data qoq'!$A:$AT,MATCH($M$1,'Data qoq'!$A$1:$AT$1,),)</f>
        <v/>
      </c>
      <c r="N71" s="26">
        <f>VLOOKUP(B71,'Data qoq'!$A:$AT,MATCH($N$1,'Data qoq'!$A$1:$AT$1,),)</f>
        <v/>
      </c>
      <c r="O71" s="26">
        <f>VLOOKUP(B71,'Data qoq'!$A:$AT,MATCH($O$1,'Data qoq'!$J$1:$AT$1,),)</f>
        <v/>
      </c>
      <c r="P71" s="26">
        <f>VLOOKUP(B71,'Data qoq'!$A:$AT,MATCH($P$1,'Data qoq'!$A$1:$AT$1,),)</f>
        <v/>
      </c>
      <c r="Q71" s="26">
        <f>VLOOKUP(B71,'Data qoq'!$A:$AT,MATCH($Q$1,'Data qoq'!$A$1:$AT$1,),)</f>
        <v/>
      </c>
      <c r="R71" s="26">
        <f>VLOOKUP(B71,'Data qoq'!$A:$AT,MATCH($R$1,'Data qoq'!$A$1:$AT$1,),)</f>
        <v/>
      </c>
      <c r="S71" s="26">
        <f>VLOOKUP(B71,'Data qoq'!$A:$AT,MATCH($S$1,'Data qoq'!$A$1:$AT$1,),)</f>
        <v/>
      </c>
      <c r="T71" s="26">
        <f>VLOOKUP(B71,'Data qoq'!$A:$AT,MATCH($T$1,'Data qoq'!$A$1:$AT$1,),)</f>
        <v/>
      </c>
      <c r="U71" s="26">
        <f>VLOOKUP(B71,'Data qoq'!$A:$AT,MATCH($U$1,'Data qoq'!$A$1:$AT$1,),)</f>
        <v/>
      </c>
      <c r="V71" s="26">
        <f>VLOOKUP(B71,'Data qoq'!$A:$AT,MATCH($V$1,'Data qoq'!$A$1:$AT$1,),)</f>
        <v/>
      </c>
      <c r="W71" s="26">
        <f>VLOOKUP(B71,'Data qoq'!$A:$AT,MATCH($W$1,'Data qoq'!$A$1:$AT$1,),)</f>
        <v/>
      </c>
      <c r="X71" s="26">
        <f>VLOOKUP(B71,'Data qoq'!$A:$AT,MATCH($X$1,'Data qoq'!$A$1:$AT$1,),)</f>
        <v/>
      </c>
      <c r="Y71" s="26">
        <f>VLOOKUP(B71,'Data qoq'!$A:$AT,MATCH($Y$1,'Data qoq'!$A$1:$AT$1,),)</f>
        <v/>
      </c>
      <c r="Z71" s="26">
        <f>VLOOKUP(B71,'Data qoq'!$A:$AU,MATCH($Z$1,'Data qoq'!$A$1:$AU$1,),)</f>
        <v/>
      </c>
      <c r="AA71" s="26">
        <f>VLOOKUP(B71,'Data qoq'!$A:$AU,MATCH($AA$1,'Data qoq'!$A$1:$AU$1,),)</f>
        <v/>
      </c>
      <c r="AC71" s="27">
        <f>B71</f>
        <v/>
      </c>
      <c r="AD71" s="28">
        <f>(VLOOKUP(AC71,B:Y,MATCH($AE$6,$B$1:$Y$1,),))-(VLOOKUP(AC71,B:Y,MATCH($AE$7,$B$1:$Y$1,),))</f>
        <v/>
      </c>
      <c r="AE71" s="28">
        <f>C71-G71</f>
        <v/>
      </c>
    </row>
    <row r="72">
      <c r="B72" s="25" t="inlineStr">
        <is>
          <t>2015-Q2</t>
        </is>
      </c>
      <c r="C72" s="26">
        <f>VLOOKUP(B72,'Data qoq'!$A:$AT,MATCH($C$1,'Data qoq'!$A$1:$AT$1,),)</f>
        <v/>
      </c>
      <c r="D72" s="26">
        <f>VLOOKUP(B72,'Data qoq'!$A:$AT,MATCH($D$1,'Data qoq'!$A$1:$AT$1,),)</f>
        <v/>
      </c>
      <c r="E72" s="26">
        <f>VLOOKUP(B72,'Data qoq'!$A:$AT,MATCH($E$1,'Data qoq'!$A$1:$AT$1,),)</f>
        <v/>
      </c>
      <c r="F72" s="26">
        <f>VLOOKUP(B72,'Data qoq'!$A:$AT,MATCH($F$1,'Data qoq'!$A$1:$AT$1,),)</f>
        <v/>
      </c>
      <c r="G72" s="26">
        <f>VLOOKUP(B72,'Data qoq'!$A:$AT,MATCH($G$1,'Data qoq'!$A$1:$AT$1,),)</f>
        <v/>
      </c>
      <c r="H72" s="26">
        <f>VLOOKUP(B72,'Data qoq'!$A:$AT,MATCH($H$1,'Data qoq'!$A$1:$AT$1,),)</f>
        <v/>
      </c>
      <c r="I72" s="26">
        <f>VLOOKUP(B72,'Data qoq'!$A:$AT,MATCH($I$1,'Data qoq'!$A$1:$AT$1,),)</f>
        <v/>
      </c>
      <c r="J72" s="26">
        <f>VLOOKUP(B72,'Data qoq'!$A:$AT,MATCH($J$1,'Data qoq'!$A$1:$AT$1,),)</f>
        <v/>
      </c>
      <c r="K72" s="26">
        <f>VLOOKUP(B72,'Data qoq'!$A:$AT,MATCH($K$1,'Data qoq'!$A$1:$AT$1,),)</f>
        <v/>
      </c>
      <c r="L72" s="26">
        <f>VLOOKUP(B72,'Data qoq'!$A:$AT,MATCH($L$1,'Data qoq'!$A$1:$AT$1,),)</f>
        <v/>
      </c>
      <c r="M72" s="26">
        <f>VLOOKUP(B72,'Data qoq'!$A:$AT,MATCH($M$1,'Data qoq'!$A$1:$AT$1,),)</f>
        <v/>
      </c>
      <c r="N72" s="26">
        <f>VLOOKUP(B72,'Data qoq'!$A:$AT,MATCH($N$1,'Data qoq'!$A$1:$AT$1,),)</f>
        <v/>
      </c>
      <c r="O72" s="26">
        <f>VLOOKUP(B72,'Data qoq'!$A:$AT,MATCH($O$1,'Data qoq'!$J$1:$AT$1,),)</f>
        <v/>
      </c>
      <c r="P72" s="26">
        <f>VLOOKUP(B72,'Data qoq'!$A:$AT,MATCH($P$1,'Data qoq'!$A$1:$AT$1,),)</f>
        <v/>
      </c>
      <c r="Q72" s="26">
        <f>VLOOKUP(B72,'Data qoq'!$A:$AT,MATCH($Q$1,'Data qoq'!$A$1:$AT$1,),)</f>
        <v/>
      </c>
      <c r="R72" s="26">
        <f>VLOOKUP(B72,'Data qoq'!$A:$AT,MATCH($R$1,'Data qoq'!$A$1:$AT$1,),)</f>
        <v/>
      </c>
      <c r="S72" s="26">
        <f>VLOOKUP(B72,'Data qoq'!$A:$AT,MATCH($S$1,'Data qoq'!$A$1:$AT$1,),)</f>
        <v/>
      </c>
      <c r="T72" s="26">
        <f>VLOOKUP(B72,'Data qoq'!$A:$AT,MATCH($T$1,'Data qoq'!$A$1:$AT$1,),)</f>
        <v/>
      </c>
      <c r="U72" s="26">
        <f>VLOOKUP(B72,'Data qoq'!$A:$AT,MATCH($U$1,'Data qoq'!$A$1:$AT$1,),)</f>
        <v/>
      </c>
      <c r="V72" s="26">
        <f>VLOOKUP(B72,'Data qoq'!$A:$AT,MATCH($V$1,'Data qoq'!$A$1:$AT$1,),)</f>
        <v/>
      </c>
      <c r="W72" s="26">
        <f>VLOOKUP(B72,'Data qoq'!$A:$AT,MATCH($W$1,'Data qoq'!$A$1:$AT$1,),)</f>
        <v/>
      </c>
      <c r="X72" s="26">
        <f>VLOOKUP(B72,'Data qoq'!$A:$AT,MATCH($X$1,'Data qoq'!$A$1:$AT$1,),)</f>
        <v/>
      </c>
      <c r="Y72" s="26">
        <f>VLOOKUP(B72,'Data qoq'!$A:$AT,MATCH($Y$1,'Data qoq'!$A$1:$AT$1,),)</f>
        <v/>
      </c>
      <c r="Z72" s="26">
        <f>VLOOKUP(B72,'Data qoq'!$A:$AU,MATCH($Z$1,'Data qoq'!$A$1:$AU$1,),)</f>
        <v/>
      </c>
      <c r="AA72" s="26">
        <f>VLOOKUP(B72,'Data qoq'!$A:$AU,MATCH($AA$1,'Data qoq'!$A$1:$AU$1,),)</f>
        <v/>
      </c>
      <c r="AC72" s="27">
        <f>B72</f>
        <v/>
      </c>
      <c r="AD72" s="28">
        <f>(VLOOKUP(AC72,B:Y,MATCH($AE$6,$B$1:$Y$1,),))-(VLOOKUP(AC72,B:Y,MATCH($AE$7,$B$1:$Y$1,),))</f>
        <v/>
      </c>
      <c r="AE72" s="28">
        <f>C72-G72</f>
        <v/>
      </c>
    </row>
    <row r="73">
      <c r="B73" s="25" t="inlineStr">
        <is>
          <t>2015-Q3</t>
        </is>
      </c>
      <c r="C73" s="26">
        <f>VLOOKUP(B73,'Data qoq'!$A:$AT,MATCH($C$1,'Data qoq'!$A$1:$AT$1,),)</f>
        <v/>
      </c>
      <c r="D73" s="26">
        <f>VLOOKUP(B73,'Data qoq'!$A:$AT,MATCH($D$1,'Data qoq'!$A$1:$AT$1,),)</f>
        <v/>
      </c>
      <c r="E73" s="26">
        <f>VLOOKUP(B73,'Data qoq'!$A:$AT,MATCH($E$1,'Data qoq'!$A$1:$AT$1,),)</f>
        <v/>
      </c>
      <c r="F73" s="26">
        <f>VLOOKUP(B73,'Data qoq'!$A:$AT,MATCH($F$1,'Data qoq'!$A$1:$AT$1,),)</f>
        <v/>
      </c>
      <c r="G73" s="26">
        <f>VLOOKUP(B73,'Data qoq'!$A:$AT,MATCH($G$1,'Data qoq'!$A$1:$AT$1,),)</f>
        <v/>
      </c>
      <c r="H73" s="26">
        <f>VLOOKUP(B73,'Data qoq'!$A:$AT,MATCH($H$1,'Data qoq'!$A$1:$AT$1,),)</f>
        <v/>
      </c>
      <c r="I73" s="26">
        <f>VLOOKUP(B73,'Data qoq'!$A:$AT,MATCH($I$1,'Data qoq'!$A$1:$AT$1,),)</f>
        <v/>
      </c>
      <c r="J73" s="26">
        <f>VLOOKUP(B73,'Data qoq'!$A:$AT,MATCH($J$1,'Data qoq'!$A$1:$AT$1,),)</f>
        <v/>
      </c>
      <c r="K73" s="26">
        <f>VLOOKUP(B73,'Data qoq'!$A:$AT,MATCH($K$1,'Data qoq'!$A$1:$AT$1,),)</f>
        <v/>
      </c>
      <c r="L73" s="26">
        <f>VLOOKUP(B73,'Data qoq'!$A:$AT,MATCH($L$1,'Data qoq'!$A$1:$AT$1,),)</f>
        <v/>
      </c>
      <c r="M73" s="26">
        <f>VLOOKUP(B73,'Data qoq'!$A:$AT,MATCH($M$1,'Data qoq'!$A$1:$AT$1,),)</f>
        <v/>
      </c>
      <c r="N73" s="26">
        <f>VLOOKUP(B73,'Data qoq'!$A:$AT,MATCH($N$1,'Data qoq'!$A$1:$AT$1,),)</f>
        <v/>
      </c>
      <c r="O73" s="26">
        <f>VLOOKUP(B73,'Data qoq'!$A:$AT,MATCH($O$1,'Data qoq'!$J$1:$AT$1,),)</f>
        <v/>
      </c>
      <c r="P73" s="26">
        <f>VLOOKUP(B73,'Data qoq'!$A:$AT,MATCH($P$1,'Data qoq'!$A$1:$AT$1,),)</f>
        <v/>
      </c>
      <c r="Q73" s="26">
        <f>VLOOKUP(B73,'Data qoq'!$A:$AT,MATCH($Q$1,'Data qoq'!$A$1:$AT$1,),)</f>
        <v/>
      </c>
      <c r="R73" s="26">
        <f>VLOOKUP(B73,'Data qoq'!$A:$AT,MATCH($R$1,'Data qoq'!$A$1:$AT$1,),)</f>
        <v/>
      </c>
      <c r="S73" s="26">
        <f>VLOOKUP(B73,'Data qoq'!$A:$AT,MATCH($S$1,'Data qoq'!$A$1:$AT$1,),)</f>
        <v/>
      </c>
      <c r="T73" s="26">
        <f>VLOOKUP(B73,'Data qoq'!$A:$AT,MATCH($T$1,'Data qoq'!$A$1:$AT$1,),)</f>
        <v/>
      </c>
      <c r="U73" s="26">
        <f>VLOOKUP(B73,'Data qoq'!$A:$AT,MATCH($U$1,'Data qoq'!$A$1:$AT$1,),)</f>
        <v/>
      </c>
      <c r="V73" s="26">
        <f>VLOOKUP(B73,'Data qoq'!$A:$AT,MATCH($V$1,'Data qoq'!$A$1:$AT$1,),)</f>
        <v/>
      </c>
      <c r="W73" s="26">
        <f>VLOOKUP(B73,'Data qoq'!$A:$AT,MATCH($W$1,'Data qoq'!$A$1:$AT$1,),)</f>
        <v/>
      </c>
      <c r="X73" s="26">
        <f>VLOOKUP(B73,'Data qoq'!$A:$AT,MATCH($X$1,'Data qoq'!$A$1:$AT$1,),)</f>
        <v/>
      </c>
      <c r="Y73" s="26">
        <f>VLOOKUP(B73,'Data qoq'!$A:$AT,MATCH($Y$1,'Data qoq'!$A$1:$AT$1,),)</f>
        <v/>
      </c>
      <c r="Z73" s="26">
        <f>VLOOKUP(B73,'Data qoq'!$A:$AU,MATCH($Z$1,'Data qoq'!$A$1:$AU$1,),)</f>
        <v/>
      </c>
      <c r="AA73" s="26">
        <f>VLOOKUP(B73,'Data qoq'!$A:$AU,MATCH($AA$1,'Data qoq'!$A$1:$AU$1,),)</f>
        <v/>
      </c>
      <c r="AC73" s="27">
        <f>B73</f>
        <v/>
      </c>
      <c r="AD73" s="28">
        <f>(VLOOKUP(AC73,B:Y,MATCH($AE$6,$B$1:$Y$1,),))-(VLOOKUP(AC73,B:Y,MATCH($AE$7,$B$1:$Y$1,),))</f>
        <v/>
      </c>
      <c r="AE73" s="28">
        <f>C73-G73</f>
        <v/>
      </c>
    </row>
    <row r="74">
      <c r="B74" s="25" t="inlineStr">
        <is>
          <t>2015-Q4</t>
        </is>
      </c>
      <c r="C74" s="26">
        <f>VLOOKUP(B74,'Data qoq'!$A:$AT,MATCH($C$1,'Data qoq'!$A$1:$AT$1,),)</f>
        <v/>
      </c>
      <c r="D74" s="26">
        <f>VLOOKUP(B74,'Data qoq'!$A:$AT,MATCH($D$1,'Data qoq'!$A$1:$AT$1,),)</f>
        <v/>
      </c>
      <c r="E74" s="26">
        <f>VLOOKUP(B74,'Data qoq'!$A:$AT,MATCH($E$1,'Data qoq'!$A$1:$AT$1,),)</f>
        <v/>
      </c>
      <c r="F74" s="26">
        <f>VLOOKUP(B74,'Data qoq'!$A:$AT,MATCH($F$1,'Data qoq'!$A$1:$AT$1,),)</f>
        <v/>
      </c>
      <c r="G74" s="26">
        <f>VLOOKUP(B74,'Data qoq'!$A:$AT,MATCH($G$1,'Data qoq'!$A$1:$AT$1,),)</f>
        <v/>
      </c>
      <c r="H74" s="26">
        <f>VLOOKUP(B74,'Data qoq'!$A:$AT,MATCH($H$1,'Data qoq'!$A$1:$AT$1,),)</f>
        <v/>
      </c>
      <c r="I74" s="26">
        <f>VLOOKUP(B74,'Data qoq'!$A:$AT,MATCH($I$1,'Data qoq'!$A$1:$AT$1,),)</f>
        <v/>
      </c>
      <c r="J74" s="26">
        <f>VLOOKUP(B74,'Data qoq'!$A:$AT,MATCH($J$1,'Data qoq'!$A$1:$AT$1,),)</f>
        <v/>
      </c>
      <c r="K74" s="26">
        <f>VLOOKUP(B74,'Data qoq'!$A:$AT,MATCH($K$1,'Data qoq'!$A$1:$AT$1,),)</f>
        <v/>
      </c>
      <c r="L74" s="26">
        <f>VLOOKUP(B74,'Data qoq'!$A:$AT,MATCH($L$1,'Data qoq'!$A$1:$AT$1,),)</f>
        <v/>
      </c>
      <c r="M74" s="26">
        <f>VLOOKUP(B74,'Data qoq'!$A:$AT,MATCH($M$1,'Data qoq'!$A$1:$AT$1,),)</f>
        <v/>
      </c>
      <c r="N74" s="26">
        <f>VLOOKUP(B74,'Data qoq'!$A:$AT,MATCH($N$1,'Data qoq'!$A$1:$AT$1,),)</f>
        <v/>
      </c>
      <c r="O74" s="26">
        <f>VLOOKUP(B74,'Data qoq'!$A:$AT,MATCH($O$1,'Data qoq'!$J$1:$AT$1,),)</f>
        <v/>
      </c>
      <c r="P74" s="26">
        <f>VLOOKUP(B74,'Data qoq'!$A:$AT,MATCH($P$1,'Data qoq'!$A$1:$AT$1,),)</f>
        <v/>
      </c>
      <c r="Q74" s="26">
        <f>VLOOKUP(B74,'Data qoq'!$A:$AT,MATCH($Q$1,'Data qoq'!$A$1:$AT$1,),)</f>
        <v/>
      </c>
      <c r="R74" s="26">
        <f>VLOOKUP(B74,'Data qoq'!$A:$AT,MATCH($R$1,'Data qoq'!$A$1:$AT$1,),)</f>
        <v/>
      </c>
      <c r="S74" s="26">
        <f>VLOOKUP(B74,'Data qoq'!$A:$AT,MATCH($S$1,'Data qoq'!$A$1:$AT$1,),)</f>
        <v/>
      </c>
      <c r="T74" s="26">
        <f>VLOOKUP(B74,'Data qoq'!$A:$AT,MATCH($T$1,'Data qoq'!$A$1:$AT$1,),)</f>
        <v/>
      </c>
      <c r="U74" s="26">
        <f>VLOOKUP(B74,'Data qoq'!$A:$AT,MATCH($U$1,'Data qoq'!$A$1:$AT$1,),)</f>
        <v/>
      </c>
      <c r="V74" s="26">
        <f>VLOOKUP(B74,'Data qoq'!$A:$AT,MATCH($V$1,'Data qoq'!$A$1:$AT$1,),)</f>
        <v/>
      </c>
      <c r="W74" s="26">
        <f>VLOOKUP(B74,'Data qoq'!$A:$AT,MATCH($W$1,'Data qoq'!$A$1:$AT$1,),)</f>
        <v/>
      </c>
      <c r="X74" s="26">
        <f>VLOOKUP(B74,'Data qoq'!$A:$AT,MATCH($X$1,'Data qoq'!$A$1:$AT$1,),)</f>
        <v/>
      </c>
      <c r="Y74" s="26">
        <f>VLOOKUP(B74,'Data qoq'!$A:$AT,MATCH($Y$1,'Data qoq'!$A$1:$AT$1,),)</f>
        <v/>
      </c>
      <c r="Z74" s="26">
        <f>VLOOKUP(B74,'Data qoq'!$A:$AU,MATCH($Z$1,'Data qoq'!$A$1:$AU$1,),)</f>
        <v/>
      </c>
      <c r="AA74" s="26">
        <f>VLOOKUP(B74,'Data qoq'!$A:$AU,MATCH($AA$1,'Data qoq'!$A$1:$AU$1,),)</f>
        <v/>
      </c>
      <c r="AC74" s="27">
        <f>B74</f>
        <v/>
      </c>
      <c r="AD74" s="28">
        <f>(VLOOKUP(AC74,B:Y,MATCH($AE$6,$B$1:$Y$1,),))-(VLOOKUP(AC74,B:Y,MATCH($AE$7,$B$1:$Y$1,),))</f>
        <v/>
      </c>
      <c r="AE74" s="28">
        <f>C74-G74</f>
        <v/>
      </c>
    </row>
    <row r="75">
      <c r="B75" s="25" t="inlineStr">
        <is>
          <t>2016-Q1</t>
        </is>
      </c>
      <c r="C75" s="26">
        <f>VLOOKUP(B75,'Data qoq'!$A:$AT,MATCH($C$1,'Data qoq'!$A$1:$AT$1,),)</f>
        <v/>
      </c>
      <c r="D75" s="26">
        <f>VLOOKUP(B75,'Data qoq'!$A:$AT,MATCH($D$1,'Data qoq'!$A$1:$AT$1,),)</f>
        <v/>
      </c>
      <c r="E75" s="26">
        <f>VLOOKUP(B75,'Data qoq'!$A:$AT,MATCH($E$1,'Data qoq'!$A$1:$AT$1,),)</f>
        <v/>
      </c>
      <c r="F75" s="26">
        <f>VLOOKUP(B75,'Data qoq'!$A:$AT,MATCH($F$1,'Data qoq'!$A$1:$AT$1,),)</f>
        <v/>
      </c>
      <c r="G75" s="26">
        <f>VLOOKUP(B75,'Data qoq'!$A:$AT,MATCH($G$1,'Data qoq'!$A$1:$AT$1,),)</f>
        <v/>
      </c>
      <c r="H75" s="26">
        <f>VLOOKUP(B75,'Data qoq'!$A:$AT,MATCH($H$1,'Data qoq'!$A$1:$AT$1,),)</f>
        <v/>
      </c>
      <c r="I75" s="26">
        <f>VLOOKUP(B75,'Data qoq'!$A:$AT,MATCH($I$1,'Data qoq'!$A$1:$AT$1,),)</f>
        <v/>
      </c>
      <c r="J75" s="26">
        <f>VLOOKUP(B75,'Data qoq'!$A:$AT,MATCH($J$1,'Data qoq'!$A$1:$AT$1,),)</f>
        <v/>
      </c>
      <c r="K75" s="26">
        <f>VLOOKUP(B75,'Data qoq'!$A:$AT,MATCH($K$1,'Data qoq'!$A$1:$AT$1,),)</f>
        <v/>
      </c>
      <c r="L75" s="26">
        <f>VLOOKUP(B75,'Data qoq'!$A:$AT,MATCH($L$1,'Data qoq'!$A$1:$AT$1,),)</f>
        <v/>
      </c>
      <c r="M75" s="26">
        <f>VLOOKUP(B75,'Data qoq'!$A:$AT,MATCH($M$1,'Data qoq'!$A$1:$AT$1,),)</f>
        <v/>
      </c>
      <c r="N75" s="26">
        <f>VLOOKUP(B75,'Data qoq'!$A:$AT,MATCH($N$1,'Data qoq'!$A$1:$AT$1,),)</f>
        <v/>
      </c>
      <c r="O75" s="26">
        <f>VLOOKUP(B75,'Data qoq'!$A:$AT,MATCH($O$1,'Data qoq'!$J$1:$AT$1,),)</f>
        <v/>
      </c>
      <c r="P75" s="26">
        <f>VLOOKUP(B75,'Data qoq'!$A:$AT,MATCH($P$1,'Data qoq'!$A$1:$AT$1,),)</f>
        <v/>
      </c>
      <c r="Q75" s="26">
        <f>VLOOKUP(B75,'Data qoq'!$A:$AT,MATCH($Q$1,'Data qoq'!$A$1:$AT$1,),)</f>
        <v/>
      </c>
      <c r="R75" s="26">
        <f>VLOOKUP(B75,'Data qoq'!$A:$AT,MATCH($R$1,'Data qoq'!$A$1:$AT$1,),)</f>
        <v/>
      </c>
      <c r="S75" s="26">
        <f>VLOOKUP(B75,'Data qoq'!$A:$AT,MATCH($S$1,'Data qoq'!$A$1:$AT$1,),)</f>
        <v/>
      </c>
      <c r="T75" s="26">
        <f>VLOOKUP(B75,'Data qoq'!$A:$AT,MATCH($T$1,'Data qoq'!$A$1:$AT$1,),)</f>
        <v/>
      </c>
      <c r="U75" s="26">
        <f>VLOOKUP(B75,'Data qoq'!$A:$AT,MATCH($U$1,'Data qoq'!$A$1:$AT$1,),)</f>
        <v/>
      </c>
      <c r="V75" s="26">
        <f>VLOOKUP(B75,'Data qoq'!$A:$AT,MATCH($V$1,'Data qoq'!$A$1:$AT$1,),)</f>
        <v/>
      </c>
      <c r="W75" s="26">
        <f>VLOOKUP(B75,'Data qoq'!$A:$AT,MATCH($W$1,'Data qoq'!$A$1:$AT$1,),)</f>
        <v/>
      </c>
      <c r="X75" s="26">
        <f>VLOOKUP(B75,'Data qoq'!$A:$AT,MATCH($X$1,'Data qoq'!$A$1:$AT$1,),)</f>
        <v/>
      </c>
      <c r="Y75" s="26">
        <f>VLOOKUP(B75,'Data qoq'!$A:$AT,MATCH($Y$1,'Data qoq'!$A$1:$AT$1,),)</f>
        <v/>
      </c>
      <c r="Z75" s="26">
        <f>VLOOKUP(B75,'Data qoq'!$A:$AU,MATCH($Z$1,'Data qoq'!$A$1:$AU$1,),)</f>
        <v/>
      </c>
      <c r="AA75" s="26">
        <f>VLOOKUP(B75,'Data qoq'!$A:$AU,MATCH($AA$1,'Data qoq'!$A$1:$AU$1,),)</f>
        <v/>
      </c>
      <c r="AC75" s="27">
        <f>B75</f>
        <v/>
      </c>
      <c r="AD75" s="28">
        <f>(VLOOKUP(AC75,B:Y,MATCH($AE$6,$B$1:$Y$1,),))-(VLOOKUP(AC75,B:Y,MATCH($AE$7,$B$1:$Y$1,),))</f>
        <v/>
      </c>
      <c r="AE75" s="28">
        <f>C75-G75</f>
        <v/>
      </c>
    </row>
    <row r="76">
      <c r="B76" s="25" t="inlineStr">
        <is>
          <t>2016-Q2</t>
        </is>
      </c>
      <c r="C76" s="26">
        <f>VLOOKUP(B76,'Data qoq'!$A:$AT,MATCH($C$1,'Data qoq'!$A$1:$AT$1,),)</f>
        <v/>
      </c>
      <c r="D76" s="26">
        <f>VLOOKUP(B76,'Data qoq'!$A:$AT,MATCH($D$1,'Data qoq'!$A$1:$AT$1,),)</f>
        <v/>
      </c>
      <c r="E76" s="26">
        <f>VLOOKUP(B76,'Data qoq'!$A:$AT,MATCH($E$1,'Data qoq'!$A$1:$AT$1,),)</f>
        <v/>
      </c>
      <c r="F76" s="26">
        <f>VLOOKUP(B76,'Data qoq'!$A:$AT,MATCH($F$1,'Data qoq'!$A$1:$AT$1,),)</f>
        <v/>
      </c>
      <c r="G76" s="26">
        <f>VLOOKUP(B76,'Data qoq'!$A:$AT,MATCH($G$1,'Data qoq'!$A$1:$AT$1,),)</f>
        <v/>
      </c>
      <c r="H76" s="26">
        <f>VLOOKUP(B76,'Data qoq'!$A:$AT,MATCH($H$1,'Data qoq'!$A$1:$AT$1,),)</f>
        <v/>
      </c>
      <c r="I76" s="26">
        <f>VLOOKUP(B76,'Data qoq'!$A:$AT,MATCH($I$1,'Data qoq'!$A$1:$AT$1,),)</f>
        <v/>
      </c>
      <c r="J76" s="26">
        <f>VLOOKUP(B76,'Data qoq'!$A:$AT,MATCH($J$1,'Data qoq'!$A$1:$AT$1,),)</f>
        <v/>
      </c>
      <c r="K76" s="26">
        <f>VLOOKUP(B76,'Data qoq'!$A:$AT,MATCH($K$1,'Data qoq'!$A$1:$AT$1,),)</f>
        <v/>
      </c>
      <c r="L76" s="26">
        <f>VLOOKUP(B76,'Data qoq'!$A:$AT,MATCH($L$1,'Data qoq'!$A$1:$AT$1,),)</f>
        <v/>
      </c>
      <c r="M76" s="26">
        <f>VLOOKUP(B76,'Data qoq'!$A:$AT,MATCH($M$1,'Data qoq'!$A$1:$AT$1,),)</f>
        <v/>
      </c>
      <c r="N76" s="26">
        <f>VLOOKUP(B76,'Data qoq'!$A:$AT,MATCH($N$1,'Data qoq'!$A$1:$AT$1,),)</f>
        <v/>
      </c>
      <c r="O76" s="26">
        <f>VLOOKUP(B76,'Data qoq'!$A:$AT,MATCH($O$1,'Data qoq'!$J$1:$AT$1,),)</f>
        <v/>
      </c>
      <c r="P76" s="26">
        <f>VLOOKUP(B76,'Data qoq'!$A:$AT,MATCH($P$1,'Data qoq'!$A$1:$AT$1,),)</f>
        <v/>
      </c>
      <c r="Q76" s="26">
        <f>VLOOKUP(B76,'Data qoq'!$A:$AT,MATCH($Q$1,'Data qoq'!$A$1:$AT$1,),)</f>
        <v/>
      </c>
      <c r="R76" s="26">
        <f>VLOOKUP(B76,'Data qoq'!$A:$AT,MATCH($R$1,'Data qoq'!$A$1:$AT$1,),)</f>
        <v/>
      </c>
      <c r="S76" s="26">
        <f>VLOOKUP(B76,'Data qoq'!$A:$AT,MATCH($S$1,'Data qoq'!$A$1:$AT$1,),)</f>
        <v/>
      </c>
      <c r="T76" s="26">
        <f>VLOOKUP(B76,'Data qoq'!$A:$AT,MATCH($T$1,'Data qoq'!$A$1:$AT$1,),)</f>
        <v/>
      </c>
      <c r="U76" s="26">
        <f>VLOOKUP(B76,'Data qoq'!$A:$AT,MATCH($U$1,'Data qoq'!$A$1:$AT$1,),)</f>
        <v/>
      </c>
      <c r="V76" s="26">
        <f>VLOOKUP(B76,'Data qoq'!$A:$AT,MATCH($V$1,'Data qoq'!$A$1:$AT$1,),)</f>
        <v/>
      </c>
      <c r="W76" s="26">
        <f>VLOOKUP(B76,'Data qoq'!$A:$AT,MATCH($W$1,'Data qoq'!$A$1:$AT$1,),)</f>
        <v/>
      </c>
      <c r="X76" s="26">
        <f>VLOOKUP(B76,'Data qoq'!$A:$AT,MATCH($X$1,'Data qoq'!$A$1:$AT$1,),)</f>
        <v/>
      </c>
      <c r="Y76" s="26">
        <f>VLOOKUP(B76,'Data qoq'!$A:$AT,MATCH($Y$1,'Data qoq'!$A$1:$AT$1,),)</f>
        <v/>
      </c>
      <c r="Z76" s="26">
        <f>VLOOKUP(B76,'Data qoq'!$A:$AU,MATCH($Z$1,'Data qoq'!$A$1:$AU$1,),)</f>
        <v/>
      </c>
      <c r="AA76" s="26">
        <f>VLOOKUP(B76,'Data qoq'!$A:$AU,MATCH($AA$1,'Data qoq'!$A$1:$AU$1,),)</f>
        <v/>
      </c>
      <c r="AC76" s="27">
        <f>B76</f>
        <v/>
      </c>
      <c r="AD76" s="28">
        <f>(VLOOKUP(AC76,B:Y,MATCH($AE$6,$B$1:$Y$1,),))-(VLOOKUP(AC76,B:Y,MATCH($AE$7,$B$1:$Y$1,),))</f>
        <v/>
      </c>
      <c r="AE76" s="28">
        <f>C76-G76</f>
        <v/>
      </c>
    </row>
    <row r="77">
      <c r="B77" s="25" t="inlineStr">
        <is>
          <t>2016-Q3</t>
        </is>
      </c>
      <c r="C77" s="26">
        <f>VLOOKUP(B77,'Data qoq'!$A:$AT,MATCH($C$1,'Data qoq'!$A$1:$AT$1,),)</f>
        <v/>
      </c>
      <c r="D77" s="26">
        <f>VLOOKUP(B77,'Data qoq'!$A:$AT,MATCH($D$1,'Data qoq'!$A$1:$AT$1,),)</f>
        <v/>
      </c>
      <c r="E77" s="26">
        <f>VLOOKUP(B77,'Data qoq'!$A:$AT,MATCH($E$1,'Data qoq'!$A$1:$AT$1,),)</f>
        <v/>
      </c>
      <c r="F77" s="26">
        <f>VLOOKUP(B77,'Data qoq'!$A:$AT,MATCH($F$1,'Data qoq'!$A$1:$AT$1,),)</f>
        <v/>
      </c>
      <c r="G77" s="26">
        <f>VLOOKUP(B77,'Data qoq'!$A:$AT,MATCH($G$1,'Data qoq'!$A$1:$AT$1,),)</f>
        <v/>
      </c>
      <c r="H77" s="26">
        <f>VLOOKUP(B77,'Data qoq'!$A:$AT,MATCH($H$1,'Data qoq'!$A$1:$AT$1,),)</f>
        <v/>
      </c>
      <c r="I77" s="26">
        <f>VLOOKUP(B77,'Data qoq'!$A:$AT,MATCH($I$1,'Data qoq'!$A$1:$AT$1,),)</f>
        <v/>
      </c>
      <c r="J77" s="26">
        <f>VLOOKUP(B77,'Data qoq'!$A:$AT,MATCH($J$1,'Data qoq'!$A$1:$AT$1,),)</f>
        <v/>
      </c>
      <c r="K77" s="26">
        <f>VLOOKUP(B77,'Data qoq'!$A:$AT,MATCH($K$1,'Data qoq'!$A$1:$AT$1,),)</f>
        <v/>
      </c>
      <c r="L77" s="26">
        <f>VLOOKUP(B77,'Data qoq'!$A:$AT,MATCH($L$1,'Data qoq'!$A$1:$AT$1,),)</f>
        <v/>
      </c>
      <c r="M77" s="26">
        <f>VLOOKUP(B77,'Data qoq'!$A:$AT,MATCH($M$1,'Data qoq'!$A$1:$AT$1,),)</f>
        <v/>
      </c>
      <c r="N77" s="26">
        <f>VLOOKUP(B77,'Data qoq'!$A:$AT,MATCH($N$1,'Data qoq'!$A$1:$AT$1,),)</f>
        <v/>
      </c>
      <c r="O77" s="26">
        <f>VLOOKUP(B77,'Data qoq'!$A:$AT,MATCH($O$1,'Data qoq'!$J$1:$AT$1,),)</f>
        <v/>
      </c>
      <c r="P77" s="26">
        <f>VLOOKUP(B77,'Data qoq'!$A:$AT,MATCH($P$1,'Data qoq'!$A$1:$AT$1,),)</f>
        <v/>
      </c>
      <c r="Q77" s="26">
        <f>VLOOKUP(B77,'Data qoq'!$A:$AT,MATCH($Q$1,'Data qoq'!$A$1:$AT$1,),)</f>
        <v/>
      </c>
      <c r="R77" s="26">
        <f>VLOOKUP(B77,'Data qoq'!$A:$AT,MATCH($R$1,'Data qoq'!$A$1:$AT$1,),)</f>
        <v/>
      </c>
      <c r="S77" s="26">
        <f>VLOOKUP(B77,'Data qoq'!$A:$AT,MATCH($S$1,'Data qoq'!$A$1:$AT$1,),)</f>
        <v/>
      </c>
      <c r="T77" s="26">
        <f>VLOOKUP(B77,'Data qoq'!$A:$AT,MATCH($T$1,'Data qoq'!$A$1:$AT$1,),)</f>
        <v/>
      </c>
      <c r="U77" s="26">
        <f>VLOOKUP(B77,'Data qoq'!$A:$AT,MATCH($U$1,'Data qoq'!$A$1:$AT$1,),)</f>
        <v/>
      </c>
      <c r="V77" s="26">
        <f>VLOOKUP(B77,'Data qoq'!$A:$AT,MATCH($V$1,'Data qoq'!$A$1:$AT$1,),)</f>
        <v/>
      </c>
      <c r="W77" s="26">
        <f>VLOOKUP(B77,'Data qoq'!$A:$AT,MATCH($W$1,'Data qoq'!$A$1:$AT$1,),)</f>
        <v/>
      </c>
      <c r="X77" s="26">
        <f>VLOOKUP(B77,'Data qoq'!$A:$AT,MATCH($X$1,'Data qoq'!$A$1:$AT$1,),)</f>
        <v/>
      </c>
      <c r="Y77" s="26">
        <f>VLOOKUP(B77,'Data qoq'!$A:$AT,MATCH($Y$1,'Data qoq'!$A$1:$AT$1,),)</f>
        <v/>
      </c>
      <c r="Z77" s="26">
        <f>VLOOKUP(B77,'Data qoq'!$A:$AU,MATCH($Z$1,'Data qoq'!$A$1:$AU$1,),)</f>
        <v/>
      </c>
      <c r="AA77" s="26">
        <f>VLOOKUP(B77,'Data qoq'!$A:$AU,MATCH($AA$1,'Data qoq'!$A$1:$AU$1,),)</f>
        <v/>
      </c>
      <c r="AC77" s="27">
        <f>B77</f>
        <v/>
      </c>
      <c r="AD77" s="28">
        <f>(VLOOKUP(AC77,B:Y,MATCH($AE$6,$B$1:$Y$1,),))-(VLOOKUP(AC77,B:Y,MATCH($AE$7,$B$1:$Y$1,),))</f>
        <v/>
      </c>
      <c r="AE77" s="28">
        <f>C77-G77</f>
        <v/>
      </c>
    </row>
    <row r="78">
      <c r="B78" s="25" t="inlineStr">
        <is>
          <t>2016-Q4</t>
        </is>
      </c>
      <c r="C78" s="26">
        <f>VLOOKUP(B78,'Data qoq'!$A:$AT,MATCH($C$1,'Data qoq'!$A$1:$AT$1,),)</f>
        <v/>
      </c>
      <c r="D78" s="26">
        <f>VLOOKUP(B78,'Data qoq'!$A:$AT,MATCH($D$1,'Data qoq'!$A$1:$AT$1,),)</f>
        <v/>
      </c>
      <c r="E78" s="26">
        <f>VLOOKUP(B78,'Data qoq'!$A:$AT,MATCH($E$1,'Data qoq'!$A$1:$AT$1,),)</f>
        <v/>
      </c>
      <c r="F78" s="26">
        <f>VLOOKUP(B78,'Data qoq'!$A:$AT,MATCH($F$1,'Data qoq'!$A$1:$AT$1,),)</f>
        <v/>
      </c>
      <c r="G78" s="26">
        <f>VLOOKUP(B78,'Data qoq'!$A:$AT,MATCH($G$1,'Data qoq'!$A$1:$AT$1,),)</f>
        <v/>
      </c>
      <c r="H78" s="26">
        <f>VLOOKUP(B78,'Data qoq'!$A:$AT,MATCH($H$1,'Data qoq'!$A$1:$AT$1,),)</f>
        <v/>
      </c>
      <c r="I78" s="26">
        <f>VLOOKUP(B78,'Data qoq'!$A:$AT,MATCH($I$1,'Data qoq'!$A$1:$AT$1,),)</f>
        <v/>
      </c>
      <c r="J78" s="26">
        <f>VLOOKUP(B78,'Data qoq'!$A:$AT,MATCH($J$1,'Data qoq'!$A$1:$AT$1,),)</f>
        <v/>
      </c>
      <c r="K78" s="26">
        <f>VLOOKUP(B78,'Data qoq'!$A:$AT,MATCH($K$1,'Data qoq'!$A$1:$AT$1,),)</f>
        <v/>
      </c>
      <c r="L78" s="26">
        <f>VLOOKUP(B78,'Data qoq'!$A:$AT,MATCH($L$1,'Data qoq'!$A$1:$AT$1,),)</f>
        <v/>
      </c>
      <c r="M78" s="26">
        <f>VLOOKUP(B78,'Data qoq'!$A:$AT,MATCH($M$1,'Data qoq'!$A$1:$AT$1,),)</f>
        <v/>
      </c>
      <c r="N78" s="26">
        <f>VLOOKUP(B78,'Data qoq'!$A:$AT,MATCH($N$1,'Data qoq'!$A$1:$AT$1,),)</f>
        <v/>
      </c>
      <c r="O78" s="26">
        <f>VLOOKUP(B78,'Data qoq'!$A:$AT,MATCH($O$1,'Data qoq'!$J$1:$AT$1,),)</f>
        <v/>
      </c>
      <c r="P78" s="26">
        <f>VLOOKUP(B78,'Data qoq'!$A:$AT,MATCH($P$1,'Data qoq'!$A$1:$AT$1,),)</f>
        <v/>
      </c>
      <c r="Q78" s="26">
        <f>VLOOKUP(B78,'Data qoq'!$A:$AT,MATCH($Q$1,'Data qoq'!$A$1:$AT$1,),)</f>
        <v/>
      </c>
      <c r="R78" s="26">
        <f>VLOOKUP(B78,'Data qoq'!$A:$AT,MATCH($R$1,'Data qoq'!$A$1:$AT$1,),)</f>
        <v/>
      </c>
      <c r="S78" s="26">
        <f>VLOOKUP(B78,'Data qoq'!$A:$AT,MATCH($S$1,'Data qoq'!$A$1:$AT$1,),)</f>
        <v/>
      </c>
      <c r="T78" s="26">
        <f>VLOOKUP(B78,'Data qoq'!$A:$AT,MATCH($T$1,'Data qoq'!$A$1:$AT$1,),)</f>
        <v/>
      </c>
      <c r="U78" s="26">
        <f>VLOOKUP(B78,'Data qoq'!$A:$AT,MATCH($U$1,'Data qoq'!$A$1:$AT$1,),)</f>
        <v/>
      </c>
      <c r="V78" s="26">
        <f>VLOOKUP(B78,'Data qoq'!$A:$AT,MATCH($V$1,'Data qoq'!$A$1:$AT$1,),)</f>
        <v/>
      </c>
      <c r="W78" s="26">
        <f>VLOOKUP(B78,'Data qoq'!$A:$AT,MATCH($W$1,'Data qoq'!$A$1:$AT$1,),)</f>
        <v/>
      </c>
      <c r="X78" s="26">
        <f>VLOOKUP(B78,'Data qoq'!$A:$AT,MATCH($X$1,'Data qoq'!$A$1:$AT$1,),)</f>
        <v/>
      </c>
      <c r="Y78" s="26">
        <f>VLOOKUP(B78,'Data qoq'!$A:$AT,MATCH($Y$1,'Data qoq'!$A$1:$AT$1,),)</f>
        <v/>
      </c>
      <c r="Z78" s="26">
        <f>VLOOKUP(B78,'Data qoq'!$A:$AU,MATCH($Z$1,'Data qoq'!$A$1:$AU$1,),)</f>
        <v/>
      </c>
      <c r="AA78" s="26">
        <f>VLOOKUP(B78,'Data qoq'!$A:$AU,MATCH($AA$1,'Data qoq'!$A$1:$AU$1,),)</f>
        <v/>
      </c>
      <c r="AC78" s="27">
        <f>B78</f>
        <v/>
      </c>
      <c r="AD78" s="28">
        <f>(VLOOKUP(AC78,B:Y,MATCH($AE$6,$B$1:$Y$1,),))-(VLOOKUP(AC78,B:Y,MATCH($AE$7,$B$1:$Y$1,),))</f>
        <v/>
      </c>
      <c r="AE78" s="28">
        <f>C78-G78</f>
        <v/>
      </c>
    </row>
    <row r="79">
      <c r="B79" s="25" t="inlineStr">
        <is>
          <t>2017-Q1</t>
        </is>
      </c>
      <c r="C79" s="26">
        <f>VLOOKUP(B79,'Data qoq'!$A:$AT,MATCH($C$1,'Data qoq'!$A$1:$AT$1,),)</f>
        <v/>
      </c>
      <c r="D79" s="26">
        <f>VLOOKUP(B79,'Data qoq'!$A:$AT,MATCH($D$1,'Data qoq'!$A$1:$AT$1,),)</f>
        <v/>
      </c>
      <c r="E79" s="26">
        <f>VLOOKUP(B79,'Data qoq'!$A:$AT,MATCH($E$1,'Data qoq'!$A$1:$AT$1,),)</f>
        <v/>
      </c>
      <c r="F79" s="26">
        <f>VLOOKUP(B79,'Data qoq'!$A:$AT,MATCH($F$1,'Data qoq'!$A$1:$AT$1,),)</f>
        <v/>
      </c>
      <c r="G79" s="26">
        <f>VLOOKUP(B79,'Data qoq'!$A:$AT,MATCH($G$1,'Data qoq'!$A$1:$AT$1,),)</f>
        <v/>
      </c>
      <c r="H79" s="26">
        <f>VLOOKUP(B79,'Data qoq'!$A:$AT,MATCH($H$1,'Data qoq'!$A$1:$AT$1,),)</f>
        <v/>
      </c>
      <c r="I79" s="26">
        <f>VLOOKUP(B79,'Data qoq'!$A:$AT,MATCH($I$1,'Data qoq'!$A$1:$AT$1,),)</f>
        <v/>
      </c>
      <c r="J79" s="26">
        <f>VLOOKUP(B79,'Data qoq'!$A:$AT,MATCH($J$1,'Data qoq'!$A$1:$AT$1,),)</f>
        <v/>
      </c>
      <c r="K79" s="26">
        <f>VLOOKUP(B79,'Data qoq'!$A:$AT,MATCH($K$1,'Data qoq'!$A$1:$AT$1,),)</f>
        <v/>
      </c>
      <c r="L79" s="26">
        <f>VLOOKUP(B79,'Data qoq'!$A:$AT,MATCH($L$1,'Data qoq'!$A$1:$AT$1,),)</f>
        <v/>
      </c>
      <c r="M79" s="26">
        <f>VLOOKUP(B79,'Data qoq'!$A:$AT,MATCH($M$1,'Data qoq'!$A$1:$AT$1,),)</f>
        <v/>
      </c>
      <c r="N79" s="26">
        <f>VLOOKUP(B79,'Data qoq'!$A:$AT,MATCH($N$1,'Data qoq'!$A$1:$AT$1,),)</f>
        <v/>
      </c>
      <c r="O79" s="26">
        <f>VLOOKUP(B79,'Data qoq'!$A:$AT,MATCH($O$1,'Data qoq'!$J$1:$AT$1,),)</f>
        <v/>
      </c>
      <c r="P79" s="26">
        <f>VLOOKUP(B79,'Data qoq'!$A:$AT,MATCH($P$1,'Data qoq'!$A$1:$AT$1,),)</f>
        <v/>
      </c>
      <c r="Q79" s="26">
        <f>VLOOKUP(B79,'Data qoq'!$A:$AT,MATCH($Q$1,'Data qoq'!$A$1:$AT$1,),)</f>
        <v/>
      </c>
      <c r="R79" s="26">
        <f>VLOOKUP(B79,'Data qoq'!$A:$AT,MATCH($R$1,'Data qoq'!$A$1:$AT$1,),)</f>
        <v/>
      </c>
      <c r="S79" s="26">
        <f>VLOOKUP(B79,'Data qoq'!$A:$AT,MATCH($S$1,'Data qoq'!$A$1:$AT$1,),)</f>
        <v/>
      </c>
      <c r="T79" s="26">
        <f>VLOOKUP(B79,'Data qoq'!$A:$AT,MATCH($T$1,'Data qoq'!$A$1:$AT$1,),)</f>
        <v/>
      </c>
      <c r="U79" s="26">
        <f>VLOOKUP(B79,'Data qoq'!$A:$AT,MATCH($U$1,'Data qoq'!$A$1:$AT$1,),)</f>
        <v/>
      </c>
      <c r="V79" s="26">
        <f>VLOOKUP(B79,'Data qoq'!$A:$AT,MATCH($V$1,'Data qoq'!$A$1:$AT$1,),)</f>
        <v/>
      </c>
      <c r="W79" s="26">
        <f>VLOOKUP(B79,'Data qoq'!$A:$AT,MATCH($W$1,'Data qoq'!$A$1:$AT$1,),)</f>
        <v/>
      </c>
      <c r="X79" s="26">
        <f>VLOOKUP(B79,'Data qoq'!$A:$AT,MATCH($X$1,'Data qoq'!$A$1:$AT$1,),)</f>
        <v/>
      </c>
      <c r="Y79" s="26">
        <f>VLOOKUP(B79,'Data qoq'!$A:$AT,MATCH($Y$1,'Data qoq'!$A$1:$AT$1,),)</f>
        <v/>
      </c>
      <c r="Z79" s="26">
        <f>VLOOKUP(B79,'Data qoq'!$A:$AU,MATCH($Z$1,'Data qoq'!$A$1:$AU$1,),)</f>
        <v/>
      </c>
      <c r="AA79" s="26">
        <f>VLOOKUP(B79,'Data qoq'!$A:$AU,MATCH($AA$1,'Data qoq'!$A$1:$AU$1,),)</f>
        <v/>
      </c>
      <c r="AC79" s="27">
        <f>B79</f>
        <v/>
      </c>
      <c r="AD79" s="28">
        <f>(VLOOKUP(AC79,B:Y,MATCH($AE$6,$B$1:$Y$1,),))-(VLOOKUP(AC79,B:Y,MATCH($AE$7,$B$1:$Y$1,),))</f>
        <v/>
      </c>
      <c r="AE79" s="28">
        <f>C79-G79</f>
        <v/>
      </c>
    </row>
    <row r="80">
      <c r="B80" s="25" t="inlineStr">
        <is>
          <t>2017-Q2</t>
        </is>
      </c>
      <c r="C80" s="26">
        <f>VLOOKUP(B80,'Data qoq'!$A:$AT,MATCH($C$1,'Data qoq'!$A$1:$AT$1,),)</f>
        <v/>
      </c>
      <c r="D80" s="26">
        <f>VLOOKUP(B80,'Data qoq'!$A:$AT,MATCH($D$1,'Data qoq'!$A$1:$AT$1,),)</f>
        <v/>
      </c>
      <c r="E80" s="26">
        <f>VLOOKUP(B80,'Data qoq'!$A:$AT,MATCH($E$1,'Data qoq'!$A$1:$AT$1,),)</f>
        <v/>
      </c>
      <c r="F80" s="26">
        <f>VLOOKUP(B80,'Data qoq'!$A:$AT,MATCH($F$1,'Data qoq'!$A$1:$AT$1,),)</f>
        <v/>
      </c>
      <c r="G80" s="26">
        <f>VLOOKUP(B80,'Data qoq'!$A:$AT,MATCH($G$1,'Data qoq'!$A$1:$AT$1,),)</f>
        <v/>
      </c>
      <c r="H80" s="26">
        <f>VLOOKUP(B80,'Data qoq'!$A:$AT,MATCH($H$1,'Data qoq'!$A$1:$AT$1,),)</f>
        <v/>
      </c>
      <c r="I80" s="26">
        <f>VLOOKUP(B80,'Data qoq'!$A:$AT,MATCH($I$1,'Data qoq'!$A$1:$AT$1,),)</f>
        <v/>
      </c>
      <c r="J80" s="26">
        <f>VLOOKUP(B80,'Data qoq'!$A:$AT,MATCH($J$1,'Data qoq'!$A$1:$AT$1,),)</f>
        <v/>
      </c>
      <c r="K80" s="26">
        <f>VLOOKUP(B80,'Data qoq'!$A:$AT,MATCH($K$1,'Data qoq'!$A$1:$AT$1,),)</f>
        <v/>
      </c>
      <c r="L80" s="26">
        <f>VLOOKUP(B80,'Data qoq'!$A:$AT,MATCH($L$1,'Data qoq'!$A$1:$AT$1,),)</f>
        <v/>
      </c>
      <c r="M80" s="26">
        <f>VLOOKUP(B80,'Data qoq'!$A:$AT,MATCH($M$1,'Data qoq'!$A$1:$AT$1,),)</f>
        <v/>
      </c>
      <c r="N80" s="26">
        <f>VLOOKUP(B80,'Data qoq'!$A:$AT,MATCH($N$1,'Data qoq'!$A$1:$AT$1,),)</f>
        <v/>
      </c>
      <c r="O80" s="26">
        <f>VLOOKUP(B80,'Data qoq'!$A:$AT,MATCH($O$1,'Data qoq'!$J$1:$AT$1,),)</f>
        <v/>
      </c>
      <c r="P80" s="26">
        <f>VLOOKUP(B80,'Data qoq'!$A:$AT,MATCH($P$1,'Data qoq'!$A$1:$AT$1,),)</f>
        <v/>
      </c>
      <c r="Q80" s="26">
        <f>VLOOKUP(B80,'Data qoq'!$A:$AT,MATCH($Q$1,'Data qoq'!$A$1:$AT$1,),)</f>
        <v/>
      </c>
      <c r="R80" s="26">
        <f>VLOOKUP(B80,'Data qoq'!$A:$AT,MATCH($R$1,'Data qoq'!$A$1:$AT$1,),)</f>
        <v/>
      </c>
      <c r="S80" s="26">
        <f>VLOOKUP(B80,'Data qoq'!$A:$AT,MATCH($S$1,'Data qoq'!$A$1:$AT$1,),)</f>
        <v/>
      </c>
      <c r="T80" s="26">
        <f>VLOOKUP(B80,'Data qoq'!$A:$AT,MATCH($T$1,'Data qoq'!$A$1:$AT$1,),)</f>
        <v/>
      </c>
      <c r="U80" s="26">
        <f>VLOOKUP(B80,'Data qoq'!$A:$AT,MATCH($U$1,'Data qoq'!$A$1:$AT$1,),)</f>
        <v/>
      </c>
      <c r="V80" s="26">
        <f>VLOOKUP(B80,'Data qoq'!$A:$AT,MATCH($V$1,'Data qoq'!$A$1:$AT$1,),)</f>
        <v/>
      </c>
      <c r="W80" s="26">
        <f>VLOOKUP(B80,'Data qoq'!$A:$AT,MATCH($W$1,'Data qoq'!$A$1:$AT$1,),)</f>
        <v/>
      </c>
      <c r="X80" s="26">
        <f>VLOOKUP(B80,'Data qoq'!$A:$AT,MATCH($X$1,'Data qoq'!$A$1:$AT$1,),)</f>
        <v/>
      </c>
      <c r="Y80" s="26">
        <f>VLOOKUP(B80,'Data qoq'!$A:$AT,MATCH($Y$1,'Data qoq'!$A$1:$AT$1,),)</f>
        <v/>
      </c>
      <c r="Z80" s="26">
        <f>VLOOKUP(B80,'Data qoq'!$A:$AU,MATCH($Z$1,'Data qoq'!$A$1:$AU$1,),)</f>
        <v/>
      </c>
      <c r="AA80" s="26">
        <f>VLOOKUP(B80,'Data qoq'!$A:$AU,MATCH($AA$1,'Data qoq'!$A$1:$AU$1,),)</f>
        <v/>
      </c>
      <c r="AC80" s="27">
        <f>B80</f>
        <v/>
      </c>
      <c r="AD80" s="28">
        <f>(VLOOKUP(AC80,B:Y,MATCH($AE$6,$B$1:$Y$1,),))-(VLOOKUP(AC80,B:Y,MATCH($AE$7,$B$1:$Y$1,),))</f>
        <v/>
      </c>
      <c r="AE80" s="28">
        <f>C80-G80</f>
        <v/>
      </c>
    </row>
    <row r="81">
      <c r="B81" s="25" t="inlineStr">
        <is>
          <t>2017-Q3</t>
        </is>
      </c>
      <c r="C81" s="26">
        <f>VLOOKUP(B81,'Data qoq'!$A:$AT,MATCH($C$1,'Data qoq'!$A$1:$AT$1,),)</f>
        <v/>
      </c>
      <c r="D81" s="26">
        <f>VLOOKUP(B81,'Data qoq'!$A:$AT,MATCH($D$1,'Data qoq'!$A$1:$AT$1,),)</f>
        <v/>
      </c>
      <c r="E81" s="26">
        <f>VLOOKUP(B81,'Data qoq'!$A:$AT,MATCH($E$1,'Data qoq'!$A$1:$AT$1,),)</f>
        <v/>
      </c>
      <c r="F81" s="26">
        <f>VLOOKUP(B81,'Data qoq'!$A:$AT,MATCH($F$1,'Data qoq'!$A$1:$AT$1,),)</f>
        <v/>
      </c>
      <c r="G81" s="26">
        <f>VLOOKUP(B81,'Data qoq'!$A:$AT,MATCH($G$1,'Data qoq'!$A$1:$AT$1,),)</f>
        <v/>
      </c>
      <c r="H81" s="26">
        <f>VLOOKUP(B81,'Data qoq'!$A:$AT,MATCH($H$1,'Data qoq'!$A$1:$AT$1,),)</f>
        <v/>
      </c>
      <c r="I81" s="26">
        <f>VLOOKUP(B81,'Data qoq'!$A:$AT,MATCH($I$1,'Data qoq'!$A$1:$AT$1,),)</f>
        <v/>
      </c>
      <c r="J81" s="26">
        <f>VLOOKUP(B81,'Data qoq'!$A:$AT,MATCH($J$1,'Data qoq'!$A$1:$AT$1,),)</f>
        <v/>
      </c>
      <c r="K81" s="26">
        <f>VLOOKUP(B81,'Data qoq'!$A:$AT,MATCH($K$1,'Data qoq'!$A$1:$AT$1,),)</f>
        <v/>
      </c>
      <c r="L81" s="26">
        <f>VLOOKUP(B81,'Data qoq'!$A:$AT,MATCH($L$1,'Data qoq'!$A$1:$AT$1,),)</f>
        <v/>
      </c>
      <c r="M81" s="26">
        <f>VLOOKUP(B81,'Data qoq'!$A:$AT,MATCH($M$1,'Data qoq'!$A$1:$AT$1,),)</f>
        <v/>
      </c>
      <c r="N81" s="26">
        <f>VLOOKUP(B81,'Data qoq'!$A:$AT,MATCH($N$1,'Data qoq'!$A$1:$AT$1,),)</f>
        <v/>
      </c>
      <c r="O81" s="26">
        <f>VLOOKUP(B81,'Data qoq'!$A:$AT,MATCH($O$1,'Data qoq'!$J$1:$AT$1,),)</f>
        <v/>
      </c>
      <c r="P81" s="26">
        <f>VLOOKUP(B81,'Data qoq'!$A:$AT,MATCH($P$1,'Data qoq'!$A$1:$AT$1,),)</f>
        <v/>
      </c>
      <c r="Q81" s="26">
        <f>VLOOKUP(B81,'Data qoq'!$A:$AT,MATCH($Q$1,'Data qoq'!$A$1:$AT$1,),)</f>
        <v/>
      </c>
      <c r="R81" s="26">
        <f>VLOOKUP(B81,'Data qoq'!$A:$AT,MATCH($R$1,'Data qoq'!$A$1:$AT$1,),)</f>
        <v/>
      </c>
      <c r="S81" s="26">
        <f>VLOOKUP(B81,'Data qoq'!$A:$AT,MATCH($S$1,'Data qoq'!$A$1:$AT$1,),)</f>
        <v/>
      </c>
      <c r="T81" s="26">
        <f>VLOOKUP(B81,'Data qoq'!$A:$AT,MATCH($T$1,'Data qoq'!$A$1:$AT$1,),)</f>
        <v/>
      </c>
      <c r="U81" s="26">
        <f>VLOOKUP(B81,'Data qoq'!$A:$AT,MATCH($U$1,'Data qoq'!$A$1:$AT$1,),)</f>
        <v/>
      </c>
      <c r="V81" s="26">
        <f>VLOOKUP(B81,'Data qoq'!$A:$AT,MATCH($V$1,'Data qoq'!$A$1:$AT$1,),)</f>
        <v/>
      </c>
      <c r="W81" s="26">
        <f>VLOOKUP(B81,'Data qoq'!$A:$AT,MATCH($W$1,'Data qoq'!$A$1:$AT$1,),)</f>
        <v/>
      </c>
      <c r="X81" s="26">
        <f>VLOOKUP(B81,'Data qoq'!$A:$AT,MATCH($X$1,'Data qoq'!$A$1:$AT$1,),)</f>
        <v/>
      </c>
      <c r="Y81" s="26">
        <f>VLOOKUP(B81,'Data qoq'!$A:$AT,MATCH($Y$1,'Data qoq'!$A$1:$AT$1,),)</f>
        <v/>
      </c>
      <c r="Z81" s="26">
        <f>VLOOKUP(B81,'Data qoq'!$A:$AU,MATCH($Z$1,'Data qoq'!$A$1:$AU$1,),)</f>
        <v/>
      </c>
      <c r="AA81" s="26">
        <f>VLOOKUP(B81,'Data qoq'!$A:$AU,MATCH($AA$1,'Data qoq'!$A$1:$AU$1,),)</f>
        <v/>
      </c>
      <c r="AC81" s="27">
        <f>B81</f>
        <v/>
      </c>
      <c r="AD81" s="28">
        <f>(VLOOKUP(AC81,B:Y,MATCH($AE$6,$B$1:$Y$1,),))-(VLOOKUP(AC81,B:Y,MATCH($AE$7,$B$1:$Y$1,),))</f>
        <v/>
      </c>
      <c r="AE81" s="28">
        <f>C81-G81</f>
        <v/>
      </c>
    </row>
    <row r="82">
      <c r="B82" s="25" t="inlineStr">
        <is>
          <t>2017-Q4</t>
        </is>
      </c>
      <c r="C82" s="26">
        <f>VLOOKUP(B82,'Data qoq'!$A:$AT,MATCH($C$1,'Data qoq'!$A$1:$AT$1,),)</f>
        <v/>
      </c>
      <c r="D82" s="26">
        <f>VLOOKUP(B82,'Data qoq'!$A:$AT,MATCH($D$1,'Data qoq'!$A$1:$AT$1,),)</f>
        <v/>
      </c>
      <c r="E82" s="26">
        <f>VLOOKUP(B82,'Data qoq'!$A:$AT,MATCH($E$1,'Data qoq'!$A$1:$AT$1,),)</f>
        <v/>
      </c>
      <c r="F82" s="26">
        <f>VLOOKUP(B82,'Data qoq'!$A:$AT,MATCH($F$1,'Data qoq'!$A$1:$AT$1,),)</f>
        <v/>
      </c>
      <c r="G82" s="26">
        <f>VLOOKUP(B82,'Data qoq'!$A:$AT,MATCH($G$1,'Data qoq'!$A$1:$AT$1,),)</f>
        <v/>
      </c>
      <c r="H82" s="26">
        <f>VLOOKUP(B82,'Data qoq'!$A:$AT,MATCH($H$1,'Data qoq'!$A$1:$AT$1,),)</f>
        <v/>
      </c>
      <c r="I82" s="26">
        <f>VLOOKUP(B82,'Data qoq'!$A:$AT,MATCH($I$1,'Data qoq'!$A$1:$AT$1,),)</f>
        <v/>
      </c>
      <c r="J82" s="26">
        <f>VLOOKUP(B82,'Data qoq'!$A:$AT,MATCH($J$1,'Data qoq'!$A$1:$AT$1,),)</f>
        <v/>
      </c>
      <c r="K82" s="26">
        <f>VLOOKUP(B82,'Data qoq'!$A:$AT,MATCH($K$1,'Data qoq'!$A$1:$AT$1,),)</f>
        <v/>
      </c>
      <c r="L82" s="26">
        <f>VLOOKUP(B82,'Data qoq'!$A:$AT,MATCH($L$1,'Data qoq'!$A$1:$AT$1,),)</f>
        <v/>
      </c>
      <c r="M82" s="26">
        <f>VLOOKUP(B82,'Data qoq'!$A:$AT,MATCH($M$1,'Data qoq'!$A$1:$AT$1,),)</f>
        <v/>
      </c>
      <c r="N82" s="26">
        <f>VLOOKUP(B82,'Data qoq'!$A:$AT,MATCH($N$1,'Data qoq'!$A$1:$AT$1,),)</f>
        <v/>
      </c>
      <c r="O82" s="26">
        <f>VLOOKUP(B82,'Data qoq'!$A:$AT,MATCH($O$1,'Data qoq'!$J$1:$AT$1,),)</f>
        <v/>
      </c>
      <c r="P82" s="26">
        <f>VLOOKUP(B82,'Data qoq'!$A:$AT,MATCH($P$1,'Data qoq'!$A$1:$AT$1,),)</f>
        <v/>
      </c>
      <c r="Q82" s="26">
        <f>VLOOKUP(B82,'Data qoq'!$A:$AT,MATCH($Q$1,'Data qoq'!$A$1:$AT$1,),)</f>
        <v/>
      </c>
      <c r="R82" s="26">
        <f>VLOOKUP(B82,'Data qoq'!$A:$AT,MATCH($R$1,'Data qoq'!$A$1:$AT$1,),)</f>
        <v/>
      </c>
      <c r="S82" s="26">
        <f>VLOOKUP(B82,'Data qoq'!$A:$AT,MATCH($S$1,'Data qoq'!$A$1:$AT$1,),)</f>
        <v/>
      </c>
      <c r="T82" s="26">
        <f>VLOOKUP(B82,'Data qoq'!$A:$AT,MATCH($T$1,'Data qoq'!$A$1:$AT$1,),)</f>
        <v/>
      </c>
      <c r="U82" s="26">
        <f>VLOOKUP(B82,'Data qoq'!$A:$AT,MATCH($U$1,'Data qoq'!$A$1:$AT$1,),)</f>
        <v/>
      </c>
      <c r="V82" s="26">
        <f>VLOOKUP(B82,'Data qoq'!$A:$AT,MATCH($V$1,'Data qoq'!$A$1:$AT$1,),)</f>
        <v/>
      </c>
      <c r="W82" s="26">
        <f>VLOOKUP(B82,'Data qoq'!$A:$AT,MATCH($W$1,'Data qoq'!$A$1:$AT$1,),)</f>
        <v/>
      </c>
      <c r="X82" s="26">
        <f>VLOOKUP(B82,'Data qoq'!$A:$AT,MATCH($X$1,'Data qoq'!$A$1:$AT$1,),)</f>
        <v/>
      </c>
      <c r="Y82" s="26">
        <f>VLOOKUP(B82,'Data qoq'!$A:$AT,MATCH($Y$1,'Data qoq'!$A$1:$AT$1,),)</f>
        <v/>
      </c>
      <c r="Z82" s="26">
        <f>VLOOKUP(B82,'Data qoq'!$A:$AU,MATCH($Z$1,'Data qoq'!$A$1:$AU$1,),)</f>
        <v/>
      </c>
      <c r="AA82" s="26">
        <f>VLOOKUP(B82,'Data qoq'!$A:$AU,MATCH($AA$1,'Data qoq'!$A$1:$AU$1,),)</f>
        <v/>
      </c>
      <c r="AC82" s="27">
        <f>B82</f>
        <v/>
      </c>
      <c r="AD82" s="28">
        <f>(VLOOKUP(AC82,B:Y,MATCH($AE$6,$B$1:$Y$1,),))-(VLOOKUP(AC82,B:Y,MATCH($AE$7,$B$1:$Y$1,),))</f>
        <v/>
      </c>
      <c r="AE82" s="28">
        <f>C82-G82</f>
        <v/>
      </c>
    </row>
    <row r="83">
      <c r="B83" s="25" t="inlineStr">
        <is>
          <t>2018-Q1</t>
        </is>
      </c>
      <c r="C83" s="26">
        <f>VLOOKUP(B83,'Data qoq'!$A:$AT,MATCH($C$1,'Data qoq'!$A$1:$AT$1,),)</f>
        <v/>
      </c>
      <c r="D83" s="26">
        <f>VLOOKUP(B83,'Data qoq'!$A:$AT,MATCH($D$1,'Data qoq'!$A$1:$AT$1,),)</f>
        <v/>
      </c>
      <c r="E83" s="26">
        <f>VLOOKUP(B83,'Data qoq'!$A:$AT,MATCH($E$1,'Data qoq'!$A$1:$AT$1,),)</f>
        <v/>
      </c>
      <c r="F83" s="26">
        <f>VLOOKUP(B83,'Data qoq'!$A:$AT,MATCH($F$1,'Data qoq'!$A$1:$AT$1,),)</f>
        <v/>
      </c>
      <c r="G83" s="26">
        <f>VLOOKUP(B83,'Data qoq'!$A:$AT,MATCH($G$1,'Data qoq'!$A$1:$AT$1,),)</f>
        <v/>
      </c>
      <c r="H83" s="26">
        <f>VLOOKUP(B83,'Data qoq'!$A:$AT,MATCH($H$1,'Data qoq'!$A$1:$AT$1,),)</f>
        <v/>
      </c>
      <c r="I83" s="26">
        <f>VLOOKUP(B83,'Data qoq'!$A:$AT,MATCH($I$1,'Data qoq'!$A$1:$AT$1,),)</f>
        <v/>
      </c>
      <c r="J83" s="26">
        <f>VLOOKUP(B83,'Data qoq'!$A:$AT,MATCH($J$1,'Data qoq'!$A$1:$AT$1,),)</f>
        <v/>
      </c>
      <c r="K83" s="26">
        <f>VLOOKUP(B83,'Data qoq'!$A:$AT,MATCH($K$1,'Data qoq'!$A$1:$AT$1,),)</f>
        <v/>
      </c>
      <c r="L83" s="26">
        <f>VLOOKUP(B83,'Data qoq'!$A:$AT,MATCH($L$1,'Data qoq'!$A$1:$AT$1,),)</f>
        <v/>
      </c>
      <c r="M83" s="26">
        <f>VLOOKUP(B83,'Data qoq'!$A:$AT,MATCH($M$1,'Data qoq'!$A$1:$AT$1,),)</f>
        <v/>
      </c>
      <c r="N83" s="26">
        <f>VLOOKUP(B83,'Data qoq'!$A:$AT,MATCH($N$1,'Data qoq'!$A$1:$AT$1,),)</f>
        <v/>
      </c>
      <c r="O83" s="26">
        <f>VLOOKUP(B83,'Data qoq'!$A:$AT,MATCH($O$1,'Data qoq'!$J$1:$AT$1,),)</f>
        <v/>
      </c>
      <c r="P83" s="26">
        <f>VLOOKUP(B83,'Data qoq'!$A:$AT,MATCH($P$1,'Data qoq'!$A$1:$AT$1,),)</f>
        <v/>
      </c>
      <c r="Q83" s="26">
        <f>VLOOKUP(B83,'Data qoq'!$A:$AT,MATCH($Q$1,'Data qoq'!$A$1:$AT$1,),)</f>
        <v/>
      </c>
      <c r="R83" s="26">
        <f>VLOOKUP(B83,'Data qoq'!$A:$AT,MATCH($R$1,'Data qoq'!$A$1:$AT$1,),)</f>
        <v/>
      </c>
      <c r="S83" s="26">
        <f>VLOOKUP(B83,'Data qoq'!$A:$AT,MATCH($S$1,'Data qoq'!$A$1:$AT$1,),)</f>
        <v/>
      </c>
      <c r="T83" s="26">
        <f>VLOOKUP(B83,'Data qoq'!$A:$AT,MATCH($T$1,'Data qoq'!$A$1:$AT$1,),)</f>
        <v/>
      </c>
      <c r="U83" s="26">
        <f>VLOOKUP(B83,'Data qoq'!$A:$AT,MATCH($U$1,'Data qoq'!$A$1:$AT$1,),)</f>
        <v/>
      </c>
      <c r="V83" s="26">
        <f>VLOOKUP(B83,'Data qoq'!$A:$AT,MATCH($V$1,'Data qoq'!$A$1:$AT$1,),)</f>
        <v/>
      </c>
      <c r="W83" s="26">
        <f>VLOOKUP(B83,'Data qoq'!$A:$AT,MATCH($W$1,'Data qoq'!$A$1:$AT$1,),)</f>
        <v/>
      </c>
      <c r="X83" s="26">
        <f>VLOOKUP(B83,'Data qoq'!$A:$AT,MATCH($X$1,'Data qoq'!$A$1:$AT$1,),)</f>
        <v/>
      </c>
      <c r="Y83" s="26">
        <f>VLOOKUP(B83,'Data qoq'!$A:$AT,MATCH($Y$1,'Data qoq'!$A$1:$AT$1,),)</f>
        <v/>
      </c>
      <c r="Z83" s="26">
        <f>VLOOKUP(B83,'Data qoq'!$A:$AU,MATCH($Z$1,'Data qoq'!$A$1:$AU$1,),)</f>
        <v/>
      </c>
      <c r="AA83" s="26">
        <f>VLOOKUP(B83,'Data qoq'!$A:$AU,MATCH($AA$1,'Data qoq'!$A$1:$AU$1,),)</f>
        <v/>
      </c>
      <c r="AC83" s="27">
        <f>B83</f>
        <v/>
      </c>
      <c r="AD83" s="28">
        <f>(VLOOKUP(AC83,B:Y,MATCH($AE$6,$B$1:$Y$1,),))-(VLOOKUP(AC83,B:Y,MATCH($AE$7,$B$1:$Y$1,),))</f>
        <v/>
      </c>
      <c r="AE83" s="28">
        <f>C83-G83</f>
        <v/>
      </c>
    </row>
    <row r="84" customFormat="1" s="93">
      <c r="B84" s="25" t="inlineStr">
        <is>
          <t>2018-Q2</t>
        </is>
      </c>
      <c r="C84" s="26">
        <f>VLOOKUP(B84,'Data qoq'!$A:$AT,MATCH($C$1,'Data qoq'!$A$1:$AT$1,),)</f>
        <v/>
      </c>
      <c r="D84" s="26">
        <f>VLOOKUP(B84,'Data qoq'!$A:$AT,MATCH($D$1,'Data qoq'!$A$1:$AT$1,),)</f>
        <v/>
      </c>
      <c r="E84" s="26">
        <f>VLOOKUP(B84,'Data qoq'!$A:$AT,MATCH($E$1,'Data qoq'!$A$1:$AT$1,),)</f>
        <v/>
      </c>
      <c r="F84" s="26">
        <f>VLOOKUP(B84,'Data qoq'!$A:$AT,MATCH($F$1,'Data qoq'!$A$1:$AT$1,),)</f>
        <v/>
      </c>
      <c r="G84" s="26">
        <f>VLOOKUP(B84,'Data qoq'!$A:$AT,MATCH($G$1,'Data qoq'!$A$1:$AT$1,),)</f>
        <v/>
      </c>
      <c r="H84" s="26">
        <f>VLOOKUP(B84,'Data qoq'!$A:$AT,MATCH($H$1,'Data qoq'!$A$1:$AT$1,),)</f>
        <v/>
      </c>
      <c r="I84" s="26">
        <f>VLOOKUP(B84,'Data qoq'!$A:$AT,MATCH($I$1,'Data qoq'!$A$1:$AT$1,),)</f>
        <v/>
      </c>
      <c r="J84" s="26">
        <f>VLOOKUP(B84,'Data qoq'!$A:$AT,MATCH($J$1,'Data qoq'!$A$1:$AT$1,),)</f>
        <v/>
      </c>
      <c r="K84" s="26">
        <f>VLOOKUP(B84,'Data qoq'!$A:$AT,MATCH($K$1,'Data qoq'!$A$1:$AT$1,),)</f>
        <v/>
      </c>
      <c r="L84" s="26">
        <f>VLOOKUP(B84,'Data qoq'!$A:$AT,MATCH($L$1,'Data qoq'!$A$1:$AT$1,),)</f>
        <v/>
      </c>
      <c r="M84" s="26">
        <f>VLOOKUP(B84,'Data qoq'!$A:$AT,MATCH($M$1,'Data qoq'!$A$1:$AT$1,),)</f>
        <v/>
      </c>
      <c r="N84" s="26">
        <f>VLOOKUP(B84,'Data qoq'!$A:$AT,MATCH($N$1,'Data qoq'!$A$1:$AT$1,),)</f>
        <v/>
      </c>
      <c r="O84" s="26">
        <f>VLOOKUP(B84,'Data qoq'!$A:$AT,MATCH($O$1,'Data qoq'!$J$1:$AT$1,),)</f>
        <v/>
      </c>
      <c r="P84" s="26">
        <f>VLOOKUP(B84,'Data qoq'!$A:$AT,MATCH($P$1,'Data qoq'!$A$1:$AT$1,),)</f>
        <v/>
      </c>
      <c r="Q84" s="26">
        <f>VLOOKUP(B84,'Data qoq'!$A:$AT,MATCH($Q$1,'Data qoq'!$A$1:$AT$1,),)</f>
        <v/>
      </c>
      <c r="R84" s="26">
        <f>VLOOKUP(B84,'Data qoq'!$A:$AT,MATCH($R$1,'Data qoq'!$A$1:$AT$1,),)</f>
        <v/>
      </c>
      <c r="S84" s="26">
        <f>VLOOKUP(B84,'Data qoq'!$A:$AT,MATCH($S$1,'Data qoq'!$A$1:$AT$1,),)</f>
        <v/>
      </c>
      <c r="T84" s="26">
        <f>VLOOKUP(B84,'Data qoq'!$A:$AT,MATCH($T$1,'Data qoq'!$A$1:$AT$1,),)</f>
        <v/>
      </c>
      <c r="U84" s="26">
        <f>VLOOKUP(B84,'Data qoq'!$A:$AT,MATCH($U$1,'Data qoq'!$A$1:$AT$1,),)</f>
        <v/>
      </c>
      <c r="V84" s="26">
        <f>VLOOKUP(B84,'Data qoq'!$A:$AT,MATCH($V$1,'Data qoq'!$A$1:$AT$1,),)</f>
        <v/>
      </c>
      <c r="W84" s="26">
        <f>VLOOKUP(B84,'Data qoq'!$A:$AT,MATCH($W$1,'Data qoq'!$A$1:$AT$1,),)</f>
        <v/>
      </c>
      <c r="X84" s="26">
        <f>VLOOKUP(B84,'Data qoq'!$A:$AT,MATCH($X$1,'Data qoq'!$A$1:$AT$1,),)</f>
        <v/>
      </c>
      <c r="Y84" s="26">
        <f>VLOOKUP(B84,'Data qoq'!$A:$AT,MATCH($Y$1,'Data qoq'!$A$1:$AT$1,),)</f>
        <v/>
      </c>
      <c r="Z84" s="26">
        <f>VLOOKUP(B84,'Data qoq'!$A:$AU,MATCH($Z$1,'Data qoq'!$A$1:$AU$1,),)</f>
        <v/>
      </c>
      <c r="AA84" s="26">
        <f>VLOOKUP(B84,'Data qoq'!$A:$AU,MATCH($AA$1,'Data qoq'!$A$1:$AU$1,),)</f>
        <v/>
      </c>
      <c r="AC84" s="27">
        <f>B84</f>
        <v/>
      </c>
      <c r="AD84" s="28">
        <f>(VLOOKUP(AC84,B:Y,MATCH($AE$6,$B$1:$Y$1,),))-(VLOOKUP(AC84,B:Y,MATCH($AE$7,$B$1:$Y$1,),))</f>
        <v/>
      </c>
      <c r="AE84" s="28">
        <f>C84-G84</f>
        <v/>
      </c>
    </row>
    <row r="85" customFormat="1" s="93">
      <c r="B85" s="25" t="inlineStr">
        <is>
          <t>2018-Q3</t>
        </is>
      </c>
      <c r="C85" s="26">
        <f>VLOOKUP(B85,'Data qoq'!$A:$AT,MATCH($C$1,'Data qoq'!$A$1:$AT$1,),)</f>
        <v/>
      </c>
      <c r="D85" s="26">
        <f>VLOOKUP(B85,'Data qoq'!$A:$AT,MATCH($D$1,'Data qoq'!$A$1:$AT$1,),)</f>
        <v/>
      </c>
      <c r="E85" s="26">
        <f>VLOOKUP(B85,'Data qoq'!$A:$AT,MATCH($E$1,'Data qoq'!$A$1:$AT$1,),)</f>
        <v/>
      </c>
      <c r="F85" s="26">
        <f>VLOOKUP(B85,'Data qoq'!$A:$AT,MATCH($F$1,'Data qoq'!$A$1:$AT$1,),)</f>
        <v/>
      </c>
      <c r="G85" s="26">
        <f>VLOOKUP(B85,'Data qoq'!$A:$AT,MATCH($G$1,'Data qoq'!$A$1:$AT$1,),)</f>
        <v/>
      </c>
      <c r="H85" s="26">
        <f>VLOOKUP(B85,'Data qoq'!$A:$AT,MATCH($H$1,'Data qoq'!$A$1:$AT$1,),)</f>
        <v/>
      </c>
      <c r="I85" s="26">
        <f>VLOOKUP(B85,'Data qoq'!$A:$AT,MATCH($I$1,'Data qoq'!$A$1:$AT$1,),)</f>
        <v/>
      </c>
      <c r="J85" s="26">
        <f>VLOOKUP(B85,'Data qoq'!$A:$AT,MATCH($J$1,'Data qoq'!$A$1:$AT$1,),)</f>
        <v/>
      </c>
      <c r="K85" s="26">
        <f>VLOOKUP(B85,'Data qoq'!$A:$AT,MATCH($K$1,'Data qoq'!$A$1:$AT$1,),)</f>
        <v/>
      </c>
      <c r="L85" s="26">
        <f>VLOOKUP(B85,'Data qoq'!$A:$AT,MATCH($L$1,'Data qoq'!$A$1:$AT$1,),)</f>
        <v/>
      </c>
      <c r="M85" s="26">
        <f>VLOOKUP(B85,'Data qoq'!$A:$AT,MATCH($M$1,'Data qoq'!$A$1:$AT$1,),)</f>
        <v/>
      </c>
      <c r="N85" s="26">
        <f>VLOOKUP(B85,'Data qoq'!$A:$AT,MATCH($N$1,'Data qoq'!$A$1:$AT$1,),)</f>
        <v/>
      </c>
      <c r="O85" s="26">
        <f>VLOOKUP(B85,'Data qoq'!$A:$AT,MATCH($O$1,'Data qoq'!$J$1:$AT$1,),)</f>
        <v/>
      </c>
      <c r="P85" s="26">
        <f>VLOOKUP(B85,'Data qoq'!$A:$AT,MATCH($P$1,'Data qoq'!$A$1:$AT$1,),)</f>
        <v/>
      </c>
      <c r="Q85" s="26">
        <f>VLOOKUP(B85,'Data qoq'!$A:$AT,MATCH($Q$1,'Data qoq'!$A$1:$AT$1,),)</f>
        <v/>
      </c>
      <c r="R85" s="26">
        <f>VLOOKUP(B85,'Data qoq'!$A:$AT,MATCH($R$1,'Data qoq'!$A$1:$AT$1,),)</f>
        <v/>
      </c>
      <c r="S85" s="26">
        <f>VLOOKUP(B85,'Data qoq'!$A:$AT,MATCH($S$1,'Data qoq'!$A$1:$AT$1,),)</f>
        <v/>
      </c>
      <c r="T85" s="26">
        <f>VLOOKUP(B85,'Data qoq'!$A:$AT,MATCH($T$1,'Data qoq'!$A$1:$AT$1,),)</f>
        <v/>
      </c>
      <c r="U85" s="26">
        <f>VLOOKUP(B85,'Data qoq'!$A:$AT,MATCH($U$1,'Data qoq'!$A$1:$AT$1,),)</f>
        <v/>
      </c>
      <c r="V85" s="26">
        <f>VLOOKUP(B85,'Data qoq'!$A:$AT,MATCH($V$1,'Data qoq'!$A$1:$AT$1,),)</f>
        <v/>
      </c>
      <c r="W85" s="26">
        <f>VLOOKUP(B85,'Data qoq'!$A:$AT,MATCH($W$1,'Data qoq'!$A$1:$AT$1,),)</f>
        <v/>
      </c>
      <c r="X85" s="26">
        <f>VLOOKUP(B85,'Data qoq'!$A:$AT,MATCH($X$1,'Data qoq'!$A$1:$AT$1,),)</f>
        <v/>
      </c>
      <c r="Y85" s="26">
        <f>VLOOKUP(B85,'Data qoq'!$A:$AT,MATCH($Y$1,'Data qoq'!$A$1:$AT$1,),)</f>
        <v/>
      </c>
      <c r="Z85" s="26">
        <f>VLOOKUP(B85,'Data qoq'!$A:$AU,MATCH($Z$1,'Data qoq'!$A$1:$AU$1,),)</f>
        <v/>
      </c>
      <c r="AA85" s="26">
        <f>VLOOKUP(B85,'Data qoq'!$A:$AU,MATCH($AA$1,'Data qoq'!$A$1:$AU$1,),)</f>
        <v/>
      </c>
      <c r="AC85" s="27">
        <f>B85</f>
        <v/>
      </c>
      <c r="AD85" s="28">
        <f>(VLOOKUP(AC85,B:Y,MATCH($AE$6,$B$1:$Y$1,),))-(VLOOKUP(AC85,B:Y,MATCH($AE$7,$B$1:$Y$1,),))</f>
        <v/>
      </c>
      <c r="AE85" s="28">
        <f>C85-G85</f>
        <v/>
      </c>
    </row>
    <row r="86" customFormat="1" s="93">
      <c r="B86" s="25" t="inlineStr">
        <is>
          <t>2018-Q4</t>
        </is>
      </c>
      <c r="C86" s="26">
        <f>VLOOKUP(B86,'Data qoq'!$A:$AT,MATCH($C$1,'Data qoq'!$A$1:$AT$1,),)</f>
        <v/>
      </c>
      <c r="D86" s="26">
        <f>VLOOKUP(B86,'Data qoq'!$A:$AT,MATCH($D$1,'Data qoq'!$A$1:$AT$1,),)</f>
        <v/>
      </c>
      <c r="E86" s="26">
        <f>VLOOKUP(B86,'Data qoq'!$A:$AT,MATCH($E$1,'Data qoq'!$A$1:$AT$1,),)</f>
        <v/>
      </c>
      <c r="F86" s="26">
        <f>VLOOKUP(B86,'Data qoq'!$A:$AT,MATCH($F$1,'Data qoq'!$A$1:$AT$1,),)</f>
        <v/>
      </c>
      <c r="G86" s="26">
        <f>VLOOKUP(B86,'Data qoq'!$A:$AT,MATCH($G$1,'Data qoq'!$A$1:$AT$1,),)</f>
        <v/>
      </c>
      <c r="H86" s="26">
        <f>VLOOKUP(B86,'Data qoq'!$A:$AT,MATCH($H$1,'Data qoq'!$A$1:$AT$1,),)</f>
        <v/>
      </c>
      <c r="I86" s="26">
        <f>VLOOKUP(B86,'Data qoq'!$A:$AT,MATCH($I$1,'Data qoq'!$A$1:$AT$1,),)</f>
        <v/>
      </c>
      <c r="J86" s="26">
        <f>VLOOKUP(B86,'Data qoq'!$A:$AT,MATCH($J$1,'Data qoq'!$A$1:$AT$1,),)</f>
        <v/>
      </c>
      <c r="K86" s="26">
        <f>VLOOKUP(B86,'Data qoq'!$A:$AT,MATCH($K$1,'Data qoq'!$A$1:$AT$1,),)</f>
        <v/>
      </c>
      <c r="L86" s="26">
        <f>VLOOKUP(B86,'Data qoq'!$A:$AT,MATCH($L$1,'Data qoq'!$A$1:$AT$1,),)</f>
        <v/>
      </c>
      <c r="M86" s="26">
        <f>VLOOKUP(B86,'Data qoq'!$A:$AT,MATCH($M$1,'Data qoq'!$A$1:$AT$1,),)</f>
        <v/>
      </c>
      <c r="N86" s="26">
        <f>VLOOKUP(B86,'Data qoq'!$A:$AT,MATCH($N$1,'Data qoq'!$A$1:$AT$1,),)</f>
        <v/>
      </c>
      <c r="O86" s="26">
        <f>VLOOKUP(B86,'Data qoq'!$A:$AT,MATCH($O$1,'Data qoq'!$J$1:$AT$1,),)</f>
        <v/>
      </c>
      <c r="P86" s="26">
        <f>VLOOKUP(B86,'Data qoq'!$A:$AT,MATCH($P$1,'Data qoq'!$A$1:$AT$1,),)</f>
        <v/>
      </c>
      <c r="Q86" s="26">
        <f>VLOOKUP(B86,'Data qoq'!$A:$AT,MATCH($Q$1,'Data qoq'!$A$1:$AT$1,),)</f>
        <v/>
      </c>
      <c r="R86" s="26">
        <f>VLOOKUP(B86,'Data qoq'!$A:$AT,MATCH($R$1,'Data qoq'!$A$1:$AT$1,),)</f>
        <v/>
      </c>
      <c r="S86" s="26">
        <f>VLOOKUP(B86,'Data qoq'!$A:$AT,MATCH($S$1,'Data qoq'!$A$1:$AT$1,),)</f>
        <v/>
      </c>
      <c r="T86" s="26">
        <f>VLOOKUP(B86,'Data qoq'!$A:$AT,MATCH($T$1,'Data qoq'!$A$1:$AT$1,),)</f>
        <v/>
      </c>
      <c r="U86" s="26">
        <f>VLOOKUP(B86,'Data qoq'!$A:$AT,MATCH($U$1,'Data qoq'!$A$1:$AT$1,),)</f>
        <v/>
      </c>
      <c r="V86" s="26">
        <f>VLOOKUP(B86,'Data qoq'!$A:$AT,MATCH($V$1,'Data qoq'!$A$1:$AT$1,),)</f>
        <v/>
      </c>
      <c r="W86" s="26">
        <f>VLOOKUP(B86,'Data qoq'!$A:$AT,MATCH($W$1,'Data qoq'!$A$1:$AT$1,),)</f>
        <v/>
      </c>
      <c r="X86" s="26">
        <f>VLOOKUP(B86,'Data qoq'!$A:$AT,MATCH($X$1,'Data qoq'!$A$1:$AT$1,),)</f>
        <v/>
      </c>
      <c r="Y86" s="26">
        <f>VLOOKUP(B86,'Data qoq'!$A:$AT,MATCH($Y$1,'Data qoq'!$A$1:$AT$1,),)</f>
        <v/>
      </c>
      <c r="Z86" s="26">
        <f>VLOOKUP(B86,'Data qoq'!$A:$AU,MATCH($Z$1,'Data qoq'!$A$1:$AU$1,),)</f>
        <v/>
      </c>
      <c r="AA86" s="26">
        <f>VLOOKUP(B86,'Data qoq'!$A:$AU,MATCH($AA$1,'Data qoq'!$A$1:$AU$1,),)</f>
        <v/>
      </c>
      <c r="AC86" s="27">
        <f>B86</f>
        <v/>
      </c>
      <c r="AD86" s="28">
        <f>(VLOOKUP(AC86,B:Y,MATCH($AE$6,$B$1:$Y$1,),))-(VLOOKUP(AC86,B:Y,MATCH($AE$7,$B$1:$Y$1,),))</f>
        <v/>
      </c>
      <c r="AE86" s="28">
        <f>C86-G86</f>
        <v/>
      </c>
    </row>
    <row r="87" customFormat="1" s="93">
      <c r="B87" s="25" t="inlineStr">
        <is>
          <t>2019-Q1</t>
        </is>
      </c>
      <c r="C87" s="26">
        <f>VLOOKUP(B87,'Data qoq'!$A:$AT,MATCH($C$1,'Data qoq'!$A$1:$AT$1,),)</f>
        <v/>
      </c>
      <c r="D87" s="26">
        <f>VLOOKUP(B87,'Data qoq'!$A:$AT,MATCH($D$1,'Data qoq'!$A$1:$AT$1,),)</f>
        <v/>
      </c>
      <c r="E87" s="26">
        <f>VLOOKUP(B87,'Data qoq'!$A:$AT,MATCH($E$1,'Data qoq'!$A$1:$AT$1,),)</f>
        <v/>
      </c>
      <c r="F87" s="26">
        <f>VLOOKUP(B87,'Data qoq'!$A:$AT,MATCH($F$1,'Data qoq'!$A$1:$AT$1,),)</f>
        <v/>
      </c>
      <c r="G87" s="26">
        <f>VLOOKUP(B87,'Data qoq'!$A:$AT,MATCH($G$1,'Data qoq'!$A$1:$AT$1,),)</f>
        <v/>
      </c>
      <c r="H87" s="26">
        <f>VLOOKUP(B87,'Data qoq'!$A:$AT,MATCH($H$1,'Data qoq'!$A$1:$AT$1,),)</f>
        <v/>
      </c>
      <c r="I87" s="26">
        <f>VLOOKUP(B87,'Data qoq'!$A:$AT,MATCH($I$1,'Data qoq'!$A$1:$AT$1,),)</f>
        <v/>
      </c>
      <c r="J87" s="26">
        <f>VLOOKUP(B87,'Data qoq'!$A:$AT,MATCH($J$1,'Data qoq'!$A$1:$AT$1,),)</f>
        <v/>
      </c>
      <c r="K87" s="26">
        <f>VLOOKUP(B87,'Data qoq'!$A:$AT,MATCH($K$1,'Data qoq'!$A$1:$AT$1,),)</f>
        <v/>
      </c>
      <c r="L87" s="26">
        <f>VLOOKUP(B87,'Data qoq'!$A:$AT,MATCH($L$1,'Data qoq'!$A$1:$AT$1,),)</f>
        <v/>
      </c>
      <c r="M87" s="26">
        <f>VLOOKUP(B87,'Data qoq'!$A:$AT,MATCH($M$1,'Data qoq'!$A$1:$AT$1,),)</f>
        <v/>
      </c>
      <c r="N87" s="26">
        <f>VLOOKUP(B87,'Data qoq'!$A:$AT,MATCH($N$1,'Data qoq'!$A$1:$AT$1,),)</f>
        <v/>
      </c>
      <c r="O87" s="26">
        <f>VLOOKUP(B87,'Data qoq'!$A:$AT,MATCH($O$1,'Data qoq'!$J$1:$AT$1,),)</f>
        <v/>
      </c>
      <c r="P87" s="26">
        <f>VLOOKUP(B87,'Data qoq'!$A:$AT,MATCH($P$1,'Data qoq'!$A$1:$AT$1,),)</f>
        <v/>
      </c>
      <c r="Q87" s="26">
        <f>VLOOKUP(B87,'Data qoq'!$A:$AT,MATCH($Q$1,'Data qoq'!$A$1:$AT$1,),)</f>
        <v/>
      </c>
      <c r="R87" s="26">
        <f>VLOOKUP(B87,'Data qoq'!$A:$AT,MATCH($R$1,'Data qoq'!$A$1:$AT$1,),)</f>
        <v/>
      </c>
      <c r="S87" s="26">
        <f>VLOOKUP(B87,'Data qoq'!$A:$AT,MATCH($S$1,'Data qoq'!$A$1:$AT$1,),)</f>
        <v/>
      </c>
      <c r="T87" s="26">
        <f>VLOOKUP(B87,'Data qoq'!$A:$AT,MATCH($T$1,'Data qoq'!$A$1:$AT$1,),)</f>
        <v/>
      </c>
      <c r="U87" s="26">
        <f>VLOOKUP(B87,'Data qoq'!$A:$AT,MATCH($U$1,'Data qoq'!$A$1:$AT$1,),)</f>
        <v/>
      </c>
      <c r="V87" s="26">
        <f>VLOOKUP(B87,'Data qoq'!$A:$AT,MATCH($V$1,'Data qoq'!$A$1:$AT$1,),)</f>
        <v/>
      </c>
      <c r="W87" s="26">
        <f>VLOOKUP(B87,'Data qoq'!$A:$AT,MATCH($W$1,'Data qoq'!$A$1:$AT$1,),)</f>
        <v/>
      </c>
      <c r="X87" s="26">
        <f>VLOOKUP(B87,'Data qoq'!$A:$AT,MATCH($X$1,'Data qoq'!$A$1:$AT$1,),)</f>
        <v/>
      </c>
      <c r="Y87" s="26">
        <f>VLOOKUP(B87,'Data qoq'!$A:$AT,MATCH($Y$1,'Data qoq'!$A$1:$AT$1,),)</f>
        <v/>
      </c>
      <c r="Z87" s="26">
        <f>VLOOKUP(B87,'Data qoq'!$A:$AU,MATCH($Z$1,'Data qoq'!$A$1:$AU$1,),)</f>
        <v/>
      </c>
      <c r="AA87" s="26">
        <f>VLOOKUP(B87,'Data qoq'!$A:$AU,MATCH($AA$1,'Data qoq'!$A$1:$AU$1,),)</f>
        <v/>
      </c>
      <c r="AC87" s="27">
        <f>B87</f>
        <v/>
      </c>
      <c r="AD87" s="28">
        <f>(VLOOKUP(AC87,B:Y,MATCH($AE$6,$B$1:$Y$1,),))-(VLOOKUP(AC87,B:Y,MATCH($AE$7,$B$1:$Y$1,),))</f>
        <v/>
      </c>
      <c r="AE87" s="28">
        <f>C87-G87</f>
        <v/>
      </c>
    </row>
    <row r="88" customFormat="1" s="93">
      <c r="B88" s="25" t="inlineStr">
        <is>
          <t>2019-Q2</t>
        </is>
      </c>
      <c r="C88" s="26">
        <f>VLOOKUP(B88,'Data qoq'!$A:$AT,MATCH($C$1,'Data qoq'!$A$1:$AT$1,),)</f>
        <v/>
      </c>
      <c r="D88" s="26">
        <f>VLOOKUP(B88,'Data qoq'!$A:$AT,MATCH($D$1,'Data qoq'!$A$1:$AT$1,),)</f>
        <v/>
      </c>
      <c r="E88" s="26">
        <f>VLOOKUP(B88,'Data qoq'!$A:$AT,MATCH($E$1,'Data qoq'!$A$1:$AT$1,),)</f>
        <v/>
      </c>
      <c r="F88" s="26">
        <f>VLOOKUP(B88,'Data qoq'!$A:$AT,MATCH($F$1,'Data qoq'!$A$1:$AT$1,),)</f>
        <v/>
      </c>
      <c r="G88" s="26">
        <f>VLOOKUP(B88,'Data qoq'!$A:$AT,MATCH($G$1,'Data qoq'!$A$1:$AT$1,),)</f>
        <v/>
      </c>
      <c r="H88" s="26">
        <f>VLOOKUP(B88,'Data qoq'!$A:$AT,MATCH($H$1,'Data qoq'!$A$1:$AT$1,),)</f>
        <v/>
      </c>
      <c r="I88" s="26">
        <f>VLOOKUP(B88,'Data qoq'!$A:$AT,MATCH($I$1,'Data qoq'!$A$1:$AT$1,),)</f>
        <v/>
      </c>
      <c r="J88" s="26">
        <f>VLOOKUP(B88,'Data qoq'!$A:$AT,MATCH($J$1,'Data qoq'!$A$1:$AT$1,),)</f>
        <v/>
      </c>
      <c r="K88" s="26">
        <f>VLOOKUP(B88,'Data qoq'!$A:$AT,MATCH($K$1,'Data qoq'!$A$1:$AT$1,),)</f>
        <v/>
      </c>
      <c r="L88" s="26">
        <f>VLOOKUP(B88,'Data qoq'!$A:$AT,MATCH($L$1,'Data qoq'!$A$1:$AT$1,),)</f>
        <v/>
      </c>
      <c r="M88" s="26">
        <f>VLOOKUP(B88,'Data qoq'!$A:$AT,MATCH($M$1,'Data qoq'!$A$1:$AT$1,),)</f>
        <v/>
      </c>
      <c r="N88" s="26">
        <f>VLOOKUP(B88,'Data qoq'!$A:$AT,MATCH($N$1,'Data qoq'!$A$1:$AT$1,),)</f>
        <v/>
      </c>
      <c r="O88" s="26">
        <f>VLOOKUP(B88,'Data qoq'!$A:$AT,MATCH($O$1,'Data qoq'!$J$1:$AT$1,),)</f>
        <v/>
      </c>
      <c r="P88" s="26">
        <f>VLOOKUP(B88,'Data qoq'!$A:$AT,MATCH($P$1,'Data qoq'!$A$1:$AT$1,),)</f>
        <v/>
      </c>
      <c r="Q88" s="26">
        <f>VLOOKUP(B88,'Data qoq'!$A:$AT,MATCH($Q$1,'Data qoq'!$A$1:$AT$1,),)</f>
        <v/>
      </c>
      <c r="R88" s="26">
        <f>VLOOKUP(B88,'Data qoq'!$A:$AT,MATCH($R$1,'Data qoq'!$A$1:$AT$1,),)</f>
        <v/>
      </c>
      <c r="S88" s="26">
        <f>VLOOKUP(B88,'Data qoq'!$A:$AT,MATCH($S$1,'Data qoq'!$A$1:$AT$1,),)</f>
        <v/>
      </c>
      <c r="T88" s="26">
        <f>VLOOKUP(B88,'Data qoq'!$A:$AT,MATCH($T$1,'Data qoq'!$A$1:$AT$1,),)</f>
        <v/>
      </c>
      <c r="U88" s="26">
        <f>VLOOKUP(B88,'Data qoq'!$A:$AT,MATCH($U$1,'Data qoq'!$A$1:$AT$1,),)</f>
        <v/>
      </c>
      <c r="V88" s="26">
        <f>VLOOKUP(B88,'Data qoq'!$A:$AT,MATCH($V$1,'Data qoq'!$A$1:$AT$1,),)</f>
        <v/>
      </c>
      <c r="W88" s="26">
        <f>VLOOKUP(B88,'Data qoq'!$A:$AT,MATCH($W$1,'Data qoq'!$A$1:$AT$1,),)</f>
        <v/>
      </c>
      <c r="X88" s="26">
        <f>VLOOKUP(B88,'Data qoq'!$A:$AT,MATCH($X$1,'Data qoq'!$A$1:$AT$1,),)</f>
        <v/>
      </c>
      <c r="Y88" s="26">
        <f>VLOOKUP(B88,'Data qoq'!$A:$AT,MATCH($Y$1,'Data qoq'!$A$1:$AT$1,),)</f>
        <v/>
      </c>
      <c r="Z88" s="26">
        <f>VLOOKUP(B88,'Data qoq'!$A:$AU,MATCH($Z$1,'Data qoq'!$A$1:$AU$1,),)</f>
        <v/>
      </c>
      <c r="AA88" s="26">
        <f>VLOOKUP(B88,'Data qoq'!$A:$AU,MATCH($AA$1,'Data qoq'!$A$1:$AU$1,),)</f>
        <v/>
      </c>
      <c r="AC88" s="27">
        <f>B88</f>
        <v/>
      </c>
      <c r="AD88" s="28">
        <f>(VLOOKUP(AC88,B:Y,MATCH($AE$6,$B$1:$Y$1,),))-(VLOOKUP(AC88,B:Y,MATCH($AE$7,$B$1:$Y$1,),))</f>
        <v/>
      </c>
      <c r="AE88" s="28">
        <f>C88-G88</f>
        <v/>
      </c>
    </row>
    <row r="89" customFormat="1" s="93">
      <c r="B89" s="25" t="inlineStr">
        <is>
          <t>2019-Q3</t>
        </is>
      </c>
      <c r="C89" s="26">
        <f>VLOOKUP(B89,'Data qoq'!$A:$AT,MATCH($C$1,'Data qoq'!$A$1:$AT$1,),)</f>
        <v/>
      </c>
      <c r="D89" s="26">
        <f>VLOOKUP(B89,'Data qoq'!$A:$AT,MATCH($D$1,'Data qoq'!$A$1:$AT$1,),)</f>
        <v/>
      </c>
      <c r="E89" s="26">
        <f>VLOOKUP(B89,'Data qoq'!$A:$AT,MATCH($E$1,'Data qoq'!$A$1:$AT$1,),)</f>
        <v/>
      </c>
      <c r="F89" s="26">
        <f>VLOOKUP(B89,'Data qoq'!$A:$AT,MATCH($F$1,'Data qoq'!$A$1:$AT$1,),)</f>
        <v/>
      </c>
      <c r="G89" s="26">
        <f>VLOOKUP(B89,'Data qoq'!$A:$AT,MATCH($G$1,'Data qoq'!$A$1:$AT$1,),)</f>
        <v/>
      </c>
      <c r="H89" s="26">
        <f>VLOOKUP(B89,'Data qoq'!$A:$AT,MATCH($H$1,'Data qoq'!$A$1:$AT$1,),)</f>
        <v/>
      </c>
      <c r="I89" s="26">
        <f>VLOOKUP(B89,'Data qoq'!$A:$AT,MATCH($I$1,'Data qoq'!$A$1:$AT$1,),)</f>
        <v/>
      </c>
      <c r="J89" s="26">
        <f>VLOOKUP(B89,'Data qoq'!$A:$AT,MATCH($J$1,'Data qoq'!$A$1:$AT$1,),)</f>
        <v/>
      </c>
      <c r="K89" s="26">
        <f>VLOOKUP(B89,'Data qoq'!$A:$AT,MATCH($K$1,'Data qoq'!$A$1:$AT$1,),)</f>
        <v/>
      </c>
      <c r="L89" s="26">
        <f>VLOOKUP(B89,'Data qoq'!$A:$AT,MATCH($L$1,'Data qoq'!$A$1:$AT$1,),)</f>
        <v/>
      </c>
      <c r="M89" s="26">
        <f>VLOOKUP(B89,'Data qoq'!$A:$AT,MATCH($M$1,'Data qoq'!$A$1:$AT$1,),)</f>
        <v/>
      </c>
      <c r="N89" s="26">
        <f>VLOOKUP(B89,'Data qoq'!$A:$AT,MATCH($N$1,'Data qoq'!$A$1:$AT$1,),)</f>
        <v/>
      </c>
      <c r="O89" s="26">
        <f>VLOOKUP(B89,'Data qoq'!$A:$AT,MATCH($O$1,'Data qoq'!$J$1:$AT$1,),)</f>
        <v/>
      </c>
      <c r="P89" s="26">
        <f>VLOOKUP(B89,'Data qoq'!$A:$AT,MATCH($P$1,'Data qoq'!$A$1:$AT$1,),)</f>
        <v/>
      </c>
      <c r="Q89" s="26">
        <f>VLOOKUP(B89,'Data qoq'!$A:$AT,MATCH($Q$1,'Data qoq'!$A$1:$AT$1,),)</f>
        <v/>
      </c>
      <c r="R89" s="26">
        <f>VLOOKUP(B89,'Data qoq'!$A:$AT,MATCH($R$1,'Data qoq'!$A$1:$AT$1,),)</f>
        <v/>
      </c>
      <c r="S89" s="26">
        <f>VLOOKUP(B89,'Data qoq'!$A:$AT,MATCH($S$1,'Data qoq'!$A$1:$AT$1,),)</f>
        <v/>
      </c>
      <c r="T89" s="26">
        <f>VLOOKUP(B89,'Data qoq'!$A:$AT,MATCH($T$1,'Data qoq'!$A$1:$AT$1,),)</f>
        <v/>
      </c>
      <c r="U89" s="26">
        <f>VLOOKUP(B89,'Data qoq'!$A:$AT,MATCH($U$1,'Data qoq'!$A$1:$AT$1,),)</f>
        <v/>
      </c>
      <c r="V89" s="26">
        <f>VLOOKUP(B89,'Data qoq'!$A:$AT,MATCH($V$1,'Data qoq'!$A$1:$AT$1,),)</f>
        <v/>
      </c>
      <c r="W89" s="26">
        <f>VLOOKUP(B89,'Data qoq'!$A:$AT,MATCH($W$1,'Data qoq'!$A$1:$AT$1,),)</f>
        <v/>
      </c>
      <c r="X89" s="26">
        <f>VLOOKUP(B89,'Data qoq'!$A:$AT,MATCH($X$1,'Data qoq'!$A$1:$AT$1,),)</f>
        <v/>
      </c>
      <c r="Y89" s="26">
        <f>VLOOKUP(B89,'Data qoq'!$A:$AT,MATCH($Y$1,'Data qoq'!$A$1:$AT$1,),)</f>
        <v/>
      </c>
      <c r="Z89" s="26">
        <f>VLOOKUP(B89,'Data qoq'!$A:$AU,MATCH($Z$1,'Data qoq'!$A$1:$AU$1,),)</f>
        <v/>
      </c>
      <c r="AA89" s="26">
        <f>VLOOKUP(B89,'Data qoq'!$A:$AU,MATCH($AA$1,'Data qoq'!$A$1:$AU$1,),)</f>
        <v/>
      </c>
      <c r="AC89" s="27">
        <f>B89</f>
        <v/>
      </c>
      <c r="AD89" s="28">
        <f>(VLOOKUP(AC89,B:Y,MATCH($AE$6,$B$1:$Y$1,),))-(VLOOKUP(AC89,B:Y,MATCH($AE$7,$B$1:$Y$1,),))</f>
        <v/>
      </c>
      <c r="AE89" s="28">
        <f>C89-G89</f>
        <v/>
      </c>
    </row>
    <row r="90" customFormat="1" s="93">
      <c r="B90" s="25" t="inlineStr">
        <is>
          <t>2019-Q4</t>
        </is>
      </c>
      <c r="C90" s="26">
        <f>VLOOKUP(B90,'Data qoq'!$A:$AT,MATCH($C$1,'Data qoq'!$A$1:$AT$1,),)</f>
        <v/>
      </c>
      <c r="D90" s="26">
        <f>VLOOKUP(B90,'Data qoq'!$A:$AT,MATCH($D$1,'Data qoq'!$A$1:$AT$1,),)</f>
        <v/>
      </c>
      <c r="E90" s="26">
        <f>VLOOKUP(B90,'Data qoq'!$A:$AT,MATCH($E$1,'Data qoq'!$A$1:$AT$1,),)</f>
        <v/>
      </c>
      <c r="F90" s="26">
        <f>VLOOKUP(B90,'Data qoq'!$A:$AT,MATCH($F$1,'Data qoq'!$A$1:$AT$1,),)</f>
        <v/>
      </c>
      <c r="G90" s="26">
        <f>VLOOKUP(B90,'Data qoq'!$A:$AT,MATCH($G$1,'Data qoq'!$A$1:$AT$1,),)</f>
        <v/>
      </c>
      <c r="H90" s="26">
        <f>VLOOKUP(B90,'Data qoq'!$A:$AT,MATCH($H$1,'Data qoq'!$A$1:$AT$1,),)</f>
        <v/>
      </c>
      <c r="I90" s="26">
        <f>VLOOKUP(B90,'Data qoq'!$A:$AT,MATCH($I$1,'Data qoq'!$A$1:$AT$1,),)</f>
        <v/>
      </c>
      <c r="J90" s="26">
        <f>VLOOKUP(B90,'Data qoq'!$A:$AT,MATCH($J$1,'Data qoq'!$A$1:$AT$1,),)</f>
        <v/>
      </c>
      <c r="K90" s="26">
        <f>VLOOKUP(B90,'Data qoq'!$A:$AT,MATCH($K$1,'Data qoq'!$A$1:$AT$1,),)</f>
        <v/>
      </c>
      <c r="L90" s="26">
        <f>VLOOKUP(B90,'Data qoq'!$A:$AT,MATCH($L$1,'Data qoq'!$A$1:$AT$1,),)</f>
        <v/>
      </c>
      <c r="M90" s="26">
        <f>VLOOKUP(B90,'Data qoq'!$A:$AT,MATCH($M$1,'Data qoq'!$A$1:$AT$1,),)</f>
        <v/>
      </c>
      <c r="N90" s="26">
        <f>VLOOKUP(B90,'Data qoq'!$A:$AT,MATCH($N$1,'Data qoq'!$A$1:$AT$1,),)</f>
        <v/>
      </c>
      <c r="O90" s="26">
        <f>VLOOKUP(B90,'Data qoq'!$A:$AT,MATCH($O$1,'Data qoq'!$J$1:$AT$1,),)</f>
        <v/>
      </c>
      <c r="P90" s="26">
        <f>VLOOKUP(B90,'Data qoq'!$A:$AT,MATCH($P$1,'Data qoq'!$A$1:$AT$1,),)</f>
        <v/>
      </c>
      <c r="Q90" s="26">
        <f>VLOOKUP(B90,'Data qoq'!$A:$AT,MATCH($Q$1,'Data qoq'!$A$1:$AT$1,),)</f>
        <v/>
      </c>
      <c r="R90" s="26">
        <f>VLOOKUP(B90,'Data qoq'!$A:$AT,MATCH($R$1,'Data qoq'!$A$1:$AT$1,),)</f>
        <v/>
      </c>
      <c r="S90" s="26">
        <f>VLOOKUP(B90,'Data qoq'!$A:$AT,MATCH($S$1,'Data qoq'!$A$1:$AT$1,),)</f>
        <v/>
      </c>
      <c r="T90" s="26">
        <f>VLOOKUP(B90,'Data qoq'!$A:$AT,MATCH($T$1,'Data qoq'!$A$1:$AT$1,),)</f>
        <v/>
      </c>
      <c r="U90" s="26">
        <f>VLOOKUP(B90,'Data qoq'!$A:$AT,MATCH($U$1,'Data qoq'!$A$1:$AT$1,),)</f>
        <v/>
      </c>
      <c r="V90" s="26">
        <f>VLOOKUP(B90,'Data qoq'!$A:$AT,MATCH($V$1,'Data qoq'!$A$1:$AT$1,),)</f>
        <v/>
      </c>
      <c r="W90" s="26">
        <f>VLOOKUP(B90,'Data qoq'!$A:$AT,MATCH($W$1,'Data qoq'!$A$1:$AT$1,),)</f>
        <v/>
      </c>
      <c r="X90" s="26">
        <f>VLOOKUP(B90,'Data qoq'!$A:$AT,MATCH($X$1,'Data qoq'!$A$1:$AT$1,),)</f>
        <v/>
      </c>
      <c r="Y90" s="26">
        <f>VLOOKUP(B90,'Data qoq'!$A:$AT,MATCH($Y$1,'Data qoq'!$A$1:$AT$1,),)</f>
        <v/>
      </c>
      <c r="Z90" s="26">
        <f>VLOOKUP(B90,'Data qoq'!$A:$AU,MATCH($Z$1,'Data qoq'!$A$1:$AU$1,),)</f>
        <v/>
      </c>
      <c r="AA90" s="26">
        <f>VLOOKUP(B90,'Data qoq'!$A:$AU,MATCH($AA$1,'Data qoq'!$A$1:$AU$1,),)</f>
        <v/>
      </c>
      <c r="AC90" s="27">
        <f>B90</f>
        <v/>
      </c>
      <c r="AD90" s="28">
        <f>(VLOOKUP(AC90,B:Y,MATCH($AE$6,$B$1:$Y$1,),))-(VLOOKUP(AC90,B:Y,MATCH($AE$7,$B$1:$Y$1,),))</f>
        <v/>
      </c>
      <c r="AE90" s="28">
        <f>C90-G90</f>
        <v/>
      </c>
    </row>
    <row r="91" customFormat="1" s="93">
      <c r="B91" s="25" t="inlineStr">
        <is>
          <t>2020-Q1</t>
        </is>
      </c>
      <c r="C91" s="26">
        <f>VLOOKUP(B91,'Data qoq'!$A:$AT,MATCH($C$1,'Data qoq'!$A$1:$AT$1,),)</f>
        <v/>
      </c>
      <c r="D91" s="26">
        <f>VLOOKUP(B91,'Data qoq'!$A:$AT,MATCH($D$1,'Data qoq'!$A$1:$AT$1,),)</f>
        <v/>
      </c>
      <c r="E91" s="26">
        <f>VLOOKUP(B91,'Data qoq'!$A:$AT,MATCH($E$1,'Data qoq'!$A$1:$AT$1,),)</f>
        <v/>
      </c>
      <c r="F91" s="26">
        <f>VLOOKUP(B91,'Data qoq'!$A:$AT,MATCH($F$1,'Data qoq'!$A$1:$AT$1,),)</f>
        <v/>
      </c>
      <c r="G91" s="26">
        <f>VLOOKUP(B91,'Data qoq'!$A:$AT,MATCH($G$1,'Data qoq'!$A$1:$AT$1,),)</f>
        <v/>
      </c>
      <c r="H91" s="26">
        <f>VLOOKUP(B91,'Data qoq'!$A:$AT,MATCH($H$1,'Data qoq'!$A$1:$AT$1,),)</f>
        <v/>
      </c>
      <c r="I91" s="26">
        <f>VLOOKUP(B91,'Data qoq'!$A:$AT,MATCH($I$1,'Data qoq'!$A$1:$AT$1,),)</f>
        <v/>
      </c>
      <c r="J91" s="26">
        <f>VLOOKUP(B91,'Data qoq'!$A:$AT,MATCH($J$1,'Data qoq'!$A$1:$AT$1,),)</f>
        <v/>
      </c>
      <c r="K91" s="26">
        <f>VLOOKUP(B91,'Data qoq'!$A:$AT,MATCH($K$1,'Data qoq'!$A$1:$AT$1,),)</f>
        <v/>
      </c>
      <c r="L91" s="26">
        <f>VLOOKUP(B91,'Data qoq'!$A:$AT,MATCH($L$1,'Data qoq'!$A$1:$AT$1,),)</f>
        <v/>
      </c>
      <c r="M91" s="26">
        <f>VLOOKUP(B91,'Data qoq'!$A:$AT,MATCH($M$1,'Data qoq'!$A$1:$AT$1,),)</f>
        <v/>
      </c>
      <c r="N91" s="26">
        <f>VLOOKUP(B91,'Data qoq'!$A:$AT,MATCH($N$1,'Data qoq'!$A$1:$AT$1,),)</f>
        <v/>
      </c>
      <c r="O91" s="26">
        <f>VLOOKUP(B91,'Data qoq'!$A:$AT,MATCH($O$1,'Data qoq'!$J$1:$AT$1,),)</f>
        <v/>
      </c>
      <c r="P91" s="26">
        <f>VLOOKUP(B91,'Data qoq'!$A:$AT,MATCH($P$1,'Data qoq'!$A$1:$AT$1,),)</f>
        <v/>
      </c>
      <c r="Q91" s="26">
        <f>VLOOKUP(B91,'Data qoq'!$A:$AT,MATCH($Q$1,'Data qoq'!$A$1:$AT$1,),)</f>
        <v/>
      </c>
      <c r="R91" s="26">
        <f>VLOOKUP(B91,'Data qoq'!$A:$AT,MATCH($R$1,'Data qoq'!$A$1:$AT$1,),)</f>
        <v/>
      </c>
      <c r="S91" s="26">
        <f>VLOOKUP(B91,'Data qoq'!$A:$AT,MATCH($S$1,'Data qoq'!$A$1:$AT$1,),)</f>
        <v/>
      </c>
      <c r="T91" s="26">
        <f>VLOOKUP(B91,'Data qoq'!$A:$AT,MATCH($T$1,'Data qoq'!$A$1:$AT$1,),)</f>
        <v/>
      </c>
      <c r="U91" s="26">
        <f>VLOOKUP(B91,'Data qoq'!$A:$AT,MATCH($U$1,'Data qoq'!$A$1:$AT$1,),)</f>
        <v/>
      </c>
      <c r="V91" s="26">
        <f>VLOOKUP(B91,'Data qoq'!$A:$AT,MATCH($V$1,'Data qoq'!$A$1:$AT$1,),)</f>
        <v/>
      </c>
      <c r="W91" s="26">
        <f>VLOOKUP(B91,'Data qoq'!$A:$AT,MATCH($W$1,'Data qoq'!$A$1:$AT$1,),)</f>
        <v/>
      </c>
      <c r="X91" s="26">
        <f>VLOOKUP(B91,'Data qoq'!$A:$AT,MATCH($X$1,'Data qoq'!$A$1:$AT$1,),)</f>
        <v/>
      </c>
      <c r="Y91" s="26">
        <f>VLOOKUP(B91,'Data qoq'!$A:$AT,MATCH($Y$1,'Data qoq'!$A$1:$AT$1,),)</f>
        <v/>
      </c>
      <c r="Z91" s="26">
        <f>VLOOKUP(B91,'Data qoq'!$A:$AU,MATCH($Z$1,'Data qoq'!$A$1:$AU$1,),)</f>
        <v/>
      </c>
      <c r="AA91" s="26">
        <f>VLOOKUP(B91,'Data qoq'!$A:$AU,MATCH($AA$1,'Data qoq'!$A$1:$AU$1,),)</f>
        <v/>
      </c>
      <c r="AC91" s="27">
        <f>B91</f>
        <v/>
      </c>
      <c r="AD91" s="28">
        <f>(VLOOKUP(AC91,B:Y,MATCH($AE$6,$B$1:$Y$1,),))-(VLOOKUP(AC91,B:Y,MATCH($AE$7,$B$1:$Y$1,),))</f>
        <v/>
      </c>
      <c r="AE91" s="28">
        <f>C91-G91</f>
        <v/>
      </c>
    </row>
    <row r="92" customFormat="1" s="93">
      <c r="B92" s="25" t="inlineStr">
        <is>
          <t>2020-Q2</t>
        </is>
      </c>
      <c r="C92" s="26">
        <f>VLOOKUP(B92,'Data qoq'!$A:$AT,MATCH($C$1,'Data qoq'!$A$1:$AT$1,),)</f>
        <v/>
      </c>
      <c r="D92" s="26">
        <f>VLOOKUP(B92,'Data qoq'!$A:$AT,MATCH($D$1,'Data qoq'!$A$1:$AT$1,),)</f>
        <v/>
      </c>
      <c r="E92" s="26">
        <f>VLOOKUP(B92,'Data qoq'!$A:$AT,MATCH($E$1,'Data qoq'!$A$1:$AT$1,),)</f>
        <v/>
      </c>
      <c r="F92" s="26">
        <f>VLOOKUP(B92,'Data qoq'!$A:$AT,MATCH($F$1,'Data qoq'!$A$1:$AT$1,),)</f>
        <v/>
      </c>
      <c r="G92" s="26">
        <f>VLOOKUP(B92,'Data qoq'!$A:$AT,MATCH($G$1,'Data qoq'!$A$1:$AT$1,),)</f>
        <v/>
      </c>
      <c r="H92" s="26">
        <f>VLOOKUP(B92,'Data qoq'!$A:$AT,MATCH($H$1,'Data qoq'!$A$1:$AT$1,),)</f>
        <v/>
      </c>
      <c r="I92" s="26">
        <f>VLOOKUP(B92,'Data qoq'!$A:$AT,MATCH($I$1,'Data qoq'!$A$1:$AT$1,),)</f>
        <v/>
      </c>
      <c r="J92" s="26">
        <f>VLOOKUP(B92,'Data qoq'!$A:$AT,MATCH($J$1,'Data qoq'!$A$1:$AT$1,),)</f>
        <v/>
      </c>
      <c r="K92" s="26">
        <f>VLOOKUP(B92,'Data qoq'!$A:$AT,MATCH($K$1,'Data qoq'!$A$1:$AT$1,),)</f>
        <v/>
      </c>
      <c r="L92" s="26">
        <f>VLOOKUP(B92,'Data qoq'!$A:$AT,MATCH($L$1,'Data qoq'!$A$1:$AT$1,),)</f>
        <v/>
      </c>
      <c r="M92" s="26">
        <f>VLOOKUP(B92,'Data qoq'!$A:$AT,MATCH($M$1,'Data qoq'!$A$1:$AT$1,),)</f>
        <v/>
      </c>
      <c r="N92" s="26">
        <f>VLOOKUP(B92,'Data qoq'!$A:$AT,MATCH($N$1,'Data qoq'!$A$1:$AT$1,),)</f>
        <v/>
      </c>
      <c r="O92" s="26">
        <f>VLOOKUP(B92,'Data qoq'!$A:$AT,MATCH($O$1,'Data qoq'!$J$1:$AT$1,),)</f>
        <v/>
      </c>
      <c r="P92" s="26">
        <f>VLOOKUP(B92,'Data qoq'!$A:$AT,MATCH($P$1,'Data qoq'!$A$1:$AT$1,),)</f>
        <v/>
      </c>
      <c r="Q92" s="26">
        <f>VLOOKUP(B92,'Data qoq'!$A:$AT,MATCH($Q$1,'Data qoq'!$A$1:$AT$1,),)</f>
        <v/>
      </c>
      <c r="R92" s="26">
        <f>VLOOKUP(B92,'Data qoq'!$A:$AT,MATCH($R$1,'Data qoq'!$A$1:$AT$1,),)</f>
        <v/>
      </c>
      <c r="S92" s="26">
        <f>VLOOKUP(B92,'Data qoq'!$A:$AT,MATCH($S$1,'Data qoq'!$A$1:$AT$1,),)</f>
        <v/>
      </c>
      <c r="T92" s="26">
        <f>VLOOKUP(B92,'Data qoq'!$A:$AT,MATCH($T$1,'Data qoq'!$A$1:$AT$1,),)</f>
        <v/>
      </c>
      <c r="U92" s="26">
        <f>VLOOKUP(B92,'Data qoq'!$A:$AT,MATCH($U$1,'Data qoq'!$A$1:$AT$1,),)</f>
        <v/>
      </c>
      <c r="V92" s="26">
        <f>VLOOKUP(B92,'Data qoq'!$A:$AT,MATCH($V$1,'Data qoq'!$A$1:$AT$1,),)</f>
        <v/>
      </c>
      <c r="W92" s="26">
        <f>VLOOKUP(B92,'Data qoq'!$A:$AT,MATCH($W$1,'Data qoq'!$A$1:$AT$1,),)</f>
        <v/>
      </c>
      <c r="X92" s="26">
        <f>VLOOKUP(B92,'Data qoq'!$A:$AT,MATCH($X$1,'Data qoq'!$A$1:$AT$1,),)</f>
        <v/>
      </c>
      <c r="Y92" s="26">
        <f>VLOOKUP(B92,'Data qoq'!$A:$AT,MATCH($Y$1,'Data qoq'!$A$1:$AT$1,),)</f>
        <v/>
      </c>
      <c r="Z92" s="26">
        <f>VLOOKUP(B92,'Data qoq'!$A:$AU,MATCH($Z$1,'Data qoq'!$A$1:$AU$1,),)</f>
        <v/>
      </c>
      <c r="AA92" s="26">
        <f>VLOOKUP(B92,'Data qoq'!$A:$AU,MATCH($AA$1,'Data qoq'!$A$1:$AU$1,),)</f>
        <v/>
      </c>
      <c r="AC92" s="27">
        <f>B92</f>
        <v/>
      </c>
      <c r="AD92" s="28">
        <f>(VLOOKUP(AC92,B:Y,MATCH($AE$6,$B$1:$Y$1,),))-(VLOOKUP(AC92,B:Y,MATCH($AE$7,$B$1:$Y$1,),))</f>
        <v/>
      </c>
      <c r="AE92" s="28">
        <f>C92-G92</f>
        <v/>
      </c>
    </row>
    <row r="93" customFormat="1" s="93">
      <c r="B93" s="25" t="inlineStr">
        <is>
          <t>2020-Q3</t>
        </is>
      </c>
      <c r="C93" s="26">
        <f>VLOOKUP(B93,'Data qoq'!$A:$AT,MATCH($C$1,'Data qoq'!$A$1:$AT$1,),)</f>
        <v/>
      </c>
      <c r="D93" s="26">
        <f>VLOOKUP(B93,'Data qoq'!$A:$AT,MATCH($D$1,'Data qoq'!$A$1:$AT$1,),)</f>
        <v/>
      </c>
      <c r="E93" s="26">
        <f>VLOOKUP(B93,'Data qoq'!$A:$AT,MATCH($E$1,'Data qoq'!$A$1:$AT$1,),)</f>
        <v/>
      </c>
      <c r="F93" s="26">
        <f>VLOOKUP(B93,'Data qoq'!$A:$AT,MATCH($F$1,'Data qoq'!$A$1:$AT$1,),)</f>
        <v/>
      </c>
      <c r="G93" s="26">
        <f>VLOOKUP(B93,'Data qoq'!$A:$AT,MATCH($G$1,'Data qoq'!$A$1:$AT$1,),)</f>
        <v/>
      </c>
      <c r="H93" s="26">
        <f>VLOOKUP(B93,'Data qoq'!$A:$AT,MATCH($H$1,'Data qoq'!$A$1:$AT$1,),)</f>
        <v/>
      </c>
      <c r="I93" s="26">
        <f>VLOOKUP(B93,'Data qoq'!$A:$AT,MATCH($I$1,'Data qoq'!$A$1:$AT$1,),)</f>
        <v/>
      </c>
      <c r="J93" s="26">
        <f>VLOOKUP(B93,'Data qoq'!$A:$AT,MATCH($J$1,'Data qoq'!$A$1:$AT$1,),)</f>
        <v/>
      </c>
      <c r="K93" s="26">
        <f>VLOOKUP(B93,'Data qoq'!$A:$AT,MATCH($K$1,'Data qoq'!$A$1:$AT$1,),)</f>
        <v/>
      </c>
      <c r="L93" s="26">
        <f>VLOOKUP(B93,'Data qoq'!$A:$AT,MATCH($L$1,'Data qoq'!$A$1:$AT$1,),)</f>
        <v/>
      </c>
      <c r="M93" s="26">
        <f>VLOOKUP(B93,'Data qoq'!$A:$AT,MATCH($M$1,'Data qoq'!$A$1:$AT$1,),)</f>
        <v/>
      </c>
      <c r="N93" s="26">
        <f>VLOOKUP(B93,'Data qoq'!$A:$AT,MATCH($N$1,'Data qoq'!$A$1:$AT$1,),)</f>
        <v/>
      </c>
      <c r="O93" s="26">
        <f>VLOOKUP(B93,'Data qoq'!$A:$AT,MATCH($O$1,'Data qoq'!$J$1:$AT$1,),)</f>
        <v/>
      </c>
      <c r="P93" s="26">
        <f>VLOOKUP(B93,'Data qoq'!$A:$AT,MATCH($P$1,'Data qoq'!$A$1:$AT$1,),)</f>
        <v/>
      </c>
      <c r="Q93" s="26">
        <f>VLOOKUP(B93,'Data qoq'!$A:$AT,MATCH($Q$1,'Data qoq'!$A$1:$AT$1,),)</f>
        <v/>
      </c>
      <c r="R93" s="26">
        <f>VLOOKUP(B93,'Data qoq'!$A:$AT,MATCH($R$1,'Data qoq'!$A$1:$AT$1,),)</f>
        <v/>
      </c>
      <c r="S93" s="26">
        <f>VLOOKUP(B93,'Data qoq'!$A:$AT,MATCH($S$1,'Data qoq'!$A$1:$AT$1,),)</f>
        <v/>
      </c>
      <c r="T93" s="26">
        <f>VLOOKUP(B93,'Data qoq'!$A:$AT,MATCH($T$1,'Data qoq'!$A$1:$AT$1,),)</f>
        <v/>
      </c>
      <c r="U93" s="26">
        <f>VLOOKUP(B93,'Data qoq'!$A:$AT,MATCH($U$1,'Data qoq'!$A$1:$AT$1,),)</f>
        <v/>
      </c>
      <c r="V93" s="26">
        <f>VLOOKUP(B93,'Data qoq'!$A:$AT,MATCH($V$1,'Data qoq'!$A$1:$AT$1,),)</f>
        <v/>
      </c>
      <c r="W93" s="26">
        <f>VLOOKUP(B93,'Data qoq'!$A:$AT,MATCH($W$1,'Data qoq'!$A$1:$AT$1,),)</f>
        <v/>
      </c>
      <c r="X93" s="26">
        <f>VLOOKUP(B93,'Data qoq'!$A:$AT,MATCH($X$1,'Data qoq'!$A$1:$AT$1,),)</f>
        <v/>
      </c>
      <c r="Y93" s="26">
        <f>VLOOKUP(B93,'Data qoq'!$A:$AT,MATCH($Y$1,'Data qoq'!$A$1:$AT$1,),)</f>
        <v/>
      </c>
      <c r="Z93" s="26">
        <f>VLOOKUP(B93,'Data qoq'!$A:$AU,MATCH($Z$1,'Data qoq'!$A$1:$AU$1,),)</f>
        <v/>
      </c>
      <c r="AA93" s="26">
        <f>VLOOKUP(B93,'Data qoq'!$A:$AU,MATCH($AA$1,'Data qoq'!$A$1:$AU$1,),)</f>
        <v/>
      </c>
      <c r="AC93" s="27">
        <f>B93</f>
        <v/>
      </c>
      <c r="AD93" s="28">
        <f>(VLOOKUP(AC93,B:Y,MATCH($AE$6,$B$1:$Y$1,),))-(VLOOKUP(AC93,B:Y,MATCH($AE$7,$B$1:$Y$1,),))</f>
        <v/>
      </c>
      <c r="AE93" s="28">
        <f>C93-G93</f>
        <v/>
      </c>
    </row>
    <row r="94" customFormat="1" s="93">
      <c r="B94" s="25" t="inlineStr">
        <is>
          <t>2021-Q1</t>
        </is>
      </c>
      <c r="C94" s="26">
        <f>VLOOKUP(B94,'Data qoq'!$A:$AT,MATCH($C$1,'Data qoq'!$A$1:$AT$1,),)</f>
        <v/>
      </c>
      <c r="D94" s="26">
        <f>VLOOKUP(B94,'Data qoq'!$A:$AT,MATCH($D$1,'Data qoq'!$A$1:$AT$1,),)</f>
        <v/>
      </c>
      <c r="E94" s="26">
        <f>VLOOKUP(B94,'Data qoq'!$A:$AT,MATCH($E$1,'Data qoq'!$A$1:$AT$1,),)</f>
        <v/>
      </c>
      <c r="F94" s="26">
        <f>VLOOKUP(B94,'Data qoq'!$A:$AT,MATCH($F$1,'Data qoq'!$A$1:$AT$1,),)</f>
        <v/>
      </c>
      <c r="G94" s="26">
        <f>VLOOKUP(B94,'Data qoq'!$A:$AT,MATCH($G$1,'Data qoq'!$A$1:$AT$1,),)</f>
        <v/>
      </c>
      <c r="H94" s="26">
        <f>VLOOKUP(B94,'Data qoq'!$A:$AT,MATCH($H$1,'Data qoq'!$A$1:$AT$1,),)</f>
        <v/>
      </c>
      <c r="I94" s="26">
        <f>VLOOKUP(B94,'Data qoq'!$A:$AT,MATCH($I$1,'Data qoq'!$A$1:$AT$1,),)</f>
        <v/>
      </c>
      <c r="J94" s="26">
        <f>VLOOKUP(B94,'Data qoq'!$A:$AT,MATCH($J$1,'Data qoq'!$A$1:$AT$1,),)</f>
        <v/>
      </c>
      <c r="K94" s="26">
        <f>VLOOKUP(B94,'Data qoq'!$A:$AT,MATCH($K$1,'Data qoq'!$A$1:$AT$1,),)</f>
        <v/>
      </c>
      <c r="L94" s="26">
        <f>VLOOKUP(B94,'Data qoq'!$A:$AT,MATCH($L$1,'Data qoq'!$A$1:$AT$1,),)</f>
        <v/>
      </c>
      <c r="M94" s="26">
        <f>VLOOKUP(B94,'Data qoq'!$A:$AT,MATCH($M$1,'Data qoq'!$A$1:$AT$1,),)</f>
        <v/>
      </c>
      <c r="N94" s="26">
        <f>VLOOKUP(B94,'Data qoq'!$A:$AT,MATCH($N$1,'Data qoq'!$A$1:$AT$1,),)</f>
        <v/>
      </c>
      <c r="O94" s="26">
        <f>VLOOKUP(B94,'Data qoq'!$A:$AT,MATCH($O$1,'Data qoq'!$J$1:$AT$1,),)</f>
        <v/>
      </c>
      <c r="P94" s="26">
        <f>VLOOKUP(B94,'Data qoq'!$A:$AT,MATCH($P$1,'Data qoq'!$A$1:$AT$1,),)</f>
        <v/>
      </c>
      <c r="Q94" s="26">
        <f>VLOOKUP(B94,'Data qoq'!$A:$AT,MATCH($Q$1,'Data qoq'!$A$1:$AT$1,),)</f>
        <v/>
      </c>
      <c r="R94" s="26">
        <f>VLOOKUP(B94,'Data qoq'!$A:$AT,MATCH($R$1,'Data qoq'!$A$1:$AT$1,),)</f>
        <v/>
      </c>
      <c r="S94" s="26">
        <f>VLOOKUP(B94,'Data qoq'!$A:$AT,MATCH($S$1,'Data qoq'!$A$1:$AT$1,),)</f>
        <v/>
      </c>
      <c r="T94" s="26">
        <f>VLOOKUP(B94,'Data qoq'!$A:$AT,MATCH($T$1,'Data qoq'!$A$1:$AT$1,),)</f>
        <v/>
      </c>
      <c r="U94" s="26">
        <f>VLOOKUP(B94,'Data qoq'!$A:$AT,MATCH($U$1,'Data qoq'!$A$1:$AT$1,),)</f>
        <v/>
      </c>
      <c r="V94" s="26">
        <f>VLOOKUP(B94,'Data qoq'!$A:$AT,MATCH($V$1,'Data qoq'!$A$1:$AT$1,),)</f>
        <v/>
      </c>
      <c r="W94" s="26">
        <f>VLOOKUP(B94,'Data qoq'!$A:$AT,MATCH($W$1,'Data qoq'!$A$1:$AT$1,),)</f>
        <v/>
      </c>
      <c r="X94" s="26">
        <f>VLOOKUP(B94,'Data qoq'!$A:$AT,MATCH($X$1,'Data qoq'!$A$1:$AT$1,),)</f>
        <v/>
      </c>
      <c r="Y94" s="26">
        <f>VLOOKUP(B94,'Data qoq'!$A:$AT,MATCH($Y$1,'Data qoq'!$A$1:$AT$1,),)</f>
        <v/>
      </c>
      <c r="Z94" s="26">
        <f>VLOOKUP(B94,'Data qoq'!$A:$AU,MATCH($Z$1,'Data qoq'!$A$1:$AU$1,),)</f>
        <v/>
      </c>
      <c r="AA94" s="26">
        <f>VLOOKUP(B94,'Data qoq'!$A:$AU,MATCH($AA$1,'Data qoq'!$A$1:$AU$1,),)</f>
        <v/>
      </c>
      <c r="AC94" s="27">
        <f>B94</f>
        <v/>
      </c>
      <c r="AD94" s="28">
        <f>(VLOOKUP(AC94,B:Y,MATCH($AE$6,$B$1:$Y$1,),))-(VLOOKUP(AC94,B:Y,MATCH($AE$7,$B$1:$Y$1,),))</f>
        <v/>
      </c>
      <c r="AE94" s="28">
        <f>C94-G94</f>
        <v/>
      </c>
    </row>
    <row r="95" customFormat="1" s="93">
      <c r="B95" s="25" t="inlineStr">
        <is>
          <t>2021-Q2</t>
        </is>
      </c>
      <c r="C95" s="26">
        <f>VLOOKUP(B95,'Data qoq'!$A:$AT,MATCH($C$1,'Data qoq'!$A$1:$AT$1,),)</f>
        <v/>
      </c>
      <c r="D95" s="26">
        <f>VLOOKUP(B95,'Data qoq'!$A:$AT,MATCH($D$1,'Data qoq'!$A$1:$AT$1,),)</f>
        <v/>
      </c>
      <c r="E95" s="26">
        <f>VLOOKUP(B95,'Data qoq'!$A:$AT,MATCH($E$1,'Data qoq'!$A$1:$AT$1,),)</f>
        <v/>
      </c>
      <c r="F95" s="26">
        <f>VLOOKUP(B95,'Data qoq'!$A:$AT,MATCH($F$1,'Data qoq'!$A$1:$AT$1,),)</f>
        <v/>
      </c>
      <c r="G95" s="26">
        <f>VLOOKUP(B95,'Data qoq'!$A:$AT,MATCH($G$1,'Data qoq'!$A$1:$AT$1,),)</f>
        <v/>
      </c>
      <c r="H95" s="26">
        <f>VLOOKUP(B95,'Data qoq'!$A:$AT,MATCH($H$1,'Data qoq'!$A$1:$AT$1,),)</f>
        <v/>
      </c>
      <c r="I95" s="26">
        <f>VLOOKUP(B95,'Data qoq'!$A:$AT,MATCH($I$1,'Data qoq'!$A$1:$AT$1,),)</f>
        <v/>
      </c>
      <c r="J95" s="26">
        <f>VLOOKUP(B95,'Data qoq'!$A:$AT,MATCH($J$1,'Data qoq'!$A$1:$AT$1,),)</f>
        <v/>
      </c>
      <c r="K95" s="26">
        <f>VLOOKUP(B95,'Data qoq'!$A:$AT,MATCH($K$1,'Data qoq'!$A$1:$AT$1,),)</f>
        <v/>
      </c>
      <c r="L95" s="26">
        <f>VLOOKUP(B95,'Data qoq'!$A:$AT,MATCH($L$1,'Data qoq'!$A$1:$AT$1,),)</f>
        <v/>
      </c>
      <c r="M95" s="26">
        <f>VLOOKUP(B95,'Data qoq'!$A:$AT,MATCH($M$1,'Data qoq'!$A$1:$AT$1,),)</f>
        <v/>
      </c>
      <c r="N95" s="26">
        <f>VLOOKUP(B95,'Data qoq'!$A:$AT,MATCH($N$1,'Data qoq'!$A$1:$AT$1,),)</f>
        <v/>
      </c>
      <c r="O95" s="26">
        <f>VLOOKUP(B95,'Data qoq'!$A:$AT,MATCH($O$1,'Data qoq'!$J$1:$AT$1,),)</f>
        <v/>
      </c>
      <c r="P95" s="26">
        <f>VLOOKUP(B95,'Data qoq'!$A:$AT,MATCH($P$1,'Data qoq'!$A$1:$AT$1,),)</f>
        <v/>
      </c>
      <c r="Q95" s="26">
        <f>VLOOKUP(B95,'Data qoq'!$A:$AT,MATCH($Q$1,'Data qoq'!$A$1:$AT$1,),)</f>
        <v/>
      </c>
      <c r="R95" s="26">
        <f>VLOOKUP(B95,'Data qoq'!$A:$AT,MATCH($R$1,'Data qoq'!$A$1:$AT$1,),)</f>
        <v/>
      </c>
      <c r="S95" s="26">
        <f>VLOOKUP(B95,'Data qoq'!$A:$AT,MATCH($S$1,'Data qoq'!$A$1:$AT$1,),)</f>
        <v/>
      </c>
      <c r="T95" s="26">
        <f>VLOOKUP(B95,'Data qoq'!$A:$AT,MATCH($T$1,'Data qoq'!$A$1:$AT$1,),)</f>
        <v/>
      </c>
      <c r="U95" s="26">
        <f>VLOOKUP(B95,'Data qoq'!$A:$AT,MATCH($U$1,'Data qoq'!$A$1:$AT$1,),)</f>
        <v/>
      </c>
      <c r="V95" s="26">
        <f>VLOOKUP(B95,'Data qoq'!$A:$AT,MATCH($V$1,'Data qoq'!$A$1:$AT$1,),)</f>
        <v/>
      </c>
      <c r="W95" s="26">
        <f>VLOOKUP(B95,'Data qoq'!$A:$AT,MATCH($W$1,'Data qoq'!$A$1:$AT$1,),)</f>
        <v/>
      </c>
      <c r="X95" s="26">
        <f>VLOOKUP(B95,'Data qoq'!$A:$AT,MATCH($X$1,'Data qoq'!$A$1:$AT$1,),)</f>
        <v/>
      </c>
      <c r="Y95" s="26">
        <f>VLOOKUP(B95,'Data qoq'!$A:$AT,MATCH($Y$1,'Data qoq'!$A$1:$AT$1,),)</f>
        <v/>
      </c>
      <c r="Z95" s="26">
        <f>VLOOKUP(B95,'Data qoq'!$A:$AU,MATCH($Z$1,'Data qoq'!$A$1:$AU$1,),)</f>
        <v/>
      </c>
      <c r="AA95" s="26">
        <f>VLOOKUP(B95,'Data qoq'!$A:$AU,MATCH($AA$1,'Data qoq'!$A$1:$AU$1,),)</f>
        <v/>
      </c>
      <c r="AC95" s="27">
        <f>B95</f>
        <v/>
      </c>
      <c r="AD95" s="28">
        <f>(VLOOKUP(AC95,B:Y,MATCH($AE$6,$B$1:$Y$1,),))-(VLOOKUP(AC95,B:Y,MATCH($AE$7,$B$1:$Y$1,),))</f>
        <v/>
      </c>
      <c r="AE95" s="28">
        <f>C95-G95</f>
        <v/>
      </c>
    </row>
    <row r="96" customFormat="1" s="93">
      <c r="B96" s="25" t="inlineStr">
        <is>
          <t>2021-Q3</t>
        </is>
      </c>
      <c r="C96" s="26">
        <f>VLOOKUP(B96,'Data qoq'!$A:$AT,MATCH($C$1,'Data qoq'!$A$1:$AT$1,),)</f>
        <v/>
      </c>
      <c r="D96" s="26">
        <f>VLOOKUP(B96,'Data qoq'!$A:$AT,MATCH($D$1,'Data qoq'!$A$1:$AT$1,),)</f>
        <v/>
      </c>
      <c r="E96" s="26">
        <f>VLOOKUP(B96,'Data qoq'!$A:$AT,MATCH($E$1,'Data qoq'!$A$1:$AT$1,),)</f>
        <v/>
      </c>
      <c r="F96" s="26">
        <f>VLOOKUP(B96,'Data qoq'!$A:$AT,MATCH($F$1,'Data qoq'!$A$1:$AT$1,),)</f>
        <v/>
      </c>
      <c r="G96" s="26">
        <f>VLOOKUP(B96,'Data qoq'!$A:$AT,MATCH($G$1,'Data qoq'!$A$1:$AT$1,),)</f>
        <v/>
      </c>
      <c r="H96" s="26">
        <f>VLOOKUP(B96,'Data qoq'!$A:$AT,MATCH($H$1,'Data qoq'!$A$1:$AT$1,),)</f>
        <v/>
      </c>
      <c r="I96" s="26">
        <f>VLOOKUP(B96,'Data qoq'!$A:$AT,MATCH($I$1,'Data qoq'!$A$1:$AT$1,),)</f>
        <v/>
      </c>
      <c r="J96" s="26">
        <f>VLOOKUP(B96,'Data qoq'!$A:$AT,MATCH($J$1,'Data qoq'!$A$1:$AT$1,),)</f>
        <v/>
      </c>
      <c r="K96" s="26">
        <f>VLOOKUP(B96,'Data qoq'!$A:$AT,MATCH($K$1,'Data qoq'!$A$1:$AT$1,),)</f>
        <v/>
      </c>
      <c r="L96" s="26">
        <f>VLOOKUP(B96,'Data qoq'!$A:$AT,MATCH($L$1,'Data qoq'!$A$1:$AT$1,),)</f>
        <v/>
      </c>
      <c r="M96" s="26">
        <f>VLOOKUP(B96,'Data qoq'!$A:$AT,MATCH($M$1,'Data qoq'!$A$1:$AT$1,),)</f>
        <v/>
      </c>
      <c r="N96" s="26">
        <f>VLOOKUP(B96,'Data qoq'!$A:$AT,MATCH($N$1,'Data qoq'!$A$1:$AT$1,),)</f>
        <v/>
      </c>
      <c r="O96" s="26">
        <f>VLOOKUP(B96,'Data qoq'!$A:$AT,MATCH($O$1,'Data qoq'!$J$1:$AT$1,),)</f>
        <v/>
      </c>
      <c r="P96" s="26">
        <f>VLOOKUP(B96,'Data qoq'!$A:$AT,MATCH($P$1,'Data qoq'!$A$1:$AT$1,),)</f>
        <v/>
      </c>
      <c r="Q96" s="26">
        <f>VLOOKUP(B96,'Data qoq'!$A:$AT,MATCH($Q$1,'Data qoq'!$A$1:$AT$1,),)</f>
        <v/>
      </c>
      <c r="R96" s="26">
        <f>VLOOKUP(B96,'Data qoq'!$A:$AT,MATCH($R$1,'Data qoq'!$A$1:$AT$1,),)</f>
        <v/>
      </c>
      <c r="S96" s="26">
        <f>VLOOKUP(B96,'Data qoq'!$A:$AT,MATCH($S$1,'Data qoq'!$A$1:$AT$1,),)</f>
        <v/>
      </c>
      <c r="T96" s="26">
        <f>VLOOKUP(B96,'Data qoq'!$A:$AT,MATCH($T$1,'Data qoq'!$A$1:$AT$1,),)</f>
        <v/>
      </c>
      <c r="U96" s="26">
        <f>VLOOKUP(B96,'Data qoq'!$A:$AT,MATCH($U$1,'Data qoq'!$A$1:$AT$1,),)</f>
        <v/>
      </c>
      <c r="V96" s="26">
        <f>VLOOKUP(B96,'Data qoq'!$A:$AT,MATCH($V$1,'Data qoq'!$A$1:$AT$1,),)</f>
        <v/>
      </c>
      <c r="W96" s="26">
        <f>VLOOKUP(B96,'Data qoq'!$A:$AT,MATCH($W$1,'Data qoq'!$A$1:$AT$1,),)</f>
        <v/>
      </c>
      <c r="X96" s="26">
        <f>VLOOKUP(B96,'Data qoq'!$A:$AT,MATCH($X$1,'Data qoq'!$A$1:$AT$1,),)</f>
        <v/>
      </c>
      <c r="Y96" s="26">
        <f>VLOOKUP(B96,'Data qoq'!$A:$AT,MATCH($Y$1,'Data qoq'!$A$1:$AT$1,),)</f>
        <v/>
      </c>
      <c r="Z96" s="26">
        <f>VLOOKUP(B96,'Data qoq'!$A:$AU,MATCH($Z$1,'Data qoq'!$A$1:$AU$1,),)</f>
        <v/>
      </c>
      <c r="AA96" s="26">
        <f>VLOOKUP(B96,'Data qoq'!$A:$AU,MATCH($AA$1,'Data qoq'!$A$1:$AU$1,),)</f>
        <v/>
      </c>
      <c r="AC96" s="27">
        <f>B96</f>
        <v/>
      </c>
      <c r="AD96" s="28">
        <f>(VLOOKUP(AC96,B:Y,MATCH($AE$6,$B$1:$Y$1,),))-(VLOOKUP(AC96,B:Y,MATCH($AE$7,$B$1:$Y$1,),))</f>
        <v/>
      </c>
      <c r="AE96" s="28">
        <f>C96-G96</f>
        <v/>
      </c>
    </row>
    <row r="97" customFormat="1" s="93">
      <c r="B97" s="25" t="inlineStr">
        <is>
          <t>2021-Q4</t>
        </is>
      </c>
      <c r="C97" s="26">
        <f>VLOOKUP(B97,'Data qoq'!$A:$AT,MATCH($C$1,'Data qoq'!$A$1:$AT$1,),)</f>
        <v/>
      </c>
      <c r="D97" s="26">
        <f>VLOOKUP(B97,'Data qoq'!$A:$AT,MATCH($D$1,'Data qoq'!$A$1:$AT$1,),)</f>
        <v/>
      </c>
      <c r="E97" s="26">
        <f>VLOOKUP(B97,'Data qoq'!$A:$AT,MATCH($E$1,'Data qoq'!$A$1:$AT$1,),)</f>
        <v/>
      </c>
      <c r="F97" s="26">
        <f>VLOOKUP(B97,'Data qoq'!$A:$AT,MATCH($F$1,'Data qoq'!$A$1:$AT$1,),)</f>
        <v/>
      </c>
      <c r="G97" s="26">
        <f>VLOOKUP(B97,'Data qoq'!$A:$AT,MATCH($G$1,'Data qoq'!$A$1:$AT$1,),)</f>
        <v/>
      </c>
      <c r="H97" s="26">
        <f>VLOOKUP(B97,'Data qoq'!$A:$AT,MATCH($H$1,'Data qoq'!$A$1:$AT$1,),)</f>
        <v/>
      </c>
      <c r="I97" s="26">
        <f>VLOOKUP(B97,'Data qoq'!$A:$AT,MATCH($I$1,'Data qoq'!$A$1:$AT$1,),)</f>
        <v/>
      </c>
      <c r="J97" s="26">
        <f>VLOOKUP(B97,'Data qoq'!$A:$AT,MATCH($J$1,'Data qoq'!$A$1:$AT$1,),)</f>
        <v/>
      </c>
      <c r="K97" s="26">
        <f>VLOOKUP(B97,'Data qoq'!$A:$AT,MATCH($K$1,'Data qoq'!$A$1:$AT$1,),)</f>
        <v/>
      </c>
      <c r="L97" s="26">
        <f>VLOOKUP(B97,'Data qoq'!$A:$AT,MATCH($L$1,'Data qoq'!$A$1:$AT$1,),)</f>
        <v/>
      </c>
      <c r="M97" s="26">
        <f>VLOOKUP(B97,'Data qoq'!$A:$AT,MATCH($M$1,'Data qoq'!$A$1:$AT$1,),)</f>
        <v/>
      </c>
      <c r="N97" s="26">
        <f>VLOOKUP(B97,'Data qoq'!$A:$AT,MATCH($N$1,'Data qoq'!$A$1:$AT$1,),)</f>
        <v/>
      </c>
      <c r="O97" s="26">
        <f>VLOOKUP(B97,'Data qoq'!$A:$AT,MATCH($O$1,'Data qoq'!$J$1:$AT$1,),)</f>
        <v/>
      </c>
      <c r="P97" s="26">
        <f>VLOOKUP(B97,'Data qoq'!$A:$AT,MATCH($P$1,'Data qoq'!$A$1:$AT$1,),)</f>
        <v/>
      </c>
      <c r="Q97" s="26">
        <f>VLOOKUP(B97,'Data qoq'!$A:$AT,MATCH($Q$1,'Data qoq'!$A$1:$AT$1,),)</f>
        <v/>
      </c>
      <c r="R97" s="26">
        <f>VLOOKUP(B97,'Data qoq'!$A:$AT,MATCH($R$1,'Data qoq'!$A$1:$AT$1,),)</f>
        <v/>
      </c>
      <c r="S97" s="26">
        <f>VLOOKUP(B97,'Data qoq'!$A:$AT,MATCH($S$1,'Data qoq'!$A$1:$AT$1,),)</f>
        <v/>
      </c>
      <c r="T97" s="26">
        <f>VLOOKUP(B97,'Data qoq'!$A:$AT,MATCH($T$1,'Data qoq'!$A$1:$AT$1,),)</f>
        <v/>
      </c>
      <c r="U97" s="26">
        <f>VLOOKUP(B97,'Data qoq'!$A:$AT,MATCH($U$1,'Data qoq'!$A$1:$AT$1,),)</f>
        <v/>
      </c>
      <c r="V97" s="26">
        <f>VLOOKUP(B97,'Data qoq'!$A:$AT,MATCH($V$1,'Data qoq'!$A$1:$AT$1,),)</f>
        <v/>
      </c>
      <c r="W97" s="26">
        <f>VLOOKUP(B97,'Data qoq'!$A:$AT,MATCH($W$1,'Data qoq'!$A$1:$AT$1,),)</f>
        <v/>
      </c>
      <c r="X97" s="26">
        <f>VLOOKUP(B97,'Data qoq'!$A:$AT,MATCH($X$1,'Data qoq'!$A$1:$AT$1,),)</f>
        <v/>
      </c>
      <c r="Y97" s="26">
        <f>VLOOKUP(B97,'Data qoq'!$A:$AT,MATCH($Y$1,'Data qoq'!$A$1:$AT$1,),)</f>
        <v/>
      </c>
      <c r="Z97" s="26">
        <f>VLOOKUP(B97,'Data qoq'!$A:$AU,MATCH($Z$1,'Data qoq'!$A$1:$AU$1,),)</f>
        <v/>
      </c>
      <c r="AA97" s="26">
        <f>VLOOKUP(B97,'Data qoq'!$A:$AU,MATCH($AA$1,'Data qoq'!$A$1:$AU$1,),)</f>
        <v/>
      </c>
      <c r="AC97" s="27">
        <f>B97</f>
        <v/>
      </c>
      <c r="AD97" s="28">
        <f>(VLOOKUP(AC97,B:Y,MATCH($AE$6,$B$1:$Y$1,),))-(VLOOKUP(AC97,B:Y,MATCH($AE$7,$B$1:$Y$1,),))</f>
        <v/>
      </c>
      <c r="AE97" s="28">
        <f>C97-G97</f>
        <v/>
      </c>
    </row>
    <row r="98" customFormat="1" s="93"/>
    <row r="99" customFormat="1" s="93"/>
    <row r="100" customFormat="1" s="93"/>
    <row r="101" customFormat="1" s="93"/>
    <row r="102" customFormat="1" s="93"/>
    <row r="103" customFormat="1" s="93"/>
    <row r="104" customFormat="1" s="93"/>
    <row r="105" customFormat="1" s="93"/>
    <row r="106" customFormat="1" s="93"/>
    <row r="107" customFormat="1" s="93"/>
    <row r="108" customFormat="1" s="93"/>
    <row r="109" customFormat="1" s="93"/>
    <row r="110" customFormat="1" s="93"/>
    <row r="111" customFormat="1" s="93"/>
    <row r="112" customFormat="1" s="93"/>
    <row r="113" customFormat="1" s="93"/>
    <row r="114" customFormat="1" s="93"/>
    <row r="115" customFormat="1" s="93"/>
    <row r="116" customFormat="1" s="93"/>
    <row r="117" customFormat="1" s="93"/>
    <row r="118" customFormat="1" s="93"/>
    <row r="119" customFormat="1" s="93"/>
    <row r="120" customFormat="1" s="93"/>
    <row r="121" customFormat="1" s="93"/>
    <row r="122" customFormat="1" s="93"/>
    <row r="123" customFormat="1" s="93"/>
    <row r="124" customFormat="1" s="93"/>
    <row r="125" customFormat="1" s="93"/>
    <row r="126" customFormat="1" s="93"/>
    <row r="127" customFormat="1" s="93"/>
    <row r="128" customFormat="1" s="93"/>
    <row r="129" customFormat="1" s="93"/>
    <row r="130" customFormat="1" s="93"/>
    <row r="131" customFormat="1" s="93"/>
    <row r="132" customFormat="1" s="93"/>
    <row r="133" customFormat="1" s="93"/>
    <row r="134" customFormat="1" s="93"/>
    <row r="135" customFormat="1" s="93"/>
    <row r="136" customFormat="1" s="93"/>
    <row r="137" customFormat="1" s="93"/>
    <row r="138" customFormat="1" s="93"/>
    <row r="139" customFormat="1" s="93"/>
    <row r="140" customFormat="1" s="93"/>
    <row r="141" customFormat="1" s="93"/>
    <row r="142" customFormat="1" s="93"/>
    <row r="143" customFormat="1" s="93"/>
    <row r="144" customFormat="1" s="93"/>
    <row r="145" customFormat="1" s="93"/>
    <row r="146" customFormat="1" s="93"/>
    <row r="147" customFormat="1" s="93"/>
    <row r="148" customFormat="1" s="93"/>
    <row r="149" customFormat="1" s="93"/>
    <row r="150" customFormat="1" s="93"/>
    <row r="151" customFormat="1" s="93"/>
    <row r="152" customFormat="1" s="93"/>
    <row r="153" customFormat="1" s="93"/>
    <row r="154" customFormat="1" s="93"/>
    <row r="155" customFormat="1" s="93"/>
    <row r="156" customFormat="1" s="93"/>
    <row r="157" customFormat="1" s="93"/>
    <row r="158" customFormat="1" s="93"/>
    <row r="159" customFormat="1" s="93"/>
    <row r="160" customFormat="1" s="93"/>
    <row r="161" customFormat="1" s="93"/>
    <row r="162" customFormat="1" s="93"/>
    <row r="163" customFormat="1" s="93"/>
    <row r="164" customFormat="1" s="93"/>
    <row r="165" customFormat="1" s="93"/>
    <row r="166" customFormat="1" s="93"/>
    <row r="167" customFormat="1" s="93"/>
    <row r="168" customFormat="1" s="93"/>
    <row r="169" customFormat="1" s="93"/>
    <row r="170" customFormat="1" s="93"/>
    <row r="171" customFormat="1" s="93"/>
    <row r="172" customFormat="1" s="93"/>
    <row r="173" customFormat="1" s="93"/>
    <row r="174" customFormat="1" s="93"/>
    <row r="175" customFormat="1" s="93"/>
    <row r="176" customFormat="1" s="93"/>
    <row r="177" customFormat="1" s="93"/>
    <row r="178" customFormat="1" s="93"/>
    <row r="179" customFormat="1" s="93"/>
    <row r="180" customFormat="1" s="93"/>
    <row r="181" customFormat="1" s="93"/>
    <row r="182" customFormat="1" s="93"/>
    <row r="183" customFormat="1" s="93"/>
    <row r="184" customFormat="1" s="93"/>
    <row r="185" customFormat="1" s="93"/>
    <row r="186" customFormat="1" s="93"/>
    <row r="187" customFormat="1" s="93"/>
    <row r="188" customFormat="1" s="93"/>
    <row r="189" customFormat="1" s="93"/>
    <row r="190" customFormat="1" s="93"/>
    <row r="191" customFormat="1" s="93"/>
    <row r="192" customFormat="1" s="93"/>
    <row r="193" customFormat="1" s="93"/>
    <row r="194" customFormat="1" s="93"/>
    <row r="195" customFormat="1" s="93"/>
    <row r="196" customFormat="1" s="93"/>
    <row r="197" customFormat="1" s="93"/>
    <row r="198" customFormat="1" s="93"/>
    <row r="199" customFormat="1" s="93"/>
    <row r="200" customFormat="1" s="93"/>
    <row r="201" customFormat="1" s="93"/>
    <row r="202" customFormat="1" s="93"/>
    <row r="203" customFormat="1" s="93"/>
    <row r="204" customFormat="1" s="93"/>
    <row r="205" customFormat="1" s="93"/>
    <row r="206" customFormat="1" s="93"/>
    <row r="207" customFormat="1" s="93"/>
    <row r="208" customFormat="1" s="93"/>
    <row r="209" customFormat="1" s="93"/>
    <row r="210" customFormat="1" s="93"/>
    <row r="211" customFormat="1" s="93"/>
    <row r="212" customFormat="1" s="93"/>
    <row r="213" customFormat="1" s="93"/>
    <row r="214" customFormat="1" s="93"/>
    <row r="215" customFormat="1" s="93"/>
    <row r="216" customFormat="1" s="93"/>
    <row r="217" customFormat="1" s="93"/>
    <row r="218" customFormat="1" s="93"/>
    <row r="219" customFormat="1" s="93"/>
    <row r="220" customFormat="1" s="93"/>
    <row r="221" customFormat="1" s="93"/>
    <row r="222" customFormat="1" s="93"/>
    <row r="223" customFormat="1" s="93"/>
    <row r="224" customFormat="1" s="93"/>
    <row r="225" customFormat="1" s="93"/>
    <row r="226" customFormat="1" s="93"/>
    <row r="227" customFormat="1" s="93"/>
    <row r="228" customFormat="1" s="93"/>
    <row r="229" customFormat="1" s="93"/>
    <row r="230" customFormat="1" s="93"/>
    <row r="231" customFormat="1" s="93"/>
    <row r="232" customFormat="1" s="93"/>
    <row r="233" customFormat="1" s="93"/>
    <row r="234" customFormat="1" s="93"/>
    <row r="235" customFormat="1" s="93"/>
    <row r="236" customFormat="1" s="93"/>
    <row r="237" customFormat="1" s="93"/>
    <row r="238" customFormat="1" s="93"/>
    <row r="239" customFormat="1" s="93"/>
    <row r="240" customFormat="1" s="93"/>
    <row r="241" customFormat="1" s="93"/>
    <row r="242" customFormat="1" s="93"/>
    <row r="243" customFormat="1" s="93"/>
    <row r="244" customFormat="1" s="93"/>
    <row r="245" customFormat="1" s="93"/>
    <row r="246" customFormat="1" s="93"/>
    <row r="247" customFormat="1" s="93"/>
    <row r="248" customFormat="1" s="93"/>
    <row r="249" customFormat="1" s="93"/>
    <row r="250" customFormat="1" s="93"/>
    <row r="251" customFormat="1" s="93"/>
    <row r="252" customFormat="1" s="93"/>
    <row r="253" customFormat="1" s="93"/>
    <row r="254" customFormat="1" s="93"/>
    <row r="255" customFormat="1" s="93"/>
    <row r="256" customFormat="1" s="93"/>
    <row r="257" customFormat="1" s="93"/>
    <row r="258" customFormat="1" s="93"/>
    <row r="259" customFormat="1" s="93"/>
    <row r="260" customFormat="1" s="93"/>
    <row r="261" customFormat="1" s="93"/>
    <row r="262" customFormat="1" s="93"/>
    <row r="263" customFormat="1" s="93"/>
    <row r="264" customFormat="1" s="93"/>
    <row r="265" customFormat="1" s="93"/>
    <row r="266" customFormat="1" s="93"/>
    <row r="267" customFormat="1" s="93"/>
    <row r="268" customFormat="1" s="93"/>
    <row r="269" customFormat="1" s="93"/>
    <row r="270" customFormat="1" s="93"/>
    <row r="271" customFormat="1" s="93"/>
    <row r="272" customFormat="1" s="93"/>
    <row r="273" customFormat="1" s="93"/>
    <row r="274" customFormat="1" s="93"/>
    <row r="275" customFormat="1" s="93"/>
    <row r="276" customFormat="1" s="93"/>
    <row r="277" customFormat="1" s="93"/>
    <row r="278" customFormat="1" s="93"/>
    <row r="279" customFormat="1" s="93"/>
    <row r="280" customFormat="1" s="93"/>
    <row r="281" customFormat="1" s="93"/>
    <row r="282" customFormat="1" s="93"/>
    <row r="283" customFormat="1" s="93"/>
    <row r="284" customFormat="1" s="93"/>
    <row r="285" customFormat="1" s="93"/>
    <row r="286" customFormat="1" s="93"/>
    <row r="287" customFormat="1" s="93"/>
    <row r="288" customFormat="1" s="93"/>
    <row r="289" customFormat="1" s="93"/>
    <row r="290" customFormat="1" s="93"/>
    <row r="291" customFormat="1" s="93"/>
    <row r="292" customFormat="1" s="93"/>
    <row r="293" customFormat="1" s="93"/>
    <row r="294" customFormat="1" s="93"/>
    <row r="295" customFormat="1" s="93"/>
    <row r="296" customFormat="1" s="93"/>
    <row r="297" customFormat="1" s="93"/>
    <row r="298" customFormat="1" s="93"/>
    <row r="299" customFormat="1" s="93"/>
    <row r="300" customFormat="1" s="93"/>
    <row r="301" customFormat="1" s="93"/>
    <row r="302" customFormat="1" s="93"/>
    <row r="303" customFormat="1" s="93"/>
    <row r="304" customFormat="1" s="93"/>
    <row r="305" customFormat="1" s="93"/>
    <row r="306" customFormat="1" s="93"/>
    <row r="307" customFormat="1" s="93"/>
    <row r="308" customFormat="1" s="93"/>
    <row r="309" customFormat="1" s="93"/>
    <row r="310" customFormat="1" s="93"/>
    <row r="311" customFormat="1" s="93"/>
    <row r="312" customFormat="1" s="93"/>
    <row r="313" customFormat="1" s="93"/>
    <row r="314" customFormat="1" s="93"/>
    <row r="315" customFormat="1" s="93"/>
    <row r="316" customFormat="1" s="93"/>
    <row r="317" customFormat="1" s="93"/>
    <row r="318" customFormat="1" s="93"/>
    <row r="319" customFormat="1" s="93"/>
    <row r="320" customFormat="1" s="93"/>
    <row r="321" customFormat="1" s="93"/>
    <row r="322" customFormat="1" s="93"/>
    <row r="323" customFormat="1" s="93"/>
    <row r="324" customFormat="1" s="93"/>
    <row r="325" customFormat="1" s="93"/>
    <row r="326" customFormat="1" s="93"/>
    <row r="327" customFormat="1" s="93"/>
    <row r="328" customFormat="1" s="93"/>
    <row r="329" customFormat="1" s="93"/>
    <row r="330" customFormat="1" s="93"/>
    <row r="331" customFormat="1" s="93"/>
    <row r="332" customFormat="1" s="93"/>
    <row r="333" customFormat="1" s="93"/>
    <row r="334" customFormat="1" s="93"/>
    <row r="335" customFormat="1" s="93"/>
    <row r="336" customFormat="1" s="93"/>
    <row r="337" customFormat="1" s="93"/>
    <row r="338" customFormat="1" s="93"/>
    <row r="339" customFormat="1" s="93"/>
    <row r="340" customFormat="1" s="93"/>
    <row r="341" customFormat="1" s="93"/>
    <row r="342" customFormat="1" s="93"/>
    <row r="343" customFormat="1" s="93"/>
    <row r="344" customFormat="1" s="93"/>
    <row r="345" customFormat="1" s="93"/>
    <row r="346" customFormat="1" s="93"/>
    <row r="347" customFormat="1" s="93"/>
    <row r="348" customFormat="1" s="93"/>
    <row r="349" customFormat="1" s="93"/>
    <row r="350" customFormat="1" s="93"/>
    <row r="351" customFormat="1" s="93"/>
    <row r="352" customFormat="1" s="93"/>
    <row r="353" customFormat="1" s="93"/>
    <row r="354" customFormat="1" s="93"/>
    <row r="355" customFormat="1" s="93"/>
    <row r="356" customFormat="1" s="93"/>
    <row r="357" customFormat="1" s="93"/>
    <row r="358" customFormat="1" s="93"/>
    <row r="359" customFormat="1" s="93"/>
    <row r="360" customFormat="1" s="93"/>
    <row r="361" customFormat="1" s="93"/>
    <row r="362" customFormat="1" s="93"/>
    <row r="363" customFormat="1" s="93"/>
    <row r="364" customFormat="1" s="93"/>
    <row r="365" customFormat="1" s="93"/>
    <row r="366" customFormat="1" s="93"/>
    <row r="367" customFormat="1" s="93"/>
    <row r="368" customFormat="1" s="93"/>
    <row r="369" customFormat="1" s="93"/>
    <row r="370" customFormat="1" s="93"/>
    <row r="371" customFormat="1" s="93"/>
    <row r="372" customFormat="1" s="93"/>
    <row r="373" customFormat="1" s="93"/>
    <row r="374" customFormat="1" s="93"/>
    <row r="375" customFormat="1" s="93"/>
    <row r="376" customFormat="1" s="93"/>
    <row r="377" customFormat="1" s="93"/>
    <row r="378" customFormat="1" s="93"/>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7">
    <tabColor rgb="FF0070C0"/>
    <outlinePr summaryBelow="1" summaryRight="1"/>
    <pageSetUpPr/>
  </sheetPr>
  <dimension ref="A1:AH98"/>
  <sheetViews>
    <sheetView zoomScale="130" zoomScaleNormal="130" workbookViewId="0">
      <selection activeCell="AH95" sqref="AH95"/>
    </sheetView>
  </sheetViews>
  <sheetFormatPr baseColWidth="10" defaultColWidth="8.83203125" defaultRowHeight="15"/>
  <cols>
    <col width="8.33203125" bestFit="1" customWidth="1" style="93" min="1" max="1"/>
    <col width="13.1640625" bestFit="1" customWidth="1" style="89" min="2" max="2"/>
    <col width="8.1640625" bestFit="1" customWidth="1" style="89" min="3" max="3"/>
    <col width="8.33203125" bestFit="1" customWidth="1" style="89" min="4" max="4"/>
    <col width="8.1640625" bestFit="1" customWidth="1" style="89" min="5" max="6"/>
    <col width="8.33203125" bestFit="1" customWidth="1" style="89" min="7" max="13"/>
    <col width="8.1640625" bestFit="1" customWidth="1" style="89" min="14" max="14"/>
    <col width="8.33203125" bestFit="1" customWidth="1" style="89" min="15" max="16"/>
    <col width="8.1640625" bestFit="1" customWidth="1" style="89" min="17" max="17"/>
    <col width="8.33203125" bestFit="1" customWidth="1" style="89" min="18" max="18"/>
    <col width="8.1640625" bestFit="1" customWidth="1" style="89" min="19" max="20"/>
    <col width="8.33203125" bestFit="1" customWidth="1" style="89" min="21" max="21"/>
    <col width="8.1640625" bestFit="1" customWidth="1" style="89" min="22" max="25"/>
    <col width="8.33203125" bestFit="1" customWidth="1" style="89" min="26" max="26"/>
    <col width="8.1640625" bestFit="1" customWidth="1" style="89" min="27" max="27"/>
    <col width="6.1640625" customWidth="1" style="93" min="28" max="28"/>
    <col width="8" bestFit="1" customWidth="1" style="93" min="29" max="29"/>
    <col width="15" bestFit="1" customWidth="1" style="93" min="30" max="30"/>
    <col width="8" bestFit="1" customWidth="1" style="93" min="31" max="31"/>
    <col width="9.1640625" customWidth="1" style="93" min="32" max="33"/>
    <col width="18.1640625" bestFit="1" customWidth="1" style="93" min="34" max="34"/>
    <col width="9.1640625" customWidth="1" style="93"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93">
      <c r="AD2" s="93" t="inlineStr">
        <is>
          <t>Last month</t>
        </is>
      </c>
      <c r="AE2" s="4">
        <f>'Table yoy'!AE2</f>
        <v/>
      </c>
      <c r="AH2" s="93" t="inlineStr">
        <is>
          <t>modify max/min/avg</t>
        </is>
      </c>
    </row>
    <row r="3" ht="75.75" customHeight="1" s="89">
      <c r="B3" s="5" t="n"/>
      <c r="C3" s="6" t="inlineStr">
        <is>
          <t>US</t>
        </is>
      </c>
      <c r="D3" s="7" t="inlineStr">
        <is>
          <t xml:space="preserve">China </t>
        </is>
      </c>
      <c r="E3" s="8" t="inlineStr">
        <is>
          <t>Eurozone</t>
        </is>
      </c>
      <c r="F3" s="9" t="inlineStr">
        <is>
          <t xml:space="preserve">Japan </t>
        </is>
      </c>
      <c r="G3" s="10" t="inlineStr">
        <is>
          <t>Germany</t>
        </is>
      </c>
      <c r="H3" s="10" t="inlineStr">
        <is>
          <t>France</t>
        </is>
      </c>
      <c r="I3" s="10" t="inlineStr">
        <is>
          <t>UK</t>
        </is>
      </c>
      <c r="J3" s="10" t="inlineStr">
        <is>
          <t xml:space="preserve">Italy </t>
        </is>
      </c>
      <c r="K3" s="10" t="inlineStr">
        <is>
          <t>Spain</t>
        </is>
      </c>
      <c r="L3" s="10" t="inlineStr">
        <is>
          <t>Sweden</t>
        </is>
      </c>
      <c r="M3" s="10" t="inlineStr">
        <is>
          <t>Mexico</t>
        </is>
      </c>
      <c r="N3" s="10" t="inlineStr">
        <is>
          <t>Russia</t>
        </is>
      </c>
      <c r="O3" s="10" t="inlineStr">
        <is>
          <t>India</t>
        </is>
      </c>
      <c r="P3" s="10" t="inlineStr">
        <is>
          <t>Canada</t>
        </is>
      </c>
      <c r="Q3" s="10" t="inlineStr">
        <is>
          <t>Australia</t>
        </is>
      </c>
      <c r="R3" s="11" t="inlineStr">
        <is>
          <t>Switzerland</t>
        </is>
      </c>
      <c r="S3" s="10" t="inlineStr">
        <is>
          <t xml:space="preserve">S Korea </t>
        </is>
      </c>
      <c r="T3" s="10" t="inlineStr">
        <is>
          <t>Brazil</t>
        </is>
      </c>
      <c r="U3" s="10" t="inlineStr">
        <is>
          <t>Greece</t>
        </is>
      </c>
      <c r="V3" s="10" t="inlineStr">
        <is>
          <t>Ireland</t>
        </is>
      </c>
      <c r="W3" s="10" t="inlineStr">
        <is>
          <t>Turkey</t>
        </is>
      </c>
      <c r="X3" s="10" t="inlineStr">
        <is>
          <t xml:space="preserve">Czech </t>
        </is>
      </c>
      <c r="Y3" s="10" t="inlineStr">
        <is>
          <t>Poland</t>
        </is>
      </c>
      <c r="Z3" s="10" t="inlineStr">
        <is>
          <t>Argentina</t>
        </is>
      </c>
      <c r="AA3" s="10" t="inlineStr">
        <is>
          <t>New Zealand</t>
        </is>
      </c>
      <c r="AD3" s="12" t="inlineStr">
        <is>
          <t>Previous Quarter</t>
        </is>
      </c>
      <c r="AE3" s="13">
        <f>'Table yoy'!AE3</f>
        <v/>
      </c>
    </row>
    <row r="4" ht="16" customHeight="1" s="89" thickBot="1">
      <c r="B4" s="5" t="inlineStr">
        <is>
          <t>max 1y</t>
        </is>
      </c>
      <c r="C4" s="30">
        <f>MAX(C90:C93)</f>
        <v/>
      </c>
      <c r="D4" s="30">
        <f>MAX(D90:D93)</f>
        <v/>
      </c>
      <c r="E4" s="30">
        <f>MAX(E90:E93)</f>
        <v/>
      </c>
      <c r="F4" s="30">
        <f>MAX(F90:F93)</f>
        <v/>
      </c>
      <c r="G4" s="30">
        <f>MAX(G90:G93)</f>
        <v/>
      </c>
      <c r="H4" s="30">
        <f>MAX(H90:H93)</f>
        <v/>
      </c>
      <c r="I4" s="30">
        <f>MAX(I90:I93)</f>
        <v/>
      </c>
      <c r="J4" s="30">
        <f>MAX(J90:J93)</f>
        <v/>
      </c>
      <c r="K4" s="30">
        <f>MAX(K90:K93)</f>
        <v/>
      </c>
      <c r="L4" s="30">
        <f>MAX(L90:L93)</f>
        <v/>
      </c>
      <c r="M4" s="30">
        <f>MAX(M90:M93)</f>
        <v/>
      </c>
      <c r="N4" s="30">
        <f>MAX(N90:N93)</f>
        <v/>
      </c>
      <c r="O4" s="30">
        <f>MAX(O90:O93)</f>
        <v/>
      </c>
      <c r="P4" s="30">
        <f>MAX(P90:P93)</f>
        <v/>
      </c>
      <c r="Q4" s="30">
        <f>MAX(Q90:Q93)</f>
        <v/>
      </c>
      <c r="R4" s="30">
        <f>MAX(R90:R93)</f>
        <v/>
      </c>
      <c r="S4" s="30">
        <f>MAX(S90:S93)</f>
        <v/>
      </c>
      <c r="T4" s="30">
        <f>MAX(T90:T93)</f>
        <v/>
      </c>
      <c r="U4" s="30">
        <f>MAX(U90:U93)</f>
        <v/>
      </c>
      <c r="V4" s="30">
        <f>MAX(V90:V93)</f>
        <v/>
      </c>
      <c r="W4" s="30">
        <f>MAX(W90:W93)</f>
        <v/>
      </c>
      <c r="X4" s="30">
        <f>MAX(X90:X93)</f>
        <v/>
      </c>
      <c r="Y4" s="30">
        <f>MAX(Y90:Y93)</f>
        <v/>
      </c>
      <c r="Z4" s="30">
        <f>MAX(Z90:Z93)</f>
        <v/>
      </c>
      <c r="AA4" s="30">
        <f>MAX(AA90:AA93)</f>
        <v/>
      </c>
      <c r="AD4" s="15" t="inlineStr">
        <is>
          <t>12 months</t>
        </is>
      </c>
      <c r="AE4" s="16">
        <f>'Table yoy'!AE4</f>
        <v/>
      </c>
    </row>
    <row r="5">
      <c r="B5" s="5" t="inlineStr">
        <is>
          <t>min 1y</t>
        </is>
      </c>
      <c r="C5" s="30">
        <f>MIN(C90:C93)</f>
        <v/>
      </c>
      <c r="D5" s="30">
        <f>MIN(D90:D93)</f>
        <v/>
      </c>
      <c r="E5" s="30">
        <f>MIN(E90:E93)</f>
        <v/>
      </c>
      <c r="F5" s="30">
        <f>MIN(F90:F93)</f>
        <v/>
      </c>
      <c r="G5" s="30">
        <f>MIN(G90:G93)</f>
        <v/>
      </c>
      <c r="H5" s="30">
        <f>MIN(H90:H93)</f>
        <v/>
      </c>
      <c r="I5" s="30">
        <f>MIN(I90:I93)</f>
        <v/>
      </c>
      <c r="J5" s="30">
        <f>MIN(J90:J93)</f>
        <v/>
      </c>
      <c r="K5" s="30">
        <f>MIN(K90:K93)</f>
        <v/>
      </c>
      <c r="L5" s="30">
        <f>MIN(L90:L93)</f>
        <v/>
      </c>
      <c r="M5" s="30">
        <f>MIN(M90:M93)</f>
        <v/>
      </c>
      <c r="N5" s="30">
        <f>MIN(N90:N93)</f>
        <v/>
      </c>
      <c r="O5" s="30">
        <f>MIN(O90:O93)</f>
        <v/>
      </c>
      <c r="P5" s="30">
        <f>MIN(P90:P93)</f>
        <v/>
      </c>
      <c r="Q5" s="30">
        <f>MIN(Q90:Q93)</f>
        <v/>
      </c>
      <c r="R5" s="30">
        <f>MIN(R90:R93)</f>
        <v/>
      </c>
      <c r="S5" s="30">
        <f>MIN(S90:S93)</f>
        <v/>
      </c>
      <c r="T5" s="30">
        <f>MIN(T90:T93)</f>
        <v/>
      </c>
      <c r="U5" s="30">
        <f>MIN(U90:U93)</f>
        <v/>
      </c>
      <c r="V5" s="30">
        <f>MIN(V90:V93)</f>
        <v/>
      </c>
      <c r="W5" s="30">
        <f>MIN(W90:W93)</f>
        <v/>
      </c>
      <c r="X5" s="30">
        <f>MIN(X90:X93)</f>
        <v/>
      </c>
      <c r="Y5" s="30">
        <f>MIN(Y90:Y93)</f>
        <v/>
      </c>
      <c r="Z5" s="30">
        <f>MIN(Z90:Z93)</f>
        <v/>
      </c>
      <c r="AA5" s="30">
        <f>MIN(AA90:AA93)</f>
        <v/>
      </c>
      <c r="AC5" s="17" t="inlineStr">
        <is>
          <t>SPREAD</t>
        </is>
      </c>
      <c r="AE5" s="18" t="n"/>
    </row>
    <row r="6">
      <c r="B6" s="5" t="inlineStr">
        <is>
          <t>1y avg</t>
        </is>
      </c>
      <c r="C6" s="30">
        <f>AVERAGE(C90:C93)</f>
        <v/>
      </c>
      <c r="D6" s="30">
        <f>AVERAGE(D90:D93)</f>
        <v/>
      </c>
      <c r="E6" s="30">
        <f>AVERAGE(E90:E93)</f>
        <v/>
      </c>
      <c r="F6" s="30">
        <f>AVERAGE(F90:F93)</f>
        <v/>
      </c>
      <c r="G6" s="30">
        <f>AVERAGE(G90:G93)</f>
        <v/>
      </c>
      <c r="H6" s="30">
        <f>AVERAGE(H90:H93)</f>
        <v/>
      </c>
      <c r="I6" s="30">
        <f>AVERAGE(I90:I93)</f>
        <v/>
      </c>
      <c r="J6" s="30">
        <f>AVERAGE(J90:J93)</f>
        <v/>
      </c>
      <c r="K6" s="30">
        <f>AVERAGE(K90:K93)</f>
        <v/>
      </c>
      <c r="L6" s="30">
        <f>AVERAGE(L90:L93)</f>
        <v/>
      </c>
      <c r="M6" s="30">
        <f>AVERAGE(M90:M93)</f>
        <v/>
      </c>
      <c r="N6" s="30">
        <f>AVERAGE(N90:N93)</f>
        <v/>
      </c>
      <c r="O6" s="30">
        <f>AVERAGE(O90:O93)</f>
        <v/>
      </c>
      <c r="P6" s="30">
        <f>AVERAGE(P90:P93)</f>
        <v/>
      </c>
      <c r="Q6" s="30">
        <f>AVERAGE(Q90:Q93)</f>
        <v/>
      </c>
      <c r="R6" s="30">
        <f>AVERAGE(R90:R93)</f>
        <v/>
      </c>
      <c r="S6" s="30">
        <f>AVERAGE(S90:S93)</f>
        <v/>
      </c>
      <c r="T6" s="30">
        <f>AVERAGE(T90:T93)</f>
        <v/>
      </c>
      <c r="U6" s="30">
        <f>AVERAGE(U90:U93)</f>
        <v/>
      </c>
      <c r="V6" s="30">
        <f>AVERAGE(V90:V93)</f>
        <v/>
      </c>
      <c r="W6" s="30">
        <f>AVERAGE(W90:W93)</f>
        <v/>
      </c>
      <c r="X6" s="30">
        <f>AVERAGE(X90:X93)</f>
        <v/>
      </c>
      <c r="Y6" s="30">
        <f>AVERAGE(Y90:Y93)</f>
        <v/>
      </c>
      <c r="Z6" s="30">
        <f>AVERAGE(Z90:Z93)</f>
        <v/>
      </c>
      <c r="AA6" s="30">
        <f>AVERAGE(AA90:AA93)</f>
        <v/>
      </c>
      <c r="AC6" s="19" t="n"/>
      <c r="AD6" s="93" t="inlineStr">
        <is>
          <t>Country 1</t>
        </is>
      </c>
      <c r="AE6" s="18" t="inlineStr">
        <is>
          <t>EA19</t>
        </is>
      </c>
    </row>
    <row r="7" ht="16" customHeight="1" s="89" thickBot="1">
      <c r="B7" s="5" t="inlineStr">
        <is>
          <t>Last vs 12m avg</t>
        </is>
      </c>
      <c r="C7" s="14">
        <f>IF((VLOOKUP($AE$2,$B:$AA,MATCH(C3,$B$3:$AA$3,),))&gt;C6,"above","below")</f>
        <v/>
      </c>
      <c r="D7" s="14">
        <f>IF((VLOOKUP($AE$2,$B:$AA,MATCH(D3,$B$3:$AA$3,),))&gt;D6,"above","below")</f>
        <v/>
      </c>
      <c r="E7" s="14">
        <f>IF((VLOOKUP($AE$2,$B:$AA,MATCH(E3,$B$3:$AA$3,),))&gt;E6,"above","below")</f>
        <v/>
      </c>
      <c r="F7" s="14">
        <f>IF((VLOOKUP($AE$2,$B:$AA,MATCH(F3,$B$3:$AA$3,),))&gt;F6,"above","below")</f>
        <v/>
      </c>
      <c r="G7" s="14">
        <f>IF((VLOOKUP($AE$2,$B:$AA,MATCH(G3,$B$3:$AA$3,),))&gt;G6,"above","below")</f>
        <v/>
      </c>
      <c r="H7" s="14">
        <f>IF((VLOOKUP($AE$2,$B:$AA,MATCH(H3,$B$3:$AA$3,),))&gt;H6,"above","below")</f>
        <v/>
      </c>
      <c r="I7" s="14">
        <f>IF((VLOOKUP($AE$2,$B:$AA,MATCH(I3,$B$3:$AA$3,),))&gt;I6,"above","below")</f>
        <v/>
      </c>
      <c r="J7" s="14">
        <f>IF((VLOOKUP($AE$2,$B:$AA,MATCH(J3,$B$3:$AA$3,),))&gt;J6,"above","below")</f>
        <v/>
      </c>
      <c r="K7" s="14">
        <f>IF((VLOOKUP($AE$2,$B:$AA,MATCH(K3,$B$3:$AA$3,),))&gt;K6,"above","below")</f>
        <v/>
      </c>
      <c r="L7" s="14">
        <f>IF((VLOOKUP($AE$2,$B:$AA,MATCH(L3,$B$3:$AA$3,),))&gt;L6,"above","below")</f>
        <v/>
      </c>
      <c r="M7" s="14">
        <f>IF((VLOOKUP($AE$2,$B:$AA,MATCH(M3,$B$3:$AA$3,),))&gt;M6,"above","below")</f>
        <v/>
      </c>
      <c r="N7" s="14">
        <f>IF((VLOOKUP($AE$2,$B:$AA,MATCH(N3,$B$3:$AA$3,),))&gt;N6,"above","below")</f>
        <v/>
      </c>
      <c r="O7" s="14">
        <f>IF((VLOOKUP($AE$2,$B:$AA,MATCH(O3,$B$3:$AA$3,),))&gt;O6,"above","below")</f>
        <v/>
      </c>
      <c r="P7" s="14">
        <f>IF((VLOOKUP($AE$2,$B:$AA,MATCH(P3,$B$3:$AA$3,),))&gt;P6,"above","below")</f>
        <v/>
      </c>
      <c r="Q7" s="14">
        <f>IF((VLOOKUP($AE$2,$B:$AA,MATCH(Q3,$B$3:$AA$3,),))&gt;Q6,"above","below")</f>
        <v/>
      </c>
      <c r="R7" s="14">
        <f>IF((VLOOKUP($AE$2,$B:$AA,MATCH(R3,$B$3:$AA$3,),))&gt;R6,"above","below")</f>
        <v/>
      </c>
      <c r="S7" s="14">
        <f>IF((VLOOKUP($AE$2,$B:$AA,MATCH(S3,$B$3:$AA$3,),))&gt;S6,"above","below")</f>
        <v/>
      </c>
      <c r="T7" s="14">
        <f>IF((VLOOKUP($AE$2,$B:$AA,MATCH(T3,$B$3:$AA$3,),))&gt;T6,"above","below")</f>
        <v/>
      </c>
      <c r="U7" s="14">
        <f>IF((VLOOKUP($AE$2,$B:$AA,MATCH(U3,$B$3:$AA$3,),))&gt;U6,"above","below")</f>
        <v/>
      </c>
      <c r="V7" s="14">
        <f>IF((VLOOKUP($AE$2,$B:$AA,MATCH(V3,$B$3:$AA$3,),))&gt;V6,"above","below")</f>
        <v/>
      </c>
      <c r="W7" s="14">
        <f>IF((VLOOKUP($AE$2,$B:$AA,MATCH(W3,$B$3:$AA$3,),))&gt;W6,"above","below")</f>
        <v/>
      </c>
      <c r="X7" s="14">
        <f>IF((VLOOKUP($AE$2,$B:$AA,MATCH(X3,$B$3:$AA$3,),))&gt;X6,"above","below")</f>
        <v/>
      </c>
      <c r="Y7" s="14">
        <f>IF((VLOOKUP($AE$2,$B:$AA,MATCH(Y3,$B$3:$AA$3,),))&gt;Y6,"above","below")</f>
        <v/>
      </c>
      <c r="Z7" s="14">
        <f>IF((VLOOKUP($AE$2,$B:$AA,MATCH(Z3,$B$3:$AA$3,),))&gt;Z6,"above","below")</f>
        <v/>
      </c>
      <c r="AA7" s="14">
        <f>IF((VLOOKUP($AE$2,$B:$AA,MATCH(AA3,$B$3:$AA$3,),))&gt;AA6,"above","below")</f>
        <v/>
      </c>
      <c r="AC7" s="20" t="n"/>
      <c r="AD7" s="21" t="inlineStr">
        <is>
          <t>Country 2</t>
        </is>
      </c>
      <c r="AE7" s="22" t="inlineStr">
        <is>
          <t>GBR</t>
        </is>
      </c>
    </row>
    <row r="8">
      <c r="B8" s="5" t="inlineStr">
        <is>
          <t>Y/Y</t>
        </is>
      </c>
      <c r="C8" s="29">
        <f>VLOOKUP($AE$2,$B:$AA,MATCH(C3,$B$3:$AA$3,),)-VLOOKUP($AE$4,$B:$AA,MATCH(C3,$B$3:$AA$3,),)</f>
        <v/>
      </c>
      <c r="D8" s="29">
        <f>VLOOKUP($AE$2,$B:$AA,MATCH(D3,$B$3:$AA$3,),)-VLOOKUP($AE$4,$B:$AA,MATCH(D3,$B$3:$AA$3,),)</f>
        <v/>
      </c>
      <c r="E8" s="29">
        <f>VLOOKUP($AE$2,$B:$AA,MATCH(E3,$B$3:$AA$3,),)-VLOOKUP($AE$4,$B:$AA,MATCH(E3,$B$3:$AA$3,),)</f>
        <v/>
      </c>
      <c r="F8" s="29">
        <f>VLOOKUP($AE$2,$B:$AA,MATCH(F3,$B$3:$AA$3,),)-VLOOKUP($AE$4,$B:$AA,MATCH(F3,$B$3:$AA$3,),)</f>
        <v/>
      </c>
      <c r="G8" s="29">
        <f>VLOOKUP($AE$2,$B:$AA,MATCH(G3,$B$3:$AA$3,),)-VLOOKUP($AE$4,$B:$AA,MATCH(G3,$B$3:$AA$3,),)</f>
        <v/>
      </c>
      <c r="H8" s="29">
        <f>VLOOKUP($AE$2,$B:$AA,MATCH(H3,$B$3:$AA$3,),)-VLOOKUP($AE$4,$B:$AA,MATCH(H3,$B$3:$AA$3,),)</f>
        <v/>
      </c>
      <c r="I8" s="29">
        <f>VLOOKUP($AE$2,$B:$AA,MATCH(I3,$B$3:$AA$3,),)-VLOOKUP($AE$4,$B:$AA,MATCH(I3,$B$3:$AA$3,),)</f>
        <v/>
      </c>
      <c r="J8" s="29">
        <f>VLOOKUP($AE$2,$B:$AA,MATCH(J3,$B$3:$AA$3,),)-VLOOKUP($AE$4,$B:$AA,MATCH(J3,$B$3:$AA$3,),)</f>
        <v/>
      </c>
      <c r="K8" s="29">
        <f>VLOOKUP($AE$2,$B:$AA,MATCH(K3,$B$3:$AA$3,),)-VLOOKUP($AE$4,$B:$AA,MATCH(K3,$B$3:$AA$3,),)</f>
        <v/>
      </c>
      <c r="L8" s="29">
        <f>VLOOKUP($AE$2,$B:$AA,MATCH(L3,$B$3:$AA$3,),)-VLOOKUP($AE$4,$B:$AA,MATCH(L3,$B$3:$AA$3,),)</f>
        <v/>
      </c>
      <c r="M8" s="29">
        <f>VLOOKUP($AE$2,$B:$AA,MATCH(M3,$B$3:$AA$3,),)-VLOOKUP($AE$4,$B:$AA,MATCH(M3,$B$3:$AA$3,),)</f>
        <v/>
      </c>
      <c r="N8" s="29">
        <f>VLOOKUP($AE$2,$B:$AA,MATCH(N3,$B$3:$AA$3,),)-VLOOKUP($AE$4,$B:$AA,MATCH(N3,$B$3:$AA$3,),)</f>
        <v/>
      </c>
      <c r="O8" s="29">
        <f>VLOOKUP($AE$2,$B:$AA,MATCH(O3,$B$3:$AA$3,),)-VLOOKUP($AE$4,$B:$AA,MATCH(O3,$B$3:$AA$3,),)</f>
        <v/>
      </c>
      <c r="P8" s="29">
        <f>VLOOKUP($AE$2,$B:$AA,MATCH(P3,$B$3:$AA$3,),)-VLOOKUP($AE$4,$B:$AA,MATCH(P3,$B$3:$AA$3,),)</f>
        <v/>
      </c>
      <c r="Q8" s="29">
        <f>VLOOKUP($AE$2,$B:$AA,MATCH(Q3,$B$3:$AA$3,),)-VLOOKUP($AE$4,$B:$AA,MATCH(Q3,$B$3:$AA$3,),)</f>
        <v/>
      </c>
      <c r="R8" s="29">
        <f>VLOOKUP($AE$2,$B:$AA,MATCH(R3,$B$3:$AA$3,),)-VLOOKUP($AE$4,$B:$AA,MATCH(R3,$B$3:$AA$3,),)</f>
        <v/>
      </c>
      <c r="S8" s="29">
        <f>VLOOKUP($AE$2,$B:$AA,MATCH(S3,$B$3:$AA$3,),)-VLOOKUP($AE$4,$B:$AA,MATCH(S3,$B$3:$AA$3,),)</f>
        <v/>
      </c>
      <c r="T8" s="29">
        <f>VLOOKUP($AE$2,$B:$AA,MATCH(T3,$B$3:$AA$3,),)-VLOOKUP($AE$4,$B:$AA,MATCH(T3,$B$3:$AA$3,),)</f>
        <v/>
      </c>
      <c r="U8" s="29">
        <f>VLOOKUP($AE$2,$B:$AA,MATCH(U3,$B$3:$AA$3,),)-VLOOKUP($AE$4,$B:$AA,MATCH(U3,$B$3:$AA$3,),)</f>
        <v/>
      </c>
      <c r="V8" s="29">
        <f>VLOOKUP($AE$2,$B:$AA,MATCH(V3,$B$3:$AA$3,),)-VLOOKUP($AE$4,$B:$AA,MATCH(V3,$B$3:$AA$3,),)</f>
        <v/>
      </c>
      <c r="W8" s="29">
        <f>VLOOKUP($AE$2,$B:$AA,MATCH(W3,$B$3:$AA$3,),)-VLOOKUP($AE$4,$B:$AA,MATCH(W3,$B$3:$AA$3,),)</f>
        <v/>
      </c>
      <c r="X8" s="29">
        <f>VLOOKUP($AE$2,$B:$AA,MATCH(X3,$B$3:$AA$3,),)-VLOOKUP($AE$4,$B:$AA,MATCH(X3,$B$3:$AA$3,),)</f>
        <v/>
      </c>
      <c r="Y8" s="29">
        <f>VLOOKUP($AE$2,$B:$AA,MATCH(Y3,$B$3:$AA$3,),)-VLOOKUP($AE$4,$B:$AA,MATCH(Y3,$B$3:$AA$3,),)</f>
        <v/>
      </c>
      <c r="Z8" s="29">
        <f>VLOOKUP($AE$2,$B:$AA,MATCH(Z3,$B$3:$AA$3,),)-VLOOKUP($AE$4,$B:$AA,MATCH(Z3,$B$3:$AA$3,),)</f>
        <v/>
      </c>
      <c r="AA8" s="29">
        <f>VLOOKUP($AE$2,$B:$AA,MATCH(AA3,$B$3:$AA$3,),)-VLOOKUP($AE$4,$B:$AA,MATCH(AA3,$B$3:$AA$3,),)</f>
        <v/>
      </c>
    </row>
    <row r="9">
      <c r="B9" s="5" t="inlineStr">
        <is>
          <t>Q/Q</t>
        </is>
      </c>
      <c r="C9" s="30">
        <f>VLOOKUP($AE$2,$B:$AA,MATCH(C3,$B$3:$AA$3,),)-VLOOKUP($AE$3,$B:$AA,MATCH(C3,$B$3:$AA$3,),)</f>
        <v/>
      </c>
      <c r="D9" s="30">
        <f>VLOOKUP($AE$2,$B:$AA,MATCH(D3,$B$3:$AA$3,),)-VLOOKUP($AE$3,$B:$AA,MATCH(D3,$B$3:$AA$3,),)</f>
        <v/>
      </c>
      <c r="E9" s="30">
        <f>VLOOKUP($AE$2,$B:$AA,MATCH(E3,$B$3:$AA$3,),)-VLOOKUP($AE$3,$B:$AA,MATCH(E3,$B$3:$AA$3,),)</f>
        <v/>
      </c>
      <c r="F9" s="30">
        <f>VLOOKUP($AE$2,$B:$AA,MATCH(F3,$B$3:$AA$3,),)-VLOOKUP($AE$3,$B:$AA,MATCH(F3,$B$3:$AA$3,),)</f>
        <v/>
      </c>
      <c r="G9" s="30">
        <f>VLOOKUP($AE$2,$B:$AA,MATCH(G3,$B$3:$AA$3,),)-VLOOKUP($AE$3,$B:$AA,MATCH(G3,$B$3:$AA$3,),)</f>
        <v/>
      </c>
      <c r="H9" s="30">
        <f>VLOOKUP($AE$2,$B:$AA,MATCH(H3,$B$3:$AA$3,),)-VLOOKUP($AE$3,$B:$AA,MATCH(H3,$B$3:$AA$3,),)</f>
        <v/>
      </c>
      <c r="I9" s="30">
        <f>VLOOKUP($AE$2,$B:$AA,MATCH(I3,$B$3:$AA$3,),)-VLOOKUP($AE$3,$B:$AA,MATCH(I3,$B$3:$AA$3,),)</f>
        <v/>
      </c>
      <c r="J9" s="30">
        <f>VLOOKUP($AE$2,$B:$AA,MATCH(J3,$B$3:$AA$3,),)-VLOOKUP($AE$3,$B:$AA,MATCH(J3,$B$3:$AA$3,),)</f>
        <v/>
      </c>
      <c r="K9" s="30">
        <f>VLOOKUP($AE$2,$B:$AA,MATCH(K3,$B$3:$AA$3,),)-VLOOKUP($AE$3,$B:$AA,MATCH(K3,$B$3:$AA$3,),)</f>
        <v/>
      </c>
      <c r="L9" s="30">
        <f>VLOOKUP($AE$2,$B:$AA,MATCH(L3,$B$3:$AA$3,),)-VLOOKUP($AE$3,$B:$AA,MATCH(L3,$B$3:$AA$3,),)</f>
        <v/>
      </c>
      <c r="M9" s="30">
        <f>VLOOKUP($AE$2,$B:$AA,MATCH(M3,$B$3:$AA$3,),)-VLOOKUP($AE$3,$B:$AA,MATCH(M3,$B$3:$AA$3,),)</f>
        <v/>
      </c>
      <c r="N9" s="30">
        <f>VLOOKUP($AE$2,$B:$AA,MATCH(N3,$B$3:$AA$3,),)-VLOOKUP($AE$3,$B:$AA,MATCH(N3,$B$3:$AA$3,),)</f>
        <v/>
      </c>
      <c r="O9" s="30">
        <f>VLOOKUP($AE$2,$B:$AA,MATCH(O3,$B$3:$AA$3,),)-VLOOKUP($AE$3,$B:$AA,MATCH(O3,$B$3:$AA$3,),)</f>
        <v/>
      </c>
      <c r="P9" s="30">
        <f>VLOOKUP($AE$2,$B:$AA,MATCH(P3,$B$3:$AA$3,),)-VLOOKUP($AE$3,$B:$AA,MATCH(P3,$B$3:$AA$3,),)</f>
        <v/>
      </c>
      <c r="Q9" s="30">
        <f>VLOOKUP($AE$2,$B:$AA,MATCH(Q3,$B$3:$AA$3,),)-VLOOKUP($AE$3,$B:$AA,MATCH(Q3,$B$3:$AA$3,),)</f>
        <v/>
      </c>
      <c r="R9" s="30">
        <f>VLOOKUP($AE$2,$B:$AA,MATCH(R3,$B$3:$AA$3,),)-VLOOKUP($AE$3,$B:$AA,MATCH(R3,$B$3:$AA$3,),)</f>
        <v/>
      </c>
      <c r="S9" s="30">
        <f>VLOOKUP($AE$2,$B:$AA,MATCH(S3,$B$3:$AA$3,),)-VLOOKUP($AE$3,$B:$AA,MATCH(S3,$B$3:$AA$3,),)</f>
        <v/>
      </c>
      <c r="T9" s="30">
        <f>VLOOKUP($AE$2,$B:$AA,MATCH(T3,$B$3:$AA$3,),)-VLOOKUP($AE$3,$B:$AA,MATCH(T3,$B$3:$AA$3,),)</f>
        <v/>
      </c>
      <c r="U9" s="30">
        <f>VLOOKUP($AE$2,$B:$AA,MATCH(U3,$B$3:$AA$3,),)-VLOOKUP($AE$3,$B:$AA,MATCH(U3,$B$3:$AA$3,),)</f>
        <v/>
      </c>
      <c r="V9" s="30">
        <f>VLOOKUP($AE$2,$B:$AA,MATCH(V3,$B$3:$AA$3,),)-VLOOKUP($AE$3,$B:$AA,MATCH(V3,$B$3:$AA$3,),)</f>
        <v/>
      </c>
      <c r="W9" s="30">
        <f>VLOOKUP($AE$2,$B:$AA,MATCH(W3,$B$3:$AA$3,),)-VLOOKUP($AE$3,$B:$AA,MATCH(W3,$B$3:$AA$3,),)</f>
        <v/>
      </c>
      <c r="X9" s="30">
        <f>VLOOKUP($AE$2,$B:$AA,MATCH(X3,$B$3:$AA$3,),)-VLOOKUP($AE$3,$B:$AA,MATCH(X3,$B$3:$AA$3,),)</f>
        <v/>
      </c>
      <c r="Y9" s="30">
        <f>VLOOKUP($AE$2,$B:$AA,MATCH(Y3,$B$3:$AA$3,),)-VLOOKUP($AE$3,$B:$AA,MATCH(Y3,$B$3:$AA$3,),)</f>
        <v/>
      </c>
      <c r="Z9" s="30">
        <f>VLOOKUP($AE$2,$B:$AA,MATCH(Z3,$B$3:$AA$3,),)-VLOOKUP($AE$3,$B:$AA,MATCH(Z3,$B$3:$AA$3,),)</f>
        <v/>
      </c>
      <c r="AA9" s="30">
        <f>VLOOKUP($AE$2,$B:$AA,MATCH(AA3,$B$3:$AA$3,),)-VLOOKUP($AE$3,$B:$AA,MATCH(AA3,$B$3:$AA$3,),)</f>
        <v/>
      </c>
    </row>
    <row r="10">
      <c r="B10" s="5"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23" t="n"/>
      <c r="AA10" s="23" t="n"/>
    </row>
    <row r="11" hidden="1" s="89">
      <c r="A11" s="31" t="n">
        <v>36586</v>
      </c>
      <c r="B11" s="25" t="inlineStr">
        <is>
          <t>2000-Q1</t>
        </is>
      </c>
      <c r="C11" s="33">
        <f>(((VLOOKUP(B11,'Data qoq'!$A:$AT,MATCH($C$1,'Data qoq'!$A$1:$AT$1,),))/100+1)^4)-1</f>
        <v/>
      </c>
      <c r="D11" s="33">
        <f>(((VLOOKUP(B11,'Data qoq'!$A:$AT,MATCH($D$1,'Data qoq'!$A$1:$AT$1,),))/100+1)^4)-1</f>
        <v/>
      </c>
      <c r="E11" s="33">
        <f>(((VLOOKUP(B11,'Data qoq'!$A:$AT,MATCH($E$1,'Data qoq'!$A$1:$AT$1,),))/100+1)^4)-1</f>
        <v/>
      </c>
      <c r="F11" s="33">
        <f>(((VLOOKUP(B11,'Data qoq'!$A:$AT,MATCH($F$1,'Data qoq'!$A$1:$AT$1,),))/100+1)^4)-1</f>
        <v/>
      </c>
      <c r="G11" s="33">
        <f>(((VLOOKUP(B11,'Data qoq'!$A:$AT,MATCH($G$1,'Data qoq'!$A$1:$AT$1,),))/100+1)^4)-1</f>
        <v/>
      </c>
      <c r="H11" s="33">
        <f>(((VLOOKUP(B11,'Data qoq'!$A:$AT,MATCH($H$1,'Data qoq'!$A$1:$AT$1,),))/100+1)^4)-1</f>
        <v/>
      </c>
      <c r="I11" s="33">
        <f>(((VLOOKUP(B11,'Data qoq'!$A:$AT,MATCH($I$1,'Data qoq'!$A$1:$AT$1,),))/100+1)^4)-1</f>
        <v/>
      </c>
      <c r="J11" s="33">
        <f>(((VLOOKUP(B11,'Data qoq'!$A:$AT,MATCH($J$1,'Data qoq'!$A$1:$AT$1,),))/100+1)^4)-1</f>
        <v/>
      </c>
      <c r="K11" s="33">
        <f>(((VLOOKUP(B11,'Data qoq'!$A:$AT,MATCH($K$1,'Data qoq'!$A$1:$AT$1,),))/100+1)^4)-1</f>
        <v/>
      </c>
      <c r="L11" s="33">
        <f>(((VLOOKUP(B11,'Data qoq'!$A:$AT,MATCH($L$1,'Data qoq'!$A$1:$AT$1,),))/100+1)^4)-1</f>
        <v/>
      </c>
      <c r="M11" s="33">
        <f>(((VLOOKUP(B11,'Data qoq'!$A:$AT,MATCH($M$1,'Data qoq'!$A$1:$AT$1,),))/100+1)^4)-1</f>
        <v/>
      </c>
      <c r="N11" s="33">
        <f>(((VLOOKUP(B11,'Data qoq'!$A:$AT,MATCH($N$1,'Data qoq'!$A$1:$AT$1,),))/100+1)^4)-1</f>
        <v/>
      </c>
      <c r="O11" s="33">
        <f>(((VLOOKUP(B11,'Data qoq'!$A:$AT,MATCH($O$1,'Data qoq'!$A$1:$AT$1,),))/100+1)^4)-1</f>
        <v/>
      </c>
      <c r="P11" s="33">
        <f>(((VLOOKUP(B11,'Data qoq'!$A:$AT,MATCH($P$1,'Data qoq'!$A$1:$AT$1,),))/100+1)^4)-1</f>
        <v/>
      </c>
      <c r="Q11" s="33">
        <f>(((VLOOKUP(B11,'Data qoq'!$A:$AT,MATCH($Q$1,'Data qoq'!$A$1:$AT$1,),))/100+1)^4)-1</f>
        <v/>
      </c>
      <c r="R11" s="33">
        <f>(((VLOOKUP(B11,'Data qoq'!$A:$AT,MATCH($R$1,'Data qoq'!$A$1:$AT$1,),))/100+1)^4)-1</f>
        <v/>
      </c>
      <c r="S11" s="33">
        <f>(((VLOOKUP(B11,'Data qoq'!$A:$AT,MATCH($S$1,'Data qoq'!$A$1:$AT$1,),))/100+1)^4)-1</f>
        <v/>
      </c>
      <c r="T11" s="33">
        <f>(((VLOOKUP(B11,'Data qoq'!$A:$AT,MATCH($T$1,'Data qoq'!$A$1:$AT$1,),))/100+1)^4)-1</f>
        <v/>
      </c>
      <c r="U11" s="33">
        <f>(((VLOOKUP(B11,'Data qoq'!$A:$AT,MATCH($U$1,'Data qoq'!$A$1:$AT$1,),))/100+1)^4)-1</f>
        <v/>
      </c>
      <c r="V11" s="33">
        <f>(((VLOOKUP(B11,'Data qoq'!$A:$AT,MATCH($V$1,'Data qoq'!$A$1:$AT$1,),))/100+1)^4)-1</f>
        <v/>
      </c>
      <c r="W11" s="33">
        <f>(((VLOOKUP(B11,'Data qoq'!$A:$AT,MATCH($W$1,'Data qoq'!$A$1:$AT$1,),))/100+1)^4)-1</f>
        <v/>
      </c>
      <c r="X11" s="33">
        <f>(((VLOOKUP(B11,'Data qoq'!$A:$AT,MATCH($X$1,'Data qoq'!$A$1:$AT$1,),))/100+1)^4)-1</f>
        <v/>
      </c>
      <c r="Y11" s="33">
        <f>(((VLOOKUP(B11,'Data qoq'!$A:$AT,MATCH($Y$1,'Data qoq'!$A$1:$AT$1,),))/100+1)^4)-1</f>
        <v/>
      </c>
      <c r="Z11" s="33">
        <f>(((VLOOKUP(B11,'Data qoq'!$A:$AU,MATCH($Z$1,'Data qoq'!$A$1:$AU$1,),))/100+1)^4)-1</f>
        <v/>
      </c>
      <c r="AA11" s="33">
        <f>(((VLOOKUP(B11,'Data qoq'!$A:$AU,MATCH($AA$1,'Data qoq'!$A$1:$AU$1,),))/100+1)^4)-1</f>
        <v/>
      </c>
      <c r="AC11" s="27">
        <f>B11</f>
        <v/>
      </c>
      <c r="AD11" s="32">
        <f>(VLOOKUP(AC11,B:Y,MATCH($AE$6,$B$1:$Y$1,),))-(VLOOKUP(AC11,B:Y,MATCH($AE$7,$B$1:$Y$1,),))</f>
        <v/>
      </c>
      <c r="AE11" s="28" t="n"/>
    </row>
    <row r="12" hidden="1" s="89">
      <c r="A12" s="31" t="n">
        <v>36678</v>
      </c>
      <c r="B12" s="25" t="inlineStr">
        <is>
          <t>2000-Q2</t>
        </is>
      </c>
      <c r="C12" s="33">
        <f>(((VLOOKUP(B12,'Data qoq'!$A:$AT,MATCH($C$1,'Data qoq'!$A$1:$AT$1,),))/100+1)^4)-1</f>
        <v/>
      </c>
      <c r="D12" s="33">
        <f>(((VLOOKUP(B12,'Data qoq'!$A:$AT,MATCH($D$1,'Data qoq'!$A$1:$AT$1,),))/100+1)^4)-1</f>
        <v/>
      </c>
      <c r="E12" s="33">
        <f>(((VLOOKUP(B12,'Data qoq'!$A:$AT,MATCH($E$1,'Data qoq'!$A$1:$AT$1,),))/100+1)^4)-1</f>
        <v/>
      </c>
      <c r="F12" s="33">
        <f>(((VLOOKUP(B12,'Data qoq'!$A:$AT,MATCH($F$1,'Data qoq'!$A$1:$AT$1,),))/100+1)^4)-1</f>
        <v/>
      </c>
      <c r="G12" s="33">
        <f>(((VLOOKUP(B12,'Data qoq'!$A:$AT,MATCH($G$1,'Data qoq'!$A$1:$AT$1,),))/100+1)^4)-1</f>
        <v/>
      </c>
      <c r="H12" s="33">
        <f>(((VLOOKUP(B12,'Data qoq'!$A:$AT,MATCH($H$1,'Data qoq'!$A$1:$AT$1,),))/100+1)^4)-1</f>
        <v/>
      </c>
      <c r="I12" s="33">
        <f>(((VLOOKUP(B12,'Data qoq'!$A:$AT,MATCH($I$1,'Data qoq'!$A$1:$AT$1,),))/100+1)^4)-1</f>
        <v/>
      </c>
      <c r="J12" s="33">
        <f>(((VLOOKUP(B12,'Data qoq'!$A:$AT,MATCH($J$1,'Data qoq'!$A$1:$AT$1,),))/100+1)^4)-1</f>
        <v/>
      </c>
      <c r="K12" s="33">
        <f>(((VLOOKUP(B12,'Data qoq'!$A:$AT,MATCH($K$1,'Data qoq'!$A$1:$AT$1,),))/100+1)^4)-1</f>
        <v/>
      </c>
      <c r="L12" s="33">
        <f>(((VLOOKUP(B12,'Data qoq'!$A:$AT,MATCH($L$1,'Data qoq'!$A$1:$AT$1,),))/100+1)^4)-1</f>
        <v/>
      </c>
      <c r="M12" s="33">
        <f>(((VLOOKUP(B12,'Data qoq'!$A:$AT,MATCH($M$1,'Data qoq'!$A$1:$AT$1,),))/100+1)^4)-1</f>
        <v/>
      </c>
      <c r="N12" s="33">
        <f>(((VLOOKUP(B12,'Data qoq'!$A:$AT,MATCH($N$1,'Data qoq'!$A$1:$AT$1,),))/100+1)^4)-1</f>
        <v/>
      </c>
      <c r="O12" s="33">
        <f>(((VLOOKUP(B12,'Data qoq'!$A:$AT,MATCH($O$1,'Data qoq'!$A$1:$AT$1,),))/100+1)^4)-1</f>
        <v/>
      </c>
      <c r="P12" s="33">
        <f>(((VLOOKUP(B12,'Data qoq'!$A:$AT,MATCH($P$1,'Data qoq'!$A$1:$AT$1,),))/100+1)^4)-1</f>
        <v/>
      </c>
      <c r="Q12" s="33">
        <f>(((VLOOKUP(B12,'Data qoq'!$A:$AT,MATCH($Q$1,'Data qoq'!$A$1:$AT$1,),))/100+1)^4)-1</f>
        <v/>
      </c>
      <c r="R12" s="33">
        <f>(((VLOOKUP(B12,'Data qoq'!$A:$AT,MATCH($R$1,'Data qoq'!$A$1:$AT$1,),))/100+1)^4)-1</f>
        <v/>
      </c>
      <c r="S12" s="33">
        <f>(((VLOOKUP(B12,'Data qoq'!$A:$AT,MATCH($S$1,'Data qoq'!$A$1:$AT$1,),))/100+1)^4)-1</f>
        <v/>
      </c>
      <c r="T12" s="33">
        <f>(((VLOOKUP(B12,'Data qoq'!$A:$AT,MATCH($T$1,'Data qoq'!$A$1:$AT$1,),))/100+1)^4)-1</f>
        <v/>
      </c>
      <c r="U12" s="33">
        <f>(((VLOOKUP(B12,'Data qoq'!$A:$AT,MATCH($U$1,'Data qoq'!$A$1:$AT$1,),))/100+1)^4)-1</f>
        <v/>
      </c>
      <c r="V12" s="33">
        <f>(((VLOOKUP(B12,'Data qoq'!$A:$AT,MATCH($V$1,'Data qoq'!$A$1:$AT$1,),))/100+1)^4)-1</f>
        <v/>
      </c>
      <c r="W12" s="33">
        <f>(((VLOOKUP(B12,'Data qoq'!$A:$AT,MATCH($W$1,'Data qoq'!$A$1:$AT$1,),))/100+1)^4)-1</f>
        <v/>
      </c>
      <c r="X12" s="33">
        <f>(((VLOOKUP(B12,'Data qoq'!$A:$AT,MATCH($X$1,'Data qoq'!$A$1:$AT$1,),))/100+1)^4)-1</f>
        <v/>
      </c>
      <c r="Y12" s="33">
        <f>(((VLOOKUP(B12,'Data qoq'!$A:$AT,MATCH($Y$1,'Data qoq'!$A$1:$AT$1,),))/100+1)^4)-1</f>
        <v/>
      </c>
      <c r="Z12" s="33">
        <f>(((VLOOKUP(B12,'Data qoq'!$A:$AU,MATCH($Z$1,'Data qoq'!$A$1:$AU$1,),))/100+1)^4)-1</f>
        <v/>
      </c>
      <c r="AA12" s="33">
        <f>(((VLOOKUP(B12,'Data qoq'!$A:$AU,MATCH($AA$1,'Data qoq'!$A$1:$AU$1,),))/100+1)^4)-1</f>
        <v/>
      </c>
      <c r="AC12" s="27">
        <f>B12</f>
        <v/>
      </c>
      <c r="AD12" s="32">
        <f>(VLOOKUP(AC12,B:Y,MATCH($AE$6,$B$1:$Y$1,),))-(VLOOKUP(AC12,B:Y,MATCH($AE$7,$B$1:$Y$1,),))</f>
        <v/>
      </c>
      <c r="AE12" s="28" t="n"/>
    </row>
    <row r="13" hidden="1" s="89">
      <c r="A13" s="31" t="n">
        <v>36770</v>
      </c>
      <c r="B13" s="25" t="inlineStr">
        <is>
          <t>2000-Q3</t>
        </is>
      </c>
      <c r="C13" s="33">
        <f>(((VLOOKUP(B13,'Data qoq'!$A:$AT,MATCH($C$1,'Data qoq'!$A$1:$AT$1,),))/100+1)^4)-1</f>
        <v/>
      </c>
      <c r="D13" s="33">
        <f>(((VLOOKUP(B13,'Data qoq'!$A:$AT,MATCH($D$1,'Data qoq'!$A$1:$AT$1,),))/100+1)^4)-1</f>
        <v/>
      </c>
      <c r="E13" s="33">
        <f>(((VLOOKUP(B13,'Data qoq'!$A:$AT,MATCH($E$1,'Data qoq'!$A$1:$AT$1,),))/100+1)^4)-1</f>
        <v/>
      </c>
      <c r="F13" s="33">
        <f>(((VLOOKUP(B13,'Data qoq'!$A:$AT,MATCH($F$1,'Data qoq'!$A$1:$AT$1,),))/100+1)^4)-1</f>
        <v/>
      </c>
      <c r="G13" s="33">
        <f>(((VLOOKUP(B13,'Data qoq'!$A:$AT,MATCH($G$1,'Data qoq'!$A$1:$AT$1,),))/100+1)^4)-1</f>
        <v/>
      </c>
      <c r="H13" s="33">
        <f>(((VLOOKUP(B13,'Data qoq'!$A:$AT,MATCH($H$1,'Data qoq'!$A$1:$AT$1,),))/100+1)^4)-1</f>
        <v/>
      </c>
      <c r="I13" s="33">
        <f>(((VLOOKUP(B13,'Data qoq'!$A:$AT,MATCH($I$1,'Data qoq'!$A$1:$AT$1,),))/100+1)^4)-1</f>
        <v/>
      </c>
      <c r="J13" s="33">
        <f>(((VLOOKUP(B13,'Data qoq'!$A:$AT,MATCH($J$1,'Data qoq'!$A$1:$AT$1,),))/100+1)^4)-1</f>
        <v/>
      </c>
      <c r="K13" s="33">
        <f>(((VLOOKUP(B13,'Data qoq'!$A:$AT,MATCH($K$1,'Data qoq'!$A$1:$AT$1,),))/100+1)^4)-1</f>
        <v/>
      </c>
      <c r="L13" s="33">
        <f>(((VLOOKUP(B13,'Data qoq'!$A:$AT,MATCH($L$1,'Data qoq'!$A$1:$AT$1,),))/100+1)^4)-1</f>
        <v/>
      </c>
      <c r="M13" s="33">
        <f>(((VLOOKUP(B13,'Data qoq'!$A:$AT,MATCH($M$1,'Data qoq'!$A$1:$AT$1,),))/100+1)^4)-1</f>
        <v/>
      </c>
      <c r="N13" s="33">
        <f>(((VLOOKUP(B13,'Data qoq'!$A:$AT,MATCH($N$1,'Data qoq'!$A$1:$AT$1,),))/100+1)^4)-1</f>
        <v/>
      </c>
      <c r="O13" s="33">
        <f>(((VLOOKUP(B13,'Data qoq'!$A:$AT,MATCH($O$1,'Data qoq'!$A$1:$AT$1,),))/100+1)^4)-1</f>
        <v/>
      </c>
      <c r="P13" s="33">
        <f>(((VLOOKUP(B13,'Data qoq'!$A:$AT,MATCH($P$1,'Data qoq'!$A$1:$AT$1,),))/100+1)^4)-1</f>
        <v/>
      </c>
      <c r="Q13" s="33">
        <f>(((VLOOKUP(B13,'Data qoq'!$A:$AT,MATCH($Q$1,'Data qoq'!$A$1:$AT$1,),))/100+1)^4)-1</f>
        <v/>
      </c>
      <c r="R13" s="33">
        <f>(((VLOOKUP(B13,'Data qoq'!$A:$AT,MATCH($R$1,'Data qoq'!$A$1:$AT$1,),))/100+1)^4)-1</f>
        <v/>
      </c>
      <c r="S13" s="33">
        <f>(((VLOOKUP(B13,'Data qoq'!$A:$AT,MATCH($S$1,'Data qoq'!$A$1:$AT$1,),))/100+1)^4)-1</f>
        <v/>
      </c>
      <c r="T13" s="33">
        <f>(((VLOOKUP(B13,'Data qoq'!$A:$AT,MATCH($T$1,'Data qoq'!$A$1:$AT$1,),))/100+1)^4)-1</f>
        <v/>
      </c>
      <c r="U13" s="33">
        <f>(((VLOOKUP(B13,'Data qoq'!$A:$AT,MATCH($U$1,'Data qoq'!$A$1:$AT$1,),))/100+1)^4)-1</f>
        <v/>
      </c>
      <c r="V13" s="33">
        <f>(((VLOOKUP(B13,'Data qoq'!$A:$AT,MATCH($V$1,'Data qoq'!$A$1:$AT$1,),))/100+1)^4)-1</f>
        <v/>
      </c>
      <c r="W13" s="33">
        <f>(((VLOOKUP(B13,'Data qoq'!$A:$AT,MATCH($W$1,'Data qoq'!$A$1:$AT$1,),))/100+1)^4)-1</f>
        <v/>
      </c>
      <c r="X13" s="33">
        <f>(((VLOOKUP(B13,'Data qoq'!$A:$AT,MATCH($X$1,'Data qoq'!$A$1:$AT$1,),))/100+1)^4)-1</f>
        <v/>
      </c>
      <c r="Y13" s="33">
        <f>(((VLOOKUP(B13,'Data qoq'!$A:$AT,MATCH($Y$1,'Data qoq'!$A$1:$AT$1,),))/100+1)^4)-1</f>
        <v/>
      </c>
      <c r="Z13" s="33">
        <f>(((VLOOKUP(B13,'Data qoq'!$A:$AU,MATCH($Z$1,'Data qoq'!$A$1:$AU$1,),))/100+1)^4)-1</f>
        <v/>
      </c>
      <c r="AA13" s="33">
        <f>(((VLOOKUP(B13,'Data qoq'!$A:$AU,MATCH($AA$1,'Data qoq'!$A$1:$AU$1,),))/100+1)^4)-1</f>
        <v/>
      </c>
      <c r="AC13" s="27">
        <f>B13</f>
        <v/>
      </c>
      <c r="AD13" s="32">
        <f>(VLOOKUP(AC13,B:Y,MATCH($AE$6,$B$1:$Y$1,),))-(VLOOKUP(AC13,B:Y,MATCH($AE$7,$B$1:$Y$1,),))</f>
        <v/>
      </c>
      <c r="AE13" s="28" t="n"/>
    </row>
    <row r="14" hidden="1" s="89">
      <c r="A14" s="31" t="n">
        <v>36861</v>
      </c>
      <c r="B14" s="25" t="inlineStr">
        <is>
          <t>2000-Q4</t>
        </is>
      </c>
      <c r="C14" s="33">
        <f>(((VLOOKUP(B14,'Data qoq'!$A:$AT,MATCH($C$1,'Data qoq'!$A$1:$AT$1,),))/100+1)^4)-1</f>
        <v/>
      </c>
      <c r="D14" s="33">
        <f>(((VLOOKUP(B14,'Data qoq'!$A:$AT,MATCH($D$1,'Data qoq'!$A$1:$AT$1,),))/100+1)^4)-1</f>
        <v/>
      </c>
      <c r="E14" s="33">
        <f>(((VLOOKUP(B14,'Data qoq'!$A:$AT,MATCH($E$1,'Data qoq'!$A$1:$AT$1,),))/100+1)^4)-1</f>
        <v/>
      </c>
      <c r="F14" s="33">
        <f>(((VLOOKUP(B14,'Data qoq'!$A:$AT,MATCH($F$1,'Data qoq'!$A$1:$AT$1,),))/100+1)^4)-1</f>
        <v/>
      </c>
      <c r="G14" s="33">
        <f>(((VLOOKUP(B14,'Data qoq'!$A:$AT,MATCH($G$1,'Data qoq'!$A$1:$AT$1,),))/100+1)^4)-1</f>
        <v/>
      </c>
      <c r="H14" s="33">
        <f>(((VLOOKUP(B14,'Data qoq'!$A:$AT,MATCH($H$1,'Data qoq'!$A$1:$AT$1,),))/100+1)^4)-1</f>
        <v/>
      </c>
      <c r="I14" s="33">
        <f>(((VLOOKUP(B14,'Data qoq'!$A:$AT,MATCH($I$1,'Data qoq'!$A$1:$AT$1,),))/100+1)^4)-1</f>
        <v/>
      </c>
      <c r="J14" s="33">
        <f>(((VLOOKUP(B14,'Data qoq'!$A:$AT,MATCH($J$1,'Data qoq'!$A$1:$AT$1,),))/100+1)^4)-1</f>
        <v/>
      </c>
      <c r="K14" s="33">
        <f>(((VLOOKUP(B14,'Data qoq'!$A:$AT,MATCH($K$1,'Data qoq'!$A$1:$AT$1,),))/100+1)^4)-1</f>
        <v/>
      </c>
      <c r="L14" s="33">
        <f>(((VLOOKUP(B14,'Data qoq'!$A:$AT,MATCH($L$1,'Data qoq'!$A$1:$AT$1,),))/100+1)^4)-1</f>
        <v/>
      </c>
      <c r="M14" s="33">
        <f>(((VLOOKUP(B14,'Data qoq'!$A:$AT,MATCH($M$1,'Data qoq'!$A$1:$AT$1,),))/100+1)^4)-1</f>
        <v/>
      </c>
      <c r="N14" s="33">
        <f>(((VLOOKUP(B14,'Data qoq'!$A:$AT,MATCH($N$1,'Data qoq'!$A$1:$AT$1,),))/100+1)^4)-1</f>
        <v/>
      </c>
      <c r="O14" s="33">
        <f>(((VLOOKUP(B14,'Data qoq'!$A:$AT,MATCH($O$1,'Data qoq'!$A$1:$AT$1,),))/100+1)^4)-1</f>
        <v/>
      </c>
      <c r="P14" s="33">
        <f>(((VLOOKUP(B14,'Data qoq'!$A:$AT,MATCH($P$1,'Data qoq'!$A$1:$AT$1,),))/100+1)^4)-1</f>
        <v/>
      </c>
      <c r="Q14" s="33">
        <f>(((VLOOKUP(B14,'Data qoq'!$A:$AT,MATCH($Q$1,'Data qoq'!$A$1:$AT$1,),))/100+1)^4)-1</f>
        <v/>
      </c>
      <c r="R14" s="33">
        <f>(((VLOOKUP(B14,'Data qoq'!$A:$AT,MATCH($R$1,'Data qoq'!$A$1:$AT$1,),))/100+1)^4)-1</f>
        <v/>
      </c>
      <c r="S14" s="33">
        <f>(((VLOOKUP(B14,'Data qoq'!$A:$AT,MATCH($S$1,'Data qoq'!$A$1:$AT$1,),))/100+1)^4)-1</f>
        <v/>
      </c>
      <c r="T14" s="33">
        <f>(((VLOOKUP(B14,'Data qoq'!$A:$AT,MATCH($T$1,'Data qoq'!$A$1:$AT$1,),))/100+1)^4)-1</f>
        <v/>
      </c>
      <c r="U14" s="33">
        <f>(((VLOOKUP(B14,'Data qoq'!$A:$AT,MATCH($U$1,'Data qoq'!$A$1:$AT$1,),))/100+1)^4)-1</f>
        <v/>
      </c>
      <c r="V14" s="33">
        <f>(((VLOOKUP(B14,'Data qoq'!$A:$AT,MATCH($V$1,'Data qoq'!$A$1:$AT$1,),))/100+1)^4)-1</f>
        <v/>
      </c>
      <c r="W14" s="33">
        <f>(((VLOOKUP(B14,'Data qoq'!$A:$AT,MATCH($W$1,'Data qoq'!$A$1:$AT$1,),))/100+1)^4)-1</f>
        <v/>
      </c>
      <c r="X14" s="33">
        <f>(((VLOOKUP(B14,'Data qoq'!$A:$AT,MATCH($X$1,'Data qoq'!$A$1:$AT$1,),))/100+1)^4)-1</f>
        <v/>
      </c>
      <c r="Y14" s="33">
        <f>(((VLOOKUP(B14,'Data qoq'!$A:$AT,MATCH($Y$1,'Data qoq'!$A$1:$AT$1,),))/100+1)^4)-1</f>
        <v/>
      </c>
      <c r="Z14" s="33">
        <f>(((VLOOKUP(B14,'Data qoq'!$A:$AU,MATCH($Z$1,'Data qoq'!$A$1:$AU$1,),))/100+1)^4)-1</f>
        <v/>
      </c>
      <c r="AA14" s="33">
        <f>(((VLOOKUP(B14,'Data qoq'!$A:$AU,MATCH($AA$1,'Data qoq'!$A$1:$AU$1,),))/100+1)^4)-1</f>
        <v/>
      </c>
      <c r="AC14" s="27">
        <f>B14</f>
        <v/>
      </c>
      <c r="AD14" s="32">
        <f>(VLOOKUP(AC14,B:Y,MATCH($AE$6,$B$1:$Y$1,),))-(VLOOKUP(AC14,B:Y,MATCH($AE$7,$B$1:$Y$1,),))</f>
        <v/>
      </c>
      <c r="AE14" s="28" t="n"/>
    </row>
    <row r="15" hidden="1" s="89">
      <c r="A15" s="31" t="n">
        <v>36951</v>
      </c>
      <c r="B15" s="25" t="inlineStr">
        <is>
          <t>2001-Q1</t>
        </is>
      </c>
      <c r="C15" s="33">
        <f>(((VLOOKUP(B15,'Data qoq'!$A:$AT,MATCH($C$1,'Data qoq'!$A$1:$AT$1,),))/100+1)^4)-1</f>
        <v/>
      </c>
      <c r="D15" s="33">
        <f>(((VLOOKUP(B15,'Data qoq'!$A:$AT,MATCH($D$1,'Data qoq'!$A$1:$AT$1,),))/100+1)^4)-1</f>
        <v/>
      </c>
      <c r="E15" s="33">
        <f>(((VLOOKUP(B15,'Data qoq'!$A:$AT,MATCH($E$1,'Data qoq'!$A$1:$AT$1,),))/100+1)^4)-1</f>
        <v/>
      </c>
      <c r="F15" s="33">
        <f>(((VLOOKUP(B15,'Data qoq'!$A:$AT,MATCH($F$1,'Data qoq'!$A$1:$AT$1,),))/100+1)^4)-1</f>
        <v/>
      </c>
      <c r="G15" s="33">
        <f>(((VLOOKUP(B15,'Data qoq'!$A:$AT,MATCH($G$1,'Data qoq'!$A$1:$AT$1,),))/100+1)^4)-1</f>
        <v/>
      </c>
      <c r="H15" s="33">
        <f>(((VLOOKUP(B15,'Data qoq'!$A:$AT,MATCH($H$1,'Data qoq'!$A$1:$AT$1,),))/100+1)^4)-1</f>
        <v/>
      </c>
      <c r="I15" s="33">
        <f>(((VLOOKUP(B15,'Data qoq'!$A:$AT,MATCH($I$1,'Data qoq'!$A$1:$AT$1,),))/100+1)^4)-1</f>
        <v/>
      </c>
      <c r="J15" s="33">
        <f>(((VLOOKUP(B15,'Data qoq'!$A:$AT,MATCH($J$1,'Data qoq'!$A$1:$AT$1,),))/100+1)^4)-1</f>
        <v/>
      </c>
      <c r="K15" s="33">
        <f>(((VLOOKUP(B15,'Data qoq'!$A:$AT,MATCH($K$1,'Data qoq'!$A$1:$AT$1,),))/100+1)^4)-1</f>
        <v/>
      </c>
      <c r="L15" s="33">
        <f>(((VLOOKUP(B15,'Data qoq'!$A:$AT,MATCH($L$1,'Data qoq'!$A$1:$AT$1,),))/100+1)^4)-1</f>
        <v/>
      </c>
      <c r="M15" s="33">
        <f>(((VLOOKUP(B15,'Data qoq'!$A:$AT,MATCH($M$1,'Data qoq'!$A$1:$AT$1,),))/100+1)^4)-1</f>
        <v/>
      </c>
      <c r="N15" s="33">
        <f>(((VLOOKUP(B15,'Data qoq'!$A:$AT,MATCH($N$1,'Data qoq'!$A$1:$AT$1,),))/100+1)^4)-1</f>
        <v/>
      </c>
      <c r="O15" s="33">
        <f>(((VLOOKUP(B15,'Data qoq'!$A:$AT,MATCH($O$1,'Data qoq'!$A$1:$AT$1,),))/100+1)^4)-1</f>
        <v/>
      </c>
      <c r="P15" s="33">
        <f>(((VLOOKUP(B15,'Data qoq'!$A:$AT,MATCH($P$1,'Data qoq'!$A$1:$AT$1,),))/100+1)^4)-1</f>
        <v/>
      </c>
      <c r="Q15" s="33">
        <f>(((VLOOKUP(B15,'Data qoq'!$A:$AT,MATCH($Q$1,'Data qoq'!$A$1:$AT$1,),))/100+1)^4)-1</f>
        <v/>
      </c>
      <c r="R15" s="33">
        <f>(((VLOOKUP(B15,'Data qoq'!$A:$AT,MATCH($R$1,'Data qoq'!$A$1:$AT$1,),))/100+1)^4)-1</f>
        <v/>
      </c>
      <c r="S15" s="33">
        <f>(((VLOOKUP(B15,'Data qoq'!$A:$AT,MATCH($S$1,'Data qoq'!$A$1:$AT$1,),))/100+1)^4)-1</f>
        <v/>
      </c>
      <c r="T15" s="33">
        <f>(((VLOOKUP(B15,'Data qoq'!$A:$AT,MATCH($T$1,'Data qoq'!$A$1:$AT$1,),))/100+1)^4)-1</f>
        <v/>
      </c>
      <c r="U15" s="33">
        <f>(((VLOOKUP(B15,'Data qoq'!$A:$AT,MATCH($U$1,'Data qoq'!$A$1:$AT$1,),))/100+1)^4)-1</f>
        <v/>
      </c>
      <c r="V15" s="33">
        <f>(((VLOOKUP(B15,'Data qoq'!$A:$AT,MATCH($V$1,'Data qoq'!$A$1:$AT$1,),))/100+1)^4)-1</f>
        <v/>
      </c>
      <c r="W15" s="33">
        <f>(((VLOOKUP(B15,'Data qoq'!$A:$AT,MATCH($W$1,'Data qoq'!$A$1:$AT$1,),))/100+1)^4)-1</f>
        <v/>
      </c>
      <c r="X15" s="33">
        <f>(((VLOOKUP(B15,'Data qoq'!$A:$AT,MATCH($X$1,'Data qoq'!$A$1:$AT$1,),))/100+1)^4)-1</f>
        <v/>
      </c>
      <c r="Y15" s="33">
        <f>(((VLOOKUP(B15,'Data qoq'!$A:$AT,MATCH($Y$1,'Data qoq'!$A$1:$AT$1,),))/100+1)^4)-1</f>
        <v/>
      </c>
      <c r="Z15" s="33">
        <f>(((VLOOKUP(B15,'Data qoq'!$A:$AU,MATCH($Z$1,'Data qoq'!$A$1:$AU$1,),))/100+1)^4)-1</f>
        <v/>
      </c>
      <c r="AA15" s="33">
        <f>(((VLOOKUP(B15,'Data qoq'!$A:$AU,MATCH($AA$1,'Data qoq'!$A$1:$AU$1,),))/100+1)^4)-1</f>
        <v/>
      </c>
      <c r="AC15" s="27">
        <f>B15</f>
        <v/>
      </c>
      <c r="AD15" s="32">
        <f>(VLOOKUP(AC15,B:Y,MATCH($AE$6,$B$1:$Y$1,),))-(VLOOKUP(AC15,B:Y,MATCH($AE$7,$B$1:$Y$1,),))</f>
        <v/>
      </c>
      <c r="AE15" s="28" t="n"/>
    </row>
    <row r="16" hidden="1" s="89">
      <c r="A16" s="31" t="n">
        <v>37043</v>
      </c>
      <c r="B16" s="25" t="inlineStr">
        <is>
          <t>2001-Q2</t>
        </is>
      </c>
      <c r="C16" s="33">
        <f>(((VLOOKUP(B16,'Data qoq'!$A:$AT,MATCH($C$1,'Data qoq'!$A$1:$AT$1,),))/100+1)^4)-1</f>
        <v/>
      </c>
      <c r="D16" s="33">
        <f>(((VLOOKUP(B16,'Data qoq'!$A:$AT,MATCH($D$1,'Data qoq'!$A$1:$AT$1,),))/100+1)^4)-1</f>
        <v/>
      </c>
      <c r="E16" s="33">
        <f>(((VLOOKUP(B16,'Data qoq'!$A:$AT,MATCH($E$1,'Data qoq'!$A$1:$AT$1,),))/100+1)^4)-1</f>
        <v/>
      </c>
      <c r="F16" s="33">
        <f>(((VLOOKUP(B16,'Data qoq'!$A:$AT,MATCH($F$1,'Data qoq'!$A$1:$AT$1,),))/100+1)^4)-1</f>
        <v/>
      </c>
      <c r="G16" s="33">
        <f>(((VLOOKUP(B16,'Data qoq'!$A:$AT,MATCH($G$1,'Data qoq'!$A$1:$AT$1,),))/100+1)^4)-1</f>
        <v/>
      </c>
      <c r="H16" s="33">
        <f>(((VLOOKUP(B16,'Data qoq'!$A:$AT,MATCH($H$1,'Data qoq'!$A$1:$AT$1,),))/100+1)^4)-1</f>
        <v/>
      </c>
      <c r="I16" s="33">
        <f>(((VLOOKUP(B16,'Data qoq'!$A:$AT,MATCH($I$1,'Data qoq'!$A$1:$AT$1,),))/100+1)^4)-1</f>
        <v/>
      </c>
      <c r="J16" s="33">
        <f>(((VLOOKUP(B16,'Data qoq'!$A:$AT,MATCH($J$1,'Data qoq'!$A$1:$AT$1,),))/100+1)^4)-1</f>
        <v/>
      </c>
      <c r="K16" s="33">
        <f>(((VLOOKUP(B16,'Data qoq'!$A:$AT,MATCH($K$1,'Data qoq'!$A$1:$AT$1,),))/100+1)^4)-1</f>
        <v/>
      </c>
      <c r="L16" s="33">
        <f>(((VLOOKUP(B16,'Data qoq'!$A:$AT,MATCH($L$1,'Data qoq'!$A$1:$AT$1,),))/100+1)^4)-1</f>
        <v/>
      </c>
      <c r="M16" s="33">
        <f>(((VLOOKUP(B16,'Data qoq'!$A:$AT,MATCH($M$1,'Data qoq'!$A$1:$AT$1,),))/100+1)^4)-1</f>
        <v/>
      </c>
      <c r="N16" s="33">
        <f>(((VLOOKUP(B16,'Data qoq'!$A:$AT,MATCH($N$1,'Data qoq'!$A$1:$AT$1,),))/100+1)^4)-1</f>
        <v/>
      </c>
      <c r="O16" s="33">
        <f>(((VLOOKUP(B16,'Data qoq'!$A:$AT,MATCH($O$1,'Data qoq'!$A$1:$AT$1,),))/100+1)^4)-1</f>
        <v/>
      </c>
      <c r="P16" s="33">
        <f>(((VLOOKUP(B16,'Data qoq'!$A:$AT,MATCH($P$1,'Data qoq'!$A$1:$AT$1,),))/100+1)^4)-1</f>
        <v/>
      </c>
      <c r="Q16" s="33">
        <f>(((VLOOKUP(B16,'Data qoq'!$A:$AT,MATCH($Q$1,'Data qoq'!$A$1:$AT$1,),))/100+1)^4)-1</f>
        <v/>
      </c>
      <c r="R16" s="33">
        <f>(((VLOOKUP(B16,'Data qoq'!$A:$AT,MATCH($R$1,'Data qoq'!$A$1:$AT$1,),))/100+1)^4)-1</f>
        <v/>
      </c>
      <c r="S16" s="33">
        <f>(((VLOOKUP(B16,'Data qoq'!$A:$AT,MATCH($S$1,'Data qoq'!$A$1:$AT$1,),))/100+1)^4)-1</f>
        <v/>
      </c>
      <c r="T16" s="33">
        <f>(((VLOOKUP(B16,'Data qoq'!$A:$AT,MATCH($T$1,'Data qoq'!$A$1:$AT$1,),))/100+1)^4)-1</f>
        <v/>
      </c>
      <c r="U16" s="33">
        <f>(((VLOOKUP(B16,'Data qoq'!$A:$AT,MATCH($U$1,'Data qoq'!$A$1:$AT$1,),))/100+1)^4)-1</f>
        <v/>
      </c>
      <c r="V16" s="33">
        <f>(((VLOOKUP(B16,'Data qoq'!$A:$AT,MATCH($V$1,'Data qoq'!$A$1:$AT$1,),))/100+1)^4)-1</f>
        <v/>
      </c>
      <c r="W16" s="33">
        <f>(((VLOOKUP(B16,'Data qoq'!$A:$AT,MATCH($W$1,'Data qoq'!$A$1:$AT$1,),))/100+1)^4)-1</f>
        <v/>
      </c>
      <c r="X16" s="33">
        <f>(((VLOOKUP(B16,'Data qoq'!$A:$AT,MATCH($X$1,'Data qoq'!$A$1:$AT$1,),))/100+1)^4)-1</f>
        <v/>
      </c>
      <c r="Y16" s="33">
        <f>(((VLOOKUP(B16,'Data qoq'!$A:$AT,MATCH($Y$1,'Data qoq'!$A$1:$AT$1,),))/100+1)^4)-1</f>
        <v/>
      </c>
      <c r="Z16" s="33">
        <f>(((VLOOKUP(B16,'Data qoq'!$A:$AU,MATCH($Z$1,'Data qoq'!$A$1:$AU$1,),))/100+1)^4)-1</f>
        <v/>
      </c>
      <c r="AA16" s="33">
        <f>(((VLOOKUP(B16,'Data qoq'!$A:$AU,MATCH($AA$1,'Data qoq'!$A$1:$AU$1,),))/100+1)^4)-1</f>
        <v/>
      </c>
      <c r="AC16" s="27">
        <f>B16</f>
        <v/>
      </c>
      <c r="AD16" s="32">
        <f>(VLOOKUP(AC16,B:Y,MATCH($AE$6,$B$1:$Y$1,),))-(VLOOKUP(AC16,B:Y,MATCH($AE$7,$B$1:$Y$1,),))</f>
        <v/>
      </c>
      <c r="AE16" s="28" t="n"/>
    </row>
    <row r="17" hidden="1" s="89">
      <c r="A17" s="31" t="n">
        <v>37135</v>
      </c>
      <c r="B17" s="25" t="inlineStr">
        <is>
          <t>2001-Q3</t>
        </is>
      </c>
      <c r="C17" s="33">
        <f>(((VLOOKUP(B17,'Data qoq'!$A:$AT,MATCH($C$1,'Data qoq'!$A$1:$AT$1,),))/100+1)^4)-1</f>
        <v/>
      </c>
      <c r="D17" s="33">
        <f>(((VLOOKUP(B17,'Data qoq'!$A:$AT,MATCH($D$1,'Data qoq'!$A$1:$AT$1,),))/100+1)^4)-1</f>
        <v/>
      </c>
      <c r="E17" s="33">
        <f>(((VLOOKUP(B17,'Data qoq'!$A:$AT,MATCH($E$1,'Data qoq'!$A$1:$AT$1,),))/100+1)^4)-1</f>
        <v/>
      </c>
      <c r="F17" s="33">
        <f>(((VLOOKUP(B17,'Data qoq'!$A:$AT,MATCH($F$1,'Data qoq'!$A$1:$AT$1,),))/100+1)^4)-1</f>
        <v/>
      </c>
      <c r="G17" s="33">
        <f>(((VLOOKUP(B17,'Data qoq'!$A:$AT,MATCH($G$1,'Data qoq'!$A$1:$AT$1,),))/100+1)^4)-1</f>
        <v/>
      </c>
      <c r="H17" s="33">
        <f>(((VLOOKUP(B17,'Data qoq'!$A:$AT,MATCH($H$1,'Data qoq'!$A$1:$AT$1,),))/100+1)^4)-1</f>
        <v/>
      </c>
      <c r="I17" s="33">
        <f>(((VLOOKUP(B17,'Data qoq'!$A:$AT,MATCH($I$1,'Data qoq'!$A$1:$AT$1,),))/100+1)^4)-1</f>
        <v/>
      </c>
      <c r="J17" s="33">
        <f>(((VLOOKUP(B17,'Data qoq'!$A:$AT,MATCH($J$1,'Data qoq'!$A$1:$AT$1,),))/100+1)^4)-1</f>
        <v/>
      </c>
      <c r="K17" s="33">
        <f>(((VLOOKUP(B17,'Data qoq'!$A:$AT,MATCH($K$1,'Data qoq'!$A$1:$AT$1,),))/100+1)^4)-1</f>
        <v/>
      </c>
      <c r="L17" s="33">
        <f>(((VLOOKUP(B17,'Data qoq'!$A:$AT,MATCH($L$1,'Data qoq'!$A$1:$AT$1,),))/100+1)^4)-1</f>
        <v/>
      </c>
      <c r="M17" s="33">
        <f>(((VLOOKUP(B17,'Data qoq'!$A:$AT,MATCH($M$1,'Data qoq'!$A$1:$AT$1,),))/100+1)^4)-1</f>
        <v/>
      </c>
      <c r="N17" s="33">
        <f>(((VLOOKUP(B17,'Data qoq'!$A:$AT,MATCH($N$1,'Data qoq'!$A$1:$AT$1,),))/100+1)^4)-1</f>
        <v/>
      </c>
      <c r="O17" s="33">
        <f>(((VLOOKUP(B17,'Data qoq'!$A:$AT,MATCH($O$1,'Data qoq'!$A$1:$AT$1,),))/100+1)^4)-1</f>
        <v/>
      </c>
      <c r="P17" s="33">
        <f>(((VLOOKUP(B17,'Data qoq'!$A:$AT,MATCH($P$1,'Data qoq'!$A$1:$AT$1,),))/100+1)^4)-1</f>
        <v/>
      </c>
      <c r="Q17" s="33">
        <f>(((VLOOKUP(B17,'Data qoq'!$A:$AT,MATCH($Q$1,'Data qoq'!$A$1:$AT$1,),))/100+1)^4)-1</f>
        <v/>
      </c>
      <c r="R17" s="33">
        <f>(((VLOOKUP(B17,'Data qoq'!$A:$AT,MATCH($R$1,'Data qoq'!$A$1:$AT$1,),))/100+1)^4)-1</f>
        <v/>
      </c>
      <c r="S17" s="33">
        <f>(((VLOOKUP(B17,'Data qoq'!$A:$AT,MATCH($S$1,'Data qoq'!$A$1:$AT$1,),))/100+1)^4)-1</f>
        <v/>
      </c>
      <c r="T17" s="33">
        <f>(((VLOOKUP(B17,'Data qoq'!$A:$AT,MATCH($T$1,'Data qoq'!$A$1:$AT$1,),))/100+1)^4)-1</f>
        <v/>
      </c>
      <c r="U17" s="33">
        <f>(((VLOOKUP(B17,'Data qoq'!$A:$AT,MATCH($U$1,'Data qoq'!$A$1:$AT$1,),))/100+1)^4)-1</f>
        <v/>
      </c>
      <c r="V17" s="33">
        <f>(((VLOOKUP(B17,'Data qoq'!$A:$AT,MATCH($V$1,'Data qoq'!$A$1:$AT$1,),))/100+1)^4)-1</f>
        <v/>
      </c>
      <c r="W17" s="33">
        <f>(((VLOOKUP(B17,'Data qoq'!$A:$AT,MATCH($W$1,'Data qoq'!$A$1:$AT$1,),))/100+1)^4)-1</f>
        <v/>
      </c>
      <c r="X17" s="33">
        <f>(((VLOOKUP(B17,'Data qoq'!$A:$AT,MATCH($X$1,'Data qoq'!$A$1:$AT$1,),))/100+1)^4)-1</f>
        <v/>
      </c>
      <c r="Y17" s="33">
        <f>(((VLOOKUP(B17,'Data qoq'!$A:$AT,MATCH($Y$1,'Data qoq'!$A$1:$AT$1,),))/100+1)^4)-1</f>
        <v/>
      </c>
      <c r="Z17" s="33">
        <f>(((VLOOKUP(B17,'Data qoq'!$A:$AU,MATCH($Z$1,'Data qoq'!$A$1:$AU$1,),))/100+1)^4)-1</f>
        <v/>
      </c>
      <c r="AA17" s="33">
        <f>(((VLOOKUP(B17,'Data qoq'!$A:$AU,MATCH($AA$1,'Data qoq'!$A$1:$AU$1,),))/100+1)^4)-1</f>
        <v/>
      </c>
      <c r="AC17" s="27">
        <f>B17</f>
        <v/>
      </c>
      <c r="AD17" s="32">
        <f>(VLOOKUP(AC17,B:Y,MATCH($AE$6,$B$1:$Y$1,),))-(VLOOKUP(AC17,B:Y,MATCH($AE$7,$B$1:$Y$1,),))</f>
        <v/>
      </c>
      <c r="AE17" s="28" t="n"/>
    </row>
    <row r="18" hidden="1" s="89">
      <c r="A18" s="31" t="n">
        <v>37226</v>
      </c>
      <c r="B18" s="25" t="inlineStr">
        <is>
          <t>2001-Q4</t>
        </is>
      </c>
      <c r="C18" s="33">
        <f>(((VLOOKUP(B18,'Data qoq'!$A:$AT,MATCH($C$1,'Data qoq'!$A$1:$AT$1,),))/100+1)^4)-1</f>
        <v/>
      </c>
      <c r="D18" s="33">
        <f>(((VLOOKUP(B18,'Data qoq'!$A:$AT,MATCH($D$1,'Data qoq'!$A$1:$AT$1,),))/100+1)^4)-1</f>
        <v/>
      </c>
      <c r="E18" s="33">
        <f>(((VLOOKUP(B18,'Data qoq'!$A:$AT,MATCH($E$1,'Data qoq'!$A$1:$AT$1,),))/100+1)^4)-1</f>
        <v/>
      </c>
      <c r="F18" s="33">
        <f>(((VLOOKUP(B18,'Data qoq'!$A:$AT,MATCH($F$1,'Data qoq'!$A$1:$AT$1,),))/100+1)^4)-1</f>
        <v/>
      </c>
      <c r="G18" s="33">
        <f>(((VLOOKUP(B18,'Data qoq'!$A:$AT,MATCH($G$1,'Data qoq'!$A$1:$AT$1,),))/100+1)^4)-1</f>
        <v/>
      </c>
      <c r="H18" s="33">
        <f>(((VLOOKUP(B18,'Data qoq'!$A:$AT,MATCH($H$1,'Data qoq'!$A$1:$AT$1,),))/100+1)^4)-1</f>
        <v/>
      </c>
      <c r="I18" s="33">
        <f>(((VLOOKUP(B18,'Data qoq'!$A:$AT,MATCH($I$1,'Data qoq'!$A$1:$AT$1,),))/100+1)^4)-1</f>
        <v/>
      </c>
      <c r="J18" s="33">
        <f>(((VLOOKUP(B18,'Data qoq'!$A:$AT,MATCH($J$1,'Data qoq'!$A$1:$AT$1,),))/100+1)^4)-1</f>
        <v/>
      </c>
      <c r="K18" s="33">
        <f>(((VLOOKUP(B18,'Data qoq'!$A:$AT,MATCH($K$1,'Data qoq'!$A$1:$AT$1,),))/100+1)^4)-1</f>
        <v/>
      </c>
      <c r="L18" s="33">
        <f>(((VLOOKUP(B18,'Data qoq'!$A:$AT,MATCH($L$1,'Data qoq'!$A$1:$AT$1,),))/100+1)^4)-1</f>
        <v/>
      </c>
      <c r="M18" s="33">
        <f>(((VLOOKUP(B18,'Data qoq'!$A:$AT,MATCH($M$1,'Data qoq'!$A$1:$AT$1,),))/100+1)^4)-1</f>
        <v/>
      </c>
      <c r="N18" s="33">
        <f>(((VLOOKUP(B18,'Data qoq'!$A:$AT,MATCH($N$1,'Data qoq'!$A$1:$AT$1,),))/100+1)^4)-1</f>
        <v/>
      </c>
      <c r="O18" s="33">
        <f>(((VLOOKUP(B18,'Data qoq'!$A:$AT,MATCH($O$1,'Data qoq'!$A$1:$AT$1,),))/100+1)^4)-1</f>
        <v/>
      </c>
      <c r="P18" s="33">
        <f>(((VLOOKUP(B18,'Data qoq'!$A:$AT,MATCH($P$1,'Data qoq'!$A$1:$AT$1,),))/100+1)^4)-1</f>
        <v/>
      </c>
      <c r="Q18" s="33">
        <f>(((VLOOKUP(B18,'Data qoq'!$A:$AT,MATCH($Q$1,'Data qoq'!$A$1:$AT$1,),))/100+1)^4)-1</f>
        <v/>
      </c>
      <c r="R18" s="33">
        <f>(((VLOOKUP(B18,'Data qoq'!$A:$AT,MATCH($R$1,'Data qoq'!$A$1:$AT$1,),))/100+1)^4)-1</f>
        <v/>
      </c>
      <c r="S18" s="33">
        <f>(((VLOOKUP(B18,'Data qoq'!$A:$AT,MATCH($S$1,'Data qoq'!$A$1:$AT$1,),))/100+1)^4)-1</f>
        <v/>
      </c>
      <c r="T18" s="33">
        <f>(((VLOOKUP(B18,'Data qoq'!$A:$AT,MATCH($T$1,'Data qoq'!$A$1:$AT$1,),))/100+1)^4)-1</f>
        <v/>
      </c>
      <c r="U18" s="33">
        <f>(((VLOOKUP(B18,'Data qoq'!$A:$AT,MATCH($U$1,'Data qoq'!$A$1:$AT$1,),))/100+1)^4)-1</f>
        <v/>
      </c>
      <c r="V18" s="33">
        <f>(((VLOOKUP(B18,'Data qoq'!$A:$AT,MATCH($V$1,'Data qoq'!$A$1:$AT$1,),))/100+1)^4)-1</f>
        <v/>
      </c>
      <c r="W18" s="33">
        <f>(((VLOOKUP(B18,'Data qoq'!$A:$AT,MATCH($W$1,'Data qoq'!$A$1:$AT$1,),))/100+1)^4)-1</f>
        <v/>
      </c>
      <c r="X18" s="33">
        <f>(((VLOOKUP(B18,'Data qoq'!$A:$AT,MATCH($X$1,'Data qoq'!$A$1:$AT$1,),))/100+1)^4)-1</f>
        <v/>
      </c>
      <c r="Y18" s="33">
        <f>(((VLOOKUP(B18,'Data qoq'!$A:$AT,MATCH($Y$1,'Data qoq'!$A$1:$AT$1,),))/100+1)^4)-1</f>
        <v/>
      </c>
      <c r="Z18" s="33">
        <f>(((VLOOKUP(B18,'Data qoq'!$A:$AU,MATCH($Z$1,'Data qoq'!$A$1:$AU$1,),))/100+1)^4)-1</f>
        <v/>
      </c>
      <c r="AA18" s="33">
        <f>(((VLOOKUP(B18,'Data qoq'!$A:$AU,MATCH($AA$1,'Data qoq'!$A$1:$AU$1,),))/100+1)^4)-1</f>
        <v/>
      </c>
      <c r="AC18" s="27">
        <f>B18</f>
        <v/>
      </c>
      <c r="AD18" s="32">
        <f>(VLOOKUP(AC18,B:Y,MATCH($AE$6,$B$1:$Y$1,),))-(VLOOKUP(AC18,B:Y,MATCH($AE$7,$B$1:$Y$1,),))</f>
        <v/>
      </c>
      <c r="AE18" s="28" t="n"/>
    </row>
    <row r="19" hidden="1" s="89">
      <c r="A19" s="31" t="n">
        <v>37316</v>
      </c>
      <c r="B19" s="25" t="inlineStr">
        <is>
          <t>2002-Q1</t>
        </is>
      </c>
      <c r="C19" s="33">
        <f>(((VLOOKUP(B19,'Data qoq'!$A:$AT,MATCH($C$1,'Data qoq'!$A$1:$AT$1,),))/100+1)^4)-1</f>
        <v/>
      </c>
      <c r="D19" s="33">
        <f>(((VLOOKUP(B19,'Data qoq'!$A:$AT,MATCH($D$1,'Data qoq'!$A$1:$AT$1,),))/100+1)^4)-1</f>
        <v/>
      </c>
      <c r="E19" s="33">
        <f>(((VLOOKUP(B19,'Data qoq'!$A:$AT,MATCH($E$1,'Data qoq'!$A$1:$AT$1,),))/100+1)^4)-1</f>
        <v/>
      </c>
      <c r="F19" s="33">
        <f>(((VLOOKUP(B19,'Data qoq'!$A:$AT,MATCH($F$1,'Data qoq'!$A$1:$AT$1,),))/100+1)^4)-1</f>
        <v/>
      </c>
      <c r="G19" s="33">
        <f>(((VLOOKUP(B19,'Data qoq'!$A:$AT,MATCH($G$1,'Data qoq'!$A$1:$AT$1,),))/100+1)^4)-1</f>
        <v/>
      </c>
      <c r="H19" s="33">
        <f>(((VLOOKUP(B19,'Data qoq'!$A:$AT,MATCH($H$1,'Data qoq'!$A$1:$AT$1,),))/100+1)^4)-1</f>
        <v/>
      </c>
      <c r="I19" s="33">
        <f>(((VLOOKUP(B19,'Data qoq'!$A:$AT,MATCH($I$1,'Data qoq'!$A$1:$AT$1,),))/100+1)^4)-1</f>
        <v/>
      </c>
      <c r="J19" s="33">
        <f>(((VLOOKUP(B19,'Data qoq'!$A:$AT,MATCH($J$1,'Data qoq'!$A$1:$AT$1,),))/100+1)^4)-1</f>
        <v/>
      </c>
      <c r="K19" s="33">
        <f>(((VLOOKUP(B19,'Data qoq'!$A:$AT,MATCH($K$1,'Data qoq'!$A$1:$AT$1,),))/100+1)^4)-1</f>
        <v/>
      </c>
      <c r="L19" s="33">
        <f>(((VLOOKUP(B19,'Data qoq'!$A:$AT,MATCH($L$1,'Data qoq'!$A$1:$AT$1,),))/100+1)^4)-1</f>
        <v/>
      </c>
      <c r="M19" s="33">
        <f>(((VLOOKUP(B19,'Data qoq'!$A:$AT,MATCH($M$1,'Data qoq'!$A$1:$AT$1,),))/100+1)^4)-1</f>
        <v/>
      </c>
      <c r="N19" s="33">
        <f>(((VLOOKUP(B19,'Data qoq'!$A:$AT,MATCH($N$1,'Data qoq'!$A$1:$AT$1,),))/100+1)^4)-1</f>
        <v/>
      </c>
      <c r="O19" s="33">
        <f>(((VLOOKUP(B19,'Data qoq'!$A:$AT,MATCH($O$1,'Data qoq'!$A$1:$AT$1,),))/100+1)^4)-1</f>
        <v/>
      </c>
      <c r="P19" s="33">
        <f>(((VLOOKUP(B19,'Data qoq'!$A:$AT,MATCH($P$1,'Data qoq'!$A$1:$AT$1,),))/100+1)^4)-1</f>
        <v/>
      </c>
      <c r="Q19" s="33">
        <f>(((VLOOKUP(B19,'Data qoq'!$A:$AT,MATCH($Q$1,'Data qoq'!$A$1:$AT$1,),))/100+1)^4)-1</f>
        <v/>
      </c>
      <c r="R19" s="33">
        <f>(((VLOOKUP(B19,'Data qoq'!$A:$AT,MATCH($R$1,'Data qoq'!$A$1:$AT$1,),))/100+1)^4)-1</f>
        <v/>
      </c>
      <c r="S19" s="33">
        <f>(((VLOOKUP(B19,'Data qoq'!$A:$AT,MATCH($S$1,'Data qoq'!$A$1:$AT$1,),))/100+1)^4)-1</f>
        <v/>
      </c>
      <c r="T19" s="33">
        <f>(((VLOOKUP(B19,'Data qoq'!$A:$AT,MATCH($T$1,'Data qoq'!$A$1:$AT$1,),))/100+1)^4)-1</f>
        <v/>
      </c>
      <c r="U19" s="33">
        <f>(((VLOOKUP(B19,'Data qoq'!$A:$AT,MATCH($U$1,'Data qoq'!$A$1:$AT$1,),))/100+1)^4)-1</f>
        <v/>
      </c>
      <c r="V19" s="33">
        <f>(((VLOOKUP(B19,'Data qoq'!$A:$AT,MATCH($V$1,'Data qoq'!$A$1:$AT$1,),))/100+1)^4)-1</f>
        <v/>
      </c>
      <c r="W19" s="33">
        <f>(((VLOOKUP(B19,'Data qoq'!$A:$AT,MATCH($W$1,'Data qoq'!$A$1:$AT$1,),))/100+1)^4)-1</f>
        <v/>
      </c>
      <c r="X19" s="33">
        <f>(((VLOOKUP(B19,'Data qoq'!$A:$AT,MATCH($X$1,'Data qoq'!$A$1:$AT$1,),))/100+1)^4)-1</f>
        <v/>
      </c>
      <c r="Y19" s="33">
        <f>(((VLOOKUP(B19,'Data qoq'!$A:$AT,MATCH($Y$1,'Data qoq'!$A$1:$AT$1,),))/100+1)^4)-1</f>
        <v/>
      </c>
      <c r="Z19" s="33">
        <f>(((VLOOKUP(B19,'Data qoq'!$A:$AU,MATCH($Z$1,'Data qoq'!$A$1:$AU$1,),))/100+1)^4)-1</f>
        <v/>
      </c>
      <c r="AA19" s="33">
        <f>(((VLOOKUP(B19,'Data qoq'!$A:$AU,MATCH($AA$1,'Data qoq'!$A$1:$AU$1,),))/100+1)^4)-1</f>
        <v/>
      </c>
      <c r="AC19" s="27">
        <f>B19</f>
        <v/>
      </c>
      <c r="AD19" s="32">
        <f>(VLOOKUP(AC19,B:Y,MATCH($AE$6,$B$1:$Y$1,),))-(VLOOKUP(AC19,B:Y,MATCH($AE$7,$B$1:$Y$1,),))</f>
        <v/>
      </c>
      <c r="AE19" s="28" t="n"/>
    </row>
    <row r="20" hidden="1" s="89">
      <c r="A20" s="31" t="n">
        <v>37408</v>
      </c>
      <c r="B20" s="25" t="inlineStr">
        <is>
          <t>2002-Q2</t>
        </is>
      </c>
      <c r="C20" s="33">
        <f>(((VLOOKUP(B20,'Data qoq'!$A:$AT,MATCH($C$1,'Data qoq'!$A$1:$AT$1,),))/100+1)^4)-1</f>
        <v/>
      </c>
      <c r="D20" s="33">
        <f>(((VLOOKUP(B20,'Data qoq'!$A:$AT,MATCH($D$1,'Data qoq'!$A$1:$AT$1,),))/100+1)^4)-1</f>
        <v/>
      </c>
      <c r="E20" s="33">
        <f>(((VLOOKUP(B20,'Data qoq'!$A:$AT,MATCH($E$1,'Data qoq'!$A$1:$AT$1,),))/100+1)^4)-1</f>
        <v/>
      </c>
      <c r="F20" s="33">
        <f>(((VLOOKUP(B20,'Data qoq'!$A:$AT,MATCH($F$1,'Data qoq'!$A$1:$AT$1,),))/100+1)^4)-1</f>
        <v/>
      </c>
      <c r="G20" s="33">
        <f>(((VLOOKUP(B20,'Data qoq'!$A:$AT,MATCH($G$1,'Data qoq'!$A$1:$AT$1,),))/100+1)^4)-1</f>
        <v/>
      </c>
      <c r="H20" s="33">
        <f>(((VLOOKUP(B20,'Data qoq'!$A:$AT,MATCH($H$1,'Data qoq'!$A$1:$AT$1,),))/100+1)^4)-1</f>
        <v/>
      </c>
      <c r="I20" s="33">
        <f>(((VLOOKUP(B20,'Data qoq'!$A:$AT,MATCH($I$1,'Data qoq'!$A$1:$AT$1,),))/100+1)^4)-1</f>
        <v/>
      </c>
      <c r="J20" s="33">
        <f>(((VLOOKUP(B20,'Data qoq'!$A:$AT,MATCH($J$1,'Data qoq'!$A$1:$AT$1,),))/100+1)^4)-1</f>
        <v/>
      </c>
      <c r="K20" s="33">
        <f>(((VLOOKUP(B20,'Data qoq'!$A:$AT,MATCH($K$1,'Data qoq'!$A$1:$AT$1,),))/100+1)^4)-1</f>
        <v/>
      </c>
      <c r="L20" s="33">
        <f>(((VLOOKUP(B20,'Data qoq'!$A:$AT,MATCH($L$1,'Data qoq'!$A$1:$AT$1,),))/100+1)^4)-1</f>
        <v/>
      </c>
      <c r="M20" s="33">
        <f>(((VLOOKUP(B20,'Data qoq'!$A:$AT,MATCH($M$1,'Data qoq'!$A$1:$AT$1,),))/100+1)^4)-1</f>
        <v/>
      </c>
      <c r="N20" s="33">
        <f>(((VLOOKUP(B20,'Data qoq'!$A:$AT,MATCH($N$1,'Data qoq'!$A$1:$AT$1,),))/100+1)^4)-1</f>
        <v/>
      </c>
      <c r="O20" s="33">
        <f>(((VLOOKUP(B20,'Data qoq'!$A:$AT,MATCH($O$1,'Data qoq'!$A$1:$AT$1,),))/100+1)^4)-1</f>
        <v/>
      </c>
      <c r="P20" s="33">
        <f>(((VLOOKUP(B20,'Data qoq'!$A:$AT,MATCH($P$1,'Data qoq'!$A$1:$AT$1,),))/100+1)^4)-1</f>
        <v/>
      </c>
      <c r="Q20" s="33">
        <f>(((VLOOKUP(B20,'Data qoq'!$A:$AT,MATCH($Q$1,'Data qoq'!$A$1:$AT$1,),))/100+1)^4)-1</f>
        <v/>
      </c>
      <c r="R20" s="33">
        <f>(((VLOOKUP(B20,'Data qoq'!$A:$AT,MATCH($R$1,'Data qoq'!$A$1:$AT$1,),))/100+1)^4)-1</f>
        <v/>
      </c>
      <c r="S20" s="33">
        <f>(((VLOOKUP(B20,'Data qoq'!$A:$AT,MATCH($S$1,'Data qoq'!$A$1:$AT$1,),))/100+1)^4)-1</f>
        <v/>
      </c>
      <c r="T20" s="33">
        <f>(((VLOOKUP(B20,'Data qoq'!$A:$AT,MATCH($T$1,'Data qoq'!$A$1:$AT$1,),))/100+1)^4)-1</f>
        <v/>
      </c>
      <c r="U20" s="33">
        <f>(((VLOOKUP(B20,'Data qoq'!$A:$AT,MATCH($U$1,'Data qoq'!$A$1:$AT$1,),))/100+1)^4)-1</f>
        <v/>
      </c>
      <c r="V20" s="33">
        <f>(((VLOOKUP(B20,'Data qoq'!$A:$AT,MATCH($V$1,'Data qoq'!$A$1:$AT$1,),))/100+1)^4)-1</f>
        <v/>
      </c>
      <c r="W20" s="33">
        <f>(((VLOOKUP(B20,'Data qoq'!$A:$AT,MATCH($W$1,'Data qoq'!$A$1:$AT$1,),))/100+1)^4)-1</f>
        <v/>
      </c>
      <c r="X20" s="33">
        <f>(((VLOOKUP(B20,'Data qoq'!$A:$AT,MATCH($X$1,'Data qoq'!$A$1:$AT$1,),))/100+1)^4)-1</f>
        <v/>
      </c>
      <c r="Y20" s="33">
        <f>(((VLOOKUP(B20,'Data qoq'!$A:$AT,MATCH($Y$1,'Data qoq'!$A$1:$AT$1,),))/100+1)^4)-1</f>
        <v/>
      </c>
      <c r="Z20" s="33">
        <f>(((VLOOKUP(B20,'Data qoq'!$A:$AU,MATCH($Z$1,'Data qoq'!$A$1:$AU$1,),))/100+1)^4)-1</f>
        <v/>
      </c>
      <c r="AA20" s="33">
        <f>(((VLOOKUP(B20,'Data qoq'!$A:$AU,MATCH($AA$1,'Data qoq'!$A$1:$AU$1,),))/100+1)^4)-1</f>
        <v/>
      </c>
      <c r="AC20" s="27">
        <f>B20</f>
        <v/>
      </c>
      <c r="AD20" s="32">
        <f>(VLOOKUP(AC20,B:Y,MATCH($AE$6,$B$1:$Y$1,),))-(VLOOKUP(AC20,B:Y,MATCH($AE$7,$B$1:$Y$1,),))</f>
        <v/>
      </c>
      <c r="AE20" s="28" t="n"/>
    </row>
    <row r="21" hidden="1" s="89">
      <c r="A21" s="31" t="n">
        <v>37500</v>
      </c>
      <c r="B21" s="25" t="inlineStr">
        <is>
          <t>2002-Q3</t>
        </is>
      </c>
      <c r="C21" s="33">
        <f>(((VLOOKUP(B21,'Data qoq'!$A:$AT,MATCH($C$1,'Data qoq'!$A$1:$AT$1,),))/100+1)^4)-1</f>
        <v/>
      </c>
      <c r="D21" s="33">
        <f>(((VLOOKUP(B21,'Data qoq'!$A:$AT,MATCH($D$1,'Data qoq'!$A$1:$AT$1,),))/100+1)^4)-1</f>
        <v/>
      </c>
      <c r="E21" s="33">
        <f>(((VLOOKUP(B21,'Data qoq'!$A:$AT,MATCH($E$1,'Data qoq'!$A$1:$AT$1,),))/100+1)^4)-1</f>
        <v/>
      </c>
      <c r="F21" s="33">
        <f>(((VLOOKUP(B21,'Data qoq'!$A:$AT,MATCH($F$1,'Data qoq'!$A$1:$AT$1,),))/100+1)^4)-1</f>
        <v/>
      </c>
      <c r="G21" s="33">
        <f>(((VLOOKUP(B21,'Data qoq'!$A:$AT,MATCH($G$1,'Data qoq'!$A$1:$AT$1,),))/100+1)^4)-1</f>
        <v/>
      </c>
      <c r="H21" s="33">
        <f>(((VLOOKUP(B21,'Data qoq'!$A:$AT,MATCH($H$1,'Data qoq'!$A$1:$AT$1,),))/100+1)^4)-1</f>
        <v/>
      </c>
      <c r="I21" s="33">
        <f>(((VLOOKUP(B21,'Data qoq'!$A:$AT,MATCH($I$1,'Data qoq'!$A$1:$AT$1,),))/100+1)^4)-1</f>
        <v/>
      </c>
      <c r="J21" s="33">
        <f>(((VLOOKUP(B21,'Data qoq'!$A:$AT,MATCH($J$1,'Data qoq'!$A$1:$AT$1,),))/100+1)^4)-1</f>
        <v/>
      </c>
      <c r="K21" s="33">
        <f>(((VLOOKUP(B21,'Data qoq'!$A:$AT,MATCH($K$1,'Data qoq'!$A$1:$AT$1,),))/100+1)^4)-1</f>
        <v/>
      </c>
      <c r="L21" s="33">
        <f>(((VLOOKUP(B21,'Data qoq'!$A:$AT,MATCH($L$1,'Data qoq'!$A$1:$AT$1,),))/100+1)^4)-1</f>
        <v/>
      </c>
      <c r="M21" s="33">
        <f>(((VLOOKUP(B21,'Data qoq'!$A:$AT,MATCH($M$1,'Data qoq'!$A$1:$AT$1,),))/100+1)^4)-1</f>
        <v/>
      </c>
      <c r="N21" s="33">
        <f>(((VLOOKUP(B21,'Data qoq'!$A:$AT,MATCH($N$1,'Data qoq'!$A$1:$AT$1,),))/100+1)^4)-1</f>
        <v/>
      </c>
      <c r="O21" s="33">
        <f>(((VLOOKUP(B21,'Data qoq'!$A:$AT,MATCH($O$1,'Data qoq'!$A$1:$AT$1,),))/100+1)^4)-1</f>
        <v/>
      </c>
      <c r="P21" s="33">
        <f>(((VLOOKUP(B21,'Data qoq'!$A:$AT,MATCH($P$1,'Data qoq'!$A$1:$AT$1,),))/100+1)^4)-1</f>
        <v/>
      </c>
      <c r="Q21" s="33">
        <f>(((VLOOKUP(B21,'Data qoq'!$A:$AT,MATCH($Q$1,'Data qoq'!$A$1:$AT$1,),))/100+1)^4)-1</f>
        <v/>
      </c>
      <c r="R21" s="33">
        <f>(((VLOOKUP(B21,'Data qoq'!$A:$AT,MATCH($R$1,'Data qoq'!$A$1:$AT$1,),))/100+1)^4)-1</f>
        <v/>
      </c>
      <c r="S21" s="33">
        <f>(((VLOOKUP(B21,'Data qoq'!$A:$AT,MATCH($S$1,'Data qoq'!$A$1:$AT$1,),))/100+1)^4)-1</f>
        <v/>
      </c>
      <c r="T21" s="33">
        <f>(((VLOOKUP(B21,'Data qoq'!$A:$AT,MATCH($T$1,'Data qoq'!$A$1:$AT$1,),))/100+1)^4)-1</f>
        <v/>
      </c>
      <c r="U21" s="33">
        <f>(((VLOOKUP(B21,'Data qoq'!$A:$AT,MATCH($U$1,'Data qoq'!$A$1:$AT$1,),))/100+1)^4)-1</f>
        <v/>
      </c>
      <c r="V21" s="33">
        <f>(((VLOOKUP(B21,'Data qoq'!$A:$AT,MATCH($V$1,'Data qoq'!$A$1:$AT$1,),))/100+1)^4)-1</f>
        <v/>
      </c>
      <c r="W21" s="33">
        <f>(((VLOOKUP(B21,'Data qoq'!$A:$AT,MATCH($W$1,'Data qoq'!$A$1:$AT$1,),))/100+1)^4)-1</f>
        <v/>
      </c>
      <c r="X21" s="33">
        <f>(((VLOOKUP(B21,'Data qoq'!$A:$AT,MATCH($X$1,'Data qoq'!$A$1:$AT$1,),))/100+1)^4)-1</f>
        <v/>
      </c>
      <c r="Y21" s="33">
        <f>(((VLOOKUP(B21,'Data qoq'!$A:$AT,MATCH($Y$1,'Data qoq'!$A$1:$AT$1,),))/100+1)^4)-1</f>
        <v/>
      </c>
      <c r="Z21" s="33">
        <f>(((VLOOKUP(B21,'Data qoq'!$A:$AU,MATCH($Z$1,'Data qoq'!$A$1:$AU$1,),))/100+1)^4)-1</f>
        <v/>
      </c>
      <c r="AA21" s="33">
        <f>(((VLOOKUP(B21,'Data qoq'!$A:$AU,MATCH($AA$1,'Data qoq'!$A$1:$AU$1,),))/100+1)^4)-1</f>
        <v/>
      </c>
      <c r="AC21" s="27">
        <f>B21</f>
        <v/>
      </c>
      <c r="AD21" s="32">
        <f>(VLOOKUP(AC21,B:Y,MATCH($AE$6,$B$1:$Y$1,),))-(VLOOKUP(AC21,B:Y,MATCH($AE$7,$B$1:$Y$1,),))</f>
        <v/>
      </c>
      <c r="AE21" s="28" t="n"/>
    </row>
    <row r="22" hidden="1" s="89">
      <c r="A22" s="31" t="n">
        <v>37591</v>
      </c>
      <c r="B22" s="25" t="inlineStr">
        <is>
          <t>2002-Q4</t>
        </is>
      </c>
      <c r="C22" s="33">
        <f>(((VLOOKUP(B22,'Data qoq'!$A:$AT,MATCH($C$1,'Data qoq'!$A$1:$AT$1,),))/100+1)^4)-1</f>
        <v/>
      </c>
      <c r="D22" s="33">
        <f>(((VLOOKUP(B22,'Data qoq'!$A:$AT,MATCH($D$1,'Data qoq'!$A$1:$AT$1,),))/100+1)^4)-1</f>
        <v/>
      </c>
      <c r="E22" s="33">
        <f>(((VLOOKUP(B22,'Data qoq'!$A:$AT,MATCH($E$1,'Data qoq'!$A$1:$AT$1,),))/100+1)^4)-1</f>
        <v/>
      </c>
      <c r="F22" s="33">
        <f>(((VLOOKUP(B22,'Data qoq'!$A:$AT,MATCH($F$1,'Data qoq'!$A$1:$AT$1,),))/100+1)^4)-1</f>
        <v/>
      </c>
      <c r="G22" s="33">
        <f>(((VLOOKUP(B22,'Data qoq'!$A:$AT,MATCH($G$1,'Data qoq'!$A$1:$AT$1,),))/100+1)^4)-1</f>
        <v/>
      </c>
      <c r="H22" s="33">
        <f>(((VLOOKUP(B22,'Data qoq'!$A:$AT,MATCH($H$1,'Data qoq'!$A$1:$AT$1,),))/100+1)^4)-1</f>
        <v/>
      </c>
      <c r="I22" s="33">
        <f>(((VLOOKUP(B22,'Data qoq'!$A:$AT,MATCH($I$1,'Data qoq'!$A$1:$AT$1,),))/100+1)^4)-1</f>
        <v/>
      </c>
      <c r="J22" s="33">
        <f>(((VLOOKUP(B22,'Data qoq'!$A:$AT,MATCH($J$1,'Data qoq'!$A$1:$AT$1,),))/100+1)^4)-1</f>
        <v/>
      </c>
      <c r="K22" s="33">
        <f>(((VLOOKUP(B22,'Data qoq'!$A:$AT,MATCH($K$1,'Data qoq'!$A$1:$AT$1,),))/100+1)^4)-1</f>
        <v/>
      </c>
      <c r="L22" s="33">
        <f>(((VLOOKUP(B22,'Data qoq'!$A:$AT,MATCH($L$1,'Data qoq'!$A$1:$AT$1,),))/100+1)^4)-1</f>
        <v/>
      </c>
      <c r="M22" s="33">
        <f>(((VLOOKUP(B22,'Data qoq'!$A:$AT,MATCH($M$1,'Data qoq'!$A$1:$AT$1,),))/100+1)^4)-1</f>
        <v/>
      </c>
      <c r="N22" s="33">
        <f>(((VLOOKUP(B22,'Data qoq'!$A:$AT,MATCH($N$1,'Data qoq'!$A$1:$AT$1,),))/100+1)^4)-1</f>
        <v/>
      </c>
      <c r="O22" s="33">
        <f>(((VLOOKUP(B22,'Data qoq'!$A:$AT,MATCH($O$1,'Data qoq'!$A$1:$AT$1,),))/100+1)^4)-1</f>
        <v/>
      </c>
      <c r="P22" s="33">
        <f>(((VLOOKUP(B22,'Data qoq'!$A:$AT,MATCH($P$1,'Data qoq'!$A$1:$AT$1,),))/100+1)^4)-1</f>
        <v/>
      </c>
      <c r="Q22" s="33">
        <f>(((VLOOKUP(B22,'Data qoq'!$A:$AT,MATCH($Q$1,'Data qoq'!$A$1:$AT$1,),))/100+1)^4)-1</f>
        <v/>
      </c>
      <c r="R22" s="33">
        <f>(((VLOOKUP(B22,'Data qoq'!$A:$AT,MATCH($R$1,'Data qoq'!$A$1:$AT$1,),))/100+1)^4)-1</f>
        <v/>
      </c>
      <c r="S22" s="33">
        <f>(((VLOOKUP(B22,'Data qoq'!$A:$AT,MATCH($S$1,'Data qoq'!$A$1:$AT$1,),))/100+1)^4)-1</f>
        <v/>
      </c>
      <c r="T22" s="33">
        <f>(((VLOOKUP(B22,'Data qoq'!$A:$AT,MATCH($T$1,'Data qoq'!$A$1:$AT$1,),))/100+1)^4)-1</f>
        <v/>
      </c>
      <c r="U22" s="33">
        <f>(((VLOOKUP(B22,'Data qoq'!$A:$AT,MATCH($U$1,'Data qoq'!$A$1:$AT$1,),))/100+1)^4)-1</f>
        <v/>
      </c>
      <c r="V22" s="33">
        <f>(((VLOOKUP(B22,'Data qoq'!$A:$AT,MATCH($V$1,'Data qoq'!$A$1:$AT$1,),))/100+1)^4)-1</f>
        <v/>
      </c>
      <c r="W22" s="33">
        <f>(((VLOOKUP(B22,'Data qoq'!$A:$AT,MATCH($W$1,'Data qoq'!$A$1:$AT$1,),))/100+1)^4)-1</f>
        <v/>
      </c>
      <c r="X22" s="33">
        <f>(((VLOOKUP(B22,'Data qoq'!$A:$AT,MATCH($X$1,'Data qoq'!$A$1:$AT$1,),))/100+1)^4)-1</f>
        <v/>
      </c>
      <c r="Y22" s="33">
        <f>(((VLOOKUP(B22,'Data qoq'!$A:$AT,MATCH($Y$1,'Data qoq'!$A$1:$AT$1,),))/100+1)^4)-1</f>
        <v/>
      </c>
      <c r="Z22" s="33">
        <f>(((VLOOKUP(B22,'Data qoq'!$A:$AU,MATCH($Z$1,'Data qoq'!$A$1:$AU$1,),))/100+1)^4)-1</f>
        <v/>
      </c>
      <c r="AA22" s="33">
        <f>(((VLOOKUP(B22,'Data qoq'!$A:$AU,MATCH($AA$1,'Data qoq'!$A$1:$AU$1,),))/100+1)^4)-1</f>
        <v/>
      </c>
      <c r="AC22" s="27">
        <f>B22</f>
        <v/>
      </c>
      <c r="AD22" s="32">
        <f>(VLOOKUP(AC22,B:Y,MATCH($AE$6,$B$1:$Y$1,),))-(VLOOKUP(AC22,B:Y,MATCH($AE$7,$B$1:$Y$1,),))</f>
        <v/>
      </c>
      <c r="AE22" s="28" t="n"/>
    </row>
    <row r="23" hidden="1" s="89">
      <c r="A23" s="31" t="n">
        <v>37681</v>
      </c>
      <c r="B23" s="25" t="inlineStr">
        <is>
          <t>2003-Q1</t>
        </is>
      </c>
      <c r="C23" s="33">
        <f>(((VLOOKUP(B23,'Data qoq'!$A:$AT,MATCH($C$1,'Data qoq'!$A$1:$AT$1,),))/100+1)^4)-1</f>
        <v/>
      </c>
      <c r="D23" s="33">
        <f>(((VLOOKUP(B23,'Data qoq'!$A:$AT,MATCH($D$1,'Data qoq'!$A$1:$AT$1,),))/100+1)^4)-1</f>
        <v/>
      </c>
      <c r="E23" s="33">
        <f>(((VLOOKUP(B23,'Data qoq'!$A:$AT,MATCH($E$1,'Data qoq'!$A$1:$AT$1,),))/100+1)^4)-1</f>
        <v/>
      </c>
      <c r="F23" s="33">
        <f>(((VLOOKUP(B23,'Data qoq'!$A:$AT,MATCH($F$1,'Data qoq'!$A$1:$AT$1,),))/100+1)^4)-1</f>
        <v/>
      </c>
      <c r="G23" s="33">
        <f>(((VLOOKUP(B23,'Data qoq'!$A:$AT,MATCH($G$1,'Data qoq'!$A$1:$AT$1,),))/100+1)^4)-1</f>
        <v/>
      </c>
      <c r="H23" s="33">
        <f>(((VLOOKUP(B23,'Data qoq'!$A:$AT,MATCH($H$1,'Data qoq'!$A$1:$AT$1,),))/100+1)^4)-1</f>
        <v/>
      </c>
      <c r="I23" s="33">
        <f>(((VLOOKUP(B23,'Data qoq'!$A:$AT,MATCH($I$1,'Data qoq'!$A$1:$AT$1,),))/100+1)^4)-1</f>
        <v/>
      </c>
      <c r="J23" s="33">
        <f>(((VLOOKUP(B23,'Data qoq'!$A:$AT,MATCH($J$1,'Data qoq'!$A$1:$AT$1,),))/100+1)^4)-1</f>
        <v/>
      </c>
      <c r="K23" s="33">
        <f>(((VLOOKUP(B23,'Data qoq'!$A:$AT,MATCH($K$1,'Data qoq'!$A$1:$AT$1,),))/100+1)^4)-1</f>
        <v/>
      </c>
      <c r="L23" s="33">
        <f>(((VLOOKUP(B23,'Data qoq'!$A:$AT,MATCH($L$1,'Data qoq'!$A$1:$AT$1,),))/100+1)^4)-1</f>
        <v/>
      </c>
      <c r="M23" s="33">
        <f>(((VLOOKUP(B23,'Data qoq'!$A:$AT,MATCH($M$1,'Data qoq'!$A$1:$AT$1,),))/100+1)^4)-1</f>
        <v/>
      </c>
      <c r="N23" s="33">
        <f>(((VLOOKUP(B23,'Data qoq'!$A:$AT,MATCH($N$1,'Data qoq'!$A$1:$AT$1,),))/100+1)^4)-1</f>
        <v/>
      </c>
      <c r="O23" s="33">
        <f>(((VLOOKUP(B23,'Data qoq'!$A:$AT,MATCH($O$1,'Data qoq'!$A$1:$AT$1,),))/100+1)^4)-1</f>
        <v/>
      </c>
      <c r="P23" s="33">
        <f>(((VLOOKUP(B23,'Data qoq'!$A:$AT,MATCH($P$1,'Data qoq'!$A$1:$AT$1,),))/100+1)^4)-1</f>
        <v/>
      </c>
      <c r="Q23" s="33">
        <f>(((VLOOKUP(B23,'Data qoq'!$A:$AT,MATCH($Q$1,'Data qoq'!$A$1:$AT$1,),))/100+1)^4)-1</f>
        <v/>
      </c>
      <c r="R23" s="33">
        <f>(((VLOOKUP(B23,'Data qoq'!$A:$AT,MATCH($R$1,'Data qoq'!$A$1:$AT$1,),))/100+1)^4)-1</f>
        <v/>
      </c>
      <c r="S23" s="33">
        <f>(((VLOOKUP(B23,'Data qoq'!$A:$AT,MATCH($S$1,'Data qoq'!$A$1:$AT$1,),))/100+1)^4)-1</f>
        <v/>
      </c>
      <c r="T23" s="33">
        <f>(((VLOOKUP(B23,'Data qoq'!$A:$AT,MATCH($T$1,'Data qoq'!$A$1:$AT$1,),))/100+1)^4)-1</f>
        <v/>
      </c>
      <c r="U23" s="33">
        <f>(((VLOOKUP(B23,'Data qoq'!$A:$AT,MATCH($U$1,'Data qoq'!$A$1:$AT$1,),))/100+1)^4)-1</f>
        <v/>
      </c>
      <c r="V23" s="33">
        <f>(((VLOOKUP(B23,'Data qoq'!$A:$AT,MATCH($V$1,'Data qoq'!$A$1:$AT$1,),))/100+1)^4)-1</f>
        <v/>
      </c>
      <c r="W23" s="33">
        <f>(((VLOOKUP(B23,'Data qoq'!$A:$AT,MATCH($W$1,'Data qoq'!$A$1:$AT$1,),))/100+1)^4)-1</f>
        <v/>
      </c>
      <c r="X23" s="33">
        <f>(((VLOOKUP(B23,'Data qoq'!$A:$AT,MATCH($X$1,'Data qoq'!$A$1:$AT$1,),))/100+1)^4)-1</f>
        <v/>
      </c>
      <c r="Y23" s="33">
        <f>(((VLOOKUP(B23,'Data qoq'!$A:$AT,MATCH($Y$1,'Data qoq'!$A$1:$AT$1,),))/100+1)^4)-1</f>
        <v/>
      </c>
      <c r="Z23" s="33">
        <f>(((VLOOKUP(B23,'Data qoq'!$A:$AU,MATCH($Z$1,'Data qoq'!$A$1:$AU$1,),))/100+1)^4)-1</f>
        <v/>
      </c>
      <c r="AA23" s="33">
        <f>(((VLOOKUP(B23,'Data qoq'!$A:$AU,MATCH($AA$1,'Data qoq'!$A$1:$AU$1,),))/100+1)^4)-1</f>
        <v/>
      </c>
      <c r="AC23" s="27">
        <f>B23</f>
        <v/>
      </c>
      <c r="AD23" s="32">
        <f>(VLOOKUP(AC23,B:Y,MATCH($AE$6,$B$1:$Y$1,),))-(VLOOKUP(AC23,B:Y,MATCH($AE$7,$B$1:$Y$1,),))</f>
        <v/>
      </c>
      <c r="AE23" s="28" t="n"/>
    </row>
    <row r="24" hidden="1" s="89">
      <c r="A24" s="31" t="n">
        <v>37773</v>
      </c>
      <c r="B24" s="25" t="inlineStr">
        <is>
          <t>2003-Q2</t>
        </is>
      </c>
      <c r="C24" s="33">
        <f>(((VLOOKUP(B24,'Data qoq'!$A:$AT,MATCH($C$1,'Data qoq'!$A$1:$AT$1,),))/100+1)^4)-1</f>
        <v/>
      </c>
      <c r="D24" s="33">
        <f>(((VLOOKUP(B24,'Data qoq'!$A:$AT,MATCH($D$1,'Data qoq'!$A$1:$AT$1,),))/100+1)^4)-1</f>
        <v/>
      </c>
      <c r="E24" s="33">
        <f>(((VLOOKUP(B24,'Data qoq'!$A:$AT,MATCH($E$1,'Data qoq'!$A$1:$AT$1,),))/100+1)^4)-1</f>
        <v/>
      </c>
      <c r="F24" s="33">
        <f>(((VLOOKUP(B24,'Data qoq'!$A:$AT,MATCH($F$1,'Data qoq'!$A$1:$AT$1,),))/100+1)^4)-1</f>
        <v/>
      </c>
      <c r="G24" s="33">
        <f>(((VLOOKUP(B24,'Data qoq'!$A:$AT,MATCH($G$1,'Data qoq'!$A$1:$AT$1,),))/100+1)^4)-1</f>
        <v/>
      </c>
      <c r="H24" s="33">
        <f>(((VLOOKUP(B24,'Data qoq'!$A:$AT,MATCH($H$1,'Data qoq'!$A$1:$AT$1,),))/100+1)^4)-1</f>
        <v/>
      </c>
      <c r="I24" s="33">
        <f>(((VLOOKUP(B24,'Data qoq'!$A:$AT,MATCH($I$1,'Data qoq'!$A$1:$AT$1,),))/100+1)^4)-1</f>
        <v/>
      </c>
      <c r="J24" s="33">
        <f>(((VLOOKUP(B24,'Data qoq'!$A:$AT,MATCH($J$1,'Data qoq'!$A$1:$AT$1,),))/100+1)^4)-1</f>
        <v/>
      </c>
      <c r="K24" s="33">
        <f>(((VLOOKUP(B24,'Data qoq'!$A:$AT,MATCH($K$1,'Data qoq'!$A$1:$AT$1,),))/100+1)^4)-1</f>
        <v/>
      </c>
      <c r="L24" s="33">
        <f>(((VLOOKUP(B24,'Data qoq'!$A:$AT,MATCH($L$1,'Data qoq'!$A$1:$AT$1,),))/100+1)^4)-1</f>
        <v/>
      </c>
      <c r="M24" s="33">
        <f>(((VLOOKUP(B24,'Data qoq'!$A:$AT,MATCH($M$1,'Data qoq'!$A$1:$AT$1,),))/100+1)^4)-1</f>
        <v/>
      </c>
      <c r="N24" s="33">
        <f>(((VLOOKUP(B24,'Data qoq'!$A:$AT,MATCH($N$1,'Data qoq'!$A$1:$AT$1,),))/100+1)^4)-1</f>
        <v/>
      </c>
      <c r="O24" s="33">
        <f>(((VLOOKUP(B24,'Data qoq'!$A:$AT,MATCH($O$1,'Data qoq'!$A$1:$AT$1,),))/100+1)^4)-1</f>
        <v/>
      </c>
      <c r="P24" s="33">
        <f>(((VLOOKUP(B24,'Data qoq'!$A:$AT,MATCH($P$1,'Data qoq'!$A$1:$AT$1,),))/100+1)^4)-1</f>
        <v/>
      </c>
      <c r="Q24" s="33">
        <f>(((VLOOKUP(B24,'Data qoq'!$A:$AT,MATCH($Q$1,'Data qoq'!$A$1:$AT$1,),))/100+1)^4)-1</f>
        <v/>
      </c>
      <c r="R24" s="33">
        <f>(((VLOOKUP(B24,'Data qoq'!$A:$AT,MATCH($R$1,'Data qoq'!$A$1:$AT$1,),))/100+1)^4)-1</f>
        <v/>
      </c>
      <c r="S24" s="33">
        <f>(((VLOOKUP(B24,'Data qoq'!$A:$AT,MATCH($S$1,'Data qoq'!$A$1:$AT$1,),))/100+1)^4)-1</f>
        <v/>
      </c>
      <c r="T24" s="33">
        <f>(((VLOOKUP(B24,'Data qoq'!$A:$AT,MATCH($T$1,'Data qoq'!$A$1:$AT$1,),))/100+1)^4)-1</f>
        <v/>
      </c>
      <c r="U24" s="33">
        <f>(((VLOOKUP(B24,'Data qoq'!$A:$AT,MATCH($U$1,'Data qoq'!$A$1:$AT$1,),))/100+1)^4)-1</f>
        <v/>
      </c>
      <c r="V24" s="33">
        <f>(((VLOOKUP(B24,'Data qoq'!$A:$AT,MATCH($V$1,'Data qoq'!$A$1:$AT$1,),))/100+1)^4)-1</f>
        <v/>
      </c>
      <c r="W24" s="33">
        <f>(((VLOOKUP(B24,'Data qoq'!$A:$AT,MATCH($W$1,'Data qoq'!$A$1:$AT$1,),))/100+1)^4)-1</f>
        <v/>
      </c>
      <c r="X24" s="33">
        <f>(((VLOOKUP(B24,'Data qoq'!$A:$AT,MATCH($X$1,'Data qoq'!$A$1:$AT$1,),))/100+1)^4)-1</f>
        <v/>
      </c>
      <c r="Y24" s="33">
        <f>(((VLOOKUP(B24,'Data qoq'!$A:$AT,MATCH($Y$1,'Data qoq'!$A$1:$AT$1,),))/100+1)^4)-1</f>
        <v/>
      </c>
      <c r="Z24" s="33">
        <f>(((VLOOKUP(B24,'Data qoq'!$A:$AU,MATCH($Z$1,'Data qoq'!$A$1:$AU$1,),))/100+1)^4)-1</f>
        <v/>
      </c>
      <c r="AA24" s="33">
        <f>(((VLOOKUP(B24,'Data qoq'!$A:$AU,MATCH($AA$1,'Data qoq'!$A$1:$AU$1,),))/100+1)^4)-1</f>
        <v/>
      </c>
      <c r="AC24" s="27">
        <f>B24</f>
        <v/>
      </c>
      <c r="AD24" s="32">
        <f>(VLOOKUP(AC24,B:Y,MATCH($AE$6,$B$1:$Y$1,),))-(VLOOKUP(AC24,B:Y,MATCH($AE$7,$B$1:$Y$1,),))</f>
        <v/>
      </c>
      <c r="AE24" s="28" t="n"/>
    </row>
    <row r="25" hidden="1" s="89">
      <c r="A25" s="31" t="n">
        <v>37865</v>
      </c>
      <c r="B25" s="25" t="inlineStr">
        <is>
          <t>2003-Q3</t>
        </is>
      </c>
      <c r="C25" s="33">
        <f>(((VLOOKUP(B25,'Data qoq'!$A:$AT,MATCH($C$1,'Data qoq'!$A$1:$AT$1,),))/100+1)^4)-1</f>
        <v/>
      </c>
      <c r="D25" s="33">
        <f>(((VLOOKUP(B25,'Data qoq'!$A:$AT,MATCH($D$1,'Data qoq'!$A$1:$AT$1,),))/100+1)^4)-1</f>
        <v/>
      </c>
      <c r="E25" s="33">
        <f>(((VLOOKUP(B25,'Data qoq'!$A:$AT,MATCH($E$1,'Data qoq'!$A$1:$AT$1,),))/100+1)^4)-1</f>
        <v/>
      </c>
      <c r="F25" s="33">
        <f>(((VLOOKUP(B25,'Data qoq'!$A:$AT,MATCH($F$1,'Data qoq'!$A$1:$AT$1,),))/100+1)^4)-1</f>
        <v/>
      </c>
      <c r="G25" s="33">
        <f>(((VLOOKUP(B25,'Data qoq'!$A:$AT,MATCH($G$1,'Data qoq'!$A$1:$AT$1,),))/100+1)^4)-1</f>
        <v/>
      </c>
      <c r="H25" s="33">
        <f>(((VLOOKUP(B25,'Data qoq'!$A:$AT,MATCH($H$1,'Data qoq'!$A$1:$AT$1,),))/100+1)^4)-1</f>
        <v/>
      </c>
      <c r="I25" s="33">
        <f>(((VLOOKUP(B25,'Data qoq'!$A:$AT,MATCH($I$1,'Data qoq'!$A$1:$AT$1,),))/100+1)^4)-1</f>
        <v/>
      </c>
      <c r="J25" s="33">
        <f>(((VLOOKUP(B25,'Data qoq'!$A:$AT,MATCH($J$1,'Data qoq'!$A$1:$AT$1,),))/100+1)^4)-1</f>
        <v/>
      </c>
      <c r="K25" s="33">
        <f>(((VLOOKUP(B25,'Data qoq'!$A:$AT,MATCH($K$1,'Data qoq'!$A$1:$AT$1,),))/100+1)^4)-1</f>
        <v/>
      </c>
      <c r="L25" s="33">
        <f>(((VLOOKUP(B25,'Data qoq'!$A:$AT,MATCH($L$1,'Data qoq'!$A$1:$AT$1,),))/100+1)^4)-1</f>
        <v/>
      </c>
      <c r="M25" s="33">
        <f>(((VLOOKUP(B25,'Data qoq'!$A:$AT,MATCH($M$1,'Data qoq'!$A$1:$AT$1,),))/100+1)^4)-1</f>
        <v/>
      </c>
      <c r="N25" s="33">
        <f>(((VLOOKUP(B25,'Data qoq'!$A:$AT,MATCH($N$1,'Data qoq'!$A$1:$AT$1,),))/100+1)^4)-1</f>
        <v/>
      </c>
      <c r="O25" s="33">
        <f>(((VLOOKUP(B25,'Data qoq'!$A:$AT,MATCH($O$1,'Data qoq'!$A$1:$AT$1,),))/100+1)^4)-1</f>
        <v/>
      </c>
      <c r="P25" s="33">
        <f>(((VLOOKUP(B25,'Data qoq'!$A:$AT,MATCH($P$1,'Data qoq'!$A$1:$AT$1,),))/100+1)^4)-1</f>
        <v/>
      </c>
      <c r="Q25" s="33">
        <f>(((VLOOKUP(B25,'Data qoq'!$A:$AT,MATCH($Q$1,'Data qoq'!$A$1:$AT$1,),))/100+1)^4)-1</f>
        <v/>
      </c>
      <c r="R25" s="33">
        <f>(((VLOOKUP(B25,'Data qoq'!$A:$AT,MATCH($R$1,'Data qoq'!$A$1:$AT$1,),))/100+1)^4)-1</f>
        <v/>
      </c>
      <c r="S25" s="33">
        <f>(((VLOOKUP(B25,'Data qoq'!$A:$AT,MATCH($S$1,'Data qoq'!$A$1:$AT$1,),))/100+1)^4)-1</f>
        <v/>
      </c>
      <c r="T25" s="33">
        <f>(((VLOOKUP(B25,'Data qoq'!$A:$AT,MATCH($T$1,'Data qoq'!$A$1:$AT$1,),))/100+1)^4)-1</f>
        <v/>
      </c>
      <c r="U25" s="33">
        <f>(((VLOOKUP(B25,'Data qoq'!$A:$AT,MATCH($U$1,'Data qoq'!$A$1:$AT$1,),))/100+1)^4)-1</f>
        <v/>
      </c>
      <c r="V25" s="33">
        <f>(((VLOOKUP(B25,'Data qoq'!$A:$AT,MATCH($V$1,'Data qoq'!$A$1:$AT$1,),))/100+1)^4)-1</f>
        <v/>
      </c>
      <c r="W25" s="33">
        <f>(((VLOOKUP(B25,'Data qoq'!$A:$AT,MATCH($W$1,'Data qoq'!$A$1:$AT$1,),))/100+1)^4)-1</f>
        <v/>
      </c>
      <c r="X25" s="33">
        <f>(((VLOOKUP(B25,'Data qoq'!$A:$AT,MATCH($X$1,'Data qoq'!$A$1:$AT$1,),))/100+1)^4)-1</f>
        <v/>
      </c>
      <c r="Y25" s="33">
        <f>(((VLOOKUP(B25,'Data qoq'!$A:$AT,MATCH($Y$1,'Data qoq'!$A$1:$AT$1,),))/100+1)^4)-1</f>
        <v/>
      </c>
      <c r="Z25" s="33">
        <f>(((VLOOKUP(B25,'Data qoq'!$A:$AU,MATCH($Z$1,'Data qoq'!$A$1:$AU$1,),))/100+1)^4)-1</f>
        <v/>
      </c>
      <c r="AA25" s="33">
        <f>(((VLOOKUP(B25,'Data qoq'!$A:$AU,MATCH($AA$1,'Data qoq'!$A$1:$AU$1,),))/100+1)^4)-1</f>
        <v/>
      </c>
      <c r="AC25" s="27">
        <f>B25</f>
        <v/>
      </c>
      <c r="AD25" s="32">
        <f>(VLOOKUP(AC25,B:Y,MATCH($AE$6,$B$1:$Y$1,),))-(VLOOKUP(AC25,B:Y,MATCH($AE$7,$B$1:$Y$1,),))</f>
        <v/>
      </c>
      <c r="AE25" s="28" t="n"/>
    </row>
    <row r="26" hidden="1" s="89">
      <c r="A26" s="31" t="n">
        <v>37956</v>
      </c>
      <c r="B26" s="25" t="inlineStr">
        <is>
          <t>2003-Q4</t>
        </is>
      </c>
      <c r="C26" s="33">
        <f>(((VLOOKUP(B26,'Data qoq'!$A:$AT,MATCH($C$1,'Data qoq'!$A$1:$AT$1,),))/100+1)^4)-1</f>
        <v/>
      </c>
      <c r="D26" s="33">
        <f>(((VLOOKUP(B26,'Data qoq'!$A:$AT,MATCH($D$1,'Data qoq'!$A$1:$AT$1,),))/100+1)^4)-1</f>
        <v/>
      </c>
      <c r="E26" s="33">
        <f>(((VLOOKUP(B26,'Data qoq'!$A:$AT,MATCH($E$1,'Data qoq'!$A$1:$AT$1,),))/100+1)^4)-1</f>
        <v/>
      </c>
      <c r="F26" s="33">
        <f>(((VLOOKUP(B26,'Data qoq'!$A:$AT,MATCH($F$1,'Data qoq'!$A$1:$AT$1,),))/100+1)^4)-1</f>
        <v/>
      </c>
      <c r="G26" s="33">
        <f>(((VLOOKUP(B26,'Data qoq'!$A:$AT,MATCH($G$1,'Data qoq'!$A$1:$AT$1,),))/100+1)^4)-1</f>
        <v/>
      </c>
      <c r="H26" s="33">
        <f>(((VLOOKUP(B26,'Data qoq'!$A:$AT,MATCH($H$1,'Data qoq'!$A$1:$AT$1,),))/100+1)^4)-1</f>
        <v/>
      </c>
      <c r="I26" s="33">
        <f>(((VLOOKUP(B26,'Data qoq'!$A:$AT,MATCH($I$1,'Data qoq'!$A$1:$AT$1,),))/100+1)^4)-1</f>
        <v/>
      </c>
      <c r="J26" s="33">
        <f>(((VLOOKUP(B26,'Data qoq'!$A:$AT,MATCH($J$1,'Data qoq'!$A$1:$AT$1,),))/100+1)^4)-1</f>
        <v/>
      </c>
      <c r="K26" s="33">
        <f>(((VLOOKUP(B26,'Data qoq'!$A:$AT,MATCH($K$1,'Data qoq'!$A$1:$AT$1,),))/100+1)^4)-1</f>
        <v/>
      </c>
      <c r="L26" s="33">
        <f>(((VLOOKUP(B26,'Data qoq'!$A:$AT,MATCH($L$1,'Data qoq'!$A$1:$AT$1,),))/100+1)^4)-1</f>
        <v/>
      </c>
      <c r="M26" s="33">
        <f>(((VLOOKUP(B26,'Data qoq'!$A:$AT,MATCH($M$1,'Data qoq'!$A$1:$AT$1,),))/100+1)^4)-1</f>
        <v/>
      </c>
      <c r="N26" s="33">
        <f>(((VLOOKUP(B26,'Data qoq'!$A:$AT,MATCH($N$1,'Data qoq'!$A$1:$AT$1,),))/100+1)^4)-1</f>
        <v/>
      </c>
      <c r="O26" s="33">
        <f>(((VLOOKUP(B26,'Data qoq'!$A:$AT,MATCH($O$1,'Data qoq'!$A$1:$AT$1,),))/100+1)^4)-1</f>
        <v/>
      </c>
      <c r="P26" s="33">
        <f>(((VLOOKUP(B26,'Data qoq'!$A:$AT,MATCH($P$1,'Data qoq'!$A$1:$AT$1,),))/100+1)^4)-1</f>
        <v/>
      </c>
      <c r="Q26" s="33">
        <f>(((VLOOKUP(B26,'Data qoq'!$A:$AT,MATCH($Q$1,'Data qoq'!$A$1:$AT$1,),))/100+1)^4)-1</f>
        <v/>
      </c>
      <c r="R26" s="33">
        <f>(((VLOOKUP(B26,'Data qoq'!$A:$AT,MATCH($R$1,'Data qoq'!$A$1:$AT$1,),))/100+1)^4)-1</f>
        <v/>
      </c>
      <c r="S26" s="33">
        <f>(((VLOOKUP(B26,'Data qoq'!$A:$AT,MATCH($S$1,'Data qoq'!$A$1:$AT$1,),))/100+1)^4)-1</f>
        <v/>
      </c>
      <c r="T26" s="33">
        <f>(((VLOOKUP(B26,'Data qoq'!$A:$AT,MATCH($T$1,'Data qoq'!$A$1:$AT$1,),))/100+1)^4)-1</f>
        <v/>
      </c>
      <c r="U26" s="33">
        <f>(((VLOOKUP(B26,'Data qoq'!$A:$AT,MATCH($U$1,'Data qoq'!$A$1:$AT$1,),))/100+1)^4)-1</f>
        <v/>
      </c>
      <c r="V26" s="33">
        <f>(((VLOOKUP(B26,'Data qoq'!$A:$AT,MATCH($V$1,'Data qoq'!$A$1:$AT$1,),))/100+1)^4)-1</f>
        <v/>
      </c>
      <c r="W26" s="33">
        <f>(((VLOOKUP(B26,'Data qoq'!$A:$AT,MATCH($W$1,'Data qoq'!$A$1:$AT$1,),))/100+1)^4)-1</f>
        <v/>
      </c>
      <c r="X26" s="33">
        <f>(((VLOOKUP(B26,'Data qoq'!$A:$AT,MATCH($X$1,'Data qoq'!$A$1:$AT$1,),))/100+1)^4)-1</f>
        <v/>
      </c>
      <c r="Y26" s="33">
        <f>(((VLOOKUP(B26,'Data qoq'!$A:$AT,MATCH($Y$1,'Data qoq'!$A$1:$AT$1,),))/100+1)^4)-1</f>
        <v/>
      </c>
      <c r="Z26" s="33">
        <f>(((VLOOKUP(B26,'Data qoq'!$A:$AU,MATCH($Z$1,'Data qoq'!$A$1:$AU$1,),))/100+1)^4)-1</f>
        <v/>
      </c>
      <c r="AA26" s="33">
        <f>(((VLOOKUP(B26,'Data qoq'!$A:$AU,MATCH($AA$1,'Data qoq'!$A$1:$AU$1,),))/100+1)^4)-1</f>
        <v/>
      </c>
      <c r="AC26" s="27">
        <f>B26</f>
        <v/>
      </c>
      <c r="AD26" s="32">
        <f>(VLOOKUP(AC26,B:Y,MATCH($AE$6,$B$1:$Y$1,),))-(VLOOKUP(AC26,B:Y,MATCH($AE$7,$B$1:$Y$1,),))</f>
        <v/>
      </c>
      <c r="AE26" s="28" t="n"/>
    </row>
    <row r="27" hidden="1" s="89">
      <c r="A27" s="31" t="n">
        <v>38047</v>
      </c>
      <c r="B27" s="25" t="inlineStr">
        <is>
          <t>2004-Q1</t>
        </is>
      </c>
      <c r="C27" s="33">
        <f>(((VLOOKUP(B27,'Data qoq'!$A:$AT,MATCH($C$1,'Data qoq'!$A$1:$AT$1,),))/100+1)^4)-1</f>
        <v/>
      </c>
      <c r="D27" s="33">
        <f>(((VLOOKUP(B27,'Data qoq'!$A:$AT,MATCH($D$1,'Data qoq'!$A$1:$AT$1,),))/100+1)^4)-1</f>
        <v/>
      </c>
      <c r="E27" s="33">
        <f>(((VLOOKUP(B27,'Data qoq'!$A:$AT,MATCH($E$1,'Data qoq'!$A$1:$AT$1,),))/100+1)^4)-1</f>
        <v/>
      </c>
      <c r="F27" s="33">
        <f>(((VLOOKUP(B27,'Data qoq'!$A:$AT,MATCH($F$1,'Data qoq'!$A$1:$AT$1,),))/100+1)^4)-1</f>
        <v/>
      </c>
      <c r="G27" s="33">
        <f>(((VLOOKUP(B27,'Data qoq'!$A:$AT,MATCH($G$1,'Data qoq'!$A$1:$AT$1,),))/100+1)^4)-1</f>
        <v/>
      </c>
      <c r="H27" s="33">
        <f>(((VLOOKUP(B27,'Data qoq'!$A:$AT,MATCH($H$1,'Data qoq'!$A$1:$AT$1,),))/100+1)^4)-1</f>
        <v/>
      </c>
      <c r="I27" s="33">
        <f>(((VLOOKUP(B27,'Data qoq'!$A:$AT,MATCH($I$1,'Data qoq'!$A$1:$AT$1,),))/100+1)^4)-1</f>
        <v/>
      </c>
      <c r="J27" s="33">
        <f>(((VLOOKUP(B27,'Data qoq'!$A:$AT,MATCH($J$1,'Data qoq'!$A$1:$AT$1,),))/100+1)^4)-1</f>
        <v/>
      </c>
      <c r="K27" s="33">
        <f>(((VLOOKUP(B27,'Data qoq'!$A:$AT,MATCH($K$1,'Data qoq'!$A$1:$AT$1,),))/100+1)^4)-1</f>
        <v/>
      </c>
      <c r="L27" s="33">
        <f>(((VLOOKUP(B27,'Data qoq'!$A:$AT,MATCH($L$1,'Data qoq'!$A$1:$AT$1,),))/100+1)^4)-1</f>
        <v/>
      </c>
      <c r="M27" s="33">
        <f>(((VLOOKUP(B27,'Data qoq'!$A:$AT,MATCH($M$1,'Data qoq'!$A$1:$AT$1,),))/100+1)^4)-1</f>
        <v/>
      </c>
      <c r="N27" s="33">
        <f>(((VLOOKUP(B27,'Data qoq'!$A:$AT,MATCH($N$1,'Data qoq'!$A$1:$AT$1,),))/100+1)^4)-1</f>
        <v/>
      </c>
      <c r="O27" s="33">
        <f>(((VLOOKUP(B27,'Data qoq'!$A:$AT,MATCH($O$1,'Data qoq'!$A$1:$AT$1,),))/100+1)^4)-1</f>
        <v/>
      </c>
      <c r="P27" s="33">
        <f>(((VLOOKUP(B27,'Data qoq'!$A:$AT,MATCH($P$1,'Data qoq'!$A$1:$AT$1,),))/100+1)^4)-1</f>
        <v/>
      </c>
      <c r="Q27" s="33">
        <f>(((VLOOKUP(B27,'Data qoq'!$A:$AT,MATCH($Q$1,'Data qoq'!$A$1:$AT$1,),))/100+1)^4)-1</f>
        <v/>
      </c>
      <c r="R27" s="33">
        <f>(((VLOOKUP(B27,'Data qoq'!$A:$AT,MATCH($R$1,'Data qoq'!$A$1:$AT$1,),))/100+1)^4)-1</f>
        <v/>
      </c>
      <c r="S27" s="33">
        <f>(((VLOOKUP(B27,'Data qoq'!$A:$AT,MATCH($S$1,'Data qoq'!$A$1:$AT$1,),))/100+1)^4)-1</f>
        <v/>
      </c>
      <c r="T27" s="33">
        <f>(((VLOOKUP(B27,'Data qoq'!$A:$AT,MATCH($T$1,'Data qoq'!$A$1:$AT$1,),))/100+1)^4)-1</f>
        <v/>
      </c>
      <c r="U27" s="33">
        <f>(((VLOOKUP(B27,'Data qoq'!$A:$AT,MATCH($U$1,'Data qoq'!$A$1:$AT$1,),))/100+1)^4)-1</f>
        <v/>
      </c>
      <c r="V27" s="33">
        <f>(((VLOOKUP(B27,'Data qoq'!$A:$AT,MATCH($V$1,'Data qoq'!$A$1:$AT$1,),))/100+1)^4)-1</f>
        <v/>
      </c>
      <c r="W27" s="33">
        <f>(((VLOOKUP(B27,'Data qoq'!$A:$AT,MATCH($W$1,'Data qoq'!$A$1:$AT$1,),))/100+1)^4)-1</f>
        <v/>
      </c>
      <c r="X27" s="33">
        <f>(((VLOOKUP(B27,'Data qoq'!$A:$AT,MATCH($X$1,'Data qoq'!$A$1:$AT$1,),))/100+1)^4)-1</f>
        <v/>
      </c>
      <c r="Y27" s="33">
        <f>(((VLOOKUP(B27,'Data qoq'!$A:$AT,MATCH($Y$1,'Data qoq'!$A$1:$AT$1,),))/100+1)^4)-1</f>
        <v/>
      </c>
      <c r="Z27" s="33">
        <f>(((VLOOKUP(B27,'Data qoq'!$A:$AU,MATCH($Z$1,'Data qoq'!$A$1:$AU$1,),))/100+1)^4)-1</f>
        <v/>
      </c>
      <c r="AA27" s="33">
        <f>(((VLOOKUP(B27,'Data qoq'!$A:$AU,MATCH($AA$1,'Data qoq'!$A$1:$AU$1,),))/100+1)^4)-1</f>
        <v/>
      </c>
      <c r="AC27" s="27">
        <f>B27</f>
        <v/>
      </c>
      <c r="AD27" s="32">
        <f>(VLOOKUP(AC27,B:Y,MATCH($AE$6,$B$1:$Y$1,),))-(VLOOKUP(AC27,B:Y,MATCH($AE$7,$B$1:$Y$1,),))</f>
        <v/>
      </c>
      <c r="AE27" s="28" t="n"/>
    </row>
    <row r="28" hidden="1" s="89">
      <c r="A28" s="31" t="n">
        <v>38139</v>
      </c>
      <c r="B28" s="25" t="inlineStr">
        <is>
          <t>2004-Q2</t>
        </is>
      </c>
      <c r="C28" s="33">
        <f>(((VLOOKUP(B28,'Data qoq'!$A:$AT,MATCH($C$1,'Data qoq'!$A$1:$AT$1,),))/100+1)^4)-1</f>
        <v/>
      </c>
      <c r="D28" s="33">
        <f>(((VLOOKUP(B28,'Data qoq'!$A:$AT,MATCH($D$1,'Data qoq'!$A$1:$AT$1,),))/100+1)^4)-1</f>
        <v/>
      </c>
      <c r="E28" s="33">
        <f>(((VLOOKUP(B28,'Data qoq'!$A:$AT,MATCH($E$1,'Data qoq'!$A$1:$AT$1,),))/100+1)^4)-1</f>
        <v/>
      </c>
      <c r="F28" s="33">
        <f>(((VLOOKUP(B28,'Data qoq'!$A:$AT,MATCH($F$1,'Data qoq'!$A$1:$AT$1,),))/100+1)^4)-1</f>
        <v/>
      </c>
      <c r="G28" s="33">
        <f>(((VLOOKUP(B28,'Data qoq'!$A:$AT,MATCH($G$1,'Data qoq'!$A$1:$AT$1,),))/100+1)^4)-1</f>
        <v/>
      </c>
      <c r="H28" s="33">
        <f>(((VLOOKUP(B28,'Data qoq'!$A:$AT,MATCH($H$1,'Data qoq'!$A$1:$AT$1,),))/100+1)^4)-1</f>
        <v/>
      </c>
      <c r="I28" s="33">
        <f>(((VLOOKUP(B28,'Data qoq'!$A:$AT,MATCH($I$1,'Data qoq'!$A$1:$AT$1,),))/100+1)^4)-1</f>
        <v/>
      </c>
      <c r="J28" s="33">
        <f>(((VLOOKUP(B28,'Data qoq'!$A:$AT,MATCH($J$1,'Data qoq'!$A$1:$AT$1,),))/100+1)^4)-1</f>
        <v/>
      </c>
      <c r="K28" s="33">
        <f>(((VLOOKUP(B28,'Data qoq'!$A:$AT,MATCH($K$1,'Data qoq'!$A$1:$AT$1,),))/100+1)^4)-1</f>
        <v/>
      </c>
      <c r="L28" s="33">
        <f>(((VLOOKUP(B28,'Data qoq'!$A:$AT,MATCH($L$1,'Data qoq'!$A$1:$AT$1,),))/100+1)^4)-1</f>
        <v/>
      </c>
      <c r="M28" s="33">
        <f>(((VLOOKUP(B28,'Data qoq'!$A:$AT,MATCH($M$1,'Data qoq'!$A$1:$AT$1,),))/100+1)^4)-1</f>
        <v/>
      </c>
      <c r="N28" s="33">
        <f>(((VLOOKUP(B28,'Data qoq'!$A:$AT,MATCH($N$1,'Data qoq'!$A$1:$AT$1,),))/100+1)^4)-1</f>
        <v/>
      </c>
      <c r="O28" s="33">
        <f>(((VLOOKUP(B28,'Data qoq'!$A:$AT,MATCH($O$1,'Data qoq'!$A$1:$AT$1,),))/100+1)^4)-1</f>
        <v/>
      </c>
      <c r="P28" s="33">
        <f>(((VLOOKUP(B28,'Data qoq'!$A:$AT,MATCH($P$1,'Data qoq'!$A$1:$AT$1,),))/100+1)^4)-1</f>
        <v/>
      </c>
      <c r="Q28" s="33">
        <f>(((VLOOKUP(B28,'Data qoq'!$A:$AT,MATCH($Q$1,'Data qoq'!$A$1:$AT$1,),))/100+1)^4)-1</f>
        <v/>
      </c>
      <c r="R28" s="33">
        <f>(((VLOOKUP(B28,'Data qoq'!$A:$AT,MATCH($R$1,'Data qoq'!$A$1:$AT$1,),))/100+1)^4)-1</f>
        <v/>
      </c>
      <c r="S28" s="33">
        <f>(((VLOOKUP(B28,'Data qoq'!$A:$AT,MATCH($S$1,'Data qoq'!$A$1:$AT$1,),))/100+1)^4)-1</f>
        <v/>
      </c>
      <c r="T28" s="33">
        <f>(((VLOOKUP(B28,'Data qoq'!$A:$AT,MATCH($T$1,'Data qoq'!$A$1:$AT$1,),))/100+1)^4)-1</f>
        <v/>
      </c>
      <c r="U28" s="33">
        <f>(((VLOOKUP(B28,'Data qoq'!$A:$AT,MATCH($U$1,'Data qoq'!$A$1:$AT$1,),))/100+1)^4)-1</f>
        <v/>
      </c>
      <c r="V28" s="33">
        <f>(((VLOOKUP(B28,'Data qoq'!$A:$AT,MATCH($V$1,'Data qoq'!$A$1:$AT$1,),))/100+1)^4)-1</f>
        <v/>
      </c>
      <c r="W28" s="33">
        <f>(((VLOOKUP(B28,'Data qoq'!$A:$AT,MATCH($W$1,'Data qoq'!$A$1:$AT$1,),))/100+1)^4)-1</f>
        <v/>
      </c>
      <c r="X28" s="33">
        <f>(((VLOOKUP(B28,'Data qoq'!$A:$AT,MATCH($X$1,'Data qoq'!$A$1:$AT$1,),))/100+1)^4)-1</f>
        <v/>
      </c>
      <c r="Y28" s="33">
        <f>(((VLOOKUP(B28,'Data qoq'!$A:$AT,MATCH($Y$1,'Data qoq'!$A$1:$AT$1,),))/100+1)^4)-1</f>
        <v/>
      </c>
      <c r="Z28" s="33">
        <f>(((VLOOKUP(B28,'Data qoq'!$A:$AU,MATCH($Z$1,'Data qoq'!$A$1:$AU$1,),))/100+1)^4)-1</f>
        <v/>
      </c>
      <c r="AA28" s="33">
        <f>(((VLOOKUP(B28,'Data qoq'!$A:$AU,MATCH($AA$1,'Data qoq'!$A$1:$AU$1,),))/100+1)^4)-1</f>
        <v/>
      </c>
      <c r="AC28" s="27">
        <f>B28</f>
        <v/>
      </c>
      <c r="AD28" s="32">
        <f>(VLOOKUP(AC28,B:Y,MATCH($AE$6,$B$1:$Y$1,),))-(VLOOKUP(AC28,B:Y,MATCH($AE$7,$B$1:$Y$1,),))</f>
        <v/>
      </c>
      <c r="AE28" s="28" t="n"/>
    </row>
    <row r="29" hidden="1" s="89">
      <c r="A29" s="31" t="n">
        <v>38231</v>
      </c>
      <c r="B29" s="25" t="inlineStr">
        <is>
          <t>2004-Q3</t>
        </is>
      </c>
      <c r="C29" s="33">
        <f>(((VLOOKUP(B29,'Data qoq'!$A:$AT,MATCH($C$1,'Data qoq'!$A$1:$AT$1,),))/100+1)^4)-1</f>
        <v/>
      </c>
      <c r="D29" s="33">
        <f>(((VLOOKUP(B29,'Data qoq'!$A:$AT,MATCH($D$1,'Data qoq'!$A$1:$AT$1,),))/100+1)^4)-1</f>
        <v/>
      </c>
      <c r="E29" s="33">
        <f>(((VLOOKUP(B29,'Data qoq'!$A:$AT,MATCH($E$1,'Data qoq'!$A$1:$AT$1,),))/100+1)^4)-1</f>
        <v/>
      </c>
      <c r="F29" s="33">
        <f>(((VLOOKUP(B29,'Data qoq'!$A:$AT,MATCH($F$1,'Data qoq'!$A$1:$AT$1,),))/100+1)^4)-1</f>
        <v/>
      </c>
      <c r="G29" s="33">
        <f>(((VLOOKUP(B29,'Data qoq'!$A:$AT,MATCH($G$1,'Data qoq'!$A$1:$AT$1,),))/100+1)^4)-1</f>
        <v/>
      </c>
      <c r="H29" s="33">
        <f>(((VLOOKUP(B29,'Data qoq'!$A:$AT,MATCH($H$1,'Data qoq'!$A$1:$AT$1,),))/100+1)^4)-1</f>
        <v/>
      </c>
      <c r="I29" s="33">
        <f>(((VLOOKUP(B29,'Data qoq'!$A:$AT,MATCH($I$1,'Data qoq'!$A$1:$AT$1,),))/100+1)^4)-1</f>
        <v/>
      </c>
      <c r="J29" s="33">
        <f>(((VLOOKUP(B29,'Data qoq'!$A:$AT,MATCH($J$1,'Data qoq'!$A$1:$AT$1,),))/100+1)^4)-1</f>
        <v/>
      </c>
      <c r="K29" s="33">
        <f>(((VLOOKUP(B29,'Data qoq'!$A:$AT,MATCH($K$1,'Data qoq'!$A$1:$AT$1,),))/100+1)^4)-1</f>
        <v/>
      </c>
      <c r="L29" s="33">
        <f>(((VLOOKUP(B29,'Data qoq'!$A:$AT,MATCH($L$1,'Data qoq'!$A$1:$AT$1,),))/100+1)^4)-1</f>
        <v/>
      </c>
      <c r="M29" s="33">
        <f>(((VLOOKUP(B29,'Data qoq'!$A:$AT,MATCH($M$1,'Data qoq'!$A$1:$AT$1,),))/100+1)^4)-1</f>
        <v/>
      </c>
      <c r="N29" s="33">
        <f>(((VLOOKUP(B29,'Data qoq'!$A:$AT,MATCH($N$1,'Data qoq'!$A$1:$AT$1,),))/100+1)^4)-1</f>
        <v/>
      </c>
      <c r="O29" s="33">
        <f>(((VLOOKUP(B29,'Data qoq'!$A:$AT,MATCH($O$1,'Data qoq'!$A$1:$AT$1,),))/100+1)^4)-1</f>
        <v/>
      </c>
      <c r="P29" s="33">
        <f>(((VLOOKUP(B29,'Data qoq'!$A:$AT,MATCH($P$1,'Data qoq'!$A$1:$AT$1,),))/100+1)^4)-1</f>
        <v/>
      </c>
      <c r="Q29" s="33">
        <f>(((VLOOKUP(B29,'Data qoq'!$A:$AT,MATCH($Q$1,'Data qoq'!$A$1:$AT$1,),))/100+1)^4)-1</f>
        <v/>
      </c>
      <c r="R29" s="33">
        <f>(((VLOOKUP(B29,'Data qoq'!$A:$AT,MATCH($R$1,'Data qoq'!$A$1:$AT$1,),))/100+1)^4)-1</f>
        <v/>
      </c>
      <c r="S29" s="33">
        <f>(((VLOOKUP(B29,'Data qoq'!$A:$AT,MATCH($S$1,'Data qoq'!$A$1:$AT$1,),))/100+1)^4)-1</f>
        <v/>
      </c>
      <c r="T29" s="33">
        <f>(((VLOOKUP(B29,'Data qoq'!$A:$AT,MATCH($T$1,'Data qoq'!$A$1:$AT$1,),))/100+1)^4)-1</f>
        <v/>
      </c>
      <c r="U29" s="33">
        <f>(((VLOOKUP(B29,'Data qoq'!$A:$AT,MATCH($U$1,'Data qoq'!$A$1:$AT$1,),))/100+1)^4)-1</f>
        <v/>
      </c>
      <c r="V29" s="33">
        <f>(((VLOOKUP(B29,'Data qoq'!$A:$AT,MATCH($V$1,'Data qoq'!$A$1:$AT$1,),))/100+1)^4)-1</f>
        <v/>
      </c>
      <c r="W29" s="33">
        <f>(((VLOOKUP(B29,'Data qoq'!$A:$AT,MATCH($W$1,'Data qoq'!$A$1:$AT$1,),))/100+1)^4)-1</f>
        <v/>
      </c>
      <c r="X29" s="33">
        <f>(((VLOOKUP(B29,'Data qoq'!$A:$AT,MATCH($X$1,'Data qoq'!$A$1:$AT$1,),))/100+1)^4)-1</f>
        <v/>
      </c>
      <c r="Y29" s="33">
        <f>(((VLOOKUP(B29,'Data qoq'!$A:$AT,MATCH($Y$1,'Data qoq'!$A$1:$AT$1,),))/100+1)^4)-1</f>
        <v/>
      </c>
      <c r="Z29" s="33">
        <f>(((VLOOKUP(B29,'Data qoq'!$A:$AU,MATCH($Z$1,'Data qoq'!$A$1:$AU$1,),))/100+1)^4)-1</f>
        <v/>
      </c>
      <c r="AA29" s="33">
        <f>(((VLOOKUP(B29,'Data qoq'!$A:$AU,MATCH($AA$1,'Data qoq'!$A$1:$AU$1,),))/100+1)^4)-1</f>
        <v/>
      </c>
      <c r="AC29" s="27">
        <f>B29</f>
        <v/>
      </c>
      <c r="AD29" s="32">
        <f>(VLOOKUP(AC29,B:Y,MATCH($AE$6,$B$1:$Y$1,),))-(VLOOKUP(AC29,B:Y,MATCH($AE$7,$B$1:$Y$1,),))</f>
        <v/>
      </c>
      <c r="AE29" s="28" t="n"/>
    </row>
    <row r="30" hidden="1" s="89">
      <c r="A30" s="31" t="n">
        <v>38322</v>
      </c>
      <c r="B30" s="25" t="inlineStr">
        <is>
          <t>2004-Q4</t>
        </is>
      </c>
      <c r="C30" s="33">
        <f>(((VLOOKUP(B30,'Data qoq'!$A:$AT,MATCH($C$1,'Data qoq'!$A$1:$AT$1,),))/100+1)^4)-1</f>
        <v/>
      </c>
      <c r="D30" s="33">
        <f>(((VLOOKUP(B30,'Data qoq'!$A:$AT,MATCH($D$1,'Data qoq'!$A$1:$AT$1,),))/100+1)^4)-1</f>
        <v/>
      </c>
      <c r="E30" s="33">
        <f>(((VLOOKUP(B30,'Data qoq'!$A:$AT,MATCH($E$1,'Data qoq'!$A$1:$AT$1,),))/100+1)^4)-1</f>
        <v/>
      </c>
      <c r="F30" s="33">
        <f>(((VLOOKUP(B30,'Data qoq'!$A:$AT,MATCH($F$1,'Data qoq'!$A$1:$AT$1,),))/100+1)^4)-1</f>
        <v/>
      </c>
      <c r="G30" s="33">
        <f>(((VLOOKUP(B30,'Data qoq'!$A:$AT,MATCH($G$1,'Data qoq'!$A$1:$AT$1,),))/100+1)^4)-1</f>
        <v/>
      </c>
      <c r="H30" s="33">
        <f>(((VLOOKUP(B30,'Data qoq'!$A:$AT,MATCH($H$1,'Data qoq'!$A$1:$AT$1,),))/100+1)^4)-1</f>
        <v/>
      </c>
      <c r="I30" s="33">
        <f>(((VLOOKUP(B30,'Data qoq'!$A:$AT,MATCH($I$1,'Data qoq'!$A$1:$AT$1,),))/100+1)^4)-1</f>
        <v/>
      </c>
      <c r="J30" s="33">
        <f>(((VLOOKUP(B30,'Data qoq'!$A:$AT,MATCH($J$1,'Data qoq'!$A$1:$AT$1,),))/100+1)^4)-1</f>
        <v/>
      </c>
      <c r="K30" s="33">
        <f>(((VLOOKUP(B30,'Data qoq'!$A:$AT,MATCH($K$1,'Data qoq'!$A$1:$AT$1,),))/100+1)^4)-1</f>
        <v/>
      </c>
      <c r="L30" s="33">
        <f>(((VLOOKUP(B30,'Data qoq'!$A:$AT,MATCH($L$1,'Data qoq'!$A$1:$AT$1,),))/100+1)^4)-1</f>
        <v/>
      </c>
      <c r="M30" s="33">
        <f>(((VLOOKUP(B30,'Data qoq'!$A:$AT,MATCH($M$1,'Data qoq'!$A$1:$AT$1,),))/100+1)^4)-1</f>
        <v/>
      </c>
      <c r="N30" s="33">
        <f>(((VLOOKUP(B30,'Data qoq'!$A:$AT,MATCH($N$1,'Data qoq'!$A$1:$AT$1,),))/100+1)^4)-1</f>
        <v/>
      </c>
      <c r="O30" s="33">
        <f>(((VLOOKUP(B30,'Data qoq'!$A:$AT,MATCH($O$1,'Data qoq'!$A$1:$AT$1,),))/100+1)^4)-1</f>
        <v/>
      </c>
      <c r="P30" s="33">
        <f>(((VLOOKUP(B30,'Data qoq'!$A:$AT,MATCH($P$1,'Data qoq'!$A$1:$AT$1,),))/100+1)^4)-1</f>
        <v/>
      </c>
      <c r="Q30" s="33">
        <f>(((VLOOKUP(B30,'Data qoq'!$A:$AT,MATCH($Q$1,'Data qoq'!$A$1:$AT$1,),))/100+1)^4)-1</f>
        <v/>
      </c>
      <c r="R30" s="33">
        <f>(((VLOOKUP(B30,'Data qoq'!$A:$AT,MATCH($R$1,'Data qoq'!$A$1:$AT$1,),))/100+1)^4)-1</f>
        <v/>
      </c>
      <c r="S30" s="33">
        <f>(((VLOOKUP(B30,'Data qoq'!$A:$AT,MATCH($S$1,'Data qoq'!$A$1:$AT$1,),))/100+1)^4)-1</f>
        <v/>
      </c>
      <c r="T30" s="33">
        <f>(((VLOOKUP(B30,'Data qoq'!$A:$AT,MATCH($T$1,'Data qoq'!$A$1:$AT$1,),))/100+1)^4)-1</f>
        <v/>
      </c>
      <c r="U30" s="33">
        <f>(((VLOOKUP(B30,'Data qoq'!$A:$AT,MATCH($U$1,'Data qoq'!$A$1:$AT$1,),))/100+1)^4)-1</f>
        <v/>
      </c>
      <c r="V30" s="33">
        <f>(((VLOOKUP(B30,'Data qoq'!$A:$AT,MATCH($V$1,'Data qoq'!$A$1:$AT$1,),))/100+1)^4)-1</f>
        <v/>
      </c>
      <c r="W30" s="33">
        <f>(((VLOOKUP(B30,'Data qoq'!$A:$AT,MATCH($W$1,'Data qoq'!$A$1:$AT$1,),))/100+1)^4)-1</f>
        <v/>
      </c>
      <c r="X30" s="33">
        <f>(((VLOOKUP(B30,'Data qoq'!$A:$AT,MATCH($X$1,'Data qoq'!$A$1:$AT$1,),))/100+1)^4)-1</f>
        <v/>
      </c>
      <c r="Y30" s="33">
        <f>(((VLOOKUP(B30,'Data qoq'!$A:$AT,MATCH($Y$1,'Data qoq'!$A$1:$AT$1,),))/100+1)^4)-1</f>
        <v/>
      </c>
      <c r="Z30" s="33">
        <f>(((VLOOKUP(B30,'Data qoq'!$A:$AU,MATCH($Z$1,'Data qoq'!$A$1:$AU$1,),))/100+1)^4)-1</f>
        <v/>
      </c>
      <c r="AA30" s="33">
        <f>(((VLOOKUP(B30,'Data qoq'!$A:$AU,MATCH($AA$1,'Data qoq'!$A$1:$AU$1,),))/100+1)^4)-1</f>
        <v/>
      </c>
      <c r="AC30" s="27">
        <f>B30</f>
        <v/>
      </c>
      <c r="AD30" s="32">
        <f>(VLOOKUP(AC30,B:Y,MATCH($AE$6,$B$1:$Y$1,),))-(VLOOKUP(AC30,B:Y,MATCH($AE$7,$B$1:$Y$1,),))</f>
        <v/>
      </c>
      <c r="AE30" s="28" t="n"/>
    </row>
    <row r="31" hidden="1" s="89">
      <c r="A31" s="31" t="n">
        <v>38412</v>
      </c>
      <c r="B31" s="25" t="inlineStr">
        <is>
          <t>2005-Q1</t>
        </is>
      </c>
      <c r="C31" s="33">
        <f>(((VLOOKUP(B31,'Data qoq'!$A:$AT,MATCH($C$1,'Data qoq'!$A$1:$AT$1,),))/100+1)^4)-1</f>
        <v/>
      </c>
      <c r="D31" s="33">
        <f>(((VLOOKUP(B31,'Data qoq'!$A:$AT,MATCH($D$1,'Data qoq'!$A$1:$AT$1,),))/100+1)^4)-1</f>
        <v/>
      </c>
      <c r="E31" s="33">
        <f>(((VLOOKUP(B31,'Data qoq'!$A:$AT,MATCH($E$1,'Data qoq'!$A$1:$AT$1,),))/100+1)^4)-1</f>
        <v/>
      </c>
      <c r="F31" s="33">
        <f>(((VLOOKUP(B31,'Data qoq'!$A:$AT,MATCH($F$1,'Data qoq'!$A$1:$AT$1,),))/100+1)^4)-1</f>
        <v/>
      </c>
      <c r="G31" s="33">
        <f>(((VLOOKUP(B31,'Data qoq'!$A:$AT,MATCH($G$1,'Data qoq'!$A$1:$AT$1,),))/100+1)^4)-1</f>
        <v/>
      </c>
      <c r="H31" s="33">
        <f>(((VLOOKUP(B31,'Data qoq'!$A:$AT,MATCH($H$1,'Data qoq'!$A$1:$AT$1,),))/100+1)^4)-1</f>
        <v/>
      </c>
      <c r="I31" s="33">
        <f>(((VLOOKUP(B31,'Data qoq'!$A:$AT,MATCH($I$1,'Data qoq'!$A$1:$AT$1,),))/100+1)^4)-1</f>
        <v/>
      </c>
      <c r="J31" s="33">
        <f>(((VLOOKUP(B31,'Data qoq'!$A:$AT,MATCH($J$1,'Data qoq'!$A$1:$AT$1,),))/100+1)^4)-1</f>
        <v/>
      </c>
      <c r="K31" s="33">
        <f>(((VLOOKUP(B31,'Data qoq'!$A:$AT,MATCH($K$1,'Data qoq'!$A$1:$AT$1,),))/100+1)^4)-1</f>
        <v/>
      </c>
      <c r="L31" s="33">
        <f>(((VLOOKUP(B31,'Data qoq'!$A:$AT,MATCH($L$1,'Data qoq'!$A$1:$AT$1,),))/100+1)^4)-1</f>
        <v/>
      </c>
      <c r="M31" s="33">
        <f>(((VLOOKUP(B31,'Data qoq'!$A:$AT,MATCH($M$1,'Data qoq'!$A$1:$AT$1,),))/100+1)^4)-1</f>
        <v/>
      </c>
      <c r="N31" s="33">
        <f>(((VLOOKUP(B31,'Data qoq'!$A:$AT,MATCH($N$1,'Data qoq'!$A$1:$AT$1,),))/100+1)^4)-1</f>
        <v/>
      </c>
      <c r="O31" s="33">
        <f>(((VLOOKUP(B31,'Data qoq'!$A:$AT,MATCH($O$1,'Data qoq'!$A$1:$AT$1,),))/100+1)^4)-1</f>
        <v/>
      </c>
      <c r="P31" s="33">
        <f>(((VLOOKUP(B31,'Data qoq'!$A:$AT,MATCH($P$1,'Data qoq'!$A$1:$AT$1,),))/100+1)^4)-1</f>
        <v/>
      </c>
      <c r="Q31" s="33">
        <f>(((VLOOKUP(B31,'Data qoq'!$A:$AT,MATCH($Q$1,'Data qoq'!$A$1:$AT$1,),))/100+1)^4)-1</f>
        <v/>
      </c>
      <c r="R31" s="33">
        <f>(((VLOOKUP(B31,'Data qoq'!$A:$AT,MATCH($R$1,'Data qoq'!$A$1:$AT$1,),))/100+1)^4)-1</f>
        <v/>
      </c>
      <c r="S31" s="33">
        <f>(((VLOOKUP(B31,'Data qoq'!$A:$AT,MATCH($S$1,'Data qoq'!$A$1:$AT$1,),))/100+1)^4)-1</f>
        <v/>
      </c>
      <c r="T31" s="33">
        <f>(((VLOOKUP(B31,'Data qoq'!$A:$AT,MATCH($T$1,'Data qoq'!$A$1:$AT$1,),))/100+1)^4)-1</f>
        <v/>
      </c>
      <c r="U31" s="33">
        <f>(((VLOOKUP(B31,'Data qoq'!$A:$AT,MATCH($U$1,'Data qoq'!$A$1:$AT$1,),))/100+1)^4)-1</f>
        <v/>
      </c>
      <c r="V31" s="33">
        <f>(((VLOOKUP(B31,'Data qoq'!$A:$AT,MATCH($V$1,'Data qoq'!$A$1:$AT$1,),))/100+1)^4)-1</f>
        <v/>
      </c>
      <c r="W31" s="33">
        <f>(((VLOOKUP(B31,'Data qoq'!$A:$AT,MATCH($W$1,'Data qoq'!$A$1:$AT$1,),))/100+1)^4)-1</f>
        <v/>
      </c>
      <c r="X31" s="33">
        <f>(((VLOOKUP(B31,'Data qoq'!$A:$AT,MATCH($X$1,'Data qoq'!$A$1:$AT$1,),))/100+1)^4)-1</f>
        <v/>
      </c>
      <c r="Y31" s="33">
        <f>(((VLOOKUP(B31,'Data qoq'!$A:$AT,MATCH($Y$1,'Data qoq'!$A$1:$AT$1,),))/100+1)^4)-1</f>
        <v/>
      </c>
      <c r="Z31" s="33">
        <f>(((VLOOKUP(B31,'Data qoq'!$A:$AU,MATCH($Z$1,'Data qoq'!$A$1:$AU$1,),))/100+1)^4)-1</f>
        <v/>
      </c>
      <c r="AA31" s="33">
        <f>(((VLOOKUP(B31,'Data qoq'!$A:$AU,MATCH($AA$1,'Data qoq'!$A$1:$AU$1,),))/100+1)^4)-1</f>
        <v/>
      </c>
      <c r="AC31" s="27">
        <f>B31</f>
        <v/>
      </c>
      <c r="AD31" s="32">
        <f>(VLOOKUP(AC31,B:Y,MATCH($AE$6,$B$1:$Y$1,),))-(VLOOKUP(AC31,B:Y,MATCH($AE$7,$B$1:$Y$1,),))</f>
        <v/>
      </c>
      <c r="AE31" s="28" t="n"/>
    </row>
    <row r="32" hidden="1" s="89">
      <c r="A32" s="31" t="n">
        <v>38504</v>
      </c>
      <c r="B32" s="25" t="inlineStr">
        <is>
          <t>2005-Q2</t>
        </is>
      </c>
      <c r="C32" s="33">
        <f>(((VLOOKUP(B32,'Data qoq'!$A:$AT,MATCH($C$1,'Data qoq'!$A$1:$AT$1,),))/100+1)^4)-1</f>
        <v/>
      </c>
      <c r="D32" s="33">
        <f>(((VLOOKUP(B32,'Data qoq'!$A:$AT,MATCH($D$1,'Data qoq'!$A$1:$AT$1,),))/100+1)^4)-1</f>
        <v/>
      </c>
      <c r="E32" s="33">
        <f>(((VLOOKUP(B32,'Data qoq'!$A:$AT,MATCH($E$1,'Data qoq'!$A$1:$AT$1,),))/100+1)^4)-1</f>
        <v/>
      </c>
      <c r="F32" s="33">
        <f>(((VLOOKUP(B32,'Data qoq'!$A:$AT,MATCH($F$1,'Data qoq'!$A$1:$AT$1,),))/100+1)^4)-1</f>
        <v/>
      </c>
      <c r="G32" s="33">
        <f>(((VLOOKUP(B32,'Data qoq'!$A:$AT,MATCH($G$1,'Data qoq'!$A$1:$AT$1,),))/100+1)^4)-1</f>
        <v/>
      </c>
      <c r="H32" s="33">
        <f>(((VLOOKUP(B32,'Data qoq'!$A:$AT,MATCH($H$1,'Data qoq'!$A$1:$AT$1,),))/100+1)^4)-1</f>
        <v/>
      </c>
      <c r="I32" s="33">
        <f>(((VLOOKUP(B32,'Data qoq'!$A:$AT,MATCH($I$1,'Data qoq'!$A$1:$AT$1,),))/100+1)^4)-1</f>
        <v/>
      </c>
      <c r="J32" s="33">
        <f>(((VLOOKUP(B32,'Data qoq'!$A:$AT,MATCH($J$1,'Data qoq'!$A$1:$AT$1,),))/100+1)^4)-1</f>
        <v/>
      </c>
      <c r="K32" s="33">
        <f>(((VLOOKUP(B32,'Data qoq'!$A:$AT,MATCH($K$1,'Data qoq'!$A$1:$AT$1,),))/100+1)^4)-1</f>
        <v/>
      </c>
      <c r="L32" s="33">
        <f>(((VLOOKUP(B32,'Data qoq'!$A:$AT,MATCH($L$1,'Data qoq'!$A$1:$AT$1,),))/100+1)^4)-1</f>
        <v/>
      </c>
      <c r="M32" s="33">
        <f>(((VLOOKUP(B32,'Data qoq'!$A:$AT,MATCH($M$1,'Data qoq'!$A$1:$AT$1,),))/100+1)^4)-1</f>
        <v/>
      </c>
      <c r="N32" s="33">
        <f>(((VLOOKUP(B32,'Data qoq'!$A:$AT,MATCH($N$1,'Data qoq'!$A$1:$AT$1,),))/100+1)^4)-1</f>
        <v/>
      </c>
      <c r="O32" s="33">
        <f>(((VLOOKUP(B32,'Data qoq'!$A:$AT,MATCH($O$1,'Data qoq'!$A$1:$AT$1,),))/100+1)^4)-1</f>
        <v/>
      </c>
      <c r="P32" s="33">
        <f>(((VLOOKUP(B32,'Data qoq'!$A:$AT,MATCH($P$1,'Data qoq'!$A$1:$AT$1,),))/100+1)^4)-1</f>
        <v/>
      </c>
      <c r="Q32" s="33">
        <f>(((VLOOKUP(B32,'Data qoq'!$A:$AT,MATCH($Q$1,'Data qoq'!$A$1:$AT$1,),))/100+1)^4)-1</f>
        <v/>
      </c>
      <c r="R32" s="33">
        <f>(((VLOOKUP(B32,'Data qoq'!$A:$AT,MATCH($R$1,'Data qoq'!$A$1:$AT$1,),))/100+1)^4)-1</f>
        <v/>
      </c>
      <c r="S32" s="33">
        <f>(((VLOOKUP(B32,'Data qoq'!$A:$AT,MATCH($S$1,'Data qoq'!$A$1:$AT$1,),))/100+1)^4)-1</f>
        <v/>
      </c>
      <c r="T32" s="33">
        <f>(((VLOOKUP(B32,'Data qoq'!$A:$AT,MATCH($T$1,'Data qoq'!$A$1:$AT$1,),))/100+1)^4)-1</f>
        <v/>
      </c>
      <c r="U32" s="33">
        <f>(((VLOOKUP(B32,'Data qoq'!$A:$AT,MATCH($U$1,'Data qoq'!$A$1:$AT$1,),))/100+1)^4)-1</f>
        <v/>
      </c>
      <c r="V32" s="33">
        <f>(((VLOOKUP(B32,'Data qoq'!$A:$AT,MATCH($V$1,'Data qoq'!$A$1:$AT$1,),))/100+1)^4)-1</f>
        <v/>
      </c>
      <c r="W32" s="33">
        <f>(((VLOOKUP(B32,'Data qoq'!$A:$AT,MATCH($W$1,'Data qoq'!$A$1:$AT$1,),))/100+1)^4)-1</f>
        <v/>
      </c>
      <c r="X32" s="33">
        <f>(((VLOOKUP(B32,'Data qoq'!$A:$AT,MATCH($X$1,'Data qoq'!$A$1:$AT$1,),))/100+1)^4)-1</f>
        <v/>
      </c>
      <c r="Y32" s="33">
        <f>(((VLOOKUP(B32,'Data qoq'!$A:$AT,MATCH($Y$1,'Data qoq'!$A$1:$AT$1,),))/100+1)^4)-1</f>
        <v/>
      </c>
      <c r="Z32" s="33">
        <f>(((VLOOKUP(B32,'Data qoq'!$A:$AU,MATCH($Z$1,'Data qoq'!$A$1:$AU$1,),))/100+1)^4)-1</f>
        <v/>
      </c>
      <c r="AA32" s="33">
        <f>(((VLOOKUP(B32,'Data qoq'!$A:$AU,MATCH($AA$1,'Data qoq'!$A$1:$AU$1,),))/100+1)^4)-1</f>
        <v/>
      </c>
      <c r="AC32" s="27">
        <f>B32</f>
        <v/>
      </c>
      <c r="AD32" s="32">
        <f>(VLOOKUP(AC32,B:Y,MATCH($AE$6,$B$1:$Y$1,),))-(VLOOKUP(AC32,B:Y,MATCH($AE$7,$B$1:$Y$1,),))</f>
        <v/>
      </c>
      <c r="AE32" s="28" t="n"/>
    </row>
    <row r="33" hidden="1" s="89">
      <c r="A33" s="31" t="n">
        <v>38596</v>
      </c>
      <c r="B33" s="25" t="inlineStr">
        <is>
          <t>2005-Q3</t>
        </is>
      </c>
      <c r="C33" s="33">
        <f>(((VLOOKUP(B33,'Data qoq'!$A:$AT,MATCH($C$1,'Data qoq'!$A$1:$AT$1,),))/100+1)^4)-1</f>
        <v/>
      </c>
      <c r="D33" s="33">
        <f>(((VLOOKUP(B33,'Data qoq'!$A:$AT,MATCH($D$1,'Data qoq'!$A$1:$AT$1,),))/100+1)^4)-1</f>
        <v/>
      </c>
      <c r="E33" s="33">
        <f>(((VLOOKUP(B33,'Data qoq'!$A:$AT,MATCH($E$1,'Data qoq'!$A$1:$AT$1,),))/100+1)^4)-1</f>
        <v/>
      </c>
      <c r="F33" s="33">
        <f>(((VLOOKUP(B33,'Data qoq'!$A:$AT,MATCH($F$1,'Data qoq'!$A$1:$AT$1,),))/100+1)^4)-1</f>
        <v/>
      </c>
      <c r="G33" s="33">
        <f>(((VLOOKUP(B33,'Data qoq'!$A:$AT,MATCH($G$1,'Data qoq'!$A$1:$AT$1,),))/100+1)^4)-1</f>
        <v/>
      </c>
      <c r="H33" s="33">
        <f>(((VLOOKUP(B33,'Data qoq'!$A:$AT,MATCH($H$1,'Data qoq'!$A$1:$AT$1,),))/100+1)^4)-1</f>
        <v/>
      </c>
      <c r="I33" s="33">
        <f>(((VLOOKUP(B33,'Data qoq'!$A:$AT,MATCH($I$1,'Data qoq'!$A$1:$AT$1,),))/100+1)^4)-1</f>
        <v/>
      </c>
      <c r="J33" s="33">
        <f>(((VLOOKUP(B33,'Data qoq'!$A:$AT,MATCH($J$1,'Data qoq'!$A$1:$AT$1,),))/100+1)^4)-1</f>
        <v/>
      </c>
      <c r="K33" s="33">
        <f>(((VLOOKUP(B33,'Data qoq'!$A:$AT,MATCH($K$1,'Data qoq'!$A$1:$AT$1,),))/100+1)^4)-1</f>
        <v/>
      </c>
      <c r="L33" s="33">
        <f>(((VLOOKUP(B33,'Data qoq'!$A:$AT,MATCH($L$1,'Data qoq'!$A$1:$AT$1,),))/100+1)^4)-1</f>
        <v/>
      </c>
      <c r="M33" s="33">
        <f>(((VLOOKUP(B33,'Data qoq'!$A:$AT,MATCH($M$1,'Data qoq'!$A$1:$AT$1,),))/100+1)^4)-1</f>
        <v/>
      </c>
      <c r="N33" s="33">
        <f>(((VLOOKUP(B33,'Data qoq'!$A:$AT,MATCH($N$1,'Data qoq'!$A$1:$AT$1,),))/100+1)^4)-1</f>
        <v/>
      </c>
      <c r="O33" s="33">
        <f>(((VLOOKUP(B33,'Data qoq'!$A:$AT,MATCH($O$1,'Data qoq'!$A$1:$AT$1,),))/100+1)^4)-1</f>
        <v/>
      </c>
      <c r="P33" s="33">
        <f>(((VLOOKUP(B33,'Data qoq'!$A:$AT,MATCH($P$1,'Data qoq'!$A$1:$AT$1,),))/100+1)^4)-1</f>
        <v/>
      </c>
      <c r="Q33" s="33">
        <f>(((VLOOKUP(B33,'Data qoq'!$A:$AT,MATCH($Q$1,'Data qoq'!$A$1:$AT$1,),))/100+1)^4)-1</f>
        <v/>
      </c>
      <c r="R33" s="33">
        <f>(((VLOOKUP(B33,'Data qoq'!$A:$AT,MATCH($R$1,'Data qoq'!$A$1:$AT$1,),))/100+1)^4)-1</f>
        <v/>
      </c>
      <c r="S33" s="33">
        <f>(((VLOOKUP(B33,'Data qoq'!$A:$AT,MATCH($S$1,'Data qoq'!$A$1:$AT$1,),))/100+1)^4)-1</f>
        <v/>
      </c>
      <c r="T33" s="33">
        <f>(((VLOOKUP(B33,'Data qoq'!$A:$AT,MATCH($T$1,'Data qoq'!$A$1:$AT$1,),))/100+1)^4)-1</f>
        <v/>
      </c>
      <c r="U33" s="33">
        <f>(((VLOOKUP(B33,'Data qoq'!$A:$AT,MATCH($U$1,'Data qoq'!$A$1:$AT$1,),))/100+1)^4)-1</f>
        <v/>
      </c>
      <c r="V33" s="33">
        <f>(((VLOOKUP(B33,'Data qoq'!$A:$AT,MATCH($V$1,'Data qoq'!$A$1:$AT$1,),))/100+1)^4)-1</f>
        <v/>
      </c>
      <c r="W33" s="33">
        <f>(((VLOOKUP(B33,'Data qoq'!$A:$AT,MATCH($W$1,'Data qoq'!$A$1:$AT$1,),))/100+1)^4)-1</f>
        <v/>
      </c>
      <c r="X33" s="33">
        <f>(((VLOOKUP(B33,'Data qoq'!$A:$AT,MATCH($X$1,'Data qoq'!$A$1:$AT$1,),))/100+1)^4)-1</f>
        <v/>
      </c>
      <c r="Y33" s="33">
        <f>(((VLOOKUP(B33,'Data qoq'!$A:$AT,MATCH($Y$1,'Data qoq'!$A$1:$AT$1,),))/100+1)^4)-1</f>
        <v/>
      </c>
      <c r="Z33" s="33">
        <f>(((VLOOKUP(B33,'Data qoq'!$A:$AU,MATCH($Z$1,'Data qoq'!$A$1:$AU$1,),))/100+1)^4)-1</f>
        <v/>
      </c>
      <c r="AA33" s="33">
        <f>(((VLOOKUP(B33,'Data qoq'!$A:$AU,MATCH($AA$1,'Data qoq'!$A$1:$AU$1,),))/100+1)^4)-1</f>
        <v/>
      </c>
      <c r="AC33" s="27">
        <f>B33</f>
        <v/>
      </c>
      <c r="AD33" s="32">
        <f>(VLOOKUP(AC33,B:Y,MATCH($AE$6,$B$1:$Y$1,),))-(VLOOKUP(AC33,B:Y,MATCH($AE$7,$B$1:$Y$1,),))</f>
        <v/>
      </c>
      <c r="AE33" s="28" t="n"/>
    </row>
    <row r="34" hidden="1" s="89">
      <c r="A34" s="31" t="n">
        <v>38687</v>
      </c>
      <c r="B34" s="25" t="inlineStr">
        <is>
          <t>2005-Q4</t>
        </is>
      </c>
      <c r="C34" s="33">
        <f>(((VLOOKUP(B34,'Data qoq'!$A:$AT,MATCH($C$1,'Data qoq'!$A$1:$AT$1,),))/100+1)^4)-1</f>
        <v/>
      </c>
      <c r="D34" s="33">
        <f>(((VLOOKUP(B34,'Data qoq'!$A:$AT,MATCH($D$1,'Data qoq'!$A$1:$AT$1,),))/100+1)^4)-1</f>
        <v/>
      </c>
      <c r="E34" s="33">
        <f>(((VLOOKUP(B34,'Data qoq'!$A:$AT,MATCH($E$1,'Data qoq'!$A$1:$AT$1,),))/100+1)^4)-1</f>
        <v/>
      </c>
      <c r="F34" s="33">
        <f>(((VLOOKUP(B34,'Data qoq'!$A:$AT,MATCH($F$1,'Data qoq'!$A$1:$AT$1,),))/100+1)^4)-1</f>
        <v/>
      </c>
      <c r="G34" s="33">
        <f>(((VLOOKUP(B34,'Data qoq'!$A:$AT,MATCH($G$1,'Data qoq'!$A$1:$AT$1,),))/100+1)^4)-1</f>
        <v/>
      </c>
      <c r="H34" s="33">
        <f>(((VLOOKUP(B34,'Data qoq'!$A:$AT,MATCH($H$1,'Data qoq'!$A$1:$AT$1,),))/100+1)^4)-1</f>
        <v/>
      </c>
      <c r="I34" s="33">
        <f>(((VLOOKUP(B34,'Data qoq'!$A:$AT,MATCH($I$1,'Data qoq'!$A$1:$AT$1,),))/100+1)^4)-1</f>
        <v/>
      </c>
      <c r="J34" s="33">
        <f>(((VLOOKUP(B34,'Data qoq'!$A:$AT,MATCH($J$1,'Data qoq'!$A$1:$AT$1,),))/100+1)^4)-1</f>
        <v/>
      </c>
      <c r="K34" s="33">
        <f>(((VLOOKUP(B34,'Data qoq'!$A:$AT,MATCH($K$1,'Data qoq'!$A$1:$AT$1,),))/100+1)^4)-1</f>
        <v/>
      </c>
      <c r="L34" s="33">
        <f>(((VLOOKUP(B34,'Data qoq'!$A:$AT,MATCH($L$1,'Data qoq'!$A$1:$AT$1,),))/100+1)^4)-1</f>
        <v/>
      </c>
      <c r="M34" s="33">
        <f>(((VLOOKUP(B34,'Data qoq'!$A:$AT,MATCH($M$1,'Data qoq'!$A$1:$AT$1,),))/100+1)^4)-1</f>
        <v/>
      </c>
      <c r="N34" s="33">
        <f>(((VLOOKUP(B34,'Data qoq'!$A:$AT,MATCH($N$1,'Data qoq'!$A$1:$AT$1,),))/100+1)^4)-1</f>
        <v/>
      </c>
      <c r="O34" s="33">
        <f>(((VLOOKUP(B34,'Data qoq'!$A:$AT,MATCH($O$1,'Data qoq'!$A$1:$AT$1,),))/100+1)^4)-1</f>
        <v/>
      </c>
      <c r="P34" s="33">
        <f>(((VLOOKUP(B34,'Data qoq'!$A:$AT,MATCH($P$1,'Data qoq'!$A$1:$AT$1,),))/100+1)^4)-1</f>
        <v/>
      </c>
      <c r="Q34" s="33">
        <f>(((VLOOKUP(B34,'Data qoq'!$A:$AT,MATCH($Q$1,'Data qoq'!$A$1:$AT$1,),))/100+1)^4)-1</f>
        <v/>
      </c>
      <c r="R34" s="33">
        <f>(((VLOOKUP(B34,'Data qoq'!$A:$AT,MATCH($R$1,'Data qoq'!$A$1:$AT$1,),))/100+1)^4)-1</f>
        <v/>
      </c>
      <c r="S34" s="33">
        <f>(((VLOOKUP(B34,'Data qoq'!$A:$AT,MATCH($S$1,'Data qoq'!$A$1:$AT$1,),))/100+1)^4)-1</f>
        <v/>
      </c>
      <c r="T34" s="33">
        <f>(((VLOOKUP(B34,'Data qoq'!$A:$AT,MATCH($T$1,'Data qoq'!$A$1:$AT$1,),))/100+1)^4)-1</f>
        <v/>
      </c>
      <c r="U34" s="33">
        <f>(((VLOOKUP(B34,'Data qoq'!$A:$AT,MATCH($U$1,'Data qoq'!$A$1:$AT$1,),))/100+1)^4)-1</f>
        <v/>
      </c>
      <c r="V34" s="33">
        <f>(((VLOOKUP(B34,'Data qoq'!$A:$AT,MATCH($V$1,'Data qoq'!$A$1:$AT$1,),))/100+1)^4)-1</f>
        <v/>
      </c>
      <c r="W34" s="33">
        <f>(((VLOOKUP(B34,'Data qoq'!$A:$AT,MATCH($W$1,'Data qoq'!$A$1:$AT$1,),))/100+1)^4)-1</f>
        <v/>
      </c>
      <c r="X34" s="33">
        <f>(((VLOOKUP(B34,'Data qoq'!$A:$AT,MATCH($X$1,'Data qoq'!$A$1:$AT$1,),))/100+1)^4)-1</f>
        <v/>
      </c>
      <c r="Y34" s="33">
        <f>(((VLOOKUP(B34,'Data qoq'!$A:$AT,MATCH($Y$1,'Data qoq'!$A$1:$AT$1,),))/100+1)^4)-1</f>
        <v/>
      </c>
      <c r="Z34" s="33">
        <f>(((VLOOKUP(B34,'Data qoq'!$A:$AU,MATCH($Z$1,'Data qoq'!$A$1:$AU$1,),))/100+1)^4)-1</f>
        <v/>
      </c>
      <c r="AA34" s="33">
        <f>(((VLOOKUP(B34,'Data qoq'!$A:$AU,MATCH($AA$1,'Data qoq'!$A$1:$AU$1,),))/100+1)^4)-1</f>
        <v/>
      </c>
      <c r="AC34" s="27">
        <f>B34</f>
        <v/>
      </c>
      <c r="AD34" s="32">
        <f>(VLOOKUP(AC34,B:Y,MATCH($AE$6,$B$1:$Y$1,),))-(VLOOKUP(AC34,B:Y,MATCH($AE$7,$B$1:$Y$1,),))</f>
        <v/>
      </c>
      <c r="AE34" s="28" t="n"/>
    </row>
    <row r="35" hidden="1" s="89">
      <c r="A35" s="31" t="n">
        <v>38777</v>
      </c>
      <c r="B35" s="25" t="inlineStr">
        <is>
          <t>2006-Q1</t>
        </is>
      </c>
      <c r="C35" s="33">
        <f>(((VLOOKUP(B35,'Data qoq'!$A:$AT,MATCH($C$1,'Data qoq'!$A$1:$AT$1,),))/100+1)^4)-1</f>
        <v/>
      </c>
      <c r="D35" s="33">
        <f>(((VLOOKUP(B35,'Data qoq'!$A:$AT,MATCH($D$1,'Data qoq'!$A$1:$AT$1,),))/100+1)^4)-1</f>
        <v/>
      </c>
      <c r="E35" s="33">
        <f>(((VLOOKUP(B35,'Data qoq'!$A:$AT,MATCH($E$1,'Data qoq'!$A$1:$AT$1,),))/100+1)^4)-1</f>
        <v/>
      </c>
      <c r="F35" s="33">
        <f>(((VLOOKUP(B35,'Data qoq'!$A:$AT,MATCH($F$1,'Data qoq'!$A$1:$AT$1,),))/100+1)^4)-1</f>
        <v/>
      </c>
      <c r="G35" s="33">
        <f>(((VLOOKUP(B35,'Data qoq'!$A:$AT,MATCH($G$1,'Data qoq'!$A$1:$AT$1,),))/100+1)^4)-1</f>
        <v/>
      </c>
      <c r="H35" s="33">
        <f>(((VLOOKUP(B35,'Data qoq'!$A:$AT,MATCH($H$1,'Data qoq'!$A$1:$AT$1,),))/100+1)^4)-1</f>
        <v/>
      </c>
      <c r="I35" s="33">
        <f>(((VLOOKUP(B35,'Data qoq'!$A:$AT,MATCH($I$1,'Data qoq'!$A$1:$AT$1,),))/100+1)^4)-1</f>
        <v/>
      </c>
      <c r="J35" s="33">
        <f>(((VLOOKUP(B35,'Data qoq'!$A:$AT,MATCH($J$1,'Data qoq'!$A$1:$AT$1,),))/100+1)^4)-1</f>
        <v/>
      </c>
      <c r="K35" s="33">
        <f>(((VLOOKUP(B35,'Data qoq'!$A:$AT,MATCH($K$1,'Data qoq'!$A$1:$AT$1,),))/100+1)^4)-1</f>
        <v/>
      </c>
      <c r="L35" s="33">
        <f>(((VLOOKUP(B35,'Data qoq'!$A:$AT,MATCH($L$1,'Data qoq'!$A$1:$AT$1,),))/100+1)^4)-1</f>
        <v/>
      </c>
      <c r="M35" s="33">
        <f>(((VLOOKUP(B35,'Data qoq'!$A:$AT,MATCH($M$1,'Data qoq'!$A$1:$AT$1,),))/100+1)^4)-1</f>
        <v/>
      </c>
      <c r="N35" s="33">
        <f>(((VLOOKUP(B35,'Data qoq'!$A:$AT,MATCH($N$1,'Data qoq'!$A$1:$AT$1,),))/100+1)^4)-1</f>
        <v/>
      </c>
      <c r="O35" s="33">
        <f>(((VLOOKUP(B35,'Data qoq'!$A:$AT,MATCH($O$1,'Data qoq'!$A$1:$AT$1,),))/100+1)^4)-1</f>
        <v/>
      </c>
      <c r="P35" s="33">
        <f>(((VLOOKUP(B35,'Data qoq'!$A:$AT,MATCH($P$1,'Data qoq'!$A$1:$AT$1,),))/100+1)^4)-1</f>
        <v/>
      </c>
      <c r="Q35" s="33">
        <f>(((VLOOKUP(B35,'Data qoq'!$A:$AT,MATCH($Q$1,'Data qoq'!$A$1:$AT$1,),))/100+1)^4)-1</f>
        <v/>
      </c>
      <c r="R35" s="33">
        <f>(((VLOOKUP(B35,'Data qoq'!$A:$AT,MATCH($R$1,'Data qoq'!$A$1:$AT$1,),))/100+1)^4)-1</f>
        <v/>
      </c>
      <c r="S35" s="33">
        <f>(((VLOOKUP(B35,'Data qoq'!$A:$AT,MATCH($S$1,'Data qoq'!$A$1:$AT$1,),))/100+1)^4)-1</f>
        <v/>
      </c>
      <c r="T35" s="33">
        <f>(((VLOOKUP(B35,'Data qoq'!$A:$AT,MATCH($T$1,'Data qoq'!$A$1:$AT$1,),))/100+1)^4)-1</f>
        <v/>
      </c>
      <c r="U35" s="33">
        <f>(((VLOOKUP(B35,'Data qoq'!$A:$AT,MATCH($U$1,'Data qoq'!$A$1:$AT$1,),))/100+1)^4)-1</f>
        <v/>
      </c>
      <c r="V35" s="33">
        <f>(((VLOOKUP(B35,'Data qoq'!$A:$AT,MATCH($V$1,'Data qoq'!$A$1:$AT$1,),))/100+1)^4)-1</f>
        <v/>
      </c>
      <c r="W35" s="33">
        <f>(((VLOOKUP(B35,'Data qoq'!$A:$AT,MATCH($W$1,'Data qoq'!$A$1:$AT$1,),))/100+1)^4)-1</f>
        <v/>
      </c>
      <c r="X35" s="33">
        <f>(((VLOOKUP(B35,'Data qoq'!$A:$AT,MATCH($X$1,'Data qoq'!$A$1:$AT$1,),))/100+1)^4)-1</f>
        <v/>
      </c>
      <c r="Y35" s="33">
        <f>(((VLOOKUP(B35,'Data qoq'!$A:$AT,MATCH($Y$1,'Data qoq'!$A$1:$AT$1,),))/100+1)^4)-1</f>
        <v/>
      </c>
      <c r="Z35" s="33">
        <f>(((VLOOKUP(B35,'Data qoq'!$A:$AU,MATCH($Z$1,'Data qoq'!$A$1:$AU$1,),))/100+1)^4)-1</f>
        <v/>
      </c>
      <c r="AA35" s="33">
        <f>(((VLOOKUP(B35,'Data qoq'!$A:$AU,MATCH($AA$1,'Data qoq'!$A$1:$AU$1,),))/100+1)^4)-1</f>
        <v/>
      </c>
      <c r="AC35" s="27">
        <f>B35</f>
        <v/>
      </c>
      <c r="AD35" s="32">
        <f>(VLOOKUP(AC35,B:Y,MATCH($AE$6,$B$1:$Y$1,),))-(VLOOKUP(AC35,B:Y,MATCH($AE$7,$B$1:$Y$1,),))</f>
        <v/>
      </c>
      <c r="AE35" s="28" t="n"/>
    </row>
    <row r="36" hidden="1" s="89">
      <c r="A36" s="31" t="n">
        <v>38869</v>
      </c>
      <c r="B36" s="25" t="inlineStr">
        <is>
          <t>2006-Q2</t>
        </is>
      </c>
      <c r="C36" s="33">
        <f>(((VLOOKUP(B36,'Data qoq'!$A:$AT,MATCH($C$1,'Data qoq'!$A$1:$AT$1,),))/100+1)^4)-1</f>
        <v/>
      </c>
      <c r="D36" s="33">
        <f>(((VLOOKUP(B36,'Data qoq'!$A:$AT,MATCH($D$1,'Data qoq'!$A$1:$AT$1,),))/100+1)^4)-1</f>
        <v/>
      </c>
      <c r="E36" s="33">
        <f>(((VLOOKUP(B36,'Data qoq'!$A:$AT,MATCH($E$1,'Data qoq'!$A$1:$AT$1,),))/100+1)^4)-1</f>
        <v/>
      </c>
      <c r="F36" s="33">
        <f>(((VLOOKUP(B36,'Data qoq'!$A:$AT,MATCH($F$1,'Data qoq'!$A$1:$AT$1,),))/100+1)^4)-1</f>
        <v/>
      </c>
      <c r="G36" s="33">
        <f>(((VLOOKUP(B36,'Data qoq'!$A:$AT,MATCH($G$1,'Data qoq'!$A$1:$AT$1,),))/100+1)^4)-1</f>
        <v/>
      </c>
      <c r="H36" s="33">
        <f>(((VLOOKUP(B36,'Data qoq'!$A:$AT,MATCH($H$1,'Data qoq'!$A$1:$AT$1,),))/100+1)^4)-1</f>
        <v/>
      </c>
      <c r="I36" s="33">
        <f>(((VLOOKUP(B36,'Data qoq'!$A:$AT,MATCH($I$1,'Data qoq'!$A$1:$AT$1,),))/100+1)^4)-1</f>
        <v/>
      </c>
      <c r="J36" s="33">
        <f>(((VLOOKUP(B36,'Data qoq'!$A:$AT,MATCH($J$1,'Data qoq'!$A$1:$AT$1,),))/100+1)^4)-1</f>
        <v/>
      </c>
      <c r="K36" s="33">
        <f>(((VLOOKUP(B36,'Data qoq'!$A:$AT,MATCH($K$1,'Data qoq'!$A$1:$AT$1,),))/100+1)^4)-1</f>
        <v/>
      </c>
      <c r="L36" s="33">
        <f>(((VLOOKUP(B36,'Data qoq'!$A:$AT,MATCH($L$1,'Data qoq'!$A$1:$AT$1,),))/100+1)^4)-1</f>
        <v/>
      </c>
      <c r="M36" s="33">
        <f>(((VLOOKUP(B36,'Data qoq'!$A:$AT,MATCH($M$1,'Data qoq'!$A$1:$AT$1,),))/100+1)^4)-1</f>
        <v/>
      </c>
      <c r="N36" s="33">
        <f>(((VLOOKUP(B36,'Data qoq'!$A:$AT,MATCH($N$1,'Data qoq'!$A$1:$AT$1,),))/100+1)^4)-1</f>
        <v/>
      </c>
      <c r="O36" s="33">
        <f>(((VLOOKUP(B36,'Data qoq'!$A:$AT,MATCH($O$1,'Data qoq'!$A$1:$AT$1,),))/100+1)^4)-1</f>
        <v/>
      </c>
      <c r="P36" s="33">
        <f>(((VLOOKUP(B36,'Data qoq'!$A:$AT,MATCH($P$1,'Data qoq'!$A$1:$AT$1,),))/100+1)^4)-1</f>
        <v/>
      </c>
      <c r="Q36" s="33">
        <f>(((VLOOKUP(B36,'Data qoq'!$A:$AT,MATCH($Q$1,'Data qoq'!$A$1:$AT$1,),))/100+1)^4)-1</f>
        <v/>
      </c>
      <c r="R36" s="33">
        <f>(((VLOOKUP(B36,'Data qoq'!$A:$AT,MATCH($R$1,'Data qoq'!$A$1:$AT$1,),))/100+1)^4)-1</f>
        <v/>
      </c>
      <c r="S36" s="33">
        <f>(((VLOOKUP(B36,'Data qoq'!$A:$AT,MATCH($S$1,'Data qoq'!$A$1:$AT$1,),))/100+1)^4)-1</f>
        <v/>
      </c>
      <c r="T36" s="33">
        <f>(((VLOOKUP(B36,'Data qoq'!$A:$AT,MATCH($T$1,'Data qoq'!$A$1:$AT$1,),))/100+1)^4)-1</f>
        <v/>
      </c>
      <c r="U36" s="33">
        <f>(((VLOOKUP(B36,'Data qoq'!$A:$AT,MATCH($U$1,'Data qoq'!$A$1:$AT$1,),))/100+1)^4)-1</f>
        <v/>
      </c>
      <c r="V36" s="33">
        <f>(((VLOOKUP(B36,'Data qoq'!$A:$AT,MATCH($V$1,'Data qoq'!$A$1:$AT$1,),))/100+1)^4)-1</f>
        <v/>
      </c>
      <c r="W36" s="33">
        <f>(((VLOOKUP(B36,'Data qoq'!$A:$AT,MATCH($W$1,'Data qoq'!$A$1:$AT$1,),))/100+1)^4)-1</f>
        <v/>
      </c>
      <c r="X36" s="33">
        <f>(((VLOOKUP(B36,'Data qoq'!$A:$AT,MATCH($X$1,'Data qoq'!$A$1:$AT$1,),))/100+1)^4)-1</f>
        <v/>
      </c>
      <c r="Y36" s="33">
        <f>(((VLOOKUP(B36,'Data qoq'!$A:$AT,MATCH($Y$1,'Data qoq'!$A$1:$AT$1,),))/100+1)^4)-1</f>
        <v/>
      </c>
      <c r="Z36" s="33">
        <f>(((VLOOKUP(B36,'Data qoq'!$A:$AU,MATCH($Z$1,'Data qoq'!$A$1:$AU$1,),))/100+1)^4)-1</f>
        <v/>
      </c>
      <c r="AA36" s="33">
        <f>(((VLOOKUP(B36,'Data qoq'!$A:$AU,MATCH($AA$1,'Data qoq'!$A$1:$AU$1,),))/100+1)^4)-1</f>
        <v/>
      </c>
      <c r="AC36" s="27">
        <f>B36</f>
        <v/>
      </c>
      <c r="AD36" s="32">
        <f>(VLOOKUP(AC36,B:Y,MATCH($AE$6,$B$1:$Y$1,),))-(VLOOKUP(AC36,B:Y,MATCH($AE$7,$B$1:$Y$1,),))</f>
        <v/>
      </c>
      <c r="AE36" s="28" t="n"/>
    </row>
    <row r="37" hidden="1" s="89">
      <c r="A37" s="31" t="n">
        <v>38961</v>
      </c>
      <c r="B37" s="25" t="inlineStr">
        <is>
          <t>2006-Q3</t>
        </is>
      </c>
      <c r="C37" s="33">
        <f>(((VLOOKUP(B37,'Data qoq'!$A:$AT,MATCH($C$1,'Data qoq'!$A$1:$AT$1,),))/100+1)^4)-1</f>
        <v/>
      </c>
      <c r="D37" s="33">
        <f>(((VLOOKUP(B37,'Data qoq'!$A:$AT,MATCH($D$1,'Data qoq'!$A$1:$AT$1,),))/100+1)^4)-1</f>
        <v/>
      </c>
      <c r="E37" s="33">
        <f>(((VLOOKUP(B37,'Data qoq'!$A:$AT,MATCH($E$1,'Data qoq'!$A$1:$AT$1,),))/100+1)^4)-1</f>
        <v/>
      </c>
      <c r="F37" s="33">
        <f>(((VLOOKUP(B37,'Data qoq'!$A:$AT,MATCH($F$1,'Data qoq'!$A$1:$AT$1,),))/100+1)^4)-1</f>
        <v/>
      </c>
      <c r="G37" s="33">
        <f>(((VLOOKUP(B37,'Data qoq'!$A:$AT,MATCH($G$1,'Data qoq'!$A$1:$AT$1,),))/100+1)^4)-1</f>
        <v/>
      </c>
      <c r="H37" s="33">
        <f>(((VLOOKUP(B37,'Data qoq'!$A:$AT,MATCH($H$1,'Data qoq'!$A$1:$AT$1,),))/100+1)^4)-1</f>
        <v/>
      </c>
      <c r="I37" s="33">
        <f>(((VLOOKUP(B37,'Data qoq'!$A:$AT,MATCH($I$1,'Data qoq'!$A$1:$AT$1,),))/100+1)^4)-1</f>
        <v/>
      </c>
      <c r="J37" s="33">
        <f>(((VLOOKUP(B37,'Data qoq'!$A:$AT,MATCH($J$1,'Data qoq'!$A$1:$AT$1,),))/100+1)^4)-1</f>
        <v/>
      </c>
      <c r="K37" s="33">
        <f>(((VLOOKUP(B37,'Data qoq'!$A:$AT,MATCH($K$1,'Data qoq'!$A$1:$AT$1,),))/100+1)^4)-1</f>
        <v/>
      </c>
      <c r="L37" s="33">
        <f>(((VLOOKUP(B37,'Data qoq'!$A:$AT,MATCH($L$1,'Data qoq'!$A$1:$AT$1,),))/100+1)^4)-1</f>
        <v/>
      </c>
      <c r="M37" s="33">
        <f>(((VLOOKUP(B37,'Data qoq'!$A:$AT,MATCH($M$1,'Data qoq'!$A$1:$AT$1,),))/100+1)^4)-1</f>
        <v/>
      </c>
      <c r="N37" s="33">
        <f>(((VLOOKUP(B37,'Data qoq'!$A:$AT,MATCH($N$1,'Data qoq'!$A$1:$AT$1,),))/100+1)^4)-1</f>
        <v/>
      </c>
      <c r="O37" s="33">
        <f>(((VLOOKUP(B37,'Data qoq'!$A:$AT,MATCH($O$1,'Data qoq'!$A$1:$AT$1,),))/100+1)^4)-1</f>
        <v/>
      </c>
      <c r="P37" s="33">
        <f>(((VLOOKUP(B37,'Data qoq'!$A:$AT,MATCH($P$1,'Data qoq'!$A$1:$AT$1,),))/100+1)^4)-1</f>
        <v/>
      </c>
      <c r="Q37" s="33">
        <f>(((VLOOKUP(B37,'Data qoq'!$A:$AT,MATCH($Q$1,'Data qoq'!$A$1:$AT$1,),))/100+1)^4)-1</f>
        <v/>
      </c>
      <c r="R37" s="33">
        <f>(((VLOOKUP(B37,'Data qoq'!$A:$AT,MATCH($R$1,'Data qoq'!$A$1:$AT$1,),))/100+1)^4)-1</f>
        <v/>
      </c>
      <c r="S37" s="33">
        <f>(((VLOOKUP(B37,'Data qoq'!$A:$AT,MATCH($S$1,'Data qoq'!$A$1:$AT$1,),))/100+1)^4)-1</f>
        <v/>
      </c>
      <c r="T37" s="33">
        <f>(((VLOOKUP(B37,'Data qoq'!$A:$AT,MATCH($T$1,'Data qoq'!$A$1:$AT$1,),))/100+1)^4)-1</f>
        <v/>
      </c>
      <c r="U37" s="33">
        <f>(((VLOOKUP(B37,'Data qoq'!$A:$AT,MATCH($U$1,'Data qoq'!$A$1:$AT$1,),))/100+1)^4)-1</f>
        <v/>
      </c>
      <c r="V37" s="33">
        <f>(((VLOOKUP(B37,'Data qoq'!$A:$AT,MATCH($V$1,'Data qoq'!$A$1:$AT$1,),))/100+1)^4)-1</f>
        <v/>
      </c>
      <c r="W37" s="33">
        <f>(((VLOOKUP(B37,'Data qoq'!$A:$AT,MATCH($W$1,'Data qoq'!$A$1:$AT$1,),))/100+1)^4)-1</f>
        <v/>
      </c>
      <c r="X37" s="33">
        <f>(((VLOOKUP(B37,'Data qoq'!$A:$AT,MATCH($X$1,'Data qoq'!$A$1:$AT$1,),))/100+1)^4)-1</f>
        <v/>
      </c>
      <c r="Y37" s="33">
        <f>(((VLOOKUP(B37,'Data qoq'!$A:$AT,MATCH($Y$1,'Data qoq'!$A$1:$AT$1,),))/100+1)^4)-1</f>
        <v/>
      </c>
      <c r="Z37" s="33">
        <f>(((VLOOKUP(B37,'Data qoq'!$A:$AU,MATCH($Z$1,'Data qoq'!$A$1:$AU$1,),))/100+1)^4)-1</f>
        <v/>
      </c>
      <c r="AA37" s="33">
        <f>(((VLOOKUP(B37,'Data qoq'!$A:$AU,MATCH($AA$1,'Data qoq'!$A$1:$AU$1,),))/100+1)^4)-1</f>
        <v/>
      </c>
      <c r="AC37" s="27">
        <f>B37</f>
        <v/>
      </c>
      <c r="AD37" s="32">
        <f>(VLOOKUP(AC37,B:Y,MATCH($AE$6,$B$1:$Y$1,),))-(VLOOKUP(AC37,B:Y,MATCH($AE$7,$B$1:$Y$1,),))</f>
        <v/>
      </c>
      <c r="AE37" s="28" t="n"/>
    </row>
    <row r="38" hidden="1" s="89">
      <c r="A38" s="31" t="n">
        <v>39052</v>
      </c>
      <c r="B38" s="25" t="inlineStr">
        <is>
          <t>2006-Q4</t>
        </is>
      </c>
      <c r="C38" s="33">
        <f>(((VLOOKUP(B38,'Data qoq'!$A:$AT,MATCH($C$1,'Data qoq'!$A$1:$AT$1,),))/100+1)^4)-1</f>
        <v/>
      </c>
      <c r="D38" s="33">
        <f>(((VLOOKUP(B38,'Data qoq'!$A:$AT,MATCH($D$1,'Data qoq'!$A$1:$AT$1,),))/100+1)^4)-1</f>
        <v/>
      </c>
      <c r="E38" s="33">
        <f>(((VLOOKUP(B38,'Data qoq'!$A:$AT,MATCH($E$1,'Data qoq'!$A$1:$AT$1,),))/100+1)^4)-1</f>
        <v/>
      </c>
      <c r="F38" s="33">
        <f>(((VLOOKUP(B38,'Data qoq'!$A:$AT,MATCH($F$1,'Data qoq'!$A$1:$AT$1,),))/100+1)^4)-1</f>
        <v/>
      </c>
      <c r="G38" s="33">
        <f>(((VLOOKUP(B38,'Data qoq'!$A:$AT,MATCH($G$1,'Data qoq'!$A$1:$AT$1,),))/100+1)^4)-1</f>
        <v/>
      </c>
      <c r="H38" s="33">
        <f>(((VLOOKUP(B38,'Data qoq'!$A:$AT,MATCH($H$1,'Data qoq'!$A$1:$AT$1,),))/100+1)^4)-1</f>
        <v/>
      </c>
      <c r="I38" s="33">
        <f>(((VLOOKUP(B38,'Data qoq'!$A:$AT,MATCH($I$1,'Data qoq'!$A$1:$AT$1,),))/100+1)^4)-1</f>
        <v/>
      </c>
      <c r="J38" s="33">
        <f>(((VLOOKUP(B38,'Data qoq'!$A:$AT,MATCH($J$1,'Data qoq'!$A$1:$AT$1,),))/100+1)^4)-1</f>
        <v/>
      </c>
      <c r="K38" s="33">
        <f>(((VLOOKUP(B38,'Data qoq'!$A:$AT,MATCH($K$1,'Data qoq'!$A$1:$AT$1,),))/100+1)^4)-1</f>
        <v/>
      </c>
      <c r="L38" s="33">
        <f>(((VLOOKUP(B38,'Data qoq'!$A:$AT,MATCH($L$1,'Data qoq'!$A$1:$AT$1,),))/100+1)^4)-1</f>
        <v/>
      </c>
      <c r="M38" s="33">
        <f>(((VLOOKUP(B38,'Data qoq'!$A:$AT,MATCH($M$1,'Data qoq'!$A$1:$AT$1,),))/100+1)^4)-1</f>
        <v/>
      </c>
      <c r="N38" s="33">
        <f>(((VLOOKUP(B38,'Data qoq'!$A:$AT,MATCH($N$1,'Data qoq'!$A$1:$AT$1,),))/100+1)^4)-1</f>
        <v/>
      </c>
      <c r="O38" s="33">
        <f>(((VLOOKUP(B38,'Data qoq'!$A:$AT,MATCH($O$1,'Data qoq'!$A$1:$AT$1,),))/100+1)^4)-1</f>
        <v/>
      </c>
      <c r="P38" s="33">
        <f>(((VLOOKUP(B38,'Data qoq'!$A:$AT,MATCH($P$1,'Data qoq'!$A$1:$AT$1,),))/100+1)^4)-1</f>
        <v/>
      </c>
      <c r="Q38" s="33">
        <f>(((VLOOKUP(B38,'Data qoq'!$A:$AT,MATCH($Q$1,'Data qoq'!$A$1:$AT$1,),))/100+1)^4)-1</f>
        <v/>
      </c>
      <c r="R38" s="33">
        <f>(((VLOOKUP(B38,'Data qoq'!$A:$AT,MATCH($R$1,'Data qoq'!$A$1:$AT$1,),))/100+1)^4)-1</f>
        <v/>
      </c>
      <c r="S38" s="33">
        <f>(((VLOOKUP(B38,'Data qoq'!$A:$AT,MATCH($S$1,'Data qoq'!$A$1:$AT$1,),))/100+1)^4)-1</f>
        <v/>
      </c>
      <c r="T38" s="33">
        <f>(((VLOOKUP(B38,'Data qoq'!$A:$AT,MATCH($T$1,'Data qoq'!$A$1:$AT$1,),))/100+1)^4)-1</f>
        <v/>
      </c>
      <c r="U38" s="33">
        <f>(((VLOOKUP(B38,'Data qoq'!$A:$AT,MATCH($U$1,'Data qoq'!$A$1:$AT$1,),))/100+1)^4)-1</f>
        <v/>
      </c>
      <c r="V38" s="33">
        <f>(((VLOOKUP(B38,'Data qoq'!$A:$AT,MATCH($V$1,'Data qoq'!$A$1:$AT$1,),))/100+1)^4)-1</f>
        <v/>
      </c>
      <c r="W38" s="33">
        <f>(((VLOOKUP(B38,'Data qoq'!$A:$AT,MATCH($W$1,'Data qoq'!$A$1:$AT$1,),))/100+1)^4)-1</f>
        <v/>
      </c>
      <c r="X38" s="33">
        <f>(((VLOOKUP(B38,'Data qoq'!$A:$AT,MATCH($X$1,'Data qoq'!$A$1:$AT$1,),))/100+1)^4)-1</f>
        <v/>
      </c>
      <c r="Y38" s="33">
        <f>(((VLOOKUP(B38,'Data qoq'!$A:$AT,MATCH($Y$1,'Data qoq'!$A$1:$AT$1,),))/100+1)^4)-1</f>
        <v/>
      </c>
      <c r="Z38" s="33">
        <f>(((VLOOKUP(B38,'Data qoq'!$A:$AU,MATCH($Z$1,'Data qoq'!$A$1:$AU$1,),))/100+1)^4)-1</f>
        <v/>
      </c>
      <c r="AA38" s="33">
        <f>(((VLOOKUP(B38,'Data qoq'!$A:$AU,MATCH($AA$1,'Data qoq'!$A$1:$AU$1,),))/100+1)^4)-1</f>
        <v/>
      </c>
      <c r="AC38" s="27">
        <f>B38</f>
        <v/>
      </c>
      <c r="AD38" s="32">
        <f>(VLOOKUP(AC38,B:Y,MATCH($AE$6,$B$1:$Y$1,),))-(VLOOKUP(AC38,B:Y,MATCH($AE$7,$B$1:$Y$1,),))</f>
        <v/>
      </c>
      <c r="AE38" s="28" t="n"/>
    </row>
    <row r="39" hidden="1" s="89">
      <c r="A39" s="31" t="n">
        <v>39142</v>
      </c>
      <c r="B39" s="25" t="inlineStr">
        <is>
          <t>2007-Q1</t>
        </is>
      </c>
      <c r="C39" s="33">
        <f>(((VLOOKUP(B39,'Data qoq'!$A:$AT,MATCH($C$1,'Data qoq'!$A$1:$AT$1,),))/100+1)^4)-1</f>
        <v/>
      </c>
      <c r="D39" s="33">
        <f>(((VLOOKUP(B39,'Data qoq'!$A:$AT,MATCH($D$1,'Data qoq'!$A$1:$AT$1,),))/100+1)^4)-1</f>
        <v/>
      </c>
      <c r="E39" s="33">
        <f>(((VLOOKUP(B39,'Data qoq'!$A:$AT,MATCH($E$1,'Data qoq'!$A$1:$AT$1,),))/100+1)^4)-1</f>
        <v/>
      </c>
      <c r="F39" s="33">
        <f>(((VLOOKUP(B39,'Data qoq'!$A:$AT,MATCH($F$1,'Data qoq'!$A$1:$AT$1,),))/100+1)^4)-1</f>
        <v/>
      </c>
      <c r="G39" s="33">
        <f>(((VLOOKUP(B39,'Data qoq'!$A:$AT,MATCH($G$1,'Data qoq'!$A$1:$AT$1,),))/100+1)^4)-1</f>
        <v/>
      </c>
      <c r="H39" s="33">
        <f>(((VLOOKUP(B39,'Data qoq'!$A:$AT,MATCH($H$1,'Data qoq'!$A$1:$AT$1,),))/100+1)^4)-1</f>
        <v/>
      </c>
      <c r="I39" s="33">
        <f>(((VLOOKUP(B39,'Data qoq'!$A:$AT,MATCH($I$1,'Data qoq'!$A$1:$AT$1,),))/100+1)^4)-1</f>
        <v/>
      </c>
      <c r="J39" s="33">
        <f>(((VLOOKUP(B39,'Data qoq'!$A:$AT,MATCH($J$1,'Data qoq'!$A$1:$AT$1,),))/100+1)^4)-1</f>
        <v/>
      </c>
      <c r="K39" s="33">
        <f>(((VLOOKUP(B39,'Data qoq'!$A:$AT,MATCH($K$1,'Data qoq'!$A$1:$AT$1,),))/100+1)^4)-1</f>
        <v/>
      </c>
      <c r="L39" s="33">
        <f>(((VLOOKUP(B39,'Data qoq'!$A:$AT,MATCH($L$1,'Data qoq'!$A$1:$AT$1,),))/100+1)^4)-1</f>
        <v/>
      </c>
      <c r="M39" s="33">
        <f>(((VLOOKUP(B39,'Data qoq'!$A:$AT,MATCH($M$1,'Data qoq'!$A$1:$AT$1,),))/100+1)^4)-1</f>
        <v/>
      </c>
      <c r="N39" s="33">
        <f>(((VLOOKUP(B39,'Data qoq'!$A:$AT,MATCH($N$1,'Data qoq'!$A$1:$AT$1,),))/100+1)^4)-1</f>
        <v/>
      </c>
      <c r="O39" s="33">
        <f>(((VLOOKUP(B39,'Data qoq'!$A:$AT,MATCH($O$1,'Data qoq'!$A$1:$AT$1,),))/100+1)^4)-1</f>
        <v/>
      </c>
      <c r="P39" s="33">
        <f>(((VLOOKUP(B39,'Data qoq'!$A:$AT,MATCH($P$1,'Data qoq'!$A$1:$AT$1,),))/100+1)^4)-1</f>
        <v/>
      </c>
      <c r="Q39" s="33">
        <f>(((VLOOKUP(B39,'Data qoq'!$A:$AT,MATCH($Q$1,'Data qoq'!$A$1:$AT$1,),))/100+1)^4)-1</f>
        <v/>
      </c>
      <c r="R39" s="33">
        <f>(((VLOOKUP(B39,'Data qoq'!$A:$AT,MATCH($R$1,'Data qoq'!$A$1:$AT$1,),))/100+1)^4)-1</f>
        <v/>
      </c>
      <c r="S39" s="33">
        <f>(((VLOOKUP(B39,'Data qoq'!$A:$AT,MATCH($S$1,'Data qoq'!$A$1:$AT$1,),))/100+1)^4)-1</f>
        <v/>
      </c>
      <c r="T39" s="33">
        <f>(((VLOOKUP(B39,'Data qoq'!$A:$AT,MATCH($T$1,'Data qoq'!$A$1:$AT$1,),))/100+1)^4)-1</f>
        <v/>
      </c>
      <c r="U39" s="33">
        <f>(((VLOOKUP(B39,'Data qoq'!$A:$AT,MATCH($U$1,'Data qoq'!$A$1:$AT$1,),))/100+1)^4)-1</f>
        <v/>
      </c>
      <c r="V39" s="33">
        <f>(((VLOOKUP(B39,'Data qoq'!$A:$AT,MATCH($V$1,'Data qoq'!$A$1:$AT$1,),))/100+1)^4)-1</f>
        <v/>
      </c>
      <c r="W39" s="33">
        <f>(((VLOOKUP(B39,'Data qoq'!$A:$AT,MATCH($W$1,'Data qoq'!$A$1:$AT$1,),))/100+1)^4)-1</f>
        <v/>
      </c>
      <c r="X39" s="33">
        <f>(((VLOOKUP(B39,'Data qoq'!$A:$AT,MATCH($X$1,'Data qoq'!$A$1:$AT$1,),))/100+1)^4)-1</f>
        <v/>
      </c>
      <c r="Y39" s="33">
        <f>(((VLOOKUP(B39,'Data qoq'!$A:$AT,MATCH($Y$1,'Data qoq'!$A$1:$AT$1,),))/100+1)^4)-1</f>
        <v/>
      </c>
      <c r="Z39" s="33">
        <f>(((VLOOKUP(B39,'Data qoq'!$A:$AU,MATCH($Z$1,'Data qoq'!$A$1:$AU$1,),))/100+1)^4)-1</f>
        <v/>
      </c>
      <c r="AA39" s="33">
        <f>(((VLOOKUP(B39,'Data qoq'!$A:$AU,MATCH($AA$1,'Data qoq'!$A$1:$AU$1,),))/100+1)^4)-1</f>
        <v/>
      </c>
      <c r="AC39" s="27">
        <f>B39</f>
        <v/>
      </c>
      <c r="AD39" s="32">
        <f>(VLOOKUP(AC39,B:Y,MATCH($AE$6,$B$1:$Y$1,),))-(VLOOKUP(AC39,B:Y,MATCH($AE$7,$B$1:$Y$1,),))</f>
        <v/>
      </c>
      <c r="AE39" s="28" t="n"/>
    </row>
    <row r="40" hidden="1" s="89">
      <c r="A40" s="31" t="n">
        <v>39234</v>
      </c>
      <c r="B40" s="25" t="inlineStr">
        <is>
          <t>2007-Q2</t>
        </is>
      </c>
      <c r="C40" s="33">
        <f>(((VLOOKUP(B40,'Data qoq'!$A:$AT,MATCH($C$1,'Data qoq'!$A$1:$AT$1,),))/100+1)^4)-1</f>
        <v/>
      </c>
      <c r="D40" s="33">
        <f>(((VLOOKUP(B40,'Data qoq'!$A:$AT,MATCH($D$1,'Data qoq'!$A$1:$AT$1,),))/100+1)^4)-1</f>
        <v/>
      </c>
      <c r="E40" s="33">
        <f>(((VLOOKUP(B40,'Data qoq'!$A:$AT,MATCH($E$1,'Data qoq'!$A$1:$AT$1,),))/100+1)^4)-1</f>
        <v/>
      </c>
      <c r="F40" s="33">
        <f>(((VLOOKUP(B40,'Data qoq'!$A:$AT,MATCH($F$1,'Data qoq'!$A$1:$AT$1,),))/100+1)^4)-1</f>
        <v/>
      </c>
      <c r="G40" s="33">
        <f>(((VLOOKUP(B40,'Data qoq'!$A:$AT,MATCH($G$1,'Data qoq'!$A$1:$AT$1,),))/100+1)^4)-1</f>
        <v/>
      </c>
      <c r="H40" s="33">
        <f>(((VLOOKUP(B40,'Data qoq'!$A:$AT,MATCH($H$1,'Data qoq'!$A$1:$AT$1,),))/100+1)^4)-1</f>
        <v/>
      </c>
      <c r="I40" s="33">
        <f>(((VLOOKUP(B40,'Data qoq'!$A:$AT,MATCH($I$1,'Data qoq'!$A$1:$AT$1,),))/100+1)^4)-1</f>
        <v/>
      </c>
      <c r="J40" s="33">
        <f>(((VLOOKUP(B40,'Data qoq'!$A:$AT,MATCH($J$1,'Data qoq'!$A$1:$AT$1,),))/100+1)^4)-1</f>
        <v/>
      </c>
      <c r="K40" s="33">
        <f>(((VLOOKUP(B40,'Data qoq'!$A:$AT,MATCH($K$1,'Data qoq'!$A$1:$AT$1,),))/100+1)^4)-1</f>
        <v/>
      </c>
      <c r="L40" s="33">
        <f>(((VLOOKUP(B40,'Data qoq'!$A:$AT,MATCH($L$1,'Data qoq'!$A$1:$AT$1,),))/100+1)^4)-1</f>
        <v/>
      </c>
      <c r="M40" s="33">
        <f>(((VLOOKUP(B40,'Data qoq'!$A:$AT,MATCH($M$1,'Data qoq'!$A$1:$AT$1,),))/100+1)^4)-1</f>
        <v/>
      </c>
      <c r="N40" s="33">
        <f>(((VLOOKUP(B40,'Data qoq'!$A:$AT,MATCH($N$1,'Data qoq'!$A$1:$AT$1,),))/100+1)^4)-1</f>
        <v/>
      </c>
      <c r="O40" s="33">
        <f>(((VLOOKUP(B40,'Data qoq'!$A:$AT,MATCH($O$1,'Data qoq'!$A$1:$AT$1,),))/100+1)^4)-1</f>
        <v/>
      </c>
      <c r="P40" s="33">
        <f>(((VLOOKUP(B40,'Data qoq'!$A:$AT,MATCH($P$1,'Data qoq'!$A$1:$AT$1,),))/100+1)^4)-1</f>
        <v/>
      </c>
      <c r="Q40" s="33">
        <f>(((VLOOKUP(B40,'Data qoq'!$A:$AT,MATCH($Q$1,'Data qoq'!$A$1:$AT$1,),))/100+1)^4)-1</f>
        <v/>
      </c>
      <c r="R40" s="33">
        <f>(((VLOOKUP(B40,'Data qoq'!$A:$AT,MATCH($R$1,'Data qoq'!$A$1:$AT$1,),))/100+1)^4)-1</f>
        <v/>
      </c>
      <c r="S40" s="33">
        <f>(((VLOOKUP(B40,'Data qoq'!$A:$AT,MATCH($S$1,'Data qoq'!$A$1:$AT$1,),))/100+1)^4)-1</f>
        <v/>
      </c>
      <c r="T40" s="33">
        <f>(((VLOOKUP(B40,'Data qoq'!$A:$AT,MATCH($T$1,'Data qoq'!$A$1:$AT$1,),))/100+1)^4)-1</f>
        <v/>
      </c>
      <c r="U40" s="33">
        <f>(((VLOOKUP(B40,'Data qoq'!$A:$AT,MATCH($U$1,'Data qoq'!$A$1:$AT$1,),))/100+1)^4)-1</f>
        <v/>
      </c>
      <c r="V40" s="33">
        <f>(((VLOOKUP(B40,'Data qoq'!$A:$AT,MATCH($V$1,'Data qoq'!$A$1:$AT$1,),))/100+1)^4)-1</f>
        <v/>
      </c>
      <c r="W40" s="33">
        <f>(((VLOOKUP(B40,'Data qoq'!$A:$AT,MATCH($W$1,'Data qoq'!$A$1:$AT$1,),))/100+1)^4)-1</f>
        <v/>
      </c>
      <c r="X40" s="33">
        <f>(((VLOOKUP(B40,'Data qoq'!$A:$AT,MATCH($X$1,'Data qoq'!$A$1:$AT$1,),))/100+1)^4)-1</f>
        <v/>
      </c>
      <c r="Y40" s="33">
        <f>(((VLOOKUP(B40,'Data qoq'!$A:$AT,MATCH($Y$1,'Data qoq'!$A$1:$AT$1,),))/100+1)^4)-1</f>
        <v/>
      </c>
      <c r="Z40" s="33">
        <f>(((VLOOKUP(B40,'Data qoq'!$A:$AU,MATCH($Z$1,'Data qoq'!$A$1:$AU$1,),))/100+1)^4)-1</f>
        <v/>
      </c>
      <c r="AA40" s="33">
        <f>(((VLOOKUP(B40,'Data qoq'!$A:$AU,MATCH($AA$1,'Data qoq'!$A$1:$AU$1,),))/100+1)^4)-1</f>
        <v/>
      </c>
      <c r="AC40" s="27">
        <f>B40</f>
        <v/>
      </c>
      <c r="AD40" s="32">
        <f>(VLOOKUP(AC40,B:Y,MATCH($AE$6,$B$1:$Y$1,),))-(VLOOKUP(AC40,B:Y,MATCH($AE$7,$B$1:$Y$1,),))</f>
        <v/>
      </c>
      <c r="AE40" s="28" t="n"/>
    </row>
    <row r="41" hidden="1" s="89">
      <c r="A41" s="31" t="n">
        <v>39326</v>
      </c>
      <c r="B41" s="25" t="inlineStr">
        <is>
          <t>2007-Q3</t>
        </is>
      </c>
      <c r="C41" s="33">
        <f>(((VLOOKUP(B41,'Data qoq'!$A:$AT,MATCH($C$1,'Data qoq'!$A$1:$AT$1,),))/100+1)^4)-1</f>
        <v/>
      </c>
      <c r="D41" s="33">
        <f>(((VLOOKUP(B41,'Data qoq'!$A:$AT,MATCH($D$1,'Data qoq'!$A$1:$AT$1,),))/100+1)^4)-1</f>
        <v/>
      </c>
      <c r="E41" s="33">
        <f>(((VLOOKUP(B41,'Data qoq'!$A:$AT,MATCH($E$1,'Data qoq'!$A$1:$AT$1,),))/100+1)^4)-1</f>
        <v/>
      </c>
      <c r="F41" s="33">
        <f>(((VLOOKUP(B41,'Data qoq'!$A:$AT,MATCH($F$1,'Data qoq'!$A$1:$AT$1,),))/100+1)^4)-1</f>
        <v/>
      </c>
      <c r="G41" s="33">
        <f>(((VLOOKUP(B41,'Data qoq'!$A:$AT,MATCH($G$1,'Data qoq'!$A$1:$AT$1,),))/100+1)^4)-1</f>
        <v/>
      </c>
      <c r="H41" s="33">
        <f>(((VLOOKUP(B41,'Data qoq'!$A:$AT,MATCH($H$1,'Data qoq'!$A$1:$AT$1,),))/100+1)^4)-1</f>
        <v/>
      </c>
      <c r="I41" s="33">
        <f>(((VLOOKUP(B41,'Data qoq'!$A:$AT,MATCH($I$1,'Data qoq'!$A$1:$AT$1,),))/100+1)^4)-1</f>
        <v/>
      </c>
      <c r="J41" s="33">
        <f>(((VLOOKUP(B41,'Data qoq'!$A:$AT,MATCH($J$1,'Data qoq'!$A$1:$AT$1,),))/100+1)^4)-1</f>
        <v/>
      </c>
      <c r="K41" s="33">
        <f>(((VLOOKUP(B41,'Data qoq'!$A:$AT,MATCH($K$1,'Data qoq'!$A$1:$AT$1,),))/100+1)^4)-1</f>
        <v/>
      </c>
      <c r="L41" s="33">
        <f>(((VLOOKUP(B41,'Data qoq'!$A:$AT,MATCH($L$1,'Data qoq'!$A$1:$AT$1,),))/100+1)^4)-1</f>
        <v/>
      </c>
      <c r="M41" s="33">
        <f>(((VLOOKUP(B41,'Data qoq'!$A:$AT,MATCH($M$1,'Data qoq'!$A$1:$AT$1,),))/100+1)^4)-1</f>
        <v/>
      </c>
      <c r="N41" s="33">
        <f>(((VLOOKUP(B41,'Data qoq'!$A:$AT,MATCH($N$1,'Data qoq'!$A$1:$AT$1,),))/100+1)^4)-1</f>
        <v/>
      </c>
      <c r="O41" s="33">
        <f>(((VLOOKUP(B41,'Data qoq'!$A:$AT,MATCH($O$1,'Data qoq'!$A$1:$AT$1,),))/100+1)^4)-1</f>
        <v/>
      </c>
      <c r="P41" s="33">
        <f>(((VLOOKUP(B41,'Data qoq'!$A:$AT,MATCH($P$1,'Data qoq'!$A$1:$AT$1,),))/100+1)^4)-1</f>
        <v/>
      </c>
      <c r="Q41" s="33">
        <f>(((VLOOKUP(B41,'Data qoq'!$A:$AT,MATCH($Q$1,'Data qoq'!$A$1:$AT$1,),))/100+1)^4)-1</f>
        <v/>
      </c>
      <c r="R41" s="33">
        <f>(((VLOOKUP(B41,'Data qoq'!$A:$AT,MATCH($R$1,'Data qoq'!$A$1:$AT$1,),))/100+1)^4)-1</f>
        <v/>
      </c>
      <c r="S41" s="33">
        <f>(((VLOOKUP(B41,'Data qoq'!$A:$AT,MATCH($S$1,'Data qoq'!$A$1:$AT$1,),))/100+1)^4)-1</f>
        <v/>
      </c>
      <c r="T41" s="33">
        <f>(((VLOOKUP(B41,'Data qoq'!$A:$AT,MATCH($T$1,'Data qoq'!$A$1:$AT$1,),))/100+1)^4)-1</f>
        <v/>
      </c>
      <c r="U41" s="33">
        <f>(((VLOOKUP(B41,'Data qoq'!$A:$AT,MATCH($U$1,'Data qoq'!$A$1:$AT$1,),))/100+1)^4)-1</f>
        <v/>
      </c>
      <c r="V41" s="33">
        <f>(((VLOOKUP(B41,'Data qoq'!$A:$AT,MATCH($V$1,'Data qoq'!$A$1:$AT$1,),))/100+1)^4)-1</f>
        <v/>
      </c>
      <c r="W41" s="33">
        <f>(((VLOOKUP(B41,'Data qoq'!$A:$AT,MATCH($W$1,'Data qoq'!$A$1:$AT$1,),))/100+1)^4)-1</f>
        <v/>
      </c>
      <c r="X41" s="33">
        <f>(((VLOOKUP(B41,'Data qoq'!$A:$AT,MATCH($X$1,'Data qoq'!$A$1:$AT$1,),))/100+1)^4)-1</f>
        <v/>
      </c>
      <c r="Y41" s="33">
        <f>(((VLOOKUP(B41,'Data qoq'!$A:$AT,MATCH($Y$1,'Data qoq'!$A$1:$AT$1,),))/100+1)^4)-1</f>
        <v/>
      </c>
      <c r="Z41" s="33">
        <f>(((VLOOKUP(B41,'Data qoq'!$A:$AU,MATCH($Z$1,'Data qoq'!$A$1:$AU$1,),))/100+1)^4)-1</f>
        <v/>
      </c>
      <c r="AA41" s="33">
        <f>(((VLOOKUP(B41,'Data qoq'!$A:$AU,MATCH($AA$1,'Data qoq'!$A$1:$AU$1,),))/100+1)^4)-1</f>
        <v/>
      </c>
      <c r="AC41" s="27">
        <f>B41</f>
        <v/>
      </c>
      <c r="AD41" s="32">
        <f>(VLOOKUP(AC41,B:Y,MATCH($AE$6,$B$1:$Y$1,),))-(VLOOKUP(AC41,B:Y,MATCH($AE$7,$B$1:$Y$1,),))</f>
        <v/>
      </c>
      <c r="AE41" s="28" t="n"/>
    </row>
    <row r="42" hidden="1" s="89">
      <c r="A42" s="31" t="n">
        <v>39417</v>
      </c>
      <c r="B42" s="25" t="inlineStr">
        <is>
          <t>2007-Q4</t>
        </is>
      </c>
      <c r="C42" s="33">
        <f>(((VLOOKUP(B42,'Data qoq'!$A:$AT,MATCH($C$1,'Data qoq'!$A$1:$AT$1,),))/100+1)^4)-1</f>
        <v/>
      </c>
      <c r="D42" s="33">
        <f>(((VLOOKUP(B42,'Data qoq'!$A:$AT,MATCH($D$1,'Data qoq'!$A$1:$AT$1,),))/100+1)^4)-1</f>
        <v/>
      </c>
      <c r="E42" s="33">
        <f>(((VLOOKUP(B42,'Data qoq'!$A:$AT,MATCH($E$1,'Data qoq'!$A$1:$AT$1,),))/100+1)^4)-1</f>
        <v/>
      </c>
      <c r="F42" s="33">
        <f>(((VLOOKUP(B42,'Data qoq'!$A:$AT,MATCH($F$1,'Data qoq'!$A$1:$AT$1,),))/100+1)^4)-1</f>
        <v/>
      </c>
      <c r="G42" s="33">
        <f>(((VLOOKUP(B42,'Data qoq'!$A:$AT,MATCH($G$1,'Data qoq'!$A$1:$AT$1,),))/100+1)^4)-1</f>
        <v/>
      </c>
      <c r="H42" s="33">
        <f>(((VLOOKUP(B42,'Data qoq'!$A:$AT,MATCH($H$1,'Data qoq'!$A$1:$AT$1,),))/100+1)^4)-1</f>
        <v/>
      </c>
      <c r="I42" s="33">
        <f>(((VLOOKUP(B42,'Data qoq'!$A:$AT,MATCH($I$1,'Data qoq'!$A$1:$AT$1,),))/100+1)^4)-1</f>
        <v/>
      </c>
      <c r="J42" s="33">
        <f>(((VLOOKUP(B42,'Data qoq'!$A:$AT,MATCH($J$1,'Data qoq'!$A$1:$AT$1,),))/100+1)^4)-1</f>
        <v/>
      </c>
      <c r="K42" s="33">
        <f>(((VLOOKUP(B42,'Data qoq'!$A:$AT,MATCH($K$1,'Data qoq'!$A$1:$AT$1,),))/100+1)^4)-1</f>
        <v/>
      </c>
      <c r="L42" s="33">
        <f>(((VLOOKUP(B42,'Data qoq'!$A:$AT,MATCH($L$1,'Data qoq'!$A$1:$AT$1,),))/100+1)^4)-1</f>
        <v/>
      </c>
      <c r="M42" s="33">
        <f>(((VLOOKUP(B42,'Data qoq'!$A:$AT,MATCH($M$1,'Data qoq'!$A$1:$AT$1,),))/100+1)^4)-1</f>
        <v/>
      </c>
      <c r="N42" s="33">
        <f>(((VLOOKUP(B42,'Data qoq'!$A:$AT,MATCH($N$1,'Data qoq'!$A$1:$AT$1,),))/100+1)^4)-1</f>
        <v/>
      </c>
      <c r="O42" s="33">
        <f>(((VLOOKUP(B42,'Data qoq'!$A:$AT,MATCH($O$1,'Data qoq'!$A$1:$AT$1,),))/100+1)^4)-1</f>
        <v/>
      </c>
      <c r="P42" s="33">
        <f>(((VLOOKUP(B42,'Data qoq'!$A:$AT,MATCH($P$1,'Data qoq'!$A$1:$AT$1,),))/100+1)^4)-1</f>
        <v/>
      </c>
      <c r="Q42" s="33">
        <f>(((VLOOKUP(B42,'Data qoq'!$A:$AT,MATCH($Q$1,'Data qoq'!$A$1:$AT$1,),))/100+1)^4)-1</f>
        <v/>
      </c>
      <c r="R42" s="33">
        <f>(((VLOOKUP(B42,'Data qoq'!$A:$AT,MATCH($R$1,'Data qoq'!$A$1:$AT$1,),))/100+1)^4)-1</f>
        <v/>
      </c>
      <c r="S42" s="33">
        <f>(((VLOOKUP(B42,'Data qoq'!$A:$AT,MATCH($S$1,'Data qoq'!$A$1:$AT$1,),))/100+1)^4)-1</f>
        <v/>
      </c>
      <c r="T42" s="33">
        <f>(((VLOOKUP(B42,'Data qoq'!$A:$AT,MATCH($T$1,'Data qoq'!$A$1:$AT$1,),))/100+1)^4)-1</f>
        <v/>
      </c>
      <c r="U42" s="33">
        <f>(((VLOOKUP(B42,'Data qoq'!$A:$AT,MATCH($U$1,'Data qoq'!$A$1:$AT$1,),))/100+1)^4)-1</f>
        <v/>
      </c>
      <c r="V42" s="33">
        <f>(((VLOOKUP(B42,'Data qoq'!$A:$AT,MATCH($V$1,'Data qoq'!$A$1:$AT$1,),))/100+1)^4)-1</f>
        <v/>
      </c>
      <c r="W42" s="33">
        <f>(((VLOOKUP(B42,'Data qoq'!$A:$AT,MATCH($W$1,'Data qoq'!$A$1:$AT$1,),))/100+1)^4)-1</f>
        <v/>
      </c>
      <c r="X42" s="33">
        <f>(((VLOOKUP(B42,'Data qoq'!$A:$AT,MATCH($X$1,'Data qoq'!$A$1:$AT$1,),))/100+1)^4)-1</f>
        <v/>
      </c>
      <c r="Y42" s="33">
        <f>(((VLOOKUP(B42,'Data qoq'!$A:$AT,MATCH($Y$1,'Data qoq'!$A$1:$AT$1,),))/100+1)^4)-1</f>
        <v/>
      </c>
      <c r="Z42" s="33">
        <f>(((VLOOKUP(B42,'Data qoq'!$A:$AU,MATCH($Z$1,'Data qoq'!$A$1:$AU$1,),))/100+1)^4)-1</f>
        <v/>
      </c>
      <c r="AA42" s="33">
        <f>(((VLOOKUP(B42,'Data qoq'!$A:$AU,MATCH($AA$1,'Data qoq'!$A$1:$AU$1,),))/100+1)^4)-1</f>
        <v/>
      </c>
      <c r="AC42" s="27">
        <f>B42</f>
        <v/>
      </c>
      <c r="AD42" s="32">
        <f>(VLOOKUP(AC42,B:Y,MATCH($AE$6,$B$1:$Y$1,),))-(VLOOKUP(AC42,B:Y,MATCH($AE$7,$B$1:$Y$1,),))</f>
        <v/>
      </c>
      <c r="AE42" s="28" t="n"/>
    </row>
    <row r="43" hidden="1" s="89">
      <c r="A43" s="31" t="n">
        <v>39508</v>
      </c>
      <c r="B43" s="25" t="inlineStr">
        <is>
          <t>2008-Q1</t>
        </is>
      </c>
      <c r="C43" s="33">
        <f>(((VLOOKUP(B43,'Data qoq'!$A:$AT,MATCH($C$1,'Data qoq'!$A$1:$AT$1,),))/100+1)^4)-1</f>
        <v/>
      </c>
      <c r="D43" s="33">
        <f>(((VLOOKUP(B43,'Data qoq'!$A:$AT,MATCH($D$1,'Data qoq'!$A$1:$AT$1,),))/100+1)^4)-1</f>
        <v/>
      </c>
      <c r="E43" s="33">
        <f>(((VLOOKUP(B43,'Data qoq'!$A:$AT,MATCH($E$1,'Data qoq'!$A$1:$AT$1,),))/100+1)^4)-1</f>
        <v/>
      </c>
      <c r="F43" s="33">
        <f>(((VLOOKUP(B43,'Data qoq'!$A:$AT,MATCH($F$1,'Data qoq'!$A$1:$AT$1,),))/100+1)^4)-1</f>
        <v/>
      </c>
      <c r="G43" s="33">
        <f>(((VLOOKUP(B43,'Data qoq'!$A:$AT,MATCH($G$1,'Data qoq'!$A$1:$AT$1,),))/100+1)^4)-1</f>
        <v/>
      </c>
      <c r="H43" s="33">
        <f>(((VLOOKUP(B43,'Data qoq'!$A:$AT,MATCH($H$1,'Data qoq'!$A$1:$AT$1,),))/100+1)^4)-1</f>
        <v/>
      </c>
      <c r="I43" s="33">
        <f>(((VLOOKUP(B43,'Data qoq'!$A:$AT,MATCH($I$1,'Data qoq'!$A$1:$AT$1,),))/100+1)^4)-1</f>
        <v/>
      </c>
      <c r="J43" s="33">
        <f>(((VLOOKUP(B43,'Data qoq'!$A:$AT,MATCH($J$1,'Data qoq'!$A$1:$AT$1,),))/100+1)^4)-1</f>
        <v/>
      </c>
      <c r="K43" s="33">
        <f>(((VLOOKUP(B43,'Data qoq'!$A:$AT,MATCH($K$1,'Data qoq'!$A$1:$AT$1,),))/100+1)^4)-1</f>
        <v/>
      </c>
      <c r="L43" s="33">
        <f>(((VLOOKUP(B43,'Data qoq'!$A:$AT,MATCH($L$1,'Data qoq'!$A$1:$AT$1,),))/100+1)^4)-1</f>
        <v/>
      </c>
      <c r="M43" s="33">
        <f>(((VLOOKUP(B43,'Data qoq'!$A:$AT,MATCH($M$1,'Data qoq'!$A$1:$AT$1,),))/100+1)^4)-1</f>
        <v/>
      </c>
      <c r="N43" s="33">
        <f>(((VLOOKUP(B43,'Data qoq'!$A:$AT,MATCH($N$1,'Data qoq'!$A$1:$AT$1,),))/100+1)^4)-1</f>
        <v/>
      </c>
      <c r="O43" s="33">
        <f>(((VLOOKUP(B43,'Data qoq'!$A:$AT,MATCH($O$1,'Data qoq'!$A$1:$AT$1,),))/100+1)^4)-1</f>
        <v/>
      </c>
      <c r="P43" s="33">
        <f>(((VLOOKUP(B43,'Data qoq'!$A:$AT,MATCH($P$1,'Data qoq'!$A$1:$AT$1,),))/100+1)^4)-1</f>
        <v/>
      </c>
      <c r="Q43" s="33">
        <f>(((VLOOKUP(B43,'Data qoq'!$A:$AT,MATCH($Q$1,'Data qoq'!$A$1:$AT$1,),))/100+1)^4)-1</f>
        <v/>
      </c>
      <c r="R43" s="33">
        <f>(((VLOOKUP(B43,'Data qoq'!$A:$AT,MATCH($R$1,'Data qoq'!$A$1:$AT$1,),))/100+1)^4)-1</f>
        <v/>
      </c>
      <c r="S43" s="33">
        <f>(((VLOOKUP(B43,'Data qoq'!$A:$AT,MATCH($S$1,'Data qoq'!$A$1:$AT$1,),))/100+1)^4)-1</f>
        <v/>
      </c>
      <c r="T43" s="33">
        <f>(((VLOOKUP(B43,'Data qoq'!$A:$AT,MATCH($T$1,'Data qoq'!$A$1:$AT$1,),))/100+1)^4)-1</f>
        <v/>
      </c>
      <c r="U43" s="33">
        <f>(((VLOOKUP(B43,'Data qoq'!$A:$AT,MATCH($U$1,'Data qoq'!$A$1:$AT$1,),))/100+1)^4)-1</f>
        <v/>
      </c>
      <c r="V43" s="33">
        <f>(((VLOOKUP(B43,'Data qoq'!$A:$AT,MATCH($V$1,'Data qoq'!$A$1:$AT$1,),))/100+1)^4)-1</f>
        <v/>
      </c>
      <c r="W43" s="33">
        <f>(((VLOOKUP(B43,'Data qoq'!$A:$AT,MATCH($W$1,'Data qoq'!$A$1:$AT$1,),))/100+1)^4)-1</f>
        <v/>
      </c>
      <c r="X43" s="33">
        <f>(((VLOOKUP(B43,'Data qoq'!$A:$AT,MATCH($X$1,'Data qoq'!$A$1:$AT$1,),))/100+1)^4)-1</f>
        <v/>
      </c>
      <c r="Y43" s="33">
        <f>(((VLOOKUP(B43,'Data qoq'!$A:$AT,MATCH($Y$1,'Data qoq'!$A$1:$AT$1,),))/100+1)^4)-1</f>
        <v/>
      </c>
      <c r="Z43" s="33">
        <f>(((VLOOKUP(B43,'Data qoq'!$A:$AU,MATCH($Z$1,'Data qoq'!$A$1:$AU$1,),))/100+1)^4)-1</f>
        <v/>
      </c>
      <c r="AA43" s="33">
        <f>(((VLOOKUP(B43,'Data qoq'!$A:$AU,MATCH($AA$1,'Data qoq'!$A$1:$AU$1,),))/100+1)^4)-1</f>
        <v/>
      </c>
      <c r="AC43" s="27">
        <f>B43</f>
        <v/>
      </c>
      <c r="AD43" s="32">
        <f>(VLOOKUP(AC43,B:Y,MATCH($AE$6,$B$1:$Y$1,),))-(VLOOKUP(AC43,B:Y,MATCH($AE$7,$B$1:$Y$1,),))</f>
        <v/>
      </c>
      <c r="AE43" s="28" t="n"/>
    </row>
    <row r="44" hidden="1" s="89">
      <c r="A44" s="31" t="n">
        <v>39600</v>
      </c>
      <c r="B44" s="25" t="inlineStr">
        <is>
          <t>2008-Q2</t>
        </is>
      </c>
      <c r="C44" s="33">
        <f>(((VLOOKUP(B44,'Data qoq'!$A:$AT,MATCH($C$1,'Data qoq'!$A$1:$AT$1,),))/100+1)^4)-1</f>
        <v/>
      </c>
      <c r="D44" s="33">
        <f>(((VLOOKUP(B44,'Data qoq'!$A:$AT,MATCH($D$1,'Data qoq'!$A$1:$AT$1,),))/100+1)^4)-1</f>
        <v/>
      </c>
      <c r="E44" s="33">
        <f>(((VLOOKUP(B44,'Data qoq'!$A:$AT,MATCH($E$1,'Data qoq'!$A$1:$AT$1,),))/100+1)^4)-1</f>
        <v/>
      </c>
      <c r="F44" s="33">
        <f>(((VLOOKUP(B44,'Data qoq'!$A:$AT,MATCH($F$1,'Data qoq'!$A$1:$AT$1,),))/100+1)^4)-1</f>
        <v/>
      </c>
      <c r="G44" s="33">
        <f>(((VLOOKUP(B44,'Data qoq'!$A:$AT,MATCH($G$1,'Data qoq'!$A$1:$AT$1,),))/100+1)^4)-1</f>
        <v/>
      </c>
      <c r="H44" s="33">
        <f>(((VLOOKUP(B44,'Data qoq'!$A:$AT,MATCH($H$1,'Data qoq'!$A$1:$AT$1,),))/100+1)^4)-1</f>
        <v/>
      </c>
      <c r="I44" s="33">
        <f>(((VLOOKUP(B44,'Data qoq'!$A:$AT,MATCH($I$1,'Data qoq'!$A$1:$AT$1,),))/100+1)^4)-1</f>
        <v/>
      </c>
      <c r="J44" s="33">
        <f>(((VLOOKUP(B44,'Data qoq'!$A:$AT,MATCH($J$1,'Data qoq'!$A$1:$AT$1,),))/100+1)^4)-1</f>
        <v/>
      </c>
      <c r="K44" s="33">
        <f>(((VLOOKUP(B44,'Data qoq'!$A:$AT,MATCH($K$1,'Data qoq'!$A$1:$AT$1,),))/100+1)^4)-1</f>
        <v/>
      </c>
      <c r="L44" s="33">
        <f>(((VLOOKUP(B44,'Data qoq'!$A:$AT,MATCH($L$1,'Data qoq'!$A$1:$AT$1,),))/100+1)^4)-1</f>
        <v/>
      </c>
      <c r="M44" s="33">
        <f>(((VLOOKUP(B44,'Data qoq'!$A:$AT,MATCH($M$1,'Data qoq'!$A$1:$AT$1,),))/100+1)^4)-1</f>
        <v/>
      </c>
      <c r="N44" s="33">
        <f>(((VLOOKUP(B44,'Data qoq'!$A:$AT,MATCH($N$1,'Data qoq'!$A$1:$AT$1,),))/100+1)^4)-1</f>
        <v/>
      </c>
      <c r="O44" s="33">
        <f>(((VLOOKUP(B44,'Data qoq'!$A:$AT,MATCH($O$1,'Data qoq'!$A$1:$AT$1,),))/100+1)^4)-1</f>
        <v/>
      </c>
      <c r="P44" s="33">
        <f>(((VLOOKUP(B44,'Data qoq'!$A:$AT,MATCH($P$1,'Data qoq'!$A$1:$AT$1,),))/100+1)^4)-1</f>
        <v/>
      </c>
      <c r="Q44" s="33">
        <f>(((VLOOKUP(B44,'Data qoq'!$A:$AT,MATCH($Q$1,'Data qoq'!$A$1:$AT$1,),))/100+1)^4)-1</f>
        <v/>
      </c>
      <c r="R44" s="33">
        <f>(((VLOOKUP(B44,'Data qoq'!$A:$AT,MATCH($R$1,'Data qoq'!$A$1:$AT$1,),))/100+1)^4)-1</f>
        <v/>
      </c>
      <c r="S44" s="33">
        <f>(((VLOOKUP(B44,'Data qoq'!$A:$AT,MATCH($S$1,'Data qoq'!$A$1:$AT$1,),))/100+1)^4)-1</f>
        <v/>
      </c>
      <c r="T44" s="33">
        <f>(((VLOOKUP(B44,'Data qoq'!$A:$AT,MATCH($T$1,'Data qoq'!$A$1:$AT$1,),))/100+1)^4)-1</f>
        <v/>
      </c>
      <c r="U44" s="33">
        <f>(((VLOOKUP(B44,'Data qoq'!$A:$AT,MATCH($U$1,'Data qoq'!$A$1:$AT$1,),))/100+1)^4)-1</f>
        <v/>
      </c>
      <c r="V44" s="33">
        <f>(((VLOOKUP(B44,'Data qoq'!$A:$AT,MATCH($V$1,'Data qoq'!$A$1:$AT$1,),))/100+1)^4)-1</f>
        <v/>
      </c>
      <c r="W44" s="33">
        <f>(((VLOOKUP(B44,'Data qoq'!$A:$AT,MATCH($W$1,'Data qoq'!$A$1:$AT$1,),))/100+1)^4)-1</f>
        <v/>
      </c>
      <c r="X44" s="33">
        <f>(((VLOOKUP(B44,'Data qoq'!$A:$AT,MATCH($X$1,'Data qoq'!$A$1:$AT$1,),))/100+1)^4)-1</f>
        <v/>
      </c>
      <c r="Y44" s="33">
        <f>(((VLOOKUP(B44,'Data qoq'!$A:$AT,MATCH($Y$1,'Data qoq'!$A$1:$AT$1,),))/100+1)^4)-1</f>
        <v/>
      </c>
      <c r="Z44" s="33">
        <f>(((VLOOKUP(B44,'Data qoq'!$A:$AU,MATCH($Z$1,'Data qoq'!$A$1:$AU$1,),))/100+1)^4)-1</f>
        <v/>
      </c>
      <c r="AA44" s="33">
        <f>(((VLOOKUP(B44,'Data qoq'!$A:$AU,MATCH($AA$1,'Data qoq'!$A$1:$AU$1,),))/100+1)^4)-1</f>
        <v/>
      </c>
      <c r="AC44" s="27">
        <f>B44</f>
        <v/>
      </c>
      <c r="AD44" s="32">
        <f>(VLOOKUP(AC44,B:Y,MATCH($AE$6,$B$1:$Y$1,),))-(VLOOKUP(AC44,B:Y,MATCH($AE$7,$B$1:$Y$1,),))</f>
        <v/>
      </c>
      <c r="AE44" s="28" t="n"/>
    </row>
    <row r="45" hidden="1" s="89">
      <c r="A45" s="31" t="n">
        <v>39692</v>
      </c>
      <c r="B45" s="25" t="inlineStr">
        <is>
          <t>2008-Q3</t>
        </is>
      </c>
      <c r="C45" s="33">
        <f>(((VLOOKUP(B45,'Data qoq'!$A:$AT,MATCH($C$1,'Data qoq'!$A$1:$AT$1,),))/100+1)^4)-1</f>
        <v/>
      </c>
      <c r="D45" s="33">
        <f>(((VLOOKUP(B45,'Data qoq'!$A:$AT,MATCH($D$1,'Data qoq'!$A$1:$AT$1,),))/100+1)^4)-1</f>
        <v/>
      </c>
      <c r="E45" s="33">
        <f>(((VLOOKUP(B45,'Data qoq'!$A:$AT,MATCH($E$1,'Data qoq'!$A$1:$AT$1,),))/100+1)^4)-1</f>
        <v/>
      </c>
      <c r="F45" s="33">
        <f>(((VLOOKUP(B45,'Data qoq'!$A:$AT,MATCH($F$1,'Data qoq'!$A$1:$AT$1,),))/100+1)^4)-1</f>
        <v/>
      </c>
      <c r="G45" s="33">
        <f>(((VLOOKUP(B45,'Data qoq'!$A:$AT,MATCH($G$1,'Data qoq'!$A$1:$AT$1,),))/100+1)^4)-1</f>
        <v/>
      </c>
      <c r="H45" s="33">
        <f>(((VLOOKUP(B45,'Data qoq'!$A:$AT,MATCH($H$1,'Data qoq'!$A$1:$AT$1,),))/100+1)^4)-1</f>
        <v/>
      </c>
      <c r="I45" s="33">
        <f>(((VLOOKUP(B45,'Data qoq'!$A:$AT,MATCH($I$1,'Data qoq'!$A$1:$AT$1,),))/100+1)^4)-1</f>
        <v/>
      </c>
      <c r="J45" s="33">
        <f>(((VLOOKUP(B45,'Data qoq'!$A:$AT,MATCH($J$1,'Data qoq'!$A$1:$AT$1,),))/100+1)^4)-1</f>
        <v/>
      </c>
      <c r="K45" s="33">
        <f>(((VLOOKUP(B45,'Data qoq'!$A:$AT,MATCH($K$1,'Data qoq'!$A$1:$AT$1,),))/100+1)^4)-1</f>
        <v/>
      </c>
      <c r="L45" s="33">
        <f>(((VLOOKUP(B45,'Data qoq'!$A:$AT,MATCH($L$1,'Data qoq'!$A$1:$AT$1,),))/100+1)^4)-1</f>
        <v/>
      </c>
      <c r="M45" s="33">
        <f>(((VLOOKUP(B45,'Data qoq'!$A:$AT,MATCH($M$1,'Data qoq'!$A$1:$AT$1,),))/100+1)^4)-1</f>
        <v/>
      </c>
      <c r="N45" s="33">
        <f>(((VLOOKUP(B45,'Data qoq'!$A:$AT,MATCH($N$1,'Data qoq'!$A$1:$AT$1,),))/100+1)^4)-1</f>
        <v/>
      </c>
      <c r="O45" s="33">
        <f>(((VLOOKUP(B45,'Data qoq'!$A:$AT,MATCH($O$1,'Data qoq'!$A$1:$AT$1,),))/100+1)^4)-1</f>
        <v/>
      </c>
      <c r="P45" s="33">
        <f>(((VLOOKUP(B45,'Data qoq'!$A:$AT,MATCH($P$1,'Data qoq'!$A$1:$AT$1,),))/100+1)^4)-1</f>
        <v/>
      </c>
      <c r="Q45" s="33">
        <f>(((VLOOKUP(B45,'Data qoq'!$A:$AT,MATCH($Q$1,'Data qoq'!$A$1:$AT$1,),))/100+1)^4)-1</f>
        <v/>
      </c>
      <c r="R45" s="33">
        <f>(((VLOOKUP(B45,'Data qoq'!$A:$AT,MATCH($R$1,'Data qoq'!$A$1:$AT$1,),))/100+1)^4)-1</f>
        <v/>
      </c>
      <c r="S45" s="33">
        <f>(((VLOOKUP(B45,'Data qoq'!$A:$AT,MATCH($S$1,'Data qoq'!$A$1:$AT$1,),))/100+1)^4)-1</f>
        <v/>
      </c>
      <c r="T45" s="33">
        <f>(((VLOOKUP(B45,'Data qoq'!$A:$AT,MATCH($T$1,'Data qoq'!$A$1:$AT$1,),))/100+1)^4)-1</f>
        <v/>
      </c>
      <c r="U45" s="33">
        <f>(((VLOOKUP(B45,'Data qoq'!$A:$AT,MATCH($U$1,'Data qoq'!$A$1:$AT$1,),))/100+1)^4)-1</f>
        <v/>
      </c>
      <c r="V45" s="33">
        <f>(((VLOOKUP(B45,'Data qoq'!$A:$AT,MATCH($V$1,'Data qoq'!$A$1:$AT$1,),))/100+1)^4)-1</f>
        <v/>
      </c>
      <c r="W45" s="33">
        <f>(((VLOOKUP(B45,'Data qoq'!$A:$AT,MATCH($W$1,'Data qoq'!$A$1:$AT$1,),))/100+1)^4)-1</f>
        <v/>
      </c>
      <c r="X45" s="33">
        <f>(((VLOOKUP(B45,'Data qoq'!$A:$AT,MATCH($X$1,'Data qoq'!$A$1:$AT$1,),))/100+1)^4)-1</f>
        <v/>
      </c>
      <c r="Y45" s="33">
        <f>(((VLOOKUP(B45,'Data qoq'!$A:$AT,MATCH($Y$1,'Data qoq'!$A$1:$AT$1,),))/100+1)^4)-1</f>
        <v/>
      </c>
      <c r="Z45" s="33">
        <f>(((VLOOKUP(B45,'Data qoq'!$A:$AU,MATCH($Z$1,'Data qoq'!$A$1:$AU$1,),))/100+1)^4)-1</f>
        <v/>
      </c>
      <c r="AA45" s="33">
        <f>(((VLOOKUP(B45,'Data qoq'!$A:$AU,MATCH($AA$1,'Data qoq'!$A$1:$AU$1,),))/100+1)^4)-1</f>
        <v/>
      </c>
      <c r="AC45" s="27">
        <f>B45</f>
        <v/>
      </c>
      <c r="AD45" s="32">
        <f>(VLOOKUP(AC45,B:Y,MATCH($AE$6,$B$1:$Y$1,),))-(VLOOKUP(AC45,B:Y,MATCH($AE$7,$B$1:$Y$1,),))</f>
        <v/>
      </c>
      <c r="AE45" s="28" t="n"/>
    </row>
    <row r="46" hidden="1" s="89">
      <c r="A46" s="31" t="n">
        <v>39783</v>
      </c>
      <c r="B46" s="25" t="inlineStr">
        <is>
          <t>2008-Q4</t>
        </is>
      </c>
      <c r="C46" s="33">
        <f>(((VLOOKUP(B46,'Data qoq'!$A:$AT,MATCH($C$1,'Data qoq'!$A$1:$AT$1,),))/100+1)^4)-1</f>
        <v/>
      </c>
      <c r="D46" s="33">
        <f>(((VLOOKUP(B46,'Data qoq'!$A:$AT,MATCH($D$1,'Data qoq'!$A$1:$AT$1,),))/100+1)^4)-1</f>
        <v/>
      </c>
      <c r="E46" s="33">
        <f>(((VLOOKUP(B46,'Data qoq'!$A:$AT,MATCH($E$1,'Data qoq'!$A$1:$AT$1,),))/100+1)^4)-1</f>
        <v/>
      </c>
      <c r="F46" s="33">
        <f>(((VLOOKUP(B46,'Data qoq'!$A:$AT,MATCH($F$1,'Data qoq'!$A$1:$AT$1,),))/100+1)^4)-1</f>
        <v/>
      </c>
      <c r="G46" s="33">
        <f>(((VLOOKUP(B46,'Data qoq'!$A:$AT,MATCH($G$1,'Data qoq'!$A$1:$AT$1,),))/100+1)^4)-1</f>
        <v/>
      </c>
      <c r="H46" s="33">
        <f>(((VLOOKUP(B46,'Data qoq'!$A:$AT,MATCH($H$1,'Data qoq'!$A$1:$AT$1,),))/100+1)^4)-1</f>
        <v/>
      </c>
      <c r="I46" s="33">
        <f>(((VLOOKUP(B46,'Data qoq'!$A:$AT,MATCH($I$1,'Data qoq'!$A$1:$AT$1,),))/100+1)^4)-1</f>
        <v/>
      </c>
      <c r="J46" s="33">
        <f>(((VLOOKUP(B46,'Data qoq'!$A:$AT,MATCH($J$1,'Data qoq'!$A$1:$AT$1,),))/100+1)^4)-1</f>
        <v/>
      </c>
      <c r="K46" s="33">
        <f>(((VLOOKUP(B46,'Data qoq'!$A:$AT,MATCH($K$1,'Data qoq'!$A$1:$AT$1,),))/100+1)^4)-1</f>
        <v/>
      </c>
      <c r="L46" s="33">
        <f>(((VLOOKUP(B46,'Data qoq'!$A:$AT,MATCH($L$1,'Data qoq'!$A$1:$AT$1,),))/100+1)^4)-1</f>
        <v/>
      </c>
      <c r="M46" s="33">
        <f>(((VLOOKUP(B46,'Data qoq'!$A:$AT,MATCH($M$1,'Data qoq'!$A$1:$AT$1,),))/100+1)^4)-1</f>
        <v/>
      </c>
      <c r="N46" s="33">
        <f>(((VLOOKUP(B46,'Data qoq'!$A:$AT,MATCH($N$1,'Data qoq'!$A$1:$AT$1,),))/100+1)^4)-1</f>
        <v/>
      </c>
      <c r="O46" s="33">
        <f>(((VLOOKUP(B46,'Data qoq'!$A:$AT,MATCH($O$1,'Data qoq'!$A$1:$AT$1,),))/100+1)^4)-1</f>
        <v/>
      </c>
      <c r="P46" s="33">
        <f>(((VLOOKUP(B46,'Data qoq'!$A:$AT,MATCH($P$1,'Data qoq'!$A$1:$AT$1,),))/100+1)^4)-1</f>
        <v/>
      </c>
      <c r="Q46" s="33">
        <f>(((VLOOKUP(B46,'Data qoq'!$A:$AT,MATCH($Q$1,'Data qoq'!$A$1:$AT$1,),))/100+1)^4)-1</f>
        <v/>
      </c>
      <c r="R46" s="33">
        <f>(((VLOOKUP(B46,'Data qoq'!$A:$AT,MATCH($R$1,'Data qoq'!$A$1:$AT$1,),))/100+1)^4)-1</f>
        <v/>
      </c>
      <c r="S46" s="33">
        <f>(((VLOOKUP(B46,'Data qoq'!$A:$AT,MATCH($S$1,'Data qoq'!$A$1:$AT$1,),))/100+1)^4)-1</f>
        <v/>
      </c>
      <c r="T46" s="33">
        <f>(((VLOOKUP(B46,'Data qoq'!$A:$AT,MATCH($T$1,'Data qoq'!$A$1:$AT$1,),))/100+1)^4)-1</f>
        <v/>
      </c>
      <c r="U46" s="33">
        <f>(((VLOOKUP(B46,'Data qoq'!$A:$AT,MATCH($U$1,'Data qoq'!$A$1:$AT$1,),))/100+1)^4)-1</f>
        <v/>
      </c>
      <c r="V46" s="33">
        <f>(((VLOOKUP(B46,'Data qoq'!$A:$AT,MATCH($V$1,'Data qoq'!$A$1:$AT$1,),))/100+1)^4)-1</f>
        <v/>
      </c>
      <c r="W46" s="33">
        <f>(((VLOOKUP(B46,'Data qoq'!$A:$AT,MATCH($W$1,'Data qoq'!$A$1:$AT$1,),))/100+1)^4)-1</f>
        <v/>
      </c>
      <c r="X46" s="33">
        <f>(((VLOOKUP(B46,'Data qoq'!$A:$AT,MATCH($X$1,'Data qoq'!$A$1:$AT$1,),))/100+1)^4)-1</f>
        <v/>
      </c>
      <c r="Y46" s="33">
        <f>(((VLOOKUP(B46,'Data qoq'!$A:$AT,MATCH($Y$1,'Data qoq'!$A$1:$AT$1,),))/100+1)^4)-1</f>
        <v/>
      </c>
      <c r="Z46" s="33">
        <f>(((VLOOKUP(B46,'Data qoq'!$A:$AU,MATCH($Z$1,'Data qoq'!$A$1:$AU$1,),))/100+1)^4)-1</f>
        <v/>
      </c>
      <c r="AA46" s="33">
        <f>(((VLOOKUP(B46,'Data qoq'!$A:$AU,MATCH($AA$1,'Data qoq'!$A$1:$AU$1,),))/100+1)^4)-1</f>
        <v/>
      </c>
      <c r="AC46" s="27">
        <f>B46</f>
        <v/>
      </c>
      <c r="AD46" s="32">
        <f>(VLOOKUP(AC46,B:Y,MATCH($AE$6,$B$1:$Y$1,),))-(VLOOKUP(AC46,B:Y,MATCH($AE$7,$B$1:$Y$1,),))</f>
        <v/>
      </c>
      <c r="AE46" s="28" t="n"/>
    </row>
    <row r="47" hidden="1" s="89">
      <c r="A47" s="31" t="n">
        <v>39873</v>
      </c>
      <c r="B47" s="25" t="inlineStr">
        <is>
          <t>2009-Q1</t>
        </is>
      </c>
      <c r="C47" s="33">
        <f>(((VLOOKUP(B47,'Data qoq'!$A:$AT,MATCH($C$1,'Data qoq'!$A$1:$AT$1,),))/100+1)^4)-1</f>
        <v/>
      </c>
      <c r="D47" s="33">
        <f>(((VLOOKUP(B47,'Data qoq'!$A:$AT,MATCH($D$1,'Data qoq'!$A$1:$AT$1,),))/100+1)^4)-1</f>
        <v/>
      </c>
      <c r="E47" s="33">
        <f>(((VLOOKUP(B47,'Data qoq'!$A:$AT,MATCH($E$1,'Data qoq'!$A$1:$AT$1,),))/100+1)^4)-1</f>
        <v/>
      </c>
      <c r="F47" s="33">
        <f>(((VLOOKUP(B47,'Data qoq'!$A:$AT,MATCH($F$1,'Data qoq'!$A$1:$AT$1,),))/100+1)^4)-1</f>
        <v/>
      </c>
      <c r="G47" s="33">
        <f>(((VLOOKUP(B47,'Data qoq'!$A:$AT,MATCH($G$1,'Data qoq'!$A$1:$AT$1,),))/100+1)^4)-1</f>
        <v/>
      </c>
      <c r="H47" s="33">
        <f>(((VLOOKUP(B47,'Data qoq'!$A:$AT,MATCH($H$1,'Data qoq'!$A$1:$AT$1,),))/100+1)^4)-1</f>
        <v/>
      </c>
      <c r="I47" s="33">
        <f>(((VLOOKUP(B47,'Data qoq'!$A:$AT,MATCH($I$1,'Data qoq'!$A$1:$AT$1,),))/100+1)^4)-1</f>
        <v/>
      </c>
      <c r="J47" s="33">
        <f>(((VLOOKUP(B47,'Data qoq'!$A:$AT,MATCH($J$1,'Data qoq'!$A$1:$AT$1,),))/100+1)^4)-1</f>
        <v/>
      </c>
      <c r="K47" s="33">
        <f>(((VLOOKUP(B47,'Data qoq'!$A:$AT,MATCH($K$1,'Data qoq'!$A$1:$AT$1,),))/100+1)^4)-1</f>
        <v/>
      </c>
      <c r="L47" s="33">
        <f>(((VLOOKUP(B47,'Data qoq'!$A:$AT,MATCH($L$1,'Data qoq'!$A$1:$AT$1,),))/100+1)^4)-1</f>
        <v/>
      </c>
      <c r="M47" s="33">
        <f>(((VLOOKUP(B47,'Data qoq'!$A:$AT,MATCH($M$1,'Data qoq'!$A$1:$AT$1,),))/100+1)^4)-1</f>
        <v/>
      </c>
      <c r="N47" s="33">
        <f>(((VLOOKUP(B47,'Data qoq'!$A:$AT,MATCH($N$1,'Data qoq'!$A$1:$AT$1,),))/100+1)^4)-1</f>
        <v/>
      </c>
      <c r="O47" s="33">
        <f>(((VLOOKUP(B47,'Data qoq'!$A:$AT,MATCH($O$1,'Data qoq'!$A$1:$AT$1,),))/100+1)^4)-1</f>
        <v/>
      </c>
      <c r="P47" s="33">
        <f>(((VLOOKUP(B47,'Data qoq'!$A:$AT,MATCH($P$1,'Data qoq'!$A$1:$AT$1,),))/100+1)^4)-1</f>
        <v/>
      </c>
      <c r="Q47" s="33">
        <f>(((VLOOKUP(B47,'Data qoq'!$A:$AT,MATCH($Q$1,'Data qoq'!$A$1:$AT$1,),))/100+1)^4)-1</f>
        <v/>
      </c>
      <c r="R47" s="33">
        <f>(((VLOOKUP(B47,'Data qoq'!$A:$AT,MATCH($R$1,'Data qoq'!$A$1:$AT$1,),))/100+1)^4)-1</f>
        <v/>
      </c>
      <c r="S47" s="33">
        <f>(((VLOOKUP(B47,'Data qoq'!$A:$AT,MATCH($S$1,'Data qoq'!$A$1:$AT$1,),))/100+1)^4)-1</f>
        <v/>
      </c>
      <c r="T47" s="33">
        <f>(((VLOOKUP(B47,'Data qoq'!$A:$AT,MATCH($T$1,'Data qoq'!$A$1:$AT$1,),))/100+1)^4)-1</f>
        <v/>
      </c>
      <c r="U47" s="33">
        <f>(((VLOOKUP(B47,'Data qoq'!$A:$AT,MATCH($U$1,'Data qoq'!$A$1:$AT$1,),))/100+1)^4)-1</f>
        <v/>
      </c>
      <c r="V47" s="33">
        <f>(((VLOOKUP(B47,'Data qoq'!$A:$AT,MATCH($V$1,'Data qoq'!$A$1:$AT$1,),))/100+1)^4)-1</f>
        <v/>
      </c>
      <c r="W47" s="33">
        <f>(((VLOOKUP(B47,'Data qoq'!$A:$AT,MATCH($W$1,'Data qoq'!$A$1:$AT$1,),))/100+1)^4)-1</f>
        <v/>
      </c>
      <c r="X47" s="33">
        <f>(((VLOOKUP(B47,'Data qoq'!$A:$AT,MATCH($X$1,'Data qoq'!$A$1:$AT$1,),))/100+1)^4)-1</f>
        <v/>
      </c>
      <c r="Y47" s="33">
        <f>(((VLOOKUP(B47,'Data qoq'!$A:$AT,MATCH($Y$1,'Data qoq'!$A$1:$AT$1,),))/100+1)^4)-1</f>
        <v/>
      </c>
      <c r="Z47" s="33">
        <f>(((VLOOKUP(B47,'Data qoq'!$A:$AU,MATCH($Z$1,'Data qoq'!$A$1:$AU$1,),))/100+1)^4)-1</f>
        <v/>
      </c>
      <c r="AA47" s="33">
        <f>(((VLOOKUP(B47,'Data qoq'!$A:$AU,MATCH($AA$1,'Data qoq'!$A$1:$AU$1,),))/100+1)^4)-1</f>
        <v/>
      </c>
      <c r="AC47" s="27">
        <f>B47</f>
        <v/>
      </c>
      <c r="AD47" s="32">
        <f>(VLOOKUP(AC47,B:Y,MATCH($AE$6,$B$1:$Y$1,),))-(VLOOKUP(AC47,B:Y,MATCH($AE$7,$B$1:$Y$1,),))</f>
        <v/>
      </c>
      <c r="AE47" s="28" t="n"/>
    </row>
    <row r="48" hidden="1" s="89">
      <c r="A48" s="31" t="n">
        <v>39965</v>
      </c>
      <c r="B48" s="25" t="inlineStr">
        <is>
          <t>2009-Q2</t>
        </is>
      </c>
      <c r="C48" s="33">
        <f>(((VLOOKUP(B48,'Data qoq'!$A:$AT,MATCH($C$1,'Data qoq'!$A$1:$AT$1,),))/100+1)^4)-1</f>
        <v/>
      </c>
      <c r="D48" s="33">
        <f>(((VLOOKUP(B48,'Data qoq'!$A:$AT,MATCH($D$1,'Data qoq'!$A$1:$AT$1,),))/100+1)^4)-1</f>
        <v/>
      </c>
      <c r="E48" s="33">
        <f>(((VLOOKUP(B48,'Data qoq'!$A:$AT,MATCH($E$1,'Data qoq'!$A$1:$AT$1,),))/100+1)^4)-1</f>
        <v/>
      </c>
      <c r="F48" s="33">
        <f>(((VLOOKUP(B48,'Data qoq'!$A:$AT,MATCH($F$1,'Data qoq'!$A$1:$AT$1,),))/100+1)^4)-1</f>
        <v/>
      </c>
      <c r="G48" s="33">
        <f>(((VLOOKUP(B48,'Data qoq'!$A:$AT,MATCH($G$1,'Data qoq'!$A$1:$AT$1,),))/100+1)^4)-1</f>
        <v/>
      </c>
      <c r="H48" s="33">
        <f>(((VLOOKUP(B48,'Data qoq'!$A:$AT,MATCH($H$1,'Data qoq'!$A$1:$AT$1,),))/100+1)^4)-1</f>
        <v/>
      </c>
      <c r="I48" s="33">
        <f>(((VLOOKUP(B48,'Data qoq'!$A:$AT,MATCH($I$1,'Data qoq'!$A$1:$AT$1,),))/100+1)^4)-1</f>
        <v/>
      </c>
      <c r="J48" s="33">
        <f>(((VLOOKUP(B48,'Data qoq'!$A:$AT,MATCH($J$1,'Data qoq'!$A$1:$AT$1,),))/100+1)^4)-1</f>
        <v/>
      </c>
      <c r="K48" s="33">
        <f>(((VLOOKUP(B48,'Data qoq'!$A:$AT,MATCH($K$1,'Data qoq'!$A$1:$AT$1,),))/100+1)^4)-1</f>
        <v/>
      </c>
      <c r="L48" s="33">
        <f>(((VLOOKUP(B48,'Data qoq'!$A:$AT,MATCH($L$1,'Data qoq'!$A$1:$AT$1,),))/100+1)^4)-1</f>
        <v/>
      </c>
      <c r="M48" s="33">
        <f>(((VLOOKUP(B48,'Data qoq'!$A:$AT,MATCH($M$1,'Data qoq'!$A$1:$AT$1,),))/100+1)^4)-1</f>
        <v/>
      </c>
      <c r="N48" s="33">
        <f>(((VLOOKUP(B48,'Data qoq'!$A:$AT,MATCH($N$1,'Data qoq'!$A$1:$AT$1,),))/100+1)^4)-1</f>
        <v/>
      </c>
      <c r="O48" s="33">
        <f>(((VLOOKUP(B48,'Data qoq'!$A:$AT,MATCH($O$1,'Data qoq'!$A$1:$AT$1,),))/100+1)^4)-1</f>
        <v/>
      </c>
      <c r="P48" s="33">
        <f>(((VLOOKUP(B48,'Data qoq'!$A:$AT,MATCH($P$1,'Data qoq'!$A$1:$AT$1,),))/100+1)^4)-1</f>
        <v/>
      </c>
      <c r="Q48" s="33">
        <f>(((VLOOKUP(B48,'Data qoq'!$A:$AT,MATCH($Q$1,'Data qoq'!$A$1:$AT$1,),))/100+1)^4)-1</f>
        <v/>
      </c>
      <c r="R48" s="33">
        <f>(((VLOOKUP(B48,'Data qoq'!$A:$AT,MATCH($R$1,'Data qoq'!$A$1:$AT$1,),))/100+1)^4)-1</f>
        <v/>
      </c>
      <c r="S48" s="33">
        <f>(((VLOOKUP(B48,'Data qoq'!$A:$AT,MATCH($S$1,'Data qoq'!$A$1:$AT$1,),))/100+1)^4)-1</f>
        <v/>
      </c>
      <c r="T48" s="33">
        <f>(((VLOOKUP(B48,'Data qoq'!$A:$AT,MATCH($T$1,'Data qoq'!$A$1:$AT$1,),))/100+1)^4)-1</f>
        <v/>
      </c>
      <c r="U48" s="33">
        <f>(((VLOOKUP(B48,'Data qoq'!$A:$AT,MATCH($U$1,'Data qoq'!$A$1:$AT$1,),))/100+1)^4)-1</f>
        <v/>
      </c>
      <c r="V48" s="33">
        <f>(((VLOOKUP(B48,'Data qoq'!$A:$AT,MATCH($V$1,'Data qoq'!$A$1:$AT$1,),))/100+1)^4)-1</f>
        <v/>
      </c>
      <c r="W48" s="33">
        <f>(((VLOOKUP(B48,'Data qoq'!$A:$AT,MATCH($W$1,'Data qoq'!$A$1:$AT$1,),))/100+1)^4)-1</f>
        <v/>
      </c>
      <c r="X48" s="33">
        <f>(((VLOOKUP(B48,'Data qoq'!$A:$AT,MATCH($X$1,'Data qoq'!$A$1:$AT$1,),))/100+1)^4)-1</f>
        <v/>
      </c>
      <c r="Y48" s="33">
        <f>(((VLOOKUP(B48,'Data qoq'!$A:$AT,MATCH($Y$1,'Data qoq'!$A$1:$AT$1,),))/100+1)^4)-1</f>
        <v/>
      </c>
      <c r="Z48" s="33">
        <f>(((VLOOKUP(B48,'Data qoq'!$A:$AU,MATCH($Z$1,'Data qoq'!$A$1:$AU$1,),))/100+1)^4)-1</f>
        <v/>
      </c>
      <c r="AA48" s="33">
        <f>(((VLOOKUP(B48,'Data qoq'!$A:$AU,MATCH($AA$1,'Data qoq'!$A$1:$AU$1,),))/100+1)^4)-1</f>
        <v/>
      </c>
      <c r="AC48" s="27">
        <f>B48</f>
        <v/>
      </c>
      <c r="AD48" s="32">
        <f>(VLOOKUP(AC48,B:Y,MATCH($AE$6,$B$1:$Y$1,),))-(VLOOKUP(AC48,B:Y,MATCH($AE$7,$B$1:$Y$1,),))</f>
        <v/>
      </c>
      <c r="AE48" s="28" t="n"/>
    </row>
    <row r="49" hidden="1" s="89">
      <c r="A49" s="31" t="n">
        <v>40057</v>
      </c>
      <c r="B49" s="25" t="inlineStr">
        <is>
          <t>2009-Q3</t>
        </is>
      </c>
      <c r="C49" s="33">
        <f>(((VLOOKUP(B49,'Data qoq'!$A:$AT,MATCH($C$1,'Data qoq'!$A$1:$AT$1,),))/100+1)^4)-1</f>
        <v/>
      </c>
      <c r="D49" s="33">
        <f>(((VLOOKUP(B49,'Data qoq'!$A:$AT,MATCH($D$1,'Data qoq'!$A$1:$AT$1,),))/100+1)^4)-1</f>
        <v/>
      </c>
      <c r="E49" s="33">
        <f>(((VLOOKUP(B49,'Data qoq'!$A:$AT,MATCH($E$1,'Data qoq'!$A$1:$AT$1,),))/100+1)^4)-1</f>
        <v/>
      </c>
      <c r="F49" s="33">
        <f>(((VLOOKUP(B49,'Data qoq'!$A:$AT,MATCH($F$1,'Data qoq'!$A$1:$AT$1,),))/100+1)^4)-1</f>
        <v/>
      </c>
      <c r="G49" s="33">
        <f>(((VLOOKUP(B49,'Data qoq'!$A:$AT,MATCH($G$1,'Data qoq'!$A$1:$AT$1,),))/100+1)^4)-1</f>
        <v/>
      </c>
      <c r="H49" s="33">
        <f>(((VLOOKUP(B49,'Data qoq'!$A:$AT,MATCH($H$1,'Data qoq'!$A$1:$AT$1,),))/100+1)^4)-1</f>
        <v/>
      </c>
      <c r="I49" s="33">
        <f>(((VLOOKUP(B49,'Data qoq'!$A:$AT,MATCH($I$1,'Data qoq'!$A$1:$AT$1,),))/100+1)^4)-1</f>
        <v/>
      </c>
      <c r="J49" s="33">
        <f>(((VLOOKUP(B49,'Data qoq'!$A:$AT,MATCH($J$1,'Data qoq'!$A$1:$AT$1,),))/100+1)^4)-1</f>
        <v/>
      </c>
      <c r="K49" s="33">
        <f>(((VLOOKUP(B49,'Data qoq'!$A:$AT,MATCH($K$1,'Data qoq'!$A$1:$AT$1,),))/100+1)^4)-1</f>
        <v/>
      </c>
      <c r="L49" s="33">
        <f>(((VLOOKUP(B49,'Data qoq'!$A:$AT,MATCH($L$1,'Data qoq'!$A$1:$AT$1,),))/100+1)^4)-1</f>
        <v/>
      </c>
      <c r="M49" s="33">
        <f>(((VLOOKUP(B49,'Data qoq'!$A:$AT,MATCH($M$1,'Data qoq'!$A$1:$AT$1,),))/100+1)^4)-1</f>
        <v/>
      </c>
      <c r="N49" s="33">
        <f>(((VLOOKUP(B49,'Data qoq'!$A:$AT,MATCH($N$1,'Data qoq'!$A$1:$AT$1,),))/100+1)^4)-1</f>
        <v/>
      </c>
      <c r="O49" s="33">
        <f>(((VLOOKUP(B49,'Data qoq'!$A:$AT,MATCH($O$1,'Data qoq'!$A$1:$AT$1,),))/100+1)^4)-1</f>
        <v/>
      </c>
      <c r="P49" s="33">
        <f>(((VLOOKUP(B49,'Data qoq'!$A:$AT,MATCH($P$1,'Data qoq'!$A$1:$AT$1,),))/100+1)^4)-1</f>
        <v/>
      </c>
      <c r="Q49" s="33">
        <f>(((VLOOKUP(B49,'Data qoq'!$A:$AT,MATCH($Q$1,'Data qoq'!$A$1:$AT$1,),))/100+1)^4)-1</f>
        <v/>
      </c>
      <c r="R49" s="33">
        <f>(((VLOOKUP(B49,'Data qoq'!$A:$AT,MATCH($R$1,'Data qoq'!$A$1:$AT$1,),))/100+1)^4)-1</f>
        <v/>
      </c>
      <c r="S49" s="33">
        <f>(((VLOOKUP(B49,'Data qoq'!$A:$AT,MATCH($S$1,'Data qoq'!$A$1:$AT$1,),))/100+1)^4)-1</f>
        <v/>
      </c>
      <c r="T49" s="33">
        <f>(((VLOOKUP(B49,'Data qoq'!$A:$AT,MATCH($T$1,'Data qoq'!$A$1:$AT$1,),))/100+1)^4)-1</f>
        <v/>
      </c>
      <c r="U49" s="33">
        <f>(((VLOOKUP(B49,'Data qoq'!$A:$AT,MATCH($U$1,'Data qoq'!$A$1:$AT$1,),))/100+1)^4)-1</f>
        <v/>
      </c>
      <c r="V49" s="33">
        <f>(((VLOOKUP(B49,'Data qoq'!$A:$AT,MATCH($V$1,'Data qoq'!$A$1:$AT$1,),))/100+1)^4)-1</f>
        <v/>
      </c>
      <c r="W49" s="33">
        <f>(((VLOOKUP(B49,'Data qoq'!$A:$AT,MATCH($W$1,'Data qoq'!$A$1:$AT$1,),))/100+1)^4)-1</f>
        <v/>
      </c>
      <c r="X49" s="33">
        <f>(((VLOOKUP(B49,'Data qoq'!$A:$AT,MATCH($X$1,'Data qoq'!$A$1:$AT$1,),))/100+1)^4)-1</f>
        <v/>
      </c>
      <c r="Y49" s="33">
        <f>(((VLOOKUP(B49,'Data qoq'!$A:$AT,MATCH($Y$1,'Data qoq'!$A$1:$AT$1,),))/100+1)^4)-1</f>
        <v/>
      </c>
      <c r="Z49" s="33">
        <f>(((VLOOKUP(B49,'Data qoq'!$A:$AU,MATCH($Z$1,'Data qoq'!$A$1:$AU$1,),))/100+1)^4)-1</f>
        <v/>
      </c>
      <c r="AA49" s="33">
        <f>(((VLOOKUP(B49,'Data qoq'!$A:$AU,MATCH($AA$1,'Data qoq'!$A$1:$AU$1,),))/100+1)^4)-1</f>
        <v/>
      </c>
      <c r="AC49" s="27">
        <f>B49</f>
        <v/>
      </c>
      <c r="AD49" s="32">
        <f>(VLOOKUP(AC49,B:Y,MATCH($AE$6,$B$1:$Y$1,),))-(VLOOKUP(AC49,B:Y,MATCH($AE$7,$B$1:$Y$1,),))</f>
        <v/>
      </c>
      <c r="AE49" s="28" t="n"/>
    </row>
    <row r="50" hidden="1" s="89">
      <c r="A50" s="31" t="n">
        <v>40148</v>
      </c>
      <c r="B50" s="25" t="inlineStr">
        <is>
          <t>2009-Q4</t>
        </is>
      </c>
      <c r="C50" s="33">
        <f>(((VLOOKUP(B50,'Data qoq'!$A:$AT,MATCH($C$1,'Data qoq'!$A$1:$AT$1,),))/100+1)^4)-1</f>
        <v/>
      </c>
      <c r="D50" s="33">
        <f>(((VLOOKUP(B50,'Data qoq'!$A:$AT,MATCH($D$1,'Data qoq'!$A$1:$AT$1,),))/100+1)^4)-1</f>
        <v/>
      </c>
      <c r="E50" s="33">
        <f>(((VLOOKUP(B50,'Data qoq'!$A:$AT,MATCH($E$1,'Data qoq'!$A$1:$AT$1,),))/100+1)^4)-1</f>
        <v/>
      </c>
      <c r="F50" s="33">
        <f>(((VLOOKUP(B50,'Data qoq'!$A:$AT,MATCH($F$1,'Data qoq'!$A$1:$AT$1,),))/100+1)^4)-1</f>
        <v/>
      </c>
      <c r="G50" s="33">
        <f>(((VLOOKUP(B50,'Data qoq'!$A:$AT,MATCH($G$1,'Data qoq'!$A$1:$AT$1,),))/100+1)^4)-1</f>
        <v/>
      </c>
      <c r="H50" s="33">
        <f>(((VLOOKUP(B50,'Data qoq'!$A:$AT,MATCH($H$1,'Data qoq'!$A$1:$AT$1,),))/100+1)^4)-1</f>
        <v/>
      </c>
      <c r="I50" s="33">
        <f>(((VLOOKUP(B50,'Data qoq'!$A:$AT,MATCH($I$1,'Data qoq'!$A$1:$AT$1,),))/100+1)^4)-1</f>
        <v/>
      </c>
      <c r="J50" s="33">
        <f>(((VLOOKUP(B50,'Data qoq'!$A:$AT,MATCH($J$1,'Data qoq'!$A$1:$AT$1,),))/100+1)^4)-1</f>
        <v/>
      </c>
      <c r="K50" s="33">
        <f>(((VLOOKUP(B50,'Data qoq'!$A:$AT,MATCH($K$1,'Data qoq'!$A$1:$AT$1,),))/100+1)^4)-1</f>
        <v/>
      </c>
      <c r="L50" s="33">
        <f>(((VLOOKUP(B50,'Data qoq'!$A:$AT,MATCH($L$1,'Data qoq'!$A$1:$AT$1,),))/100+1)^4)-1</f>
        <v/>
      </c>
      <c r="M50" s="33">
        <f>(((VLOOKUP(B50,'Data qoq'!$A:$AT,MATCH($M$1,'Data qoq'!$A$1:$AT$1,),))/100+1)^4)-1</f>
        <v/>
      </c>
      <c r="N50" s="33">
        <f>(((VLOOKUP(B50,'Data qoq'!$A:$AT,MATCH($N$1,'Data qoq'!$A$1:$AT$1,),))/100+1)^4)-1</f>
        <v/>
      </c>
      <c r="O50" s="33">
        <f>(((VLOOKUP(B50,'Data qoq'!$A:$AT,MATCH($O$1,'Data qoq'!$A$1:$AT$1,),))/100+1)^4)-1</f>
        <v/>
      </c>
      <c r="P50" s="33">
        <f>(((VLOOKUP(B50,'Data qoq'!$A:$AT,MATCH($P$1,'Data qoq'!$A$1:$AT$1,),))/100+1)^4)-1</f>
        <v/>
      </c>
      <c r="Q50" s="33">
        <f>(((VLOOKUP(B50,'Data qoq'!$A:$AT,MATCH($Q$1,'Data qoq'!$A$1:$AT$1,),))/100+1)^4)-1</f>
        <v/>
      </c>
      <c r="R50" s="33">
        <f>(((VLOOKUP(B50,'Data qoq'!$A:$AT,MATCH($R$1,'Data qoq'!$A$1:$AT$1,),))/100+1)^4)-1</f>
        <v/>
      </c>
      <c r="S50" s="33">
        <f>(((VLOOKUP(B50,'Data qoq'!$A:$AT,MATCH($S$1,'Data qoq'!$A$1:$AT$1,),))/100+1)^4)-1</f>
        <v/>
      </c>
      <c r="T50" s="33">
        <f>(((VLOOKUP(B50,'Data qoq'!$A:$AT,MATCH($T$1,'Data qoq'!$A$1:$AT$1,),))/100+1)^4)-1</f>
        <v/>
      </c>
      <c r="U50" s="33">
        <f>(((VLOOKUP(B50,'Data qoq'!$A:$AT,MATCH($U$1,'Data qoq'!$A$1:$AT$1,),))/100+1)^4)-1</f>
        <v/>
      </c>
      <c r="V50" s="33">
        <f>(((VLOOKUP(B50,'Data qoq'!$A:$AT,MATCH($V$1,'Data qoq'!$A$1:$AT$1,),))/100+1)^4)-1</f>
        <v/>
      </c>
      <c r="W50" s="33">
        <f>(((VLOOKUP(B50,'Data qoq'!$A:$AT,MATCH($W$1,'Data qoq'!$A$1:$AT$1,),))/100+1)^4)-1</f>
        <v/>
      </c>
      <c r="X50" s="33">
        <f>(((VLOOKUP(B50,'Data qoq'!$A:$AT,MATCH($X$1,'Data qoq'!$A$1:$AT$1,),))/100+1)^4)-1</f>
        <v/>
      </c>
      <c r="Y50" s="33">
        <f>(((VLOOKUP(B50,'Data qoq'!$A:$AT,MATCH($Y$1,'Data qoq'!$A$1:$AT$1,),))/100+1)^4)-1</f>
        <v/>
      </c>
      <c r="Z50" s="33">
        <f>(((VLOOKUP(B50,'Data qoq'!$A:$AU,MATCH($Z$1,'Data qoq'!$A$1:$AU$1,),))/100+1)^4)-1</f>
        <v/>
      </c>
      <c r="AA50" s="33">
        <f>(((VLOOKUP(B50,'Data qoq'!$A:$AU,MATCH($AA$1,'Data qoq'!$A$1:$AU$1,),))/100+1)^4)-1</f>
        <v/>
      </c>
      <c r="AC50" s="27">
        <f>B50</f>
        <v/>
      </c>
      <c r="AD50" s="32">
        <f>(VLOOKUP(AC50,B:Y,MATCH($AE$6,$B$1:$Y$1,),))-(VLOOKUP(AC50,B:Y,MATCH($AE$7,$B$1:$Y$1,),))</f>
        <v/>
      </c>
      <c r="AE50" s="28" t="n"/>
    </row>
    <row r="51" hidden="1" s="89">
      <c r="A51" s="31" t="n">
        <v>40238</v>
      </c>
      <c r="B51" s="25" t="inlineStr">
        <is>
          <t>2010-Q1</t>
        </is>
      </c>
      <c r="C51" s="33">
        <f>(((VLOOKUP(B51,'Data qoq'!$A:$AT,MATCH($C$1,'Data qoq'!$A$1:$AT$1,),))/100+1)^4)-1</f>
        <v/>
      </c>
      <c r="D51" s="33">
        <f>(((VLOOKUP(B51,'Data qoq'!$A:$AT,MATCH($D$1,'Data qoq'!$A$1:$AT$1,),))/100+1)^4)-1</f>
        <v/>
      </c>
      <c r="E51" s="33">
        <f>(((VLOOKUP(B51,'Data qoq'!$A:$AT,MATCH($E$1,'Data qoq'!$A$1:$AT$1,),))/100+1)^4)-1</f>
        <v/>
      </c>
      <c r="F51" s="33">
        <f>(((VLOOKUP(B51,'Data qoq'!$A:$AT,MATCH($F$1,'Data qoq'!$A$1:$AT$1,),))/100+1)^4)-1</f>
        <v/>
      </c>
      <c r="G51" s="33">
        <f>(((VLOOKUP(B51,'Data qoq'!$A:$AT,MATCH($G$1,'Data qoq'!$A$1:$AT$1,),))/100+1)^4)-1</f>
        <v/>
      </c>
      <c r="H51" s="33">
        <f>(((VLOOKUP(B51,'Data qoq'!$A:$AT,MATCH($H$1,'Data qoq'!$A$1:$AT$1,),))/100+1)^4)-1</f>
        <v/>
      </c>
      <c r="I51" s="33">
        <f>(((VLOOKUP(B51,'Data qoq'!$A:$AT,MATCH($I$1,'Data qoq'!$A$1:$AT$1,),))/100+1)^4)-1</f>
        <v/>
      </c>
      <c r="J51" s="33">
        <f>(((VLOOKUP(B51,'Data qoq'!$A:$AT,MATCH($J$1,'Data qoq'!$A$1:$AT$1,),))/100+1)^4)-1</f>
        <v/>
      </c>
      <c r="K51" s="33">
        <f>(((VLOOKUP(B51,'Data qoq'!$A:$AT,MATCH($K$1,'Data qoq'!$A$1:$AT$1,),))/100+1)^4)-1</f>
        <v/>
      </c>
      <c r="L51" s="33">
        <f>(((VLOOKUP(B51,'Data qoq'!$A:$AT,MATCH($L$1,'Data qoq'!$A$1:$AT$1,),))/100+1)^4)-1</f>
        <v/>
      </c>
      <c r="M51" s="33">
        <f>(((VLOOKUP(B51,'Data qoq'!$A:$AT,MATCH($M$1,'Data qoq'!$A$1:$AT$1,),))/100+1)^4)-1</f>
        <v/>
      </c>
      <c r="N51" s="33">
        <f>(((VLOOKUP(B51,'Data qoq'!$A:$AT,MATCH($N$1,'Data qoq'!$A$1:$AT$1,),))/100+1)^4)-1</f>
        <v/>
      </c>
      <c r="O51" s="33">
        <f>(((VLOOKUP(B51,'Data qoq'!$A:$AT,MATCH($O$1,'Data qoq'!$A$1:$AT$1,),))/100+1)^4)-1</f>
        <v/>
      </c>
      <c r="P51" s="33">
        <f>(((VLOOKUP(B51,'Data qoq'!$A:$AT,MATCH($P$1,'Data qoq'!$A$1:$AT$1,),))/100+1)^4)-1</f>
        <v/>
      </c>
      <c r="Q51" s="33">
        <f>(((VLOOKUP(B51,'Data qoq'!$A:$AT,MATCH($Q$1,'Data qoq'!$A$1:$AT$1,),))/100+1)^4)-1</f>
        <v/>
      </c>
      <c r="R51" s="33">
        <f>(((VLOOKUP(B51,'Data qoq'!$A:$AT,MATCH($R$1,'Data qoq'!$A$1:$AT$1,),))/100+1)^4)-1</f>
        <v/>
      </c>
      <c r="S51" s="33">
        <f>(((VLOOKUP(B51,'Data qoq'!$A:$AT,MATCH($S$1,'Data qoq'!$A$1:$AT$1,),))/100+1)^4)-1</f>
        <v/>
      </c>
      <c r="T51" s="33">
        <f>(((VLOOKUP(B51,'Data qoq'!$A:$AT,MATCH($T$1,'Data qoq'!$A$1:$AT$1,),))/100+1)^4)-1</f>
        <v/>
      </c>
      <c r="U51" s="33">
        <f>(((VLOOKUP(B51,'Data qoq'!$A:$AT,MATCH($U$1,'Data qoq'!$A$1:$AT$1,),))/100+1)^4)-1</f>
        <v/>
      </c>
      <c r="V51" s="33">
        <f>(((VLOOKUP(B51,'Data qoq'!$A:$AT,MATCH($V$1,'Data qoq'!$A$1:$AT$1,),))/100+1)^4)-1</f>
        <v/>
      </c>
      <c r="W51" s="33">
        <f>(((VLOOKUP(B51,'Data qoq'!$A:$AT,MATCH($W$1,'Data qoq'!$A$1:$AT$1,),))/100+1)^4)-1</f>
        <v/>
      </c>
      <c r="X51" s="33">
        <f>(((VLOOKUP(B51,'Data qoq'!$A:$AT,MATCH($X$1,'Data qoq'!$A$1:$AT$1,),))/100+1)^4)-1</f>
        <v/>
      </c>
      <c r="Y51" s="33">
        <f>(((VLOOKUP(B51,'Data qoq'!$A:$AT,MATCH($Y$1,'Data qoq'!$A$1:$AT$1,),))/100+1)^4)-1</f>
        <v/>
      </c>
      <c r="Z51" s="33">
        <f>(((VLOOKUP(B51,'Data qoq'!$A:$AU,MATCH($Z$1,'Data qoq'!$A$1:$AU$1,),))/100+1)^4)-1</f>
        <v/>
      </c>
      <c r="AA51" s="33">
        <f>(((VLOOKUP(B51,'Data qoq'!$A:$AU,MATCH($AA$1,'Data qoq'!$A$1:$AU$1,),))/100+1)^4)-1</f>
        <v/>
      </c>
      <c r="AC51" s="27">
        <f>B51</f>
        <v/>
      </c>
      <c r="AD51" s="32">
        <f>(VLOOKUP(AC51,B:Y,MATCH($AE$6,$B$1:$Y$1,),))-(VLOOKUP(AC51,B:Y,MATCH($AE$7,$B$1:$Y$1,),))</f>
        <v/>
      </c>
      <c r="AE51" s="28" t="n"/>
    </row>
    <row r="52" hidden="1" s="89">
      <c r="A52" s="31" t="n">
        <v>40330</v>
      </c>
      <c r="B52" s="25" t="inlineStr">
        <is>
          <t>2010-Q2</t>
        </is>
      </c>
      <c r="C52" s="33">
        <f>(((VLOOKUP(B52,'Data qoq'!$A:$AT,MATCH($C$1,'Data qoq'!$A$1:$AT$1,),))/100+1)^4)-1</f>
        <v/>
      </c>
      <c r="D52" s="33">
        <f>(((VLOOKUP(B52,'Data qoq'!$A:$AT,MATCH($D$1,'Data qoq'!$A$1:$AT$1,),))/100+1)^4)-1</f>
        <v/>
      </c>
      <c r="E52" s="33">
        <f>(((VLOOKUP(B52,'Data qoq'!$A:$AT,MATCH($E$1,'Data qoq'!$A$1:$AT$1,),))/100+1)^4)-1</f>
        <v/>
      </c>
      <c r="F52" s="33">
        <f>(((VLOOKUP(B52,'Data qoq'!$A:$AT,MATCH($F$1,'Data qoq'!$A$1:$AT$1,),))/100+1)^4)-1</f>
        <v/>
      </c>
      <c r="G52" s="33">
        <f>(((VLOOKUP(B52,'Data qoq'!$A:$AT,MATCH($G$1,'Data qoq'!$A$1:$AT$1,),))/100+1)^4)-1</f>
        <v/>
      </c>
      <c r="H52" s="33">
        <f>(((VLOOKUP(B52,'Data qoq'!$A:$AT,MATCH($H$1,'Data qoq'!$A$1:$AT$1,),))/100+1)^4)-1</f>
        <v/>
      </c>
      <c r="I52" s="33">
        <f>(((VLOOKUP(B52,'Data qoq'!$A:$AT,MATCH($I$1,'Data qoq'!$A$1:$AT$1,),))/100+1)^4)-1</f>
        <v/>
      </c>
      <c r="J52" s="33">
        <f>(((VLOOKUP(B52,'Data qoq'!$A:$AT,MATCH($J$1,'Data qoq'!$A$1:$AT$1,),))/100+1)^4)-1</f>
        <v/>
      </c>
      <c r="K52" s="33">
        <f>(((VLOOKUP(B52,'Data qoq'!$A:$AT,MATCH($K$1,'Data qoq'!$A$1:$AT$1,),))/100+1)^4)-1</f>
        <v/>
      </c>
      <c r="L52" s="33">
        <f>(((VLOOKUP(B52,'Data qoq'!$A:$AT,MATCH($L$1,'Data qoq'!$A$1:$AT$1,),))/100+1)^4)-1</f>
        <v/>
      </c>
      <c r="M52" s="33">
        <f>(((VLOOKUP(B52,'Data qoq'!$A:$AT,MATCH($M$1,'Data qoq'!$A$1:$AT$1,),))/100+1)^4)-1</f>
        <v/>
      </c>
      <c r="N52" s="33">
        <f>(((VLOOKUP(B52,'Data qoq'!$A:$AT,MATCH($N$1,'Data qoq'!$A$1:$AT$1,),))/100+1)^4)-1</f>
        <v/>
      </c>
      <c r="O52" s="33">
        <f>(((VLOOKUP(B52,'Data qoq'!$A:$AT,MATCH($O$1,'Data qoq'!$A$1:$AT$1,),))/100+1)^4)-1</f>
        <v/>
      </c>
      <c r="P52" s="33">
        <f>(((VLOOKUP(B52,'Data qoq'!$A:$AT,MATCH($P$1,'Data qoq'!$A$1:$AT$1,),))/100+1)^4)-1</f>
        <v/>
      </c>
      <c r="Q52" s="33">
        <f>(((VLOOKUP(B52,'Data qoq'!$A:$AT,MATCH($Q$1,'Data qoq'!$A$1:$AT$1,),))/100+1)^4)-1</f>
        <v/>
      </c>
      <c r="R52" s="33">
        <f>(((VLOOKUP(B52,'Data qoq'!$A:$AT,MATCH($R$1,'Data qoq'!$A$1:$AT$1,),))/100+1)^4)-1</f>
        <v/>
      </c>
      <c r="S52" s="33">
        <f>(((VLOOKUP(B52,'Data qoq'!$A:$AT,MATCH($S$1,'Data qoq'!$A$1:$AT$1,),))/100+1)^4)-1</f>
        <v/>
      </c>
      <c r="T52" s="33">
        <f>(((VLOOKUP(B52,'Data qoq'!$A:$AT,MATCH($T$1,'Data qoq'!$A$1:$AT$1,),))/100+1)^4)-1</f>
        <v/>
      </c>
      <c r="U52" s="33">
        <f>(((VLOOKUP(B52,'Data qoq'!$A:$AT,MATCH($U$1,'Data qoq'!$A$1:$AT$1,),))/100+1)^4)-1</f>
        <v/>
      </c>
      <c r="V52" s="33">
        <f>(((VLOOKUP(B52,'Data qoq'!$A:$AT,MATCH($V$1,'Data qoq'!$A$1:$AT$1,),))/100+1)^4)-1</f>
        <v/>
      </c>
      <c r="W52" s="33">
        <f>(((VLOOKUP(B52,'Data qoq'!$A:$AT,MATCH($W$1,'Data qoq'!$A$1:$AT$1,),))/100+1)^4)-1</f>
        <v/>
      </c>
      <c r="X52" s="33">
        <f>(((VLOOKUP(B52,'Data qoq'!$A:$AT,MATCH($X$1,'Data qoq'!$A$1:$AT$1,),))/100+1)^4)-1</f>
        <v/>
      </c>
      <c r="Y52" s="33">
        <f>(((VLOOKUP(B52,'Data qoq'!$A:$AT,MATCH($Y$1,'Data qoq'!$A$1:$AT$1,),))/100+1)^4)-1</f>
        <v/>
      </c>
      <c r="Z52" s="33">
        <f>(((VLOOKUP(B52,'Data qoq'!$A:$AU,MATCH($Z$1,'Data qoq'!$A$1:$AU$1,),))/100+1)^4)-1</f>
        <v/>
      </c>
      <c r="AA52" s="33">
        <f>(((VLOOKUP(B52,'Data qoq'!$A:$AU,MATCH($AA$1,'Data qoq'!$A$1:$AU$1,),))/100+1)^4)-1</f>
        <v/>
      </c>
      <c r="AC52" s="27">
        <f>B52</f>
        <v/>
      </c>
      <c r="AD52" s="32">
        <f>(VLOOKUP(AC52,B:Y,MATCH($AE$6,$B$1:$Y$1,),))-(VLOOKUP(AC52,B:Y,MATCH($AE$7,$B$1:$Y$1,),))</f>
        <v/>
      </c>
      <c r="AE52" s="28" t="n"/>
    </row>
    <row r="53" hidden="1" s="89">
      <c r="A53" s="31" t="n">
        <v>40422</v>
      </c>
      <c r="B53" s="25" t="inlineStr">
        <is>
          <t>2010-Q3</t>
        </is>
      </c>
      <c r="C53" s="33">
        <f>(((VLOOKUP(B53,'Data qoq'!$A:$AT,MATCH($C$1,'Data qoq'!$A$1:$AT$1,),))/100+1)^4)-1</f>
        <v/>
      </c>
      <c r="D53" s="33">
        <f>(((VLOOKUP(B53,'Data qoq'!$A:$AT,MATCH($D$1,'Data qoq'!$A$1:$AT$1,),))/100+1)^4)-1</f>
        <v/>
      </c>
      <c r="E53" s="33">
        <f>(((VLOOKUP(B53,'Data qoq'!$A:$AT,MATCH($E$1,'Data qoq'!$A$1:$AT$1,),))/100+1)^4)-1</f>
        <v/>
      </c>
      <c r="F53" s="33">
        <f>(((VLOOKUP(B53,'Data qoq'!$A:$AT,MATCH($F$1,'Data qoq'!$A$1:$AT$1,),))/100+1)^4)-1</f>
        <v/>
      </c>
      <c r="G53" s="33">
        <f>(((VLOOKUP(B53,'Data qoq'!$A:$AT,MATCH($G$1,'Data qoq'!$A$1:$AT$1,),))/100+1)^4)-1</f>
        <v/>
      </c>
      <c r="H53" s="33">
        <f>(((VLOOKUP(B53,'Data qoq'!$A:$AT,MATCH($H$1,'Data qoq'!$A$1:$AT$1,),))/100+1)^4)-1</f>
        <v/>
      </c>
      <c r="I53" s="33">
        <f>(((VLOOKUP(B53,'Data qoq'!$A:$AT,MATCH($I$1,'Data qoq'!$A$1:$AT$1,),))/100+1)^4)-1</f>
        <v/>
      </c>
      <c r="J53" s="33">
        <f>(((VLOOKUP(B53,'Data qoq'!$A:$AT,MATCH($J$1,'Data qoq'!$A$1:$AT$1,),))/100+1)^4)-1</f>
        <v/>
      </c>
      <c r="K53" s="33">
        <f>(((VLOOKUP(B53,'Data qoq'!$A:$AT,MATCH($K$1,'Data qoq'!$A$1:$AT$1,),))/100+1)^4)-1</f>
        <v/>
      </c>
      <c r="L53" s="33">
        <f>(((VLOOKUP(B53,'Data qoq'!$A:$AT,MATCH($L$1,'Data qoq'!$A$1:$AT$1,),))/100+1)^4)-1</f>
        <v/>
      </c>
      <c r="M53" s="33">
        <f>(((VLOOKUP(B53,'Data qoq'!$A:$AT,MATCH($M$1,'Data qoq'!$A$1:$AT$1,),))/100+1)^4)-1</f>
        <v/>
      </c>
      <c r="N53" s="33">
        <f>(((VLOOKUP(B53,'Data qoq'!$A:$AT,MATCH($N$1,'Data qoq'!$A$1:$AT$1,),))/100+1)^4)-1</f>
        <v/>
      </c>
      <c r="O53" s="33">
        <f>(((VLOOKUP(B53,'Data qoq'!$A:$AT,MATCH($O$1,'Data qoq'!$A$1:$AT$1,),))/100+1)^4)-1</f>
        <v/>
      </c>
      <c r="P53" s="33">
        <f>(((VLOOKUP(B53,'Data qoq'!$A:$AT,MATCH($P$1,'Data qoq'!$A$1:$AT$1,),))/100+1)^4)-1</f>
        <v/>
      </c>
      <c r="Q53" s="33">
        <f>(((VLOOKUP(B53,'Data qoq'!$A:$AT,MATCH($Q$1,'Data qoq'!$A$1:$AT$1,),))/100+1)^4)-1</f>
        <v/>
      </c>
      <c r="R53" s="33">
        <f>(((VLOOKUP(B53,'Data qoq'!$A:$AT,MATCH($R$1,'Data qoq'!$A$1:$AT$1,),))/100+1)^4)-1</f>
        <v/>
      </c>
      <c r="S53" s="33">
        <f>(((VLOOKUP(B53,'Data qoq'!$A:$AT,MATCH($S$1,'Data qoq'!$A$1:$AT$1,),))/100+1)^4)-1</f>
        <v/>
      </c>
      <c r="T53" s="33">
        <f>(((VLOOKUP(B53,'Data qoq'!$A:$AT,MATCH($T$1,'Data qoq'!$A$1:$AT$1,),))/100+1)^4)-1</f>
        <v/>
      </c>
      <c r="U53" s="33">
        <f>(((VLOOKUP(B53,'Data qoq'!$A:$AT,MATCH($U$1,'Data qoq'!$A$1:$AT$1,),))/100+1)^4)-1</f>
        <v/>
      </c>
      <c r="V53" s="33">
        <f>(((VLOOKUP(B53,'Data qoq'!$A:$AT,MATCH($V$1,'Data qoq'!$A$1:$AT$1,),))/100+1)^4)-1</f>
        <v/>
      </c>
      <c r="W53" s="33">
        <f>(((VLOOKUP(B53,'Data qoq'!$A:$AT,MATCH($W$1,'Data qoq'!$A$1:$AT$1,),))/100+1)^4)-1</f>
        <v/>
      </c>
      <c r="X53" s="33">
        <f>(((VLOOKUP(B53,'Data qoq'!$A:$AT,MATCH($X$1,'Data qoq'!$A$1:$AT$1,),))/100+1)^4)-1</f>
        <v/>
      </c>
      <c r="Y53" s="33">
        <f>(((VLOOKUP(B53,'Data qoq'!$A:$AT,MATCH($Y$1,'Data qoq'!$A$1:$AT$1,),))/100+1)^4)-1</f>
        <v/>
      </c>
      <c r="Z53" s="33">
        <f>(((VLOOKUP(B53,'Data qoq'!$A:$AU,MATCH($Z$1,'Data qoq'!$A$1:$AU$1,),))/100+1)^4)-1</f>
        <v/>
      </c>
      <c r="AA53" s="33">
        <f>(((VLOOKUP(B53,'Data qoq'!$A:$AU,MATCH($AA$1,'Data qoq'!$A$1:$AU$1,),))/100+1)^4)-1</f>
        <v/>
      </c>
      <c r="AC53" s="27">
        <f>B53</f>
        <v/>
      </c>
      <c r="AD53" s="32">
        <f>(VLOOKUP(AC53,B:Y,MATCH($AE$6,$B$1:$Y$1,),))-(VLOOKUP(AC53,B:Y,MATCH($AE$7,$B$1:$Y$1,),))</f>
        <v/>
      </c>
      <c r="AE53" s="28" t="n"/>
    </row>
    <row r="54" hidden="1" s="89">
      <c r="A54" s="31" t="n">
        <v>40513</v>
      </c>
      <c r="B54" s="25" t="inlineStr">
        <is>
          <t>2010-Q4</t>
        </is>
      </c>
      <c r="C54" s="33">
        <f>(((VLOOKUP(B54,'Data qoq'!$A:$AT,MATCH($C$1,'Data qoq'!$A$1:$AT$1,),))/100+1)^4)-1</f>
        <v/>
      </c>
      <c r="D54" s="33">
        <f>(((VLOOKUP(B54,'Data qoq'!$A:$AT,MATCH($D$1,'Data qoq'!$A$1:$AT$1,),))/100+1)^4)-1</f>
        <v/>
      </c>
      <c r="E54" s="33">
        <f>(((VLOOKUP(B54,'Data qoq'!$A:$AT,MATCH($E$1,'Data qoq'!$A$1:$AT$1,),))/100+1)^4)-1</f>
        <v/>
      </c>
      <c r="F54" s="33">
        <f>(((VLOOKUP(B54,'Data qoq'!$A:$AT,MATCH($F$1,'Data qoq'!$A$1:$AT$1,),))/100+1)^4)-1</f>
        <v/>
      </c>
      <c r="G54" s="33">
        <f>(((VLOOKUP(B54,'Data qoq'!$A:$AT,MATCH($G$1,'Data qoq'!$A$1:$AT$1,),))/100+1)^4)-1</f>
        <v/>
      </c>
      <c r="H54" s="33">
        <f>(((VLOOKUP(B54,'Data qoq'!$A:$AT,MATCH($H$1,'Data qoq'!$A$1:$AT$1,),))/100+1)^4)-1</f>
        <v/>
      </c>
      <c r="I54" s="33">
        <f>(((VLOOKUP(B54,'Data qoq'!$A:$AT,MATCH($I$1,'Data qoq'!$A$1:$AT$1,),))/100+1)^4)-1</f>
        <v/>
      </c>
      <c r="J54" s="33">
        <f>(((VLOOKUP(B54,'Data qoq'!$A:$AT,MATCH($J$1,'Data qoq'!$A$1:$AT$1,),))/100+1)^4)-1</f>
        <v/>
      </c>
      <c r="K54" s="33">
        <f>(((VLOOKUP(B54,'Data qoq'!$A:$AT,MATCH($K$1,'Data qoq'!$A$1:$AT$1,),))/100+1)^4)-1</f>
        <v/>
      </c>
      <c r="L54" s="33">
        <f>(((VLOOKUP(B54,'Data qoq'!$A:$AT,MATCH($L$1,'Data qoq'!$A$1:$AT$1,),))/100+1)^4)-1</f>
        <v/>
      </c>
      <c r="M54" s="33">
        <f>(((VLOOKUP(B54,'Data qoq'!$A:$AT,MATCH($M$1,'Data qoq'!$A$1:$AT$1,),))/100+1)^4)-1</f>
        <v/>
      </c>
      <c r="N54" s="33">
        <f>(((VLOOKUP(B54,'Data qoq'!$A:$AT,MATCH($N$1,'Data qoq'!$A$1:$AT$1,),))/100+1)^4)-1</f>
        <v/>
      </c>
      <c r="O54" s="33">
        <f>(((VLOOKUP(B54,'Data qoq'!$A:$AT,MATCH($O$1,'Data qoq'!$A$1:$AT$1,),))/100+1)^4)-1</f>
        <v/>
      </c>
      <c r="P54" s="33">
        <f>(((VLOOKUP(B54,'Data qoq'!$A:$AT,MATCH($P$1,'Data qoq'!$A$1:$AT$1,),))/100+1)^4)-1</f>
        <v/>
      </c>
      <c r="Q54" s="33">
        <f>(((VLOOKUP(B54,'Data qoq'!$A:$AT,MATCH($Q$1,'Data qoq'!$A$1:$AT$1,),))/100+1)^4)-1</f>
        <v/>
      </c>
      <c r="R54" s="33">
        <f>(((VLOOKUP(B54,'Data qoq'!$A:$AT,MATCH($R$1,'Data qoq'!$A$1:$AT$1,),))/100+1)^4)-1</f>
        <v/>
      </c>
      <c r="S54" s="33">
        <f>(((VLOOKUP(B54,'Data qoq'!$A:$AT,MATCH($S$1,'Data qoq'!$A$1:$AT$1,),))/100+1)^4)-1</f>
        <v/>
      </c>
      <c r="T54" s="33">
        <f>(((VLOOKUP(B54,'Data qoq'!$A:$AT,MATCH($T$1,'Data qoq'!$A$1:$AT$1,),))/100+1)^4)-1</f>
        <v/>
      </c>
      <c r="U54" s="33">
        <f>(((VLOOKUP(B54,'Data qoq'!$A:$AT,MATCH($U$1,'Data qoq'!$A$1:$AT$1,),))/100+1)^4)-1</f>
        <v/>
      </c>
      <c r="V54" s="33">
        <f>(((VLOOKUP(B54,'Data qoq'!$A:$AT,MATCH($V$1,'Data qoq'!$A$1:$AT$1,),))/100+1)^4)-1</f>
        <v/>
      </c>
      <c r="W54" s="33">
        <f>(((VLOOKUP(B54,'Data qoq'!$A:$AT,MATCH($W$1,'Data qoq'!$A$1:$AT$1,),))/100+1)^4)-1</f>
        <v/>
      </c>
      <c r="X54" s="33">
        <f>(((VLOOKUP(B54,'Data qoq'!$A:$AT,MATCH($X$1,'Data qoq'!$A$1:$AT$1,),))/100+1)^4)-1</f>
        <v/>
      </c>
      <c r="Y54" s="33">
        <f>(((VLOOKUP(B54,'Data qoq'!$A:$AT,MATCH($Y$1,'Data qoq'!$A$1:$AT$1,),))/100+1)^4)-1</f>
        <v/>
      </c>
      <c r="Z54" s="33">
        <f>(((VLOOKUP(B54,'Data qoq'!$A:$AU,MATCH($Z$1,'Data qoq'!$A$1:$AU$1,),))/100+1)^4)-1</f>
        <v/>
      </c>
      <c r="AA54" s="33">
        <f>(((VLOOKUP(B54,'Data qoq'!$A:$AU,MATCH($AA$1,'Data qoq'!$A$1:$AU$1,),))/100+1)^4)-1</f>
        <v/>
      </c>
      <c r="AC54" s="27">
        <f>B54</f>
        <v/>
      </c>
      <c r="AD54" s="32">
        <f>(VLOOKUP(AC54,B:Y,MATCH($AE$6,$B$1:$Y$1,),))-(VLOOKUP(AC54,B:Y,MATCH($AE$7,$B$1:$Y$1,),))</f>
        <v/>
      </c>
      <c r="AE54" s="28" t="n"/>
    </row>
    <row r="55" hidden="1" s="89">
      <c r="A55" s="31" t="n">
        <v>40603</v>
      </c>
      <c r="B55" s="25" t="inlineStr">
        <is>
          <t>2011-Q1</t>
        </is>
      </c>
      <c r="C55" s="33">
        <f>(((VLOOKUP(B55,'Data qoq'!$A:$AT,MATCH($C$1,'Data qoq'!$A$1:$AT$1,),))/100+1)^4)-1</f>
        <v/>
      </c>
      <c r="D55" s="33">
        <f>(((VLOOKUP(B55,'Data qoq'!$A:$AT,MATCH($D$1,'Data qoq'!$A$1:$AT$1,),))/100+1)^4)-1</f>
        <v/>
      </c>
      <c r="E55" s="33">
        <f>(((VLOOKUP(B55,'Data qoq'!$A:$AT,MATCH($E$1,'Data qoq'!$A$1:$AT$1,),))/100+1)^4)-1</f>
        <v/>
      </c>
      <c r="F55" s="33">
        <f>(((VLOOKUP(B55,'Data qoq'!$A:$AT,MATCH($F$1,'Data qoq'!$A$1:$AT$1,),))/100+1)^4)-1</f>
        <v/>
      </c>
      <c r="G55" s="33">
        <f>(((VLOOKUP(B55,'Data qoq'!$A:$AT,MATCH($G$1,'Data qoq'!$A$1:$AT$1,),))/100+1)^4)-1</f>
        <v/>
      </c>
      <c r="H55" s="33">
        <f>(((VLOOKUP(B55,'Data qoq'!$A:$AT,MATCH($H$1,'Data qoq'!$A$1:$AT$1,),))/100+1)^4)-1</f>
        <v/>
      </c>
      <c r="I55" s="33">
        <f>(((VLOOKUP(B55,'Data qoq'!$A:$AT,MATCH($I$1,'Data qoq'!$A$1:$AT$1,),))/100+1)^4)-1</f>
        <v/>
      </c>
      <c r="J55" s="33">
        <f>(((VLOOKUP(B55,'Data qoq'!$A:$AT,MATCH($J$1,'Data qoq'!$A$1:$AT$1,),))/100+1)^4)-1</f>
        <v/>
      </c>
      <c r="K55" s="33">
        <f>(((VLOOKUP(B55,'Data qoq'!$A:$AT,MATCH($K$1,'Data qoq'!$A$1:$AT$1,),))/100+1)^4)-1</f>
        <v/>
      </c>
      <c r="L55" s="33">
        <f>(((VLOOKUP(B55,'Data qoq'!$A:$AT,MATCH($L$1,'Data qoq'!$A$1:$AT$1,),))/100+1)^4)-1</f>
        <v/>
      </c>
      <c r="M55" s="33">
        <f>(((VLOOKUP(B55,'Data qoq'!$A:$AT,MATCH($M$1,'Data qoq'!$A$1:$AT$1,),))/100+1)^4)-1</f>
        <v/>
      </c>
      <c r="N55" s="33">
        <f>(((VLOOKUP(B55,'Data qoq'!$A:$AT,MATCH($N$1,'Data qoq'!$A$1:$AT$1,),))/100+1)^4)-1</f>
        <v/>
      </c>
      <c r="O55" s="33">
        <f>(((VLOOKUP(B55,'Data qoq'!$A:$AT,MATCH($O$1,'Data qoq'!$A$1:$AT$1,),))/100+1)^4)-1</f>
        <v/>
      </c>
      <c r="P55" s="33">
        <f>(((VLOOKUP(B55,'Data qoq'!$A:$AT,MATCH($P$1,'Data qoq'!$A$1:$AT$1,),))/100+1)^4)-1</f>
        <v/>
      </c>
      <c r="Q55" s="33">
        <f>(((VLOOKUP(B55,'Data qoq'!$A:$AT,MATCH($Q$1,'Data qoq'!$A$1:$AT$1,),))/100+1)^4)-1</f>
        <v/>
      </c>
      <c r="R55" s="33">
        <f>(((VLOOKUP(B55,'Data qoq'!$A:$AT,MATCH($R$1,'Data qoq'!$A$1:$AT$1,),))/100+1)^4)-1</f>
        <v/>
      </c>
      <c r="S55" s="33">
        <f>(((VLOOKUP(B55,'Data qoq'!$A:$AT,MATCH($S$1,'Data qoq'!$A$1:$AT$1,),))/100+1)^4)-1</f>
        <v/>
      </c>
      <c r="T55" s="33">
        <f>(((VLOOKUP(B55,'Data qoq'!$A:$AT,MATCH($T$1,'Data qoq'!$A$1:$AT$1,),))/100+1)^4)-1</f>
        <v/>
      </c>
      <c r="U55" s="33">
        <f>(((VLOOKUP(B55,'Data qoq'!$A:$AT,MATCH($U$1,'Data qoq'!$A$1:$AT$1,),))/100+1)^4)-1</f>
        <v/>
      </c>
      <c r="V55" s="33">
        <f>(((VLOOKUP(B55,'Data qoq'!$A:$AT,MATCH($V$1,'Data qoq'!$A$1:$AT$1,),))/100+1)^4)-1</f>
        <v/>
      </c>
      <c r="W55" s="33">
        <f>(((VLOOKUP(B55,'Data qoq'!$A:$AT,MATCH($W$1,'Data qoq'!$A$1:$AT$1,),))/100+1)^4)-1</f>
        <v/>
      </c>
      <c r="X55" s="33">
        <f>(((VLOOKUP(B55,'Data qoq'!$A:$AT,MATCH($X$1,'Data qoq'!$A$1:$AT$1,),))/100+1)^4)-1</f>
        <v/>
      </c>
      <c r="Y55" s="33">
        <f>(((VLOOKUP(B55,'Data qoq'!$A:$AT,MATCH($Y$1,'Data qoq'!$A$1:$AT$1,),))/100+1)^4)-1</f>
        <v/>
      </c>
      <c r="Z55" s="33">
        <f>(((VLOOKUP(B55,'Data qoq'!$A:$AU,MATCH($Z$1,'Data qoq'!$A$1:$AU$1,),))/100+1)^4)-1</f>
        <v/>
      </c>
      <c r="AA55" s="33">
        <f>(((VLOOKUP(B55,'Data qoq'!$A:$AU,MATCH($AA$1,'Data qoq'!$A$1:$AU$1,),))/100+1)^4)-1</f>
        <v/>
      </c>
      <c r="AC55" s="27">
        <f>B55</f>
        <v/>
      </c>
      <c r="AD55" s="32">
        <f>(VLOOKUP(AC55,B:Y,MATCH($AE$6,$B$1:$Y$1,),))-(VLOOKUP(AC55,B:Y,MATCH($AE$7,$B$1:$Y$1,),))</f>
        <v/>
      </c>
      <c r="AE55" s="28" t="n"/>
    </row>
    <row r="56" hidden="1" s="89">
      <c r="A56" s="31" t="n">
        <v>40695</v>
      </c>
      <c r="B56" s="25" t="inlineStr">
        <is>
          <t>2011-Q2</t>
        </is>
      </c>
      <c r="C56" s="33">
        <f>(((VLOOKUP(B56,'Data qoq'!$A:$AT,MATCH($C$1,'Data qoq'!$A$1:$AT$1,),))/100+1)^4)-1</f>
        <v/>
      </c>
      <c r="D56" s="33">
        <f>(((VLOOKUP(B56,'Data qoq'!$A:$AT,MATCH($D$1,'Data qoq'!$A$1:$AT$1,),))/100+1)^4)-1</f>
        <v/>
      </c>
      <c r="E56" s="33">
        <f>(((VLOOKUP(B56,'Data qoq'!$A:$AT,MATCH($E$1,'Data qoq'!$A$1:$AT$1,),))/100+1)^4)-1</f>
        <v/>
      </c>
      <c r="F56" s="33">
        <f>(((VLOOKUP(B56,'Data qoq'!$A:$AT,MATCH($F$1,'Data qoq'!$A$1:$AT$1,),))/100+1)^4)-1</f>
        <v/>
      </c>
      <c r="G56" s="33">
        <f>(((VLOOKUP(B56,'Data qoq'!$A:$AT,MATCH($G$1,'Data qoq'!$A$1:$AT$1,),))/100+1)^4)-1</f>
        <v/>
      </c>
      <c r="H56" s="33">
        <f>(((VLOOKUP(B56,'Data qoq'!$A:$AT,MATCH($H$1,'Data qoq'!$A$1:$AT$1,),))/100+1)^4)-1</f>
        <v/>
      </c>
      <c r="I56" s="33">
        <f>(((VLOOKUP(B56,'Data qoq'!$A:$AT,MATCH($I$1,'Data qoq'!$A$1:$AT$1,),))/100+1)^4)-1</f>
        <v/>
      </c>
      <c r="J56" s="33">
        <f>(((VLOOKUP(B56,'Data qoq'!$A:$AT,MATCH($J$1,'Data qoq'!$A$1:$AT$1,),))/100+1)^4)-1</f>
        <v/>
      </c>
      <c r="K56" s="33">
        <f>(((VLOOKUP(B56,'Data qoq'!$A:$AT,MATCH($K$1,'Data qoq'!$A$1:$AT$1,),))/100+1)^4)-1</f>
        <v/>
      </c>
      <c r="L56" s="33">
        <f>(((VLOOKUP(B56,'Data qoq'!$A:$AT,MATCH($L$1,'Data qoq'!$A$1:$AT$1,),))/100+1)^4)-1</f>
        <v/>
      </c>
      <c r="M56" s="33">
        <f>(((VLOOKUP(B56,'Data qoq'!$A:$AT,MATCH($M$1,'Data qoq'!$A$1:$AT$1,),))/100+1)^4)-1</f>
        <v/>
      </c>
      <c r="N56" s="33">
        <f>(((VLOOKUP(B56,'Data qoq'!$A:$AT,MATCH($N$1,'Data qoq'!$A$1:$AT$1,),))/100+1)^4)-1</f>
        <v/>
      </c>
      <c r="O56" s="33">
        <f>(((VLOOKUP(B56,'Data qoq'!$A:$AT,MATCH($O$1,'Data qoq'!$A$1:$AT$1,),))/100+1)^4)-1</f>
        <v/>
      </c>
      <c r="P56" s="33">
        <f>(((VLOOKUP(B56,'Data qoq'!$A:$AT,MATCH($P$1,'Data qoq'!$A$1:$AT$1,),))/100+1)^4)-1</f>
        <v/>
      </c>
      <c r="Q56" s="33">
        <f>(((VLOOKUP(B56,'Data qoq'!$A:$AT,MATCH($Q$1,'Data qoq'!$A$1:$AT$1,),))/100+1)^4)-1</f>
        <v/>
      </c>
      <c r="R56" s="33">
        <f>(((VLOOKUP(B56,'Data qoq'!$A:$AT,MATCH($R$1,'Data qoq'!$A$1:$AT$1,),))/100+1)^4)-1</f>
        <v/>
      </c>
      <c r="S56" s="33">
        <f>(((VLOOKUP(B56,'Data qoq'!$A:$AT,MATCH($S$1,'Data qoq'!$A$1:$AT$1,),))/100+1)^4)-1</f>
        <v/>
      </c>
      <c r="T56" s="33">
        <f>(((VLOOKUP(B56,'Data qoq'!$A:$AT,MATCH($T$1,'Data qoq'!$A$1:$AT$1,),))/100+1)^4)-1</f>
        <v/>
      </c>
      <c r="U56" s="33">
        <f>(((VLOOKUP(B56,'Data qoq'!$A:$AT,MATCH($U$1,'Data qoq'!$A$1:$AT$1,),))/100+1)^4)-1</f>
        <v/>
      </c>
      <c r="V56" s="33">
        <f>(((VLOOKUP(B56,'Data qoq'!$A:$AT,MATCH($V$1,'Data qoq'!$A$1:$AT$1,),))/100+1)^4)-1</f>
        <v/>
      </c>
      <c r="W56" s="33">
        <f>(((VLOOKUP(B56,'Data qoq'!$A:$AT,MATCH($W$1,'Data qoq'!$A$1:$AT$1,),))/100+1)^4)-1</f>
        <v/>
      </c>
      <c r="X56" s="33">
        <f>(((VLOOKUP(B56,'Data qoq'!$A:$AT,MATCH($X$1,'Data qoq'!$A$1:$AT$1,),))/100+1)^4)-1</f>
        <v/>
      </c>
      <c r="Y56" s="33">
        <f>(((VLOOKUP(B56,'Data qoq'!$A:$AT,MATCH($Y$1,'Data qoq'!$A$1:$AT$1,),))/100+1)^4)-1</f>
        <v/>
      </c>
      <c r="Z56" s="33">
        <f>(((VLOOKUP(B56,'Data qoq'!$A:$AU,MATCH($Z$1,'Data qoq'!$A$1:$AU$1,),))/100+1)^4)-1</f>
        <v/>
      </c>
      <c r="AA56" s="33">
        <f>(((VLOOKUP(B56,'Data qoq'!$A:$AU,MATCH($AA$1,'Data qoq'!$A$1:$AU$1,),))/100+1)^4)-1</f>
        <v/>
      </c>
      <c r="AC56" s="27">
        <f>B56</f>
        <v/>
      </c>
      <c r="AD56" s="32">
        <f>(VLOOKUP(AC56,B:Y,MATCH($AE$6,$B$1:$Y$1,),))-(VLOOKUP(AC56,B:Y,MATCH($AE$7,$B$1:$Y$1,),))</f>
        <v/>
      </c>
      <c r="AE56" s="28" t="n"/>
    </row>
    <row r="57" hidden="1" s="89">
      <c r="A57" s="31" t="n">
        <v>40787</v>
      </c>
      <c r="B57" s="25" t="inlineStr">
        <is>
          <t>2011-Q3</t>
        </is>
      </c>
      <c r="C57" s="33">
        <f>(((VLOOKUP(B57,'Data qoq'!$A:$AT,MATCH($C$1,'Data qoq'!$A$1:$AT$1,),))/100+1)^4)-1</f>
        <v/>
      </c>
      <c r="D57" s="33">
        <f>(((VLOOKUP(B57,'Data qoq'!$A:$AT,MATCH($D$1,'Data qoq'!$A$1:$AT$1,),))/100+1)^4)-1</f>
        <v/>
      </c>
      <c r="E57" s="33">
        <f>(((VLOOKUP(B57,'Data qoq'!$A:$AT,MATCH($E$1,'Data qoq'!$A$1:$AT$1,),))/100+1)^4)-1</f>
        <v/>
      </c>
      <c r="F57" s="33">
        <f>(((VLOOKUP(B57,'Data qoq'!$A:$AT,MATCH($F$1,'Data qoq'!$A$1:$AT$1,),))/100+1)^4)-1</f>
        <v/>
      </c>
      <c r="G57" s="33">
        <f>(((VLOOKUP(B57,'Data qoq'!$A:$AT,MATCH($G$1,'Data qoq'!$A$1:$AT$1,),))/100+1)^4)-1</f>
        <v/>
      </c>
      <c r="H57" s="33">
        <f>(((VLOOKUP(B57,'Data qoq'!$A:$AT,MATCH($H$1,'Data qoq'!$A$1:$AT$1,),))/100+1)^4)-1</f>
        <v/>
      </c>
      <c r="I57" s="33">
        <f>(((VLOOKUP(B57,'Data qoq'!$A:$AT,MATCH($I$1,'Data qoq'!$A$1:$AT$1,),))/100+1)^4)-1</f>
        <v/>
      </c>
      <c r="J57" s="33">
        <f>(((VLOOKUP(B57,'Data qoq'!$A:$AT,MATCH($J$1,'Data qoq'!$A$1:$AT$1,),))/100+1)^4)-1</f>
        <v/>
      </c>
      <c r="K57" s="33">
        <f>(((VLOOKUP(B57,'Data qoq'!$A:$AT,MATCH($K$1,'Data qoq'!$A$1:$AT$1,),))/100+1)^4)-1</f>
        <v/>
      </c>
      <c r="L57" s="33">
        <f>(((VLOOKUP(B57,'Data qoq'!$A:$AT,MATCH($L$1,'Data qoq'!$A$1:$AT$1,),))/100+1)^4)-1</f>
        <v/>
      </c>
      <c r="M57" s="33">
        <f>(((VLOOKUP(B57,'Data qoq'!$A:$AT,MATCH($M$1,'Data qoq'!$A$1:$AT$1,),))/100+1)^4)-1</f>
        <v/>
      </c>
      <c r="N57" s="33">
        <f>(((VLOOKUP(B57,'Data qoq'!$A:$AT,MATCH($N$1,'Data qoq'!$A$1:$AT$1,),))/100+1)^4)-1</f>
        <v/>
      </c>
      <c r="O57" s="33">
        <f>(((VLOOKUP(B57,'Data qoq'!$A:$AT,MATCH($O$1,'Data qoq'!$A$1:$AT$1,),))/100+1)^4)-1</f>
        <v/>
      </c>
      <c r="P57" s="33">
        <f>(((VLOOKUP(B57,'Data qoq'!$A:$AT,MATCH($P$1,'Data qoq'!$A$1:$AT$1,),))/100+1)^4)-1</f>
        <v/>
      </c>
      <c r="Q57" s="33">
        <f>(((VLOOKUP(B57,'Data qoq'!$A:$AT,MATCH($Q$1,'Data qoq'!$A$1:$AT$1,),))/100+1)^4)-1</f>
        <v/>
      </c>
      <c r="R57" s="33">
        <f>(((VLOOKUP(B57,'Data qoq'!$A:$AT,MATCH($R$1,'Data qoq'!$A$1:$AT$1,),))/100+1)^4)-1</f>
        <v/>
      </c>
      <c r="S57" s="33">
        <f>(((VLOOKUP(B57,'Data qoq'!$A:$AT,MATCH($S$1,'Data qoq'!$A$1:$AT$1,),))/100+1)^4)-1</f>
        <v/>
      </c>
      <c r="T57" s="33">
        <f>(((VLOOKUP(B57,'Data qoq'!$A:$AT,MATCH($T$1,'Data qoq'!$A$1:$AT$1,),))/100+1)^4)-1</f>
        <v/>
      </c>
      <c r="U57" s="33">
        <f>(((VLOOKUP(B57,'Data qoq'!$A:$AT,MATCH($U$1,'Data qoq'!$A$1:$AT$1,),))/100+1)^4)-1</f>
        <v/>
      </c>
      <c r="V57" s="33">
        <f>(((VLOOKUP(B57,'Data qoq'!$A:$AT,MATCH($V$1,'Data qoq'!$A$1:$AT$1,),))/100+1)^4)-1</f>
        <v/>
      </c>
      <c r="W57" s="33">
        <f>(((VLOOKUP(B57,'Data qoq'!$A:$AT,MATCH($W$1,'Data qoq'!$A$1:$AT$1,),))/100+1)^4)-1</f>
        <v/>
      </c>
      <c r="X57" s="33">
        <f>(((VLOOKUP(B57,'Data qoq'!$A:$AT,MATCH($X$1,'Data qoq'!$A$1:$AT$1,),))/100+1)^4)-1</f>
        <v/>
      </c>
      <c r="Y57" s="33">
        <f>(((VLOOKUP(B57,'Data qoq'!$A:$AT,MATCH($Y$1,'Data qoq'!$A$1:$AT$1,),))/100+1)^4)-1</f>
        <v/>
      </c>
      <c r="Z57" s="33">
        <f>(((VLOOKUP(B57,'Data qoq'!$A:$AU,MATCH($Z$1,'Data qoq'!$A$1:$AU$1,),))/100+1)^4)-1</f>
        <v/>
      </c>
      <c r="AA57" s="33">
        <f>(((VLOOKUP(B57,'Data qoq'!$A:$AU,MATCH($AA$1,'Data qoq'!$A$1:$AU$1,),))/100+1)^4)-1</f>
        <v/>
      </c>
      <c r="AC57" s="27">
        <f>B57</f>
        <v/>
      </c>
      <c r="AD57" s="32">
        <f>(VLOOKUP(AC57,B:Y,MATCH($AE$6,$B$1:$Y$1,),))-(VLOOKUP(AC57,B:Y,MATCH($AE$7,$B$1:$Y$1,),))</f>
        <v/>
      </c>
      <c r="AE57" s="28" t="n"/>
    </row>
    <row r="58" hidden="1" s="89">
      <c r="A58" s="31" t="n">
        <v>40878</v>
      </c>
      <c r="B58" s="25" t="inlineStr">
        <is>
          <t>2011-Q4</t>
        </is>
      </c>
      <c r="C58" s="33">
        <f>(((VLOOKUP(B58,'Data qoq'!$A:$AT,MATCH($C$1,'Data qoq'!$A$1:$AT$1,),))/100+1)^4)-1</f>
        <v/>
      </c>
      <c r="D58" s="33">
        <f>(((VLOOKUP(B58,'Data qoq'!$A:$AT,MATCH($D$1,'Data qoq'!$A$1:$AT$1,),))/100+1)^4)-1</f>
        <v/>
      </c>
      <c r="E58" s="33">
        <f>(((VLOOKUP(B58,'Data qoq'!$A:$AT,MATCH($E$1,'Data qoq'!$A$1:$AT$1,),))/100+1)^4)-1</f>
        <v/>
      </c>
      <c r="F58" s="33">
        <f>(((VLOOKUP(B58,'Data qoq'!$A:$AT,MATCH($F$1,'Data qoq'!$A$1:$AT$1,),))/100+1)^4)-1</f>
        <v/>
      </c>
      <c r="G58" s="33">
        <f>(((VLOOKUP(B58,'Data qoq'!$A:$AT,MATCH($G$1,'Data qoq'!$A$1:$AT$1,),))/100+1)^4)-1</f>
        <v/>
      </c>
      <c r="H58" s="33">
        <f>(((VLOOKUP(B58,'Data qoq'!$A:$AT,MATCH($H$1,'Data qoq'!$A$1:$AT$1,),))/100+1)^4)-1</f>
        <v/>
      </c>
      <c r="I58" s="33">
        <f>(((VLOOKUP(B58,'Data qoq'!$A:$AT,MATCH($I$1,'Data qoq'!$A$1:$AT$1,),))/100+1)^4)-1</f>
        <v/>
      </c>
      <c r="J58" s="33">
        <f>(((VLOOKUP(B58,'Data qoq'!$A:$AT,MATCH($J$1,'Data qoq'!$A$1:$AT$1,),))/100+1)^4)-1</f>
        <v/>
      </c>
      <c r="K58" s="33">
        <f>(((VLOOKUP(B58,'Data qoq'!$A:$AT,MATCH($K$1,'Data qoq'!$A$1:$AT$1,),))/100+1)^4)-1</f>
        <v/>
      </c>
      <c r="L58" s="33">
        <f>(((VLOOKUP(B58,'Data qoq'!$A:$AT,MATCH($L$1,'Data qoq'!$A$1:$AT$1,),))/100+1)^4)-1</f>
        <v/>
      </c>
      <c r="M58" s="33">
        <f>(((VLOOKUP(B58,'Data qoq'!$A:$AT,MATCH($M$1,'Data qoq'!$A$1:$AT$1,),))/100+1)^4)-1</f>
        <v/>
      </c>
      <c r="N58" s="33">
        <f>(((VLOOKUP(B58,'Data qoq'!$A:$AT,MATCH($N$1,'Data qoq'!$A$1:$AT$1,),))/100+1)^4)-1</f>
        <v/>
      </c>
      <c r="O58" s="33">
        <f>(((VLOOKUP(B58,'Data qoq'!$A:$AT,MATCH($O$1,'Data qoq'!$A$1:$AT$1,),))/100+1)^4)-1</f>
        <v/>
      </c>
      <c r="P58" s="33">
        <f>(((VLOOKUP(B58,'Data qoq'!$A:$AT,MATCH($P$1,'Data qoq'!$A$1:$AT$1,),))/100+1)^4)-1</f>
        <v/>
      </c>
      <c r="Q58" s="33">
        <f>(((VLOOKUP(B58,'Data qoq'!$A:$AT,MATCH($Q$1,'Data qoq'!$A$1:$AT$1,),))/100+1)^4)-1</f>
        <v/>
      </c>
      <c r="R58" s="33">
        <f>(((VLOOKUP(B58,'Data qoq'!$A:$AT,MATCH($R$1,'Data qoq'!$A$1:$AT$1,),))/100+1)^4)-1</f>
        <v/>
      </c>
      <c r="S58" s="33">
        <f>(((VLOOKUP(B58,'Data qoq'!$A:$AT,MATCH($S$1,'Data qoq'!$A$1:$AT$1,),))/100+1)^4)-1</f>
        <v/>
      </c>
      <c r="T58" s="33">
        <f>(((VLOOKUP(B58,'Data qoq'!$A:$AT,MATCH($T$1,'Data qoq'!$A$1:$AT$1,),))/100+1)^4)-1</f>
        <v/>
      </c>
      <c r="U58" s="33">
        <f>(((VLOOKUP(B58,'Data qoq'!$A:$AT,MATCH($U$1,'Data qoq'!$A$1:$AT$1,),))/100+1)^4)-1</f>
        <v/>
      </c>
      <c r="V58" s="33">
        <f>(((VLOOKUP(B58,'Data qoq'!$A:$AT,MATCH($V$1,'Data qoq'!$A$1:$AT$1,),))/100+1)^4)-1</f>
        <v/>
      </c>
      <c r="W58" s="33">
        <f>(((VLOOKUP(B58,'Data qoq'!$A:$AT,MATCH($W$1,'Data qoq'!$A$1:$AT$1,),))/100+1)^4)-1</f>
        <v/>
      </c>
      <c r="X58" s="33">
        <f>(((VLOOKUP(B58,'Data qoq'!$A:$AT,MATCH($X$1,'Data qoq'!$A$1:$AT$1,),))/100+1)^4)-1</f>
        <v/>
      </c>
      <c r="Y58" s="33">
        <f>(((VLOOKUP(B58,'Data qoq'!$A:$AT,MATCH($Y$1,'Data qoq'!$A$1:$AT$1,),))/100+1)^4)-1</f>
        <v/>
      </c>
      <c r="Z58" s="33">
        <f>(((VLOOKUP(B58,'Data qoq'!$A:$AU,MATCH($Z$1,'Data qoq'!$A$1:$AU$1,),))/100+1)^4)-1</f>
        <v/>
      </c>
      <c r="AA58" s="33">
        <f>(((VLOOKUP(B58,'Data qoq'!$A:$AU,MATCH($AA$1,'Data qoq'!$A$1:$AU$1,),))/100+1)^4)-1</f>
        <v/>
      </c>
      <c r="AC58" s="27">
        <f>B58</f>
        <v/>
      </c>
      <c r="AD58" s="32">
        <f>(VLOOKUP(AC58,B:Y,MATCH($AE$6,$B$1:$Y$1,),))-(VLOOKUP(AC58,B:Y,MATCH($AE$7,$B$1:$Y$1,),))</f>
        <v/>
      </c>
      <c r="AE58" s="28" t="n"/>
    </row>
    <row r="59" hidden="1" s="89">
      <c r="A59" s="31" t="n">
        <v>40969</v>
      </c>
      <c r="B59" s="25" t="inlineStr">
        <is>
          <t>2012-Q1</t>
        </is>
      </c>
      <c r="C59" s="33">
        <f>(((VLOOKUP(B59,'Data qoq'!$A:$AT,MATCH($C$1,'Data qoq'!$A$1:$AT$1,),))/100+1)^4)-1</f>
        <v/>
      </c>
      <c r="D59" s="33">
        <f>(((VLOOKUP(B59,'Data qoq'!$A:$AT,MATCH($D$1,'Data qoq'!$A$1:$AT$1,),))/100+1)^4)-1</f>
        <v/>
      </c>
      <c r="E59" s="33">
        <f>(((VLOOKUP(B59,'Data qoq'!$A:$AT,MATCH($E$1,'Data qoq'!$A$1:$AT$1,),))/100+1)^4)-1</f>
        <v/>
      </c>
      <c r="F59" s="33">
        <f>(((VLOOKUP(B59,'Data qoq'!$A:$AT,MATCH($F$1,'Data qoq'!$A$1:$AT$1,),))/100+1)^4)-1</f>
        <v/>
      </c>
      <c r="G59" s="33">
        <f>(((VLOOKUP(B59,'Data qoq'!$A:$AT,MATCH($G$1,'Data qoq'!$A$1:$AT$1,),))/100+1)^4)-1</f>
        <v/>
      </c>
      <c r="H59" s="33">
        <f>(((VLOOKUP(B59,'Data qoq'!$A:$AT,MATCH($H$1,'Data qoq'!$A$1:$AT$1,),))/100+1)^4)-1</f>
        <v/>
      </c>
      <c r="I59" s="33">
        <f>(((VLOOKUP(B59,'Data qoq'!$A:$AT,MATCH($I$1,'Data qoq'!$A$1:$AT$1,),))/100+1)^4)-1</f>
        <v/>
      </c>
      <c r="J59" s="33">
        <f>(((VLOOKUP(B59,'Data qoq'!$A:$AT,MATCH($J$1,'Data qoq'!$A$1:$AT$1,),))/100+1)^4)-1</f>
        <v/>
      </c>
      <c r="K59" s="33">
        <f>(((VLOOKUP(B59,'Data qoq'!$A:$AT,MATCH($K$1,'Data qoq'!$A$1:$AT$1,),))/100+1)^4)-1</f>
        <v/>
      </c>
      <c r="L59" s="33">
        <f>(((VLOOKUP(B59,'Data qoq'!$A:$AT,MATCH($L$1,'Data qoq'!$A$1:$AT$1,),))/100+1)^4)-1</f>
        <v/>
      </c>
      <c r="M59" s="33">
        <f>(((VLOOKUP(B59,'Data qoq'!$A:$AT,MATCH($M$1,'Data qoq'!$A$1:$AT$1,),))/100+1)^4)-1</f>
        <v/>
      </c>
      <c r="N59" s="33">
        <f>(((VLOOKUP(B59,'Data qoq'!$A:$AT,MATCH($N$1,'Data qoq'!$A$1:$AT$1,),))/100+1)^4)-1</f>
        <v/>
      </c>
      <c r="O59" s="33">
        <f>(((VLOOKUP(B59,'Data qoq'!$A:$AT,MATCH($O$1,'Data qoq'!$A$1:$AT$1,),))/100+1)^4)-1</f>
        <v/>
      </c>
      <c r="P59" s="33">
        <f>(((VLOOKUP(B59,'Data qoq'!$A:$AT,MATCH($P$1,'Data qoq'!$A$1:$AT$1,),))/100+1)^4)-1</f>
        <v/>
      </c>
      <c r="Q59" s="33">
        <f>(((VLOOKUP(B59,'Data qoq'!$A:$AT,MATCH($Q$1,'Data qoq'!$A$1:$AT$1,),))/100+1)^4)-1</f>
        <v/>
      </c>
      <c r="R59" s="33">
        <f>(((VLOOKUP(B59,'Data qoq'!$A:$AT,MATCH($R$1,'Data qoq'!$A$1:$AT$1,),))/100+1)^4)-1</f>
        <v/>
      </c>
      <c r="S59" s="33">
        <f>(((VLOOKUP(B59,'Data qoq'!$A:$AT,MATCH($S$1,'Data qoq'!$A$1:$AT$1,),))/100+1)^4)-1</f>
        <v/>
      </c>
      <c r="T59" s="33">
        <f>(((VLOOKUP(B59,'Data qoq'!$A:$AT,MATCH($T$1,'Data qoq'!$A$1:$AT$1,),))/100+1)^4)-1</f>
        <v/>
      </c>
      <c r="U59" s="33">
        <f>(((VLOOKUP(B59,'Data qoq'!$A:$AT,MATCH($U$1,'Data qoq'!$A$1:$AT$1,),))/100+1)^4)-1</f>
        <v/>
      </c>
      <c r="V59" s="33">
        <f>(((VLOOKUP(B59,'Data qoq'!$A:$AT,MATCH($V$1,'Data qoq'!$A$1:$AT$1,),))/100+1)^4)-1</f>
        <v/>
      </c>
      <c r="W59" s="33">
        <f>(((VLOOKUP(B59,'Data qoq'!$A:$AT,MATCH($W$1,'Data qoq'!$A$1:$AT$1,),))/100+1)^4)-1</f>
        <v/>
      </c>
      <c r="X59" s="33">
        <f>(((VLOOKUP(B59,'Data qoq'!$A:$AT,MATCH($X$1,'Data qoq'!$A$1:$AT$1,),))/100+1)^4)-1</f>
        <v/>
      </c>
      <c r="Y59" s="33">
        <f>(((VLOOKUP(B59,'Data qoq'!$A:$AT,MATCH($Y$1,'Data qoq'!$A$1:$AT$1,),))/100+1)^4)-1</f>
        <v/>
      </c>
      <c r="Z59" s="33">
        <f>(((VLOOKUP(B59,'Data qoq'!$A:$AU,MATCH($Z$1,'Data qoq'!$A$1:$AU$1,),))/100+1)^4)-1</f>
        <v/>
      </c>
      <c r="AA59" s="33">
        <f>(((VLOOKUP(B59,'Data qoq'!$A:$AU,MATCH($AA$1,'Data qoq'!$A$1:$AU$1,),))/100+1)^4)-1</f>
        <v/>
      </c>
      <c r="AC59" s="27">
        <f>B59</f>
        <v/>
      </c>
      <c r="AD59" s="32">
        <f>(VLOOKUP(AC59,B:Y,MATCH($AE$6,$B$1:$Y$1,),))-(VLOOKUP(AC59,B:Y,MATCH($AE$7,$B$1:$Y$1,),))</f>
        <v/>
      </c>
      <c r="AE59" s="28" t="n"/>
    </row>
    <row r="60" hidden="1" s="89">
      <c r="A60" s="31" t="n">
        <v>41061</v>
      </c>
      <c r="B60" s="25" t="inlineStr">
        <is>
          <t>2012-Q2</t>
        </is>
      </c>
      <c r="C60" s="33">
        <f>(((VLOOKUP(B60,'Data qoq'!$A:$AT,MATCH($C$1,'Data qoq'!$A$1:$AT$1,),))/100+1)^4)-1</f>
        <v/>
      </c>
      <c r="D60" s="33">
        <f>(((VLOOKUP(B60,'Data qoq'!$A:$AT,MATCH($D$1,'Data qoq'!$A$1:$AT$1,),))/100+1)^4)-1</f>
        <v/>
      </c>
      <c r="E60" s="33">
        <f>(((VLOOKUP(B60,'Data qoq'!$A:$AT,MATCH($E$1,'Data qoq'!$A$1:$AT$1,),))/100+1)^4)-1</f>
        <v/>
      </c>
      <c r="F60" s="33">
        <f>(((VLOOKUP(B60,'Data qoq'!$A:$AT,MATCH($F$1,'Data qoq'!$A$1:$AT$1,),))/100+1)^4)-1</f>
        <v/>
      </c>
      <c r="G60" s="33">
        <f>(((VLOOKUP(B60,'Data qoq'!$A:$AT,MATCH($G$1,'Data qoq'!$A$1:$AT$1,),))/100+1)^4)-1</f>
        <v/>
      </c>
      <c r="H60" s="33">
        <f>(((VLOOKUP(B60,'Data qoq'!$A:$AT,MATCH($H$1,'Data qoq'!$A$1:$AT$1,),))/100+1)^4)-1</f>
        <v/>
      </c>
      <c r="I60" s="33">
        <f>(((VLOOKUP(B60,'Data qoq'!$A:$AT,MATCH($I$1,'Data qoq'!$A$1:$AT$1,),))/100+1)^4)-1</f>
        <v/>
      </c>
      <c r="J60" s="33">
        <f>(((VLOOKUP(B60,'Data qoq'!$A:$AT,MATCH($J$1,'Data qoq'!$A$1:$AT$1,),))/100+1)^4)-1</f>
        <v/>
      </c>
      <c r="K60" s="33">
        <f>(((VLOOKUP(B60,'Data qoq'!$A:$AT,MATCH($K$1,'Data qoq'!$A$1:$AT$1,),))/100+1)^4)-1</f>
        <v/>
      </c>
      <c r="L60" s="33">
        <f>(((VLOOKUP(B60,'Data qoq'!$A:$AT,MATCH($L$1,'Data qoq'!$A$1:$AT$1,),))/100+1)^4)-1</f>
        <v/>
      </c>
      <c r="M60" s="33">
        <f>(((VLOOKUP(B60,'Data qoq'!$A:$AT,MATCH($M$1,'Data qoq'!$A$1:$AT$1,),))/100+1)^4)-1</f>
        <v/>
      </c>
      <c r="N60" s="33">
        <f>(((VLOOKUP(B60,'Data qoq'!$A:$AT,MATCH($N$1,'Data qoq'!$A$1:$AT$1,),))/100+1)^4)-1</f>
        <v/>
      </c>
      <c r="O60" s="33">
        <f>(((VLOOKUP(B60,'Data qoq'!$A:$AT,MATCH($O$1,'Data qoq'!$A$1:$AT$1,),))/100+1)^4)-1</f>
        <v/>
      </c>
      <c r="P60" s="33">
        <f>(((VLOOKUP(B60,'Data qoq'!$A:$AT,MATCH($P$1,'Data qoq'!$A$1:$AT$1,),))/100+1)^4)-1</f>
        <v/>
      </c>
      <c r="Q60" s="33">
        <f>(((VLOOKUP(B60,'Data qoq'!$A:$AT,MATCH($Q$1,'Data qoq'!$A$1:$AT$1,),))/100+1)^4)-1</f>
        <v/>
      </c>
      <c r="R60" s="33">
        <f>(((VLOOKUP(B60,'Data qoq'!$A:$AT,MATCH($R$1,'Data qoq'!$A$1:$AT$1,),))/100+1)^4)-1</f>
        <v/>
      </c>
      <c r="S60" s="33">
        <f>(((VLOOKUP(B60,'Data qoq'!$A:$AT,MATCH($S$1,'Data qoq'!$A$1:$AT$1,),))/100+1)^4)-1</f>
        <v/>
      </c>
      <c r="T60" s="33">
        <f>(((VLOOKUP(B60,'Data qoq'!$A:$AT,MATCH($T$1,'Data qoq'!$A$1:$AT$1,),))/100+1)^4)-1</f>
        <v/>
      </c>
      <c r="U60" s="33">
        <f>(((VLOOKUP(B60,'Data qoq'!$A:$AT,MATCH($U$1,'Data qoq'!$A$1:$AT$1,),))/100+1)^4)-1</f>
        <v/>
      </c>
      <c r="V60" s="33">
        <f>(((VLOOKUP(B60,'Data qoq'!$A:$AT,MATCH($V$1,'Data qoq'!$A$1:$AT$1,),))/100+1)^4)-1</f>
        <v/>
      </c>
      <c r="W60" s="33">
        <f>(((VLOOKUP(B60,'Data qoq'!$A:$AT,MATCH($W$1,'Data qoq'!$A$1:$AT$1,),))/100+1)^4)-1</f>
        <v/>
      </c>
      <c r="X60" s="33">
        <f>(((VLOOKUP(B60,'Data qoq'!$A:$AT,MATCH($X$1,'Data qoq'!$A$1:$AT$1,),))/100+1)^4)-1</f>
        <v/>
      </c>
      <c r="Y60" s="33">
        <f>(((VLOOKUP(B60,'Data qoq'!$A:$AT,MATCH($Y$1,'Data qoq'!$A$1:$AT$1,),))/100+1)^4)-1</f>
        <v/>
      </c>
      <c r="Z60" s="33">
        <f>(((VLOOKUP(B60,'Data qoq'!$A:$AU,MATCH($Z$1,'Data qoq'!$A$1:$AU$1,),))/100+1)^4)-1</f>
        <v/>
      </c>
      <c r="AA60" s="33">
        <f>(((VLOOKUP(B60,'Data qoq'!$A:$AU,MATCH($AA$1,'Data qoq'!$A$1:$AU$1,),))/100+1)^4)-1</f>
        <v/>
      </c>
      <c r="AC60" s="27">
        <f>B60</f>
        <v/>
      </c>
      <c r="AD60" s="32">
        <f>(VLOOKUP(AC60,B:Y,MATCH($AE$6,$B$1:$Y$1,),))-(VLOOKUP(AC60,B:Y,MATCH($AE$7,$B$1:$Y$1,),))</f>
        <v/>
      </c>
      <c r="AE60" s="28" t="n"/>
    </row>
    <row r="61" hidden="1" s="89">
      <c r="A61" s="31" t="n">
        <v>41153</v>
      </c>
      <c r="B61" s="25" t="inlineStr">
        <is>
          <t>2012-Q3</t>
        </is>
      </c>
      <c r="C61" s="33">
        <f>(((VLOOKUP(B61,'Data qoq'!$A:$AT,MATCH($C$1,'Data qoq'!$A$1:$AT$1,),))/100+1)^4)-1</f>
        <v/>
      </c>
      <c r="D61" s="33">
        <f>(((VLOOKUP(B61,'Data qoq'!$A:$AT,MATCH($D$1,'Data qoq'!$A$1:$AT$1,),))/100+1)^4)-1</f>
        <v/>
      </c>
      <c r="E61" s="33">
        <f>(((VLOOKUP(B61,'Data qoq'!$A:$AT,MATCH($E$1,'Data qoq'!$A$1:$AT$1,),))/100+1)^4)-1</f>
        <v/>
      </c>
      <c r="F61" s="33">
        <f>(((VLOOKUP(B61,'Data qoq'!$A:$AT,MATCH($F$1,'Data qoq'!$A$1:$AT$1,),))/100+1)^4)-1</f>
        <v/>
      </c>
      <c r="G61" s="33">
        <f>(((VLOOKUP(B61,'Data qoq'!$A:$AT,MATCH($G$1,'Data qoq'!$A$1:$AT$1,),))/100+1)^4)-1</f>
        <v/>
      </c>
      <c r="H61" s="33">
        <f>(((VLOOKUP(B61,'Data qoq'!$A:$AT,MATCH($H$1,'Data qoq'!$A$1:$AT$1,),))/100+1)^4)-1</f>
        <v/>
      </c>
      <c r="I61" s="33">
        <f>(((VLOOKUP(B61,'Data qoq'!$A:$AT,MATCH($I$1,'Data qoq'!$A$1:$AT$1,),))/100+1)^4)-1</f>
        <v/>
      </c>
      <c r="J61" s="33">
        <f>(((VLOOKUP(B61,'Data qoq'!$A:$AT,MATCH($J$1,'Data qoq'!$A$1:$AT$1,),))/100+1)^4)-1</f>
        <v/>
      </c>
      <c r="K61" s="33">
        <f>(((VLOOKUP(B61,'Data qoq'!$A:$AT,MATCH($K$1,'Data qoq'!$A$1:$AT$1,),))/100+1)^4)-1</f>
        <v/>
      </c>
      <c r="L61" s="33">
        <f>(((VLOOKUP(B61,'Data qoq'!$A:$AT,MATCH($L$1,'Data qoq'!$A$1:$AT$1,),))/100+1)^4)-1</f>
        <v/>
      </c>
      <c r="M61" s="33">
        <f>(((VLOOKUP(B61,'Data qoq'!$A:$AT,MATCH($M$1,'Data qoq'!$A$1:$AT$1,),))/100+1)^4)-1</f>
        <v/>
      </c>
      <c r="N61" s="33">
        <f>(((VLOOKUP(B61,'Data qoq'!$A:$AT,MATCH($N$1,'Data qoq'!$A$1:$AT$1,),))/100+1)^4)-1</f>
        <v/>
      </c>
      <c r="O61" s="33">
        <f>(((VLOOKUP(B61,'Data qoq'!$A:$AT,MATCH($O$1,'Data qoq'!$A$1:$AT$1,),))/100+1)^4)-1</f>
        <v/>
      </c>
      <c r="P61" s="33">
        <f>(((VLOOKUP(B61,'Data qoq'!$A:$AT,MATCH($P$1,'Data qoq'!$A$1:$AT$1,),))/100+1)^4)-1</f>
        <v/>
      </c>
      <c r="Q61" s="33">
        <f>(((VLOOKUP(B61,'Data qoq'!$A:$AT,MATCH($Q$1,'Data qoq'!$A$1:$AT$1,),))/100+1)^4)-1</f>
        <v/>
      </c>
      <c r="R61" s="33">
        <f>(((VLOOKUP(B61,'Data qoq'!$A:$AT,MATCH($R$1,'Data qoq'!$A$1:$AT$1,),))/100+1)^4)-1</f>
        <v/>
      </c>
      <c r="S61" s="33">
        <f>(((VLOOKUP(B61,'Data qoq'!$A:$AT,MATCH($S$1,'Data qoq'!$A$1:$AT$1,),))/100+1)^4)-1</f>
        <v/>
      </c>
      <c r="T61" s="33">
        <f>(((VLOOKUP(B61,'Data qoq'!$A:$AT,MATCH($T$1,'Data qoq'!$A$1:$AT$1,),))/100+1)^4)-1</f>
        <v/>
      </c>
      <c r="U61" s="33">
        <f>(((VLOOKUP(B61,'Data qoq'!$A:$AT,MATCH($U$1,'Data qoq'!$A$1:$AT$1,),))/100+1)^4)-1</f>
        <v/>
      </c>
      <c r="V61" s="33">
        <f>(((VLOOKUP(B61,'Data qoq'!$A:$AT,MATCH($V$1,'Data qoq'!$A$1:$AT$1,),))/100+1)^4)-1</f>
        <v/>
      </c>
      <c r="W61" s="33">
        <f>(((VLOOKUP(B61,'Data qoq'!$A:$AT,MATCH($W$1,'Data qoq'!$A$1:$AT$1,),))/100+1)^4)-1</f>
        <v/>
      </c>
      <c r="X61" s="33">
        <f>(((VLOOKUP(B61,'Data qoq'!$A:$AT,MATCH($X$1,'Data qoq'!$A$1:$AT$1,),))/100+1)^4)-1</f>
        <v/>
      </c>
      <c r="Y61" s="33">
        <f>(((VLOOKUP(B61,'Data qoq'!$A:$AT,MATCH($Y$1,'Data qoq'!$A$1:$AT$1,),))/100+1)^4)-1</f>
        <v/>
      </c>
      <c r="Z61" s="33">
        <f>(((VLOOKUP(B61,'Data qoq'!$A:$AU,MATCH($Z$1,'Data qoq'!$A$1:$AU$1,),))/100+1)^4)-1</f>
        <v/>
      </c>
      <c r="AA61" s="33">
        <f>(((VLOOKUP(B61,'Data qoq'!$A:$AU,MATCH($AA$1,'Data qoq'!$A$1:$AU$1,),))/100+1)^4)-1</f>
        <v/>
      </c>
      <c r="AC61" s="27">
        <f>B61</f>
        <v/>
      </c>
      <c r="AD61" s="32">
        <f>(VLOOKUP(AC61,B:Y,MATCH($AE$6,$B$1:$Y$1,),))-(VLOOKUP(AC61,B:Y,MATCH($AE$7,$B$1:$Y$1,),))</f>
        <v/>
      </c>
      <c r="AE61" s="28" t="n"/>
    </row>
    <row r="62" hidden="1" s="89">
      <c r="A62" s="31" t="n">
        <v>41244</v>
      </c>
      <c r="B62" s="25" t="inlineStr">
        <is>
          <t>2012-Q4</t>
        </is>
      </c>
      <c r="C62" s="33">
        <f>(((VLOOKUP(B62,'Data qoq'!$A:$AT,MATCH($C$1,'Data qoq'!$A$1:$AT$1,),))/100+1)^4)-1</f>
        <v/>
      </c>
      <c r="D62" s="33">
        <f>(((VLOOKUP(B62,'Data qoq'!$A:$AT,MATCH($D$1,'Data qoq'!$A$1:$AT$1,),))/100+1)^4)-1</f>
        <v/>
      </c>
      <c r="E62" s="33">
        <f>(((VLOOKUP(B62,'Data qoq'!$A:$AT,MATCH($E$1,'Data qoq'!$A$1:$AT$1,),))/100+1)^4)-1</f>
        <v/>
      </c>
      <c r="F62" s="33">
        <f>(((VLOOKUP(B62,'Data qoq'!$A:$AT,MATCH($F$1,'Data qoq'!$A$1:$AT$1,),))/100+1)^4)-1</f>
        <v/>
      </c>
      <c r="G62" s="33">
        <f>(((VLOOKUP(B62,'Data qoq'!$A:$AT,MATCH($G$1,'Data qoq'!$A$1:$AT$1,),))/100+1)^4)-1</f>
        <v/>
      </c>
      <c r="H62" s="33">
        <f>(((VLOOKUP(B62,'Data qoq'!$A:$AT,MATCH($H$1,'Data qoq'!$A$1:$AT$1,),))/100+1)^4)-1</f>
        <v/>
      </c>
      <c r="I62" s="33">
        <f>(((VLOOKUP(B62,'Data qoq'!$A:$AT,MATCH($I$1,'Data qoq'!$A$1:$AT$1,),))/100+1)^4)-1</f>
        <v/>
      </c>
      <c r="J62" s="33">
        <f>(((VLOOKUP(B62,'Data qoq'!$A:$AT,MATCH($J$1,'Data qoq'!$A$1:$AT$1,),))/100+1)^4)-1</f>
        <v/>
      </c>
      <c r="K62" s="33">
        <f>(((VLOOKUP(B62,'Data qoq'!$A:$AT,MATCH($K$1,'Data qoq'!$A$1:$AT$1,),))/100+1)^4)-1</f>
        <v/>
      </c>
      <c r="L62" s="33">
        <f>(((VLOOKUP(B62,'Data qoq'!$A:$AT,MATCH($L$1,'Data qoq'!$A$1:$AT$1,),))/100+1)^4)-1</f>
        <v/>
      </c>
      <c r="M62" s="33">
        <f>(((VLOOKUP(B62,'Data qoq'!$A:$AT,MATCH($M$1,'Data qoq'!$A$1:$AT$1,),))/100+1)^4)-1</f>
        <v/>
      </c>
      <c r="N62" s="33">
        <f>(((VLOOKUP(B62,'Data qoq'!$A:$AT,MATCH($N$1,'Data qoq'!$A$1:$AT$1,),))/100+1)^4)-1</f>
        <v/>
      </c>
      <c r="O62" s="33">
        <f>(((VLOOKUP(B62,'Data qoq'!$A:$AT,MATCH($O$1,'Data qoq'!$A$1:$AT$1,),))/100+1)^4)-1</f>
        <v/>
      </c>
      <c r="P62" s="33">
        <f>(((VLOOKUP(B62,'Data qoq'!$A:$AT,MATCH($P$1,'Data qoq'!$A$1:$AT$1,),))/100+1)^4)-1</f>
        <v/>
      </c>
      <c r="Q62" s="33">
        <f>(((VLOOKUP(B62,'Data qoq'!$A:$AT,MATCH($Q$1,'Data qoq'!$A$1:$AT$1,),))/100+1)^4)-1</f>
        <v/>
      </c>
      <c r="R62" s="33">
        <f>(((VLOOKUP(B62,'Data qoq'!$A:$AT,MATCH($R$1,'Data qoq'!$A$1:$AT$1,),))/100+1)^4)-1</f>
        <v/>
      </c>
      <c r="S62" s="33">
        <f>(((VLOOKUP(B62,'Data qoq'!$A:$AT,MATCH($S$1,'Data qoq'!$A$1:$AT$1,),))/100+1)^4)-1</f>
        <v/>
      </c>
      <c r="T62" s="33">
        <f>(((VLOOKUP(B62,'Data qoq'!$A:$AT,MATCH($T$1,'Data qoq'!$A$1:$AT$1,),))/100+1)^4)-1</f>
        <v/>
      </c>
      <c r="U62" s="33">
        <f>(((VLOOKUP(B62,'Data qoq'!$A:$AT,MATCH($U$1,'Data qoq'!$A$1:$AT$1,),))/100+1)^4)-1</f>
        <v/>
      </c>
      <c r="V62" s="33">
        <f>(((VLOOKUP(B62,'Data qoq'!$A:$AT,MATCH($V$1,'Data qoq'!$A$1:$AT$1,),))/100+1)^4)-1</f>
        <v/>
      </c>
      <c r="W62" s="33">
        <f>(((VLOOKUP(B62,'Data qoq'!$A:$AT,MATCH($W$1,'Data qoq'!$A$1:$AT$1,),))/100+1)^4)-1</f>
        <v/>
      </c>
      <c r="X62" s="33">
        <f>(((VLOOKUP(B62,'Data qoq'!$A:$AT,MATCH($X$1,'Data qoq'!$A$1:$AT$1,),))/100+1)^4)-1</f>
        <v/>
      </c>
      <c r="Y62" s="33">
        <f>(((VLOOKUP(B62,'Data qoq'!$A:$AT,MATCH($Y$1,'Data qoq'!$A$1:$AT$1,),))/100+1)^4)-1</f>
        <v/>
      </c>
      <c r="Z62" s="33">
        <f>(((VLOOKUP(B62,'Data qoq'!$A:$AU,MATCH($Z$1,'Data qoq'!$A$1:$AU$1,),))/100+1)^4)-1</f>
        <v/>
      </c>
      <c r="AA62" s="33">
        <f>(((VLOOKUP(B62,'Data qoq'!$A:$AU,MATCH($AA$1,'Data qoq'!$A$1:$AU$1,),))/100+1)^4)-1</f>
        <v/>
      </c>
      <c r="AC62" s="27">
        <f>B62</f>
        <v/>
      </c>
      <c r="AD62" s="32">
        <f>(VLOOKUP(AC62,B:Y,MATCH($AE$6,$B$1:$Y$1,),))-(VLOOKUP(AC62,B:Y,MATCH($AE$7,$B$1:$Y$1,),))</f>
        <v/>
      </c>
      <c r="AE62" s="28" t="n"/>
    </row>
    <row r="63" hidden="1" s="89">
      <c r="A63" s="31" t="n">
        <v>41334</v>
      </c>
      <c r="B63" s="25" t="inlineStr">
        <is>
          <t>2013-Q1</t>
        </is>
      </c>
      <c r="C63" s="33">
        <f>(((VLOOKUP(B63,'Data qoq'!$A:$AT,MATCH($C$1,'Data qoq'!$A$1:$AT$1,),))/100+1)^4)-1</f>
        <v/>
      </c>
      <c r="D63" s="33">
        <f>(((VLOOKUP(B63,'Data qoq'!$A:$AT,MATCH($D$1,'Data qoq'!$A$1:$AT$1,),))/100+1)^4)-1</f>
        <v/>
      </c>
      <c r="E63" s="33">
        <f>(((VLOOKUP(B63,'Data qoq'!$A:$AT,MATCH($E$1,'Data qoq'!$A$1:$AT$1,),))/100+1)^4)-1</f>
        <v/>
      </c>
      <c r="F63" s="33">
        <f>(((VLOOKUP(B63,'Data qoq'!$A:$AT,MATCH($F$1,'Data qoq'!$A$1:$AT$1,),))/100+1)^4)-1</f>
        <v/>
      </c>
      <c r="G63" s="33">
        <f>(((VLOOKUP(B63,'Data qoq'!$A:$AT,MATCH($G$1,'Data qoq'!$A$1:$AT$1,),))/100+1)^4)-1</f>
        <v/>
      </c>
      <c r="H63" s="33">
        <f>(((VLOOKUP(B63,'Data qoq'!$A:$AT,MATCH($H$1,'Data qoq'!$A$1:$AT$1,),))/100+1)^4)-1</f>
        <v/>
      </c>
      <c r="I63" s="33">
        <f>(((VLOOKUP(B63,'Data qoq'!$A:$AT,MATCH($I$1,'Data qoq'!$A$1:$AT$1,),))/100+1)^4)-1</f>
        <v/>
      </c>
      <c r="J63" s="33">
        <f>(((VLOOKUP(B63,'Data qoq'!$A:$AT,MATCH($J$1,'Data qoq'!$A$1:$AT$1,),))/100+1)^4)-1</f>
        <v/>
      </c>
      <c r="K63" s="33">
        <f>(((VLOOKUP(B63,'Data qoq'!$A:$AT,MATCH($K$1,'Data qoq'!$A$1:$AT$1,),))/100+1)^4)-1</f>
        <v/>
      </c>
      <c r="L63" s="33">
        <f>(((VLOOKUP(B63,'Data qoq'!$A:$AT,MATCH($L$1,'Data qoq'!$A$1:$AT$1,),))/100+1)^4)-1</f>
        <v/>
      </c>
      <c r="M63" s="33">
        <f>(((VLOOKUP(B63,'Data qoq'!$A:$AT,MATCH($M$1,'Data qoq'!$A$1:$AT$1,),))/100+1)^4)-1</f>
        <v/>
      </c>
      <c r="N63" s="33">
        <f>(((VLOOKUP(B63,'Data qoq'!$A:$AT,MATCH($N$1,'Data qoq'!$A$1:$AT$1,),))/100+1)^4)-1</f>
        <v/>
      </c>
      <c r="O63" s="33">
        <f>(((VLOOKUP(B63,'Data qoq'!$A:$AT,MATCH($O$1,'Data qoq'!$A$1:$AT$1,),))/100+1)^4)-1</f>
        <v/>
      </c>
      <c r="P63" s="33">
        <f>(((VLOOKUP(B63,'Data qoq'!$A:$AT,MATCH($P$1,'Data qoq'!$A$1:$AT$1,),))/100+1)^4)-1</f>
        <v/>
      </c>
      <c r="Q63" s="33">
        <f>(((VLOOKUP(B63,'Data qoq'!$A:$AT,MATCH($Q$1,'Data qoq'!$A$1:$AT$1,),))/100+1)^4)-1</f>
        <v/>
      </c>
      <c r="R63" s="33">
        <f>(((VLOOKUP(B63,'Data qoq'!$A:$AT,MATCH($R$1,'Data qoq'!$A$1:$AT$1,),))/100+1)^4)-1</f>
        <v/>
      </c>
      <c r="S63" s="33">
        <f>(((VLOOKUP(B63,'Data qoq'!$A:$AT,MATCH($S$1,'Data qoq'!$A$1:$AT$1,),))/100+1)^4)-1</f>
        <v/>
      </c>
      <c r="T63" s="33">
        <f>(((VLOOKUP(B63,'Data qoq'!$A:$AT,MATCH($T$1,'Data qoq'!$A$1:$AT$1,),))/100+1)^4)-1</f>
        <v/>
      </c>
      <c r="U63" s="33">
        <f>(((VLOOKUP(B63,'Data qoq'!$A:$AT,MATCH($U$1,'Data qoq'!$A$1:$AT$1,),))/100+1)^4)-1</f>
        <v/>
      </c>
      <c r="V63" s="33">
        <f>(((VLOOKUP(B63,'Data qoq'!$A:$AT,MATCH($V$1,'Data qoq'!$A$1:$AT$1,),))/100+1)^4)-1</f>
        <v/>
      </c>
      <c r="W63" s="33">
        <f>(((VLOOKUP(B63,'Data qoq'!$A:$AT,MATCH($W$1,'Data qoq'!$A$1:$AT$1,),))/100+1)^4)-1</f>
        <v/>
      </c>
      <c r="X63" s="33">
        <f>(((VLOOKUP(B63,'Data qoq'!$A:$AT,MATCH($X$1,'Data qoq'!$A$1:$AT$1,),))/100+1)^4)-1</f>
        <v/>
      </c>
      <c r="Y63" s="33">
        <f>(((VLOOKUP(B63,'Data qoq'!$A:$AT,MATCH($Y$1,'Data qoq'!$A$1:$AT$1,),))/100+1)^4)-1</f>
        <v/>
      </c>
      <c r="Z63" s="33">
        <f>(((VLOOKUP(B63,'Data qoq'!$A:$AU,MATCH($Z$1,'Data qoq'!$A$1:$AU$1,),))/100+1)^4)-1</f>
        <v/>
      </c>
      <c r="AA63" s="33">
        <f>(((VLOOKUP(B63,'Data qoq'!$A:$AU,MATCH($AA$1,'Data qoq'!$A$1:$AU$1,),))/100+1)^4)-1</f>
        <v/>
      </c>
      <c r="AC63" s="27">
        <f>B63</f>
        <v/>
      </c>
      <c r="AD63" s="32">
        <f>(VLOOKUP(AC63,B:Y,MATCH($AE$6,$B$1:$Y$1,),))-(VLOOKUP(AC63,B:Y,MATCH($AE$7,$B$1:$Y$1,),))</f>
        <v/>
      </c>
      <c r="AE63" s="28" t="n"/>
    </row>
    <row r="64" hidden="1" s="89">
      <c r="A64" s="31" t="n">
        <v>41426</v>
      </c>
      <c r="B64" s="25" t="inlineStr">
        <is>
          <t>2013-Q2</t>
        </is>
      </c>
      <c r="C64" s="33">
        <f>(((VLOOKUP(B64,'Data qoq'!$A:$AT,MATCH($C$1,'Data qoq'!$A$1:$AT$1,),))/100+1)^4)-1</f>
        <v/>
      </c>
      <c r="D64" s="33">
        <f>(((VLOOKUP(B64,'Data qoq'!$A:$AT,MATCH($D$1,'Data qoq'!$A$1:$AT$1,),))/100+1)^4)-1</f>
        <v/>
      </c>
      <c r="E64" s="33">
        <f>(((VLOOKUP(B64,'Data qoq'!$A:$AT,MATCH($E$1,'Data qoq'!$A$1:$AT$1,),))/100+1)^4)-1</f>
        <v/>
      </c>
      <c r="F64" s="33">
        <f>(((VLOOKUP(B64,'Data qoq'!$A:$AT,MATCH($F$1,'Data qoq'!$A$1:$AT$1,),))/100+1)^4)-1</f>
        <v/>
      </c>
      <c r="G64" s="33">
        <f>(((VLOOKUP(B64,'Data qoq'!$A:$AT,MATCH($G$1,'Data qoq'!$A$1:$AT$1,),))/100+1)^4)-1</f>
        <v/>
      </c>
      <c r="H64" s="33">
        <f>(((VLOOKUP(B64,'Data qoq'!$A:$AT,MATCH($H$1,'Data qoq'!$A$1:$AT$1,),))/100+1)^4)-1</f>
        <v/>
      </c>
      <c r="I64" s="33">
        <f>(((VLOOKUP(B64,'Data qoq'!$A:$AT,MATCH($I$1,'Data qoq'!$A$1:$AT$1,),))/100+1)^4)-1</f>
        <v/>
      </c>
      <c r="J64" s="33">
        <f>(((VLOOKUP(B64,'Data qoq'!$A:$AT,MATCH($J$1,'Data qoq'!$A$1:$AT$1,),))/100+1)^4)-1</f>
        <v/>
      </c>
      <c r="K64" s="33">
        <f>(((VLOOKUP(B64,'Data qoq'!$A:$AT,MATCH($K$1,'Data qoq'!$A$1:$AT$1,),))/100+1)^4)-1</f>
        <v/>
      </c>
      <c r="L64" s="33">
        <f>(((VLOOKUP(B64,'Data qoq'!$A:$AT,MATCH($L$1,'Data qoq'!$A$1:$AT$1,),))/100+1)^4)-1</f>
        <v/>
      </c>
      <c r="M64" s="33">
        <f>(((VLOOKUP(B64,'Data qoq'!$A:$AT,MATCH($M$1,'Data qoq'!$A$1:$AT$1,),))/100+1)^4)-1</f>
        <v/>
      </c>
      <c r="N64" s="33">
        <f>(((VLOOKUP(B64,'Data qoq'!$A:$AT,MATCH($N$1,'Data qoq'!$A$1:$AT$1,),))/100+1)^4)-1</f>
        <v/>
      </c>
      <c r="O64" s="33">
        <f>(((VLOOKUP(B64,'Data qoq'!$A:$AT,MATCH($O$1,'Data qoq'!$A$1:$AT$1,),))/100+1)^4)-1</f>
        <v/>
      </c>
      <c r="P64" s="33">
        <f>(((VLOOKUP(B64,'Data qoq'!$A:$AT,MATCH($P$1,'Data qoq'!$A$1:$AT$1,),))/100+1)^4)-1</f>
        <v/>
      </c>
      <c r="Q64" s="33">
        <f>(((VLOOKUP(B64,'Data qoq'!$A:$AT,MATCH($Q$1,'Data qoq'!$A$1:$AT$1,),))/100+1)^4)-1</f>
        <v/>
      </c>
      <c r="R64" s="33">
        <f>(((VLOOKUP(B64,'Data qoq'!$A:$AT,MATCH($R$1,'Data qoq'!$A$1:$AT$1,),))/100+1)^4)-1</f>
        <v/>
      </c>
      <c r="S64" s="33">
        <f>(((VLOOKUP(B64,'Data qoq'!$A:$AT,MATCH($S$1,'Data qoq'!$A$1:$AT$1,),))/100+1)^4)-1</f>
        <v/>
      </c>
      <c r="T64" s="33">
        <f>(((VLOOKUP(B64,'Data qoq'!$A:$AT,MATCH($T$1,'Data qoq'!$A$1:$AT$1,),))/100+1)^4)-1</f>
        <v/>
      </c>
      <c r="U64" s="33">
        <f>(((VLOOKUP(B64,'Data qoq'!$A:$AT,MATCH($U$1,'Data qoq'!$A$1:$AT$1,),))/100+1)^4)-1</f>
        <v/>
      </c>
      <c r="V64" s="33">
        <f>(((VLOOKUP(B64,'Data qoq'!$A:$AT,MATCH($V$1,'Data qoq'!$A$1:$AT$1,),))/100+1)^4)-1</f>
        <v/>
      </c>
      <c r="W64" s="33">
        <f>(((VLOOKUP(B64,'Data qoq'!$A:$AT,MATCH($W$1,'Data qoq'!$A$1:$AT$1,),))/100+1)^4)-1</f>
        <v/>
      </c>
      <c r="X64" s="33">
        <f>(((VLOOKUP(B64,'Data qoq'!$A:$AT,MATCH($X$1,'Data qoq'!$A$1:$AT$1,),))/100+1)^4)-1</f>
        <v/>
      </c>
      <c r="Y64" s="33">
        <f>(((VLOOKUP(B64,'Data qoq'!$A:$AT,MATCH($Y$1,'Data qoq'!$A$1:$AT$1,),))/100+1)^4)-1</f>
        <v/>
      </c>
      <c r="Z64" s="33">
        <f>(((VLOOKUP(B64,'Data qoq'!$A:$AU,MATCH($Z$1,'Data qoq'!$A$1:$AU$1,),))/100+1)^4)-1</f>
        <v/>
      </c>
      <c r="AA64" s="33">
        <f>(((VLOOKUP(B64,'Data qoq'!$A:$AU,MATCH($AA$1,'Data qoq'!$A$1:$AU$1,),))/100+1)^4)-1</f>
        <v/>
      </c>
      <c r="AC64" s="27">
        <f>B64</f>
        <v/>
      </c>
      <c r="AD64" s="32">
        <f>(VLOOKUP(AC64,B:Y,MATCH($AE$6,$B$1:$Y$1,),))-(VLOOKUP(AC64,B:Y,MATCH($AE$7,$B$1:$Y$1,),))</f>
        <v/>
      </c>
      <c r="AE64" s="28" t="n"/>
    </row>
    <row r="65" hidden="1" s="89">
      <c r="A65" s="31" t="n">
        <v>41518</v>
      </c>
      <c r="B65" s="25" t="inlineStr">
        <is>
          <t>2013-Q3</t>
        </is>
      </c>
      <c r="C65" s="33">
        <f>(((VLOOKUP(B65,'Data qoq'!$A:$AT,MATCH($C$1,'Data qoq'!$A$1:$AT$1,),))/100+1)^4)-1</f>
        <v/>
      </c>
      <c r="D65" s="33">
        <f>(((VLOOKUP(B65,'Data qoq'!$A:$AT,MATCH($D$1,'Data qoq'!$A$1:$AT$1,),))/100+1)^4)-1</f>
        <v/>
      </c>
      <c r="E65" s="33">
        <f>(((VLOOKUP(B65,'Data qoq'!$A:$AT,MATCH($E$1,'Data qoq'!$A$1:$AT$1,),))/100+1)^4)-1</f>
        <v/>
      </c>
      <c r="F65" s="33">
        <f>(((VLOOKUP(B65,'Data qoq'!$A:$AT,MATCH($F$1,'Data qoq'!$A$1:$AT$1,),))/100+1)^4)-1</f>
        <v/>
      </c>
      <c r="G65" s="33">
        <f>(((VLOOKUP(B65,'Data qoq'!$A:$AT,MATCH($G$1,'Data qoq'!$A$1:$AT$1,),))/100+1)^4)-1</f>
        <v/>
      </c>
      <c r="H65" s="33">
        <f>(((VLOOKUP(B65,'Data qoq'!$A:$AT,MATCH($H$1,'Data qoq'!$A$1:$AT$1,),))/100+1)^4)-1</f>
        <v/>
      </c>
      <c r="I65" s="33">
        <f>(((VLOOKUP(B65,'Data qoq'!$A:$AT,MATCH($I$1,'Data qoq'!$A$1:$AT$1,),))/100+1)^4)-1</f>
        <v/>
      </c>
      <c r="J65" s="33">
        <f>(((VLOOKUP(B65,'Data qoq'!$A:$AT,MATCH($J$1,'Data qoq'!$A$1:$AT$1,),))/100+1)^4)-1</f>
        <v/>
      </c>
      <c r="K65" s="33">
        <f>(((VLOOKUP(B65,'Data qoq'!$A:$AT,MATCH($K$1,'Data qoq'!$A$1:$AT$1,),))/100+1)^4)-1</f>
        <v/>
      </c>
      <c r="L65" s="33">
        <f>(((VLOOKUP(B65,'Data qoq'!$A:$AT,MATCH($L$1,'Data qoq'!$A$1:$AT$1,),))/100+1)^4)-1</f>
        <v/>
      </c>
      <c r="M65" s="33">
        <f>(((VLOOKUP(B65,'Data qoq'!$A:$AT,MATCH($M$1,'Data qoq'!$A$1:$AT$1,),))/100+1)^4)-1</f>
        <v/>
      </c>
      <c r="N65" s="33">
        <f>(((VLOOKUP(B65,'Data qoq'!$A:$AT,MATCH($N$1,'Data qoq'!$A$1:$AT$1,),))/100+1)^4)-1</f>
        <v/>
      </c>
      <c r="O65" s="33">
        <f>(((VLOOKUP(B65,'Data qoq'!$A:$AT,MATCH($O$1,'Data qoq'!$A$1:$AT$1,),))/100+1)^4)-1</f>
        <v/>
      </c>
      <c r="P65" s="33">
        <f>(((VLOOKUP(B65,'Data qoq'!$A:$AT,MATCH($P$1,'Data qoq'!$A$1:$AT$1,),))/100+1)^4)-1</f>
        <v/>
      </c>
      <c r="Q65" s="33">
        <f>(((VLOOKUP(B65,'Data qoq'!$A:$AT,MATCH($Q$1,'Data qoq'!$A$1:$AT$1,),))/100+1)^4)-1</f>
        <v/>
      </c>
      <c r="R65" s="33">
        <f>(((VLOOKUP(B65,'Data qoq'!$A:$AT,MATCH($R$1,'Data qoq'!$A$1:$AT$1,),))/100+1)^4)-1</f>
        <v/>
      </c>
      <c r="S65" s="33">
        <f>(((VLOOKUP(B65,'Data qoq'!$A:$AT,MATCH($S$1,'Data qoq'!$A$1:$AT$1,),))/100+1)^4)-1</f>
        <v/>
      </c>
      <c r="T65" s="33">
        <f>(((VLOOKUP(B65,'Data qoq'!$A:$AT,MATCH($T$1,'Data qoq'!$A$1:$AT$1,),))/100+1)^4)-1</f>
        <v/>
      </c>
      <c r="U65" s="33">
        <f>(((VLOOKUP(B65,'Data qoq'!$A:$AT,MATCH($U$1,'Data qoq'!$A$1:$AT$1,),))/100+1)^4)-1</f>
        <v/>
      </c>
      <c r="V65" s="33">
        <f>(((VLOOKUP(B65,'Data qoq'!$A:$AT,MATCH($V$1,'Data qoq'!$A$1:$AT$1,),))/100+1)^4)-1</f>
        <v/>
      </c>
      <c r="W65" s="33">
        <f>(((VLOOKUP(B65,'Data qoq'!$A:$AT,MATCH($W$1,'Data qoq'!$A$1:$AT$1,),))/100+1)^4)-1</f>
        <v/>
      </c>
      <c r="X65" s="33">
        <f>(((VLOOKUP(B65,'Data qoq'!$A:$AT,MATCH($X$1,'Data qoq'!$A$1:$AT$1,),))/100+1)^4)-1</f>
        <v/>
      </c>
      <c r="Y65" s="33">
        <f>(((VLOOKUP(B65,'Data qoq'!$A:$AT,MATCH($Y$1,'Data qoq'!$A$1:$AT$1,),))/100+1)^4)-1</f>
        <v/>
      </c>
      <c r="Z65" s="33">
        <f>(((VLOOKUP(B65,'Data qoq'!$A:$AU,MATCH($Z$1,'Data qoq'!$A$1:$AU$1,),))/100+1)^4)-1</f>
        <v/>
      </c>
      <c r="AA65" s="33">
        <f>(((VLOOKUP(B65,'Data qoq'!$A:$AU,MATCH($AA$1,'Data qoq'!$A$1:$AU$1,),))/100+1)^4)-1</f>
        <v/>
      </c>
      <c r="AC65" s="27">
        <f>B65</f>
        <v/>
      </c>
      <c r="AD65" s="32">
        <f>(VLOOKUP(AC65,B:Y,MATCH($AE$6,$B$1:$Y$1,),))-(VLOOKUP(AC65,B:Y,MATCH($AE$7,$B$1:$Y$1,),))</f>
        <v/>
      </c>
      <c r="AE65" s="28" t="n"/>
    </row>
    <row r="66" hidden="1" s="89">
      <c r="A66" s="31" t="n">
        <v>41609</v>
      </c>
      <c r="B66" s="25" t="inlineStr">
        <is>
          <t>2013-Q4</t>
        </is>
      </c>
      <c r="C66" s="33">
        <f>(((VLOOKUP(B66,'Data qoq'!$A:$AT,MATCH($C$1,'Data qoq'!$A$1:$AT$1,),))/100+1)^4)-1</f>
        <v/>
      </c>
      <c r="D66" s="33">
        <f>(((VLOOKUP(B66,'Data qoq'!$A:$AT,MATCH($D$1,'Data qoq'!$A$1:$AT$1,),))/100+1)^4)-1</f>
        <v/>
      </c>
      <c r="E66" s="33">
        <f>(((VLOOKUP(B66,'Data qoq'!$A:$AT,MATCH($E$1,'Data qoq'!$A$1:$AT$1,),))/100+1)^4)-1</f>
        <v/>
      </c>
      <c r="F66" s="33">
        <f>(((VLOOKUP(B66,'Data qoq'!$A:$AT,MATCH($F$1,'Data qoq'!$A$1:$AT$1,),))/100+1)^4)-1</f>
        <v/>
      </c>
      <c r="G66" s="33">
        <f>(((VLOOKUP(B66,'Data qoq'!$A:$AT,MATCH($G$1,'Data qoq'!$A$1:$AT$1,),))/100+1)^4)-1</f>
        <v/>
      </c>
      <c r="H66" s="33">
        <f>(((VLOOKUP(B66,'Data qoq'!$A:$AT,MATCH($H$1,'Data qoq'!$A$1:$AT$1,),))/100+1)^4)-1</f>
        <v/>
      </c>
      <c r="I66" s="33">
        <f>(((VLOOKUP(B66,'Data qoq'!$A:$AT,MATCH($I$1,'Data qoq'!$A$1:$AT$1,),))/100+1)^4)-1</f>
        <v/>
      </c>
      <c r="J66" s="33">
        <f>(((VLOOKUP(B66,'Data qoq'!$A:$AT,MATCH($J$1,'Data qoq'!$A$1:$AT$1,),))/100+1)^4)-1</f>
        <v/>
      </c>
      <c r="K66" s="33">
        <f>(((VLOOKUP(B66,'Data qoq'!$A:$AT,MATCH($K$1,'Data qoq'!$A$1:$AT$1,),))/100+1)^4)-1</f>
        <v/>
      </c>
      <c r="L66" s="33">
        <f>(((VLOOKUP(B66,'Data qoq'!$A:$AT,MATCH($L$1,'Data qoq'!$A$1:$AT$1,),))/100+1)^4)-1</f>
        <v/>
      </c>
      <c r="M66" s="33">
        <f>(((VLOOKUP(B66,'Data qoq'!$A:$AT,MATCH($M$1,'Data qoq'!$A$1:$AT$1,),))/100+1)^4)-1</f>
        <v/>
      </c>
      <c r="N66" s="33">
        <f>(((VLOOKUP(B66,'Data qoq'!$A:$AT,MATCH($N$1,'Data qoq'!$A$1:$AT$1,),))/100+1)^4)-1</f>
        <v/>
      </c>
      <c r="O66" s="33">
        <f>(((VLOOKUP(B66,'Data qoq'!$A:$AT,MATCH($O$1,'Data qoq'!$A$1:$AT$1,),))/100+1)^4)-1</f>
        <v/>
      </c>
      <c r="P66" s="33">
        <f>(((VLOOKUP(B66,'Data qoq'!$A:$AT,MATCH($P$1,'Data qoq'!$A$1:$AT$1,),))/100+1)^4)-1</f>
        <v/>
      </c>
      <c r="Q66" s="33">
        <f>(((VLOOKUP(B66,'Data qoq'!$A:$AT,MATCH($Q$1,'Data qoq'!$A$1:$AT$1,),))/100+1)^4)-1</f>
        <v/>
      </c>
      <c r="R66" s="33">
        <f>(((VLOOKUP(B66,'Data qoq'!$A:$AT,MATCH($R$1,'Data qoq'!$A$1:$AT$1,),))/100+1)^4)-1</f>
        <v/>
      </c>
      <c r="S66" s="33">
        <f>(((VLOOKUP(B66,'Data qoq'!$A:$AT,MATCH($S$1,'Data qoq'!$A$1:$AT$1,),))/100+1)^4)-1</f>
        <v/>
      </c>
      <c r="T66" s="33">
        <f>(((VLOOKUP(B66,'Data qoq'!$A:$AT,MATCH($T$1,'Data qoq'!$A$1:$AT$1,),))/100+1)^4)-1</f>
        <v/>
      </c>
      <c r="U66" s="33">
        <f>(((VLOOKUP(B66,'Data qoq'!$A:$AT,MATCH($U$1,'Data qoq'!$A$1:$AT$1,),))/100+1)^4)-1</f>
        <v/>
      </c>
      <c r="V66" s="33">
        <f>(((VLOOKUP(B66,'Data qoq'!$A:$AT,MATCH($V$1,'Data qoq'!$A$1:$AT$1,),))/100+1)^4)-1</f>
        <v/>
      </c>
      <c r="W66" s="33">
        <f>(((VLOOKUP(B66,'Data qoq'!$A:$AT,MATCH($W$1,'Data qoq'!$A$1:$AT$1,),))/100+1)^4)-1</f>
        <v/>
      </c>
      <c r="X66" s="33">
        <f>(((VLOOKUP(B66,'Data qoq'!$A:$AT,MATCH($X$1,'Data qoq'!$A$1:$AT$1,),))/100+1)^4)-1</f>
        <v/>
      </c>
      <c r="Y66" s="33">
        <f>(((VLOOKUP(B66,'Data qoq'!$A:$AT,MATCH($Y$1,'Data qoq'!$A$1:$AT$1,),))/100+1)^4)-1</f>
        <v/>
      </c>
      <c r="Z66" s="33">
        <f>(((VLOOKUP(B66,'Data qoq'!$A:$AU,MATCH($Z$1,'Data qoq'!$A$1:$AU$1,),))/100+1)^4)-1</f>
        <v/>
      </c>
      <c r="AA66" s="33">
        <f>(((VLOOKUP(B66,'Data qoq'!$A:$AU,MATCH($AA$1,'Data qoq'!$A$1:$AU$1,),))/100+1)^4)-1</f>
        <v/>
      </c>
      <c r="AC66" s="27">
        <f>B66</f>
        <v/>
      </c>
      <c r="AD66" s="32">
        <f>(VLOOKUP(AC66,B:Y,MATCH($AE$6,$B$1:$Y$1,),))-(VLOOKUP(AC66,B:Y,MATCH($AE$7,$B$1:$Y$1,),))</f>
        <v/>
      </c>
      <c r="AE66" s="28" t="n"/>
    </row>
    <row r="67" hidden="1" s="89">
      <c r="A67" s="31" t="n">
        <v>41699</v>
      </c>
      <c r="B67" s="25" t="inlineStr">
        <is>
          <t>2014-Q1</t>
        </is>
      </c>
      <c r="C67" s="33">
        <f>(((VLOOKUP(B67,'Data qoq'!$A:$AT,MATCH($C$1,'Data qoq'!$A$1:$AT$1,),))/100+1)^4)-1</f>
        <v/>
      </c>
      <c r="D67" s="33">
        <f>(((VLOOKUP(B67,'Data qoq'!$A:$AT,MATCH($D$1,'Data qoq'!$A$1:$AT$1,),))/100+1)^4)-1</f>
        <v/>
      </c>
      <c r="E67" s="33">
        <f>(((VLOOKUP(B67,'Data qoq'!$A:$AT,MATCH($E$1,'Data qoq'!$A$1:$AT$1,),))/100+1)^4)-1</f>
        <v/>
      </c>
      <c r="F67" s="33">
        <f>(((VLOOKUP(B67,'Data qoq'!$A:$AT,MATCH($F$1,'Data qoq'!$A$1:$AT$1,),))/100+1)^4)-1</f>
        <v/>
      </c>
      <c r="G67" s="33">
        <f>(((VLOOKUP(B67,'Data qoq'!$A:$AT,MATCH($G$1,'Data qoq'!$A$1:$AT$1,),))/100+1)^4)-1</f>
        <v/>
      </c>
      <c r="H67" s="33">
        <f>(((VLOOKUP(B67,'Data qoq'!$A:$AT,MATCH($H$1,'Data qoq'!$A$1:$AT$1,),))/100+1)^4)-1</f>
        <v/>
      </c>
      <c r="I67" s="33">
        <f>(((VLOOKUP(B67,'Data qoq'!$A:$AT,MATCH($I$1,'Data qoq'!$A$1:$AT$1,),))/100+1)^4)-1</f>
        <v/>
      </c>
      <c r="J67" s="33">
        <f>(((VLOOKUP(B67,'Data qoq'!$A:$AT,MATCH($J$1,'Data qoq'!$A$1:$AT$1,),))/100+1)^4)-1</f>
        <v/>
      </c>
      <c r="K67" s="33">
        <f>(((VLOOKUP(B67,'Data qoq'!$A:$AT,MATCH($K$1,'Data qoq'!$A$1:$AT$1,),))/100+1)^4)-1</f>
        <v/>
      </c>
      <c r="L67" s="33">
        <f>(((VLOOKUP(B67,'Data qoq'!$A:$AT,MATCH($L$1,'Data qoq'!$A$1:$AT$1,),))/100+1)^4)-1</f>
        <v/>
      </c>
      <c r="M67" s="33">
        <f>(((VLOOKUP(B67,'Data qoq'!$A:$AT,MATCH($M$1,'Data qoq'!$A$1:$AT$1,),))/100+1)^4)-1</f>
        <v/>
      </c>
      <c r="N67" s="33">
        <f>(((VLOOKUP(B67,'Data qoq'!$A:$AT,MATCH($N$1,'Data qoq'!$A$1:$AT$1,),))/100+1)^4)-1</f>
        <v/>
      </c>
      <c r="O67" s="33">
        <f>(((VLOOKUP(B67,'Data qoq'!$A:$AT,MATCH($O$1,'Data qoq'!$A$1:$AT$1,),))/100+1)^4)-1</f>
        <v/>
      </c>
      <c r="P67" s="33">
        <f>(((VLOOKUP(B67,'Data qoq'!$A:$AT,MATCH($P$1,'Data qoq'!$A$1:$AT$1,),))/100+1)^4)-1</f>
        <v/>
      </c>
      <c r="Q67" s="33">
        <f>(((VLOOKUP(B67,'Data qoq'!$A:$AT,MATCH($Q$1,'Data qoq'!$A$1:$AT$1,),))/100+1)^4)-1</f>
        <v/>
      </c>
      <c r="R67" s="33">
        <f>(((VLOOKUP(B67,'Data qoq'!$A:$AT,MATCH($R$1,'Data qoq'!$A$1:$AT$1,),))/100+1)^4)-1</f>
        <v/>
      </c>
      <c r="S67" s="33">
        <f>(((VLOOKUP(B67,'Data qoq'!$A:$AT,MATCH($S$1,'Data qoq'!$A$1:$AT$1,),))/100+1)^4)-1</f>
        <v/>
      </c>
      <c r="T67" s="33">
        <f>(((VLOOKUP(B67,'Data qoq'!$A:$AT,MATCH($T$1,'Data qoq'!$A$1:$AT$1,),))/100+1)^4)-1</f>
        <v/>
      </c>
      <c r="U67" s="33">
        <f>(((VLOOKUP(B67,'Data qoq'!$A:$AT,MATCH($U$1,'Data qoq'!$A$1:$AT$1,),))/100+1)^4)-1</f>
        <v/>
      </c>
      <c r="V67" s="33">
        <f>(((VLOOKUP(B67,'Data qoq'!$A:$AT,MATCH($V$1,'Data qoq'!$A$1:$AT$1,),))/100+1)^4)-1</f>
        <v/>
      </c>
      <c r="W67" s="33">
        <f>(((VLOOKUP(B67,'Data qoq'!$A:$AT,MATCH($W$1,'Data qoq'!$A$1:$AT$1,),))/100+1)^4)-1</f>
        <v/>
      </c>
      <c r="X67" s="33">
        <f>(((VLOOKUP(B67,'Data qoq'!$A:$AT,MATCH($X$1,'Data qoq'!$A$1:$AT$1,),))/100+1)^4)-1</f>
        <v/>
      </c>
      <c r="Y67" s="33">
        <f>(((VLOOKUP(B67,'Data qoq'!$A:$AT,MATCH($Y$1,'Data qoq'!$A$1:$AT$1,),))/100+1)^4)-1</f>
        <v/>
      </c>
      <c r="Z67" s="33">
        <f>(((VLOOKUP(B67,'Data qoq'!$A:$AU,MATCH($Z$1,'Data qoq'!$A$1:$AU$1,),))/100+1)^4)-1</f>
        <v/>
      </c>
      <c r="AA67" s="33">
        <f>(((VLOOKUP(B67,'Data qoq'!$A:$AU,MATCH($AA$1,'Data qoq'!$A$1:$AU$1,),))/100+1)^4)-1</f>
        <v/>
      </c>
      <c r="AC67" s="27">
        <f>B67</f>
        <v/>
      </c>
      <c r="AD67" s="32">
        <f>(VLOOKUP(AC67,B:Y,MATCH($AE$6,$B$1:$Y$1,),))-(VLOOKUP(AC67,B:Y,MATCH($AE$7,$B$1:$Y$1,),))</f>
        <v/>
      </c>
      <c r="AE67" s="28" t="n"/>
    </row>
    <row r="68" hidden="1" s="89">
      <c r="A68" s="31" t="n">
        <v>41791</v>
      </c>
      <c r="B68" s="25" t="inlineStr">
        <is>
          <t>2014-Q2</t>
        </is>
      </c>
      <c r="C68" s="33">
        <f>(((VLOOKUP(B68,'Data qoq'!$A:$AT,MATCH($C$1,'Data qoq'!$A$1:$AT$1,),))/100+1)^4)-1</f>
        <v/>
      </c>
      <c r="D68" s="33">
        <f>(((VLOOKUP(B68,'Data qoq'!$A:$AT,MATCH($D$1,'Data qoq'!$A$1:$AT$1,),))/100+1)^4)-1</f>
        <v/>
      </c>
      <c r="E68" s="33">
        <f>(((VLOOKUP(B68,'Data qoq'!$A:$AT,MATCH($E$1,'Data qoq'!$A$1:$AT$1,),))/100+1)^4)-1</f>
        <v/>
      </c>
      <c r="F68" s="33">
        <f>(((VLOOKUP(B68,'Data qoq'!$A:$AT,MATCH($F$1,'Data qoq'!$A$1:$AT$1,),))/100+1)^4)-1</f>
        <v/>
      </c>
      <c r="G68" s="33">
        <f>(((VLOOKUP(B68,'Data qoq'!$A:$AT,MATCH($G$1,'Data qoq'!$A$1:$AT$1,),))/100+1)^4)-1</f>
        <v/>
      </c>
      <c r="H68" s="33">
        <f>(((VLOOKUP(B68,'Data qoq'!$A:$AT,MATCH($H$1,'Data qoq'!$A$1:$AT$1,),))/100+1)^4)-1</f>
        <v/>
      </c>
      <c r="I68" s="33">
        <f>(((VLOOKUP(B68,'Data qoq'!$A:$AT,MATCH($I$1,'Data qoq'!$A$1:$AT$1,),))/100+1)^4)-1</f>
        <v/>
      </c>
      <c r="J68" s="33">
        <f>(((VLOOKUP(B68,'Data qoq'!$A:$AT,MATCH($J$1,'Data qoq'!$A$1:$AT$1,),))/100+1)^4)-1</f>
        <v/>
      </c>
      <c r="K68" s="33">
        <f>(((VLOOKUP(B68,'Data qoq'!$A:$AT,MATCH($K$1,'Data qoq'!$A$1:$AT$1,),))/100+1)^4)-1</f>
        <v/>
      </c>
      <c r="L68" s="33">
        <f>(((VLOOKUP(B68,'Data qoq'!$A:$AT,MATCH($L$1,'Data qoq'!$A$1:$AT$1,),))/100+1)^4)-1</f>
        <v/>
      </c>
      <c r="M68" s="33">
        <f>(((VLOOKUP(B68,'Data qoq'!$A:$AT,MATCH($M$1,'Data qoq'!$A$1:$AT$1,),))/100+1)^4)-1</f>
        <v/>
      </c>
      <c r="N68" s="33">
        <f>(((VLOOKUP(B68,'Data qoq'!$A:$AT,MATCH($N$1,'Data qoq'!$A$1:$AT$1,),))/100+1)^4)-1</f>
        <v/>
      </c>
      <c r="O68" s="33">
        <f>(((VLOOKUP(B68,'Data qoq'!$A:$AT,MATCH($O$1,'Data qoq'!$A$1:$AT$1,),))/100+1)^4)-1</f>
        <v/>
      </c>
      <c r="P68" s="33">
        <f>(((VLOOKUP(B68,'Data qoq'!$A:$AT,MATCH($P$1,'Data qoq'!$A$1:$AT$1,),))/100+1)^4)-1</f>
        <v/>
      </c>
      <c r="Q68" s="33">
        <f>(((VLOOKUP(B68,'Data qoq'!$A:$AT,MATCH($Q$1,'Data qoq'!$A$1:$AT$1,),))/100+1)^4)-1</f>
        <v/>
      </c>
      <c r="R68" s="33">
        <f>(((VLOOKUP(B68,'Data qoq'!$A:$AT,MATCH($R$1,'Data qoq'!$A$1:$AT$1,),))/100+1)^4)-1</f>
        <v/>
      </c>
      <c r="S68" s="33">
        <f>(((VLOOKUP(B68,'Data qoq'!$A:$AT,MATCH($S$1,'Data qoq'!$A$1:$AT$1,),))/100+1)^4)-1</f>
        <v/>
      </c>
      <c r="T68" s="33">
        <f>(((VLOOKUP(B68,'Data qoq'!$A:$AT,MATCH($T$1,'Data qoq'!$A$1:$AT$1,),))/100+1)^4)-1</f>
        <v/>
      </c>
      <c r="U68" s="33">
        <f>(((VLOOKUP(B68,'Data qoq'!$A:$AT,MATCH($U$1,'Data qoq'!$A$1:$AT$1,),))/100+1)^4)-1</f>
        <v/>
      </c>
      <c r="V68" s="33">
        <f>(((VLOOKUP(B68,'Data qoq'!$A:$AT,MATCH($V$1,'Data qoq'!$A$1:$AT$1,),))/100+1)^4)-1</f>
        <v/>
      </c>
      <c r="W68" s="33">
        <f>(((VLOOKUP(B68,'Data qoq'!$A:$AT,MATCH($W$1,'Data qoq'!$A$1:$AT$1,),))/100+1)^4)-1</f>
        <v/>
      </c>
      <c r="X68" s="33">
        <f>(((VLOOKUP(B68,'Data qoq'!$A:$AT,MATCH($X$1,'Data qoq'!$A$1:$AT$1,),))/100+1)^4)-1</f>
        <v/>
      </c>
      <c r="Y68" s="33">
        <f>(((VLOOKUP(B68,'Data qoq'!$A:$AT,MATCH($Y$1,'Data qoq'!$A$1:$AT$1,),))/100+1)^4)-1</f>
        <v/>
      </c>
      <c r="Z68" s="33">
        <f>(((VLOOKUP(B68,'Data qoq'!$A:$AU,MATCH($Z$1,'Data qoq'!$A$1:$AU$1,),))/100+1)^4)-1</f>
        <v/>
      </c>
      <c r="AA68" s="33">
        <f>(((VLOOKUP(B68,'Data qoq'!$A:$AU,MATCH($AA$1,'Data qoq'!$A$1:$AU$1,),))/100+1)^4)-1</f>
        <v/>
      </c>
      <c r="AC68" s="27">
        <f>B68</f>
        <v/>
      </c>
      <c r="AD68" s="32">
        <f>(VLOOKUP(AC68,B:Y,MATCH($AE$6,$B$1:$Y$1,),))-(VLOOKUP(AC68,B:Y,MATCH($AE$7,$B$1:$Y$1,),))</f>
        <v/>
      </c>
      <c r="AE68" s="28" t="n"/>
    </row>
    <row r="69" hidden="1" s="89">
      <c r="A69" s="31" t="n">
        <v>41883</v>
      </c>
      <c r="B69" s="25" t="inlineStr">
        <is>
          <t>2014-Q3</t>
        </is>
      </c>
      <c r="C69" s="33">
        <f>(((VLOOKUP(B69,'Data qoq'!$A:$AT,MATCH($C$1,'Data qoq'!$A$1:$AT$1,),))/100+1)^4)-1</f>
        <v/>
      </c>
      <c r="D69" s="33">
        <f>(((VLOOKUP(B69,'Data qoq'!$A:$AT,MATCH($D$1,'Data qoq'!$A$1:$AT$1,),))/100+1)^4)-1</f>
        <v/>
      </c>
      <c r="E69" s="33">
        <f>(((VLOOKUP(B69,'Data qoq'!$A:$AT,MATCH($E$1,'Data qoq'!$A$1:$AT$1,),))/100+1)^4)-1</f>
        <v/>
      </c>
      <c r="F69" s="33">
        <f>(((VLOOKUP(B69,'Data qoq'!$A:$AT,MATCH($F$1,'Data qoq'!$A$1:$AT$1,),))/100+1)^4)-1</f>
        <v/>
      </c>
      <c r="G69" s="33">
        <f>(((VLOOKUP(B69,'Data qoq'!$A:$AT,MATCH($G$1,'Data qoq'!$A$1:$AT$1,),))/100+1)^4)-1</f>
        <v/>
      </c>
      <c r="H69" s="33">
        <f>(((VLOOKUP(B69,'Data qoq'!$A:$AT,MATCH($H$1,'Data qoq'!$A$1:$AT$1,),))/100+1)^4)-1</f>
        <v/>
      </c>
      <c r="I69" s="33">
        <f>(((VLOOKUP(B69,'Data qoq'!$A:$AT,MATCH($I$1,'Data qoq'!$A$1:$AT$1,),))/100+1)^4)-1</f>
        <v/>
      </c>
      <c r="J69" s="33">
        <f>(((VLOOKUP(B69,'Data qoq'!$A:$AT,MATCH($J$1,'Data qoq'!$A$1:$AT$1,),))/100+1)^4)-1</f>
        <v/>
      </c>
      <c r="K69" s="33">
        <f>(((VLOOKUP(B69,'Data qoq'!$A:$AT,MATCH($K$1,'Data qoq'!$A$1:$AT$1,),))/100+1)^4)-1</f>
        <v/>
      </c>
      <c r="L69" s="33">
        <f>(((VLOOKUP(B69,'Data qoq'!$A:$AT,MATCH($L$1,'Data qoq'!$A$1:$AT$1,),))/100+1)^4)-1</f>
        <v/>
      </c>
      <c r="M69" s="33">
        <f>(((VLOOKUP(B69,'Data qoq'!$A:$AT,MATCH($M$1,'Data qoq'!$A$1:$AT$1,),))/100+1)^4)-1</f>
        <v/>
      </c>
      <c r="N69" s="33">
        <f>(((VLOOKUP(B69,'Data qoq'!$A:$AT,MATCH($N$1,'Data qoq'!$A$1:$AT$1,),))/100+1)^4)-1</f>
        <v/>
      </c>
      <c r="O69" s="33">
        <f>(((VLOOKUP(B69,'Data qoq'!$A:$AT,MATCH($O$1,'Data qoq'!$A$1:$AT$1,),))/100+1)^4)-1</f>
        <v/>
      </c>
      <c r="P69" s="33">
        <f>(((VLOOKUP(B69,'Data qoq'!$A:$AT,MATCH($P$1,'Data qoq'!$A$1:$AT$1,),))/100+1)^4)-1</f>
        <v/>
      </c>
      <c r="Q69" s="33">
        <f>(((VLOOKUP(B69,'Data qoq'!$A:$AT,MATCH($Q$1,'Data qoq'!$A$1:$AT$1,),))/100+1)^4)-1</f>
        <v/>
      </c>
      <c r="R69" s="33">
        <f>(((VLOOKUP(B69,'Data qoq'!$A:$AT,MATCH($R$1,'Data qoq'!$A$1:$AT$1,),))/100+1)^4)-1</f>
        <v/>
      </c>
      <c r="S69" s="33">
        <f>(((VLOOKUP(B69,'Data qoq'!$A:$AT,MATCH($S$1,'Data qoq'!$A$1:$AT$1,),))/100+1)^4)-1</f>
        <v/>
      </c>
      <c r="T69" s="33">
        <f>(((VLOOKUP(B69,'Data qoq'!$A:$AT,MATCH($T$1,'Data qoq'!$A$1:$AT$1,),))/100+1)^4)-1</f>
        <v/>
      </c>
      <c r="U69" s="33">
        <f>(((VLOOKUP(B69,'Data qoq'!$A:$AT,MATCH($U$1,'Data qoq'!$A$1:$AT$1,),))/100+1)^4)-1</f>
        <v/>
      </c>
      <c r="V69" s="33">
        <f>(((VLOOKUP(B69,'Data qoq'!$A:$AT,MATCH($V$1,'Data qoq'!$A$1:$AT$1,),))/100+1)^4)-1</f>
        <v/>
      </c>
      <c r="W69" s="33">
        <f>(((VLOOKUP(B69,'Data qoq'!$A:$AT,MATCH($W$1,'Data qoq'!$A$1:$AT$1,),))/100+1)^4)-1</f>
        <v/>
      </c>
      <c r="X69" s="33">
        <f>(((VLOOKUP(B69,'Data qoq'!$A:$AT,MATCH($X$1,'Data qoq'!$A$1:$AT$1,),))/100+1)^4)-1</f>
        <v/>
      </c>
      <c r="Y69" s="33">
        <f>(((VLOOKUP(B69,'Data qoq'!$A:$AT,MATCH($Y$1,'Data qoq'!$A$1:$AT$1,),))/100+1)^4)-1</f>
        <v/>
      </c>
      <c r="Z69" s="33">
        <f>(((VLOOKUP(B69,'Data qoq'!$A:$AU,MATCH($Z$1,'Data qoq'!$A$1:$AU$1,),))/100+1)^4)-1</f>
        <v/>
      </c>
      <c r="AA69" s="33">
        <f>(((VLOOKUP(B69,'Data qoq'!$A:$AU,MATCH($AA$1,'Data qoq'!$A$1:$AU$1,),))/100+1)^4)-1</f>
        <v/>
      </c>
      <c r="AC69" s="27">
        <f>B69</f>
        <v/>
      </c>
      <c r="AD69" s="32">
        <f>(VLOOKUP(AC69,B:Y,MATCH($AE$6,$B$1:$Y$1,),))-(VLOOKUP(AC69,B:Y,MATCH($AE$7,$B$1:$Y$1,),))</f>
        <v/>
      </c>
      <c r="AE69" s="28" t="n"/>
    </row>
    <row r="70" hidden="1" s="89">
      <c r="A70" s="31" t="n">
        <v>41974</v>
      </c>
      <c r="B70" s="25" t="inlineStr">
        <is>
          <t>2014-Q4</t>
        </is>
      </c>
      <c r="C70" s="33">
        <f>(((VLOOKUP(B70,'Data qoq'!$A:$AT,MATCH($C$1,'Data qoq'!$A$1:$AT$1,),))/100+1)^4)-1</f>
        <v/>
      </c>
      <c r="D70" s="33">
        <f>(((VLOOKUP(B70,'Data qoq'!$A:$AT,MATCH($D$1,'Data qoq'!$A$1:$AT$1,),))/100+1)^4)-1</f>
        <v/>
      </c>
      <c r="E70" s="33">
        <f>(((VLOOKUP(B70,'Data qoq'!$A:$AT,MATCH($E$1,'Data qoq'!$A$1:$AT$1,),))/100+1)^4)-1</f>
        <v/>
      </c>
      <c r="F70" s="33">
        <f>(((VLOOKUP(B70,'Data qoq'!$A:$AT,MATCH($F$1,'Data qoq'!$A$1:$AT$1,),))/100+1)^4)-1</f>
        <v/>
      </c>
      <c r="G70" s="33">
        <f>(((VLOOKUP(B70,'Data qoq'!$A:$AT,MATCH($G$1,'Data qoq'!$A$1:$AT$1,),))/100+1)^4)-1</f>
        <v/>
      </c>
      <c r="H70" s="33">
        <f>(((VLOOKUP(B70,'Data qoq'!$A:$AT,MATCH($H$1,'Data qoq'!$A$1:$AT$1,),))/100+1)^4)-1</f>
        <v/>
      </c>
      <c r="I70" s="33">
        <f>(((VLOOKUP(B70,'Data qoq'!$A:$AT,MATCH($I$1,'Data qoq'!$A$1:$AT$1,),))/100+1)^4)-1</f>
        <v/>
      </c>
      <c r="J70" s="33">
        <f>(((VLOOKUP(B70,'Data qoq'!$A:$AT,MATCH($J$1,'Data qoq'!$A$1:$AT$1,),))/100+1)^4)-1</f>
        <v/>
      </c>
      <c r="K70" s="33">
        <f>(((VLOOKUP(B70,'Data qoq'!$A:$AT,MATCH($K$1,'Data qoq'!$A$1:$AT$1,),))/100+1)^4)-1</f>
        <v/>
      </c>
      <c r="L70" s="33">
        <f>(((VLOOKUP(B70,'Data qoq'!$A:$AT,MATCH($L$1,'Data qoq'!$A$1:$AT$1,),))/100+1)^4)-1</f>
        <v/>
      </c>
      <c r="M70" s="33">
        <f>(((VLOOKUP(B70,'Data qoq'!$A:$AT,MATCH($M$1,'Data qoq'!$A$1:$AT$1,),))/100+1)^4)-1</f>
        <v/>
      </c>
      <c r="N70" s="33">
        <f>(((VLOOKUP(B70,'Data qoq'!$A:$AT,MATCH($N$1,'Data qoq'!$A$1:$AT$1,),))/100+1)^4)-1</f>
        <v/>
      </c>
      <c r="O70" s="33">
        <f>(((VLOOKUP(B70,'Data qoq'!$A:$AT,MATCH($O$1,'Data qoq'!$A$1:$AT$1,),))/100+1)^4)-1</f>
        <v/>
      </c>
      <c r="P70" s="33">
        <f>(((VLOOKUP(B70,'Data qoq'!$A:$AT,MATCH($P$1,'Data qoq'!$A$1:$AT$1,),))/100+1)^4)-1</f>
        <v/>
      </c>
      <c r="Q70" s="33">
        <f>(((VLOOKUP(B70,'Data qoq'!$A:$AT,MATCH($Q$1,'Data qoq'!$A$1:$AT$1,),))/100+1)^4)-1</f>
        <v/>
      </c>
      <c r="R70" s="33">
        <f>(((VLOOKUP(B70,'Data qoq'!$A:$AT,MATCH($R$1,'Data qoq'!$A$1:$AT$1,),))/100+1)^4)-1</f>
        <v/>
      </c>
      <c r="S70" s="33">
        <f>(((VLOOKUP(B70,'Data qoq'!$A:$AT,MATCH($S$1,'Data qoq'!$A$1:$AT$1,),))/100+1)^4)-1</f>
        <v/>
      </c>
      <c r="T70" s="33">
        <f>(((VLOOKUP(B70,'Data qoq'!$A:$AT,MATCH($T$1,'Data qoq'!$A$1:$AT$1,),))/100+1)^4)-1</f>
        <v/>
      </c>
      <c r="U70" s="33">
        <f>(((VLOOKUP(B70,'Data qoq'!$A:$AT,MATCH($U$1,'Data qoq'!$A$1:$AT$1,),))/100+1)^4)-1</f>
        <v/>
      </c>
      <c r="V70" s="33">
        <f>(((VLOOKUP(B70,'Data qoq'!$A:$AT,MATCH($V$1,'Data qoq'!$A$1:$AT$1,),))/100+1)^4)-1</f>
        <v/>
      </c>
      <c r="W70" s="33">
        <f>(((VLOOKUP(B70,'Data qoq'!$A:$AT,MATCH($W$1,'Data qoq'!$A$1:$AT$1,),))/100+1)^4)-1</f>
        <v/>
      </c>
      <c r="X70" s="33">
        <f>(((VLOOKUP(B70,'Data qoq'!$A:$AT,MATCH($X$1,'Data qoq'!$A$1:$AT$1,),))/100+1)^4)-1</f>
        <v/>
      </c>
      <c r="Y70" s="33">
        <f>(((VLOOKUP(B70,'Data qoq'!$A:$AT,MATCH($Y$1,'Data qoq'!$A$1:$AT$1,),))/100+1)^4)-1</f>
        <v/>
      </c>
      <c r="Z70" s="33">
        <f>(((VLOOKUP(B70,'Data qoq'!$A:$AU,MATCH($Z$1,'Data qoq'!$A$1:$AU$1,),))/100+1)^4)-1</f>
        <v/>
      </c>
      <c r="AA70" s="33">
        <f>(((VLOOKUP(B70,'Data qoq'!$A:$AU,MATCH($AA$1,'Data qoq'!$A$1:$AU$1,),))/100+1)^4)-1</f>
        <v/>
      </c>
      <c r="AC70" s="27">
        <f>B70</f>
        <v/>
      </c>
      <c r="AD70" s="32">
        <f>(VLOOKUP(AC70,B:Y,MATCH($AE$6,$B$1:$Y$1,),))-(VLOOKUP(AC70,B:Y,MATCH($AE$7,$B$1:$Y$1,),))</f>
        <v/>
      </c>
      <c r="AE70" s="28" t="n"/>
    </row>
    <row r="71">
      <c r="A71" s="31" t="n">
        <v>42064</v>
      </c>
      <c r="B71" s="25" t="inlineStr">
        <is>
          <t>2015-Q1</t>
        </is>
      </c>
      <c r="C71" s="33">
        <f>(((VLOOKUP(B71,'Data qoq'!$A:$AT,MATCH($C$1,'Data qoq'!$A$1:$AT$1,),))/100+1)^4)-1</f>
        <v/>
      </c>
      <c r="D71" s="33">
        <f>(((VLOOKUP(B71,'Data qoq'!$A:$AT,MATCH($D$1,'Data qoq'!$A$1:$AT$1,),))/100+1)^4)-1</f>
        <v/>
      </c>
      <c r="E71" s="33">
        <f>(((VLOOKUP(B71,'Data qoq'!$A:$AT,MATCH($E$1,'Data qoq'!$A$1:$AT$1,),))/100+1)^4)-1</f>
        <v/>
      </c>
      <c r="F71" s="33">
        <f>(((VLOOKUP(B71,'Data qoq'!$A:$AT,MATCH($F$1,'Data qoq'!$A$1:$AT$1,),))/100+1)^4)-1</f>
        <v/>
      </c>
      <c r="G71" s="33">
        <f>(((VLOOKUP(B71,'Data qoq'!$A:$AT,MATCH($G$1,'Data qoq'!$A$1:$AT$1,),))/100+1)^4)-1</f>
        <v/>
      </c>
      <c r="H71" s="33">
        <f>(((VLOOKUP(B71,'Data qoq'!$A:$AT,MATCH($H$1,'Data qoq'!$A$1:$AT$1,),))/100+1)^4)-1</f>
        <v/>
      </c>
      <c r="I71" s="33">
        <f>(((VLOOKUP(B71,'Data qoq'!$A:$AT,MATCH($I$1,'Data qoq'!$A$1:$AT$1,),))/100+1)^4)-1</f>
        <v/>
      </c>
      <c r="J71" s="33">
        <f>(((VLOOKUP(B71,'Data qoq'!$A:$AT,MATCH($J$1,'Data qoq'!$A$1:$AT$1,),))/100+1)^4)-1</f>
        <v/>
      </c>
      <c r="K71" s="33">
        <f>(((VLOOKUP(B71,'Data qoq'!$A:$AT,MATCH($K$1,'Data qoq'!$A$1:$AT$1,),))/100+1)^4)-1</f>
        <v/>
      </c>
      <c r="L71" s="33">
        <f>(((VLOOKUP(B71,'Data qoq'!$A:$AT,MATCH($L$1,'Data qoq'!$A$1:$AT$1,),))/100+1)^4)-1</f>
        <v/>
      </c>
      <c r="M71" s="33">
        <f>(((VLOOKUP(B71,'Data qoq'!$A:$AT,MATCH($M$1,'Data qoq'!$A$1:$AT$1,),))/100+1)^4)-1</f>
        <v/>
      </c>
      <c r="N71" s="33">
        <f>(((VLOOKUP(B71,'Data qoq'!$A:$AT,MATCH($N$1,'Data qoq'!$A$1:$AT$1,),))/100+1)^4)-1</f>
        <v/>
      </c>
      <c r="O71" s="33">
        <f>(((VLOOKUP(B71,'Data qoq'!$A:$AT,MATCH($O$1,'Data qoq'!$A$1:$AT$1,),))/100+1)^4)-1</f>
        <v/>
      </c>
      <c r="P71" s="33">
        <f>(((VLOOKUP(B71,'Data qoq'!$A:$AT,MATCH($P$1,'Data qoq'!$A$1:$AT$1,),))/100+1)^4)-1</f>
        <v/>
      </c>
      <c r="Q71" s="33">
        <f>(((VLOOKUP(B71,'Data qoq'!$A:$AT,MATCH($Q$1,'Data qoq'!$A$1:$AT$1,),))/100+1)^4)-1</f>
        <v/>
      </c>
      <c r="R71" s="33">
        <f>(((VLOOKUP(B71,'Data qoq'!$A:$AT,MATCH($R$1,'Data qoq'!$A$1:$AT$1,),))/100+1)^4)-1</f>
        <v/>
      </c>
      <c r="S71" s="33">
        <f>(((VLOOKUP(B71,'Data qoq'!$A:$AT,MATCH($S$1,'Data qoq'!$A$1:$AT$1,),))/100+1)^4)-1</f>
        <v/>
      </c>
      <c r="T71" s="33">
        <f>(((VLOOKUP(B71,'Data qoq'!$A:$AT,MATCH($T$1,'Data qoq'!$A$1:$AT$1,),))/100+1)^4)-1</f>
        <v/>
      </c>
      <c r="U71" s="33">
        <f>(((VLOOKUP(B71,'Data qoq'!$A:$AT,MATCH($U$1,'Data qoq'!$A$1:$AT$1,),))/100+1)^4)-1</f>
        <v/>
      </c>
      <c r="V71" s="33">
        <f>(((VLOOKUP(B71,'Data qoq'!$A:$AT,MATCH($V$1,'Data qoq'!$A$1:$AT$1,),))/100+1)^4)-1</f>
        <v/>
      </c>
      <c r="W71" s="33">
        <f>(((VLOOKUP(B71,'Data qoq'!$A:$AT,MATCH($W$1,'Data qoq'!$A$1:$AT$1,),))/100+1)^4)-1</f>
        <v/>
      </c>
      <c r="X71" s="33">
        <f>(((VLOOKUP(B71,'Data qoq'!$A:$AT,MATCH($X$1,'Data qoq'!$A$1:$AT$1,),))/100+1)^4)-1</f>
        <v/>
      </c>
      <c r="Y71" s="33">
        <f>(((VLOOKUP(B71,'Data qoq'!$A:$AT,MATCH($Y$1,'Data qoq'!$A$1:$AT$1,),))/100+1)^4)-1</f>
        <v/>
      </c>
      <c r="Z71" s="33">
        <f>(((VLOOKUP(B71,'Data qoq'!$A:$AU,MATCH($Z$1,'Data qoq'!$A$1:$AU$1,),))/100+1)^4)-1</f>
        <v/>
      </c>
      <c r="AA71" s="33">
        <f>(((VLOOKUP(B71,'Data qoq'!$A:$AU,MATCH($AA$1,'Data qoq'!$A$1:$AU$1,),))/100+1)^4)-1</f>
        <v/>
      </c>
      <c r="AC71" s="27">
        <f>B71</f>
        <v/>
      </c>
      <c r="AD71" s="32">
        <f>(VLOOKUP(AC71,B:Y,MATCH($AE$6,$B$1:$Y$1,),))-(VLOOKUP(AC71,B:Y,MATCH($AE$7,$B$1:$Y$1,),))</f>
        <v/>
      </c>
      <c r="AE71" s="28" t="n"/>
    </row>
    <row r="72">
      <c r="A72" s="31" t="n">
        <v>42156</v>
      </c>
      <c r="B72" s="25" t="inlineStr">
        <is>
          <t>2015-Q2</t>
        </is>
      </c>
      <c r="C72" s="33">
        <f>(((VLOOKUP(B72,'Data qoq'!$A:$AT,MATCH($C$1,'Data qoq'!$A$1:$AT$1,),))/100+1)^4)-1</f>
        <v/>
      </c>
      <c r="D72" s="33">
        <f>(((VLOOKUP(B72,'Data qoq'!$A:$AT,MATCH($D$1,'Data qoq'!$A$1:$AT$1,),))/100+1)^4)-1</f>
        <v/>
      </c>
      <c r="E72" s="33">
        <f>(((VLOOKUP(B72,'Data qoq'!$A:$AT,MATCH($E$1,'Data qoq'!$A$1:$AT$1,),))/100+1)^4)-1</f>
        <v/>
      </c>
      <c r="F72" s="33">
        <f>(((VLOOKUP(B72,'Data qoq'!$A:$AT,MATCH($F$1,'Data qoq'!$A$1:$AT$1,),))/100+1)^4)-1</f>
        <v/>
      </c>
      <c r="G72" s="33">
        <f>(((VLOOKUP(B72,'Data qoq'!$A:$AT,MATCH($G$1,'Data qoq'!$A$1:$AT$1,),))/100+1)^4)-1</f>
        <v/>
      </c>
      <c r="H72" s="33">
        <f>(((VLOOKUP(B72,'Data qoq'!$A:$AT,MATCH($H$1,'Data qoq'!$A$1:$AT$1,),))/100+1)^4)-1</f>
        <v/>
      </c>
      <c r="I72" s="33">
        <f>(((VLOOKUP(B72,'Data qoq'!$A:$AT,MATCH($I$1,'Data qoq'!$A$1:$AT$1,),))/100+1)^4)-1</f>
        <v/>
      </c>
      <c r="J72" s="33">
        <f>(((VLOOKUP(B72,'Data qoq'!$A:$AT,MATCH($J$1,'Data qoq'!$A$1:$AT$1,),))/100+1)^4)-1</f>
        <v/>
      </c>
      <c r="K72" s="33">
        <f>(((VLOOKUP(B72,'Data qoq'!$A:$AT,MATCH($K$1,'Data qoq'!$A$1:$AT$1,),))/100+1)^4)-1</f>
        <v/>
      </c>
      <c r="L72" s="33">
        <f>(((VLOOKUP(B72,'Data qoq'!$A:$AT,MATCH($L$1,'Data qoq'!$A$1:$AT$1,),))/100+1)^4)-1</f>
        <v/>
      </c>
      <c r="M72" s="33">
        <f>(((VLOOKUP(B72,'Data qoq'!$A:$AT,MATCH($M$1,'Data qoq'!$A$1:$AT$1,),))/100+1)^4)-1</f>
        <v/>
      </c>
      <c r="N72" s="33">
        <f>(((VLOOKUP(B72,'Data qoq'!$A:$AT,MATCH($N$1,'Data qoq'!$A$1:$AT$1,),))/100+1)^4)-1</f>
        <v/>
      </c>
      <c r="O72" s="33">
        <f>(((VLOOKUP(B72,'Data qoq'!$A:$AT,MATCH($O$1,'Data qoq'!$A$1:$AT$1,),))/100+1)^4)-1</f>
        <v/>
      </c>
      <c r="P72" s="33">
        <f>(((VLOOKUP(B72,'Data qoq'!$A:$AT,MATCH($P$1,'Data qoq'!$A$1:$AT$1,),))/100+1)^4)-1</f>
        <v/>
      </c>
      <c r="Q72" s="33">
        <f>(((VLOOKUP(B72,'Data qoq'!$A:$AT,MATCH($Q$1,'Data qoq'!$A$1:$AT$1,),))/100+1)^4)-1</f>
        <v/>
      </c>
      <c r="R72" s="33">
        <f>(((VLOOKUP(B72,'Data qoq'!$A:$AT,MATCH($R$1,'Data qoq'!$A$1:$AT$1,),))/100+1)^4)-1</f>
        <v/>
      </c>
      <c r="S72" s="33">
        <f>(((VLOOKUP(B72,'Data qoq'!$A:$AT,MATCH($S$1,'Data qoq'!$A$1:$AT$1,),))/100+1)^4)-1</f>
        <v/>
      </c>
      <c r="T72" s="33">
        <f>(((VLOOKUP(B72,'Data qoq'!$A:$AT,MATCH($T$1,'Data qoq'!$A$1:$AT$1,),))/100+1)^4)-1</f>
        <v/>
      </c>
      <c r="U72" s="33">
        <f>(((VLOOKUP(B72,'Data qoq'!$A:$AT,MATCH($U$1,'Data qoq'!$A$1:$AT$1,),))/100+1)^4)-1</f>
        <v/>
      </c>
      <c r="V72" s="33">
        <f>(((VLOOKUP(B72,'Data qoq'!$A:$AT,MATCH($V$1,'Data qoq'!$A$1:$AT$1,),))/100+1)^4)-1</f>
        <v/>
      </c>
      <c r="W72" s="33">
        <f>(((VLOOKUP(B72,'Data qoq'!$A:$AT,MATCH($W$1,'Data qoq'!$A$1:$AT$1,),))/100+1)^4)-1</f>
        <v/>
      </c>
      <c r="X72" s="33">
        <f>(((VLOOKUP(B72,'Data qoq'!$A:$AT,MATCH($X$1,'Data qoq'!$A$1:$AT$1,),))/100+1)^4)-1</f>
        <v/>
      </c>
      <c r="Y72" s="33">
        <f>(((VLOOKUP(B72,'Data qoq'!$A:$AT,MATCH($Y$1,'Data qoq'!$A$1:$AT$1,),))/100+1)^4)-1</f>
        <v/>
      </c>
      <c r="Z72" s="33">
        <f>(((VLOOKUP(B72,'Data qoq'!$A:$AU,MATCH($Z$1,'Data qoq'!$A$1:$AU$1,),))/100+1)^4)-1</f>
        <v/>
      </c>
      <c r="AA72" s="33">
        <f>(((VLOOKUP(B72,'Data qoq'!$A:$AU,MATCH($AA$1,'Data qoq'!$A$1:$AU$1,),))/100+1)^4)-1</f>
        <v/>
      </c>
      <c r="AC72" s="27">
        <f>B72</f>
        <v/>
      </c>
      <c r="AD72" s="32">
        <f>(VLOOKUP(AC72,B:Y,MATCH($AE$6,$B$1:$Y$1,),))-(VLOOKUP(AC72,B:Y,MATCH($AE$7,$B$1:$Y$1,),))</f>
        <v/>
      </c>
      <c r="AE72" s="28" t="n"/>
    </row>
    <row r="73">
      <c r="A73" s="31" t="n">
        <v>42248</v>
      </c>
      <c r="B73" s="25" t="inlineStr">
        <is>
          <t>2015-Q3</t>
        </is>
      </c>
      <c r="C73" s="33">
        <f>(((VLOOKUP(B73,'Data qoq'!$A:$AT,MATCH($C$1,'Data qoq'!$A$1:$AT$1,),))/100+1)^4)-1</f>
        <v/>
      </c>
      <c r="D73" s="33">
        <f>(((VLOOKUP(B73,'Data qoq'!$A:$AT,MATCH($D$1,'Data qoq'!$A$1:$AT$1,),))/100+1)^4)-1</f>
        <v/>
      </c>
      <c r="E73" s="33">
        <f>(((VLOOKUP(B73,'Data qoq'!$A:$AT,MATCH($E$1,'Data qoq'!$A$1:$AT$1,),))/100+1)^4)-1</f>
        <v/>
      </c>
      <c r="F73" s="33">
        <f>(((VLOOKUP(B73,'Data qoq'!$A:$AT,MATCH($F$1,'Data qoq'!$A$1:$AT$1,),))/100+1)^4)-1</f>
        <v/>
      </c>
      <c r="G73" s="33">
        <f>(((VLOOKUP(B73,'Data qoq'!$A:$AT,MATCH($G$1,'Data qoq'!$A$1:$AT$1,),))/100+1)^4)-1</f>
        <v/>
      </c>
      <c r="H73" s="33">
        <f>(((VLOOKUP(B73,'Data qoq'!$A:$AT,MATCH($H$1,'Data qoq'!$A$1:$AT$1,),))/100+1)^4)-1</f>
        <v/>
      </c>
      <c r="I73" s="33">
        <f>(((VLOOKUP(B73,'Data qoq'!$A:$AT,MATCH($I$1,'Data qoq'!$A$1:$AT$1,),))/100+1)^4)-1</f>
        <v/>
      </c>
      <c r="J73" s="33">
        <f>(((VLOOKUP(B73,'Data qoq'!$A:$AT,MATCH($J$1,'Data qoq'!$A$1:$AT$1,),))/100+1)^4)-1</f>
        <v/>
      </c>
      <c r="K73" s="33">
        <f>(((VLOOKUP(B73,'Data qoq'!$A:$AT,MATCH($K$1,'Data qoq'!$A$1:$AT$1,),))/100+1)^4)-1</f>
        <v/>
      </c>
      <c r="L73" s="33">
        <f>(((VLOOKUP(B73,'Data qoq'!$A:$AT,MATCH($L$1,'Data qoq'!$A$1:$AT$1,),))/100+1)^4)-1</f>
        <v/>
      </c>
      <c r="M73" s="33">
        <f>(((VLOOKUP(B73,'Data qoq'!$A:$AT,MATCH($M$1,'Data qoq'!$A$1:$AT$1,),))/100+1)^4)-1</f>
        <v/>
      </c>
      <c r="N73" s="33">
        <f>(((VLOOKUP(B73,'Data qoq'!$A:$AT,MATCH($N$1,'Data qoq'!$A$1:$AT$1,),))/100+1)^4)-1</f>
        <v/>
      </c>
      <c r="O73" s="33">
        <f>(((VLOOKUP(B73,'Data qoq'!$A:$AT,MATCH($O$1,'Data qoq'!$A$1:$AT$1,),))/100+1)^4)-1</f>
        <v/>
      </c>
      <c r="P73" s="33">
        <f>(((VLOOKUP(B73,'Data qoq'!$A:$AT,MATCH($P$1,'Data qoq'!$A$1:$AT$1,),))/100+1)^4)-1</f>
        <v/>
      </c>
      <c r="Q73" s="33">
        <f>(((VLOOKUP(B73,'Data qoq'!$A:$AT,MATCH($Q$1,'Data qoq'!$A$1:$AT$1,),))/100+1)^4)-1</f>
        <v/>
      </c>
      <c r="R73" s="33">
        <f>(((VLOOKUP(B73,'Data qoq'!$A:$AT,MATCH($R$1,'Data qoq'!$A$1:$AT$1,),))/100+1)^4)-1</f>
        <v/>
      </c>
      <c r="S73" s="33">
        <f>(((VLOOKUP(B73,'Data qoq'!$A:$AT,MATCH($S$1,'Data qoq'!$A$1:$AT$1,),))/100+1)^4)-1</f>
        <v/>
      </c>
      <c r="T73" s="33">
        <f>(((VLOOKUP(B73,'Data qoq'!$A:$AT,MATCH($T$1,'Data qoq'!$A$1:$AT$1,),))/100+1)^4)-1</f>
        <v/>
      </c>
      <c r="U73" s="33">
        <f>(((VLOOKUP(B73,'Data qoq'!$A:$AT,MATCH($U$1,'Data qoq'!$A$1:$AT$1,),))/100+1)^4)-1</f>
        <v/>
      </c>
      <c r="V73" s="33">
        <f>(((VLOOKUP(B73,'Data qoq'!$A:$AT,MATCH($V$1,'Data qoq'!$A$1:$AT$1,),))/100+1)^4)-1</f>
        <v/>
      </c>
      <c r="W73" s="33">
        <f>(((VLOOKUP(B73,'Data qoq'!$A:$AT,MATCH($W$1,'Data qoq'!$A$1:$AT$1,),))/100+1)^4)-1</f>
        <v/>
      </c>
      <c r="X73" s="33">
        <f>(((VLOOKUP(B73,'Data qoq'!$A:$AT,MATCH($X$1,'Data qoq'!$A$1:$AT$1,),))/100+1)^4)-1</f>
        <v/>
      </c>
      <c r="Y73" s="33">
        <f>(((VLOOKUP(B73,'Data qoq'!$A:$AT,MATCH($Y$1,'Data qoq'!$A$1:$AT$1,),))/100+1)^4)-1</f>
        <v/>
      </c>
      <c r="Z73" s="33">
        <f>(((VLOOKUP(B73,'Data qoq'!$A:$AU,MATCH($Z$1,'Data qoq'!$A$1:$AU$1,),))/100+1)^4)-1</f>
        <v/>
      </c>
      <c r="AA73" s="33">
        <f>(((VLOOKUP(B73,'Data qoq'!$A:$AU,MATCH($AA$1,'Data qoq'!$A$1:$AU$1,),))/100+1)^4)-1</f>
        <v/>
      </c>
      <c r="AC73" s="27">
        <f>B73</f>
        <v/>
      </c>
      <c r="AD73" s="32">
        <f>(VLOOKUP(AC73,B:Y,MATCH($AE$6,$B$1:$Y$1,),))-(VLOOKUP(AC73,B:Y,MATCH($AE$7,$B$1:$Y$1,),))</f>
        <v/>
      </c>
      <c r="AE73" s="28" t="n"/>
    </row>
    <row r="74">
      <c r="A74" s="31" t="n">
        <v>42339</v>
      </c>
      <c r="B74" s="25" t="inlineStr">
        <is>
          <t>2015-Q4</t>
        </is>
      </c>
      <c r="C74" s="33">
        <f>(((VLOOKUP(B74,'Data qoq'!$A:$AT,MATCH($C$1,'Data qoq'!$A$1:$AT$1,),))/100+1)^4)-1</f>
        <v/>
      </c>
      <c r="D74" s="33">
        <f>(((VLOOKUP(B74,'Data qoq'!$A:$AT,MATCH($D$1,'Data qoq'!$A$1:$AT$1,),))/100+1)^4)-1</f>
        <v/>
      </c>
      <c r="E74" s="33">
        <f>(((VLOOKUP(B74,'Data qoq'!$A:$AT,MATCH($E$1,'Data qoq'!$A$1:$AT$1,),))/100+1)^4)-1</f>
        <v/>
      </c>
      <c r="F74" s="33">
        <f>(((VLOOKUP(B74,'Data qoq'!$A:$AT,MATCH($F$1,'Data qoq'!$A$1:$AT$1,),))/100+1)^4)-1</f>
        <v/>
      </c>
      <c r="G74" s="33">
        <f>(((VLOOKUP(B74,'Data qoq'!$A:$AT,MATCH($G$1,'Data qoq'!$A$1:$AT$1,),))/100+1)^4)-1</f>
        <v/>
      </c>
      <c r="H74" s="33">
        <f>(((VLOOKUP(B74,'Data qoq'!$A:$AT,MATCH($H$1,'Data qoq'!$A$1:$AT$1,),))/100+1)^4)-1</f>
        <v/>
      </c>
      <c r="I74" s="33">
        <f>(((VLOOKUP(B74,'Data qoq'!$A:$AT,MATCH($I$1,'Data qoq'!$A$1:$AT$1,),))/100+1)^4)-1</f>
        <v/>
      </c>
      <c r="J74" s="33">
        <f>(((VLOOKUP(B74,'Data qoq'!$A:$AT,MATCH($J$1,'Data qoq'!$A$1:$AT$1,),))/100+1)^4)-1</f>
        <v/>
      </c>
      <c r="K74" s="33">
        <f>(((VLOOKUP(B74,'Data qoq'!$A:$AT,MATCH($K$1,'Data qoq'!$A$1:$AT$1,),))/100+1)^4)-1</f>
        <v/>
      </c>
      <c r="L74" s="33">
        <f>(((VLOOKUP(B74,'Data qoq'!$A:$AT,MATCH($L$1,'Data qoq'!$A$1:$AT$1,),))/100+1)^4)-1</f>
        <v/>
      </c>
      <c r="M74" s="33">
        <f>(((VLOOKUP(B74,'Data qoq'!$A:$AT,MATCH($M$1,'Data qoq'!$A$1:$AT$1,),))/100+1)^4)-1</f>
        <v/>
      </c>
      <c r="N74" s="33">
        <f>(((VLOOKUP(B74,'Data qoq'!$A:$AT,MATCH($N$1,'Data qoq'!$A$1:$AT$1,),))/100+1)^4)-1</f>
        <v/>
      </c>
      <c r="O74" s="33">
        <f>(((VLOOKUP(B74,'Data qoq'!$A:$AT,MATCH($O$1,'Data qoq'!$A$1:$AT$1,),))/100+1)^4)-1</f>
        <v/>
      </c>
      <c r="P74" s="33">
        <f>(((VLOOKUP(B74,'Data qoq'!$A:$AT,MATCH($P$1,'Data qoq'!$A$1:$AT$1,),))/100+1)^4)-1</f>
        <v/>
      </c>
      <c r="Q74" s="33">
        <f>(((VLOOKUP(B74,'Data qoq'!$A:$AT,MATCH($Q$1,'Data qoq'!$A$1:$AT$1,),))/100+1)^4)-1</f>
        <v/>
      </c>
      <c r="R74" s="33">
        <f>(((VLOOKUP(B74,'Data qoq'!$A:$AT,MATCH($R$1,'Data qoq'!$A$1:$AT$1,),))/100+1)^4)-1</f>
        <v/>
      </c>
      <c r="S74" s="33">
        <f>(((VLOOKUP(B74,'Data qoq'!$A:$AT,MATCH($S$1,'Data qoq'!$A$1:$AT$1,),))/100+1)^4)-1</f>
        <v/>
      </c>
      <c r="T74" s="33">
        <f>(((VLOOKUP(B74,'Data qoq'!$A:$AT,MATCH($T$1,'Data qoq'!$A$1:$AT$1,),))/100+1)^4)-1</f>
        <v/>
      </c>
      <c r="U74" s="33">
        <f>(((VLOOKUP(B74,'Data qoq'!$A:$AT,MATCH($U$1,'Data qoq'!$A$1:$AT$1,),))/100+1)^4)-1</f>
        <v/>
      </c>
      <c r="V74" s="33">
        <f>(((VLOOKUP(B74,'Data qoq'!$A:$AT,MATCH($V$1,'Data qoq'!$A$1:$AT$1,),))/100+1)^4)-1</f>
        <v/>
      </c>
      <c r="W74" s="33">
        <f>(((VLOOKUP(B74,'Data qoq'!$A:$AT,MATCH($W$1,'Data qoq'!$A$1:$AT$1,),))/100+1)^4)-1</f>
        <v/>
      </c>
      <c r="X74" s="33">
        <f>(((VLOOKUP(B74,'Data qoq'!$A:$AT,MATCH($X$1,'Data qoq'!$A$1:$AT$1,),))/100+1)^4)-1</f>
        <v/>
      </c>
      <c r="Y74" s="33">
        <f>(((VLOOKUP(B74,'Data qoq'!$A:$AT,MATCH($Y$1,'Data qoq'!$A$1:$AT$1,),))/100+1)^4)-1</f>
        <v/>
      </c>
      <c r="Z74" s="33">
        <f>(((VLOOKUP(B74,'Data qoq'!$A:$AU,MATCH($Z$1,'Data qoq'!$A$1:$AU$1,),))/100+1)^4)-1</f>
        <v/>
      </c>
      <c r="AA74" s="33">
        <f>(((VLOOKUP(B74,'Data qoq'!$A:$AU,MATCH($AA$1,'Data qoq'!$A$1:$AU$1,),))/100+1)^4)-1</f>
        <v/>
      </c>
      <c r="AC74" s="27">
        <f>B74</f>
        <v/>
      </c>
      <c r="AD74" s="32">
        <f>(VLOOKUP(AC74,B:Y,MATCH($AE$6,$B$1:$Y$1,),))-(VLOOKUP(AC74,B:Y,MATCH($AE$7,$B$1:$Y$1,),))</f>
        <v/>
      </c>
      <c r="AE74" s="28" t="n"/>
    </row>
    <row r="75">
      <c r="A75" s="31" t="n">
        <v>42430</v>
      </c>
      <c r="B75" s="25" t="inlineStr">
        <is>
          <t>2016-Q1</t>
        </is>
      </c>
      <c r="C75" s="33">
        <f>(((VLOOKUP(B75,'Data qoq'!$A:$AT,MATCH($C$1,'Data qoq'!$A$1:$AT$1,),))/100+1)^4)-1</f>
        <v/>
      </c>
      <c r="D75" s="33">
        <f>(((VLOOKUP(B75,'Data qoq'!$A:$AT,MATCH($D$1,'Data qoq'!$A$1:$AT$1,),))/100+1)^4)-1</f>
        <v/>
      </c>
      <c r="E75" s="33">
        <f>(((VLOOKUP(B75,'Data qoq'!$A:$AT,MATCH($E$1,'Data qoq'!$A$1:$AT$1,),))/100+1)^4)-1</f>
        <v/>
      </c>
      <c r="F75" s="33">
        <f>(((VLOOKUP(B75,'Data qoq'!$A:$AT,MATCH($F$1,'Data qoq'!$A$1:$AT$1,),))/100+1)^4)-1</f>
        <v/>
      </c>
      <c r="G75" s="33">
        <f>(((VLOOKUP(B75,'Data qoq'!$A:$AT,MATCH($G$1,'Data qoq'!$A$1:$AT$1,),))/100+1)^4)-1</f>
        <v/>
      </c>
      <c r="H75" s="33">
        <f>(((VLOOKUP(B75,'Data qoq'!$A:$AT,MATCH($H$1,'Data qoq'!$A$1:$AT$1,),))/100+1)^4)-1</f>
        <v/>
      </c>
      <c r="I75" s="33">
        <f>(((VLOOKUP(B75,'Data qoq'!$A:$AT,MATCH($I$1,'Data qoq'!$A$1:$AT$1,),))/100+1)^4)-1</f>
        <v/>
      </c>
      <c r="J75" s="33">
        <f>(((VLOOKUP(B75,'Data qoq'!$A:$AT,MATCH($J$1,'Data qoq'!$A$1:$AT$1,),))/100+1)^4)-1</f>
        <v/>
      </c>
      <c r="K75" s="33">
        <f>(((VLOOKUP(B75,'Data qoq'!$A:$AT,MATCH($K$1,'Data qoq'!$A$1:$AT$1,),))/100+1)^4)-1</f>
        <v/>
      </c>
      <c r="L75" s="33">
        <f>(((VLOOKUP(B75,'Data qoq'!$A:$AT,MATCH($L$1,'Data qoq'!$A$1:$AT$1,),))/100+1)^4)-1</f>
        <v/>
      </c>
      <c r="M75" s="33">
        <f>(((VLOOKUP(B75,'Data qoq'!$A:$AT,MATCH($M$1,'Data qoq'!$A$1:$AT$1,),))/100+1)^4)-1</f>
        <v/>
      </c>
      <c r="N75" s="33">
        <f>(((VLOOKUP(B75,'Data qoq'!$A:$AT,MATCH($N$1,'Data qoq'!$A$1:$AT$1,),))/100+1)^4)-1</f>
        <v/>
      </c>
      <c r="O75" s="33">
        <f>(((VLOOKUP(B75,'Data qoq'!$A:$AT,MATCH($O$1,'Data qoq'!$A$1:$AT$1,),))/100+1)^4)-1</f>
        <v/>
      </c>
      <c r="P75" s="33">
        <f>(((VLOOKUP(B75,'Data qoq'!$A:$AT,MATCH($P$1,'Data qoq'!$A$1:$AT$1,),))/100+1)^4)-1</f>
        <v/>
      </c>
      <c r="Q75" s="33">
        <f>(((VLOOKUP(B75,'Data qoq'!$A:$AT,MATCH($Q$1,'Data qoq'!$A$1:$AT$1,),))/100+1)^4)-1</f>
        <v/>
      </c>
      <c r="R75" s="33">
        <f>(((VLOOKUP(B75,'Data qoq'!$A:$AT,MATCH($R$1,'Data qoq'!$A$1:$AT$1,),))/100+1)^4)-1</f>
        <v/>
      </c>
      <c r="S75" s="33">
        <f>(((VLOOKUP(B75,'Data qoq'!$A:$AT,MATCH($S$1,'Data qoq'!$A$1:$AT$1,),))/100+1)^4)-1</f>
        <v/>
      </c>
      <c r="T75" s="33">
        <f>(((VLOOKUP(B75,'Data qoq'!$A:$AT,MATCH($T$1,'Data qoq'!$A$1:$AT$1,),))/100+1)^4)-1</f>
        <v/>
      </c>
      <c r="U75" s="33">
        <f>(((VLOOKUP(B75,'Data qoq'!$A:$AT,MATCH($U$1,'Data qoq'!$A$1:$AT$1,),))/100+1)^4)-1</f>
        <v/>
      </c>
      <c r="V75" s="33">
        <f>(((VLOOKUP(B75,'Data qoq'!$A:$AT,MATCH($V$1,'Data qoq'!$A$1:$AT$1,),))/100+1)^4)-1</f>
        <v/>
      </c>
      <c r="W75" s="33">
        <f>(((VLOOKUP(B75,'Data qoq'!$A:$AT,MATCH($W$1,'Data qoq'!$A$1:$AT$1,),))/100+1)^4)-1</f>
        <v/>
      </c>
      <c r="X75" s="33">
        <f>(((VLOOKUP(B75,'Data qoq'!$A:$AT,MATCH($X$1,'Data qoq'!$A$1:$AT$1,),))/100+1)^4)-1</f>
        <v/>
      </c>
      <c r="Y75" s="33">
        <f>(((VLOOKUP(B75,'Data qoq'!$A:$AT,MATCH($Y$1,'Data qoq'!$A$1:$AT$1,),))/100+1)^4)-1</f>
        <v/>
      </c>
      <c r="Z75" s="33">
        <f>(((VLOOKUP(B75,'Data qoq'!$A:$AU,MATCH($Z$1,'Data qoq'!$A$1:$AU$1,),))/100+1)^4)-1</f>
        <v/>
      </c>
      <c r="AA75" s="33">
        <f>(((VLOOKUP(B75,'Data qoq'!$A:$AU,MATCH($AA$1,'Data qoq'!$A$1:$AU$1,),))/100+1)^4)-1</f>
        <v/>
      </c>
      <c r="AC75" s="27">
        <f>B75</f>
        <v/>
      </c>
      <c r="AD75" s="32">
        <f>(VLOOKUP(AC75,B:Y,MATCH($AE$6,$B$1:$Y$1,),))-(VLOOKUP(AC75,B:Y,MATCH($AE$7,$B$1:$Y$1,),))</f>
        <v/>
      </c>
      <c r="AE75" s="28" t="n"/>
    </row>
    <row r="76">
      <c r="A76" s="31" t="n">
        <v>42522</v>
      </c>
      <c r="B76" s="25" t="inlineStr">
        <is>
          <t>2016-Q2</t>
        </is>
      </c>
      <c r="C76" s="33">
        <f>(((VLOOKUP(B76,'Data qoq'!$A:$AT,MATCH($C$1,'Data qoq'!$A$1:$AT$1,),))/100+1)^4)-1</f>
        <v/>
      </c>
      <c r="D76" s="33">
        <f>(((VLOOKUP(B76,'Data qoq'!$A:$AT,MATCH($D$1,'Data qoq'!$A$1:$AT$1,),))/100+1)^4)-1</f>
        <v/>
      </c>
      <c r="E76" s="33">
        <f>(((VLOOKUP(B76,'Data qoq'!$A:$AT,MATCH($E$1,'Data qoq'!$A$1:$AT$1,),))/100+1)^4)-1</f>
        <v/>
      </c>
      <c r="F76" s="33">
        <f>(((VLOOKUP(B76,'Data qoq'!$A:$AT,MATCH($F$1,'Data qoq'!$A$1:$AT$1,),))/100+1)^4)-1</f>
        <v/>
      </c>
      <c r="G76" s="33">
        <f>(((VLOOKUP(B76,'Data qoq'!$A:$AT,MATCH($G$1,'Data qoq'!$A$1:$AT$1,),))/100+1)^4)-1</f>
        <v/>
      </c>
      <c r="H76" s="33">
        <f>(((VLOOKUP(B76,'Data qoq'!$A:$AT,MATCH($H$1,'Data qoq'!$A$1:$AT$1,),))/100+1)^4)-1</f>
        <v/>
      </c>
      <c r="I76" s="33">
        <f>(((VLOOKUP(B76,'Data qoq'!$A:$AT,MATCH($I$1,'Data qoq'!$A$1:$AT$1,),))/100+1)^4)-1</f>
        <v/>
      </c>
      <c r="J76" s="33">
        <f>(((VLOOKUP(B76,'Data qoq'!$A:$AT,MATCH($J$1,'Data qoq'!$A$1:$AT$1,),))/100+1)^4)-1</f>
        <v/>
      </c>
      <c r="K76" s="33">
        <f>(((VLOOKUP(B76,'Data qoq'!$A:$AT,MATCH($K$1,'Data qoq'!$A$1:$AT$1,),))/100+1)^4)-1</f>
        <v/>
      </c>
      <c r="L76" s="33">
        <f>(((VLOOKUP(B76,'Data qoq'!$A:$AT,MATCH($L$1,'Data qoq'!$A$1:$AT$1,),))/100+1)^4)-1</f>
        <v/>
      </c>
      <c r="M76" s="33">
        <f>(((VLOOKUP(B76,'Data qoq'!$A:$AT,MATCH($M$1,'Data qoq'!$A$1:$AT$1,),))/100+1)^4)-1</f>
        <v/>
      </c>
      <c r="N76" s="33">
        <f>(((VLOOKUP(B76,'Data qoq'!$A:$AT,MATCH($N$1,'Data qoq'!$A$1:$AT$1,),))/100+1)^4)-1</f>
        <v/>
      </c>
      <c r="O76" s="33">
        <f>(((VLOOKUP(B76,'Data qoq'!$A:$AT,MATCH($O$1,'Data qoq'!$A$1:$AT$1,),))/100+1)^4)-1</f>
        <v/>
      </c>
      <c r="P76" s="33">
        <f>(((VLOOKUP(B76,'Data qoq'!$A:$AT,MATCH($P$1,'Data qoq'!$A$1:$AT$1,),))/100+1)^4)-1</f>
        <v/>
      </c>
      <c r="Q76" s="33">
        <f>(((VLOOKUP(B76,'Data qoq'!$A:$AT,MATCH($Q$1,'Data qoq'!$A$1:$AT$1,),))/100+1)^4)-1</f>
        <v/>
      </c>
      <c r="R76" s="33">
        <f>(((VLOOKUP(B76,'Data qoq'!$A:$AT,MATCH($R$1,'Data qoq'!$A$1:$AT$1,),))/100+1)^4)-1</f>
        <v/>
      </c>
      <c r="S76" s="33">
        <f>(((VLOOKUP(B76,'Data qoq'!$A:$AT,MATCH($S$1,'Data qoq'!$A$1:$AT$1,),))/100+1)^4)-1</f>
        <v/>
      </c>
      <c r="T76" s="33">
        <f>(((VLOOKUP(B76,'Data qoq'!$A:$AT,MATCH($T$1,'Data qoq'!$A$1:$AT$1,),))/100+1)^4)-1</f>
        <v/>
      </c>
      <c r="U76" s="33">
        <f>(((VLOOKUP(B76,'Data qoq'!$A:$AT,MATCH($U$1,'Data qoq'!$A$1:$AT$1,),))/100+1)^4)-1</f>
        <v/>
      </c>
      <c r="V76" s="33">
        <f>(((VLOOKUP(B76,'Data qoq'!$A:$AT,MATCH($V$1,'Data qoq'!$A$1:$AT$1,),))/100+1)^4)-1</f>
        <v/>
      </c>
      <c r="W76" s="33">
        <f>(((VLOOKUP(B76,'Data qoq'!$A:$AT,MATCH($W$1,'Data qoq'!$A$1:$AT$1,),))/100+1)^4)-1</f>
        <v/>
      </c>
      <c r="X76" s="33">
        <f>(((VLOOKUP(B76,'Data qoq'!$A:$AT,MATCH($X$1,'Data qoq'!$A$1:$AT$1,),))/100+1)^4)-1</f>
        <v/>
      </c>
      <c r="Y76" s="33">
        <f>(((VLOOKUP(B76,'Data qoq'!$A:$AT,MATCH($Y$1,'Data qoq'!$A$1:$AT$1,),))/100+1)^4)-1</f>
        <v/>
      </c>
      <c r="Z76" s="33">
        <f>(((VLOOKUP(B76,'Data qoq'!$A:$AU,MATCH($Z$1,'Data qoq'!$A$1:$AU$1,),))/100+1)^4)-1</f>
        <v/>
      </c>
      <c r="AA76" s="33">
        <f>(((VLOOKUP(B76,'Data qoq'!$A:$AU,MATCH($AA$1,'Data qoq'!$A$1:$AU$1,),))/100+1)^4)-1</f>
        <v/>
      </c>
      <c r="AC76" s="27">
        <f>B76</f>
        <v/>
      </c>
      <c r="AD76" s="32">
        <f>(VLOOKUP(AC76,B:Y,MATCH($AE$6,$B$1:$Y$1,),))-(VLOOKUP(AC76,B:Y,MATCH($AE$7,$B$1:$Y$1,),))</f>
        <v/>
      </c>
      <c r="AE76" s="28" t="n"/>
    </row>
    <row r="77">
      <c r="A77" s="31" t="n">
        <v>42614</v>
      </c>
      <c r="B77" s="25" t="inlineStr">
        <is>
          <t>2016-Q3</t>
        </is>
      </c>
      <c r="C77" s="33">
        <f>(((VLOOKUP(B77,'Data qoq'!$A:$AT,MATCH($C$1,'Data qoq'!$A$1:$AT$1,),))/100+1)^4)-1</f>
        <v/>
      </c>
      <c r="D77" s="33">
        <f>(((VLOOKUP(B77,'Data qoq'!$A:$AT,MATCH($D$1,'Data qoq'!$A$1:$AT$1,),))/100+1)^4)-1</f>
        <v/>
      </c>
      <c r="E77" s="33">
        <f>(((VLOOKUP(B77,'Data qoq'!$A:$AT,MATCH($E$1,'Data qoq'!$A$1:$AT$1,),))/100+1)^4)-1</f>
        <v/>
      </c>
      <c r="F77" s="33">
        <f>(((VLOOKUP(B77,'Data qoq'!$A:$AT,MATCH($F$1,'Data qoq'!$A$1:$AT$1,),))/100+1)^4)-1</f>
        <v/>
      </c>
      <c r="G77" s="33">
        <f>(((VLOOKUP(B77,'Data qoq'!$A:$AT,MATCH($G$1,'Data qoq'!$A$1:$AT$1,),))/100+1)^4)-1</f>
        <v/>
      </c>
      <c r="H77" s="33">
        <f>(((VLOOKUP(B77,'Data qoq'!$A:$AT,MATCH($H$1,'Data qoq'!$A$1:$AT$1,),))/100+1)^4)-1</f>
        <v/>
      </c>
      <c r="I77" s="33">
        <f>(((VLOOKUP(B77,'Data qoq'!$A:$AT,MATCH($I$1,'Data qoq'!$A$1:$AT$1,),))/100+1)^4)-1</f>
        <v/>
      </c>
      <c r="J77" s="33">
        <f>(((VLOOKUP(B77,'Data qoq'!$A:$AT,MATCH($J$1,'Data qoq'!$A$1:$AT$1,),))/100+1)^4)-1</f>
        <v/>
      </c>
      <c r="K77" s="33">
        <f>(((VLOOKUP(B77,'Data qoq'!$A:$AT,MATCH($K$1,'Data qoq'!$A$1:$AT$1,),))/100+1)^4)-1</f>
        <v/>
      </c>
      <c r="L77" s="33">
        <f>(((VLOOKUP(B77,'Data qoq'!$A:$AT,MATCH($L$1,'Data qoq'!$A$1:$AT$1,),))/100+1)^4)-1</f>
        <v/>
      </c>
      <c r="M77" s="33">
        <f>(((VLOOKUP(B77,'Data qoq'!$A:$AT,MATCH($M$1,'Data qoq'!$A$1:$AT$1,),))/100+1)^4)-1</f>
        <v/>
      </c>
      <c r="N77" s="33">
        <f>(((VLOOKUP(B77,'Data qoq'!$A:$AT,MATCH($N$1,'Data qoq'!$A$1:$AT$1,),))/100+1)^4)-1</f>
        <v/>
      </c>
      <c r="O77" s="33">
        <f>(((VLOOKUP(B77,'Data qoq'!$A:$AT,MATCH($O$1,'Data qoq'!$A$1:$AT$1,),))/100+1)^4)-1</f>
        <v/>
      </c>
      <c r="P77" s="33">
        <f>(((VLOOKUP(B77,'Data qoq'!$A:$AT,MATCH($P$1,'Data qoq'!$A$1:$AT$1,),))/100+1)^4)-1</f>
        <v/>
      </c>
      <c r="Q77" s="33">
        <f>(((VLOOKUP(B77,'Data qoq'!$A:$AT,MATCH($Q$1,'Data qoq'!$A$1:$AT$1,),))/100+1)^4)-1</f>
        <v/>
      </c>
      <c r="R77" s="33">
        <f>(((VLOOKUP(B77,'Data qoq'!$A:$AT,MATCH($R$1,'Data qoq'!$A$1:$AT$1,),))/100+1)^4)-1</f>
        <v/>
      </c>
      <c r="S77" s="33">
        <f>(((VLOOKUP(B77,'Data qoq'!$A:$AT,MATCH($S$1,'Data qoq'!$A$1:$AT$1,),))/100+1)^4)-1</f>
        <v/>
      </c>
      <c r="T77" s="33">
        <f>(((VLOOKUP(B77,'Data qoq'!$A:$AT,MATCH($T$1,'Data qoq'!$A$1:$AT$1,),))/100+1)^4)-1</f>
        <v/>
      </c>
      <c r="U77" s="33">
        <f>(((VLOOKUP(B77,'Data qoq'!$A:$AT,MATCH($U$1,'Data qoq'!$A$1:$AT$1,),))/100+1)^4)-1</f>
        <v/>
      </c>
      <c r="V77" s="33">
        <f>(((VLOOKUP(B77,'Data qoq'!$A:$AT,MATCH($V$1,'Data qoq'!$A$1:$AT$1,),))/100+1)^4)-1</f>
        <v/>
      </c>
      <c r="W77" s="33">
        <f>(((VLOOKUP(B77,'Data qoq'!$A:$AT,MATCH($W$1,'Data qoq'!$A$1:$AT$1,),))/100+1)^4)-1</f>
        <v/>
      </c>
      <c r="X77" s="33">
        <f>(((VLOOKUP(B77,'Data qoq'!$A:$AT,MATCH($X$1,'Data qoq'!$A$1:$AT$1,),))/100+1)^4)-1</f>
        <v/>
      </c>
      <c r="Y77" s="33">
        <f>(((VLOOKUP(B77,'Data qoq'!$A:$AT,MATCH($Y$1,'Data qoq'!$A$1:$AT$1,),))/100+1)^4)-1</f>
        <v/>
      </c>
      <c r="Z77" s="33">
        <f>(((VLOOKUP(B77,'Data qoq'!$A:$AU,MATCH($Z$1,'Data qoq'!$A$1:$AU$1,),))/100+1)^4)-1</f>
        <v/>
      </c>
      <c r="AA77" s="33">
        <f>(((VLOOKUP(B77,'Data qoq'!$A:$AU,MATCH($AA$1,'Data qoq'!$A$1:$AU$1,),))/100+1)^4)-1</f>
        <v/>
      </c>
      <c r="AC77" s="27">
        <f>B77</f>
        <v/>
      </c>
      <c r="AD77" s="32">
        <f>(VLOOKUP(AC77,B:Y,MATCH($AE$6,$B$1:$Y$1,),))-(VLOOKUP(AC77,B:Y,MATCH($AE$7,$B$1:$Y$1,),))</f>
        <v/>
      </c>
      <c r="AE77" s="28" t="n"/>
    </row>
    <row r="78">
      <c r="A78" s="31" t="n">
        <v>42705</v>
      </c>
      <c r="B78" s="25" t="inlineStr">
        <is>
          <t>2016-Q4</t>
        </is>
      </c>
      <c r="C78" s="33">
        <f>(((VLOOKUP(B78,'Data qoq'!$A:$AT,MATCH($C$1,'Data qoq'!$A$1:$AT$1,),))/100+1)^4)-1</f>
        <v/>
      </c>
      <c r="D78" s="33">
        <f>(((VLOOKUP(B78,'Data qoq'!$A:$AT,MATCH($D$1,'Data qoq'!$A$1:$AT$1,),))/100+1)^4)-1</f>
        <v/>
      </c>
      <c r="E78" s="33">
        <f>(((VLOOKUP(B78,'Data qoq'!$A:$AT,MATCH($E$1,'Data qoq'!$A$1:$AT$1,),))/100+1)^4)-1</f>
        <v/>
      </c>
      <c r="F78" s="33">
        <f>(((VLOOKUP(B78,'Data qoq'!$A:$AT,MATCH($F$1,'Data qoq'!$A$1:$AT$1,),))/100+1)^4)-1</f>
        <v/>
      </c>
      <c r="G78" s="33">
        <f>(((VLOOKUP(B78,'Data qoq'!$A:$AT,MATCH($G$1,'Data qoq'!$A$1:$AT$1,),))/100+1)^4)-1</f>
        <v/>
      </c>
      <c r="H78" s="33">
        <f>(((VLOOKUP(B78,'Data qoq'!$A:$AT,MATCH($H$1,'Data qoq'!$A$1:$AT$1,),))/100+1)^4)-1</f>
        <v/>
      </c>
      <c r="I78" s="33">
        <f>(((VLOOKUP(B78,'Data qoq'!$A:$AT,MATCH($I$1,'Data qoq'!$A$1:$AT$1,),))/100+1)^4)-1</f>
        <v/>
      </c>
      <c r="J78" s="33">
        <f>(((VLOOKUP(B78,'Data qoq'!$A:$AT,MATCH($J$1,'Data qoq'!$A$1:$AT$1,),))/100+1)^4)-1</f>
        <v/>
      </c>
      <c r="K78" s="33">
        <f>(((VLOOKUP(B78,'Data qoq'!$A:$AT,MATCH($K$1,'Data qoq'!$A$1:$AT$1,),))/100+1)^4)-1</f>
        <v/>
      </c>
      <c r="L78" s="33">
        <f>(((VLOOKUP(B78,'Data qoq'!$A:$AT,MATCH($L$1,'Data qoq'!$A$1:$AT$1,),))/100+1)^4)-1</f>
        <v/>
      </c>
      <c r="M78" s="33">
        <f>(((VLOOKUP(B78,'Data qoq'!$A:$AT,MATCH($M$1,'Data qoq'!$A$1:$AT$1,),))/100+1)^4)-1</f>
        <v/>
      </c>
      <c r="N78" s="33">
        <f>(((VLOOKUP(B78,'Data qoq'!$A:$AT,MATCH($N$1,'Data qoq'!$A$1:$AT$1,),))/100+1)^4)-1</f>
        <v/>
      </c>
      <c r="O78" s="33">
        <f>(((VLOOKUP(B78,'Data qoq'!$A:$AT,MATCH($O$1,'Data qoq'!$A$1:$AT$1,),))/100+1)^4)-1</f>
        <v/>
      </c>
      <c r="P78" s="33">
        <f>(((VLOOKUP(B78,'Data qoq'!$A:$AT,MATCH($P$1,'Data qoq'!$A$1:$AT$1,),))/100+1)^4)-1</f>
        <v/>
      </c>
      <c r="Q78" s="33">
        <f>(((VLOOKUP(B78,'Data qoq'!$A:$AT,MATCH($Q$1,'Data qoq'!$A$1:$AT$1,),))/100+1)^4)-1</f>
        <v/>
      </c>
      <c r="R78" s="33">
        <f>(((VLOOKUP(B78,'Data qoq'!$A:$AT,MATCH($R$1,'Data qoq'!$A$1:$AT$1,),))/100+1)^4)-1</f>
        <v/>
      </c>
      <c r="S78" s="33">
        <f>(((VLOOKUP(B78,'Data qoq'!$A:$AT,MATCH($S$1,'Data qoq'!$A$1:$AT$1,),))/100+1)^4)-1</f>
        <v/>
      </c>
      <c r="T78" s="33">
        <f>(((VLOOKUP(B78,'Data qoq'!$A:$AT,MATCH($T$1,'Data qoq'!$A$1:$AT$1,),))/100+1)^4)-1</f>
        <v/>
      </c>
      <c r="U78" s="33">
        <f>(((VLOOKUP(B78,'Data qoq'!$A:$AT,MATCH($U$1,'Data qoq'!$A$1:$AT$1,),))/100+1)^4)-1</f>
        <v/>
      </c>
      <c r="V78" s="33">
        <f>(((VLOOKUP(B78,'Data qoq'!$A:$AT,MATCH($V$1,'Data qoq'!$A$1:$AT$1,),))/100+1)^4)-1</f>
        <v/>
      </c>
      <c r="W78" s="33">
        <f>(((VLOOKUP(B78,'Data qoq'!$A:$AT,MATCH($W$1,'Data qoq'!$A$1:$AT$1,),))/100+1)^4)-1</f>
        <v/>
      </c>
      <c r="X78" s="33">
        <f>(((VLOOKUP(B78,'Data qoq'!$A:$AT,MATCH($X$1,'Data qoq'!$A$1:$AT$1,),))/100+1)^4)-1</f>
        <v/>
      </c>
      <c r="Y78" s="33">
        <f>(((VLOOKUP(B78,'Data qoq'!$A:$AT,MATCH($Y$1,'Data qoq'!$A$1:$AT$1,),))/100+1)^4)-1</f>
        <v/>
      </c>
      <c r="Z78" s="33">
        <f>(((VLOOKUP(B78,'Data qoq'!$A:$AU,MATCH($Z$1,'Data qoq'!$A$1:$AU$1,),))/100+1)^4)-1</f>
        <v/>
      </c>
      <c r="AA78" s="33">
        <f>(((VLOOKUP(B78,'Data qoq'!$A:$AU,MATCH($AA$1,'Data qoq'!$A$1:$AU$1,),))/100+1)^4)-1</f>
        <v/>
      </c>
      <c r="AC78" s="27">
        <f>B78</f>
        <v/>
      </c>
      <c r="AD78" s="32">
        <f>(VLOOKUP(AC78,B:Y,MATCH($AE$6,$B$1:$Y$1,),))-(VLOOKUP(AC78,B:Y,MATCH($AE$7,$B$1:$Y$1,),))</f>
        <v/>
      </c>
      <c r="AE78" s="28" t="n"/>
    </row>
    <row r="79">
      <c r="A79" s="31" t="n">
        <v>42795</v>
      </c>
      <c r="B79" s="25" t="inlineStr">
        <is>
          <t>2017-Q1</t>
        </is>
      </c>
      <c r="C79" s="33">
        <f>(((VLOOKUP(B79,'Data qoq'!$A:$AT,MATCH($C$1,'Data qoq'!$A$1:$AT$1,),))/100+1)^4)-1</f>
        <v/>
      </c>
      <c r="D79" s="33">
        <f>(((VLOOKUP(B79,'Data qoq'!$A:$AT,MATCH($D$1,'Data qoq'!$A$1:$AT$1,),))/100+1)^4)-1</f>
        <v/>
      </c>
      <c r="E79" s="33">
        <f>(((VLOOKUP(B79,'Data qoq'!$A:$AT,MATCH($E$1,'Data qoq'!$A$1:$AT$1,),))/100+1)^4)-1</f>
        <v/>
      </c>
      <c r="F79" s="33">
        <f>(((VLOOKUP(B79,'Data qoq'!$A:$AT,MATCH($F$1,'Data qoq'!$A$1:$AT$1,),))/100+1)^4)-1</f>
        <v/>
      </c>
      <c r="G79" s="33">
        <f>(((VLOOKUP(B79,'Data qoq'!$A:$AT,MATCH($G$1,'Data qoq'!$A$1:$AT$1,),))/100+1)^4)-1</f>
        <v/>
      </c>
      <c r="H79" s="33">
        <f>(((VLOOKUP(B79,'Data qoq'!$A:$AT,MATCH($H$1,'Data qoq'!$A$1:$AT$1,),))/100+1)^4)-1</f>
        <v/>
      </c>
      <c r="I79" s="33">
        <f>(((VLOOKUP(B79,'Data qoq'!$A:$AT,MATCH($I$1,'Data qoq'!$A$1:$AT$1,),))/100+1)^4)-1</f>
        <v/>
      </c>
      <c r="J79" s="33">
        <f>(((VLOOKUP(B79,'Data qoq'!$A:$AT,MATCH($J$1,'Data qoq'!$A$1:$AT$1,),))/100+1)^4)-1</f>
        <v/>
      </c>
      <c r="K79" s="33">
        <f>(((VLOOKUP(B79,'Data qoq'!$A:$AT,MATCH($K$1,'Data qoq'!$A$1:$AT$1,),))/100+1)^4)-1</f>
        <v/>
      </c>
      <c r="L79" s="33">
        <f>(((VLOOKUP(B79,'Data qoq'!$A:$AT,MATCH($L$1,'Data qoq'!$A$1:$AT$1,),))/100+1)^4)-1</f>
        <v/>
      </c>
      <c r="M79" s="33">
        <f>(((VLOOKUP(B79,'Data qoq'!$A:$AT,MATCH($M$1,'Data qoq'!$A$1:$AT$1,),))/100+1)^4)-1</f>
        <v/>
      </c>
      <c r="N79" s="33">
        <f>(((VLOOKUP(B79,'Data qoq'!$A:$AT,MATCH($N$1,'Data qoq'!$A$1:$AT$1,),))/100+1)^4)-1</f>
        <v/>
      </c>
      <c r="O79" s="33">
        <f>(((VLOOKUP(B79,'Data qoq'!$A:$AT,MATCH($O$1,'Data qoq'!$A$1:$AT$1,),))/100+1)^4)-1</f>
        <v/>
      </c>
      <c r="P79" s="33">
        <f>(((VLOOKUP(B79,'Data qoq'!$A:$AT,MATCH($P$1,'Data qoq'!$A$1:$AT$1,),))/100+1)^4)-1</f>
        <v/>
      </c>
      <c r="Q79" s="33">
        <f>(((VLOOKUP(B79,'Data qoq'!$A:$AT,MATCH($Q$1,'Data qoq'!$A$1:$AT$1,),))/100+1)^4)-1</f>
        <v/>
      </c>
      <c r="R79" s="33">
        <f>(((VLOOKUP(B79,'Data qoq'!$A:$AT,MATCH($R$1,'Data qoq'!$A$1:$AT$1,),))/100+1)^4)-1</f>
        <v/>
      </c>
      <c r="S79" s="33">
        <f>(((VLOOKUP(B79,'Data qoq'!$A:$AT,MATCH($S$1,'Data qoq'!$A$1:$AT$1,),))/100+1)^4)-1</f>
        <v/>
      </c>
      <c r="T79" s="33">
        <f>(((VLOOKUP(B79,'Data qoq'!$A:$AT,MATCH($T$1,'Data qoq'!$A$1:$AT$1,),))/100+1)^4)-1</f>
        <v/>
      </c>
      <c r="U79" s="33">
        <f>(((VLOOKUP(B79,'Data qoq'!$A:$AT,MATCH($U$1,'Data qoq'!$A$1:$AT$1,),))/100+1)^4)-1</f>
        <v/>
      </c>
      <c r="V79" s="33">
        <f>(((VLOOKUP(B79,'Data qoq'!$A:$AT,MATCH($V$1,'Data qoq'!$A$1:$AT$1,),))/100+1)^4)-1</f>
        <v/>
      </c>
      <c r="W79" s="33">
        <f>(((VLOOKUP(B79,'Data qoq'!$A:$AT,MATCH($W$1,'Data qoq'!$A$1:$AT$1,),))/100+1)^4)-1</f>
        <v/>
      </c>
      <c r="X79" s="33">
        <f>(((VLOOKUP(B79,'Data qoq'!$A:$AT,MATCH($X$1,'Data qoq'!$A$1:$AT$1,),))/100+1)^4)-1</f>
        <v/>
      </c>
      <c r="Y79" s="33">
        <f>(((VLOOKUP(B79,'Data qoq'!$A:$AT,MATCH($Y$1,'Data qoq'!$A$1:$AT$1,),))/100+1)^4)-1</f>
        <v/>
      </c>
      <c r="Z79" s="33">
        <f>(((VLOOKUP(B79,'Data qoq'!$A:$AU,MATCH($Z$1,'Data qoq'!$A$1:$AU$1,),))/100+1)^4)-1</f>
        <v/>
      </c>
      <c r="AA79" s="33">
        <f>(((VLOOKUP(B79,'Data qoq'!$A:$AU,MATCH($AA$1,'Data qoq'!$A$1:$AU$1,),))/100+1)^4)-1</f>
        <v/>
      </c>
      <c r="AC79" s="27">
        <f>B79</f>
        <v/>
      </c>
      <c r="AD79" s="32">
        <f>(VLOOKUP(AC79,B:Y,MATCH($AE$6,$B$1:$Y$1,),))-(VLOOKUP(AC79,B:Y,MATCH($AE$7,$B$1:$Y$1,),))</f>
        <v/>
      </c>
      <c r="AE79" s="28" t="n"/>
    </row>
    <row r="80">
      <c r="A80" s="31" t="n">
        <v>42887</v>
      </c>
      <c r="B80" s="25" t="inlineStr">
        <is>
          <t>2017-Q2</t>
        </is>
      </c>
      <c r="C80" s="33">
        <f>(((VLOOKUP(B80,'Data qoq'!$A:$AT,MATCH($C$1,'Data qoq'!$A$1:$AT$1,),))/100+1)^4)-1</f>
        <v/>
      </c>
      <c r="D80" s="33">
        <f>(((VLOOKUP(B80,'Data qoq'!$A:$AT,MATCH($D$1,'Data qoq'!$A$1:$AT$1,),))/100+1)^4)-1</f>
        <v/>
      </c>
      <c r="E80" s="33">
        <f>(((VLOOKUP(B80,'Data qoq'!$A:$AT,MATCH($E$1,'Data qoq'!$A$1:$AT$1,),))/100+1)^4)-1</f>
        <v/>
      </c>
      <c r="F80" s="33">
        <f>(((VLOOKUP(B80,'Data qoq'!$A:$AT,MATCH($F$1,'Data qoq'!$A$1:$AT$1,),))/100+1)^4)-1</f>
        <v/>
      </c>
      <c r="G80" s="33">
        <f>(((VLOOKUP(B80,'Data qoq'!$A:$AT,MATCH($G$1,'Data qoq'!$A$1:$AT$1,),))/100+1)^4)-1</f>
        <v/>
      </c>
      <c r="H80" s="33">
        <f>(((VLOOKUP(B80,'Data qoq'!$A:$AT,MATCH($H$1,'Data qoq'!$A$1:$AT$1,),))/100+1)^4)-1</f>
        <v/>
      </c>
      <c r="I80" s="33">
        <f>(((VLOOKUP(B80,'Data qoq'!$A:$AT,MATCH($I$1,'Data qoq'!$A$1:$AT$1,),))/100+1)^4)-1</f>
        <v/>
      </c>
      <c r="J80" s="33">
        <f>(((VLOOKUP(B80,'Data qoq'!$A:$AT,MATCH($J$1,'Data qoq'!$A$1:$AT$1,),))/100+1)^4)-1</f>
        <v/>
      </c>
      <c r="K80" s="33">
        <f>(((VLOOKUP(B80,'Data qoq'!$A:$AT,MATCH($K$1,'Data qoq'!$A$1:$AT$1,),))/100+1)^4)-1</f>
        <v/>
      </c>
      <c r="L80" s="33">
        <f>(((VLOOKUP(B80,'Data qoq'!$A:$AT,MATCH($L$1,'Data qoq'!$A$1:$AT$1,),))/100+1)^4)-1</f>
        <v/>
      </c>
      <c r="M80" s="33">
        <f>(((VLOOKUP(B80,'Data qoq'!$A:$AT,MATCH($M$1,'Data qoq'!$A$1:$AT$1,),))/100+1)^4)-1</f>
        <v/>
      </c>
      <c r="N80" s="33">
        <f>(((VLOOKUP(B80,'Data qoq'!$A:$AT,MATCH($N$1,'Data qoq'!$A$1:$AT$1,),))/100+1)^4)-1</f>
        <v/>
      </c>
      <c r="O80" s="33">
        <f>(((VLOOKUP(B80,'Data qoq'!$A:$AT,MATCH($O$1,'Data qoq'!$A$1:$AT$1,),))/100+1)^4)-1</f>
        <v/>
      </c>
      <c r="P80" s="33">
        <f>(((VLOOKUP(B80,'Data qoq'!$A:$AT,MATCH($P$1,'Data qoq'!$A$1:$AT$1,),))/100+1)^4)-1</f>
        <v/>
      </c>
      <c r="Q80" s="33">
        <f>(((VLOOKUP(B80,'Data qoq'!$A:$AT,MATCH($Q$1,'Data qoq'!$A$1:$AT$1,),))/100+1)^4)-1</f>
        <v/>
      </c>
      <c r="R80" s="33">
        <f>(((VLOOKUP(B80,'Data qoq'!$A:$AT,MATCH($R$1,'Data qoq'!$A$1:$AT$1,),))/100+1)^4)-1</f>
        <v/>
      </c>
      <c r="S80" s="33">
        <f>(((VLOOKUP(B80,'Data qoq'!$A:$AT,MATCH($S$1,'Data qoq'!$A$1:$AT$1,),))/100+1)^4)-1</f>
        <v/>
      </c>
      <c r="T80" s="33">
        <f>(((VLOOKUP(B80,'Data qoq'!$A:$AT,MATCH($T$1,'Data qoq'!$A$1:$AT$1,),))/100+1)^4)-1</f>
        <v/>
      </c>
      <c r="U80" s="33">
        <f>(((VLOOKUP(B80,'Data qoq'!$A:$AT,MATCH($U$1,'Data qoq'!$A$1:$AT$1,),))/100+1)^4)-1</f>
        <v/>
      </c>
      <c r="V80" s="33">
        <f>(((VLOOKUP(B80,'Data qoq'!$A:$AT,MATCH($V$1,'Data qoq'!$A$1:$AT$1,),))/100+1)^4)-1</f>
        <v/>
      </c>
      <c r="W80" s="33">
        <f>(((VLOOKUP(B80,'Data qoq'!$A:$AT,MATCH($W$1,'Data qoq'!$A$1:$AT$1,),))/100+1)^4)-1</f>
        <v/>
      </c>
      <c r="X80" s="33">
        <f>(((VLOOKUP(B80,'Data qoq'!$A:$AT,MATCH($X$1,'Data qoq'!$A$1:$AT$1,),))/100+1)^4)-1</f>
        <v/>
      </c>
      <c r="Y80" s="33">
        <f>(((VLOOKUP(B80,'Data qoq'!$A:$AT,MATCH($Y$1,'Data qoq'!$A$1:$AT$1,),))/100+1)^4)-1</f>
        <v/>
      </c>
      <c r="Z80" s="33">
        <f>(((VLOOKUP(B80,'Data qoq'!$A:$AU,MATCH($Z$1,'Data qoq'!$A$1:$AU$1,),))/100+1)^4)-1</f>
        <v/>
      </c>
      <c r="AA80" s="33">
        <f>(((VLOOKUP(B80,'Data qoq'!$A:$AU,MATCH($AA$1,'Data qoq'!$A$1:$AU$1,),))/100+1)^4)-1</f>
        <v/>
      </c>
      <c r="AC80" s="27">
        <f>B80</f>
        <v/>
      </c>
      <c r="AD80" s="32">
        <f>(VLOOKUP(AC80,B:Y,MATCH($AE$6,$B$1:$Y$1,),))-(VLOOKUP(AC80,B:Y,MATCH($AE$7,$B$1:$Y$1,),))</f>
        <v/>
      </c>
      <c r="AE80" s="28" t="n"/>
    </row>
    <row r="81">
      <c r="A81" s="31" t="n">
        <v>42979</v>
      </c>
      <c r="B81" s="25" t="inlineStr">
        <is>
          <t>2017-Q3</t>
        </is>
      </c>
      <c r="C81" s="33">
        <f>(((VLOOKUP(B81,'Data qoq'!$A:$AT,MATCH($C$1,'Data qoq'!$A$1:$AT$1,),))/100+1)^4)-1</f>
        <v/>
      </c>
      <c r="D81" s="33">
        <f>(((VLOOKUP(B81,'Data qoq'!$A:$AT,MATCH($D$1,'Data qoq'!$A$1:$AT$1,),))/100+1)^4)-1</f>
        <v/>
      </c>
      <c r="E81" s="33">
        <f>(((VLOOKUP(B81,'Data qoq'!$A:$AT,MATCH($E$1,'Data qoq'!$A$1:$AT$1,),))/100+1)^4)-1</f>
        <v/>
      </c>
      <c r="F81" s="33">
        <f>(((VLOOKUP(B81,'Data qoq'!$A:$AT,MATCH($F$1,'Data qoq'!$A$1:$AT$1,),))/100+1)^4)-1</f>
        <v/>
      </c>
      <c r="G81" s="33">
        <f>(((VLOOKUP(B81,'Data qoq'!$A:$AT,MATCH($G$1,'Data qoq'!$A$1:$AT$1,),))/100+1)^4)-1</f>
        <v/>
      </c>
      <c r="H81" s="33">
        <f>(((VLOOKUP(B81,'Data qoq'!$A:$AT,MATCH($H$1,'Data qoq'!$A$1:$AT$1,),))/100+1)^4)-1</f>
        <v/>
      </c>
      <c r="I81" s="33">
        <f>(((VLOOKUP(B81,'Data qoq'!$A:$AT,MATCH($I$1,'Data qoq'!$A$1:$AT$1,),))/100+1)^4)-1</f>
        <v/>
      </c>
      <c r="J81" s="33">
        <f>(((VLOOKUP(B81,'Data qoq'!$A:$AT,MATCH($J$1,'Data qoq'!$A$1:$AT$1,),))/100+1)^4)-1</f>
        <v/>
      </c>
      <c r="K81" s="33">
        <f>(((VLOOKUP(B81,'Data qoq'!$A:$AT,MATCH($K$1,'Data qoq'!$A$1:$AT$1,),))/100+1)^4)-1</f>
        <v/>
      </c>
      <c r="L81" s="33">
        <f>(((VLOOKUP(B81,'Data qoq'!$A:$AT,MATCH($L$1,'Data qoq'!$A$1:$AT$1,),))/100+1)^4)-1</f>
        <v/>
      </c>
      <c r="M81" s="33">
        <f>(((VLOOKUP(B81,'Data qoq'!$A:$AT,MATCH($M$1,'Data qoq'!$A$1:$AT$1,),))/100+1)^4)-1</f>
        <v/>
      </c>
      <c r="N81" s="33">
        <f>(((VLOOKUP(B81,'Data qoq'!$A:$AT,MATCH($N$1,'Data qoq'!$A$1:$AT$1,),))/100+1)^4)-1</f>
        <v/>
      </c>
      <c r="O81" s="33">
        <f>(((VLOOKUP(B81,'Data qoq'!$A:$AT,MATCH($O$1,'Data qoq'!$A$1:$AT$1,),))/100+1)^4)-1</f>
        <v/>
      </c>
      <c r="P81" s="33">
        <f>(((VLOOKUP(B81,'Data qoq'!$A:$AT,MATCH($P$1,'Data qoq'!$A$1:$AT$1,),))/100+1)^4)-1</f>
        <v/>
      </c>
      <c r="Q81" s="33">
        <f>(((VLOOKUP(B81,'Data qoq'!$A:$AT,MATCH($Q$1,'Data qoq'!$A$1:$AT$1,),))/100+1)^4)-1</f>
        <v/>
      </c>
      <c r="R81" s="33">
        <f>(((VLOOKUP(B81,'Data qoq'!$A:$AT,MATCH($R$1,'Data qoq'!$A$1:$AT$1,),))/100+1)^4)-1</f>
        <v/>
      </c>
      <c r="S81" s="33">
        <f>(((VLOOKUP(B81,'Data qoq'!$A:$AT,MATCH($S$1,'Data qoq'!$A$1:$AT$1,),))/100+1)^4)-1</f>
        <v/>
      </c>
      <c r="T81" s="33">
        <f>(((VLOOKUP(B81,'Data qoq'!$A:$AT,MATCH($T$1,'Data qoq'!$A$1:$AT$1,),))/100+1)^4)-1</f>
        <v/>
      </c>
      <c r="U81" s="33">
        <f>(((VLOOKUP(B81,'Data qoq'!$A:$AT,MATCH($U$1,'Data qoq'!$A$1:$AT$1,),))/100+1)^4)-1</f>
        <v/>
      </c>
      <c r="V81" s="33">
        <f>(((VLOOKUP(B81,'Data qoq'!$A:$AT,MATCH($V$1,'Data qoq'!$A$1:$AT$1,),))/100+1)^4)-1</f>
        <v/>
      </c>
      <c r="W81" s="33">
        <f>(((VLOOKUP(B81,'Data qoq'!$A:$AT,MATCH($W$1,'Data qoq'!$A$1:$AT$1,),))/100+1)^4)-1</f>
        <v/>
      </c>
      <c r="X81" s="33">
        <f>(((VLOOKUP(B81,'Data qoq'!$A:$AT,MATCH($X$1,'Data qoq'!$A$1:$AT$1,),))/100+1)^4)-1</f>
        <v/>
      </c>
      <c r="Y81" s="33">
        <f>(((VLOOKUP(B81,'Data qoq'!$A:$AT,MATCH($Y$1,'Data qoq'!$A$1:$AT$1,),))/100+1)^4)-1</f>
        <v/>
      </c>
      <c r="Z81" s="33">
        <f>(((VLOOKUP(B81,'Data qoq'!$A:$AU,MATCH($Z$1,'Data qoq'!$A$1:$AU$1,),))/100+1)^4)-1</f>
        <v/>
      </c>
      <c r="AA81" s="33">
        <f>(((VLOOKUP(B81,'Data qoq'!$A:$AU,MATCH($AA$1,'Data qoq'!$A$1:$AU$1,),))/100+1)^4)-1</f>
        <v/>
      </c>
      <c r="AC81" s="27">
        <f>B81</f>
        <v/>
      </c>
      <c r="AD81" s="32">
        <f>(VLOOKUP(AC81,B:Y,MATCH($AE$6,$B$1:$Y$1,),))-(VLOOKUP(AC81,B:Y,MATCH($AE$7,$B$1:$Y$1,),))</f>
        <v/>
      </c>
      <c r="AE81" s="28" t="n"/>
    </row>
    <row r="82">
      <c r="A82" s="31" t="n">
        <v>43070</v>
      </c>
      <c r="B82" s="25" t="inlineStr">
        <is>
          <t>2017-Q4</t>
        </is>
      </c>
      <c r="C82" s="33">
        <f>(((VLOOKUP(B82,'Data qoq'!$A:$AT,MATCH($C$1,'Data qoq'!$A$1:$AT$1,),))/100+1)^4)-1</f>
        <v/>
      </c>
      <c r="D82" s="33">
        <f>(((VLOOKUP(B82,'Data qoq'!$A:$AT,MATCH($D$1,'Data qoq'!$A$1:$AT$1,),))/100+1)^4)-1</f>
        <v/>
      </c>
      <c r="E82" s="33">
        <f>(((VLOOKUP(B82,'Data qoq'!$A:$AT,MATCH($E$1,'Data qoq'!$A$1:$AT$1,),))/100+1)^4)-1</f>
        <v/>
      </c>
      <c r="F82" s="33">
        <f>(((VLOOKUP(B82,'Data qoq'!$A:$AT,MATCH($F$1,'Data qoq'!$A$1:$AT$1,),))/100+1)^4)-1</f>
        <v/>
      </c>
      <c r="G82" s="33">
        <f>(((VLOOKUP(B82,'Data qoq'!$A:$AT,MATCH($G$1,'Data qoq'!$A$1:$AT$1,),))/100+1)^4)-1</f>
        <v/>
      </c>
      <c r="H82" s="33">
        <f>(((VLOOKUP(B82,'Data qoq'!$A:$AT,MATCH($H$1,'Data qoq'!$A$1:$AT$1,),))/100+1)^4)-1</f>
        <v/>
      </c>
      <c r="I82" s="33">
        <f>(((VLOOKUP(B82,'Data qoq'!$A:$AT,MATCH($I$1,'Data qoq'!$A$1:$AT$1,),))/100+1)^4)-1</f>
        <v/>
      </c>
      <c r="J82" s="33">
        <f>(((VLOOKUP(B82,'Data qoq'!$A:$AT,MATCH($J$1,'Data qoq'!$A$1:$AT$1,),))/100+1)^4)-1</f>
        <v/>
      </c>
      <c r="K82" s="33">
        <f>(((VLOOKUP(B82,'Data qoq'!$A:$AT,MATCH($K$1,'Data qoq'!$A$1:$AT$1,),))/100+1)^4)-1</f>
        <v/>
      </c>
      <c r="L82" s="33">
        <f>(((VLOOKUP(B82,'Data qoq'!$A:$AT,MATCH($L$1,'Data qoq'!$A$1:$AT$1,),))/100+1)^4)-1</f>
        <v/>
      </c>
      <c r="M82" s="33">
        <f>(((VLOOKUP(B82,'Data qoq'!$A:$AT,MATCH($M$1,'Data qoq'!$A$1:$AT$1,),))/100+1)^4)-1</f>
        <v/>
      </c>
      <c r="N82" s="33">
        <f>(((VLOOKUP(B82,'Data qoq'!$A:$AT,MATCH($N$1,'Data qoq'!$A$1:$AT$1,),))/100+1)^4)-1</f>
        <v/>
      </c>
      <c r="O82" s="33">
        <f>(((VLOOKUP(B82,'Data qoq'!$A:$AT,MATCH($O$1,'Data qoq'!$A$1:$AT$1,),))/100+1)^4)-1</f>
        <v/>
      </c>
      <c r="P82" s="33">
        <f>(((VLOOKUP(B82,'Data qoq'!$A:$AT,MATCH($P$1,'Data qoq'!$A$1:$AT$1,),))/100+1)^4)-1</f>
        <v/>
      </c>
      <c r="Q82" s="33">
        <f>(((VLOOKUP(B82,'Data qoq'!$A:$AT,MATCH($Q$1,'Data qoq'!$A$1:$AT$1,),))/100+1)^4)-1</f>
        <v/>
      </c>
      <c r="R82" s="33">
        <f>(((VLOOKUP(B82,'Data qoq'!$A:$AT,MATCH($R$1,'Data qoq'!$A$1:$AT$1,),))/100+1)^4)-1</f>
        <v/>
      </c>
      <c r="S82" s="33">
        <f>(((VLOOKUP(B82,'Data qoq'!$A:$AT,MATCH($S$1,'Data qoq'!$A$1:$AT$1,),))/100+1)^4)-1</f>
        <v/>
      </c>
      <c r="T82" s="33">
        <f>(((VLOOKUP(B82,'Data qoq'!$A:$AT,MATCH($T$1,'Data qoq'!$A$1:$AT$1,),))/100+1)^4)-1</f>
        <v/>
      </c>
      <c r="U82" s="33">
        <f>(((VLOOKUP(B82,'Data qoq'!$A:$AT,MATCH($U$1,'Data qoq'!$A$1:$AT$1,),))/100+1)^4)-1</f>
        <v/>
      </c>
      <c r="V82" s="33">
        <f>(((VLOOKUP(B82,'Data qoq'!$A:$AT,MATCH($V$1,'Data qoq'!$A$1:$AT$1,),))/100+1)^4)-1</f>
        <v/>
      </c>
      <c r="W82" s="33">
        <f>(((VLOOKUP(B82,'Data qoq'!$A:$AT,MATCH($W$1,'Data qoq'!$A$1:$AT$1,),))/100+1)^4)-1</f>
        <v/>
      </c>
      <c r="X82" s="33">
        <f>(((VLOOKUP(B82,'Data qoq'!$A:$AT,MATCH($X$1,'Data qoq'!$A$1:$AT$1,),))/100+1)^4)-1</f>
        <v/>
      </c>
      <c r="Y82" s="33">
        <f>(((VLOOKUP(B82,'Data qoq'!$A:$AT,MATCH($Y$1,'Data qoq'!$A$1:$AT$1,),))/100+1)^4)-1</f>
        <v/>
      </c>
      <c r="Z82" s="33">
        <f>(((VLOOKUP(B82,'Data qoq'!$A:$AU,MATCH($Z$1,'Data qoq'!$A$1:$AU$1,),))/100+1)^4)-1</f>
        <v/>
      </c>
      <c r="AA82" s="33">
        <f>(((VLOOKUP(B82,'Data qoq'!$A:$AU,MATCH($AA$1,'Data qoq'!$A$1:$AU$1,),))/100+1)^4)-1</f>
        <v/>
      </c>
      <c r="AC82" s="27">
        <f>B82</f>
        <v/>
      </c>
      <c r="AD82" s="32">
        <f>(VLOOKUP(AC82,B:Y,MATCH($AE$6,$B$1:$Y$1,),))-(VLOOKUP(AC82,B:Y,MATCH($AE$7,$B$1:$Y$1,),))</f>
        <v/>
      </c>
      <c r="AE82" s="28" t="n"/>
    </row>
    <row r="83">
      <c r="A83" s="31" t="n">
        <v>43160</v>
      </c>
      <c r="B83" s="25" t="inlineStr">
        <is>
          <t>2018-Q1</t>
        </is>
      </c>
      <c r="C83" s="33">
        <f>(((VLOOKUP(B83,'Data qoq'!$A:$AT,MATCH($C$1,'Data qoq'!$A$1:$AT$1,),))/100+1)^4)-1</f>
        <v/>
      </c>
      <c r="D83" s="33">
        <f>(((VLOOKUP(B83,'Data qoq'!$A:$AT,MATCH($D$1,'Data qoq'!$A$1:$AT$1,),))/100+1)^4)-1</f>
        <v/>
      </c>
      <c r="E83" s="33">
        <f>(((VLOOKUP(B83,'Data qoq'!$A:$AT,MATCH($E$1,'Data qoq'!$A$1:$AT$1,),))/100+1)^4)-1</f>
        <v/>
      </c>
      <c r="F83" s="33">
        <f>(((VLOOKUP(B83,'Data qoq'!$A:$AT,MATCH($F$1,'Data qoq'!$A$1:$AT$1,),))/100+1)^4)-1</f>
        <v/>
      </c>
      <c r="G83" s="33">
        <f>(((VLOOKUP(B83,'Data qoq'!$A:$AT,MATCH($G$1,'Data qoq'!$A$1:$AT$1,),))/100+1)^4)-1</f>
        <v/>
      </c>
      <c r="H83" s="33">
        <f>(((VLOOKUP(B83,'Data qoq'!$A:$AT,MATCH($H$1,'Data qoq'!$A$1:$AT$1,),))/100+1)^4)-1</f>
        <v/>
      </c>
      <c r="I83" s="33">
        <f>(((VLOOKUP(B83,'Data qoq'!$A:$AT,MATCH($I$1,'Data qoq'!$A$1:$AT$1,),))/100+1)^4)-1</f>
        <v/>
      </c>
      <c r="J83" s="33">
        <f>(((VLOOKUP(B83,'Data qoq'!$A:$AT,MATCH($J$1,'Data qoq'!$A$1:$AT$1,),))/100+1)^4)-1</f>
        <v/>
      </c>
      <c r="K83" s="33">
        <f>(((VLOOKUP(B83,'Data qoq'!$A:$AT,MATCH($K$1,'Data qoq'!$A$1:$AT$1,),))/100+1)^4)-1</f>
        <v/>
      </c>
      <c r="L83" s="33">
        <f>(((VLOOKUP(B83,'Data qoq'!$A:$AT,MATCH($L$1,'Data qoq'!$A$1:$AT$1,),))/100+1)^4)-1</f>
        <v/>
      </c>
      <c r="M83" s="33">
        <f>(((VLOOKUP(B83,'Data qoq'!$A:$AT,MATCH($M$1,'Data qoq'!$A$1:$AT$1,),))/100+1)^4)-1</f>
        <v/>
      </c>
      <c r="N83" s="33">
        <f>(((VLOOKUP(B83,'Data qoq'!$A:$AT,MATCH($N$1,'Data qoq'!$A$1:$AT$1,),))/100+1)^4)-1</f>
        <v/>
      </c>
      <c r="O83" s="33">
        <f>(((VLOOKUP(B83,'Data qoq'!$A:$AT,MATCH($O$1,'Data qoq'!$A$1:$AT$1,),))/100+1)^4)-1</f>
        <v/>
      </c>
      <c r="P83" s="33">
        <f>(((VLOOKUP(B83,'Data qoq'!$A:$AT,MATCH($P$1,'Data qoq'!$A$1:$AT$1,),))/100+1)^4)-1</f>
        <v/>
      </c>
      <c r="Q83" s="33">
        <f>(((VLOOKUP(B83,'Data qoq'!$A:$AT,MATCH($Q$1,'Data qoq'!$A$1:$AT$1,),))/100+1)^4)-1</f>
        <v/>
      </c>
      <c r="R83" s="33">
        <f>(((VLOOKUP(B83,'Data qoq'!$A:$AT,MATCH($R$1,'Data qoq'!$A$1:$AT$1,),))/100+1)^4)-1</f>
        <v/>
      </c>
      <c r="S83" s="33">
        <f>(((VLOOKUP(B83,'Data qoq'!$A:$AT,MATCH($S$1,'Data qoq'!$A$1:$AT$1,),))/100+1)^4)-1</f>
        <v/>
      </c>
      <c r="T83" s="33">
        <f>(((VLOOKUP(B83,'Data qoq'!$A:$AT,MATCH($T$1,'Data qoq'!$A$1:$AT$1,),))/100+1)^4)-1</f>
        <v/>
      </c>
      <c r="U83" s="33">
        <f>(((VLOOKUP(B83,'Data qoq'!$A:$AT,MATCH($U$1,'Data qoq'!$A$1:$AT$1,),))/100+1)^4)-1</f>
        <v/>
      </c>
      <c r="V83" s="33">
        <f>(((VLOOKUP(B83,'Data qoq'!$A:$AT,MATCH($V$1,'Data qoq'!$A$1:$AT$1,),))/100+1)^4)-1</f>
        <v/>
      </c>
      <c r="W83" s="33">
        <f>(((VLOOKUP(B83,'Data qoq'!$A:$AT,MATCH($W$1,'Data qoq'!$A$1:$AT$1,),))/100+1)^4)-1</f>
        <v/>
      </c>
      <c r="X83" s="33">
        <f>(((VLOOKUP(B83,'Data qoq'!$A:$AT,MATCH($X$1,'Data qoq'!$A$1:$AT$1,),))/100+1)^4)-1</f>
        <v/>
      </c>
      <c r="Y83" s="33">
        <f>(((VLOOKUP(B83,'Data qoq'!$A:$AT,MATCH($Y$1,'Data qoq'!$A$1:$AT$1,),))/100+1)^4)-1</f>
        <v/>
      </c>
      <c r="Z83" s="33">
        <f>(((VLOOKUP(B83,'Data qoq'!$A:$AU,MATCH($Z$1,'Data qoq'!$A$1:$AU$1,),))/100+1)^4)-1</f>
        <v/>
      </c>
      <c r="AA83" s="33">
        <f>(((VLOOKUP(B83,'Data qoq'!$A:$AU,MATCH($AA$1,'Data qoq'!$A$1:$AU$1,),))/100+1)^4)-1</f>
        <v/>
      </c>
      <c r="AC83" s="27">
        <f>B83</f>
        <v/>
      </c>
      <c r="AD83" s="32">
        <f>(VLOOKUP(AC83,B:Y,MATCH($AE$6,$B$1:$Y$1,),))-(VLOOKUP(AC83,B:Y,MATCH($AE$7,$B$1:$Y$1,),))</f>
        <v/>
      </c>
      <c r="AE83" s="28" t="n"/>
    </row>
    <row r="84" customFormat="1" s="93">
      <c r="A84" s="31" t="n">
        <v>43252</v>
      </c>
      <c r="B84" s="25" t="inlineStr">
        <is>
          <t>2018-Q2</t>
        </is>
      </c>
      <c r="C84" s="33">
        <f>(((VLOOKUP(B84,'Data qoq'!$A:$AT,MATCH($C$1,'Data qoq'!$A$1:$AT$1,),))/100+1)^4)-1</f>
        <v/>
      </c>
      <c r="D84" s="33">
        <f>(((VLOOKUP(B84,'Data qoq'!$A:$AT,MATCH($D$1,'Data qoq'!$A$1:$AT$1,),))/100+1)^4)-1</f>
        <v/>
      </c>
      <c r="E84" s="33">
        <f>(((VLOOKUP(B84,'Data qoq'!$A:$AT,MATCH($E$1,'Data qoq'!$A$1:$AT$1,),))/100+1)^4)-1</f>
        <v/>
      </c>
      <c r="F84" s="33">
        <f>(((VLOOKUP(B84,'Data qoq'!$A:$AT,MATCH($F$1,'Data qoq'!$A$1:$AT$1,),))/100+1)^4)-1</f>
        <v/>
      </c>
      <c r="G84" s="33">
        <f>(((VLOOKUP(B84,'Data qoq'!$A:$AT,MATCH($G$1,'Data qoq'!$A$1:$AT$1,),))/100+1)^4)-1</f>
        <v/>
      </c>
      <c r="H84" s="33">
        <f>(((VLOOKUP(B84,'Data qoq'!$A:$AT,MATCH($H$1,'Data qoq'!$A$1:$AT$1,),))/100+1)^4)-1</f>
        <v/>
      </c>
      <c r="I84" s="33">
        <f>(((VLOOKUP(B84,'Data qoq'!$A:$AT,MATCH($I$1,'Data qoq'!$A$1:$AT$1,),))/100+1)^4)-1</f>
        <v/>
      </c>
      <c r="J84" s="33">
        <f>(((VLOOKUP(B84,'Data qoq'!$A:$AT,MATCH($J$1,'Data qoq'!$A$1:$AT$1,),))/100+1)^4)-1</f>
        <v/>
      </c>
      <c r="K84" s="33">
        <f>(((VLOOKUP(B84,'Data qoq'!$A:$AT,MATCH($K$1,'Data qoq'!$A$1:$AT$1,),))/100+1)^4)-1</f>
        <v/>
      </c>
      <c r="L84" s="33">
        <f>(((VLOOKUP(B84,'Data qoq'!$A:$AT,MATCH($L$1,'Data qoq'!$A$1:$AT$1,),))/100+1)^4)-1</f>
        <v/>
      </c>
      <c r="M84" s="33">
        <f>(((VLOOKUP(B84,'Data qoq'!$A:$AT,MATCH($M$1,'Data qoq'!$A$1:$AT$1,),))/100+1)^4)-1</f>
        <v/>
      </c>
      <c r="N84" s="33">
        <f>(((VLOOKUP(B84,'Data qoq'!$A:$AT,MATCH($N$1,'Data qoq'!$A$1:$AT$1,),))/100+1)^4)-1</f>
        <v/>
      </c>
      <c r="O84" s="33">
        <f>(((VLOOKUP(B84,'Data qoq'!$A:$AT,MATCH($O$1,'Data qoq'!$A$1:$AT$1,),))/100+1)^4)-1</f>
        <v/>
      </c>
      <c r="P84" s="33">
        <f>(((VLOOKUP(B84,'Data qoq'!$A:$AT,MATCH($P$1,'Data qoq'!$A$1:$AT$1,),))/100+1)^4)-1</f>
        <v/>
      </c>
      <c r="Q84" s="33">
        <f>(((VLOOKUP(B84,'Data qoq'!$A:$AT,MATCH($Q$1,'Data qoq'!$A$1:$AT$1,),))/100+1)^4)-1</f>
        <v/>
      </c>
      <c r="R84" s="33">
        <f>(((VLOOKUP(B84,'Data qoq'!$A:$AT,MATCH($R$1,'Data qoq'!$A$1:$AT$1,),))/100+1)^4)-1</f>
        <v/>
      </c>
      <c r="S84" s="33">
        <f>(((VLOOKUP(B84,'Data qoq'!$A:$AT,MATCH($S$1,'Data qoq'!$A$1:$AT$1,),))/100+1)^4)-1</f>
        <v/>
      </c>
      <c r="T84" s="33">
        <f>(((VLOOKUP(B84,'Data qoq'!$A:$AT,MATCH($T$1,'Data qoq'!$A$1:$AT$1,),))/100+1)^4)-1</f>
        <v/>
      </c>
      <c r="U84" s="33">
        <f>(((VLOOKUP(B84,'Data qoq'!$A:$AT,MATCH($U$1,'Data qoq'!$A$1:$AT$1,),))/100+1)^4)-1</f>
        <v/>
      </c>
      <c r="V84" s="33">
        <f>(((VLOOKUP(B84,'Data qoq'!$A:$AT,MATCH($V$1,'Data qoq'!$A$1:$AT$1,),))/100+1)^4)-1</f>
        <v/>
      </c>
      <c r="W84" s="33">
        <f>(((VLOOKUP(B84,'Data qoq'!$A:$AT,MATCH($W$1,'Data qoq'!$A$1:$AT$1,),))/100+1)^4)-1</f>
        <v/>
      </c>
      <c r="X84" s="33">
        <f>(((VLOOKUP(B84,'Data qoq'!$A:$AT,MATCH($X$1,'Data qoq'!$A$1:$AT$1,),))/100+1)^4)-1</f>
        <v/>
      </c>
      <c r="Y84" s="33">
        <f>(((VLOOKUP(B84,'Data qoq'!$A:$AT,MATCH($Y$1,'Data qoq'!$A$1:$AT$1,),))/100+1)^4)-1</f>
        <v/>
      </c>
      <c r="Z84" s="33">
        <f>(((VLOOKUP(B84,'Data qoq'!$A:$AU,MATCH($Z$1,'Data qoq'!$A$1:$AU$1,),))/100+1)^4)-1</f>
        <v/>
      </c>
      <c r="AA84" s="33">
        <f>(((VLOOKUP(B84,'Data qoq'!$A:$AU,MATCH($AA$1,'Data qoq'!$A$1:$AU$1,),))/100+1)^4)-1</f>
        <v/>
      </c>
      <c r="AC84" s="27">
        <f>B84</f>
        <v/>
      </c>
      <c r="AD84" s="32">
        <f>(VLOOKUP(AC84,B:Y,MATCH($AE$6,$B$1:$Y$1,),))-(VLOOKUP(AC84,B:Y,MATCH($AE$7,$B$1:$Y$1,),))</f>
        <v/>
      </c>
    </row>
    <row r="85" customFormat="1" s="93">
      <c r="A85" s="31" t="n">
        <v>43344</v>
      </c>
      <c r="B85" s="25" t="inlineStr">
        <is>
          <t>2018-Q3</t>
        </is>
      </c>
      <c r="C85" s="33">
        <f>(((VLOOKUP(B85,'Data qoq'!$A:$AT,MATCH($C$1,'Data qoq'!$A$1:$AT$1,),))/100+1)^4)-1</f>
        <v/>
      </c>
      <c r="D85" s="33">
        <f>(((VLOOKUP(B85,'Data qoq'!$A:$AT,MATCH($D$1,'Data qoq'!$A$1:$AT$1,),))/100+1)^4)-1</f>
        <v/>
      </c>
      <c r="E85" s="33">
        <f>(((VLOOKUP(B85,'Data qoq'!$A:$AT,MATCH($E$1,'Data qoq'!$A$1:$AT$1,),))/100+1)^4)-1</f>
        <v/>
      </c>
      <c r="F85" s="33">
        <f>(((VLOOKUP(B85,'Data qoq'!$A:$AT,MATCH($F$1,'Data qoq'!$A$1:$AT$1,),))/100+1)^4)-1</f>
        <v/>
      </c>
      <c r="G85" s="33">
        <f>(((VLOOKUP(B85,'Data qoq'!$A:$AT,MATCH($G$1,'Data qoq'!$A$1:$AT$1,),))/100+1)^4)-1</f>
        <v/>
      </c>
      <c r="H85" s="33">
        <f>(((VLOOKUP(B85,'Data qoq'!$A:$AT,MATCH($H$1,'Data qoq'!$A$1:$AT$1,),))/100+1)^4)-1</f>
        <v/>
      </c>
      <c r="I85" s="33">
        <f>(((VLOOKUP(B85,'Data qoq'!$A:$AT,MATCH($I$1,'Data qoq'!$A$1:$AT$1,),))/100+1)^4)-1</f>
        <v/>
      </c>
      <c r="J85" s="33">
        <f>(((VLOOKUP(B85,'Data qoq'!$A:$AT,MATCH($J$1,'Data qoq'!$A$1:$AT$1,),))/100+1)^4)-1</f>
        <v/>
      </c>
      <c r="K85" s="33">
        <f>(((VLOOKUP(B85,'Data qoq'!$A:$AT,MATCH($K$1,'Data qoq'!$A$1:$AT$1,),))/100+1)^4)-1</f>
        <v/>
      </c>
      <c r="L85" s="33">
        <f>(((VLOOKUP(B85,'Data qoq'!$A:$AT,MATCH($L$1,'Data qoq'!$A$1:$AT$1,),))/100+1)^4)-1</f>
        <v/>
      </c>
      <c r="M85" s="33">
        <f>(((VLOOKUP(B85,'Data qoq'!$A:$AT,MATCH($M$1,'Data qoq'!$A$1:$AT$1,),))/100+1)^4)-1</f>
        <v/>
      </c>
      <c r="N85" s="33">
        <f>(((VLOOKUP(B85,'Data qoq'!$A:$AT,MATCH($N$1,'Data qoq'!$A$1:$AT$1,),))/100+1)^4)-1</f>
        <v/>
      </c>
      <c r="O85" s="33">
        <f>(((VLOOKUP(B85,'Data qoq'!$A:$AT,MATCH($O$1,'Data qoq'!$A$1:$AT$1,),))/100+1)^4)-1</f>
        <v/>
      </c>
      <c r="P85" s="33">
        <f>(((VLOOKUP(B85,'Data qoq'!$A:$AT,MATCH($P$1,'Data qoq'!$A$1:$AT$1,),))/100+1)^4)-1</f>
        <v/>
      </c>
      <c r="Q85" s="33">
        <f>(((VLOOKUP(B85,'Data qoq'!$A:$AT,MATCH($Q$1,'Data qoq'!$A$1:$AT$1,),))/100+1)^4)-1</f>
        <v/>
      </c>
      <c r="R85" s="33">
        <f>(((VLOOKUP(B85,'Data qoq'!$A:$AT,MATCH($R$1,'Data qoq'!$A$1:$AT$1,),))/100+1)^4)-1</f>
        <v/>
      </c>
      <c r="S85" s="33">
        <f>(((VLOOKUP(B85,'Data qoq'!$A:$AT,MATCH($S$1,'Data qoq'!$A$1:$AT$1,),))/100+1)^4)-1</f>
        <v/>
      </c>
      <c r="T85" s="33">
        <f>(((VLOOKUP(B85,'Data qoq'!$A:$AT,MATCH($T$1,'Data qoq'!$A$1:$AT$1,),))/100+1)^4)-1</f>
        <v/>
      </c>
      <c r="U85" s="33">
        <f>(((VLOOKUP(B85,'Data qoq'!$A:$AT,MATCH($U$1,'Data qoq'!$A$1:$AT$1,),))/100+1)^4)-1</f>
        <v/>
      </c>
      <c r="V85" s="33">
        <f>(((VLOOKUP(B85,'Data qoq'!$A:$AT,MATCH($V$1,'Data qoq'!$A$1:$AT$1,),))/100+1)^4)-1</f>
        <v/>
      </c>
      <c r="W85" s="33">
        <f>(((VLOOKUP(B85,'Data qoq'!$A:$AT,MATCH($W$1,'Data qoq'!$A$1:$AT$1,),))/100+1)^4)-1</f>
        <v/>
      </c>
      <c r="X85" s="33">
        <f>(((VLOOKUP(B85,'Data qoq'!$A:$AT,MATCH($X$1,'Data qoq'!$A$1:$AT$1,),))/100+1)^4)-1</f>
        <v/>
      </c>
      <c r="Y85" s="33">
        <f>(((VLOOKUP(B85,'Data qoq'!$A:$AT,MATCH($Y$1,'Data qoq'!$A$1:$AT$1,),))/100+1)^4)-1</f>
        <v/>
      </c>
      <c r="Z85" s="33">
        <f>(((VLOOKUP(B85,'Data qoq'!$A:$AU,MATCH($Z$1,'Data qoq'!$A$1:$AU$1,),))/100+1)^4)-1</f>
        <v/>
      </c>
      <c r="AA85" s="33">
        <f>(((VLOOKUP(B85,'Data qoq'!$A:$AU,MATCH($AA$1,'Data qoq'!$A$1:$AU$1,),))/100+1)^4)-1</f>
        <v/>
      </c>
      <c r="AC85" s="27">
        <f>B85</f>
        <v/>
      </c>
      <c r="AD85" s="32">
        <f>(VLOOKUP(AC85,B:Y,MATCH($AE$6,$B$1:$Y$1,),))-(VLOOKUP(AC85,B:Y,MATCH($AE$7,$B$1:$Y$1,),))</f>
        <v/>
      </c>
    </row>
    <row r="86" customFormat="1" s="93">
      <c r="A86" s="31" t="n">
        <v>43435</v>
      </c>
      <c r="B86" s="25" t="inlineStr">
        <is>
          <t>2018-Q4</t>
        </is>
      </c>
      <c r="C86" s="33">
        <f>(((VLOOKUP(B86,'Data qoq'!$A:$AT,MATCH($C$1,'Data qoq'!$A$1:$AT$1,),))/100+1)^4)-1</f>
        <v/>
      </c>
      <c r="D86" s="33">
        <f>(((VLOOKUP(B86,'Data qoq'!$A:$AT,MATCH($D$1,'Data qoq'!$A$1:$AT$1,),))/100+1)^4)-1</f>
        <v/>
      </c>
      <c r="E86" s="33">
        <f>(((VLOOKUP(B86,'Data qoq'!$A:$AT,MATCH($E$1,'Data qoq'!$A$1:$AT$1,),))/100+1)^4)-1</f>
        <v/>
      </c>
      <c r="F86" s="33">
        <f>(((VLOOKUP(B86,'Data qoq'!$A:$AT,MATCH($F$1,'Data qoq'!$A$1:$AT$1,),))/100+1)^4)-1</f>
        <v/>
      </c>
      <c r="G86" s="33">
        <f>(((VLOOKUP(B86,'Data qoq'!$A:$AT,MATCH($G$1,'Data qoq'!$A$1:$AT$1,),))/100+1)^4)-1</f>
        <v/>
      </c>
      <c r="H86" s="33">
        <f>(((VLOOKUP(B86,'Data qoq'!$A:$AT,MATCH($H$1,'Data qoq'!$A$1:$AT$1,),))/100+1)^4)-1</f>
        <v/>
      </c>
      <c r="I86" s="33">
        <f>(((VLOOKUP(B86,'Data qoq'!$A:$AT,MATCH($I$1,'Data qoq'!$A$1:$AT$1,),))/100+1)^4)-1</f>
        <v/>
      </c>
      <c r="J86" s="33">
        <f>(((VLOOKUP(B86,'Data qoq'!$A:$AT,MATCH($J$1,'Data qoq'!$A$1:$AT$1,),))/100+1)^4)-1</f>
        <v/>
      </c>
      <c r="K86" s="33">
        <f>(((VLOOKUP(B86,'Data qoq'!$A:$AT,MATCH($K$1,'Data qoq'!$A$1:$AT$1,),))/100+1)^4)-1</f>
        <v/>
      </c>
      <c r="L86" s="33">
        <f>(((VLOOKUP(B86,'Data qoq'!$A:$AT,MATCH($L$1,'Data qoq'!$A$1:$AT$1,),))/100+1)^4)-1</f>
        <v/>
      </c>
      <c r="M86" s="33">
        <f>(((VLOOKUP(B86,'Data qoq'!$A:$AT,MATCH($M$1,'Data qoq'!$A$1:$AT$1,),))/100+1)^4)-1</f>
        <v/>
      </c>
      <c r="N86" s="33">
        <f>(((VLOOKUP(B86,'Data qoq'!$A:$AT,MATCH($N$1,'Data qoq'!$A$1:$AT$1,),))/100+1)^4)-1</f>
        <v/>
      </c>
      <c r="O86" s="33">
        <f>(((VLOOKUP(B86,'Data qoq'!$A:$AT,MATCH($O$1,'Data qoq'!$A$1:$AT$1,),))/100+1)^4)-1</f>
        <v/>
      </c>
      <c r="P86" s="33">
        <f>(((VLOOKUP(B86,'Data qoq'!$A:$AT,MATCH($P$1,'Data qoq'!$A$1:$AT$1,),))/100+1)^4)-1</f>
        <v/>
      </c>
      <c r="Q86" s="33">
        <f>(((VLOOKUP(B86,'Data qoq'!$A:$AT,MATCH($Q$1,'Data qoq'!$A$1:$AT$1,),))/100+1)^4)-1</f>
        <v/>
      </c>
      <c r="R86" s="33">
        <f>(((VLOOKUP(B86,'Data qoq'!$A:$AT,MATCH($R$1,'Data qoq'!$A$1:$AT$1,),))/100+1)^4)-1</f>
        <v/>
      </c>
      <c r="S86" s="33">
        <f>(((VLOOKUP(B86,'Data qoq'!$A:$AT,MATCH($S$1,'Data qoq'!$A$1:$AT$1,),))/100+1)^4)-1</f>
        <v/>
      </c>
      <c r="T86" s="33">
        <f>(((VLOOKUP(B86,'Data qoq'!$A:$AT,MATCH($T$1,'Data qoq'!$A$1:$AT$1,),))/100+1)^4)-1</f>
        <v/>
      </c>
      <c r="U86" s="33">
        <f>(((VLOOKUP(B86,'Data qoq'!$A:$AT,MATCH($U$1,'Data qoq'!$A$1:$AT$1,),))/100+1)^4)-1</f>
        <v/>
      </c>
      <c r="V86" s="33">
        <f>(((VLOOKUP(B86,'Data qoq'!$A:$AT,MATCH($V$1,'Data qoq'!$A$1:$AT$1,),))/100+1)^4)-1</f>
        <v/>
      </c>
      <c r="W86" s="33">
        <f>(((VLOOKUP(B86,'Data qoq'!$A:$AT,MATCH($W$1,'Data qoq'!$A$1:$AT$1,),))/100+1)^4)-1</f>
        <v/>
      </c>
      <c r="X86" s="33">
        <f>(((VLOOKUP(B86,'Data qoq'!$A:$AT,MATCH($X$1,'Data qoq'!$A$1:$AT$1,),))/100+1)^4)-1</f>
        <v/>
      </c>
      <c r="Y86" s="33">
        <f>(((VLOOKUP(B86,'Data qoq'!$A:$AT,MATCH($Y$1,'Data qoq'!$A$1:$AT$1,),))/100+1)^4)-1</f>
        <v/>
      </c>
      <c r="Z86" s="33">
        <f>(((VLOOKUP(B86,'Data qoq'!$A:$AU,MATCH($Z$1,'Data qoq'!$A$1:$AU$1,),))/100+1)^4)-1</f>
        <v/>
      </c>
      <c r="AA86" s="33">
        <f>(((VLOOKUP(B86,'Data qoq'!$A:$AU,MATCH($AA$1,'Data qoq'!$A$1:$AU$1,),))/100+1)^4)-1</f>
        <v/>
      </c>
      <c r="AC86" s="27">
        <f>B86</f>
        <v/>
      </c>
      <c r="AD86" s="32">
        <f>(VLOOKUP(AC86,B:Y,MATCH($AE$6,$B$1:$Y$1,),))-(VLOOKUP(AC86,B:Y,MATCH($AE$7,$B$1:$Y$1,),))</f>
        <v/>
      </c>
    </row>
    <row r="87" customFormat="1" s="93">
      <c r="A87" s="31" t="n">
        <v>43525</v>
      </c>
      <c r="B87" s="25" t="inlineStr">
        <is>
          <t>2019-Q1</t>
        </is>
      </c>
      <c r="C87" s="33">
        <f>(((VLOOKUP(B87,'Data qoq'!$A:$AT,MATCH($C$1,'Data qoq'!$A$1:$AT$1,),))/100+1)^4)-1</f>
        <v/>
      </c>
      <c r="D87" s="33">
        <f>(((VLOOKUP(B87,'Data qoq'!$A:$AT,MATCH($D$1,'Data qoq'!$A$1:$AT$1,),))/100+1)^4)-1</f>
        <v/>
      </c>
      <c r="E87" s="33">
        <f>(((VLOOKUP(B87,'Data qoq'!$A:$AT,MATCH($E$1,'Data qoq'!$A$1:$AT$1,),))/100+1)^4)-1</f>
        <v/>
      </c>
      <c r="F87" s="33">
        <f>(((VLOOKUP(B87,'Data qoq'!$A:$AT,MATCH($F$1,'Data qoq'!$A$1:$AT$1,),))/100+1)^4)-1</f>
        <v/>
      </c>
      <c r="G87" s="33">
        <f>(((VLOOKUP(B87,'Data qoq'!$A:$AT,MATCH($G$1,'Data qoq'!$A$1:$AT$1,),))/100+1)^4)-1</f>
        <v/>
      </c>
      <c r="H87" s="33">
        <f>(((VLOOKUP(B87,'Data qoq'!$A:$AT,MATCH($H$1,'Data qoq'!$A$1:$AT$1,),))/100+1)^4)-1</f>
        <v/>
      </c>
      <c r="I87" s="33">
        <f>(((VLOOKUP(B87,'Data qoq'!$A:$AT,MATCH($I$1,'Data qoq'!$A$1:$AT$1,),))/100+1)^4)-1</f>
        <v/>
      </c>
      <c r="J87" s="33">
        <f>(((VLOOKUP(B87,'Data qoq'!$A:$AT,MATCH($J$1,'Data qoq'!$A$1:$AT$1,),))/100+1)^4)-1</f>
        <v/>
      </c>
      <c r="K87" s="33">
        <f>(((VLOOKUP(B87,'Data qoq'!$A:$AT,MATCH($K$1,'Data qoq'!$A$1:$AT$1,),))/100+1)^4)-1</f>
        <v/>
      </c>
      <c r="L87" s="33">
        <f>(((VLOOKUP(B87,'Data qoq'!$A:$AT,MATCH($L$1,'Data qoq'!$A$1:$AT$1,),))/100+1)^4)-1</f>
        <v/>
      </c>
      <c r="M87" s="33">
        <f>(((VLOOKUP(B87,'Data qoq'!$A:$AT,MATCH($M$1,'Data qoq'!$A$1:$AT$1,),))/100+1)^4)-1</f>
        <v/>
      </c>
      <c r="N87" s="33">
        <f>(((VLOOKUP(B87,'Data qoq'!$A:$AT,MATCH($N$1,'Data qoq'!$A$1:$AT$1,),))/100+1)^4)-1</f>
        <v/>
      </c>
      <c r="O87" s="33">
        <f>(((VLOOKUP(B87,'Data qoq'!$A:$AT,MATCH($O$1,'Data qoq'!$A$1:$AT$1,),))/100+1)^4)-1</f>
        <v/>
      </c>
      <c r="P87" s="33">
        <f>(((VLOOKUP(B87,'Data qoq'!$A:$AT,MATCH($P$1,'Data qoq'!$A$1:$AT$1,),))/100+1)^4)-1</f>
        <v/>
      </c>
      <c r="Q87" s="33">
        <f>(((VLOOKUP(B87,'Data qoq'!$A:$AT,MATCH($Q$1,'Data qoq'!$A$1:$AT$1,),))/100+1)^4)-1</f>
        <v/>
      </c>
      <c r="R87" s="33">
        <f>(((VLOOKUP(B87,'Data qoq'!$A:$AT,MATCH($R$1,'Data qoq'!$A$1:$AT$1,),))/100+1)^4)-1</f>
        <v/>
      </c>
      <c r="S87" s="33">
        <f>(((VLOOKUP(B87,'Data qoq'!$A:$AT,MATCH($S$1,'Data qoq'!$A$1:$AT$1,),))/100+1)^4)-1</f>
        <v/>
      </c>
      <c r="T87" s="33">
        <f>(((VLOOKUP(B87,'Data qoq'!$A:$AT,MATCH($T$1,'Data qoq'!$A$1:$AT$1,),))/100+1)^4)-1</f>
        <v/>
      </c>
      <c r="U87" s="33">
        <f>(((VLOOKUP(B87,'Data qoq'!$A:$AT,MATCH($U$1,'Data qoq'!$A$1:$AT$1,),))/100+1)^4)-1</f>
        <v/>
      </c>
      <c r="V87" s="33">
        <f>(((VLOOKUP(B87,'Data qoq'!$A:$AT,MATCH($V$1,'Data qoq'!$A$1:$AT$1,),))/100+1)^4)-1</f>
        <v/>
      </c>
      <c r="W87" s="33">
        <f>(((VLOOKUP(B87,'Data qoq'!$A:$AT,MATCH($W$1,'Data qoq'!$A$1:$AT$1,),))/100+1)^4)-1</f>
        <v/>
      </c>
      <c r="X87" s="33">
        <f>(((VLOOKUP(B87,'Data qoq'!$A:$AT,MATCH($X$1,'Data qoq'!$A$1:$AT$1,),))/100+1)^4)-1</f>
        <v/>
      </c>
      <c r="Y87" s="33">
        <f>(((VLOOKUP(B87,'Data qoq'!$A:$AT,MATCH($Y$1,'Data qoq'!$A$1:$AT$1,),))/100+1)^4)-1</f>
        <v/>
      </c>
      <c r="Z87" s="33">
        <f>(((VLOOKUP(B87,'Data qoq'!$A:$AU,MATCH($Z$1,'Data qoq'!$A$1:$AU$1,),))/100+1)^4)-1</f>
        <v/>
      </c>
      <c r="AA87" s="33">
        <f>(((VLOOKUP(B87,'Data qoq'!$A:$AU,MATCH($AA$1,'Data qoq'!$A$1:$AU$1,),))/100+1)^4)-1</f>
        <v/>
      </c>
      <c r="AC87" s="27">
        <f>B87</f>
        <v/>
      </c>
      <c r="AD87" s="32">
        <f>(VLOOKUP(AC87,B:Y,MATCH($AE$6,$B$1:$Y$1,),))-(VLOOKUP(AC87,B:Y,MATCH($AE$7,$B$1:$Y$1,),))</f>
        <v/>
      </c>
    </row>
    <row r="88" customFormat="1" s="93">
      <c r="A88" s="31" t="n">
        <v>43617</v>
      </c>
      <c r="B88" s="25" t="inlineStr">
        <is>
          <t>2019-Q2</t>
        </is>
      </c>
      <c r="C88" s="33">
        <f>(((VLOOKUP(B88,'Data qoq'!$A:$AT,MATCH($C$1,'Data qoq'!$A$1:$AT$1,),))/100+1)^4)-1</f>
        <v/>
      </c>
      <c r="D88" s="33">
        <f>(((VLOOKUP(B88,'Data qoq'!$A:$AT,MATCH($D$1,'Data qoq'!$A$1:$AT$1,),))/100+1)^4)-1</f>
        <v/>
      </c>
      <c r="E88" s="33">
        <f>(((VLOOKUP(B88,'Data qoq'!$A:$AT,MATCH($E$1,'Data qoq'!$A$1:$AT$1,),))/100+1)^4)-1</f>
        <v/>
      </c>
      <c r="F88" s="33">
        <f>(((VLOOKUP(B88,'Data qoq'!$A:$AT,MATCH($F$1,'Data qoq'!$A$1:$AT$1,),))/100+1)^4)-1</f>
        <v/>
      </c>
      <c r="G88" s="33">
        <f>(((VLOOKUP(B88,'Data qoq'!$A:$AT,MATCH($G$1,'Data qoq'!$A$1:$AT$1,),))/100+1)^4)-1</f>
        <v/>
      </c>
      <c r="H88" s="33">
        <f>(((VLOOKUP(B88,'Data qoq'!$A:$AT,MATCH($H$1,'Data qoq'!$A$1:$AT$1,),))/100+1)^4)-1</f>
        <v/>
      </c>
      <c r="I88" s="33">
        <f>(((VLOOKUP(B88,'Data qoq'!$A:$AT,MATCH($I$1,'Data qoq'!$A$1:$AT$1,),))/100+1)^4)-1</f>
        <v/>
      </c>
      <c r="J88" s="33">
        <f>(((VLOOKUP(B88,'Data qoq'!$A:$AT,MATCH($J$1,'Data qoq'!$A$1:$AT$1,),))/100+1)^4)-1</f>
        <v/>
      </c>
      <c r="K88" s="33">
        <f>(((VLOOKUP(B88,'Data qoq'!$A:$AT,MATCH($K$1,'Data qoq'!$A$1:$AT$1,),))/100+1)^4)-1</f>
        <v/>
      </c>
      <c r="L88" s="33">
        <f>(((VLOOKUP(B88,'Data qoq'!$A:$AT,MATCH($L$1,'Data qoq'!$A$1:$AT$1,),))/100+1)^4)-1</f>
        <v/>
      </c>
      <c r="M88" s="33">
        <f>(((VLOOKUP(B88,'Data qoq'!$A:$AT,MATCH($M$1,'Data qoq'!$A$1:$AT$1,),))/100+1)^4)-1</f>
        <v/>
      </c>
      <c r="N88" s="33">
        <f>(((VLOOKUP(B88,'Data qoq'!$A:$AT,MATCH($N$1,'Data qoq'!$A$1:$AT$1,),))/100+1)^4)-1</f>
        <v/>
      </c>
      <c r="O88" s="33">
        <f>(((VLOOKUP(B88,'Data qoq'!$A:$AT,MATCH($O$1,'Data qoq'!$A$1:$AT$1,),))/100+1)^4)-1</f>
        <v/>
      </c>
      <c r="P88" s="33">
        <f>(((VLOOKUP(B88,'Data qoq'!$A:$AT,MATCH($P$1,'Data qoq'!$A$1:$AT$1,),))/100+1)^4)-1</f>
        <v/>
      </c>
      <c r="Q88" s="33">
        <f>(((VLOOKUP(B88,'Data qoq'!$A:$AT,MATCH($Q$1,'Data qoq'!$A$1:$AT$1,),))/100+1)^4)-1</f>
        <v/>
      </c>
      <c r="R88" s="33">
        <f>(((VLOOKUP(B88,'Data qoq'!$A:$AT,MATCH($R$1,'Data qoq'!$A$1:$AT$1,),))/100+1)^4)-1</f>
        <v/>
      </c>
      <c r="S88" s="33">
        <f>(((VLOOKUP(B88,'Data qoq'!$A:$AT,MATCH($S$1,'Data qoq'!$A$1:$AT$1,),))/100+1)^4)-1</f>
        <v/>
      </c>
      <c r="T88" s="33">
        <f>(((VLOOKUP(B88,'Data qoq'!$A:$AT,MATCH($T$1,'Data qoq'!$A$1:$AT$1,),))/100+1)^4)-1</f>
        <v/>
      </c>
      <c r="U88" s="33">
        <f>(((VLOOKUP(B88,'Data qoq'!$A:$AT,MATCH($U$1,'Data qoq'!$A$1:$AT$1,),))/100+1)^4)-1</f>
        <v/>
      </c>
      <c r="V88" s="33">
        <f>(((VLOOKUP(B88,'Data qoq'!$A:$AT,MATCH($V$1,'Data qoq'!$A$1:$AT$1,),))/100+1)^4)-1</f>
        <v/>
      </c>
      <c r="W88" s="33">
        <f>(((VLOOKUP(B88,'Data qoq'!$A:$AT,MATCH($W$1,'Data qoq'!$A$1:$AT$1,),))/100+1)^4)-1</f>
        <v/>
      </c>
      <c r="X88" s="33">
        <f>(((VLOOKUP(B88,'Data qoq'!$A:$AT,MATCH($X$1,'Data qoq'!$A$1:$AT$1,),))/100+1)^4)-1</f>
        <v/>
      </c>
      <c r="Y88" s="33">
        <f>(((VLOOKUP(B88,'Data qoq'!$A:$AT,MATCH($Y$1,'Data qoq'!$A$1:$AT$1,),))/100+1)^4)-1</f>
        <v/>
      </c>
      <c r="Z88" s="33">
        <f>(((VLOOKUP(B88,'Data qoq'!$A:$AU,MATCH($Z$1,'Data qoq'!$A$1:$AU$1,),))/100+1)^4)-1</f>
        <v/>
      </c>
      <c r="AA88" s="33">
        <f>(((VLOOKUP(B88,'Data qoq'!$A:$AU,MATCH($AA$1,'Data qoq'!$A$1:$AU$1,),))/100+1)^4)-1</f>
        <v/>
      </c>
      <c r="AC88" s="27">
        <f>B88</f>
        <v/>
      </c>
      <c r="AD88" s="32">
        <f>(VLOOKUP(AC88,B:Y,MATCH($AE$6,$B$1:$Y$1,),))-(VLOOKUP(AC88,B:Y,MATCH($AE$7,$B$1:$Y$1,),))</f>
        <v/>
      </c>
    </row>
    <row r="89" customFormat="1" s="93">
      <c r="A89" s="31" t="n">
        <v>43709</v>
      </c>
      <c r="B89" s="25" t="inlineStr">
        <is>
          <t>2019-Q3</t>
        </is>
      </c>
      <c r="C89" s="33">
        <f>(((VLOOKUP(B89,'Data qoq'!$A:$AT,MATCH($C$1,'Data qoq'!$A$1:$AT$1,),))/100+1)^4)-1</f>
        <v/>
      </c>
      <c r="D89" s="33">
        <f>(((VLOOKUP(B89,'Data qoq'!$A:$AT,MATCH($D$1,'Data qoq'!$A$1:$AT$1,),))/100+1)^4)-1</f>
        <v/>
      </c>
      <c r="E89" s="33">
        <f>(((VLOOKUP(B89,'Data qoq'!$A:$AT,MATCH($E$1,'Data qoq'!$A$1:$AT$1,),))/100+1)^4)-1</f>
        <v/>
      </c>
      <c r="F89" s="33">
        <f>(((VLOOKUP(B89,'Data qoq'!$A:$AT,MATCH($F$1,'Data qoq'!$A$1:$AT$1,),))/100+1)^4)-1</f>
        <v/>
      </c>
      <c r="G89" s="33">
        <f>(((VLOOKUP(B89,'Data qoq'!$A:$AT,MATCH($G$1,'Data qoq'!$A$1:$AT$1,),))/100+1)^4)-1</f>
        <v/>
      </c>
      <c r="H89" s="33">
        <f>(((VLOOKUP(B89,'Data qoq'!$A:$AT,MATCH($H$1,'Data qoq'!$A$1:$AT$1,),))/100+1)^4)-1</f>
        <v/>
      </c>
      <c r="I89" s="33">
        <f>(((VLOOKUP(B89,'Data qoq'!$A:$AT,MATCH($I$1,'Data qoq'!$A$1:$AT$1,),))/100+1)^4)-1</f>
        <v/>
      </c>
      <c r="J89" s="33">
        <f>(((VLOOKUP(B89,'Data qoq'!$A:$AT,MATCH($J$1,'Data qoq'!$A$1:$AT$1,),))/100+1)^4)-1</f>
        <v/>
      </c>
      <c r="K89" s="33">
        <f>(((VLOOKUP(B89,'Data qoq'!$A:$AT,MATCH($K$1,'Data qoq'!$A$1:$AT$1,),))/100+1)^4)-1</f>
        <v/>
      </c>
      <c r="L89" s="33">
        <f>(((VLOOKUP(B89,'Data qoq'!$A:$AT,MATCH($L$1,'Data qoq'!$A$1:$AT$1,),))/100+1)^4)-1</f>
        <v/>
      </c>
      <c r="M89" s="33">
        <f>(((VLOOKUP(B89,'Data qoq'!$A:$AT,MATCH($M$1,'Data qoq'!$A$1:$AT$1,),))/100+1)^4)-1</f>
        <v/>
      </c>
      <c r="N89" s="33">
        <f>(((VLOOKUP(B89,'Data qoq'!$A:$AT,MATCH($N$1,'Data qoq'!$A$1:$AT$1,),))/100+1)^4)-1</f>
        <v/>
      </c>
      <c r="O89" s="33">
        <f>(((VLOOKUP(B89,'Data qoq'!$A:$AT,MATCH($O$1,'Data qoq'!$A$1:$AT$1,),))/100+1)^4)-1</f>
        <v/>
      </c>
      <c r="P89" s="33">
        <f>(((VLOOKUP(B89,'Data qoq'!$A:$AT,MATCH($P$1,'Data qoq'!$A$1:$AT$1,),))/100+1)^4)-1</f>
        <v/>
      </c>
      <c r="Q89" s="33">
        <f>(((VLOOKUP(B89,'Data qoq'!$A:$AT,MATCH($Q$1,'Data qoq'!$A$1:$AT$1,),))/100+1)^4)-1</f>
        <v/>
      </c>
      <c r="R89" s="33">
        <f>(((VLOOKUP(B89,'Data qoq'!$A:$AT,MATCH($R$1,'Data qoq'!$A$1:$AT$1,),))/100+1)^4)-1</f>
        <v/>
      </c>
      <c r="S89" s="33">
        <f>(((VLOOKUP(B89,'Data qoq'!$A:$AT,MATCH($S$1,'Data qoq'!$A$1:$AT$1,),))/100+1)^4)-1</f>
        <v/>
      </c>
      <c r="T89" s="33">
        <f>(((VLOOKUP(B89,'Data qoq'!$A:$AT,MATCH($T$1,'Data qoq'!$A$1:$AT$1,),))/100+1)^4)-1</f>
        <v/>
      </c>
      <c r="U89" s="33">
        <f>(((VLOOKUP(B89,'Data qoq'!$A:$AT,MATCH($U$1,'Data qoq'!$A$1:$AT$1,),))/100+1)^4)-1</f>
        <v/>
      </c>
      <c r="V89" s="33">
        <f>(((VLOOKUP(B89,'Data qoq'!$A:$AT,MATCH($V$1,'Data qoq'!$A$1:$AT$1,),))/100+1)^4)-1</f>
        <v/>
      </c>
      <c r="W89" s="33">
        <f>(((VLOOKUP(B89,'Data qoq'!$A:$AT,MATCH($W$1,'Data qoq'!$A$1:$AT$1,),))/100+1)^4)-1</f>
        <v/>
      </c>
      <c r="X89" s="33">
        <f>(((VLOOKUP(B89,'Data qoq'!$A:$AT,MATCH($X$1,'Data qoq'!$A$1:$AT$1,),))/100+1)^4)-1</f>
        <v/>
      </c>
      <c r="Y89" s="33">
        <f>(((VLOOKUP(B89,'Data qoq'!$A:$AT,MATCH($Y$1,'Data qoq'!$A$1:$AT$1,),))/100+1)^4)-1</f>
        <v/>
      </c>
      <c r="Z89" s="33">
        <f>(((VLOOKUP(B89,'Data qoq'!$A:$AU,MATCH($Z$1,'Data qoq'!$A$1:$AU$1,),))/100+1)^4)-1</f>
        <v/>
      </c>
      <c r="AA89" s="33">
        <f>(((VLOOKUP(B89,'Data qoq'!$A:$AU,MATCH($AA$1,'Data qoq'!$A$1:$AU$1,),))/100+1)^4)-1</f>
        <v/>
      </c>
      <c r="AC89" s="27">
        <f>B89</f>
        <v/>
      </c>
      <c r="AD89" s="32">
        <f>(VLOOKUP(AC89,B:Y,MATCH($AE$6,$B$1:$Y$1,),))-(VLOOKUP(AC89,B:Y,MATCH($AE$7,$B$1:$Y$1,),))</f>
        <v/>
      </c>
    </row>
    <row r="90" customFormat="1" s="93">
      <c r="A90" s="31" t="n">
        <v>43800</v>
      </c>
      <c r="B90" s="25" t="inlineStr">
        <is>
          <t>2019-Q4</t>
        </is>
      </c>
      <c r="C90" s="33">
        <f>(((VLOOKUP(B90,'Data qoq'!$A:$AT,MATCH($C$1,'Data qoq'!$A$1:$AT$1,),))/100+1)^4)-1</f>
        <v/>
      </c>
      <c r="D90" s="33">
        <f>(((VLOOKUP(B90,'Data qoq'!$A:$AT,MATCH($D$1,'Data qoq'!$A$1:$AT$1,),))/100+1)^4)-1</f>
        <v/>
      </c>
      <c r="E90" s="33">
        <f>(((VLOOKUP(B90,'Data qoq'!$A:$AT,MATCH($E$1,'Data qoq'!$A$1:$AT$1,),))/100+1)^4)-1</f>
        <v/>
      </c>
      <c r="F90" s="33">
        <f>(((VLOOKUP(B90,'Data qoq'!$A:$AT,MATCH($F$1,'Data qoq'!$A$1:$AT$1,),))/100+1)^4)-1</f>
        <v/>
      </c>
      <c r="G90" s="33">
        <f>(((VLOOKUP(B90,'Data qoq'!$A:$AT,MATCH($G$1,'Data qoq'!$A$1:$AT$1,),))/100+1)^4)-1</f>
        <v/>
      </c>
      <c r="H90" s="33">
        <f>(((VLOOKUP(B90,'Data qoq'!$A:$AT,MATCH($H$1,'Data qoq'!$A$1:$AT$1,),))/100+1)^4)-1</f>
        <v/>
      </c>
      <c r="I90" s="33">
        <f>(((VLOOKUP(B90,'Data qoq'!$A:$AT,MATCH($I$1,'Data qoq'!$A$1:$AT$1,),))/100+1)^4)-1</f>
        <v/>
      </c>
      <c r="J90" s="33">
        <f>(((VLOOKUP(B90,'Data qoq'!$A:$AT,MATCH($J$1,'Data qoq'!$A$1:$AT$1,),))/100+1)^4)-1</f>
        <v/>
      </c>
      <c r="K90" s="33">
        <f>(((VLOOKUP(B90,'Data qoq'!$A:$AT,MATCH($K$1,'Data qoq'!$A$1:$AT$1,),))/100+1)^4)-1</f>
        <v/>
      </c>
      <c r="L90" s="33">
        <f>(((VLOOKUP(B90,'Data qoq'!$A:$AT,MATCH($L$1,'Data qoq'!$A$1:$AT$1,),))/100+1)^4)-1</f>
        <v/>
      </c>
      <c r="M90" s="33">
        <f>(((VLOOKUP(B90,'Data qoq'!$A:$AT,MATCH($M$1,'Data qoq'!$A$1:$AT$1,),))/100+1)^4)-1</f>
        <v/>
      </c>
      <c r="N90" s="33">
        <f>(((VLOOKUP(B90,'Data qoq'!$A:$AT,MATCH($N$1,'Data qoq'!$A$1:$AT$1,),))/100+1)^4)-1</f>
        <v/>
      </c>
      <c r="O90" s="33">
        <f>(((VLOOKUP(B90,'Data qoq'!$A:$AT,MATCH($O$1,'Data qoq'!$A$1:$AT$1,),))/100+1)^4)-1</f>
        <v/>
      </c>
      <c r="P90" s="33">
        <f>(((VLOOKUP(B90,'Data qoq'!$A:$AT,MATCH($P$1,'Data qoq'!$A$1:$AT$1,),))/100+1)^4)-1</f>
        <v/>
      </c>
      <c r="Q90" s="33">
        <f>(((VLOOKUP(B90,'Data qoq'!$A:$AT,MATCH($Q$1,'Data qoq'!$A$1:$AT$1,),))/100+1)^4)-1</f>
        <v/>
      </c>
      <c r="R90" s="33">
        <f>(((VLOOKUP(B90,'Data qoq'!$A:$AT,MATCH($R$1,'Data qoq'!$A$1:$AT$1,),))/100+1)^4)-1</f>
        <v/>
      </c>
      <c r="S90" s="33">
        <f>(((VLOOKUP(B90,'Data qoq'!$A:$AT,MATCH($S$1,'Data qoq'!$A$1:$AT$1,),))/100+1)^4)-1</f>
        <v/>
      </c>
      <c r="T90" s="33">
        <f>(((VLOOKUP(B90,'Data qoq'!$A:$AT,MATCH($T$1,'Data qoq'!$A$1:$AT$1,),))/100+1)^4)-1</f>
        <v/>
      </c>
      <c r="U90" s="33">
        <f>(((VLOOKUP(B90,'Data qoq'!$A:$AT,MATCH($U$1,'Data qoq'!$A$1:$AT$1,),))/100+1)^4)-1</f>
        <v/>
      </c>
      <c r="V90" s="33">
        <f>(((VLOOKUP(B90,'Data qoq'!$A:$AT,MATCH($V$1,'Data qoq'!$A$1:$AT$1,),))/100+1)^4)-1</f>
        <v/>
      </c>
      <c r="W90" s="33">
        <f>(((VLOOKUP(B90,'Data qoq'!$A:$AT,MATCH($W$1,'Data qoq'!$A$1:$AT$1,),))/100+1)^4)-1</f>
        <v/>
      </c>
      <c r="X90" s="33">
        <f>(((VLOOKUP(B90,'Data qoq'!$A:$AT,MATCH($X$1,'Data qoq'!$A$1:$AT$1,),))/100+1)^4)-1</f>
        <v/>
      </c>
      <c r="Y90" s="33">
        <f>(((VLOOKUP(B90,'Data qoq'!$A:$AT,MATCH($Y$1,'Data qoq'!$A$1:$AT$1,),))/100+1)^4)-1</f>
        <v/>
      </c>
      <c r="Z90" s="33">
        <f>(((VLOOKUP(B90,'Data qoq'!$A:$AU,MATCH($Z$1,'Data qoq'!$A$1:$AU$1,),))/100+1)^4)-1</f>
        <v/>
      </c>
      <c r="AA90" s="33">
        <f>(((VLOOKUP(B90,'Data qoq'!$A:$AU,MATCH($AA$1,'Data qoq'!$A$1:$AU$1,),))/100+1)^4)-1</f>
        <v/>
      </c>
      <c r="AC90" s="27">
        <f>B90</f>
        <v/>
      </c>
      <c r="AD90" s="32">
        <f>(VLOOKUP(AC90,B:Y,MATCH($AE$6,$B$1:$Y$1,),))-(VLOOKUP(AC90,B:Y,MATCH($AE$7,$B$1:$Y$1,),))</f>
        <v/>
      </c>
    </row>
    <row r="91" customFormat="1" s="93">
      <c r="A91" s="31" t="n">
        <v>43891</v>
      </c>
      <c r="B91" s="25" t="inlineStr">
        <is>
          <t>2020-Q1</t>
        </is>
      </c>
      <c r="C91" s="33">
        <f>(((VLOOKUP(B91,'Data qoq'!$A:$AT,MATCH($C$1,'Data qoq'!$A$1:$AT$1,),))/100+1)^4)-1</f>
        <v/>
      </c>
      <c r="D91" s="33">
        <f>(((VLOOKUP(B91,'Data qoq'!$A:$AT,MATCH($D$1,'Data qoq'!$A$1:$AT$1,),))/100+1)^4)-1</f>
        <v/>
      </c>
      <c r="E91" s="33">
        <f>(((VLOOKUP(B91,'Data qoq'!$A:$AT,MATCH($E$1,'Data qoq'!$A$1:$AT$1,),))/100+1)^4)-1</f>
        <v/>
      </c>
      <c r="F91" s="33">
        <f>(((VLOOKUP(B91,'Data qoq'!$A:$AT,MATCH($F$1,'Data qoq'!$A$1:$AT$1,),))/100+1)^4)-1</f>
        <v/>
      </c>
      <c r="G91" s="33">
        <f>(((VLOOKUP(B91,'Data qoq'!$A:$AT,MATCH($G$1,'Data qoq'!$A$1:$AT$1,),))/100+1)^4)-1</f>
        <v/>
      </c>
      <c r="H91" s="33">
        <f>(((VLOOKUP(B91,'Data qoq'!$A:$AT,MATCH($H$1,'Data qoq'!$A$1:$AT$1,),))/100+1)^4)-1</f>
        <v/>
      </c>
      <c r="I91" s="33">
        <f>(((VLOOKUP(B91,'Data qoq'!$A:$AT,MATCH($I$1,'Data qoq'!$A$1:$AT$1,),))/100+1)^4)-1</f>
        <v/>
      </c>
      <c r="J91" s="33">
        <f>(((VLOOKUP(B91,'Data qoq'!$A:$AT,MATCH($J$1,'Data qoq'!$A$1:$AT$1,),))/100+1)^4)-1</f>
        <v/>
      </c>
      <c r="K91" s="33">
        <f>(((VLOOKUP(B91,'Data qoq'!$A:$AT,MATCH($K$1,'Data qoq'!$A$1:$AT$1,),))/100+1)^4)-1</f>
        <v/>
      </c>
      <c r="L91" s="33">
        <f>(((VLOOKUP(B91,'Data qoq'!$A:$AT,MATCH($L$1,'Data qoq'!$A$1:$AT$1,),))/100+1)^4)-1</f>
        <v/>
      </c>
      <c r="M91" s="33">
        <f>(((VLOOKUP(B91,'Data qoq'!$A:$AT,MATCH($M$1,'Data qoq'!$A$1:$AT$1,),))/100+1)^4)-1</f>
        <v/>
      </c>
      <c r="N91" s="33">
        <f>(((VLOOKUP(B91,'Data qoq'!$A:$AT,MATCH($N$1,'Data qoq'!$A$1:$AT$1,),))/100+1)^4)-1</f>
        <v/>
      </c>
      <c r="O91" s="33">
        <f>(((VLOOKUP(B91,'Data qoq'!$A:$AT,MATCH($O$1,'Data qoq'!$A$1:$AT$1,),))/100+1)^4)-1</f>
        <v/>
      </c>
      <c r="P91" s="33">
        <f>(((VLOOKUP(B91,'Data qoq'!$A:$AT,MATCH($P$1,'Data qoq'!$A$1:$AT$1,),))/100+1)^4)-1</f>
        <v/>
      </c>
      <c r="Q91" s="33">
        <f>(((VLOOKUP(B91,'Data qoq'!$A:$AT,MATCH($Q$1,'Data qoq'!$A$1:$AT$1,),))/100+1)^4)-1</f>
        <v/>
      </c>
      <c r="R91" s="33">
        <f>(((VLOOKUP(B91,'Data qoq'!$A:$AT,MATCH($R$1,'Data qoq'!$A$1:$AT$1,),))/100+1)^4)-1</f>
        <v/>
      </c>
      <c r="S91" s="33">
        <f>(((VLOOKUP(B91,'Data qoq'!$A:$AT,MATCH($S$1,'Data qoq'!$A$1:$AT$1,),))/100+1)^4)-1</f>
        <v/>
      </c>
      <c r="T91" s="33">
        <f>(((VLOOKUP(B91,'Data qoq'!$A:$AT,MATCH($T$1,'Data qoq'!$A$1:$AT$1,),))/100+1)^4)-1</f>
        <v/>
      </c>
      <c r="U91" s="33">
        <f>(((VLOOKUP(B91,'Data qoq'!$A:$AT,MATCH($U$1,'Data qoq'!$A$1:$AT$1,),))/100+1)^4)-1</f>
        <v/>
      </c>
      <c r="V91" s="33">
        <f>(((VLOOKUP(B91,'Data qoq'!$A:$AT,MATCH($V$1,'Data qoq'!$A$1:$AT$1,),))/100+1)^4)-1</f>
        <v/>
      </c>
      <c r="W91" s="33">
        <f>(((VLOOKUP(B91,'Data qoq'!$A:$AT,MATCH($W$1,'Data qoq'!$A$1:$AT$1,),))/100+1)^4)-1</f>
        <v/>
      </c>
      <c r="X91" s="33">
        <f>(((VLOOKUP(B91,'Data qoq'!$A:$AT,MATCH($X$1,'Data qoq'!$A$1:$AT$1,),))/100+1)^4)-1</f>
        <v/>
      </c>
      <c r="Y91" s="33">
        <f>(((VLOOKUP(B91,'Data qoq'!$A:$AT,MATCH($Y$1,'Data qoq'!$A$1:$AT$1,),))/100+1)^4)-1</f>
        <v/>
      </c>
      <c r="Z91" s="33">
        <f>(((VLOOKUP(B91,'Data qoq'!$A:$AU,MATCH($Z$1,'Data qoq'!$A$1:$AU$1,),))/100+1)^4)-1</f>
        <v/>
      </c>
      <c r="AA91" s="33">
        <f>(((VLOOKUP(B91,'Data qoq'!$A:$AU,MATCH($AA$1,'Data qoq'!$A$1:$AU$1,),))/100+1)^4)-1</f>
        <v/>
      </c>
      <c r="AC91" s="27">
        <f>B91</f>
        <v/>
      </c>
      <c r="AD91" s="32">
        <f>(VLOOKUP(AC91,B:Y,MATCH($AE$6,$B$1:$Y$1,),))-(VLOOKUP(AC91,B:Y,MATCH($AE$7,$B$1:$Y$1,),))</f>
        <v/>
      </c>
    </row>
    <row r="92" customFormat="1" s="93">
      <c r="A92" s="31" t="n">
        <v>43983</v>
      </c>
      <c r="B92" s="25" t="inlineStr">
        <is>
          <t>2020-Q2</t>
        </is>
      </c>
      <c r="C92" s="33">
        <f>(((VLOOKUP(B92,'Data qoq'!$A:$AT,MATCH($C$1,'Data qoq'!$A$1:$AT$1,),))/100+1)^4)-1</f>
        <v/>
      </c>
      <c r="D92" s="33">
        <f>(((VLOOKUP(B92,'Data qoq'!$A:$AT,MATCH($D$1,'Data qoq'!$A$1:$AT$1,),))/100+1)^4)-1</f>
        <v/>
      </c>
      <c r="E92" s="33">
        <f>(((VLOOKUP(B92,'Data qoq'!$A:$AT,MATCH($E$1,'Data qoq'!$A$1:$AT$1,),))/100+1)^4)-1</f>
        <v/>
      </c>
      <c r="F92" s="33">
        <f>(((VLOOKUP(B92,'Data qoq'!$A:$AT,MATCH($F$1,'Data qoq'!$A$1:$AT$1,),))/100+1)^4)-1</f>
        <v/>
      </c>
      <c r="G92" s="33">
        <f>(((VLOOKUP(B92,'Data qoq'!$A:$AT,MATCH($G$1,'Data qoq'!$A$1:$AT$1,),))/100+1)^4)-1</f>
        <v/>
      </c>
      <c r="H92" s="33">
        <f>(((VLOOKUP(B92,'Data qoq'!$A:$AT,MATCH($H$1,'Data qoq'!$A$1:$AT$1,),))/100+1)^4)-1</f>
        <v/>
      </c>
      <c r="I92" s="33">
        <f>(((VLOOKUP(B92,'Data qoq'!$A:$AT,MATCH($I$1,'Data qoq'!$A$1:$AT$1,),))/100+1)^4)-1</f>
        <v/>
      </c>
      <c r="J92" s="33">
        <f>(((VLOOKUP(B92,'Data qoq'!$A:$AT,MATCH($J$1,'Data qoq'!$A$1:$AT$1,),))/100+1)^4)-1</f>
        <v/>
      </c>
      <c r="K92" s="33">
        <f>(((VLOOKUP(B92,'Data qoq'!$A:$AT,MATCH($K$1,'Data qoq'!$A$1:$AT$1,),))/100+1)^4)-1</f>
        <v/>
      </c>
      <c r="L92" s="33">
        <f>(((VLOOKUP(B92,'Data qoq'!$A:$AT,MATCH($L$1,'Data qoq'!$A$1:$AT$1,),))/100+1)^4)-1</f>
        <v/>
      </c>
      <c r="M92" s="33">
        <f>(((VLOOKUP(B92,'Data qoq'!$A:$AT,MATCH($M$1,'Data qoq'!$A$1:$AT$1,),))/100+1)^4)-1</f>
        <v/>
      </c>
      <c r="N92" s="33">
        <f>(((VLOOKUP(B92,'Data qoq'!$A:$AT,MATCH($N$1,'Data qoq'!$A$1:$AT$1,),))/100+1)^4)-1</f>
        <v/>
      </c>
      <c r="O92" s="33">
        <f>(((VLOOKUP(B92,'Data qoq'!$A:$AT,MATCH($O$1,'Data qoq'!$A$1:$AT$1,),))/100+1)^4)-1</f>
        <v/>
      </c>
      <c r="P92" s="33">
        <f>(((VLOOKUP(B92,'Data qoq'!$A:$AT,MATCH($P$1,'Data qoq'!$A$1:$AT$1,),))/100+1)^4)-1</f>
        <v/>
      </c>
      <c r="Q92" s="33">
        <f>(((VLOOKUP(B92,'Data qoq'!$A:$AT,MATCH($Q$1,'Data qoq'!$A$1:$AT$1,),))/100+1)^4)-1</f>
        <v/>
      </c>
      <c r="R92" s="33">
        <f>(((VLOOKUP(B92,'Data qoq'!$A:$AT,MATCH($R$1,'Data qoq'!$A$1:$AT$1,),))/100+1)^4)-1</f>
        <v/>
      </c>
      <c r="S92" s="33">
        <f>(((VLOOKUP(B92,'Data qoq'!$A:$AT,MATCH($S$1,'Data qoq'!$A$1:$AT$1,),))/100+1)^4)-1</f>
        <v/>
      </c>
      <c r="T92" s="33">
        <f>(((VLOOKUP(B92,'Data qoq'!$A:$AT,MATCH($T$1,'Data qoq'!$A$1:$AT$1,),))/100+1)^4)-1</f>
        <v/>
      </c>
      <c r="U92" s="33">
        <f>(((VLOOKUP(B92,'Data qoq'!$A:$AT,MATCH($U$1,'Data qoq'!$A$1:$AT$1,),))/100+1)^4)-1</f>
        <v/>
      </c>
      <c r="V92" s="33">
        <f>(((VLOOKUP(B92,'Data qoq'!$A:$AT,MATCH($V$1,'Data qoq'!$A$1:$AT$1,),))/100+1)^4)-1</f>
        <v/>
      </c>
      <c r="W92" s="33">
        <f>(((VLOOKUP(B92,'Data qoq'!$A:$AT,MATCH($W$1,'Data qoq'!$A$1:$AT$1,),))/100+1)^4)-1</f>
        <v/>
      </c>
      <c r="X92" s="33">
        <f>(((VLOOKUP(B92,'Data qoq'!$A:$AT,MATCH($X$1,'Data qoq'!$A$1:$AT$1,),))/100+1)^4)-1</f>
        <v/>
      </c>
      <c r="Y92" s="33">
        <f>(((VLOOKUP(B92,'Data qoq'!$A:$AT,MATCH($Y$1,'Data qoq'!$A$1:$AT$1,),))/100+1)^4)-1</f>
        <v/>
      </c>
      <c r="Z92" s="33">
        <f>(((VLOOKUP(B92,'Data qoq'!$A:$AU,MATCH($Z$1,'Data qoq'!$A$1:$AU$1,),))/100+1)^4)-1</f>
        <v/>
      </c>
      <c r="AA92" s="33">
        <f>(((VLOOKUP(B92,'Data qoq'!$A:$AU,MATCH($AA$1,'Data qoq'!$A$1:$AU$1,),))/100+1)^4)-1</f>
        <v/>
      </c>
      <c r="AC92" s="27">
        <f>B92</f>
        <v/>
      </c>
      <c r="AD92" s="32">
        <f>(VLOOKUP(AC92,B:Y,MATCH($AE$6,$B$1:$Y$1,),))-(VLOOKUP(AC92,B:Y,MATCH($AE$7,$B$1:$Y$1,),))</f>
        <v/>
      </c>
    </row>
    <row r="93" customFormat="1" s="93">
      <c r="A93" s="31" t="n">
        <v>44075</v>
      </c>
      <c r="B93" s="25" t="inlineStr">
        <is>
          <t>2020-Q3</t>
        </is>
      </c>
      <c r="C93" s="33">
        <f>(((VLOOKUP(B93,'Data qoq'!$A:$AT,MATCH($C$1,'Data qoq'!$A$1:$AT$1,),))/100+1)^4)-1</f>
        <v/>
      </c>
      <c r="D93" s="33">
        <f>(((VLOOKUP(B93,'Data qoq'!$A:$AT,MATCH($D$1,'Data qoq'!$A$1:$AT$1,),))/100+1)^4)-1</f>
        <v/>
      </c>
      <c r="E93" s="33">
        <f>(((VLOOKUP(B93,'Data qoq'!$A:$AT,MATCH($E$1,'Data qoq'!$A$1:$AT$1,),))/100+1)^4)-1</f>
        <v/>
      </c>
      <c r="F93" s="33">
        <f>(((VLOOKUP(B93,'Data qoq'!$A:$AT,MATCH($F$1,'Data qoq'!$A$1:$AT$1,),))/100+1)^4)-1</f>
        <v/>
      </c>
      <c r="G93" s="33">
        <f>(((VLOOKUP(B93,'Data qoq'!$A:$AT,MATCH($G$1,'Data qoq'!$A$1:$AT$1,),))/100+1)^4)-1</f>
        <v/>
      </c>
      <c r="H93" s="33">
        <f>(((VLOOKUP(B93,'Data qoq'!$A:$AT,MATCH($H$1,'Data qoq'!$A$1:$AT$1,),))/100+1)^4)-1</f>
        <v/>
      </c>
      <c r="I93" s="33">
        <f>(((VLOOKUP(B93,'Data qoq'!$A:$AT,MATCH($I$1,'Data qoq'!$A$1:$AT$1,),))/100+1)^4)-1</f>
        <v/>
      </c>
      <c r="J93" s="33">
        <f>(((VLOOKUP(B93,'Data qoq'!$A:$AT,MATCH($J$1,'Data qoq'!$A$1:$AT$1,),))/100+1)^4)-1</f>
        <v/>
      </c>
      <c r="K93" s="33">
        <f>(((VLOOKUP(B93,'Data qoq'!$A:$AT,MATCH($K$1,'Data qoq'!$A$1:$AT$1,),))/100+1)^4)-1</f>
        <v/>
      </c>
      <c r="L93" s="33">
        <f>(((VLOOKUP(B93,'Data qoq'!$A:$AT,MATCH($L$1,'Data qoq'!$A$1:$AT$1,),))/100+1)^4)-1</f>
        <v/>
      </c>
      <c r="M93" s="33">
        <f>(((VLOOKUP(B93,'Data qoq'!$A:$AT,MATCH($M$1,'Data qoq'!$A$1:$AT$1,),))/100+1)^4)-1</f>
        <v/>
      </c>
      <c r="N93" s="33">
        <f>(((VLOOKUP(B93,'Data qoq'!$A:$AT,MATCH($N$1,'Data qoq'!$A$1:$AT$1,),))/100+1)^4)-1</f>
        <v/>
      </c>
      <c r="O93" s="33">
        <f>(((VLOOKUP(B93,'Data qoq'!$A:$AT,MATCH($O$1,'Data qoq'!$A$1:$AT$1,),))/100+1)^4)-1</f>
        <v/>
      </c>
      <c r="P93" s="33">
        <f>(((VLOOKUP(B93,'Data qoq'!$A:$AT,MATCH($P$1,'Data qoq'!$A$1:$AT$1,),))/100+1)^4)-1</f>
        <v/>
      </c>
      <c r="Q93" s="33">
        <f>(((VLOOKUP(B93,'Data qoq'!$A:$AT,MATCH($Q$1,'Data qoq'!$A$1:$AT$1,),))/100+1)^4)-1</f>
        <v/>
      </c>
      <c r="R93" s="33">
        <f>(((VLOOKUP(B93,'Data qoq'!$A:$AT,MATCH($R$1,'Data qoq'!$A$1:$AT$1,),))/100+1)^4)-1</f>
        <v/>
      </c>
      <c r="S93" s="33">
        <f>(((VLOOKUP(B93,'Data qoq'!$A:$AT,MATCH($S$1,'Data qoq'!$A$1:$AT$1,),))/100+1)^4)-1</f>
        <v/>
      </c>
      <c r="T93" s="33">
        <f>(((VLOOKUP(B93,'Data qoq'!$A:$AT,MATCH($T$1,'Data qoq'!$A$1:$AT$1,),))/100+1)^4)-1</f>
        <v/>
      </c>
      <c r="U93" s="33">
        <f>(((VLOOKUP(B93,'Data qoq'!$A:$AT,MATCH($U$1,'Data qoq'!$A$1:$AT$1,),))/100+1)^4)-1</f>
        <v/>
      </c>
      <c r="V93" s="33">
        <f>(((VLOOKUP(B93,'Data qoq'!$A:$AT,MATCH($V$1,'Data qoq'!$A$1:$AT$1,),))/100+1)^4)-1</f>
        <v/>
      </c>
      <c r="W93" s="33">
        <f>(((VLOOKUP(B93,'Data qoq'!$A:$AT,MATCH($W$1,'Data qoq'!$A$1:$AT$1,),))/100+1)^4)-1</f>
        <v/>
      </c>
      <c r="X93" s="33">
        <f>(((VLOOKUP(B93,'Data qoq'!$A:$AT,MATCH($X$1,'Data qoq'!$A$1:$AT$1,),))/100+1)^4)-1</f>
        <v/>
      </c>
      <c r="Y93" s="33">
        <f>(((VLOOKUP(B93,'Data qoq'!$A:$AT,MATCH($Y$1,'Data qoq'!$A$1:$AT$1,),))/100+1)^4)-1</f>
        <v/>
      </c>
      <c r="Z93" s="33">
        <f>(((VLOOKUP(B93,'Data qoq'!$A:$AU,MATCH($Z$1,'Data qoq'!$A$1:$AU$1,),))/100+1)^4)-1</f>
        <v/>
      </c>
      <c r="AA93" s="33">
        <f>(((VLOOKUP(B93,'Data qoq'!$A:$AU,MATCH($AA$1,'Data qoq'!$A$1:$AU$1,),))/100+1)^4)-1</f>
        <v/>
      </c>
      <c r="AC93" s="27">
        <f>B93</f>
        <v/>
      </c>
      <c r="AD93" s="32">
        <f>(VLOOKUP(AC93,B:Y,MATCH($AE$6,$B$1:$Y$1,),))-(VLOOKUP(AC93,B:Y,MATCH($AE$7,$B$1:$Y$1,),))</f>
        <v/>
      </c>
    </row>
    <row r="94" customFormat="1" s="93">
      <c r="A94" s="31" t="n">
        <v>44166</v>
      </c>
      <c r="B94" s="25" t="inlineStr">
        <is>
          <t>2020-Q4</t>
        </is>
      </c>
      <c r="C94" s="33">
        <f>(((VLOOKUP(B94,'Data qoq'!$A:$AT,MATCH($C$1,'Data qoq'!$A$1:$AT$1,),))/100+1)^4)-1</f>
        <v/>
      </c>
      <c r="D94" s="33">
        <f>(((VLOOKUP(B94,'Data qoq'!$A:$AT,MATCH($D$1,'Data qoq'!$A$1:$AT$1,),))/100+1)^4)-1</f>
        <v/>
      </c>
      <c r="E94" s="33">
        <f>(((VLOOKUP(B94,'Data qoq'!$A:$AT,MATCH($E$1,'Data qoq'!$A$1:$AT$1,),))/100+1)^4)-1</f>
        <v/>
      </c>
      <c r="F94" s="33">
        <f>(((VLOOKUP(B94,'Data qoq'!$A:$AT,MATCH($F$1,'Data qoq'!$A$1:$AT$1,),))/100+1)^4)-1</f>
        <v/>
      </c>
      <c r="G94" s="33">
        <f>(((VLOOKUP(B94,'Data qoq'!$A:$AT,MATCH($G$1,'Data qoq'!$A$1:$AT$1,),))/100+1)^4)-1</f>
        <v/>
      </c>
      <c r="H94" s="33">
        <f>(((VLOOKUP(B94,'Data qoq'!$A:$AT,MATCH($H$1,'Data qoq'!$A$1:$AT$1,),))/100+1)^4)-1</f>
        <v/>
      </c>
      <c r="I94" s="33">
        <f>(((VLOOKUP(B94,'Data qoq'!$A:$AT,MATCH($I$1,'Data qoq'!$A$1:$AT$1,),))/100+1)^4)-1</f>
        <v/>
      </c>
      <c r="J94" s="33">
        <f>(((VLOOKUP(B94,'Data qoq'!$A:$AT,MATCH($J$1,'Data qoq'!$A$1:$AT$1,),))/100+1)^4)-1</f>
        <v/>
      </c>
      <c r="K94" s="33">
        <f>(((VLOOKUP(B94,'Data qoq'!$A:$AT,MATCH($K$1,'Data qoq'!$A$1:$AT$1,),))/100+1)^4)-1</f>
        <v/>
      </c>
      <c r="L94" s="33">
        <f>(((VLOOKUP(B94,'Data qoq'!$A:$AT,MATCH($L$1,'Data qoq'!$A$1:$AT$1,),))/100+1)^4)-1</f>
        <v/>
      </c>
      <c r="M94" s="33">
        <f>(((VLOOKUP(B94,'Data qoq'!$A:$AT,MATCH($M$1,'Data qoq'!$A$1:$AT$1,),))/100+1)^4)-1</f>
        <v/>
      </c>
      <c r="N94" s="33">
        <f>(((VLOOKUP(B94,'Data qoq'!$A:$AT,MATCH($N$1,'Data qoq'!$A$1:$AT$1,),))/100+1)^4)-1</f>
        <v/>
      </c>
      <c r="O94" s="33">
        <f>(((VLOOKUP(B94,'Data qoq'!$A:$AT,MATCH($O$1,'Data qoq'!$A$1:$AT$1,),))/100+1)^4)-1</f>
        <v/>
      </c>
      <c r="P94" s="33">
        <f>(((VLOOKUP(B94,'Data qoq'!$A:$AT,MATCH($P$1,'Data qoq'!$A$1:$AT$1,),))/100+1)^4)-1</f>
        <v/>
      </c>
      <c r="Q94" s="33">
        <f>(((VLOOKUP(B94,'Data qoq'!$A:$AT,MATCH($Q$1,'Data qoq'!$A$1:$AT$1,),))/100+1)^4)-1</f>
        <v/>
      </c>
      <c r="R94" s="33">
        <f>(((VLOOKUP(B94,'Data qoq'!$A:$AT,MATCH($R$1,'Data qoq'!$A$1:$AT$1,),))/100+1)^4)-1</f>
        <v/>
      </c>
      <c r="S94" s="33">
        <f>(((VLOOKUP(B94,'Data qoq'!$A:$AT,MATCH($S$1,'Data qoq'!$A$1:$AT$1,),))/100+1)^4)-1</f>
        <v/>
      </c>
      <c r="T94" s="33">
        <f>(((VLOOKUP(B94,'Data qoq'!$A:$AT,MATCH($T$1,'Data qoq'!$A$1:$AT$1,),))/100+1)^4)-1</f>
        <v/>
      </c>
      <c r="U94" s="33">
        <f>(((VLOOKUP(B94,'Data qoq'!$A:$AT,MATCH($U$1,'Data qoq'!$A$1:$AT$1,),))/100+1)^4)-1</f>
        <v/>
      </c>
      <c r="V94" s="33">
        <f>(((VLOOKUP(B94,'Data qoq'!$A:$AT,MATCH($V$1,'Data qoq'!$A$1:$AT$1,),))/100+1)^4)-1</f>
        <v/>
      </c>
      <c r="W94" s="33">
        <f>(((VLOOKUP(B94,'Data qoq'!$A:$AT,MATCH($W$1,'Data qoq'!$A$1:$AT$1,),))/100+1)^4)-1</f>
        <v/>
      </c>
      <c r="X94" s="33">
        <f>(((VLOOKUP(B94,'Data qoq'!$A:$AT,MATCH($X$1,'Data qoq'!$A$1:$AT$1,),))/100+1)^4)-1</f>
        <v/>
      </c>
      <c r="Y94" s="33">
        <f>(((VLOOKUP(B94,'Data qoq'!$A:$AT,MATCH($Y$1,'Data qoq'!$A$1:$AT$1,),))/100+1)^4)-1</f>
        <v/>
      </c>
      <c r="Z94" s="33">
        <f>(((VLOOKUP(B94,'Data qoq'!$A:$AU,MATCH($Z$1,'Data qoq'!$A$1:$AU$1,),))/100+1)^4)-1</f>
        <v/>
      </c>
      <c r="AA94" s="33">
        <f>(((VLOOKUP(B94,'Data qoq'!$A:$AU,MATCH($AA$1,'Data qoq'!$A$1:$AU$1,),))/100+1)^4)-1</f>
        <v/>
      </c>
      <c r="AC94" s="27">
        <f>B94</f>
        <v/>
      </c>
      <c r="AD94" s="32">
        <f>(VLOOKUP(AC94,B:Y,MATCH($AE$6,$B$1:$Y$1,),))-(VLOOKUP(AC94,B:Y,MATCH($AE$7,$B$1:$Y$1,),))</f>
        <v/>
      </c>
    </row>
    <row r="95" customFormat="1" s="93">
      <c r="A95" s="31" t="n">
        <v>44256</v>
      </c>
      <c r="B95" s="25" t="inlineStr">
        <is>
          <t>2021-Q1</t>
        </is>
      </c>
      <c r="C95" s="33">
        <f>(((VLOOKUP(B95,'Data qoq'!$A:$AT,MATCH($C$1,'Data qoq'!$A$1:$AT$1,),))/100+1)^4)-1</f>
        <v/>
      </c>
      <c r="D95" s="33">
        <f>(((VLOOKUP(B95,'Data qoq'!$A:$AT,MATCH($D$1,'Data qoq'!$A$1:$AT$1,),))/100+1)^4)-1</f>
        <v/>
      </c>
      <c r="E95" s="33">
        <f>(((VLOOKUP(B95,'Data qoq'!$A:$AT,MATCH($E$1,'Data qoq'!$A$1:$AT$1,),))/100+1)^4)-1</f>
        <v/>
      </c>
      <c r="F95" s="33">
        <f>(((VLOOKUP(B95,'Data qoq'!$A:$AT,MATCH($F$1,'Data qoq'!$A$1:$AT$1,),))/100+1)^4)-1</f>
        <v/>
      </c>
      <c r="G95" s="33">
        <f>(((VLOOKUP(B95,'Data qoq'!$A:$AT,MATCH($G$1,'Data qoq'!$A$1:$AT$1,),))/100+1)^4)-1</f>
        <v/>
      </c>
      <c r="H95" s="33">
        <f>(((VLOOKUP(B95,'Data qoq'!$A:$AT,MATCH($H$1,'Data qoq'!$A$1:$AT$1,),))/100+1)^4)-1</f>
        <v/>
      </c>
      <c r="I95" s="33">
        <f>(((VLOOKUP(B95,'Data qoq'!$A:$AT,MATCH($I$1,'Data qoq'!$A$1:$AT$1,),))/100+1)^4)-1</f>
        <v/>
      </c>
      <c r="J95" s="33">
        <f>(((VLOOKUP(B95,'Data qoq'!$A:$AT,MATCH($J$1,'Data qoq'!$A$1:$AT$1,),))/100+1)^4)-1</f>
        <v/>
      </c>
      <c r="K95" s="33">
        <f>(((VLOOKUP(B95,'Data qoq'!$A:$AT,MATCH($K$1,'Data qoq'!$A$1:$AT$1,),))/100+1)^4)-1</f>
        <v/>
      </c>
      <c r="L95" s="33">
        <f>(((VLOOKUP(B95,'Data qoq'!$A:$AT,MATCH($L$1,'Data qoq'!$A$1:$AT$1,),))/100+1)^4)-1</f>
        <v/>
      </c>
      <c r="M95" s="33">
        <f>(((VLOOKUP(B95,'Data qoq'!$A:$AT,MATCH($M$1,'Data qoq'!$A$1:$AT$1,),))/100+1)^4)-1</f>
        <v/>
      </c>
      <c r="N95" s="33">
        <f>(((VLOOKUP(B95,'Data qoq'!$A:$AT,MATCH($N$1,'Data qoq'!$A$1:$AT$1,),))/100+1)^4)-1</f>
        <v/>
      </c>
      <c r="O95" s="33">
        <f>(((VLOOKUP(B95,'Data qoq'!$A:$AT,MATCH($O$1,'Data qoq'!$A$1:$AT$1,),))/100+1)^4)-1</f>
        <v/>
      </c>
      <c r="P95" s="33">
        <f>(((VLOOKUP(B95,'Data qoq'!$A:$AT,MATCH($P$1,'Data qoq'!$A$1:$AT$1,),))/100+1)^4)-1</f>
        <v/>
      </c>
      <c r="Q95" s="33">
        <f>(((VLOOKUP(B95,'Data qoq'!$A:$AT,MATCH($Q$1,'Data qoq'!$A$1:$AT$1,),))/100+1)^4)-1</f>
        <v/>
      </c>
      <c r="R95" s="33">
        <f>(((VLOOKUP(B95,'Data qoq'!$A:$AT,MATCH($R$1,'Data qoq'!$A$1:$AT$1,),))/100+1)^4)-1</f>
        <v/>
      </c>
      <c r="S95" s="33">
        <f>(((VLOOKUP(B95,'Data qoq'!$A:$AT,MATCH($S$1,'Data qoq'!$A$1:$AT$1,),))/100+1)^4)-1</f>
        <v/>
      </c>
      <c r="T95" s="33">
        <f>(((VLOOKUP(B95,'Data qoq'!$A:$AT,MATCH($T$1,'Data qoq'!$A$1:$AT$1,),))/100+1)^4)-1</f>
        <v/>
      </c>
      <c r="U95" s="33">
        <f>(((VLOOKUP(B95,'Data qoq'!$A:$AT,MATCH($U$1,'Data qoq'!$A$1:$AT$1,),))/100+1)^4)-1</f>
        <v/>
      </c>
      <c r="V95" s="33">
        <f>(((VLOOKUP(B95,'Data qoq'!$A:$AT,MATCH($V$1,'Data qoq'!$A$1:$AT$1,),))/100+1)^4)-1</f>
        <v/>
      </c>
      <c r="W95" s="33">
        <f>(((VLOOKUP(B95,'Data qoq'!$A:$AT,MATCH($W$1,'Data qoq'!$A$1:$AT$1,),))/100+1)^4)-1</f>
        <v/>
      </c>
      <c r="X95" s="33">
        <f>(((VLOOKUP(B95,'Data qoq'!$A:$AT,MATCH($X$1,'Data qoq'!$A$1:$AT$1,),))/100+1)^4)-1</f>
        <v/>
      </c>
      <c r="Y95" s="33">
        <f>(((VLOOKUP(B95,'Data qoq'!$A:$AT,MATCH($Y$1,'Data qoq'!$A$1:$AT$1,),))/100+1)^4)-1</f>
        <v/>
      </c>
      <c r="Z95" s="33">
        <f>(((VLOOKUP(B95,'Data qoq'!$A:$AU,MATCH($Z$1,'Data qoq'!$A$1:$AU$1,),))/100+1)^4)-1</f>
        <v/>
      </c>
      <c r="AA95" s="33">
        <f>(((VLOOKUP(B95,'Data qoq'!$A:$AU,MATCH($AA$1,'Data qoq'!$A$1:$AU$1,),))/100+1)^4)-1</f>
        <v/>
      </c>
      <c r="AC95" s="27">
        <f>B95</f>
        <v/>
      </c>
      <c r="AD95" s="32">
        <f>(VLOOKUP(AC95,B:Y,MATCH($AE$6,$B$1:$Y$1,),))-(VLOOKUP(AC95,B:Y,MATCH($AE$7,$B$1:$Y$1,),))</f>
        <v/>
      </c>
    </row>
    <row r="96" customFormat="1" s="93">
      <c r="A96" s="31" t="n">
        <v>44348</v>
      </c>
      <c r="B96" s="25" t="inlineStr">
        <is>
          <t>2021-Q2</t>
        </is>
      </c>
      <c r="C96" s="33">
        <f>(((VLOOKUP(B96,'Data qoq'!$A:$AT,MATCH($C$1,'Data qoq'!$A$1:$AT$1,),))/100+1)^4)-1</f>
        <v/>
      </c>
      <c r="D96" s="33">
        <f>(((VLOOKUP(B96,'Data qoq'!$A:$AT,MATCH($D$1,'Data qoq'!$A$1:$AT$1,),))/100+1)^4)-1</f>
        <v/>
      </c>
      <c r="E96" s="33">
        <f>(((VLOOKUP(B96,'Data qoq'!$A:$AT,MATCH($E$1,'Data qoq'!$A$1:$AT$1,),))/100+1)^4)-1</f>
        <v/>
      </c>
      <c r="F96" s="33">
        <f>(((VLOOKUP(B96,'Data qoq'!$A:$AT,MATCH($F$1,'Data qoq'!$A$1:$AT$1,),))/100+1)^4)-1</f>
        <v/>
      </c>
      <c r="G96" s="33">
        <f>(((VLOOKUP(B96,'Data qoq'!$A:$AT,MATCH($G$1,'Data qoq'!$A$1:$AT$1,),))/100+1)^4)-1</f>
        <v/>
      </c>
      <c r="H96" s="33">
        <f>(((VLOOKUP(B96,'Data qoq'!$A:$AT,MATCH($H$1,'Data qoq'!$A$1:$AT$1,),))/100+1)^4)-1</f>
        <v/>
      </c>
      <c r="I96" s="33">
        <f>(((VLOOKUP(B96,'Data qoq'!$A:$AT,MATCH($I$1,'Data qoq'!$A$1:$AT$1,),))/100+1)^4)-1</f>
        <v/>
      </c>
      <c r="J96" s="33">
        <f>(((VLOOKUP(B96,'Data qoq'!$A:$AT,MATCH($J$1,'Data qoq'!$A$1:$AT$1,),))/100+1)^4)-1</f>
        <v/>
      </c>
      <c r="K96" s="33">
        <f>(((VLOOKUP(B96,'Data qoq'!$A:$AT,MATCH($K$1,'Data qoq'!$A$1:$AT$1,),))/100+1)^4)-1</f>
        <v/>
      </c>
      <c r="L96" s="33">
        <f>(((VLOOKUP(B96,'Data qoq'!$A:$AT,MATCH($L$1,'Data qoq'!$A$1:$AT$1,),))/100+1)^4)-1</f>
        <v/>
      </c>
      <c r="M96" s="33">
        <f>(((VLOOKUP(B96,'Data qoq'!$A:$AT,MATCH($M$1,'Data qoq'!$A$1:$AT$1,),))/100+1)^4)-1</f>
        <v/>
      </c>
      <c r="N96" s="33">
        <f>(((VLOOKUP(B96,'Data qoq'!$A:$AT,MATCH($N$1,'Data qoq'!$A$1:$AT$1,),))/100+1)^4)-1</f>
        <v/>
      </c>
      <c r="O96" s="33">
        <f>(((VLOOKUP(B96,'Data qoq'!$A:$AT,MATCH($O$1,'Data qoq'!$A$1:$AT$1,),))/100+1)^4)-1</f>
        <v/>
      </c>
      <c r="P96" s="33">
        <f>(((VLOOKUP(B96,'Data qoq'!$A:$AT,MATCH($P$1,'Data qoq'!$A$1:$AT$1,),))/100+1)^4)-1</f>
        <v/>
      </c>
      <c r="Q96" s="33">
        <f>(((VLOOKUP(B96,'Data qoq'!$A:$AT,MATCH($Q$1,'Data qoq'!$A$1:$AT$1,),))/100+1)^4)-1</f>
        <v/>
      </c>
      <c r="R96" s="33">
        <f>(((VLOOKUP(B96,'Data qoq'!$A:$AT,MATCH($R$1,'Data qoq'!$A$1:$AT$1,),))/100+1)^4)-1</f>
        <v/>
      </c>
      <c r="S96" s="33">
        <f>(((VLOOKUP(B96,'Data qoq'!$A:$AT,MATCH($S$1,'Data qoq'!$A$1:$AT$1,),))/100+1)^4)-1</f>
        <v/>
      </c>
      <c r="T96" s="33">
        <f>(((VLOOKUP(B96,'Data qoq'!$A:$AT,MATCH($T$1,'Data qoq'!$A$1:$AT$1,),))/100+1)^4)-1</f>
        <v/>
      </c>
      <c r="U96" s="33">
        <f>(((VLOOKUP(B96,'Data qoq'!$A:$AT,MATCH($U$1,'Data qoq'!$A$1:$AT$1,),))/100+1)^4)-1</f>
        <v/>
      </c>
      <c r="V96" s="33">
        <f>(((VLOOKUP(B96,'Data qoq'!$A:$AT,MATCH($V$1,'Data qoq'!$A$1:$AT$1,),))/100+1)^4)-1</f>
        <v/>
      </c>
      <c r="W96" s="33">
        <f>(((VLOOKUP(B96,'Data qoq'!$A:$AT,MATCH($W$1,'Data qoq'!$A$1:$AT$1,),))/100+1)^4)-1</f>
        <v/>
      </c>
      <c r="X96" s="33">
        <f>(((VLOOKUP(B96,'Data qoq'!$A:$AT,MATCH($X$1,'Data qoq'!$A$1:$AT$1,),))/100+1)^4)-1</f>
        <v/>
      </c>
      <c r="Y96" s="33">
        <f>(((VLOOKUP(B96,'Data qoq'!$A:$AT,MATCH($Y$1,'Data qoq'!$A$1:$AT$1,),))/100+1)^4)-1</f>
        <v/>
      </c>
      <c r="Z96" s="33">
        <f>(((VLOOKUP(B96,'Data qoq'!$A:$AU,MATCH($Z$1,'Data qoq'!$A$1:$AU$1,),))/100+1)^4)-1</f>
        <v/>
      </c>
      <c r="AA96" s="33">
        <f>(((VLOOKUP(B96,'Data qoq'!$A:$AU,MATCH($AA$1,'Data qoq'!$A$1:$AU$1,),))/100+1)^4)-1</f>
        <v/>
      </c>
      <c r="AC96" s="27">
        <f>B96</f>
        <v/>
      </c>
      <c r="AD96" s="32">
        <f>(VLOOKUP(AC96,B:Y,MATCH($AE$6,$B$1:$Y$1,),))-(VLOOKUP(AC96,B:Y,MATCH($AE$7,$B$1:$Y$1,),))</f>
        <v/>
      </c>
    </row>
    <row r="97" customFormat="1" s="93">
      <c r="A97" s="31" t="n">
        <v>44440</v>
      </c>
      <c r="B97" s="25" t="inlineStr">
        <is>
          <t>2021-Q3</t>
        </is>
      </c>
      <c r="C97" s="33">
        <f>(((VLOOKUP(B97,'Data qoq'!$A:$AT,MATCH($C$1,'Data qoq'!$A$1:$AT$1,),))/100+1)^4)-1</f>
        <v/>
      </c>
      <c r="D97" s="33">
        <f>(((VLOOKUP(B97,'Data qoq'!$A:$AT,MATCH($D$1,'Data qoq'!$A$1:$AT$1,),))/100+1)^4)-1</f>
        <v/>
      </c>
      <c r="E97" s="33">
        <f>(((VLOOKUP(B97,'Data qoq'!$A:$AT,MATCH($E$1,'Data qoq'!$A$1:$AT$1,),))/100+1)^4)-1</f>
        <v/>
      </c>
      <c r="F97" s="33">
        <f>(((VLOOKUP(B97,'Data qoq'!$A:$AT,MATCH($F$1,'Data qoq'!$A$1:$AT$1,),))/100+1)^4)-1</f>
        <v/>
      </c>
      <c r="G97" s="33">
        <f>(((VLOOKUP(B97,'Data qoq'!$A:$AT,MATCH($G$1,'Data qoq'!$A$1:$AT$1,),))/100+1)^4)-1</f>
        <v/>
      </c>
      <c r="H97" s="33">
        <f>(((VLOOKUP(B97,'Data qoq'!$A:$AT,MATCH($H$1,'Data qoq'!$A$1:$AT$1,),))/100+1)^4)-1</f>
        <v/>
      </c>
      <c r="I97" s="33">
        <f>(((VLOOKUP(B97,'Data qoq'!$A:$AT,MATCH($I$1,'Data qoq'!$A$1:$AT$1,),))/100+1)^4)-1</f>
        <v/>
      </c>
      <c r="J97" s="33">
        <f>(((VLOOKUP(B97,'Data qoq'!$A:$AT,MATCH($J$1,'Data qoq'!$A$1:$AT$1,),))/100+1)^4)-1</f>
        <v/>
      </c>
      <c r="K97" s="33">
        <f>(((VLOOKUP(B97,'Data qoq'!$A:$AT,MATCH($K$1,'Data qoq'!$A$1:$AT$1,),))/100+1)^4)-1</f>
        <v/>
      </c>
      <c r="L97" s="33">
        <f>(((VLOOKUP(B97,'Data qoq'!$A:$AT,MATCH($L$1,'Data qoq'!$A$1:$AT$1,),))/100+1)^4)-1</f>
        <v/>
      </c>
      <c r="M97" s="33">
        <f>(((VLOOKUP(B97,'Data qoq'!$A:$AT,MATCH($M$1,'Data qoq'!$A$1:$AT$1,),))/100+1)^4)-1</f>
        <v/>
      </c>
      <c r="N97" s="33">
        <f>(((VLOOKUP(B97,'Data qoq'!$A:$AT,MATCH($N$1,'Data qoq'!$A$1:$AT$1,),))/100+1)^4)-1</f>
        <v/>
      </c>
      <c r="O97" s="33">
        <f>(((VLOOKUP(B97,'Data qoq'!$A:$AT,MATCH($O$1,'Data qoq'!$A$1:$AT$1,),))/100+1)^4)-1</f>
        <v/>
      </c>
      <c r="P97" s="33">
        <f>(((VLOOKUP(B97,'Data qoq'!$A:$AT,MATCH($P$1,'Data qoq'!$A$1:$AT$1,),))/100+1)^4)-1</f>
        <v/>
      </c>
      <c r="Q97" s="33">
        <f>(((VLOOKUP(B97,'Data qoq'!$A:$AT,MATCH($Q$1,'Data qoq'!$A$1:$AT$1,),))/100+1)^4)-1</f>
        <v/>
      </c>
      <c r="R97" s="33">
        <f>(((VLOOKUP(B97,'Data qoq'!$A:$AT,MATCH($R$1,'Data qoq'!$A$1:$AT$1,),))/100+1)^4)-1</f>
        <v/>
      </c>
      <c r="S97" s="33">
        <f>(((VLOOKUP(B97,'Data qoq'!$A:$AT,MATCH($S$1,'Data qoq'!$A$1:$AT$1,),))/100+1)^4)-1</f>
        <v/>
      </c>
      <c r="T97" s="33">
        <f>(((VLOOKUP(B97,'Data qoq'!$A:$AT,MATCH($T$1,'Data qoq'!$A$1:$AT$1,),))/100+1)^4)-1</f>
        <v/>
      </c>
      <c r="U97" s="33">
        <f>(((VLOOKUP(B97,'Data qoq'!$A:$AT,MATCH($U$1,'Data qoq'!$A$1:$AT$1,),))/100+1)^4)-1</f>
        <v/>
      </c>
      <c r="V97" s="33">
        <f>(((VLOOKUP(B97,'Data qoq'!$A:$AT,MATCH($V$1,'Data qoq'!$A$1:$AT$1,),))/100+1)^4)-1</f>
        <v/>
      </c>
      <c r="W97" s="33">
        <f>(((VLOOKUP(B97,'Data qoq'!$A:$AT,MATCH($W$1,'Data qoq'!$A$1:$AT$1,),))/100+1)^4)-1</f>
        <v/>
      </c>
      <c r="X97" s="33">
        <f>(((VLOOKUP(B97,'Data qoq'!$A:$AT,MATCH($X$1,'Data qoq'!$A$1:$AT$1,),))/100+1)^4)-1</f>
        <v/>
      </c>
      <c r="Y97" s="33">
        <f>(((VLOOKUP(B97,'Data qoq'!$A:$AT,MATCH($Y$1,'Data qoq'!$A$1:$AT$1,),))/100+1)^4)-1</f>
        <v/>
      </c>
      <c r="Z97" s="33">
        <f>(((VLOOKUP(B97,'Data qoq'!$A:$AU,MATCH($Z$1,'Data qoq'!$A$1:$AU$1,),))/100+1)^4)-1</f>
        <v/>
      </c>
      <c r="AA97" s="33">
        <f>(((VLOOKUP(B97,'Data qoq'!$A:$AU,MATCH($AA$1,'Data qoq'!$A$1:$AU$1,),))/100+1)^4)-1</f>
        <v/>
      </c>
      <c r="AC97" s="27">
        <f>B97</f>
        <v/>
      </c>
      <c r="AD97" s="32">
        <f>(VLOOKUP(AC97,B:Y,MATCH($AE$6,$B$1:$Y$1,),))-(VLOOKUP(AC97,B:Y,MATCH($AE$7,$B$1:$Y$1,),))</f>
        <v/>
      </c>
    </row>
    <row r="98" customFormat="1" s="93">
      <c r="A98" s="31" t="n">
        <v>44531</v>
      </c>
      <c r="B98" s="25" t="inlineStr">
        <is>
          <t>2021-Q4</t>
        </is>
      </c>
      <c r="C98" s="33">
        <f>(((VLOOKUP(B98,'Data qoq'!$A:$AT,MATCH($C$1,'Data qoq'!$A$1:$AT$1,),))/100+1)^4)-1</f>
        <v/>
      </c>
      <c r="D98" s="33">
        <f>(((VLOOKUP(B98,'Data qoq'!$A:$AT,MATCH($D$1,'Data qoq'!$A$1:$AT$1,),))/100+1)^4)-1</f>
        <v/>
      </c>
      <c r="E98" s="33">
        <f>(((VLOOKUP(B98,'Data qoq'!$A:$AT,MATCH($E$1,'Data qoq'!$A$1:$AT$1,),))/100+1)^4)-1</f>
        <v/>
      </c>
      <c r="F98" s="33">
        <f>(((VLOOKUP(B98,'Data qoq'!$A:$AT,MATCH($F$1,'Data qoq'!$A$1:$AT$1,),))/100+1)^4)-1</f>
        <v/>
      </c>
      <c r="G98" s="33">
        <f>(((VLOOKUP(B98,'Data qoq'!$A:$AT,MATCH($G$1,'Data qoq'!$A$1:$AT$1,),))/100+1)^4)-1</f>
        <v/>
      </c>
      <c r="H98" s="33">
        <f>(((VLOOKUP(B98,'Data qoq'!$A:$AT,MATCH($H$1,'Data qoq'!$A$1:$AT$1,),))/100+1)^4)-1</f>
        <v/>
      </c>
      <c r="I98" s="33">
        <f>(((VLOOKUP(B98,'Data qoq'!$A:$AT,MATCH($I$1,'Data qoq'!$A$1:$AT$1,),))/100+1)^4)-1</f>
        <v/>
      </c>
      <c r="J98" s="33">
        <f>(((VLOOKUP(B98,'Data qoq'!$A:$AT,MATCH($J$1,'Data qoq'!$A$1:$AT$1,),))/100+1)^4)-1</f>
        <v/>
      </c>
      <c r="K98" s="33">
        <f>(((VLOOKUP(B98,'Data qoq'!$A:$AT,MATCH($K$1,'Data qoq'!$A$1:$AT$1,),))/100+1)^4)-1</f>
        <v/>
      </c>
      <c r="L98" s="33">
        <f>(((VLOOKUP(B98,'Data qoq'!$A:$AT,MATCH($L$1,'Data qoq'!$A$1:$AT$1,),))/100+1)^4)-1</f>
        <v/>
      </c>
      <c r="M98" s="33">
        <f>(((VLOOKUP(B98,'Data qoq'!$A:$AT,MATCH($M$1,'Data qoq'!$A$1:$AT$1,),))/100+1)^4)-1</f>
        <v/>
      </c>
      <c r="N98" s="33">
        <f>(((VLOOKUP(B98,'Data qoq'!$A:$AT,MATCH($N$1,'Data qoq'!$A$1:$AT$1,),))/100+1)^4)-1</f>
        <v/>
      </c>
      <c r="O98" s="33">
        <f>(((VLOOKUP(B98,'Data qoq'!$A:$AT,MATCH($O$1,'Data qoq'!$A$1:$AT$1,),))/100+1)^4)-1</f>
        <v/>
      </c>
      <c r="P98" s="33">
        <f>(((VLOOKUP(B98,'Data qoq'!$A:$AT,MATCH($P$1,'Data qoq'!$A$1:$AT$1,),))/100+1)^4)-1</f>
        <v/>
      </c>
      <c r="Q98" s="33">
        <f>(((VLOOKUP(B98,'Data qoq'!$A:$AT,MATCH($Q$1,'Data qoq'!$A$1:$AT$1,),))/100+1)^4)-1</f>
        <v/>
      </c>
      <c r="R98" s="33">
        <f>(((VLOOKUP(B98,'Data qoq'!$A:$AT,MATCH($R$1,'Data qoq'!$A$1:$AT$1,),))/100+1)^4)-1</f>
        <v/>
      </c>
      <c r="S98" s="33">
        <f>(((VLOOKUP(B98,'Data qoq'!$A:$AT,MATCH($S$1,'Data qoq'!$A$1:$AT$1,),))/100+1)^4)-1</f>
        <v/>
      </c>
      <c r="T98" s="33">
        <f>(((VLOOKUP(B98,'Data qoq'!$A:$AT,MATCH($T$1,'Data qoq'!$A$1:$AT$1,),))/100+1)^4)-1</f>
        <v/>
      </c>
      <c r="U98" s="33">
        <f>(((VLOOKUP(B98,'Data qoq'!$A:$AT,MATCH($U$1,'Data qoq'!$A$1:$AT$1,),))/100+1)^4)-1</f>
        <v/>
      </c>
      <c r="V98" s="33">
        <f>(((VLOOKUP(B98,'Data qoq'!$A:$AT,MATCH($V$1,'Data qoq'!$A$1:$AT$1,),))/100+1)^4)-1</f>
        <v/>
      </c>
      <c r="W98" s="33">
        <f>(((VLOOKUP(B98,'Data qoq'!$A:$AT,MATCH($W$1,'Data qoq'!$A$1:$AT$1,),))/100+1)^4)-1</f>
        <v/>
      </c>
      <c r="X98" s="33">
        <f>(((VLOOKUP(B98,'Data qoq'!$A:$AT,MATCH($X$1,'Data qoq'!$A$1:$AT$1,),))/100+1)^4)-1</f>
        <v/>
      </c>
      <c r="Y98" s="33">
        <f>(((VLOOKUP(B98,'Data qoq'!$A:$AT,MATCH($Y$1,'Data qoq'!$A$1:$AT$1,),))/100+1)^4)-1</f>
        <v/>
      </c>
      <c r="Z98" s="33">
        <f>(((VLOOKUP(B98,'Data qoq'!$A:$AU,MATCH($Z$1,'Data qoq'!$A$1:$AU$1,),))/100+1)^4)-1</f>
        <v/>
      </c>
      <c r="AA98" s="33">
        <f>(((VLOOKUP(B98,'Data qoq'!$A:$AU,MATCH($AA$1,'Data qoq'!$A$1:$AU$1,),))/100+1)^4)-1</f>
        <v/>
      </c>
      <c r="AC98" s="27">
        <f>B98</f>
        <v/>
      </c>
      <c r="AD98" s="32">
        <f>(VLOOKUP(AC98,B:Y,MATCH($AE$6,$B$1:$Y$1,),))-(VLOOKUP(AC98,B:Y,MATCH($AE$7,$B$1:$Y$1,),))</f>
        <v/>
      </c>
    </row>
    <row r="99" customFormat="1" s="93"/>
    <row r="100" customFormat="1" s="93"/>
    <row r="101" customFormat="1" s="93"/>
    <row r="102" customFormat="1" s="93"/>
    <row r="103" customFormat="1" s="93"/>
    <row r="104" customFormat="1" s="93"/>
    <row r="105" customFormat="1" s="93"/>
    <row r="106" customFormat="1" s="93"/>
    <row r="107" customFormat="1" s="93"/>
    <row r="108" customFormat="1" s="93"/>
    <row r="109" customFormat="1" s="93"/>
    <row r="110" customFormat="1" s="93"/>
    <row r="111" customFormat="1" s="93"/>
    <row r="112" customFormat="1" s="93"/>
    <row r="113" customFormat="1" s="93"/>
    <row r="114" customFormat="1" s="93"/>
    <row r="115" customFormat="1" s="93"/>
    <row r="116" customFormat="1" s="93"/>
    <row r="117" customFormat="1" s="93"/>
    <row r="118" customFormat="1" s="93"/>
    <row r="119" customFormat="1" s="93"/>
    <row r="120" customFormat="1" s="93"/>
    <row r="121" customFormat="1" s="93"/>
    <row r="122" customFormat="1" s="93"/>
    <row r="123" customFormat="1" s="93"/>
    <row r="124" customFormat="1" s="93"/>
    <row r="125" customFormat="1" s="93"/>
    <row r="126" customFormat="1" s="93"/>
    <row r="127" customFormat="1" s="93"/>
    <row r="128" customFormat="1" s="93"/>
    <row r="129" customFormat="1" s="93"/>
    <row r="130" customFormat="1" s="93"/>
    <row r="131" customFormat="1" s="93"/>
    <row r="132" customFormat="1" s="93"/>
    <row r="133" customFormat="1" s="93"/>
    <row r="134" customFormat="1" s="93"/>
    <row r="135" customFormat="1" s="93"/>
    <row r="136" customFormat="1" s="93"/>
    <row r="137" customFormat="1" s="93"/>
    <row r="138" customFormat="1" s="93"/>
    <row r="139" customFormat="1" s="93"/>
    <row r="140" customFormat="1" s="93"/>
    <row r="141" customFormat="1" s="93"/>
    <row r="142" customFormat="1" s="93"/>
    <row r="143" customFormat="1" s="93"/>
    <row r="144" customFormat="1" s="93"/>
    <row r="145" customFormat="1" s="93"/>
    <row r="146" customFormat="1" s="93"/>
    <row r="147" customFormat="1" s="93"/>
    <row r="148" customFormat="1" s="93"/>
    <row r="149" customFormat="1" s="93"/>
    <row r="150" customFormat="1" s="93"/>
    <row r="151" customFormat="1" s="93"/>
    <row r="152" customFormat="1" s="93"/>
    <row r="153" customFormat="1" s="93"/>
    <row r="154" customFormat="1" s="93"/>
    <row r="155" customFormat="1" s="93"/>
    <row r="156" customFormat="1" s="93"/>
    <row r="157" customFormat="1" s="93"/>
    <row r="158" customFormat="1" s="93"/>
    <row r="159" customFormat="1" s="93"/>
    <row r="160" customFormat="1" s="93"/>
    <row r="161" customFormat="1" s="93"/>
    <row r="162" customFormat="1" s="93"/>
    <row r="163" customFormat="1" s="93"/>
    <row r="164" customFormat="1" s="93"/>
    <row r="165" customFormat="1" s="93"/>
    <row r="166" customFormat="1" s="93"/>
    <row r="167" customFormat="1" s="93"/>
    <row r="168" customFormat="1" s="93"/>
    <row r="169" customFormat="1" s="93"/>
    <row r="170" customFormat="1" s="93"/>
    <row r="171" customFormat="1" s="93"/>
    <row r="172" customFormat="1" s="93"/>
    <row r="173" customFormat="1" s="93"/>
    <row r="174" customFormat="1" s="93"/>
    <row r="175" customFormat="1" s="93"/>
    <row r="176" customFormat="1" s="93"/>
    <row r="177" customFormat="1" s="93"/>
    <row r="178" customFormat="1" s="93"/>
    <row r="179" customFormat="1" s="93"/>
    <row r="180" customFormat="1" s="93"/>
    <row r="181" customFormat="1" s="93"/>
    <row r="182" customFormat="1" s="93"/>
    <row r="183" customFormat="1" s="93"/>
    <row r="184" customFormat="1" s="93"/>
    <row r="185" customFormat="1" s="93"/>
    <row r="186" customFormat="1" s="93"/>
    <row r="187" customFormat="1" s="93"/>
    <row r="188" customFormat="1" s="93"/>
    <row r="189" customFormat="1" s="93"/>
    <row r="190" customFormat="1" s="93"/>
    <row r="191" customFormat="1" s="93"/>
    <row r="192" customFormat="1" s="93"/>
    <row r="193" customFormat="1" s="93"/>
    <row r="194" customFormat="1" s="93"/>
    <row r="195" customFormat="1" s="93"/>
    <row r="196" customFormat="1" s="93"/>
    <row r="197" customFormat="1" s="93"/>
    <row r="198" customFormat="1" s="93"/>
    <row r="199" customFormat="1" s="93"/>
    <row r="200" customFormat="1" s="93"/>
    <row r="201" customFormat="1" s="93"/>
    <row r="202" customFormat="1" s="93"/>
    <row r="203" customFormat="1" s="93"/>
    <row r="204" customFormat="1" s="93"/>
    <row r="205" customFormat="1" s="93"/>
    <row r="206" customFormat="1" s="93"/>
    <row r="207" customFormat="1" s="93"/>
    <row r="208" customFormat="1" s="93"/>
    <row r="209" customFormat="1" s="93"/>
    <row r="210" customFormat="1" s="93"/>
    <row r="211" customFormat="1" s="93"/>
    <row r="212" customFormat="1" s="93"/>
    <row r="213" customFormat="1" s="93"/>
    <row r="214" customFormat="1" s="93"/>
    <row r="215" customFormat="1" s="93"/>
    <row r="216" customFormat="1" s="93"/>
    <row r="217" customFormat="1" s="93"/>
    <row r="218" customFormat="1" s="93"/>
    <row r="219" customFormat="1" s="93"/>
    <row r="220" customFormat="1" s="93"/>
    <row r="221" customFormat="1" s="93"/>
    <row r="222" customFormat="1" s="93"/>
    <row r="223" customFormat="1" s="93"/>
    <row r="224" customFormat="1" s="93"/>
    <row r="225" customFormat="1" s="93"/>
    <row r="226" customFormat="1" s="93"/>
    <row r="227" customFormat="1" s="93"/>
    <row r="228" customFormat="1" s="93"/>
    <row r="229" customFormat="1" s="93"/>
    <row r="230" customFormat="1" s="93"/>
    <row r="231" customFormat="1" s="93"/>
    <row r="232" customFormat="1" s="93"/>
    <row r="233" customFormat="1" s="93"/>
    <row r="234" customFormat="1" s="93"/>
    <row r="235" customFormat="1" s="93"/>
    <row r="236" customFormat="1" s="93"/>
    <row r="237" customFormat="1" s="93"/>
    <row r="238" customFormat="1" s="93"/>
    <row r="239" customFormat="1" s="93"/>
    <row r="240" customFormat="1" s="93"/>
    <row r="241" customFormat="1" s="93"/>
    <row r="242" customFormat="1" s="93"/>
    <row r="243" customFormat="1" s="93"/>
    <row r="244" customFormat="1" s="93"/>
    <row r="245" customFormat="1" s="93"/>
    <row r="246" customFormat="1" s="93"/>
    <row r="247" customFormat="1" s="93"/>
    <row r="248" customFormat="1" s="93"/>
    <row r="249" customFormat="1" s="93"/>
    <row r="250" customFormat="1" s="93"/>
    <row r="251" customFormat="1" s="93"/>
    <row r="252" customFormat="1" s="93"/>
    <row r="253" customFormat="1" s="93"/>
    <row r="254" customFormat="1" s="93"/>
    <row r="255" customFormat="1" s="93"/>
    <row r="256" customFormat="1" s="93"/>
    <row r="257" customFormat="1" s="93"/>
    <row r="258" customFormat="1" s="93"/>
    <row r="259" customFormat="1" s="93"/>
    <row r="260" customFormat="1" s="93"/>
    <row r="261" customFormat="1" s="93"/>
    <row r="262" customFormat="1" s="93"/>
    <row r="263" customFormat="1" s="93"/>
    <row r="264" customFormat="1" s="93"/>
    <row r="265" customFormat="1" s="93"/>
    <row r="266" customFormat="1" s="93"/>
    <row r="267" customFormat="1" s="93"/>
    <row r="268" customFormat="1" s="93"/>
    <row r="269" customFormat="1" s="93"/>
    <row r="270" customFormat="1" s="93"/>
    <row r="271" customFormat="1" s="93"/>
    <row r="272" customFormat="1" s="93"/>
    <row r="273" customFormat="1" s="93"/>
    <row r="274" customFormat="1" s="93"/>
    <row r="275" customFormat="1" s="93"/>
    <row r="276" customFormat="1" s="93"/>
    <row r="277" customFormat="1" s="93"/>
    <row r="278" customFormat="1" s="93"/>
    <row r="279" customFormat="1" s="93"/>
    <row r="280" customFormat="1" s="93"/>
    <row r="281" customFormat="1" s="93"/>
    <row r="282" customFormat="1" s="93"/>
    <row r="283" customFormat="1" s="93"/>
    <row r="284" customFormat="1" s="93"/>
    <row r="285" customFormat="1" s="93"/>
    <row r="286" customFormat="1" s="93"/>
    <row r="287" customFormat="1" s="93"/>
    <row r="288" customFormat="1" s="93"/>
    <row r="289" customFormat="1" s="93"/>
    <row r="290" customFormat="1" s="93"/>
    <row r="291" customFormat="1" s="93"/>
    <row r="292" customFormat="1" s="93"/>
    <row r="293" customFormat="1" s="93"/>
    <row r="294" customFormat="1" s="93"/>
    <row r="295" customFormat="1" s="93"/>
    <row r="296" customFormat="1" s="93"/>
    <row r="297" customFormat="1" s="93"/>
    <row r="298" customFormat="1" s="93"/>
    <row r="299" customFormat="1" s="93"/>
    <row r="300" customFormat="1" s="93"/>
    <row r="301" customFormat="1" s="93"/>
    <row r="302" customFormat="1" s="93"/>
    <row r="303" customFormat="1" s="93"/>
    <row r="304" customFormat="1" s="93"/>
    <row r="305" customFormat="1" s="93"/>
    <row r="306" customFormat="1" s="93"/>
    <row r="307" customFormat="1" s="93"/>
    <row r="308" customFormat="1" s="93"/>
    <row r="309" customFormat="1" s="93"/>
    <row r="310" customFormat="1" s="93"/>
    <row r="311" customFormat="1" s="93"/>
    <row r="312" customFormat="1" s="93"/>
    <row r="313" customFormat="1" s="93"/>
    <row r="314" customFormat="1" s="93"/>
    <row r="315" customFormat="1" s="93"/>
    <row r="316" customFormat="1" s="93"/>
    <row r="317" customFormat="1" s="93"/>
    <row r="318" customFormat="1" s="93"/>
    <row r="319" customFormat="1" s="93"/>
    <row r="320" customFormat="1" s="93"/>
    <row r="321" customFormat="1" s="93"/>
    <row r="322" customFormat="1" s="93"/>
    <row r="323" customFormat="1" s="93"/>
    <row r="324" customFormat="1" s="93"/>
    <row r="325" customFormat="1" s="93"/>
    <row r="326" customFormat="1" s="93"/>
    <row r="327" customFormat="1" s="93"/>
    <row r="328" customFormat="1" s="93"/>
    <row r="329" customFormat="1" s="93"/>
    <row r="330" customFormat="1" s="93"/>
    <row r="331" customFormat="1" s="93"/>
    <row r="332" customFormat="1" s="93"/>
    <row r="333" customFormat="1" s="93"/>
    <row r="334" customFormat="1" s="93"/>
    <row r="335" customFormat="1" s="93"/>
    <row r="336" customFormat="1" s="93"/>
    <row r="337" customFormat="1" s="93"/>
    <row r="338" customFormat="1" s="93"/>
    <row r="339" customFormat="1" s="93"/>
    <row r="340" customFormat="1" s="93"/>
    <row r="341" customFormat="1" s="93"/>
    <row r="342" customFormat="1" s="93"/>
    <row r="343" customFormat="1" s="93"/>
    <row r="344" customFormat="1" s="93"/>
    <row r="345" customFormat="1" s="93"/>
    <row r="346" customFormat="1" s="93"/>
    <row r="347" customFormat="1" s="93"/>
    <row r="348" customFormat="1" s="93"/>
    <row r="349" customFormat="1" s="93"/>
    <row r="350" customFormat="1" s="93"/>
    <row r="351" customFormat="1" s="93"/>
    <row r="352" customFormat="1" s="93"/>
    <row r="353" customFormat="1" s="93"/>
    <row r="354" customFormat="1" s="93"/>
    <row r="355" customFormat="1" s="93"/>
    <row r="356" customFormat="1" s="93"/>
    <row r="357" customFormat="1" s="93"/>
    <row r="358" customFormat="1" s="93"/>
    <row r="359" customFormat="1" s="93"/>
    <row r="360" customFormat="1" s="93"/>
    <row r="361" customFormat="1" s="93"/>
    <row r="362" customFormat="1" s="93"/>
    <row r="363" customFormat="1" s="93"/>
    <row r="364" customFormat="1" s="93"/>
    <row r="365" customFormat="1" s="93"/>
    <row r="366" customFormat="1" s="93"/>
    <row r="367" customFormat="1" s="93"/>
    <row r="368" customFormat="1" s="93"/>
    <row r="369" customFormat="1" s="93"/>
    <row r="370" customFormat="1" s="93"/>
    <row r="371" customFormat="1" s="93"/>
    <row r="372" customFormat="1" s="93"/>
    <row r="373" customFormat="1" s="93"/>
    <row r="374" customFormat="1" s="93"/>
    <row r="375" customFormat="1" s="93"/>
    <row r="376" customFormat="1" s="93"/>
    <row r="377" customFormat="1" s="93"/>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codeName="Sheet1">
    <tabColor rgb="FF7030A0"/>
    <outlinePr summaryBelow="1" summaryRight="1"/>
    <pageSetUpPr/>
  </sheetPr>
  <dimension ref="B2:M213"/>
  <sheetViews>
    <sheetView topLeftCell="A22" zoomScale="180" zoomScaleNormal="180" workbookViewId="0">
      <selection activeCell="C29" sqref="C29"/>
    </sheetView>
  </sheetViews>
  <sheetFormatPr baseColWidth="10" defaultColWidth="9.1640625" defaultRowHeight="15"/>
  <cols>
    <col width="9.1640625" customWidth="1" style="93" min="1" max="1"/>
    <col width="31.83203125" customWidth="1" style="93" min="2" max="2"/>
    <col width="13.83203125" customWidth="1" style="93" min="3" max="3"/>
    <col width="12.33203125" customWidth="1" style="93" min="4" max="4"/>
    <col width="18.33203125" customWidth="1" style="93" min="5" max="5"/>
    <col width="9.1640625" customWidth="1" style="93" min="6" max="7"/>
    <col width="9.1640625" customWidth="1" style="93" min="8" max="16384"/>
  </cols>
  <sheetData>
    <row r="1" ht="16" customHeight="1" s="89" thickBot="1"/>
    <row r="2" ht="17" customHeight="1" s="89" thickBot="1">
      <c r="B2" s="64" t="inlineStr">
        <is>
          <t>Country Name</t>
        </is>
      </c>
      <c r="C2" s="65" t="inlineStr">
        <is>
          <t>% World GDP</t>
        </is>
      </c>
      <c r="D2" s="64" t="inlineStr">
        <is>
          <t xml:space="preserve">GDP y/y </t>
        </is>
      </c>
      <c r="E2" s="66" t="inlineStr">
        <is>
          <t xml:space="preserve">GDP q/q </t>
        </is>
      </c>
    </row>
    <row r="3" ht="16" customHeight="1" s="89">
      <c r="B3" s="67" t="inlineStr">
        <is>
          <t>United States</t>
        </is>
      </c>
      <c r="C3" s="34">
        <f>VLOOKUP(B3,$B$33:$L$213,2,FALSE)/$C$30</f>
        <v/>
      </c>
      <c r="D3" s="35">
        <f>VLOOKUP(B3,$B$33:$L$213,3,FALSE)</f>
        <v/>
      </c>
      <c r="E3" s="36">
        <f>VLOOKUP(B3,$B$33:$L$213,4,FALSE)</f>
        <v/>
      </c>
    </row>
    <row r="4" ht="16" customHeight="1" s="89">
      <c r="B4" s="67" t="inlineStr">
        <is>
          <t>China</t>
        </is>
      </c>
      <c r="C4" s="35">
        <f>VLOOKUP(B4,$B$33:$L$213,2,FALSE)/$C$30</f>
        <v/>
      </c>
      <c r="D4" s="35">
        <f>VLOOKUP(B4,$B$33:$L$213,3,FALSE)</f>
        <v/>
      </c>
      <c r="E4" s="36">
        <f>VLOOKUP(B4,$B$33:$L$213,4,FALSE)</f>
        <v/>
      </c>
    </row>
    <row r="5" ht="16" customHeight="1" s="89">
      <c r="B5" s="67" t="inlineStr">
        <is>
          <t>Euro Area</t>
        </is>
      </c>
      <c r="C5" s="35">
        <f>VLOOKUP(B5,$B$33:$L$213,2,FALSE)/$C$30</f>
        <v/>
      </c>
      <c r="D5" s="35">
        <f>VLOOKUP(B5,$B$33:$L$213,3,FALSE)</f>
        <v/>
      </c>
      <c r="E5" s="36">
        <f>VLOOKUP(B5,$B$33:$L$213,4,FALSE)</f>
        <v/>
      </c>
    </row>
    <row r="6" ht="16" customHeight="1" s="89">
      <c r="B6" s="67" t="inlineStr">
        <is>
          <t>Japan</t>
        </is>
      </c>
      <c r="C6" s="35">
        <f>VLOOKUP(B6,$B$33:$L$213,2,FALSE)/$C$30</f>
        <v/>
      </c>
      <c r="D6" s="35">
        <f>VLOOKUP(B6,$B$33:$L$213,3,FALSE)</f>
        <v/>
      </c>
      <c r="E6" s="36">
        <f>VLOOKUP(B6,$B$33:$L$213,4,FALSE)</f>
        <v/>
      </c>
    </row>
    <row r="7" ht="16" customHeight="1" s="89">
      <c r="B7" s="67" t="inlineStr">
        <is>
          <t>Germany</t>
        </is>
      </c>
      <c r="C7" s="35">
        <f>VLOOKUP(B7,$B$33:$L$213,2,FALSE)/$C$30</f>
        <v/>
      </c>
      <c r="D7" s="35">
        <f>VLOOKUP(B7,$B$33:$L$213,3,FALSE)</f>
        <v/>
      </c>
      <c r="E7" s="36">
        <f>VLOOKUP(B7,$B$33:$L$213,4,FALSE)</f>
        <v/>
      </c>
    </row>
    <row r="8" ht="16" customHeight="1" s="89">
      <c r="B8" s="67" t="inlineStr">
        <is>
          <t>United Kingdom</t>
        </is>
      </c>
      <c r="C8" s="35">
        <f>VLOOKUP(B8,$B$33:$L$213,2,FALSE)/$C$30</f>
        <v/>
      </c>
      <c r="D8" s="35">
        <f>VLOOKUP(B8,$B$33:$L$213,3,FALSE)</f>
        <v/>
      </c>
      <c r="E8" s="36">
        <f>VLOOKUP(B8,$B$33:$L$213,4,FALSE)</f>
        <v/>
      </c>
    </row>
    <row r="9" ht="16" customHeight="1" s="89">
      <c r="B9" s="67" t="inlineStr">
        <is>
          <t>India</t>
        </is>
      </c>
      <c r="C9" s="35">
        <f>VLOOKUP(B9,$B$33:$L$213,2,FALSE)/$C$30</f>
        <v/>
      </c>
      <c r="D9" s="35">
        <f>VLOOKUP(B9,$B$33:$L$213,3,FALSE)</f>
        <v/>
      </c>
      <c r="E9" s="36">
        <f>VLOOKUP(B9,$B$33:$L$213,4,FALSE)</f>
        <v/>
      </c>
    </row>
    <row r="10" ht="16" customHeight="1" s="89">
      <c r="B10" s="67" t="inlineStr">
        <is>
          <t>France</t>
        </is>
      </c>
      <c r="C10" s="35">
        <f>VLOOKUP(B10,$B$33:$L$213,2,FALSE)/$C$30</f>
        <v/>
      </c>
      <c r="D10" s="35">
        <f>VLOOKUP(B10,$B$33:$L$213,3,FALSE)</f>
        <v/>
      </c>
      <c r="E10" s="36">
        <f>VLOOKUP(B10,$B$33:$L$213,4,FALSE)</f>
        <v/>
      </c>
    </row>
    <row r="11" ht="16" customHeight="1" s="89">
      <c r="B11" s="67" t="inlineStr">
        <is>
          <t>Brazil</t>
        </is>
      </c>
      <c r="C11" s="35">
        <f>VLOOKUP(B11,$B$33:$L$213,2,FALSE)/$C$30</f>
        <v/>
      </c>
      <c r="D11" s="35">
        <f>VLOOKUP(B11,$B$33:$L$213,3,FALSE)</f>
        <v/>
      </c>
      <c r="E11" s="36">
        <f>VLOOKUP(B11,$B$33:$L$213,4,FALSE)</f>
        <v/>
      </c>
    </row>
    <row r="12" ht="16" customHeight="1" s="89">
      <c r="B12" s="67" t="inlineStr">
        <is>
          <t>Italy</t>
        </is>
      </c>
      <c r="C12" s="35">
        <f>VLOOKUP(B12,$B$33:$L$213,2,FALSE)/$C$30</f>
        <v/>
      </c>
      <c r="D12" s="35">
        <f>VLOOKUP(B12,$B$33:$L$213,3,FALSE)</f>
        <v/>
      </c>
      <c r="E12" s="36">
        <f>VLOOKUP(B12,$B$33:$L$213,4,FALSE)</f>
        <v/>
      </c>
    </row>
    <row r="13" ht="16" customHeight="1" s="89">
      <c r="B13" s="67" t="inlineStr">
        <is>
          <t>Canada</t>
        </is>
      </c>
      <c r="C13" s="35">
        <f>VLOOKUP(B13,$B$33:$L$213,2,FALSE)/$C$30</f>
        <v/>
      </c>
      <c r="D13" s="35">
        <f>VLOOKUP(B13,$B$33:$L$213,3,FALSE)</f>
        <v/>
      </c>
      <c r="E13" s="36">
        <f>VLOOKUP(B13,$B$33:$L$213,4,FALSE)</f>
        <v/>
      </c>
    </row>
    <row r="14" ht="16" customHeight="1" s="89">
      <c r="B14" s="67" t="inlineStr">
        <is>
          <t>Russia</t>
        </is>
      </c>
      <c r="C14" s="35">
        <f>VLOOKUP(B14,$B$33:$L$213,2,FALSE)/$C$30</f>
        <v/>
      </c>
      <c r="D14" s="35">
        <f>VLOOKUP(B14,$B$33:$L$213,3,FALSE)</f>
        <v/>
      </c>
      <c r="E14" s="36">
        <f>VLOOKUP(B14,$B$33:$L$213,4,FALSE)</f>
        <v/>
      </c>
    </row>
    <row r="15" ht="16" customHeight="1" s="89">
      <c r="B15" s="67" t="inlineStr">
        <is>
          <t>South Korea</t>
        </is>
      </c>
      <c r="C15" s="35">
        <f>VLOOKUP(B15,$B$33:$L$213,2,FALSE)/$C$30</f>
        <v/>
      </c>
      <c r="D15" s="35">
        <f>VLOOKUP(B15,$B$33:$L$213,3,FALSE)</f>
        <v/>
      </c>
      <c r="E15" s="36">
        <f>VLOOKUP(B15,$B$33:$L$213,4,FALSE)</f>
        <v/>
      </c>
    </row>
    <row r="16" ht="16" customHeight="1" s="89">
      <c r="B16" s="67" t="inlineStr">
        <is>
          <t>Australia</t>
        </is>
      </c>
      <c r="C16" s="35">
        <f>VLOOKUP(B16,$B$33:$L$213,2,FALSE)/$C$30</f>
        <v/>
      </c>
      <c r="D16" s="35">
        <f>VLOOKUP(B16,$B$33:$L$213,3,FALSE)</f>
        <v/>
      </c>
      <c r="E16" s="36">
        <f>VLOOKUP(B16,$B$33:$L$213,4,FALSE)</f>
        <v/>
      </c>
    </row>
    <row r="17" ht="16" customHeight="1" s="89">
      <c r="B17" s="67" t="inlineStr">
        <is>
          <t>Spain</t>
        </is>
      </c>
      <c r="C17" s="35">
        <f>VLOOKUP(B17,$B$33:$L$213,2,FALSE)/$C$30</f>
        <v/>
      </c>
      <c r="D17" s="35">
        <f>VLOOKUP(B17,$B$33:$L$213,3,FALSE)</f>
        <v/>
      </c>
      <c r="E17" s="36">
        <f>VLOOKUP(B17,$B$33:$L$213,4,FALSE)</f>
        <v/>
      </c>
    </row>
    <row r="18" ht="16" customHeight="1" s="89">
      <c r="B18" s="67" t="inlineStr">
        <is>
          <t>Mexico</t>
        </is>
      </c>
      <c r="C18" s="35">
        <f>VLOOKUP(B18,$B$33:$L$213,2,FALSE)/$C$30</f>
        <v/>
      </c>
      <c r="D18" s="35">
        <f>VLOOKUP(B18,$B$33:$L$213,3,FALSE)</f>
        <v/>
      </c>
      <c r="E18" s="36">
        <f>VLOOKUP(B18,$B$33:$L$213,4,FALSE)</f>
        <v/>
      </c>
    </row>
    <row r="19" ht="16" customHeight="1" s="89">
      <c r="B19" s="67" t="inlineStr">
        <is>
          <t>Indonesia</t>
        </is>
      </c>
      <c r="C19" s="35">
        <f>VLOOKUP(B19,$B$33:$L$213,2,FALSE)/$C$30</f>
        <v/>
      </c>
      <c r="D19" s="35">
        <f>VLOOKUP(B19,$B$33:$L$213,3,FALSE)</f>
        <v/>
      </c>
      <c r="E19" s="36">
        <f>VLOOKUP(B19,$B$33:$L$213,4,FALSE)</f>
        <v/>
      </c>
    </row>
    <row r="20" ht="16" customHeight="1" s="89">
      <c r="B20" s="67" t="inlineStr">
        <is>
          <t>Turkey</t>
        </is>
      </c>
      <c r="C20" s="35">
        <f>VLOOKUP(B20,$B$33:$L$213,2,FALSE)/$C$30</f>
        <v/>
      </c>
      <c r="D20" s="35">
        <f>VLOOKUP(B20,$B$33:$L$213,3,FALSE)</f>
        <v/>
      </c>
      <c r="E20" s="36">
        <f>VLOOKUP(B20,$B$33:$L$213,4,FALSE)</f>
        <v/>
      </c>
    </row>
    <row r="21" ht="16" customHeight="1" s="89">
      <c r="B21" s="67" t="inlineStr">
        <is>
          <t>Taiwan</t>
        </is>
      </c>
      <c r="C21" s="35">
        <f>VLOOKUP(B21,$B$33:$L$213,2,FALSE)/$C$30</f>
        <v/>
      </c>
      <c r="D21" s="35">
        <f>VLOOKUP(B21,$B$33:$L$213,3,FALSE)</f>
        <v/>
      </c>
      <c r="E21" s="36">
        <f>VLOOKUP(B21,$B$33:$L$213,4,FALSE)</f>
        <v/>
      </c>
    </row>
    <row r="22" ht="16" customHeight="1" s="89">
      <c r="B22" s="67" t="inlineStr">
        <is>
          <t>Poland</t>
        </is>
      </c>
      <c r="C22" s="35">
        <f>VLOOKUP(B22,$B$33:$L$213,2,FALSE)/$C$30</f>
        <v/>
      </c>
      <c r="D22" s="35">
        <f>VLOOKUP(B22,$B$33:$L$213,3,FALSE)</f>
        <v/>
      </c>
      <c r="E22" s="36">
        <f>VLOOKUP(B22,$B$33:$L$213,4,FALSE)</f>
        <v/>
      </c>
    </row>
    <row r="23" ht="16" customHeight="1" s="89">
      <c r="B23" s="67" t="inlineStr">
        <is>
          <t>Ireland</t>
        </is>
      </c>
      <c r="C23" s="35">
        <f>VLOOKUP(B23,$B$33:$L$213,2,FALSE)/$C$30</f>
        <v/>
      </c>
      <c r="D23" s="35">
        <f>VLOOKUP(B23,$B$33:$L$213,3,FALSE)</f>
        <v/>
      </c>
      <c r="E23" s="36">
        <f>VLOOKUP(B23,$B$33:$L$213,4,FALSE)</f>
        <v/>
      </c>
    </row>
    <row r="24" ht="16" customHeight="1" s="89">
      <c r="B24" s="67" t="inlineStr">
        <is>
          <t>Denmark</t>
        </is>
      </c>
      <c r="C24" s="35">
        <f>VLOOKUP(B24,$B$33:$L$213,2,FALSE)/$C$30</f>
        <v/>
      </c>
      <c r="D24" s="35">
        <f>VLOOKUP(B24,$B$33:$L$213,3,FALSE)</f>
        <v/>
      </c>
      <c r="E24" s="36">
        <f>VLOOKUP(B24,$B$33:$L$213,4,FALSE)</f>
        <v/>
      </c>
      <c r="H24" s="69" t="inlineStr">
        <is>
          <t>https://tradingeconomics.com/</t>
        </is>
      </c>
    </row>
    <row r="25" ht="16" customHeight="1" s="89">
      <c r="B25" s="67" t="inlineStr">
        <is>
          <t>Czech Republic</t>
        </is>
      </c>
      <c r="C25" s="35">
        <f>VLOOKUP(B25,$B$33:$L$213,2,FALSE)/$C$30</f>
        <v/>
      </c>
      <c r="D25" s="35">
        <f>VLOOKUP(B25,$B$33:$L$213,3,FALSE)</f>
        <v/>
      </c>
      <c r="E25" s="36">
        <f>VLOOKUP(B25,$B$33:$L$213,4,FALSE)</f>
        <v/>
      </c>
      <c r="H25" s="93" t="inlineStr">
        <is>
          <t>Expand Table: + Button</t>
        </is>
      </c>
    </row>
    <row r="26" ht="16" customHeight="1" s="89">
      <c r="B26" s="67" t="inlineStr">
        <is>
          <t>New Zealand</t>
        </is>
      </c>
      <c r="C26" s="35">
        <f>VLOOKUP(B26,$B$33:$L$213,2,FALSE)/$C$30</f>
        <v/>
      </c>
      <c r="D26" s="35">
        <f>VLOOKUP(B26,$B$33:$L$213,3,FALSE)</f>
        <v/>
      </c>
      <c r="E26" s="36">
        <f>VLOOKUP(B26,$B$33:$L$213,4,FALSE)</f>
        <v/>
      </c>
      <c r="H26" s="93" t="inlineStr">
        <is>
          <t>Copy And paste in B33 without hyperlinks</t>
        </is>
      </c>
    </row>
    <row r="27" ht="17" customHeight="1" s="89" thickBot="1">
      <c r="B27" s="68" t="inlineStr">
        <is>
          <t>Greece</t>
        </is>
      </c>
      <c r="C27" s="37">
        <f>VLOOKUP(B27,$B$33:$L$213,2,FALSE)/$C$30</f>
        <v/>
      </c>
      <c r="D27" s="37">
        <f>VLOOKUP(B27,$B$33:$L$213,3,FALSE)</f>
        <v/>
      </c>
      <c r="E27" s="38">
        <f>VLOOKUP(B27,$B$33:$L$213,4,FALSE)</f>
        <v/>
      </c>
    </row>
    <row r="29">
      <c r="C29" s="93">
        <f>SUM(C33:C213)</f>
        <v/>
      </c>
    </row>
    <row r="30">
      <c r="B30" s="93" t="inlineStr">
        <is>
          <t>World GDP</t>
        </is>
      </c>
      <c r="C30" s="93">
        <f>C29-VLOOKUP("Euro Area",B33:C213,2,)</f>
        <v/>
      </c>
    </row>
    <row r="31">
      <c r="B31" s="104" t="n"/>
      <c r="C31" s="93" t="inlineStr">
        <is>
          <t>GDP</t>
        </is>
      </c>
      <c r="D31" s="93" t="inlineStr">
        <is>
          <t>GDP YoY</t>
        </is>
      </c>
      <c r="E31" s="93" t="inlineStr">
        <is>
          <t>GDP QoQ</t>
        </is>
      </c>
      <c r="F31" s="93" t="inlineStr">
        <is>
          <t>Interest rate</t>
        </is>
      </c>
      <c r="G31" s="93" t="inlineStr">
        <is>
          <t>Inflation rate</t>
        </is>
      </c>
      <c r="H31" s="93" t="inlineStr">
        <is>
          <t>Jobless rate</t>
        </is>
      </c>
      <c r="I31" s="93" t="inlineStr">
        <is>
          <t>Gov. Budget</t>
        </is>
      </c>
      <c r="J31" s="93" t="inlineStr">
        <is>
          <t>Debt/GDP</t>
        </is>
      </c>
      <c r="K31" s="93" t="inlineStr">
        <is>
          <t>Current Account</t>
        </is>
      </c>
      <c r="L31" s="93" t="inlineStr">
        <is>
          <t>Population</t>
        </is>
      </c>
    </row>
    <row r="32" ht="16" customHeight="1" s="89" thickBot="1">
      <c r="B32" s="105" t="n"/>
    </row>
    <row r="33">
      <c r="B33" t="inlineStr">
        <is>
          <t>United States</t>
        </is>
      </c>
      <c r="C33" t="n">
        <v>20937</v>
      </c>
      <c r="D33" t="n">
        <v>0.122</v>
      </c>
      <c r="E33" t="n">
        <v>0.066</v>
      </c>
      <c r="F33" t="n">
        <v>0.0025</v>
      </c>
      <c r="G33" t="n">
        <v>0.053</v>
      </c>
      <c r="H33" t="n">
        <v>0.052</v>
      </c>
      <c r="I33" t="n">
        <v>-0.149</v>
      </c>
      <c r="J33" t="n">
        <v>1.076</v>
      </c>
      <c r="K33" t="n">
        <v>-3.1</v>
      </c>
      <c r="L33" t="n">
        <v>98.56</v>
      </c>
      <c r="M33" t="n">
        <v>329.48</v>
      </c>
    </row>
    <row r="34">
      <c r="B34" t="inlineStr">
        <is>
          <t>China</t>
        </is>
      </c>
      <c r="C34" t="n">
        <v>14723</v>
      </c>
      <c r="D34" t="n">
        <v>0.079</v>
      </c>
      <c r="E34" t="n">
        <v>0.013</v>
      </c>
      <c r="F34" t="n">
        <v>0.0385</v>
      </c>
      <c r="G34" t="n">
        <v>0.008</v>
      </c>
      <c r="H34" t="n">
        <v>0.051</v>
      </c>
      <c r="I34" t="n">
        <v>-0.037</v>
      </c>
      <c r="J34" t="n">
        <v>0.668</v>
      </c>
      <c r="K34" t="n">
        <v>1.9</v>
      </c>
      <c r="L34" t="n">
        <v>7.08</v>
      </c>
      <c r="M34" t="n">
        <v>1443.5</v>
      </c>
    </row>
    <row r="35">
      <c r="B35" t="inlineStr">
        <is>
          <t>Euro Area</t>
        </is>
      </c>
      <c r="C35" t="n">
        <v>12933</v>
      </c>
      <c r="D35" t="n">
        <v>0.143</v>
      </c>
      <c r="E35" t="n">
        <v>0.022</v>
      </c>
      <c r="F35" t="n">
        <v>0</v>
      </c>
      <c r="G35" t="n">
        <v>0.03</v>
      </c>
      <c r="H35" t="n">
        <v>0.076</v>
      </c>
      <c r="I35" t="n">
        <v>-0.07199999999999999</v>
      </c>
      <c r="J35" t="n">
        <v>0.98</v>
      </c>
      <c r="K35" t="n">
        <v>3</v>
      </c>
      <c r="L35" t="n">
        <v>1.11</v>
      </c>
      <c r="M35" t="n">
        <v>342.41</v>
      </c>
    </row>
    <row r="36">
      <c r="B36" t="inlineStr">
        <is>
          <t>Japan</t>
        </is>
      </c>
      <c r="C36" t="n">
        <v>5065</v>
      </c>
      <c r="D36" t="n">
        <v>0.076</v>
      </c>
      <c r="E36" t="n">
        <v>0.005</v>
      </c>
      <c r="F36" t="n">
        <v>-0.001</v>
      </c>
      <c r="G36" t="n">
        <v>-0.004</v>
      </c>
      <c r="H36" t="n">
        <v>0.028</v>
      </c>
      <c r="I36" t="n">
        <v>-0.126</v>
      </c>
      <c r="J36" t="n">
        <v>2.662</v>
      </c>
      <c r="K36" t="n">
        <v>3.2</v>
      </c>
      <c r="L36" t="n">
        <v>108.19</v>
      </c>
      <c r="M36" t="n">
        <v>125.67</v>
      </c>
    </row>
    <row r="37">
      <c r="B37" t="inlineStr">
        <is>
          <t>Germany</t>
        </is>
      </c>
      <c r="C37" t="n">
        <v>3806</v>
      </c>
      <c r="D37" t="n">
        <v>0.094</v>
      </c>
      <c r="E37" t="n">
        <v>0.016</v>
      </c>
      <c r="F37" t="n">
        <v>0</v>
      </c>
      <c r="G37" t="n">
        <v>0.039</v>
      </c>
      <c r="H37" t="n">
        <v>0.036</v>
      </c>
      <c r="I37" t="n">
        <v>-0.042</v>
      </c>
      <c r="J37" t="n">
        <v>0.698</v>
      </c>
      <c r="K37" t="n">
        <v>7</v>
      </c>
      <c r="L37" t="n">
        <v>1.11</v>
      </c>
      <c r="M37" t="n">
        <v>83.17</v>
      </c>
    </row>
    <row r="38">
      <c r="B38" t="inlineStr">
        <is>
          <t>United Kingdom</t>
        </is>
      </c>
      <c r="C38" t="n">
        <v>2708</v>
      </c>
      <c r="D38" t="n">
        <v>0.222</v>
      </c>
      <c r="E38" t="n">
        <v>0.048</v>
      </c>
      <c r="F38" t="n">
        <v>0.001</v>
      </c>
      <c r="G38" t="n">
        <v>0.032</v>
      </c>
      <c r="H38" t="n">
        <v>0.046</v>
      </c>
      <c r="I38" t="n">
        <v>-0.142</v>
      </c>
      <c r="J38" t="n">
        <v>0.972</v>
      </c>
      <c r="K38" t="n">
        <v>-3.5</v>
      </c>
      <c r="L38" t="n">
        <v>1.25</v>
      </c>
      <c r="M38" t="n">
        <v>67.2</v>
      </c>
    </row>
    <row r="39">
      <c r="B39" t="inlineStr">
        <is>
          <t>India</t>
        </is>
      </c>
      <c r="C39" t="n">
        <v>2623</v>
      </c>
      <c r="D39" t="n">
        <v>0.201</v>
      </c>
      <c r="E39" t="n">
        <v>0.021</v>
      </c>
      <c r="F39" t="n">
        <v>0.04</v>
      </c>
      <c r="G39" t="n">
        <v>0.053</v>
      </c>
      <c r="H39" t="n">
        <v>0.07000000000000001</v>
      </c>
      <c r="I39" t="n">
        <v>-0.094</v>
      </c>
      <c r="J39" t="n">
        <v>0.6962</v>
      </c>
      <c r="K39" t="n">
        <v>0.9</v>
      </c>
      <c r="L39" t="n">
        <v>71.01000000000001</v>
      </c>
      <c r="M39" t="n">
        <v>1347.12</v>
      </c>
    </row>
    <row r="40">
      <c r="B40" t="inlineStr">
        <is>
          <t>France</t>
        </is>
      </c>
      <c r="C40" t="n">
        <v>2603</v>
      </c>
      <c r="D40" t="n">
        <v>0.187</v>
      </c>
      <c r="E40" t="n">
        <v>0.011</v>
      </c>
      <c r="F40" t="n">
        <v>0</v>
      </c>
      <c r="G40" t="n">
        <v>0.019</v>
      </c>
      <c r="H40" t="n">
        <v>0.08</v>
      </c>
      <c r="I40" t="n">
        <v>-0.092</v>
      </c>
      <c r="J40" t="n">
        <v>1.157</v>
      </c>
      <c r="K40" t="n">
        <v>-1.9</v>
      </c>
      <c r="L40" t="n">
        <v>1.11</v>
      </c>
      <c r="M40" t="n">
        <v>67.29000000000001</v>
      </c>
    </row>
    <row r="41">
      <c r="B41" t="inlineStr">
        <is>
          <t>Italy</t>
        </is>
      </c>
      <c r="C41" t="n">
        <v>1886</v>
      </c>
      <c r="D41" t="n">
        <v>0.173</v>
      </c>
      <c r="E41" t="n">
        <v>0.027</v>
      </c>
      <c r="F41" t="n">
        <v>0</v>
      </c>
      <c r="G41" t="n">
        <v>0.02</v>
      </c>
      <c r="H41" t="n">
        <v>0.093</v>
      </c>
      <c r="I41" t="n">
        <v>-0.095</v>
      </c>
      <c r="J41" t="n">
        <v>1.558</v>
      </c>
      <c r="K41" t="n">
        <v>3.6</v>
      </c>
      <c r="L41" t="n">
        <v>1.11</v>
      </c>
      <c r="M41" t="n">
        <v>59.64</v>
      </c>
    </row>
    <row r="42">
      <c r="B42" t="inlineStr">
        <is>
          <t>Canada</t>
        </is>
      </c>
      <c r="C42" t="n">
        <v>1643</v>
      </c>
      <c r="D42" t="n">
        <v>0.127</v>
      </c>
      <c r="E42" t="n">
        <v>-0.003</v>
      </c>
      <c r="F42" t="n">
        <v>0.0025</v>
      </c>
      <c r="G42" t="n">
        <v>0.041</v>
      </c>
      <c r="H42" t="n">
        <v>0.07099999999999999</v>
      </c>
      <c r="I42" t="n">
        <v>-0.159</v>
      </c>
      <c r="J42" t="n">
        <v>1.178</v>
      </c>
      <c r="K42" t="n">
        <v>-1.9</v>
      </c>
      <c r="L42" t="n">
        <v>1.33</v>
      </c>
      <c r="M42" t="n">
        <v>38.01</v>
      </c>
    </row>
    <row r="43">
      <c r="B43" t="inlineStr">
        <is>
          <t>South Korea</t>
        </is>
      </c>
      <c r="C43" t="n">
        <v>1631</v>
      </c>
      <c r="D43" t="n">
        <v>0.06</v>
      </c>
      <c r="E43" t="n">
        <v>0.008</v>
      </c>
      <c r="F43" t="n">
        <v>0.0075</v>
      </c>
      <c r="G43" t="n">
        <v>0.026</v>
      </c>
      <c r="H43" t="n">
        <v>0.028</v>
      </c>
      <c r="I43" t="n">
        <v>-0.061</v>
      </c>
      <c r="J43" t="n">
        <v>0.426</v>
      </c>
      <c r="K43" t="n">
        <v>3.5</v>
      </c>
      <c r="L43" t="n">
        <v>1145.85</v>
      </c>
      <c r="M43" t="n">
        <v>51.78</v>
      </c>
    </row>
    <row r="44">
      <c r="B44" t="inlineStr">
        <is>
          <t>Russia</t>
        </is>
      </c>
      <c r="C44" t="n">
        <v>1484</v>
      </c>
      <c r="D44" t="n">
        <v>0.105</v>
      </c>
      <c r="E44" t="n">
        <v>0</v>
      </c>
      <c r="F44" t="n">
        <v>0.0675</v>
      </c>
      <c r="G44" t="n">
        <v>0.0668</v>
      </c>
      <c r="H44" t="n">
        <v>0.045</v>
      </c>
      <c r="I44" t="n">
        <v>-0.038</v>
      </c>
      <c r="J44" t="n">
        <v>0.178</v>
      </c>
      <c r="K44" t="n">
        <v>2.4</v>
      </c>
      <c r="L44" t="n">
        <v>64.34999999999999</v>
      </c>
      <c r="M44" t="n">
        <v>146.2</v>
      </c>
    </row>
    <row r="45">
      <c r="B45" t="inlineStr">
        <is>
          <t>Brazil</t>
        </is>
      </c>
      <c r="C45" t="n">
        <v>1445</v>
      </c>
      <c r="D45" t="n">
        <v>0.124</v>
      </c>
      <c r="E45" t="n">
        <v>-0.001</v>
      </c>
      <c r="F45" t="n">
        <v>0.0625</v>
      </c>
      <c r="G45" t="n">
        <v>0.0968</v>
      </c>
      <c r="H45" t="n">
        <v>0.141</v>
      </c>
      <c r="I45" t="n">
        <v>-0.134</v>
      </c>
      <c r="J45" t="n">
        <v>0.8883</v>
      </c>
      <c r="K45" t="n">
        <v>-0.72</v>
      </c>
      <c r="L45" t="n">
        <v>4.07</v>
      </c>
      <c r="M45" t="n">
        <v>211.82</v>
      </c>
    </row>
    <row r="46">
      <c r="B46" t="inlineStr">
        <is>
          <t>Australia</t>
        </is>
      </c>
      <c r="C46" t="n">
        <v>1331</v>
      </c>
      <c r="D46" t="n">
        <v>0.096</v>
      </c>
      <c r="E46" t="n">
        <v>0.007</v>
      </c>
      <c r="F46" t="n">
        <v>0.001</v>
      </c>
      <c r="G46" t="n">
        <v>0.038</v>
      </c>
      <c r="H46" t="n">
        <v>0.045</v>
      </c>
      <c r="I46" t="n">
        <v>-0.043</v>
      </c>
      <c r="J46" t="n">
        <v>0.248</v>
      </c>
      <c r="K46" t="n">
        <v>2.5</v>
      </c>
      <c r="L46" t="n">
        <v>0.68</v>
      </c>
      <c r="M46" t="n">
        <v>25.68</v>
      </c>
    </row>
    <row r="47">
      <c r="B47" t="inlineStr">
        <is>
          <t>Spain</t>
        </is>
      </c>
      <c r="C47" t="n">
        <v>1281</v>
      </c>
      <c r="D47" t="n">
        <v>0.175</v>
      </c>
      <c r="E47" t="n">
        <v>0.011</v>
      </c>
      <c r="F47" t="n">
        <v>0</v>
      </c>
      <c r="G47" t="n">
        <v>0.033</v>
      </c>
      <c r="H47" t="n">
        <v>0.1526</v>
      </c>
      <c r="I47" t="n">
        <v>-0.11</v>
      </c>
      <c r="J47" t="n">
        <v>1.2</v>
      </c>
      <c r="K47" t="n">
        <v>0.7</v>
      </c>
      <c r="L47" t="n">
        <v>1.11</v>
      </c>
      <c r="M47" t="n">
        <v>47.33</v>
      </c>
    </row>
    <row r="48">
      <c r="B48" t="inlineStr">
        <is>
          <t>Mexico</t>
        </is>
      </c>
      <c r="C48" t="n">
        <v>1076</v>
      </c>
      <c r="D48" t="n">
        <v>0.196</v>
      </c>
      <c r="E48" t="n">
        <v>0.015</v>
      </c>
      <c r="F48" t="n">
        <v>0.045</v>
      </c>
      <c r="G48" t="n">
        <v>0.0559</v>
      </c>
      <c r="H48" t="n">
        <v>0.043</v>
      </c>
      <c r="I48" t="n">
        <v>-0.046</v>
      </c>
      <c r="J48" t="n">
        <v>0.521</v>
      </c>
      <c r="K48" t="n">
        <v>2.4</v>
      </c>
      <c r="L48" t="n">
        <v>19.36</v>
      </c>
      <c r="M48" t="n">
        <v>126.01</v>
      </c>
    </row>
    <row r="49">
      <c r="B49" t="inlineStr">
        <is>
          <t>Indonesia</t>
        </is>
      </c>
      <c r="C49" t="n">
        <v>1058</v>
      </c>
      <c r="D49" t="n">
        <v>0.0707</v>
      </c>
      <c r="E49" t="n">
        <v>0.0331</v>
      </c>
      <c r="F49" t="n">
        <v>0.035</v>
      </c>
      <c r="G49" t="n">
        <v>0.0159</v>
      </c>
      <c r="H49" t="n">
        <v>0.0626</v>
      </c>
      <c r="I49" t="n">
        <v>-0.065</v>
      </c>
      <c r="J49" t="n">
        <v>0.385</v>
      </c>
      <c r="K49" t="n">
        <v>-0.44</v>
      </c>
      <c r="L49" t="n">
        <v>14462</v>
      </c>
      <c r="M49" t="n">
        <v>270.2</v>
      </c>
    </row>
    <row r="50">
      <c r="B50" t="inlineStr">
        <is>
          <t>Netherlands</t>
        </is>
      </c>
      <c r="C50" t="n">
        <v>912</v>
      </c>
      <c r="D50" t="n">
        <v>0.104</v>
      </c>
      <c r="E50" t="n">
        <v>0.038</v>
      </c>
      <c r="F50" t="n">
        <v>0</v>
      </c>
      <c r="G50" t="n">
        <v>0.024</v>
      </c>
      <c r="H50" t="n">
        <v>0.032</v>
      </c>
      <c r="I50" t="n">
        <v>-0.043</v>
      </c>
      <c r="J50" t="n">
        <v>0.545</v>
      </c>
      <c r="K50" t="n">
        <v>7.8</v>
      </c>
      <c r="L50" t="n">
        <v>1.11</v>
      </c>
      <c r="M50" t="n">
        <v>17.41</v>
      </c>
    </row>
    <row r="51">
      <c r="B51" t="inlineStr">
        <is>
          <t>Switzerland</t>
        </is>
      </c>
      <c r="C51" t="n">
        <v>748</v>
      </c>
      <c r="D51" t="n">
        <v>0.077</v>
      </c>
      <c r="E51" t="n">
        <v>0.018</v>
      </c>
      <c r="F51" t="n">
        <v>-0.0075</v>
      </c>
      <c r="G51" t="n">
        <v>0.008999999999999999</v>
      </c>
      <c r="H51" t="n">
        <v>0.027</v>
      </c>
      <c r="I51" t="n">
        <v>-0.026</v>
      </c>
      <c r="J51" t="n">
        <v>0.429</v>
      </c>
      <c r="K51" t="n">
        <v>3.8</v>
      </c>
      <c r="L51" t="n">
        <v>0.92</v>
      </c>
      <c r="M51" t="n">
        <v>8.609999999999999</v>
      </c>
    </row>
    <row r="52">
      <c r="B52" t="inlineStr">
        <is>
          <t>Turkey</t>
        </is>
      </c>
      <c r="C52" t="n">
        <v>720</v>
      </c>
      <c r="D52" t="n">
        <v>0.217</v>
      </c>
      <c r="E52" t="n">
        <v>0.008999999999999999</v>
      </c>
      <c r="F52" t="n">
        <v>0.18</v>
      </c>
      <c r="G52" t="n">
        <v>0.1925</v>
      </c>
      <c r="H52" t="n">
        <v>0.12</v>
      </c>
      <c r="I52" t="n">
        <v>-0.034</v>
      </c>
      <c r="J52" t="n">
        <v>0.395</v>
      </c>
      <c r="K52" t="n">
        <v>-5.1</v>
      </c>
      <c r="L52" t="n">
        <v>8.619999999999999</v>
      </c>
      <c r="M52" t="n">
        <v>83.61</v>
      </c>
    </row>
    <row r="53">
      <c r="B53" t="inlineStr">
        <is>
          <t>Saudi Arabia</t>
        </is>
      </c>
      <c r="C53" t="n">
        <v>700</v>
      </c>
      <c r="D53" t="n">
        <v>0.018</v>
      </c>
      <c r="E53" t="n">
        <v>0.006</v>
      </c>
      <c r="F53" t="n">
        <v>0.01</v>
      </c>
      <c r="G53" t="n">
        <v>0.003</v>
      </c>
      <c r="H53" t="n">
        <v>0.065</v>
      </c>
      <c r="I53" t="n">
        <v>-0.112</v>
      </c>
      <c r="J53" t="n">
        <v>0.325</v>
      </c>
      <c r="K53" t="n">
        <v>-2.8</v>
      </c>
      <c r="L53" t="n">
        <v>3.75</v>
      </c>
      <c r="M53" t="n">
        <v>35</v>
      </c>
    </row>
    <row r="54">
      <c r="B54" t="inlineStr">
        <is>
          <t>Taiwan</t>
        </is>
      </c>
      <c r="C54" t="n">
        <v>611</v>
      </c>
      <c r="D54" t="n">
        <v>0.0743</v>
      </c>
      <c r="E54" t="n">
        <v>-0.0107</v>
      </c>
      <c r="F54" t="n">
        <v>0.0113</v>
      </c>
      <c r="G54" t="n">
        <v>0.0236</v>
      </c>
      <c r="H54" t="n">
        <v>0.0408</v>
      </c>
      <c r="I54" t="n">
        <v>-0.045</v>
      </c>
      <c r="J54" t="n">
        <v>0.282</v>
      </c>
      <c r="K54" t="n">
        <v>9.5</v>
      </c>
      <c r="L54" t="n">
        <v>28.02</v>
      </c>
      <c r="M54" t="n">
        <v>23.55</v>
      </c>
    </row>
    <row r="55">
      <c r="B55" t="inlineStr">
        <is>
          <t>Poland</t>
        </is>
      </c>
      <c r="C55" t="n">
        <v>594</v>
      </c>
      <c r="D55" t="n">
        <v>0.111</v>
      </c>
      <c r="E55" t="n">
        <v>0.021</v>
      </c>
      <c r="F55" t="n">
        <v>0.001</v>
      </c>
      <c r="G55" t="n">
        <v>0.055</v>
      </c>
      <c r="H55" t="n">
        <v>0.058</v>
      </c>
      <c r="I55" t="n">
        <v>-0.07000000000000001</v>
      </c>
      <c r="J55" t="n">
        <v>0.575</v>
      </c>
      <c r="K55" t="n">
        <v>3.6</v>
      </c>
      <c r="L55" t="n">
        <v>3.89</v>
      </c>
      <c r="M55" t="n">
        <v>37.96</v>
      </c>
    </row>
    <row r="56">
      <c r="B56" t="inlineStr">
        <is>
          <t>Sweden</t>
        </is>
      </c>
      <c r="C56" t="n">
        <v>538</v>
      </c>
      <c r="D56" t="n">
        <v>0.097</v>
      </c>
      <c r="E56" t="n">
        <v>0.008999999999999999</v>
      </c>
      <c r="F56" t="n">
        <v>0</v>
      </c>
      <c r="G56" t="n">
        <v>0.021</v>
      </c>
      <c r="H56" t="n">
        <v>0.08500000000000001</v>
      </c>
      <c r="I56" t="n">
        <v>-0.031</v>
      </c>
      <c r="J56" t="n">
        <v>0.399</v>
      </c>
      <c r="K56" t="n">
        <v>5.2</v>
      </c>
      <c r="L56" t="n">
        <v>8.65</v>
      </c>
      <c r="M56" t="n">
        <v>10.33</v>
      </c>
    </row>
    <row r="57">
      <c r="B57" t="inlineStr">
        <is>
          <t>Belgium</t>
        </is>
      </c>
      <c r="C57" t="n">
        <v>515</v>
      </c>
      <c r="D57" t="n">
        <v>0.149</v>
      </c>
      <c r="E57" t="n">
        <v>0.017</v>
      </c>
      <c r="F57" t="n">
        <v>0</v>
      </c>
      <c r="G57" t="n">
        <v>0.0273</v>
      </c>
      <c r="H57" t="n">
        <v>0.059</v>
      </c>
      <c r="I57" t="n">
        <v>-0.094</v>
      </c>
      <c r="J57" t="n">
        <v>1.141</v>
      </c>
      <c r="K57" t="n">
        <v>-0.2</v>
      </c>
      <c r="L57" t="n">
        <v>1.11</v>
      </c>
      <c r="M57" t="n">
        <v>11.52</v>
      </c>
    </row>
    <row r="58">
      <c r="B58" t="inlineStr">
        <is>
          <t>Thailand</t>
        </is>
      </c>
      <c r="C58" t="n">
        <v>502</v>
      </c>
      <c r="D58" t="n">
        <v>0.075</v>
      </c>
      <c r="E58" t="n">
        <v>0.004</v>
      </c>
      <c r="F58" t="n">
        <v>0.005</v>
      </c>
      <c r="G58" t="n">
        <v>-0.0002</v>
      </c>
      <c r="H58" t="n">
        <v>0.019</v>
      </c>
      <c r="I58" t="n">
        <v>-0.061</v>
      </c>
      <c r="J58" t="n">
        <v>0.505</v>
      </c>
      <c r="K58" t="n">
        <v>4.2</v>
      </c>
      <c r="L58" t="n">
        <v>32.64</v>
      </c>
      <c r="M58" t="n">
        <v>66.65000000000001</v>
      </c>
    </row>
    <row r="59">
      <c r="B59" t="inlineStr">
        <is>
          <t>Venezuela</t>
        </is>
      </c>
      <c r="C59" t="n">
        <v>482</v>
      </c>
      <c r="D59" t="n">
        <v>-0.268</v>
      </c>
      <c r="E59" t="n">
        <v>-0.237</v>
      </c>
      <c r="F59" t="n">
        <v>0.5406</v>
      </c>
      <c r="G59" t="n">
        <v>27.195</v>
      </c>
      <c r="H59" t="n">
        <v>0.064</v>
      </c>
      <c r="I59" t="n">
        <v>-0.299</v>
      </c>
      <c r="J59" t="n">
        <v>3.5</v>
      </c>
      <c r="K59" t="n">
        <v>-3.5</v>
      </c>
      <c r="L59" t="n">
        <v>971748.8</v>
      </c>
      <c r="M59" t="n">
        <v>32.6</v>
      </c>
    </row>
    <row r="60">
      <c r="B60" t="inlineStr">
        <is>
          <t>Nigeria</t>
        </is>
      </c>
      <c r="C60" t="n">
        <v>432</v>
      </c>
      <c r="D60" t="n">
        <v>0.05</v>
      </c>
      <c r="E60" t="n">
        <v>-0.139</v>
      </c>
      <c r="F60" t="n">
        <v>0.115</v>
      </c>
      <c r="G60" t="n">
        <v>0.1701</v>
      </c>
      <c r="H60" t="n">
        <v>0.333</v>
      </c>
      <c r="I60" t="n">
        <v>-0.038</v>
      </c>
      <c r="J60" t="n">
        <v>0.3498</v>
      </c>
      <c r="K60" t="n">
        <v>-4.2</v>
      </c>
      <c r="L60" t="n">
        <v>411</v>
      </c>
      <c r="M60" t="n">
        <v>206.14</v>
      </c>
    </row>
    <row r="61">
      <c r="B61" t="inlineStr">
        <is>
          <t>Austria</t>
        </is>
      </c>
      <c r="C61" t="n">
        <v>429</v>
      </c>
      <c r="D61" t="n">
        <v>0.12</v>
      </c>
      <c r="E61" t="n">
        <v>0.036</v>
      </c>
      <c r="F61" t="n">
        <v>0</v>
      </c>
      <c r="G61" t="n">
        <v>0.032</v>
      </c>
      <c r="H61" t="n">
        <v>0.06900000000000001</v>
      </c>
      <c r="I61" t="n">
        <v>-0.089</v>
      </c>
      <c r="J61" t="n">
        <v>0.839</v>
      </c>
      <c r="K61" t="n">
        <v>2.5</v>
      </c>
      <c r="L61" t="n">
        <v>1.11</v>
      </c>
      <c r="M61" t="n">
        <v>8.9</v>
      </c>
    </row>
    <row r="62">
      <c r="B62" t="inlineStr">
        <is>
          <t>United Arab Emirates</t>
        </is>
      </c>
      <c r="C62" t="n">
        <v>421</v>
      </c>
      <c r="D62" t="n">
        <v>-0.061</v>
      </c>
      <c r="E62" t="n">
        <v>0.02</v>
      </c>
      <c r="F62" t="n">
        <v>0.015</v>
      </c>
      <c r="G62" t="n">
        <v>-0.0002</v>
      </c>
      <c r="H62" t="n">
        <v>0.05</v>
      </c>
      <c r="I62" t="n">
        <v>-0.008</v>
      </c>
      <c r="J62" t="n">
        <v>0.369</v>
      </c>
      <c r="K62" t="n">
        <v>5.9</v>
      </c>
      <c r="L62" t="n">
        <v>3.67</v>
      </c>
      <c r="M62" t="n">
        <v>9.9</v>
      </c>
    </row>
    <row r="63">
      <c r="B63" t="inlineStr">
        <is>
          <t>Ireland</t>
        </is>
      </c>
      <c r="C63" t="n">
        <v>419</v>
      </c>
      <c r="D63" t="n">
        <v>0.216</v>
      </c>
      <c r="E63" t="n">
        <v>0.063</v>
      </c>
      <c r="F63" t="n">
        <v>0</v>
      </c>
      <c r="G63" t="n">
        <v>0.028</v>
      </c>
      <c r="H63" t="n">
        <v>0.064</v>
      </c>
      <c r="I63" t="n">
        <v>-0.05</v>
      </c>
      <c r="J63" t="n">
        <v>0.595</v>
      </c>
      <c r="K63" t="n">
        <v>4.6</v>
      </c>
      <c r="L63" t="n">
        <v>1.11</v>
      </c>
      <c r="M63" t="n">
        <v>4.96</v>
      </c>
    </row>
    <row r="64">
      <c r="B64" t="inlineStr">
        <is>
          <t>Israel</t>
        </is>
      </c>
      <c r="C64" t="n">
        <v>402</v>
      </c>
      <c r="D64" t="n">
        <v>0.15</v>
      </c>
      <c r="E64" t="n">
        <v>0.0392</v>
      </c>
      <c r="F64" t="n">
        <v>0.001</v>
      </c>
      <c r="G64" t="n">
        <v>0.022</v>
      </c>
      <c r="H64" t="n">
        <v>0.05</v>
      </c>
      <c r="I64" t="n">
        <v>-0.117</v>
      </c>
      <c r="J64" t="n">
        <v>0.711</v>
      </c>
      <c r="K64" t="n">
        <v>4.9</v>
      </c>
      <c r="L64" t="n">
        <v>3.28</v>
      </c>
      <c r="M64" t="n">
        <v>9.289999999999999</v>
      </c>
    </row>
    <row r="65">
      <c r="B65" t="inlineStr">
        <is>
          <t>Argentina</t>
        </is>
      </c>
      <c r="C65" t="n">
        <v>383</v>
      </c>
      <c r="D65" t="n">
        <v>0.179</v>
      </c>
      <c r="E65" t="n">
        <v>-0.014</v>
      </c>
      <c r="F65" t="n">
        <v>0.38</v>
      </c>
      <c r="G65" t="n">
        <v>0.514</v>
      </c>
      <c r="H65" t="n">
        <v>0.096</v>
      </c>
      <c r="I65" t="n">
        <v>-0.08500000000000001</v>
      </c>
      <c r="J65" t="n">
        <v>1.02</v>
      </c>
      <c r="K65" t="n">
        <v>1</v>
      </c>
      <c r="L65" t="n">
        <v>96.12</v>
      </c>
      <c r="M65" t="n">
        <v>45.38</v>
      </c>
    </row>
    <row r="66">
      <c r="B66" t="inlineStr">
        <is>
          <t>Egypt</t>
        </is>
      </c>
      <c r="C66" t="n">
        <v>363</v>
      </c>
      <c r="D66" t="n">
        <v>0.029</v>
      </c>
      <c r="E66" t="n">
        <v>0.029</v>
      </c>
      <c r="F66" t="n">
        <v>0.0825</v>
      </c>
      <c r="G66" t="n">
        <v>0.057</v>
      </c>
      <c r="H66" t="n">
        <v>0.073</v>
      </c>
      <c r="I66" t="n">
        <v>-0.09</v>
      </c>
      <c r="J66" t="n">
        <v>0.88</v>
      </c>
      <c r="K66" t="n">
        <v>-3.5</v>
      </c>
      <c r="L66" t="n">
        <v>15.64</v>
      </c>
      <c r="M66" t="n">
        <v>100.5</v>
      </c>
    </row>
    <row r="67">
      <c r="B67" t="inlineStr">
        <is>
          <t>Norway</t>
        </is>
      </c>
      <c r="C67" t="n">
        <v>362</v>
      </c>
      <c r="D67" t="n">
        <v>0.061</v>
      </c>
      <c r="E67" t="n">
        <v>0.011</v>
      </c>
      <c r="F67" t="n">
        <v>0.0025</v>
      </c>
      <c r="G67" t="n">
        <v>0.034</v>
      </c>
      <c r="H67" t="n">
        <v>0.051</v>
      </c>
      <c r="I67" t="n">
        <v>-0.034</v>
      </c>
      <c r="J67" t="n">
        <v>0.46</v>
      </c>
      <c r="K67" t="n">
        <v>2</v>
      </c>
      <c r="L67" t="n">
        <v>8.93</v>
      </c>
      <c r="M67" t="n">
        <v>5.37</v>
      </c>
    </row>
    <row r="68">
      <c r="B68" t="inlineStr">
        <is>
          <t>Philippines</t>
        </is>
      </c>
      <c r="C68" t="n">
        <v>361</v>
      </c>
      <c r="D68" t="n">
        <v>0.118</v>
      </c>
      <c r="E68" t="n">
        <v>-0.013</v>
      </c>
      <c r="F68" t="n">
        <v>0.02</v>
      </c>
      <c r="G68" t="n">
        <v>0.049</v>
      </c>
      <c r="H68" t="n">
        <v>0.06900000000000001</v>
      </c>
      <c r="I68" t="n">
        <v>-0.075</v>
      </c>
      <c r="J68" t="n">
        <v>0.535</v>
      </c>
      <c r="K68" t="n">
        <v>3.6</v>
      </c>
      <c r="L68" t="n">
        <v>50.07</v>
      </c>
      <c r="M68" t="n">
        <v>109.6</v>
      </c>
    </row>
    <row r="69">
      <c r="B69" t="inlineStr">
        <is>
          <t>Denmark</t>
        </is>
      </c>
      <c r="C69" t="n">
        <v>352</v>
      </c>
      <c r="D69" t="n">
        <v>0.08500000000000001</v>
      </c>
      <c r="E69" t="n">
        <v>0.023</v>
      </c>
      <c r="F69" t="n">
        <v>-0.005</v>
      </c>
      <c r="G69" t="n">
        <v>0.018</v>
      </c>
      <c r="H69" t="n">
        <v>0.038</v>
      </c>
      <c r="I69" t="n">
        <v>-0.035</v>
      </c>
      <c r="J69" t="n">
        <v>0.422</v>
      </c>
      <c r="K69" t="n">
        <v>7.8</v>
      </c>
      <c r="L69" t="n">
        <v>6.31</v>
      </c>
      <c r="M69" t="n">
        <v>5.82</v>
      </c>
    </row>
    <row r="70">
      <c r="B70" t="inlineStr">
        <is>
          <t>Hong Kong</t>
        </is>
      </c>
      <c r="C70" t="n">
        <v>347</v>
      </c>
      <c r="D70" t="n">
        <v>0.076</v>
      </c>
      <c r="E70" t="n">
        <v>-0.008999999999999999</v>
      </c>
      <c r="F70" t="n">
        <v>0.0086</v>
      </c>
      <c r="G70" t="n">
        <v>0.016</v>
      </c>
      <c r="H70" t="n">
        <v>0.047</v>
      </c>
      <c r="I70" t="n">
        <v>-0.12</v>
      </c>
      <c r="J70" t="n">
        <v>0.384</v>
      </c>
      <c r="K70" t="n">
        <v>6.6</v>
      </c>
      <c r="L70" t="n">
        <v>7.83</v>
      </c>
      <c r="M70" t="n">
        <v>7.47</v>
      </c>
    </row>
    <row r="71">
      <c r="B71" t="inlineStr">
        <is>
          <t>Singapore</t>
        </is>
      </c>
      <c r="C71" t="n">
        <v>340</v>
      </c>
      <c r="D71" t="n">
        <v>0.147</v>
      </c>
      <c r="E71" t="n">
        <v>-0.018</v>
      </c>
      <c r="F71" t="n">
        <v>0.0022</v>
      </c>
      <c r="G71" t="n">
        <v>0.024</v>
      </c>
      <c r="H71" t="n">
        <v>0.027</v>
      </c>
      <c r="I71" t="n">
        <v>-0.139</v>
      </c>
      <c r="J71" t="n">
        <v>1.31</v>
      </c>
      <c r="K71" t="n">
        <v>17.6</v>
      </c>
      <c r="L71" t="n">
        <v>1.37</v>
      </c>
      <c r="M71" t="n">
        <v>5.7</v>
      </c>
    </row>
    <row r="72">
      <c r="B72" t="inlineStr">
        <is>
          <t>Malaysia</t>
        </is>
      </c>
      <c r="C72" t="n">
        <v>337</v>
      </c>
      <c r="D72" t="n">
        <v>0.161</v>
      </c>
      <c r="E72" t="n">
        <v>-0.02</v>
      </c>
      <c r="F72" t="n">
        <v>0.0175</v>
      </c>
      <c r="G72" t="n">
        <v>0.02</v>
      </c>
      <c r="H72" t="n">
        <v>0.048</v>
      </c>
      <c r="I72" t="n">
        <v>-0.032</v>
      </c>
      <c r="J72" t="n">
        <v>0.607</v>
      </c>
      <c r="K72" t="n">
        <v>1</v>
      </c>
      <c r="L72" t="n">
        <v>4.19</v>
      </c>
      <c r="M72" t="n">
        <v>32.73</v>
      </c>
    </row>
    <row r="73">
      <c r="B73" t="inlineStr">
        <is>
          <t>Bangladesh</t>
        </is>
      </c>
      <c r="C73" t="n">
        <v>324</v>
      </c>
      <c r="D73" t="n">
        <v>0.0547</v>
      </c>
      <c r="E73" t="n">
        <v>0.0547</v>
      </c>
      <c r="F73" t="n">
        <v>0.0475</v>
      </c>
      <c r="G73" t="n">
        <v>0.0554</v>
      </c>
      <c r="H73" t="n">
        <v>0.053</v>
      </c>
      <c r="I73" t="n">
        <v>-0.0535</v>
      </c>
      <c r="J73" t="n">
        <v>0.317</v>
      </c>
      <c r="K73" t="n">
        <v>-1.5</v>
      </c>
      <c r="L73" t="n">
        <v>84.8</v>
      </c>
      <c r="M73" t="n">
        <v>165</v>
      </c>
    </row>
    <row r="74">
      <c r="B74" t="inlineStr">
        <is>
          <t>South Africa</t>
        </is>
      </c>
      <c r="C74" t="n">
        <v>302</v>
      </c>
      <c r="D74" t="n">
        <v>0.193</v>
      </c>
      <c r="E74" t="n">
        <v>0.012</v>
      </c>
      <c r="F74" t="n">
        <v>0.035</v>
      </c>
      <c r="G74" t="n">
        <v>0.049</v>
      </c>
      <c r="H74" t="n">
        <v>0.344</v>
      </c>
      <c r="I74" t="n">
        <v>-0.123</v>
      </c>
      <c r="J74" t="n">
        <v>0.83</v>
      </c>
      <c r="K74" t="n">
        <v>2.2</v>
      </c>
      <c r="L74" t="n">
        <v>14.73</v>
      </c>
      <c r="M74" t="n">
        <v>59.3</v>
      </c>
    </row>
    <row r="75">
      <c r="B75" t="inlineStr">
        <is>
          <t>Vietnam</t>
        </is>
      </c>
      <c r="C75" t="n">
        <v>271</v>
      </c>
      <c r="D75" t="n">
        <v>0.06610000000000001</v>
      </c>
      <c r="E75" t="n">
        <v>0.0688</v>
      </c>
      <c r="F75" t="n">
        <v>0.04</v>
      </c>
      <c r="G75" t="n">
        <v>0.0282</v>
      </c>
      <c r="H75" t="n">
        <v>0.0262</v>
      </c>
      <c r="I75" t="n">
        <v>-0.058</v>
      </c>
      <c r="J75" t="n">
        <v>0.467</v>
      </c>
      <c r="K75" t="n">
        <v>5</v>
      </c>
      <c r="L75" t="n">
        <v>23170</v>
      </c>
      <c r="M75" t="n">
        <v>97.58</v>
      </c>
    </row>
    <row r="76">
      <c r="B76" t="inlineStr">
        <is>
          <t>Colombia</t>
        </is>
      </c>
      <c r="C76" t="n">
        <v>271</v>
      </c>
      <c r="D76" t="n">
        <v>0.176</v>
      </c>
      <c r="E76" t="n">
        <v>-0.024</v>
      </c>
      <c r="F76" t="n">
        <v>0.0175</v>
      </c>
      <c r="G76" t="n">
        <v>0.0444</v>
      </c>
      <c r="H76" t="n">
        <v>0.143</v>
      </c>
      <c r="I76" t="n">
        <v>-0.078</v>
      </c>
      <c r="J76" t="n">
        <v>0.628</v>
      </c>
      <c r="K76" t="n">
        <v>-3.4</v>
      </c>
      <c r="L76" t="n">
        <v>3354</v>
      </c>
      <c r="M76" t="n">
        <v>50.88</v>
      </c>
    </row>
    <row r="77">
      <c r="B77" t="inlineStr">
        <is>
          <t>Finland</t>
        </is>
      </c>
      <c r="C77" t="n">
        <v>271</v>
      </c>
      <c r="D77" t="n">
        <v>0.075</v>
      </c>
      <c r="E77" t="n">
        <v>0.021</v>
      </c>
      <c r="F77" t="n">
        <v>0</v>
      </c>
      <c r="G77" t="n">
        <v>0.022</v>
      </c>
      <c r="H77" t="n">
        <v>0.065</v>
      </c>
      <c r="I77" t="n">
        <v>-0.054</v>
      </c>
      <c r="J77" t="n">
        <v>0.6919999999999999</v>
      </c>
      <c r="K77" t="n">
        <v>0.3</v>
      </c>
      <c r="L77" t="n">
        <v>1.11</v>
      </c>
      <c r="M77" t="n">
        <v>5.53</v>
      </c>
    </row>
    <row r="78">
      <c r="B78" t="inlineStr">
        <is>
          <t>Pakistan</t>
        </is>
      </c>
      <c r="C78" t="n">
        <v>264</v>
      </c>
      <c r="D78" t="n">
        <v>0.0394</v>
      </c>
      <c r="E78" t="n">
        <v>0.0579</v>
      </c>
      <c r="F78" t="n">
        <v>0.0725</v>
      </c>
      <c r="G78" t="n">
        <v>0.08400000000000001</v>
      </c>
      <c r="H78" t="n">
        <v>0.044</v>
      </c>
      <c r="I78" t="n">
        <v>-0.081</v>
      </c>
      <c r="J78" t="n">
        <v>0.87</v>
      </c>
      <c r="K78" t="n">
        <v>-0.6</v>
      </c>
      <c r="L78" t="n">
        <v>159</v>
      </c>
      <c r="M78" t="n">
        <v>221</v>
      </c>
    </row>
    <row r="79">
      <c r="B79" t="inlineStr">
        <is>
          <t>Chile</t>
        </is>
      </c>
      <c r="C79" t="n">
        <v>253</v>
      </c>
      <c r="D79" t="n">
        <v>0.181</v>
      </c>
      <c r="E79" t="n">
        <v>0.01</v>
      </c>
      <c r="F79" t="n">
        <v>0.015</v>
      </c>
      <c r="G79" t="n">
        <v>0.048</v>
      </c>
      <c r="H79" t="n">
        <v>0.089</v>
      </c>
      <c r="I79" t="n">
        <v>-0.07099999999999999</v>
      </c>
      <c r="J79" t="n">
        <v>0.33</v>
      </c>
      <c r="K79" t="n">
        <v>1.4</v>
      </c>
      <c r="L79" t="n">
        <v>749.27</v>
      </c>
      <c r="M79" t="n">
        <v>19.46</v>
      </c>
    </row>
    <row r="80">
      <c r="B80" t="inlineStr">
        <is>
          <t>Romania</t>
        </is>
      </c>
      <c r="C80" t="n">
        <v>249</v>
      </c>
      <c r="D80" t="n">
        <v>0.13</v>
      </c>
      <c r="E80" t="n">
        <v>0.018</v>
      </c>
      <c r="F80" t="n">
        <v>0.0125</v>
      </c>
      <c r="G80" t="n">
        <v>0.0525</v>
      </c>
      <c r="H80" t="n">
        <v>0.051</v>
      </c>
      <c r="I80" t="n">
        <v>-0.092</v>
      </c>
      <c r="J80" t="n">
        <v>0.473</v>
      </c>
      <c r="K80" t="n">
        <v>-5.1</v>
      </c>
      <c r="L80" t="n">
        <v>4.18</v>
      </c>
      <c r="M80" t="n">
        <v>19.33</v>
      </c>
    </row>
    <row r="81">
      <c r="B81" t="inlineStr">
        <is>
          <t>Czech Republic</t>
        </is>
      </c>
      <c r="C81" t="n">
        <v>244</v>
      </c>
      <c r="D81" t="n">
        <v>0.082</v>
      </c>
      <c r="E81" t="n">
        <v>0.01</v>
      </c>
      <c r="F81" t="n">
        <v>0.0075</v>
      </c>
      <c r="G81" t="n">
        <v>0.041</v>
      </c>
      <c r="H81" t="n">
        <v>0.036</v>
      </c>
      <c r="I81" t="n">
        <v>-0.062</v>
      </c>
      <c r="J81" t="n">
        <v>0.381</v>
      </c>
      <c r="K81" t="n">
        <v>3.6</v>
      </c>
      <c r="L81" t="n">
        <v>21.77</v>
      </c>
      <c r="M81" t="n">
        <v>10.7</v>
      </c>
    </row>
    <row r="82">
      <c r="B82" t="inlineStr">
        <is>
          <t>Portugal</t>
        </is>
      </c>
      <c r="C82" t="n">
        <v>231</v>
      </c>
      <c r="D82" t="n">
        <v>0.155</v>
      </c>
      <c r="E82" t="n">
        <v>0.049</v>
      </c>
      <c r="F82" t="n">
        <v>0</v>
      </c>
      <c r="G82" t="n">
        <v>0.015</v>
      </c>
      <c r="H82" t="n">
        <v>0.067</v>
      </c>
      <c r="I82" t="n">
        <v>-0.057</v>
      </c>
      <c r="J82" t="n">
        <v>1.336</v>
      </c>
      <c r="K82" t="n">
        <v>-1.2</v>
      </c>
      <c r="L82" t="n">
        <v>1.11</v>
      </c>
      <c r="M82" t="n">
        <v>10.3</v>
      </c>
    </row>
    <row r="83">
      <c r="B83" t="inlineStr">
        <is>
          <t>New Zealand</t>
        </is>
      </c>
      <c r="C83" t="n">
        <v>212</v>
      </c>
      <c r="D83" t="n">
        <v>0.174</v>
      </c>
      <c r="E83" t="n">
        <v>0.028</v>
      </c>
      <c r="F83" t="n">
        <v>0.0025</v>
      </c>
      <c r="G83" t="n">
        <v>0.033</v>
      </c>
      <c r="H83" t="n">
        <v>0.04</v>
      </c>
      <c r="I83" t="n">
        <v>-0.075</v>
      </c>
      <c r="J83" t="n">
        <v>0.27</v>
      </c>
      <c r="K83" t="n">
        <v>-2.7</v>
      </c>
      <c r="L83" t="n">
        <v>0.63</v>
      </c>
      <c r="M83" t="n">
        <v>5.11</v>
      </c>
    </row>
    <row r="84">
      <c r="B84" t="inlineStr">
        <is>
          <t>Peru</t>
        </is>
      </c>
      <c r="C84" t="n">
        <v>202</v>
      </c>
      <c r="D84" t="n">
        <v>0.419</v>
      </c>
      <c r="E84" t="n">
        <v>0</v>
      </c>
      <c r="F84" t="n">
        <v>0.01</v>
      </c>
      <c r="G84" t="n">
        <v>0.0495</v>
      </c>
      <c r="H84" t="n">
        <v>0.095</v>
      </c>
      <c r="I84" t="n">
        <v>-0.089</v>
      </c>
      <c r="J84" t="n">
        <v>0.354</v>
      </c>
      <c r="K84" t="n">
        <v>0.7</v>
      </c>
      <c r="L84" t="n">
        <v>3.96</v>
      </c>
      <c r="M84" t="n">
        <v>32.63</v>
      </c>
    </row>
    <row r="85">
      <c r="B85" t="inlineStr">
        <is>
          <t>Iran</t>
        </is>
      </c>
      <c r="C85" t="n">
        <v>192</v>
      </c>
      <c r="D85" t="n">
        <v>-0.039</v>
      </c>
      <c r="F85" t="n">
        <v>0.18</v>
      </c>
      <c r="G85" t="n">
        <v>0.432</v>
      </c>
      <c r="H85" t="n">
        <v>0.094</v>
      </c>
      <c r="I85" t="n">
        <v>-0.095</v>
      </c>
      <c r="J85" t="n">
        <v>0.454</v>
      </c>
      <c r="K85" t="n">
        <v>-0.5</v>
      </c>
      <c r="L85" t="n">
        <v>42000</v>
      </c>
      <c r="M85" t="n">
        <v>84</v>
      </c>
    </row>
    <row r="86">
      <c r="B86" t="inlineStr">
        <is>
          <t>Greece</t>
        </is>
      </c>
      <c r="C86" t="n">
        <v>189</v>
      </c>
      <c r="D86" t="n">
        <v>0.162</v>
      </c>
      <c r="E86" t="n">
        <v>0.034</v>
      </c>
      <c r="F86" t="n">
        <v>0</v>
      </c>
      <c r="G86" t="n">
        <v>0.019</v>
      </c>
      <c r="H86" t="n">
        <v>0.142</v>
      </c>
      <c r="I86" t="n">
        <v>-0.097</v>
      </c>
      <c r="J86" t="n">
        <v>2.056</v>
      </c>
      <c r="K86" t="n">
        <v>-6.7</v>
      </c>
      <c r="L86" t="n">
        <v>1.11</v>
      </c>
      <c r="M86" t="n">
        <v>10.72</v>
      </c>
    </row>
    <row r="87">
      <c r="B87" t="inlineStr">
        <is>
          <t>Kazakhstan</t>
        </is>
      </c>
      <c r="C87" t="n">
        <v>170</v>
      </c>
      <c r="D87" t="n">
        <v>0.023</v>
      </c>
      <c r="E87" t="n">
        <v>0.0126</v>
      </c>
      <c r="F87" t="n">
        <v>0.095</v>
      </c>
      <c r="G87" t="n">
        <v>0.08699999999999999</v>
      </c>
      <c r="H87" t="n">
        <v>0.049</v>
      </c>
      <c r="I87" t="n">
        <v>-0.04</v>
      </c>
      <c r="J87" t="n">
        <v>0.234</v>
      </c>
      <c r="K87" t="n">
        <v>-3.7</v>
      </c>
      <c r="L87" t="n">
        <v>427.38</v>
      </c>
      <c r="M87" t="n">
        <v>18.88</v>
      </c>
    </row>
    <row r="88">
      <c r="B88" t="inlineStr">
        <is>
          <t>Iraq</t>
        </is>
      </c>
      <c r="C88" t="n">
        <v>167</v>
      </c>
      <c r="D88" t="n">
        <v>-0.109</v>
      </c>
      <c r="F88" t="n">
        <v>0.04</v>
      </c>
      <c r="G88" t="n">
        <v>0.074</v>
      </c>
      <c r="H88" t="n">
        <v>0.1374</v>
      </c>
      <c r="I88" t="n">
        <v>-0.175</v>
      </c>
      <c r="J88" t="n">
        <v>0.6830000000000001</v>
      </c>
      <c r="K88" t="n">
        <v>-12.6</v>
      </c>
      <c r="L88" t="n">
        <v>1193.81</v>
      </c>
      <c r="M88" t="n">
        <v>40.2</v>
      </c>
    </row>
    <row r="89">
      <c r="B89" t="inlineStr">
        <is>
          <t>Ukraine</t>
        </is>
      </c>
      <c r="C89" t="n">
        <v>156</v>
      </c>
      <c r="D89" t="n">
        <v>0.057</v>
      </c>
      <c r="E89" t="n">
        <v>-0.007</v>
      </c>
      <c r="F89" t="n">
        <v>0.08500000000000001</v>
      </c>
      <c r="G89" t="n">
        <v>0.102</v>
      </c>
      <c r="H89" t="n">
        <v>0.093</v>
      </c>
      <c r="I89" t="n">
        <v>-0.061</v>
      </c>
      <c r="J89" t="n">
        <v>0.608</v>
      </c>
      <c r="K89" t="n">
        <v>4.3</v>
      </c>
      <c r="L89" t="n">
        <v>27.25</v>
      </c>
      <c r="M89" t="n">
        <v>44.13</v>
      </c>
    </row>
    <row r="90">
      <c r="B90" t="inlineStr">
        <is>
          <t>Hungary</t>
        </is>
      </c>
      <c r="C90" t="n">
        <v>155</v>
      </c>
      <c r="D90" t="n">
        <v>0.179</v>
      </c>
      <c r="E90" t="n">
        <v>0.027</v>
      </c>
      <c r="F90" t="n">
        <v>0.0165</v>
      </c>
      <c r="G90" t="n">
        <v>0.049</v>
      </c>
      <c r="H90" t="n">
        <v>0.041</v>
      </c>
      <c r="I90" t="n">
        <v>-0.081</v>
      </c>
      <c r="J90" t="n">
        <v>0.804</v>
      </c>
      <c r="K90" t="n">
        <v>0</v>
      </c>
      <c r="L90" t="n">
        <v>302.98</v>
      </c>
      <c r="M90" t="n">
        <v>9.77</v>
      </c>
    </row>
    <row r="91">
      <c r="B91" t="inlineStr">
        <is>
          <t>Qatar</t>
        </is>
      </c>
      <c r="C91" t="n">
        <v>146</v>
      </c>
      <c r="D91" t="n">
        <v>-0.025</v>
      </c>
      <c r="E91" t="n">
        <v>-0.011</v>
      </c>
      <c r="F91" t="n">
        <v>0.025</v>
      </c>
      <c r="G91" t="n">
        <v>0.0295</v>
      </c>
      <c r="H91" t="n">
        <v>0.001</v>
      </c>
      <c r="I91" t="n">
        <v>-0.021</v>
      </c>
      <c r="J91" t="n">
        <v>0.718</v>
      </c>
      <c r="K91" t="n">
        <v>-2.5</v>
      </c>
      <c r="L91" t="n">
        <v>3.7</v>
      </c>
      <c r="M91" t="n">
        <v>2.88</v>
      </c>
    </row>
    <row r="92" ht="16" customHeight="1" s="89" thickBot="1">
      <c r="B92" t="inlineStr">
        <is>
          <t>Algeria</t>
        </is>
      </c>
      <c r="C92" t="n">
        <v>145</v>
      </c>
      <c r="D92" t="n">
        <v>-0.039</v>
      </c>
      <c r="E92" t="n">
        <v>0.008</v>
      </c>
      <c r="F92" t="n">
        <v>0.03</v>
      </c>
      <c r="G92" t="n">
        <v>0.0412</v>
      </c>
      <c r="H92" t="n">
        <v>0.114</v>
      </c>
      <c r="I92" t="n">
        <v>-0.115</v>
      </c>
      <c r="J92" t="n">
        <v>0.572</v>
      </c>
      <c r="K92" t="n">
        <v>-10.8</v>
      </c>
      <c r="L92" t="n">
        <v>134.37</v>
      </c>
      <c r="M92" t="n">
        <v>44.23</v>
      </c>
    </row>
    <row r="93">
      <c r="B93" t="inlineStr">
        <is>
          <t>Kuwait</t>
        </is>
      </c>
      <c r="C93" t="n">
        <v>136</v>
      </c>
      <c r="D93" t="n">
        <v>-0.112</v>
      </c>
      <c r="E93" s="86" t="n">
        <v>0.047</v>
      </c>
      <c r="F93" t="n">
        <v>0.015</v>
      </c>
      <c r="G93" t="n">
        <v>0.031</v>
      </c>
      <c r="H93" t="n">
        <v>0.023</v>
      </c>
      <c r="I93" t="n">
        <v>-0.094</v>
      </c>
      <c r="J93" t="n">
        <v>0.115</v>
      </c>
      <c r="K93" t="n">
        <v>0.8</v>
      </c>
      <c r="L93" t="n">
        <v>0.3</v>
      </c>
      <c r="M93" t="n">
        <v>4.27</v>
      </c>
    </row>
    <row r="94" ht="16" customHeight="1" s="89" thickBot="1">
      <c r="B94" t="inlineStr">
        <is>
          <t>Morocco</t>
        </is>
      </c>
      <c r="C94" t="n">
        <v>113</v>
      </c>
      <c r="D94" t="n">
        <v>0.01</v>
      </c>
      <c r="E94" t="n">
        <v>0.011</v>
      </c>
      <c r="F94" t="n">
        <v>0.015</v>
      </c>
      <c r="G94" t="n">
        <v>0.008</v>
      </c>
      <c r="H94" t="n">
        <v>0.128</v>
      </c>
      <c r="I94" t="n">
        <v>-0.076</v>
      </c>
      <c r="J94" t="n">
        <v>0.774</v>
      </c>
      <c r="K94" t="n">
        <v>-1.5</v>
      </c>
      <c r="L94" t="n">
        <v>8.960000000000001</v>
      </c>
      <c r="M94" t="n">
        <v>35.95</v>
      </c>
    </row>
    <row r="95">
      <c r="B95" t="inlineStr">
        <is>
          <t>Ethiopia</t>
        </is>
      </c>
      <c r="C95" t="n">
        <v>108</v>
      </c>
      <c r="D95" t="n">
        <v>0.061</v>
      </c>
      <c r="E95" s="74" t="n"/>
      <c r="F95" t="n">
        <v>0.07000000000000001</v>
      </c>
      <c r="G95" t="n">
        <v>0.304</v>
      </c>
      <c r="H95" t="n">
        <v>0.191</v>
      </c>
      <c r="I95" t="n">
        <v>-0.04</v>
      </c>
      <c r="J95" t="n">
        <v>0.59</v>
      </c>
      <c r="K95" t="n">
        <v>-4.4</v>
      </c>
      <c r="L95" t="n">
        <v>31.69</v>
      </c>
      <c r="M95" t="n">
        <v>115</v>
      </c>
    </row>
    <row r="96" ht="16" customHeight="1" s="89" thickBot="1">
      <c r="B96" t="inlineStr">
        <is>
          <t>Slovakia</t>
        </is>
      </c>
      <c r="C96" t="n">
        <v>105</v>
      </c>
      <c r="D96" t="n">
        <v>0.096</v>
      </c>
      <c r="E96" t="n">
        <v>0.02</v>
      </c>
      <c r="F96" t="n">
        <v>0</v>
      </c>
      <c r="G96" t="n">
        <v>0.038</v>
      </c>
      <c r="H96" t="n">
        <v>0.0737</v>
      </c>
      <c r="I96" t="n">
        <v>-0.062</v>
      </c>
      <c r="J96" t="n">
        <v>0.606</v>
      </c>
      <c r="K96" t="n">
        <v>-0.4</v>
      </c>
      <c r="L96" t="n">
        <v>1.11</v>
      </c>
      <c r="M96" t="n">
        <v>5.46</v>
      </c>
    </row>
    <row r="97" ht="16" customHeight="1" s="89" thickBot="1">
      <c r="B97" t="inlineStr">
        <is>
          <t>Cuba</t>
        </is>
      </c>
      <c r="C97" t="n">
        <v>103</v>
      </c>
      <c r="D97" t="n">
        <v>-0.11</v>
      </c>
      <c r="E97" s="74" t="n"/>
      <c r="F97" t="n">
        <v>0.0225</v>
      </c>
      <c r="G97" t="n">
        <v>0.042</v>
      </c>
      <c r="H97" t="n">
        <v>0.0387</v>
      </c>
      <c r="I97" t="n">
        <v>-0.177</v>
      </c>
      <c r="J97" t="n">
        <v>0.184</v>
      </c>
      <c r="K97" t="n">
        <v>0.2</v>
      </c>
      <c r="L97" t="n">
        <v>1</v>
      </c>
      <c r="M97" t="n">
        <v>11.28</v>
      </c>
    </row>
    <row r="98">
      <c r="B98" t="inlineStr">
        <is>
          <t>Puerto Rico</t>
        </is>
      </c>
      <c r="C98" t="n">
        <v>103</v>
      </c>
      <c r="D98" t="n">
        <v>-0.032</v>
      </c>
      <c r="E98" s="74" t="n"/>
      <c r="F98" s="74" t="n"/>
      <c r="G98" t="n">
        <v>0.029</v>
      </c>
      <c r="H98" t="n">
        <v>0.091</v>
      </c>
      <c r="I98" s="74" t="n"/>
      <c r="J98" s="74" t="n"/>
      <c r="K98" s="74" t="n"/>
      <c r="L98" t="n">
        <v>98.56</v>
      </c>
      <c r="M98" t="n">
        <v>3.19</v>
      </c>
    </row>
    <row r="99">
      <c r="B99" t="inlineStr">
        <is>
          <t>Kenya</t>
        </is>
      </c>
      <c r="C99" t="n">
        <v>99</v>
      </c>
      <c r="D99" t="n">
        <v>-0.011</v>
      </c>
      <c r="E99" t="n">
        <v>0.0349</v>
      </c>
      <c r="F99" t="n">
        <v>0.07000000000000001</v>
      </c>
      <c r="G99" t="n">
        <v>0.06569999999999999</v>
      </c>
      <c r="H99" t="n">
        <v>0.07199999999999999</v>
      </c>
      <c r="I99" t="n">
        <v>-0.078</v>
      </c>
      <c r="J99" t="n">
        <v>0.656</v>
      </c>
      <c r="K99" t="n">
        <v>-4.8</v>
      </c>
      <c r="L99" t="n">
        <v>107.9</v>
      </c>
      <c r="M99" t="n">
        <v>53.7</v>
      </c>
    </row>
    <row r="100">
      <c r="B100" t="inlineStr">
        <is>
          <t>Ecuador</t>
        </is>
      </c>
      <c r="C100" t="n">
        <v>99</v>
      </c>
      <c r="D100" t="n">
        <v>-0.056</v>
      </c>
      <c r="E100" t="n">
        <v>0.0068</v>
      </c>
      <c r="F100" t="n">
        <v>0.09329999999999999</v>
      </c>
      <c r="G100" t="n">
        <v>0.0089</v>
      </c>
      <c r="H100" t="n">
        <v>0.073</v>
      </c>
      <c r="I100" t="n">
        <v>-0.089</v>
      </c>
      <c r="J100" t="n">
        <v>0.6889999999999999</v>
      </c>
      <c r="K100" t="n">
        <v>2.6</v>
      </c>
      <c r="L100" t="n">
        <v>98.56</v>
      </c>
      <c r="M100" t="n">
        <v>17.56</v>
      </c>
    </row>
    <row r="101" ht="16" customHeight="1" s="89" thickBot="1">
      <c r="B101" t="inlineStr">
        <is>
          <t>Sri Lanka</t>
        </is>
      </c>
      <c r="C101" t="n">
        <v>81</v>
      </c>
      <c r="D101" t="n">
        <v>0.043</v>
      </c>
      <c r="E101" t="n">
        <v>0.014</v>
      </c>
      <c r="F101" t="n">
        <v>0.05</v>
      </c>
      <c r="G101" t="n">
        <v>0.06</v>
      </c>
      <c r="H101" t="n">
        <v>0.057</v>
      </c>
      <c r="I101" t="n">
        <v>-0.111</v>
      </c>
      <c r="J101" t="n">
        <v>1.01</v>
      </c>
      <c r="K101" t="n">
        <v>-1.3</v>
      </c>
      <c r="L101" t="n">
        <v>199</v>
      </c>
      <c r="M101" t="n">
        <v>21.92</v>
      </c>
    </row>
    <row r="102">
      <c r="B102" t="inlineStr">
        <is>
          <t>Dominican Republic</t>
        </is>
      </c>
      <c r="C102" t="n">
        <v>79</v>
      </c>
      <c r="D102" t="n">
        <v>0.031</v>
      </c>
      <c r="E102" s="85" t="n">
        <v>-0.007</v>
      </c>
      <c r="F102" t="n">
        <v>0.03</v>
      </c>
      <c r="G102" t="n">
        <v>0.079</v>
      </c>
      <c r="H102" t="n">
        <v>0.08</v>
      </c>
      <c r="I102" t="n">
        <v>-0.0791</v>
      </c>
      <c r="J102" t="n">
        <v>0.6909999999999999</v>
      </c>
      <c r="K102" t="n">
        <v>-2</v>
      </c>
      <c r="L102" t="n">
        <v>52.98</v>
      </c>
      <c r="M102" t="n">
        <v>10.45</v>
      </c>
    </row>
    <row r="103" ht="16" customHeight="1" s="89" thickBot="1">
      <c r="B103" t="inlineStr">
        <is>
          <t>Guatemala</t>
        </is>
      </c>
      <c r="C103" t="n">
        <v>78</v>
      </c>
      <c r="D103" t="n">
        <v>0.0482</v>
      </c>
      <c r="F103" t="n">
        <v>0.0175</v>
      </c>
      <c r="G103" t="n">
        <v>0.0362</v>
      </c>
      <c r="H103" t="n">
        <v>0.02</v>
      </c>
      <c r="I103" t="n">
        <v>-0.049</v>
      </c>
      <c r="J103" t="n">
        <v>0.3126</v>
      </c>
      <c r="K103" t="n">
        <v>5.5</v>
      </c>
      <c r="L103" t="n">
        <v>7.7</v>
      </c>
      <c r="M103" t="n">
        <v>17.92</v>
      </c>
    </row>
    <row r="104" ht="16" customHeight="1" s="89" thickBot="1">
      <c r="B104" t="inlineStr">
        <is>
          <t>Myanmar</t>
        </is>
      </c>
      <c r="C104" t="n">
        <v>76</v>
      </c>
      <c r="D104" t="n">
        <v>-0.1</v>
      </c>
      <c r="E104" s="74" t="n"/>
      <c r="F104" t="n">
        <v>0.07000000000000001</v>
      </c>
      <c r="G104" t="n">
        <v>0.0264</v>
      </c>
      <c r="H104" t="n">
        <v>0.0179</v>
      </c>
      <c r="I104" t="n">
        <v>-0.056</v>
      </c>
      <c r="J104" t="n">
        <v>0.424</v>
      </c>
      <c r="K104" t="n">
        <v>-4</v>
      </c>
      <c r="L104" t="n">
        <v>1500</v>
      </c>
      <c r="M104" t="n">
        <v>54.53</v>
      </c>
    </row>
    <row r="105">
      <c r="B105" t="inlineStr">
        <is>
          <t>Oman</t>
        </is>
      </c>
      <c r="C105" t="n">
        <v>76</v>
      </c>
      <c r="D105" t="n">
        <v>-0.063</v>
      </c>
      <c r="E105" s="74" t="n"/>
      <c r="F105" t="n">
        <v>0.005</v>
      </c>
      <c r="G105" t="n">
        <v>0.0219</v>
      </c>
      <c r="H105" t="n">
        <v>0.05</v>
      </c>
      <c r="I105" t="n">
        <v>-0.07000000000000001</v>
      </c>
      <c r="J105" t="n">
        <v>0.5590000000000001</v>
      </c>
      <c r="K105" t="n">
        <v>-5.2</v>
      </c>
      <c r="L105" t="n">
        <v>0.38</v>
      </c>
      <c r="M105" t="n">
        <v>4.5</v>
      </c>
    </row>
    <row r="106">
      <c r="B106" t="inlineStr">
        <is>
          <t>Luxembourg</t>
        </is>
      </c>
      <c r="C106" t="n">
        <v>73</v>
      </c>
      <c r="D106" t="n">
        <v>0.0487</v>
      </c>
      <c r="E106" t="n">
        <v>0.014</v>
      </c>
      <c r="F106" t="n">
        <v>0</v>
      </c>
      <c r="G106" t="n">
        <v>0.025</v>
      </c>
      <c r="H106" t="n">
        <v>0.055</v>
      </c>
      <c r="I106" t="n">
        <v>-0.041</v>
      </c>
      <c r="J106" t="n">
        <v>0.249</v>
      </c>
      <c r="K106" t="n">
        <v>4.3</v>
      </c>
      <c r="L106" t="n">
        <v>1.11</v>
      </c>
      <c r="M106" t="n">
        <v>0.63</v>
      </c>
    </row>
    <row r="107">
      <c r="B107" t="inlineStr">
        <is>
          <t>Ghana</t>
        </is>
      </c>
      <c r="C107" t="n">
        <v>72</v>
      </c>
      <c r="D107" t="n">
        <v>0.039</v>
      </c>
      <c r="E107" t="n">
        <v>0.008999999999999999</v>
      </c>
      <c r="F107" t="n">
        <v>0.135</v>
      </c>
      <c r="G107" t="n">
        <v>0.097</v>
      </c>
      <c r="H107" t="n">
        <v>0.045</v>
      </c>
      <c r="I107" t="n">
        <v>-0.138</v>
      </c>
      <c r="J107" t="n">
        <v>0.78</v>
      </c>
      <c r="K107" t="n">
        <v>-2.5</v>
      </c>
      <c r="L107" t="n">
        <v>5.88</v>
      </c>
      <c r="M107" t="n">
        <v>30.96</v>
      </c>
    </row>
    <row r="108" ht="16" customHeight="1" s="89" thickBot="1">
      <c r="B108" t="inlineStr">
        <is>
          <t>Bulgaria</t>
        </is>
      </c>
      <c r="C108" t="n">
        <v>69</v>
      </c>
      <c r="D108" t="n">
        <v>0.099</v>
      </c>
      <c r="E108" t="n">
        <v>0.006</v>
      </c>
      <c r="F108" t="n">
        <v>0</v>
      </c>
      <c r="G108" t="n">
        <v>0.037</v>
      </c>
      <c r="H108" t="n">
        <v>0.05</v>
      </c>
      <c r="I108" t="n">
        <v>-0.034</v>
      </c>
      <c r="J108" t="n">
        <v>0.239</v>
      </c>
      <c r="K108" t="n">
        <v>-0.7</v>
      </c>
      <c r="L108" t="n">
        <v>1.66</v>
      </c>
      <c r="M108" t="n">
        <v>6.95</v>
      </c>
    </row>
    <row r="109">
      <c r="B109" t="inlineStr">
        <is>
          <t>Syria</t>
        </is>
      </c>
      <c r="C109" t="n">
        <v>65</v>
      </c>
      <c r="D109" t="n">
        <v>0.048</v>
      </c>
      <c r="E109" s="74" t="n"/>
      <c r="F109" s="74" t="n"/>
      <c r="G109" t="n">
        <v>0.5243</v>
      </c>
      <c r="H109" t="n">
        <v>0.09</v>
      </c>
      <c r="I109" t="n">
        <v>-0.114</v>
      </c>
      <c r="J109" t="n">
        <v>0.3001</v>
      </c>
      <c r="K109" t="n">
        <v>-0.62</v>
      </c>
      <c r="L109" t="n">
        <v>436.5</v>
      </c>
      <c r="M109" t="n">
        <v>17.5</v>
      </c>
    </row>
    <row r="110">
      <c r="B110" t="inlineStr">
        <is>
          <t>Tanzania</t>
        </is>
      </c>
      <c r="C110" t="n">
        <v>62</v>
      </c>
      <c r="D110" t="n">
        <v>0.049</v>
      </c>
      <c r="E110" t="n">
        <v>0.015</v>
      </c>
      <c r="F110" t="n">
        <v>0.05</v>
      </c>
      <c r="G110" t="n">
        <v>0.038</v>
      </c>
      <c r="H110" t="n">
        <v>0.095</v>
      </c>
      <c r="I110" t="n">
        <v>-0.026</v>
      </c>
      <c r="J110" t="n">
        <v>0.378</v>
      </c>
      <c r="K110" t="n">
        <v>-2.1</v>
      </c>
      <c r="L110" t="n">
        <v>2314</v>
      </c>
      <c r="M110" t="n">
        <v>59.73</v>
      </c>
    </row>
    <row r="111" ht="16" customHeight="1" s="89" thickBot="1">
      <c r="B111" t="inlineStr">
        <is>
          <t>Angola</t>
        </is>
      </c>
      <c r="C111" t="n">
        <v>62</v>
      </c>
      <c r="D111" t="n">
        <v>-0.034</v>
      </c>
      <c r="E111" t="n">
        <v>0.002</v>
      </c>
      <c r="F111" t="n">
        <v>0.2</v>
      </c>
      <c r="G111" t="n">
        <v>0.2609</v>
      </c>
      <c r="H111" t="n">
        <v>0.316</v>
      </c>
      <c r="I111" t="n">
        <v>-0.025</v>
      </c>
      <c r="J111" t="n">
        <v>1.2</v>
      </c>
      <c r="K111" t="n">
        <v>1.5</v>
      </c>
      <c r="L111" t="n">
        <v>456.04</v>
      </c>
      <c r="M111" t="n">
        <v>33</v>
      </c>
    </row>
    <row r="112" ht="16" customHeight="1" s="89" thickBot="1">
      <c r="B112" t="inlineStr">
        <is>
          <t>Costa Rica</t>
        </is>
      </c>
      <c r="C112" t="n">
        <v>62</v>
      </c>
      <c r="D112" t="n">
        <v>-0.013</v>
      </c>
      <c r="E112" s="79" t="n">
        <v>0.005</v>
      </c>
      <c r="F112" t="n">
        <v>0.0075</v>
      </c>
      <c r="G112" t="n">
        <v>0.0172</v>
      </c>
      <c r="H112" t="n">
        <v>0.181</v>
      </c>
      <c r="I112" t="n">
        <v>-0.074</v>
      </c>
      <c r="J112" t="n">
        <v>0.7926</v>
      </c>
      <c r="K112" t="n">
        <v>-2.4</v>
      </c>
      <c r="L112" t="n">
        <v>566.5700000000001</v>
      </c>
      <c r="M112" t="n">
        <v>5.16</v>
      </c>
    </row>
    <row r="113" ht="16" customHeight="1" s="89" thickBot="1">
      <c r="B113" t="inlineStr">
        <is>
          <t>Ivory Coast</t>
        </is>
      </c>
      <c r="C113" t="n">
        <v>61</v>
      </c>
      <c r="D113" t="n">
        <v>0.035</v>
      </c>
      <c r="E113" s="74" t="n"/>
      <c r="F113" t="n">
        <v>0.04</v>
      </c>
      <c r="G113" t="n">
        <v>0.047</v>
      </c>
      <c r="H113" t="n">
        <v>0.035</v>
      </c>
      <c r="I113" t="n">
        <v>-0.055</v>
      </c>
      <c r="J113" t="n">
        <v>0.3</v>
      </c>
      <c r="K113" t="n">
        <v>-3.7</v>
      </c>
      <c r="L113" t="n">
        <v>588.96</v>
      </c>
      <c r="M113" t="n">
        <v>26.37</v>
      </c>
    </row>
    <row r="114">
      <c r="B114" t="inlineStr">
        <is>
          <t>Belarus</t>
        </is>
      </c>
      <c r="C114" t="n">
        <v>60</v>
      </c>
      <c r="D114" t="n">
        <v>0.0115</v>
      </c>
      <c r="E114" s="74" t="n"/>
      <c r="F114" t="n">
        <v>0.0925</v>
      </c>
      <c r="G114" t="n">
        <v>0.098</v>
      </c>
      <c r="H114" t="n">
        <v>0.002</v>
      </c>
      <c r="I114" t="n">
        <v>-0.026</v>
      </c>
      <c r="J114" t="n">
        <v>0.373</v>
      </c>
      <c r="K114" t="n">
        <v>-0.4</v>
      </c>
      <c r="L114" t="n">
        <v>2.57</v>
      </c>
      <c r="M114" t="n">
        <v>9.35</v>
      </c>
    </row>
    <row r="115">
      <c r="B115" t="inlineStr">
        <is>
          <t>Uzbekistan</t>
        </is>
      </c>
      <c r="C115" t="n">
        <v>58</v>
      </c>
      <c r="D115" t="n">
        <v>0.062</v>
      </c>
      <c r="F115" t="n">
        <v>0.14</v>
      </c>
      <c r="G115" t="n">
        <v>0.111</v>
      </c>
      <c r="H115" t="n">
        <v>0.102</v>
      </c>
      <c r="I115" t="n">
        <v>-0.044</v>
      </c>
      <c r="J115" t="n">
        <v>0.404</v>
      </c>
      <c r="K115" t="n">
        <v>-5.4</v>
      </c>
      <c r="L115" t="n">
        <v>9527.299999999999</v>
      </c>
      <c r="M115" t="n">
        <v>34.55</v>
      </c>
    </row>
    <row r="116">
      <c r="B116" t="inlineStr">
        <is>
          <t>Croatia</t>
        </is>
      </c>
      <c r="C116" t="n">
        <v>56</v>
      </c>
      <c r="D116" t="n">
        <v>0.161</v>
      </c>
      <c r="E116" t="n">
        <v>-0.002</v>
      </c>
      <c r="F116" t="n">
        <v>0.025</v>
      </c>
      <c r="G116" t="n">
        <v>0.031</v>
      </c>
      <c r="H116" t="n">
        <v>0.073</v>
      </c>
      <c r="I116" t="n">
        <v>-0.074</v>
      </c>
      <c r="J116" t="n">
        <v>0.887</v>
      </c>
      <c r="K116" t="n">
        <v>-0.3</v>
      </c>
      <c r="L116" t="n">
        <v>6.68</v>
      </c>
      <c r="M116" t="n">
        <v>4.06</v>
      </c>
    </row>
    <row r="117">
      <c r="B117" t="inlineStr">
        <is>
          <t>Lithuania</t>
        </is>
      </c>
      <c r="C117" t="n">
        <v>56</v>
      </c>
      <c r="D117" t="n">
        <v>0.078</v>
      </c>
      <c r="E117" t="n">
        <v>0.01</v>
      </c>
      <c r="F117" t="n">
        <v>0</v>
      </c>
      <c r="G117" t="n">
        <v>0.053</v>
      </c>
      <c r="H117" t="n">
        <v>0.122</v>
      </c>
      <c r="I117" t="n">
        <v>-0.074</v>
      </c>
      <c r="J117" t="n">
        <v>0.473</v>
      </c>
      <c r="K117" t="n">
        <v>8.300000000000001</v>
      </c>
      <c r="L117" t="n">
        <v>1.11</v>
      </c>
      <c r="M117" t="n">
        <v>2.79</v>
      </c>
    </row>
    <row r="118">
      <c r="B118" t="inlineStr">
        <is>
          <t>Macau</t>
        </is>
      </c>
      <c r="C118" t="n">
        <v>55</v>
      </c>
      <c r="D118" t="n">
        <v>0.695</v>
      </c>
      <c r="F118" t="n">
        <v>0.005</v>
      </c>
      <c r="G118" t="n">
        <v>0.004</v>
      </c>
      <c r="H118" t="n">
        <v>0.028</v>
      </c>
      <c r="K118" t="n">
        <v>33.6</v>
      </c>
      <c r="L118" t="n">
        <v>8.029999999999999</v>
      </c>
      <c r="M118" t="n">
        <v>0.68</v>
      </c>
    </row>
    <row r="119">
      <c r="B119" t="inlineStr">
        <is>
          <t>Uruguay</t>
        </is>
      </c>
      <c r="C119" t="n">
        <v>54</v>
      </c>
      <c r="D119" t="n">
        <v>-0.028</v>
      </c>
      <c r="E119" t="n">
        <v>0.078</v>
      </c>
      <c r="F119" t="n">
        <v>0.05</v>
      </c>
      <c r="G119" t="n">
        <v>0.0759</v>
      </c>
      <c r="H119" t="n">
        <v>0.104</v>
      </c>
      <c r="I119" t="n">
        <v>-0.051</v>
      </c>
      <c r="J119" t="n">
        <v>0.73</v>
      </c>
      <c r="K119" t="n">
        <v>-0.6</v>
      </c>
      <c r="L119" t="n">
        <v>37.81</v>
      </c>
      <c r="M119" t="n">
        <v>3.53</v>
      </c>
    </row>
    <row r="120" ht="16" customHeight="1" s="89" thickBot="1">
      <c r="B120" t="inlineStr">
        <is>
          <t>Slovenia</t>
        </is>
      </c>
      <c r="C120" t="n">
        <v>53</v>
      </c>
      <c r="D120" t="n">
        <v>0.163</v>
      </c>
      <c r="E120" t="n">
        <v>0.019</v>
      </c>
      <c r="F120" t="n">
        <v>0</v>
      </c>
      <c r="G120" t="n">
        <v>0.021</v>
      </c>
      <c r="H120" t="n">
        <v>0.073</v>
      </c>
      <c r="I120" t="n">
        <v>-0.08400000000000001</v>
      </c>
      <c r="J120" t="n">
        <v>0.8080000000000001</v>
      </c>
      <c r="K120" t="n">
        <v>7.1</v>
      </c>
      <c r="L120" t="n">
        <v>1.11</v>
      </c>
      <c r="M120" t="n">
        <v>2.1</v>
      </c>
    </row>
    <row r="121">
      <c r="B121" t="inlineStr">
        <is>
          <t>Panama</t>
        </is>
      </c>
      <c r="C121" t="n">
        <v>53</v>
      </c>
      <c r="D121" t="n">
        <v>0.404</v>
      </c>
      <c r="E121" s="74" t="n"/>
      <c r="F121" t="n">
        <v>0.0136</v>
      </c>
      <c r="G121" t="n">
        <v>0.0239</v>
      </c>
      <c r="H121" t="n">
        <v>0.185</v>
      </c>
      <c r="I121" t="n">
        <v>-0.09229999999999999</v>
      </c>
      <c r="J121" t="n">
        <v>0.6982</v>
      </c>
      <c r="K121" t="n">
        <v>2.3</v>
      </c>
      <c r="L121" t="n">
        <v>1</v>
      </c>
      <c r="M121" t="n">
        <v>4.3</v>
      </c>
    </row>
    <row r="122">
      <c r="B122" t="inlineStr">
        <is>
          <t>Serbia</t>
        </is>
      </c>
      <c r="C122" t="n">
        <v>53</v>
      </c>
      <c r="D122" t="n">
        <v>0.137</v>
      </c>
      <c r="E122" t="n">
        <v>0.013</v>
      </c>
      <c r="F122" t="n">
        <v>0.01</v>
      </c>
      <c r="G122" t="n">
        <v>0.043</v>
      </c>
      <c r="H122" t="n">
        <v>0.111</v>
      </c>
      <c r="I122" t="n">
        <v>-0.08400000000000001</v>
      </c>
      <c r="J122" t="n">
        <v>0.574</v>
      </c>
      <c r="K122" t="n">
        <v>-4.3</v>
      </c>
      <c r="L122" t="n">
        <v>105.49</v>
      </c>
      <c r="M122" t="n">
        <v>6.93</v>
      </c>
    </row>
    <row r="123" ht="16" customHeight="1" s="89" thickBot="1">
      <c r="B123" t="inlineStr">
        <is>
          <t>Congo</t>
        </is>
      </c>
      <c r="C123" t="n">
        <v>50</v>
      </c>
      <c r="D123" t="n">
        <v>-0.024</v>
      </c>
      <c r="F123" t="n">
        <v>0.08500000000000001</v>
      </c>
      <c r="G123" t="n">
        <v>0.0623</v>
      </c>
      <c r="H123" t="n">
        <v>0.461</v>
      </c>
      <c r="I123" t="n">
        <v>-0.012</v>
      </c>
      <c r="J123" t="n">
        <v>0.152</v>
      </c>
      <c r="K123" t="n">
        <v>-5.4</v>
      </c>
      <c r="L123" t="n">
        <v>1666.65</v>
      </c>
      <c r="M123" t="n">
        <v>89.39</v>
      </c>
    </row>
    <row r="124" ht="16" customHeight="1" s="89" thickBot="1">
      <c r="B124" t="inlineStr">
        <is>
          <t>Turkmenistan</t>
        </is>
      </c>
      <c r="C124" t="n">
        <v>45</v>
      </c>
      <c r="D124" t="n">
        <v>0.059</v>
      </c>
      <c r="E124" s="74" t="n"/>
      <c r="F124" s="74" t="n"/>
      <c r="G124" t="n">
        <v>0.1</v>
      </c>
      <c r="H124" t="n">
        <v>0.0438</v>
      </c>
      <c r="I124" t="n">
        <v>0.001</v>
      </c>
      <c r="J124" t="n">
        <v>0.309</v>
      </c>
      <c r="K124" t="n">
        <v>0.5</v>
      </c>
      <c r="L124" t="n">
        <v>3.5</v>
      </c>
      <c r="M124" t="n">
        <v>6</v>
      </c>
    </row>
    <row r="125">
      <c r="B125" t="inlineStr">
        <is>
          <t>Jordan</t>
        </is>
      </c>
      <c r="C125" t="n">
        <v>44</v>
      </c>
      <c r="D125" t="n">
        <v>0.003</v>
      </c>
      <c r="E125" s="74" t="n"/>
      <c r="F125" t="n">
        <v>0.025</v>
      </c>
      <c r="G125" t="n">
        <v>0.0201</v>
      </c>
      <c r="H125" t="n">
        <v>0.25</v>
      </c>
      <c r="I125" t="n">
        <v>-0.07000000000000001</v>
      </c>
      <c r="J125" t="n">
        <v>0.924</v>
      </c>
      <c r="K125" t="n">
        <v>-8</v>
      </c>
      <c r="L125" t="n">
        <v>0.71</v>
      </c>
      <c r="M125" t="n">
        <v>10.86</v>
      </c>
    </row>
    <row r="126" ht="16" customHeight="1" s="89" thickBot="1">
      <c r="B126" t="inlineStr">
        <is>
          <t>Azerbaijan</t>
        </is>
      </c>
      <c r="C126" t="n">
        <v>43</v>
      </c>
      <c r="D126" t="n">
        <v>0.3552</v>
      </c>
      <c r="F126" t="n">
        <v>0.065</v>
      </c>
      <c r="G126" t="n">
        <v>0.048</v>
      </c>
      <c r="H126" t="n">
        <v>0.06270000000000001</v>
      </c>
      <c r="I126" t="n">
        <v>-0.024</v>
      </c>
      <c r="J126" t="n">
        <v>0.201</v>
      </c>
      <c r="K126" t="n">
        <v>-0.5</v>
      </c>
      <c r="L126" t="n">
        <v>1.7</v>
      </c>
      <c r="M126" t="n">
        <v>10.07</v>
      </c>
    </row>
    <row r="127">
      <c r="B127" t="inlineStr">
        <is>
          <t>Cameroon</t>
        </is>
      </c>
      <c r="C127" t="n">
        <v>40</v>
      </c>
      <c r="D127" t="n">
        <v>0.008</v>
      </c>
      <c r="E127" s="75" t="n">
        <v>0.027</v>
      </c>
      <c r="F127" t="n">
        <v>0.0325</v>
      </c>
      <c r="G127" t="n">
        <v>0.0239</v>
      </c>
      <c r="H127" t="n">
        <v>0.036</v>
      </c>
      <c r="I127" t="n">
        <v>-0.049</v>
      </c>
      <c r="J127" t="n">
        <v>0.432</v>
      </c>
      <c r="K127" t="n">
        <v>-5.2</v>
      </c>
      <c r="L127" t="n">
        <v>551.3200000000001</v>
      </c>
      <c r="M127" t="n">
        <v>26.54</v>
      </c>
    </row>
    <row r="128">
      <c r="B128" t="inlineStr">
        <is>
          <t>Tunisia</t>
        </is>
      </c>
      <c r="C128" t="n">
        <v>39</v>
      </c>
      <c r="D128" t="n">
        <v>0.162</v>
      </c>
      <c r="E128" t="n">
        <v>-0.02</v>
      </c>
      <c r="F128" t="n">
        <v>0.0625</v>
      </c>
      <c r="G128" t="n">
        <v>0.062</v>
      </c>
      <c r="H128" t="n">
        <v>0.178</v>
      </c>
      <c r="I128" t="n">
        <v>-0.11</v>
      </c>
      <c r="J128" t="n">
        <v>0.876</v>
      </c>
      <c r="K128" t="n">
        <v>-6.9</v>
      </c>
      <c r="L128" t="n">
        <v>2.8</v>
      </c>
      <c r="M128" t="n">
        <v>11.81</v>
      </c>
    </row>
    <row r="129">
      <c r="B129" t="inlineStr">
        <is>
          <t>Bahrain</t>
        </is>
      </c>
      <c r="C129" t="n">
        <v>38</v>
      </c>
      <c r="D129" t="n">
        <v>-0.0211</v>
      </c>
      <c r="E129" t="n">
        <v>-0.001</v>
      </c>
      <c r="F129" t="n">
        <v>0.01</v>
      </c>
      <c r="G129" t="n">
        <v>0.003</v>
      </c>
      <c r="H129" t="n">
        <v>0.049</v>
      </c>
      <c r="I129" t="n">
        <v>-0.131</v>
      </c>
      <c r="J129" t="n">
        <v>1.283</v>
      </c>
      <c r="K129" t="n">
        <v>-2.1</v>
      </c>
      <c r="L129" t="n">
        <v>0.38</v>
      </c>
      <c r="M129" t="n">
        <v>1.7</v>
      </c>
    </row>
    <row r="130">
      <c r="B130" t="inlineStr">
        <is>
          <t>Bolivia</t>
        </is>
      </c>
      <c r="C130" t="n">
        <v>37</v>
      </c>
      <c r="D130" t="n">
        <v>-0.2168</v>
      </c>
      <c r="E130" t="n">
        <v>-0.062</v>
      </c>
      <c r="F130" t="n">
        <v>0.041</v>
      </c>
      <c r="G130" t="n">
        <v>0.002</v>
      </c>
      <c r="H130" t="n">
        <v>0.056</v>
      </c>
      <c r="I130" t="n">
        <v>-0.097</v>
      </c>
      <c r="J130" t="n">
        <v>0.673</v>
      </c>
      <c r="K130" t="n">
        <v>-0.5</v>
      </c>
      <c r="L130" t="n">
        <v>6.83</v>
      </c>
      <c r="M130" t="n">
        <v>11.68</v>
      </c>
    </row>
    <row r="131">
      <c r="B131" t="inlineStr">
        <is>
          <t>Uganda</t>
        </is>
      </c>
      <c r="C131" t="n">
        <v>37</v>
      </c>
      <c r="D131" t="n">
        <v>0.062</v>
      </c>
      <c r="E131" t="n">
        <v>-0.002</v>
      </c>
      <c r="F131" t="n">
        <v>0.065</v>
      </c>
      <c r="G131" t="n">
        <v>0.019</v>
      </c>
      <c r="H131" t="n">
        <v>0.0244</v>
      </c>
      <c r="I131" t="n">
        <v>-0.066</v>
      </c>
      <c r="J131" t="n">
        <v>0.498</v>
      </c>
      <c r="K131" t="n">
        <v>-6.4</v>
      </c>
      <c r="L131" t="n">
        <v>3665</v>
      </c>
      <c r="M131" t="n">
        <v>45.74</v>
      </c>
    </row>
    <row r="132" ht="16" customHeight="1" s="89" thickBot="1">
      <c r="B132" t="inlineStr">
        <is>
          <t>Paraguay</t>
        </is>
      </c>
      <c r="C132" t="n">
        <v>35</v>
      </c>
      <c r="D132" t="n">
        <v>0.06900000000000001</v>
      </c>
      <c r="E132" t="n">
        <v>0.005</v>
      </c>
      <c r="F132" t="n">
        <v>0.015</v>
      </c>
      <c r="G132" t="n">
        <v>0.056</v>
      </c>
      <c r="H132" t="n">
        <v>0.08599999999999999</v>
      </c>
      <c r="I132" t="n">
        <v>-0.073</v>
      </c>
      <c r="J132" t="n">
        <v>0.339</v>
      </c>
      <c r="K132" t="n">
        <v>2.2</v>
      </c>
      <c r="L132" t="n">
        <v>6838.31</v>
      </c>
      <c r="M132" t="n">
        <v>7.25</v>
      </c>
    </row>
    <row r="133">
      <c r="B133" t="inlineStr">
        <is>
          <t>Nepal</t>
        </is>
      </c>
      <c r="C133" t="n">
        <v>34</v>
      </c>
      <c r="D133" t="n">
        <v>0.04</v>
      </c>
      <c r="E133" s="74" t="n"/>
      <c r="F133" t="n">
        <v>0.05</v>
      </c>
      <c r="G133" t="n">
        <v>0.0435</v>
      </c>
      <c r="H133" t="n">
        <v>0.0444</v>
      </c>
      <c r="I133" t="n">
        <v>-0.054</v>
      </c>
      <c r="J133" t="n">
        <v>0.377</v>
      </c>
      <c r="K133" t="n">
        <v>-0.9</v>
      </c>
      <c r="L133" t="n">
        <v>113.59</v>
      </c>
      <c r="M133" t="n">
        <v>29.13</v>
      </c>
    </row>
    <row r="134" ht="16" customHeight="1" s="89" thickBot="1">
      <c r="B134" t="inlineStr">
        <is>
          <t>Latvia</t>
        </is>
      </c>
      <c r="C134" t="n">
        <v>34</v>
      </c>
      <c r="D134" t="n">
        <v>0.111</v>
      </c>
      <c r="E134" t="n">
        <v>0.044</v>
      </c>
      <c r="F134" t="n">
        <v>0</v>
      </c>
      <c r="G134" t="n">
        <v>0.037</v>
      </c>
      <c r="H134" t="n">
        <v>0.079</v>
      </c>
      <c r="I134" t="n">
        <v>-0.045</v>
      </c>
      <c r="J134" t="n">
        <v>0.435</v>
      </c>
      <c r="K134" t="n">
        <v>3</v>
      </c>
      <c r="L134" t="n">
        <v>1.11</v>
      </c>
      <c r="M134" t="n">
        <v>1.91</v>
      </c>
    </row>
    <row r="135">
      <c r="B135" t="inlineStr">
        <is>
          <t>Lebanon</t>
        </is>
      </c>
      <c r="C135" t="n">
        <v>33</v>
      </c>
      <c r="D135" t="n">
        <v>-0.203</v>
      </c>
      <c r="E135" s="74" t="n"/>
      <c r="F135" t="n">
        <v>0.1</v>
      </c>
      <c r="G135" t="n">
        <v>1.3775</v>
      </c>
      <c r="H135" t="n">
        <v>0.066</v>
      </c>
      <c r="I135" t="n">
        <v>-0.165</v>
      </c>
      <c r="J135" t="n">
        <v>1.717</v>
      </c>
      <c r="K135" t="n">
        <v>-22.2</v>
      </c>
      <c r="L135" t="n">
        <v>1512</v>
      </c>
      <c r="M135" t="n">
        <v>6.8</v>
      </c>
    </row>
    <row r="136">
      <c r="B136" t="inlineStr">
        <is>
          <t>Estonia</t>
        </is>
      </c>
      <c r="C136" t="n">
        <v>31</v>
      </c>
      <c r="D136" t="n">
        <v>0.129</v>
      </c>
      <c r="E136" t="n">
        <v>0.043</v>
      </c>
      <c r="F136" t="n">
        <v>0</v>
      </c>
      <c r="G136" t="n">
        <v>0.05</v>
      </c>
      <c r="H136" t="n">
        <v>0.06900000000000001</v>
      </c>
      <c r="I136" t="n">
        <v>-0.049</v>
      </c>
      <c r="J136" t="n">
        <v>0.182</v>
      </c>
      <c r="K136" t="n">
        <v>-0.6</v>
      </c>
      <c r="L136" t="n">
        <v>1.11</v>
      </c>
      <c r="M136" t="n">
        <v>1.33</v>
      </c>
    </row>
    <row r="137">
      <c r="B137" t="inlineStr">
        <is>
          <t>Sudan</t>
        </is>
      </c>
      <c r="C137" t="n">
        <v>26</v>
      </c>
      <c r="D137" t="n">
        <v>-0.08400000000000001</v>
      </c>
      <c r="F137" t="n">
        <v>0.196</v>
      </c>
      <c r="G137" t="n">
        <v>3.876</v>
      </c>
      <c r="H137" t="n">
        <v>0.177</v>
      </c>
      <c r="I137" t="n">
        <v>-0.124</v>
      </c>
      <c r="J137" t="n">
        <v>2.594</v>
      </c>
      <c r="K137" t="n">
        <v>-12.6</v>
      </c>
      <c r="L137" t="n">
        <v>45.11</v>
      </c>
      <c r="M137" t="n">
        <v>43.85</v>
      </c>
    </row>
    <row r="138">
      <c r="B138" t="inlineStr">
        <is>
          <t>El Salvador</t>
        </is>
      </c>
      <c r="C138" t="n">
        <v>25</v>
      </c>
      <c r="D138" t="n">
        <v>0.033</v>
      </c>
      <c r="E138" t="n">
        <v>0.037</v>
      </c>
      <c r="F138" t="n">
        <v>0.0387</v>
      </c>
      <c r="G138" t="n">
        <v>0.043</v>
      </c>
      <c r="H138" t="n">
        <v>0.06900000000000001</v>
      </c>
      <c r="I138" t="n">
        <v>-0.092</v>
      </c>
      <c r="J138" t="n">
        <v>0.9016999999999999</v>
      </c>
      <c r="K138" t="n">
        <v>0.5</v>
      </c>
      <c r="L138" t="n">
        <v>98.56</v>
      </c>
      <c r="M138" t="n">
        <v>6.49</v>
      </c>
    </row>
    <row r="139" ht="16" customHeight="1" s="89" thickBot="1">
      <c r="B139" t="inlineStr">
        <is>
          <t>Cambodia</t>
        </is>
      </c>
      <c r="C139" t="n">
        <v>25</v>
      </c>
      <c r="D139" t="n">
        <v>-0.031</v>
      </c>
      <c r="F139" t="n">
        <v>0.0061</v>
      </c>
      <c r="G139" t="n">
        <v>0.027</v>
      </c>
      <c r="H139" t="n">
        <v>0.0031</v>
      </c>
      <c r="I139" t="n">
        <v>-0.026</v>
      </c>
      <c r="J139" t="n">
        <v>0.315</v>
      </c>
      <c r="K139" t="n">
        <v>-11.9</v>
      </c>
      <c r="L139" t="n">
        <v>4061</v>
      </c>
      <c r="M139" t="n">
        <v>16.71</v>
      </c>
    </row>
    <row r="140">
      <c r="B140" t="inlineStr">
        <is>
          <t>Libya</t>
        </is>
      </c>
      <c r="C140" t="n">
        <v>25</v>
      </c>
      <c r="D140" t="n">
        <v>-0.603</v>
      </c>
      <c r="E140" s="74" t="n"/>
      <c r="F140" t="n">
        <v>0.03</v>
      </c>
      <c r="G140" t="n">
        <v>0.0208</v>
      </c>
      <c r="H140" t="n">
        <v>0.1863</v>
      </c>
      <c r="I140" t="n">
        <v>-1.03</v>
      </c>
      <c r="J140" t="n">
        <v>1.55</v>
      </c>
      <c r="K140" t="n">
        <v>9.300000000000001</v>
      </c>
      <c r="L140" t="n">
        <v>1.39</v>
      </c>
      <c r="M140" t="n">
        <v>6.87</v>
      </c>
    </row>
    <row r="141" ht="16" customHeight="1" s="89" thickBot="1">
      <c r="B141" t="inlineStr">
        <is>
          <t>Senegal</t>
        </is>
      </c>
      <c r="C141" t="n">
        <v>25</v>
      </c>
      <c r="D141" t="n">
        <v>0.051</v>
      </c>
      <c r="E141" t="n">
        <v>0.008999999999999999</v>
      </c>
      <c r="F141" t="n">
        <v>0.04</v>
      </c>
      <c r="G141" t="n">
        <v>0.026</v>
      </c>
      <c r="H141" t="n">
        <v>0.226</v>
      </c>
      <c r="I141" t="n">
        <v>-0.06</v>
      </c>
      <c r="J141" t="n">
        <v>0.477</v>
      </c>
      <c r="K141" t="n">
        <v>-10.3</v>
      </c>
      <c r="L141" t="n">
        <v>588.96</v>
      </c>
      <c r="M141" t="n">
        <v>16.7</v>
      </c>
    </row>
    <row r="142">
      <c r="B142" t="inlineStr">
        <is>
          <t>Papua New Guinea</t>
        </is>
      </c>
      <c r="C142" t="n">
        <v>24</v>
      </c>
      <c r="D142" t="n">
        <v>-0.038</v>
      </c>
      <c r="E142" s="74" t="n"/>
      <c r="F142" t="n">
        <v>0.03</v>
      </c>
      <c r="G142" t="n">
        <v>0.033</v>
      </c>
      <c r="H142" t="n">
        <v>0.027</v>
      </c>
      <c r="I142" t="n">
        <v>-0.081</v>
      </c>
      <c r="J142" t="n">
        <v>0.489</v>
      </c>
      <c r="K142" t="n">
        <v>16.9</v>
      </c>
      <c r="L142" t="n">
        <v>3.41</v>
      </c>
      <c r="M142" t="n">
        <v>8.949999999999999</v>
      </c>
    </row>
    <row r="143">
      <c r="B143" t="inlineStr">
        <is>
          <t>Honduras</t>
        </is>
      </c>
      <c r="C143" t="n">
        <v>24</v>
      </c>
      <c r="D143" t="n">
        <v>0.013</v>
      </c>
      <c r="E143" t="n">
        <v>0.062</v>
      </c>
      <c r="F143" t="n">
        <v>0.03</v>
      </c>
      <c r="G143" t="n">
        <v>0.0448</v>
      </c>
      <c r="H143" t="n">
        <v>0.109</v>
      </c>
      <c r="I143" t="n">
        <v>-0.06900000000000001</v>
      </c>
      <c r="J143" t="n">
        <v>0.5486</v>
      </c>
      <c r="K143" t="n">
        <v>4</v>
      </c>
      <c r="L143" t="n">
        <v>24.6</v>
      </c>
      <c r="M143" t="n">
        <v>9.300000000000001</v>
      </c>
    </row>
    <row r="144" ht="16" customHeight="1" s="89" thickBot="1">
      <c r="B144" t="inlineStr">
        <is>
          <t>Cyprus</t>
        </is>
      </c>
      <c r="C144" t="n">
        <v>24</v>
      </c>
      <c r="D144" t="n">
        <v>0.129</v>
      </c>
      <c r="E144" t="n">
        <v>0.002</v>
      </c>
      <c r="F144" t="n">
        <v>0</v>
      </c>
      <c r="G144" t="n">
        <v>0.0504</v>
      </c>
      <c r="H144" t="n">
        <v>0.052</v>
      </c>
      <c r="I144" t="n">
        <v>-0.057</v>
      </c>
      <c r="J144" t="n">
        <v>1.182</v>
      </c>
      <c r="K144" t="n">
        <v>-11.9</v>
      </c>
      <c r="L144" t="n">
        <v>1.11</v>
      </c>
      <c r="M144" t="n">
        <v>0.89</v>
      </c>
    </row>
    <row r="145" ht="16" customHeight="1" s="89" thickBot="1">
      <c r="B145" t="inlineStr">
        <is>
          <t>Yemen</t>
        </is>
      </c>
      <c r="C145" t="n">
        <v>23</v>
      </c>
      <c r="D145" t="n">
        <v>-0.005</v>
      </c>
      <c r="E145" s="74" t="n"/>
      <c r="F145" t="n">
        <v>0.27</v>
      </c>
      <c r="G145" t="n">
        <v>0.0077</v>
      </c>
      <c r="H145" t="n">
        <v>0.1342</v>
      </c>
      <c r="I145" t="n">
        <v>-0.044</v>
      </c>
      <c r="J145" t="n">
        <v>0.8169999999999999</v>
      </c>
      <c r="K145" t="n">
        <v>-0.01</v>
      </c>
      <c r="L145" t="n">
        <v>246.5</v>
      </c>
      <c r="M145" t="n">
        <v>29.82</v>
      </c>
    </row>
    <row r="146">
      <c r="B146" t="inlineStr">
        <is>
          <t>Trinidad and Tobago</t>
        </is>
      </c>
      <c r="C146" t="n">
        <v>22</v>
      </c>
      <c r="D146" t="n">
        <v>-0.077</v>
      </c>
      <c r="E146" s="87" t="n">
        <v>0.051</v>
      </c>
      <c r="F146" t="n">
        <v>0.035</v>
      </c>
      <c r="G146" t="n">
        <v>0.018</v>
      </c>
      <c r="H146" t="n">
        <v>0.051</v>
      </c>
      <c r="I146" t="n">
        <v>-0.112</v>
      </c>
      <c r="J146" t="n">
        <v>0.827</v>
      </c>
      <c r="K146" t="n">
        <v>2.3</v>
      </c>
      <c r="L146" t="n">
        <v>6.74</v>
      </c>
      <c r="M146" t="n">
        <v>1.37</v>
      </c>
    </row>
    <row r="147" ht="16" customHeight="1" s="89" thickBot="1">
      <c r="B147" t="inlineStr">
        <is>
          <t>Iceland</t>
        </is>
      </c>
      <c r="C147" t="n">
        <v>22</v>
      </c>
      <c r="D147" t="n">
        <v>0.073</v>
      </c>
      <c r="E147" t="n">
        <v>0.042</v>
      </c>
      <c r="F147" t="n">
        <v>0.0125</v>
      </c>
      <c r="G147" t="n">
        <v>0.044</v>
      </c>
      <c r="H147" t="n">
        <v>0.051</v>
      </c>
      <c r="I147" t="n">
        <v>-0.073</v>
      </c>
      <c r="J147" t="n">
        <v>0.799</v>
      </c>
      <c r="K147" t="n">
        <v>1</v>
      </c>
      <c r="L147" t="n">
        <v>124.24</v>
      </c>
      <c r="M147" t="n">
        <v>0.36</v>
      </c>
    </row>
    <row r="148" ht="16" customHeight="1" s="89" thickBot="1">
      <c r="B148" t="inlineStr">
        <is>
          <t>Bosnia and Herzegovina</t>
        </is>
      </c>
      <c r="C148" t="n">
        <v>20</v>
      </c>
      <c r="D148" t="n">
        <v>0.015</v>
      </c>
      <c r="E148" s="88" t="n">
        <v>0.046</v>
      </c>
      <c r="F148" t="n">
        <v>0.0302</v>
      </c>
      <c r="G148" t="n">
        <v>0.023</v>
      </c>
      <c r="H148" t="n">
        <v>0.3254</v>
      </c>
      <c r="I148" t="n">
        <v>0.019</v>
      </c>
      <c r="J148" t="n">
        <v>0.246</v>
      </c>
      <c r="K148" t="n">
        <v>-3.1</v>
      </c>
      <c r="L148" t="n">
        <v>1.77</v>
      </c>
      <c r="M148" t="n">
        <v>3.28</v>
      </c>
    </row>
    <row r="149" ht="16" customHeight="1" s="89" thickBot="1">
      <c r="B149" t="inlineStr">
        <is>
          <t>Afghanistan</t>
        </is>
      </c>
      <c r="C149" t="n">
        <v>20</v>
      </c>
      <c r="D149" t="n">
        <v>-0.0193</v>
      </c>
      <c r="E149" s="74" t="n"/>
      <c r="F149" t="n">
        <v>0.15</v>
      </c>
      <c r="G149" t="n">
        <v>0.0156</v>
      </c>
      <c r="H149" t="n">
        <v>0.112</v>
      </c>
      <c r="I149" t="n">
        <v>-0.034</v>
      </c>
      <c r="J149" t="n">
        <v>0.078</v>
      </c>
      <c r="K149" t="n">
        <v>-21.2</v>
      </c>
      <c r="L149" t="n">
        <v>78.40000000000001</v>
      </c>
      <c r="M149" t="n">
        <v>33.2</v>
      </c>
    </row>
    <row r="150" ht="16" customHeight="1" s="89" thickBot="1">
      <c r="B150" t="inlineStr">
        <is>
          <t>Laos</t>
        </is>
      </c>
      <c r="C150" t="n">
        <v>19</v>
      </c>
      <c r="D150" t="n">
        <v>0.004</v>
      </c>
      <c r="E150" s="74" t="n"/>
      <c r="F150" t="n">
        <v>0.03</v>
      </c>
      <c r="G150" t="n">
        <v>0.047</v>
      </c>
      <c r="H150" t="n">
        <v>0.01</v>
      </c>
      <c r="I150" t="n">
        <v>-0.0522</v>
      </c>
      <c r="J150" t="n">
        <v>0.5566</v>
      </c>
      <c r="K150" t="n">
        <v>-0.6</v>
      </c>
      <c r="L150" t="n">
        <v>9485</v>
      </c>
      <c r="M150" t="n">
        <v>7.3</v>
      </c>
    </row>
    <row r="151" ht="16" customHeight="1" s="89" thickBot="1">
      <c r="B151" t="inlineStr">
        <is>
          <t>Zambia</t>
        </is>
      </c>
      <c r="C151" t="n">
        <v>19</v>
      </c>
      <c r="D151" t="n">
        <v>0.007</v>
      </c>
      <c r="E151" s="74" t="n"/>
      <c r="F151" t="n">
        <v>0.08500000000000001</v>
      </c>
      <c r="G151" t="n">
        <v>0.244</v>
      </c>
      <c r="H151" t="n">
        <v>0.122</v>
      </c>
      <c r="I151" t="n">
        <v>-0.11</v>
      </c>
      <c r="J151" t="n">
        <v>0.96</v>
      </c>
      <c r="K151" t="n">
        <v>12.2</v>
      </c>
      <c r="L151" t="n">
        <v>22.64</v>
      </c>
      <c r="M151" t="n">
        <v>17.88</v>
      </c>
    </row>
    <row r="152" ht="16" customHeight="1" s="89" thickBot="1">
      <c r="B152" t="inlineStr">
        <is>
          <t>Zimbabwe</t>
        </is>
      </c>
      <c r="C152" t="n">
        <v>17</v>
      </c>
      <c r="D152" t="n">
        <v>-0.041</v>
      </c>
      <c r="E152" s="74" t="n"/>
      <c r="F152" t="n">
        <v>0.4</v>
      </c>
      <c r="G152" t="n">
        <v>0.5155</v>
      </c>
      <c r="H152" t="n">
        <v>0.057</v>
      </c>
      <c r="I152" t="n">
        <v>-0.015</v>
      </c>
      <c r="J152" t="n">
        <v>0.772</v>
      </c>
      <c r="K152" t="n">
        <v>-1.9</v>
      </c>
      <c r="L152" t="n">
        <v>16.36</v>
      </c>
      <c r="M152" t="n">
        <v>14.86</v>
      </c>
    </row>
    <row r="153" ht="16" customHeight="1" s="89" thickBot="1">
      <c r="B153" t="inlineStr">
        <is>
          <t>Mali</t>
        </is>
      </c>
      <c r="C153" t="n">
        <v>17</v>
      </c>
      <c r="D153" t="n">
        <v>0.029</v>
      </c>
      <c r="E153" s="74" t="n"/>
      <c r="F153" t="n">
        <v>0.04</v>
      </c>
      <c r="G153" t="n">
        <v>0.02</v>
      </c>
      <c r="H153" t="n">
        <v>0.075</v>
      </c>
      <c r="I153" t="n">
        <v>-0.061</v>
      </c>
      <c r="J153" s="74" t="n"/>
      <c r="K153" t="n">
        <v>-1.7</v>
      </c>
      <c r="L153" t="n">
        <v>588.96</v>
      </c>
      <c r="M153" t="n">
        <v>20.25</v>
      </c>
    </row>
    <row r="154">
      <c r="B154" t="inlineStr">
        <is>
          <t>Burkina Faso</t>
        </is>
      </c>
      <c r="C154" t="n">
        <v>17</v>
      </c>
      <c r="D154" t="n">
        <v>0.147</v>
      </c>
      <c r="E154" s="74" t="n"/>
      <c r="F154" t="n">
        <v>0.04</v>
      </c>
      <c r="G154" t="n">
        <v>0.035</v>
      </c>
      <c r="H154" t="n">
        <v>0.05</v>
      </c>
      <c r="I154" t="n">
        <v>-0.054</v>
      </c>
      <c r="J154" t="n">
        <v>0.25</v>
      </c>
      <c r="K154" t="n">
        <v>1.2</v>
      </c>
      <c r="L154" t="n">
        <v>588.96</v>
      </c>
      <c r="M154" t="n">
        <v>21.51</v>
      </c>
    </row>
    <row r="155" ht="16" customHeight="1" s="89" thickBot="1">
      <c r="B155" t="inlineStr">
        <is>
          <t>Botswana</t>
        </is>
      </c>
      <c r="C155" t="n">
        <v>16</v>
      </c>
      <c r="D155" t="n">
        <v>0.007</v>
      </c>
      <c r="E155" t="n">
        <v>0.05</v>
      </c>
      <c r="F155" t="n">
        <v>0.0375</v>
      </c>
      <c r="G155" t="n">
        <v>0.08799999999999999</v>
      </c>
      <c r="H155" t="n">
        <v>0.233</v>
      </c>
      <c r="I155" t="n">
        <v>-0.056</v>
      </c>
      <c r="J155" t="n">
        <v>0.182</v>
      </c>
      <c r="K155" t="n">
        <v>-11.2</v>
      </c>
      <c r="L155" t="n">
        <v>11.03</v>
      </c>
      <c r="M155" t="n">
        <v>2.37</v>
      </c>
    </row>
    <row r="156" ht="16" customHeight="1" s="89" thickBot="1">
      <c r="B156" t="inlineStr">
        <is>
          <t>Benin</t>
        </is>
      </c>
      <c r="C156" t="n">
        <v>16</v>
      </c>
      <c r="D156" t="n">
        <v>0.039</v>
      </c>
      <c r="E156" s="74" t="n"/>
      <c r="F156" t="n">
        <v>0.04</v>
      </c>
      <c r="G156" t="n">
        <v>0.014</v>
      </c>
      <c r="H156" t="n">
        <v>0.025</v>
      </c>
      <c r="I156" t="n">
        <v>-0.037</v>
      </c>
      <c r="J156" t="n">
        <v>0.461</v>
      </c>
      <c r="K156" t="n">
        <v>-5.5</v>
      </c>
      <c r="L156" t="n">
        <v>588.96</v>
      </c>
      <c r="M156" t="n">
        <v>12.11</v>
      </c>
    </row>
    <row r="157" ht="16" customHeight="1" s="89" thickBot="1">
      <c r="B157" t="inlineStr">
        <is>
          <t>Guinea</t>
        </is>
      </c>
      <c r="C157" t="n">
        <v>16</v>
      </c>
      <c r="D157" t="n">
        <v>0.07000000000000001</v>
      </c>
      <c r="E157" s="74" t="n"/>
      <c r="F157" t="n">
        <v>0.115</v>
      </c>
      <c r="G157" t="n">
        <v>0.1348</v>
      </c>
      <c r="H157" t="n">
        <v>0.044</v>
      </c>
      <c r="I157" t="n">
        <v>-0.031</v>
      </c>
      <c r="J157" t="n">
        <v>0.4</v>
      </c>
      <c r="K157" t="n">
        <v>-13.3</v>
      </c>
      <c r="L157" t="n">
        <v>9537</v>
      </c>
      <c r="M157" t="n">
        <v>12.56</v>
      </c>
    </row>
    <row r="158">
      <c r="B158" t="inlineStr">
        <is>
          <t>Georgia</t>
        </is>
      </c>
      <c r="C158" t="n">
        <v>16</v>
      </c>
      <c r="D158" t="n">
        <v>0.299</v>
      </c>
      <c r="E158" s="74" t="n"/>
      <c r="F158" t="n">
        <v>0.1</v>
      </c>
      <c r="G158" t="n">
        <v>0.128</v>
      </c>
      <c r="H158" t="n">
        <v>0.185</v>
      </c>
      <c r="I158" t="n">
        <v>-0.093</v>
      </c>
      <c r="J158" t="n">
        <v>0.624</v>
      </c>
      <c r="K158" t="n">
        <v>-12.3</v>
      </c>
      <c r="L158" t="n">
        <v>2.89</v>
      </c>
      <c r="M158" t="n">
        <v>3.73</v>
      </c>
    </row>
    <row r="159" ht="16" customHeight="1" s="89" thickBot="1">
      <c r="B159" t="inlineStr">
        <is>
          <t>Gabon</t>
        </is>
      </c>
      <c r="C159" t="n">
        <v>16</v>
      </c>
      <c r="D159" t="n">
        <v>-0.018</v>
      </c>
      <c r="F159" t="n">
        <v>0.0325</v>
      </c>
      <c r="G159" t="n">
        <v>0.008999999999999999</v>
      </c>
      <c r="H159" t="n">
        <v>0.205</v>
      </c>
      <c r="I159" t="n">
        <v>-0.05</v>
      </c>
      <c r="J159" t="n">
        <v>0.725</v>
      </c>
      <c r="K159" t="n">
        <v>-9.5</v>
      </c>
      <c r="L159" t="n">
        <v>551.3200000000001</v>
      </c>
      <c r="M159" t="n">
        <v>2.22</v>
      </c>
    </row>
    <row r="160">
      <c r="B160" t="inlineStr">
        <is>
          <t>Palestine</t>
        </is>
      </c>
      <c r="C160" t="n">
        <v>16</v>
      </c>
      <c r="D160" t="n">
        <v>-0.06</v>
      </c>
      <c r="E160" s="74" t="n"/>
      <c r="F160" s="74" t="n"/>
      <c r="G160" t="n">
        <v>0.0255</v>
      </c>
      <c r="H160" t="n">
        <v>0.264</v>
      </c>
      <c r="I160" t="n">
        <v>-0.005</v>
      </c>
      <c r="J160" t="n">
        <v>0.164</v>
      </c>
      <c r="K160" t="n">
        <v>-10.7</v>
      </c>
      <c r="M160" t="n">
        <v>5.1</v>
      </c>
    </row>
    <row r="161">
      <c r="B161" t="inlineStr">
        <is>
          <t>Malta</t>
        </is>
      </c>
      <c r="C161" t="n">
        <v>15</v>
      </c>
      <c r="D161" t="n">
        <v>0.134</v>
      </c>
      <c r="E161" t="n">
        <v>-0.005</v>
      </c>
      <c r="F161" t="n">
        <v>0</v>
      </c>
      <c r="G161" t="n">
        <v>0.004</v>
      </c>
      <c r="H161" t="n">
        <v>0.035</v>
      </c>
      <c r="I161" t="n">
        <v>-0.101</v>
      </c>
      <c r="J161" t="n">
        <v>0.543</v>
      </c>
      <c r="K161" t="n">
        <v>-4</v>
      </c>
      <c r="L161" t="n">
        <v>1.11</v>
      </c>
      <c r="M161" t="n">
        <v>0.51</v>
      </c>
    </row>
    <row r="162" ht="16" customHeight="1" s="89" thickBot="1">
      <c r="B162" t="inlineStr">
        <is>
          <t>Albania</t>
        </is>
      </c>
      <c r="C162" t="n">
        <v>15</v>
      </c>
      <c r="D162" t="n">
        <v>0.0553</v>
      </c>
      <c r="E162" t="n">
        <v>0.023</v>
      </c>
      <c r="F162" t="n">
        <v>0.005</v>
      </c>
      <c r="G162" t="n">
        <v>0.024</v>
      </c>
      <c r="H162" t="n">
        <v>0.121</v>
      </c>
      <c r="I162" t="n">
        <v>-0.06900000000000001</v>
      </c>
      <c r="J162" t="n">
        <v>0.659</v>
      </c>
      <c r="K162" t="n">
        <v>-8.9</v>
      </c>
      <c r="L162" t="n">
        <v>109.97</v>
      </c>
      <c r="M162" t="n">
        <v>2.85</v>
      </c>
    </row>
    <row r="163">
      <c r="B163" t="inlineStr">
        <is>
          <t>Madagascar</t>
        </is>
      </c>
      <c r="C163" t="n">
        <v>14</v>
      </c>
      <c r="D163" t="n">
        <v>-0.04</v>
      </c>
      <c r="E163" s="74" t="n"/>
      <c r="F163" t="n">
        <v>0.095</v>
      </c>
      <c r="G163" t="n">
        <v>0.0625</v>
      </c>
      <c r="H163" t="n">
        <v>0.019</v>
      </c>
      <c r="I163" t="n">
        <v>-0.063</v>
      </c>
      <c r="J163" t="n">
        <v>0.448</v>
      </c>
      <c r="K163" t="n">
        <v>-3.5</v>
      </c>
      <c r="L163" t="n">
        <v>3680.5</v>
      </c>
      <c r="M163" t="n">
        <v>27.69</v>
      </c>
    </row>
    <row r="164">
      <c r="B164" t="inlineStr">
        <is>
          <t>Jamaica</t>
        </is>
      </c>
      <c r="C164" t="n">
        <v>14</v>
      </c>
      <c r="D164" t="n">
        <v>-0.067</v>
      </c>
      <c r="E164" t="n">
        <v>0.006</v>
      </c>
      <c r="F164" t="n">
        <v>0.005</v>
      </c>
      <c r="G164" t="n">
        <v>0.053</v>
      </c>
      <c r="H164" t="n">
        <v>0.089</v>
      </c>
      <c r="I164" t="n">
        <v>-0.039</v>
      </c>
      <c r="J164" t="n">
        <v>1.101</v>
      </c>
      <c r="K164" t="n">
        <v>0.2</v>
      </c>
      <c r="L164" t="n">
        <v>133.91</v>
      </c>
      <c r="M164" t="n">
        <v>2.96</v>
      </c>
    </row>
    <row r="165">
      <c r="B165" t="inlineStr">
        <is>
          <t>Mozambique</t>
        </is>
      </c>
      <c r="C165" t="n">
        <v>14</v>
      </c>
      <c r="D165" t="n">
        <v>0.0197</v>
      </c>
      <c r="E165" t="n">
        <v>0.02</v>
      </c>
      <c r="F165" t="n">
        <v>0.1325</v>
      </c>
      <c r="G165" t="n">
        <v>0.0561</v>
      </c>
      <c r="H165" t="n">
        <v>0.2504</v>
      </c>
      <c r="I165" t="n">
        <v>-0.117</v>
      </c>
      <c r="J165" t="n">
        <v>1.22</v>
      </c>
      <c r="K165" t="n">
        <v>-30.8</v>
      </c>
      <c r="L165" t="n">
        <v>63</v>
      </c>
      <c r="M165" t="n">
        <v>30.83</v>
      </c>
    </row>
    <row r="166">
      <c r="B166" t="inlineStr">
        <is>
          <t>Niger</t>
        </is>
      </c>
      <c r="C166" t="n">
        <v>14</v>
      </c>
      <c r="D166" t="n">
        <v>0.03</v>
      </c>
      <c r="F166" t="n">
        <v>0.04</v>
      </c>
      <c r="G166" t="n">
        <v>0.039</v>
      </c>
      <c r="H166" t="n">
        <v>0.007</v>
      </c>
      <c r="I166" t="n">
        <v>-0.057</v>
      </c>
      <c r="J166" t="n">
        <v>0.398</v>
      </c>
      <c r="K166" t="n">
        <v>-12</v>
      </c>
      <c r="L166" t="n">
        <v>588.96</v>
      </c>
      <c r="M166" t="n">
        <v>24.2</v>
      </c>
    </row>
    <row r="167" ht="16" customHeight="1" s="89" thickBot="1">
      <c r="B167" t="inlineStr">
        <is>
          <t>Mongolia</t>
        </is>
      </c>
      <c r="C167" t="n">
        <v>13</v>
      </c>
      <c r="D167" t="n">
        <v>0.063</v>
      </c>
      <c r="E167" t="n">
        <v>0.061</v>
      </c>
      <c r="F167" t="n">
        <v>0.06</v>
      </c>
      <c r="G167" t="n">
        <v>0.089</v>
      </c>
      <c r="H167" t="n">
        <v>0.08400000000000001</v>
      </c>
      <c r="I167" t="n">
        <v>-0.115</v>
      </c>
      <c r="J167" t="n">
        <v>0.66</v>
      </c>
      <c r="K167" t="n">
        <v>-12.3</v>
      </c>
      <c r="L167" t="n">
        <v>2728</v>
      </c>
      <c r="M167" t="n">
        <v>3.27</v>
      </c>
    </row>
    <row r="168">
      <c r="B168" t="inlineStr">
        <is>
          <t>Nicaragua</t>
        </is>
      </c>
      <c r="C168" t="n">
        <v>13</v>
      </c>
      <c r="D168" t="n">
        <v>0.034</v>
      </c>
      <c r="E168" s="74" t="n"/>
      <c r="F168" s="81" t="n">
        <v>0.0959</v>
      </c>
      <c r="G168" t="n">
        <v>0.0412</v>
      </c>
      <c r="H168" t="n">
        <v>0.049</v>
      </c>
      <c r="I168" t="n">
        <v>-0.01</v>
      </c>
      <c r="J168" t="n">
        <v>0.648</v>
      </c>
      <c r="K168" t="n">
        <v>7.6</v>
      </c>
      <c r="L168" t="n">
        <v>33.47</v>
      </c>
      <c r="M168" t="n">
        <v>6.67</v>
      </c>
    </row>
    <row r="169" ht="16" customHeight="1" s="89" thickBot="1">
      <c r="B169" t="inlineStr">
        <is>
          <t>Armenia</t>
        </is>
      </c>
      <c r="C169" t="n">
        <v>13</v>
      </c>
      <c r="D169" t="n">
        <v>0.131</v>
      </c>
      <c r="F169" t="n">
        <v>0.0725</v>
      </c>
      <c r="G169" t="n">
        <v>0.08799999999999999</v>
      </c>
      <c r="H169" t="n">
        <v>0.17</v>
      </c>
      <c r="I169" t="n">
        <v>-0.054</v>
      </c>
      <c r="J169" t="n">
        <v>0.6279</v>
      </c>
      <c r="K169" t="n">
        <v>-4</v>
      </c>
      <c r="L169" t="n">
        <v>495.16</v>
      </c>
      <c r="M169" t="n">
        <v>2.96</v>
      </c>
    </row>
    <row r="170" ht="16" customHeight="1" s="89" thickBot="1">
      <c r="B170" t="inlineStr">
        <is>
          <t>Haiti</t>
        </is>
      </c>
      <c r="C170" t="n">
        <v>13</v>
      </c>
      <c r="D170" t="n">
        <v>-0.033</v>
      </c>
      <c r="E170" s="74" t="n"/>
      <c r="F170" t="n">
        <v>0.17</v>
      </c>
      <c r="G170" t="n">
        <v>0.122</v>
      </c>
      <c r="H170" t="n">
        <v>0.145</v>
      </c>
      <c r="I170" t="n">
        <v>-0.059</v>
      </c>
      <c r="J170" t="n">
        <v>0.544</v>
      </c>
      <c r="K170" t="n">
        <v>5.5</v>
      </c>
      <c r="L170" t="n">
        <v>88.70999999999999</v>
      </c>
      <c r="M170" t="n">
        <v>11.4</v>
      </c>
    </row>
    <row r="171">
      <c r="B171" t="inlineStr">
        <is>
          <t>Brunei</t>
        </is>
      </c>
      <c r="C171" t="n">
        <v>12</v>
      </c>
      <c r="D171" t="n">
        <v>-0.014</v>
      </c>
      <c r="E171" s="74" t="n"/>
      <c r="F171" t="n">
        <v>0.055</v>
      </c>
      <c r="G171" t="n">
        <v>0.017</v>
      </c>
      <c r="H171" t="n">
        <v>0.08400000000000001</v>
      </c>
      <c r="I171" t="n">
        <v>-0.027</v>
      </c>
      <c r="J171" t="n">
        <v>0.032</v>
      </c>
      <c r="K171" t="n">
        <v>1</v>
      </c>
      <c r="L171" t="n">
        <v>1.35</v>
      </c>
      <c r="M171" t="n">
        <v>0.45</v>
      </c>
    </row>
    <row r="172">
      <c r="B172" t="inlineStr">
        <is>
          <t>Malawi</t>
        </is>
      </c>
      <c r="C172" t="n">
        <v>12</v>
      </c>
      <c r="D172" t="n">
        <v>0.008999999999999999</v>
      </c>
      <c r="F172" t="n">
        <v>0.12</v>
      </c>
      <c r="G172" t="n">
        <v>0.08400000000000001</v>
      </c>
      <c r="H172" t="n">
        <v>0.06</v>
      </c>
      <c r="I172" t="n">
        <v>-0.057</v>
      </c>
      <c r="J172" t="n">
        <v>0.507</v>
      </c>
      <c r="K172" t="n">
        <v>-12.1</v>
      </c>
      <c r="L172" t="n">
        <v>734.11</v>
      </c>
      <c r="M172" t="n">
        <v>19.13</v>
      </c>
    </row>
    <row r="173">
      <c r="B173" t="inlineStr">
        <is>
          <t>Moldova</t>
        </is>
      </c>
      <c r="C173" t="n">
        <v>12</v>
      </c>
      <c r="D173" t="n">
        <v>0.215</v>
      </c>
      <c r="E173" t="n">
        <v>0.025</v>
      </c>
      <c r="F173" t="n">
        <v>0.0465</v>
      </c>
      <c r="G173" t="n">
        <v>0.046</v>
      </c>
      <c r="H173" t="n">
        <v>0.036</v>
      </c>
      <c r="I173" t="n">
        <v>-0.08</v>
      </c>
      <c r="J173" t="n">
        <v>0.329</v>
      </c>
      <c r="K173" t="n">
        <v>-6.7</v>
      </c>
      <c r="L173" t="n">
        <v>17.97</v>
      </c>
      <c r="M173" t="n">
        <v>2.61</v>
      </c>
    </row>
    <row r="174">
      <c r="B174" t="inlineStr">
        <is>
          <t>Macedonia</t>
        </is>
      </c>
      <c r="C174" t="n">
        <v>12</v>
      </c>
      <c r="D174" t="n">
        <v>0.131</v>
      </c>
      <c r="E174" t="n">
        <v>0.039</v>
      </c>
      <c r="F174" t="n">
        <v>0.0125</v>
      </c>
      <c r="G174" t="n">
        <v>0.036</v>
      </c>
      <c r="H174" t="n">
        <v>0.159</v>
      </c>
      <c r="I174" t="n">
        <v>-0.081</v>
      </c>
      <c r="J174" t="n">
        <v>0.512</v>
      </c>
      <c r="K174" t="n">
        <v>-3.5</v>
      </c>
      <c r="L174" t="n">
        <v>51.93</v>
      </c>
      <c r="M174" t="n">
        <v>2.08</v>
      </c>
    </row>
    <row r="175">
      <c r="B175" t="inlineStr">
        <is>
          <t>Mauritius</t>
        </is>
      </c>
      <c r="C175" t="n">
        <v>11</v>
      </c>
      <c r="D175" t="n">
        <v>-0.08699999999999999</v>
      </c>
      <c r="E175" t="n">
        <v>-0.026</v>
      </c>
      <c r="F175" t="n">
        <v>0.0185</v>
      </c>
      <c r="G175" t="n">
        <v>0.06</v>
      </c>
      <c r="H175" t="n">
        <v>0.098</v>
      </c>
      <c r="I175" t="n">
        <v>-0.136</v>
      </c>
      <c r="J175" t="n">
        <v>0.734</v>
      </c>
      <c r="K175" t="n">
        <v>-10.1</v>
      </c>
      <c r="L175" t="n">
        <v>42.9</v>
      </c>
      <c r="M175" t="n">
        <v>1.27</v>
      </c>
    </row>
    <row r="176" ht="16" customHeight="1" s="89" thickBot="1">
      <c r="B176" t="inlineStr">
        <is>
          <t>Namibia</t>
        </is>
      </c>
      <c r="C176" t="n">
        <v>11</v>
      </c>
      <c r="D176" t="n">
        <v>0.016</v>
      </c>
      <c r="E176" t="n">
        <v>0.0225</v>
      </c>
      <c r="F176" t="n">
        <v>0.0375</v>
      </c>
      <c r="G176" t="n">
        <v>0.034</v>
      </c>
      <c r="H176" t="n">
        <v>0.334</v>
      </c>
      <c r="I176" t="n">
        <v>-0.095</v>
      </c>
      <c r="J176" t="n">
        <v>0.696</v>
      </c>
      <c r="K176" t="n">
        <v>1.9</v>
      </c>
      <c r="L176" t="n">
        <v>14.72</v>
      </c>
      <c r="M176" t="n">
        <v>2.5</v>
      </c>
    </row>
    <row r="177" ht="16" customHeight="1" s="89" thickBot="1">
      <c r="B177" t="inlineStr">
        <is>
          <t>Republic of the Congo</t>
        </is>
      </c>
      <c r="C177" t="n">
        <v>11</v>
      </c>
      <c r="D177" t="n">
        <v>-0.079</v>
      </c>
      <c r="E177" s="74" t="n"/>
      <c r="F177" t="n">
        <v>0.0325</v>
      </c>
      <c r="G177" t="n">
        <v>0.011</v>
      </c>
      <c r="H177" t="n">
        <v>0.103</v>
      </c>
      <c r="I177" t="n">
        <v>-0.02</v>
      </c>
      <c r="J177" t="n">
        <v>1.0168</v>
      </c>
      <c r="K177" t="n">
        <v>8.199999999999999</v>
      </c>
      <c r="L177" t="n">
        <v>551.3200000000001</v>
      </c>
      <c r="M177" t="n">
        <v>5.52</v>
      </c>
    </row>
    <row r="178" ht="16" customHeight="1" s="89" thickBot="1">
      <c r="B178" t="inlineStr">
        <is>
          <t>Bahamas</t>
        </is>
      </c>
      <c r="C178" t="n">
        <v>11</v>
      </c>
      <c r="D178" t="n">
        <v>-0.148</v>
      </c>
      <c r="E178" s="74" t="n"/>
      <c r="F178" t="n">
        <v>0.04</v>
      </c>
      <c r="G178" t="n">
        <v>0.027</v>
      </c>
      <c r="H178" t="n">
        <v>0.256</v>
      </c>
      <c r="I178" t="n">
        <v>-0.064</v>
      </c>
      <c r="J178" t="n">
        <v>0.838</v>
      </c>
      <c r="K178" t="n">
        <v>-17.6</v>
      </c>
      <c r="L178" t="n">
        <v>1</v>
      </c>
      <c r="M178" t="n">
        <v>0.39</v>
      </c>
    </row>
    <row r="179" ht="16" customHeight="1" s="89" thickBot="1">
      <c r="B179" t="inlineStr">
        <is>
          <t>Chad</t>
        </is>
      </c>
      <c r="C179" t="n">
        <v>10</v>
      </c>
      <c r="D179" t="n">
        <v>-0.008999999999999999</v>
      </c>
      <c r="E179" s="74" t="n"/>
      <c r="F179" t="n">
        <v>0.0325</v>
      </c>
      <c r="G179" t="n">
        <v>-0.007</v>
      </c>
      <c r="H179" t="n">
        <v>0.023</v>
      </c>
      <c r="I179" t="n">
        <v>-0.008</v>
      </c>
      <c r="J179" t="n">
        <v>0.43</v>
      </c>
      <c r="K179" t="n">
        <v>-13.3</v>
      </c>
      <c r="L179" t="n">
        <v>551.3200000000001</v>
      </c>
      <c r="M179" t="n">
        <v>16.42</v>
      </c>
    </row>
    <row r="180">
      <c r="B180" t="inlineStr">
        <is>
          <t>Equatorial Guinea</t>
        </is>
      </c>
      <c r="C180" t="n">
        <v>10</v>
      </c>
      <c r="D180" t="n">
        <v>-0.058</v>
      </c>
      <c r="E180" s="74" t="n"/>
      <c r="F180" t="n">
        <v>0.0325</v>
      </c>
      <c r="G180" t="n">
        <v>0.03</v>
      </c>
      <c r="H180" t="n">
        <v>0.092</v>
      </c>
      <c r="I180" t="n">
        <v>-0.028</v>
      </c>
      <c r="J180" t="n">
        <v>0.511</v>
      </c>
      <c r="K180" t="n">
        <v>-8.4</v>
      </c>
      <c r="L180" t="n">
        <v>551.3200000000001</v>
      </c>
      <c r="M180" t="n">
        <v>1.4</v>
      </c>
    </row>
    <row r="181" ht="16" customHeight="1" s="89" thickBot="1">
      <c r="B181" t="inlineStr">
        <is>
          <t>Rwanda</t>
        </is>
      </c>
      <c r="C181" t="n">
        <v>10</v>
      </c>
      <c r="D181" t="n">
        <v>0.206</v>
      </c>
      <c r="E181" t="n">
        <v>0.045</v>
      </c>
      <c r="F181" t="n">
        <v>0.045</v>
      </c>
      <c r="G181" t="n">
        <v>-0.018</v>
      </c>
      <c r="H181" t="n">
        <v>0.17</v>
      </c>
      <c r="I181" t="n">
        <v>-0.083</v>
      </c>
      <c r="J181" t="n">
        <v>0.61</v>
      </c>
      <c r="K181" t="n">
        <v>-8.699999999999999</v>
      </c>
      <c r="L181" t="n">
        <v>934.59</v>
      </c>
      <c r="M181" t="n">
        <v>12.66</v>
      </c>
    </row>
    <row r="182" ht="16" customHeight="1" s="89" thickBot="1">
      <c r="B182" t="inlineStr">
        <is>
          <t>New Caledonia</t>
        </is>
      </c>
      <c r="C182" t="n">
        <v>10</v>
      </c>
      <c r="D182" s="82" t="n">
        <v>-0.012</v>
      </c>
      <c r="E182" s="74" t="n"/>
      <c r="F182" t="n">
        <v>0.0025</v>
      </c>
      <c r="G182" t="n">
        <v>0.005</v>
      </c>
      <c r="H182" t="n">
        <v>0.165</v>
      </c>
      <c r="I182" s="74" t="n"/>
      <c r="J182" s="74" t="n"/>
      <c r="K182" s="74" t="n"/>
      <c r="L182" t="n">
        <v>107</v>
      </c>
      <c r="M182" t="n">
        <v>0.27</v>
      </c>
    </row>
    <row r="183" ht="16" customHeight="1" s="89" thickBot="1">
      <c r="B183" t="inlineStr">
        <is>
          <t>Mauritania</t>
        </is>
      </c>
      <c r="C183" t="n">
        <v>8</v>
      </c>
      <c r="D183" t="n">
        <v>-0.036</v>
      </c>
      <c r="E183" s="74" t="n"/>
      <c r="F183" t="n">
        <v>0.05</v>
      </c>
      <c r="G183" t="n">
        <v>0.035</v>
      </c>
      <c r="H183" t="n">
        <v>0.107</v>
      </c>
      <c r="I183" t="n">
        <v>0.022</v>
      </c>
      <c r="J183" t="n">
        <v>0.531</v>
      </c>
      <c r="K183" t="n">
        <v>-7</v>
      </c>
      <c r="L183" t="n">
        <v>357.3</v>
      </c>
      <c r="M183" t="n">
        <v>4.65</v>
      </c>
    </row>
    <row r="184" ht="16" customHeight="1" s="89" thickBot="1">
      <c r="B184" t="inlineStr">
        <is>
          <t>Kyrgyzstan</t>
        </is>
      </c>
      <c r="C184" t="n">
        <v>8</v>
      </c>
      <c r="D184" t="n">
        <v>-0.094</v>
      </c>
      <c r="E184" s="74" t="n"/>
      <c r="F184" t="n">
        <v>0.075</v>
      </c>
      <c r="G184" t="n">
        <v>0.14</v>
      </c>
      <c r="H184" t="n">
        <v>0.031</v>
      </c>
      <c r="I184" t="n">
        <v>0.008</v>
      </c>
      <c r="J184" t="n">
        <v>0.681</v>
      </c>
      <c r="K184" t="n">
        <v>4.3</v>
      </c>
      <c r="L184" t="n">
        <v>69.98999999999999</v>
      </c>
      <c r="M184" t="n">
        <v>6.64</v>
      </c>
    </row>
    <row r="185" ht="16" customHeight="1" s="89" thickBot="1">
      <c r="B185" t="inlineStr">
        <is>
          <t>Kosovo</t>
        </is>
      </c>
      <c r="C185" t="n">
        <v>8</v>
      </c>
      <c r="D185" t="n">
        <v>0.1628</v>
      </c>
      <c r="E185" s="74" t="n"/>
      <c r="F185" s="74" t="n"/>
      <c r="G185" t="n">
        <v>0.047</v>
      </c>
      <c r="H185" t="n">
        <v>0.27</v>
      </c>
      <c r="I185" t="n">
        <v>-0.003</v>
      </c>
      <c r="J185" s="84" t="n">
        <v>0.218</v>
      </c>
      <c r="K185" t="n">
        <v>-7.2</v>
      </c>
      <c r="L185" t="n">
        <v>462.8</v>
      </c>
      <c r="M185" t="n">
        <v>1.78</v>
      </c>
    </row>
    <row r="186" ht="16" customHeight="1" s="89" thickBot="1">
      <c r="B186" t="inlineStr">
        <is>
          <t>Togo</t>
        </is>
      </c>
      <c r="C186" t="n">
        <v>8</v>
      </c>
      <c r="D186" t="n">
        <v>0.029</v>
      </c>
      <c r="E186" s="74" t="n"/>
      <c r="F186" t="n">
        <v>0.04</v>
      </c>
      <c r="G186" t="n">
        <v>0.068</v>
      </c>
      <c r="H186" t="n">
        <v>0.041</v>
      </c>
      <c r="I186" t="n">
        <v>-0.047</v>
      </c>
      <c r="J186" t="n">
        <v>0.295</v>
      </c>
      <c r="K186" t="n">
        <v>-3.2</v>
      </c>
      <c r="L186" t="n">
        <v>588.96</v>
      </c>
      <c r="M186" t="n">
        <v>8.279999999999999</v>
      </c>
    </row>
    <row r="187" ht="16" customHeight="1" s="89" thickBot="1">
      <c r="B187" t="inlineStr">
        <is>
          <t>Tajikistan</t>
        </is>
      </c>
      <c r="C187" t="n">
        <v>8</v>
      </c>
      <c r="D187" t="n">
        <v>0.08699999999999999</v>
      </c>
      <c r="E187" s="74" t="n"/>
      <c r="F187" t="n">
        <v>0.13</v>
      </c>
      <c r="G187" t="n">
        <v>0.091</v>
      </c>
      <c r="H187" t="n">
        <v>0.075</v>
      </c>
      <c r="I187" t="n">
        <v>-0.005</v>
      </c>
      <c r="J187" t="n">
        <v>0.4777</v>
      </c>
      <c r="K187" t="n">
        <v>0</v>
      </c>
      <c r="L187" t="n">
        <v>9.68</v>
      </c>
      <c r="M187" t="n">
        <v>9.300000000000001</v>
      </c>
    </row>
    <row r="188" ht="16" customHeight="1" s="89" thickBot="1">
      <c r="B188" t="inlineStr">
        <is>
          <t>Monaco</t>
        </is>
      </c>
      <c r="C188" t="n">
        <v>7</v>
      </c>
      <c r="D188" t="n">
        <v>0.075</v>
      </c>
      <c r="E188" s="74" t="n"/>
      <c r="F188" s="74" t="n"/>
      <c r="G188" s="74" t="n"/>
      <c r="H188" s="74" t="n"/>
      <c r="I188" s="74" t="n"/>
      <c r="J188" s="74" t="n"/>
      <c r="K188" s="74" t="n"/>
      <c r="L188" t="n">
        <v>1.11</v>
      </c>
      <c r="M188" t="n">
        <v>0.04</v>
      </c>
    </row>
    <row r="189" ht="16" customHeight="1" s="89" thickBot="1">
      <c r="B189" t="inlineStr">
        <is>
          <t>Liechtenstein</t>
        </is>
      </c>
      <c r="C189" t="n">
        <v>7</v>
      </c>
      <c r="D189" t="n">
        <v>-0.007</v>
      </c>
      <c r="E189" s="74" t="n"/>
      <c r="F189" s="74" t="n"/>
      <c r="G189" t="n">
        <v>0.007</v>
      </c>
      <c r="H189" s="80" t="n">
        <v>0.019</v>
      </c>
      <c r="I189" s="74" t="n"/>
      <c r="J189" s="74" t="n"/>
      <c r="K189" s="74" t="n"/>
      <c r="L189" t="n">
        <v>0.92</v>
      </c>
      <c r="M189" t="n">
        <v>0.04</v>
      </c>
    </row>
    <row r="190" ht="16" customHeight="1" s="89" thickBot="1">
      <c r="B190" t="inlineStr">
        <is>
          <t>Eritrea</t>
        </is>
      </c>
      <c r="C190" t="n">
        <v>7</v>
      </c>
      <c r="D190" t="n">
        <v>-0.006</v>
      </c>
      <c r="E190" s="74" t="n"/>
      <c r="F190" s="74" t="n"/>
      <c r="G190" t="n">
        <v>0.047</v>
      </c>
      <c r="H190" t="n">
        <v>0.074</v>
      </c>
      <c r="I190" t="n">
        <v>-0.052</v>
      </c>
      <c r="J190" t="n">
        <v>0.64</v>
      </c>
      <c r="K190" t="n">
        <v>10.1</v>
      </c>
      <c r="L190" t="n">
        <v>15</v>
      </c>
      <c r="M190" t="n">
        <v>3.21</v>
      </c>
    </row>
    <row r="191" ht="16" customHeight="1" s="89" thickBot="1">
      <c r="B191" t="inlineStr">
        <is>
          <t>Cayman Islands</t>
        </is>
      </c>
      <c r="C191" t="n">
        <v>6</v>
      </c>
      <c r="D191" t="n">
        <v>-0.067</v>
      </c>
      <c r="E191" s="74" t="n"/>
      <c r="F191" s="74" t="n"/>
      <c r="G191" t="n">
        <v>-0.01</v>
      </c>
      <c r="H191" t="n">
        <v>0.052</v>
      </c>
      <c r="I191" t="n">
        <v>-0.022</v>
      </c>
      <c r="J191" t="n">
        <v>0.053</v>
      </c>
      <c r="K191" t="n">
        <v>-21.2</v>
      </c>
      <c r="L191" t="n">
        <v>0.82</v>
      </c>
      <c r="M191" t="n">
        <v>0.07000000000000001</v>
      </c>
    </row>
    <row r="192" ht="16" customHeight="1" s="89" thickBot="1">
      <c r="B192" t="inlineStr">
        <is>
          <t>Guyana</t>
        </is>
      </c>
      <c r="C192" t="n">
        <v>5</v>
      </c>
      <c r="D192" t="n">
        <v>0.487</v>
      </c>
      <c r="E192" s="74" t="n"/>
      <c r="F192" t="n">
        <v>0.05</v>
      </c>
      <c r="G192" t="n">
        <v>0.0693</v>
      </c>
      <c r="H192" t="n">
        <v>0.158</v>
      </c>
      <c r="I192" s="76" t="n">
        <v>-0.053</v>
      </c>
      <c r="J192" s="78" t="n">
        <v>0.37</v>
      </c>
      <c r="K192" t="n">
        <v>-32.79</v>
      </c>
      <c r="L192" t="n">
        <v>209.34</v>
      </c>
      <c r="M192" t="n">
        <v>0.79</v>
      </c>
    </row>
    <row r="193" ht="16" customHeight="1" s="89" thickBot="1">
      <c r="B193" t="inlineStr">
        <is>
          <t>Montenegro</t>
        </is>
      </c>
      <c r="C193" t="n">
        <v>5</v>
      </c>
      <c r="D193" t="n">
        <v>0.19</v>
      </c>
      <c r="E193" s="74" t="n"/>
      <c r="F193" s="74" t="n"/>
      <c r="G193" t="n">
        <v>0.031</v>
      </c>
      <c r="H193" t="n">
        <v>0.2327</v>
      </c>
      <c r="I193" t="n">
        <v>-0.101</v>
      </c>
      <c r="J193" t="n">
        <v>1.0328</v>
      </c>
      <c r="K193" t="n">
        <v>-25.9</v>
      </c>
      <c r="L193" t="n">
        <v>1.11</v>
      </c>
      <c r="M193" t="n">
        <v>0.62</v>
      </c>
    </row>
    <row r="194" ht="16" customHeight="1" s="89" thickBot="1">
      <c r="B194" t="inlineStr">
        <is>
          <t>Somalia</t>
        </is>
      </c>
      <c r="C194" t="n">
        <v>5</v>
      </c>
      <c r="D194" t="n">
        <v>-0.015</v>
      </c>
      <c r="E194" s="74" t="n"/>
      <c r="F194" s="74" t="n"/>
      <c r="G194" t="n">
        <v>0.0424</v>
      </c>
      <c r="H194" s="74" t="n"/>
      <c r="I194" s="74" t="n"/>
      <c r="J194" s="74" t="n"/>
      <c r="K194" s="74" t="n"/>
      <c r="L194" t="n">
        <v>578.5</v>
      </c>
      <c r="M194" t="n">
        <v>15.89</v>
      </c>
    </row>
    <row r="195" ht="16" customHeight="1" s="89" thickBot="1">
      <c r="B195" t="inlineStr">
        <is>
          <t>Sierra Leone</t>
        </is>
      </c>
      <c r="C195" t="n">
        <v>4</v>
      </c>
      <c r="D195" t="n">
        <v>-0.027</v>
      </c>
      <c r="E195" s="74" t="n"/>
      <c r="F195" t="n">
        <v>0.14</v>
      </c>
      <c r="G195" t="n">
        <v>0.105</v>
      </c>
      <c r="H195" t="n">
        <v>0.046</v>
      </c>
      <c r="I195" t="n">
        <v>-0.057</v>
      </c>
      <c r="J195" t="n">
        <v>0.719</v>
      </c>
      <c r="K195" t="n">
        <v>-15.6</v>
      </c>
      <c r="L195" t="n">
        <v>9800</v>
      </c>
      <c r="M195" t="n">
        <v>7.98</v>
      </c>
    </row>
    <row r="196" ht="16" customHeight="1" s="89" thickBot="1">
      <c r="B196" t="inlineStr">
        <is>
          <t>Suriname</t>
        </is>
      </c>
      <c r="C196" t="n">
        <v>4</v>
      </c>
      <c r="D196" t="n">
        <v>-0.134</v>
      </c>
      <c r="E196" s="74" t="n"/>
      <c r="F196" t="n">
        <v>0.25</v>
      </c>
      <c r="G196" t="n">
        <v>0.589</v>
      </c>
      <c r="H196" t="n">
        <v>0.112</v>
      </c>
      <c r="I196" t="n">
        <v>-0.129</v>
      </c>
      <c r="J196" t="n">
        <v>1.114</v>
      </c>
      <c r="K196" t="n">
        <v>11.4</v>
      </c>
      <c r="L196" t="n">
        <v>7.46</v>
      </c>
      <c r="M196" t="n">
        <v>0.59</v>
      </c>
    </row>
    <row r="197" ht="16" customHeight="1" s="89" thickBot="1">
      <c r="B197" t="inlineStr">
        <is>
          <t>Swaziland</t>
        </is>
      </c>
      <c r="C197" t="n">
        <v>4</v>
      </c>
      <c r="D197" t="n">
        <v>-0.024</v>
      </c>
      <c r="E197" s="74" t="n"/>
      <c r="F197" t="n">
        <v>0.0375</v>
      </c>
      <c r="G197" t="n">
        <v>0.039</v>
      </c>
      <c r="H197" t="n">
        <v>0.234</v>
      </c>
      <c r="I197" t="n">
        <v>-0.046</v>
      </c>
      <c r="J197" t="n">
        <v>0.1549</v>
      </c>
      <c r="K197" t="n">
        <v>7</v>
      </c>
      <c r="L197" t="n">
        <v>14.36</v>
      </c>
      <c r="M197" t="n">
        <v>1.16</v>
      </c>
    </row>
    <row r="198" ht="16" customHeight="1" s="89" thickBot="1">
      <c r="B198" t="inlineStr">
        <is>
          <t>Maldives</t>
        </is>
      </c>
      <c r="C198" t="n">
        <v>4</v>
      </c>
      <c r="D198" t="n">
        <v>-0.08500000000000001</v>
      </c>
      <c r="E198" s="74" t="n"/>
      <c r="F198" t="n">
        <v>0.07000000000000001</v>
      </c>
      <c r="G198" t="n">
        <v>0.008999999999999999</v>
      </c>
      <c r="H198" t="n">
        <v>0.064</v>
      </c>
      <c r="I198" t="n">
        <v>-0.275</v>
      </c>
      <c r="J198" t="n">
        <v>0.526</v>
      </c>
      <c r="K198" t="n">
        <v>-29.2</v>
      </c>
      <c r="L198" t="n">
        <v>15.46</v>
      </c>
      <c r="M198" t="n">
        <v>0.5600000000000001</v>
      </c>
    </row>
    <row r="199" ht="16" customHeight="1" s="89" thickBot="1">
      <c r="B199" t="inlineStr">
        <is>
          <t>Fiji</t>
        </is>
      </c>
      <c r="C199" t="n">
        <v>4</v>
      </c>
      <c r="D199" t="n">
        <v>-0.19</v>
      </c>
      <c r="E199" s="74" t="n"/>
      <c r="F199" t="n">
        <v>0.0025</v>
      </c>
      <c r="G199" t="n">
        <v>0.008</v>
      </c>
      <c r="H199" t="n">
        <v>0.048</v>
      </c>
      <c r="I199" t="n">
        <v>-0.06</v>
      </c>
      <c r="J199" t="n">
        <v>0.652</v>
      </c>
      <c r="K199" t="n">
        <v>-13.8</v>
      </c>
      <c r="L199" t="n">
        <v>2.17</v>
      </c>
      <c r="M199" t="n">
        <v>0.89</v>
      </c>
    </row>
    <row r="200" ht="16" customHeight="1" s="89" thickBot="1">
      <c r="B200" t="inlineStr">
        <is>
          <t>Djibouti</t>
        </is>
      </c>
      <c r="C200" t="n">
        <v>3</v>
      </c>
      <c r="D200" t="n">
        <v>0.014</v>
      </c>
      <c r="E200" s="74" t="n"/>
      <c r="F200" t="n">
        <v>0.112</v>
      </c>
      <c r="G200" t="n">
        <v>0.005</v>
      </c>
      <c r="H200" t="n">
        <v>0.116</v>
      </c>
      <c r="I200" t="n">
        <v>-0.04</v>
      </c>
      <c r="J200" t="n">
        <v>0.422</v>
      </c>
      <c r="K200" t="n">
        <v>2.9</v>
      </c>
      <c r="L200" t="n">
        <v>177.5</v>
      </c>
      <c r="M200" t="n">
        <v>0.98</v>
      </c>
    </row>
    <row r="201" ht="16" customHeight="1" s="89" thickBot="1">
      <c r="B201" t="inlineStr">
        <is>
          <t>Burundi</t>
        </is>
      </c>
      <c r="C201" t="n">
        <v>3</v>
      </c>
      <c r="D201" t="n">
        <v>-0.003</v>
      </c>
      <c r="E201" s="74" t="n"/>
      <c r="F201" t="n">
        <v>0.0679</v>
      </c>
      <c r="G201" t="n">
        <v>0.1047</v>
      </c>
      <c r="H201" t="n">
        <v>0.008</v>
      </c>
      <c r="I201" t="n">
        <v>-0.08799999999999999</v>
      </c>
      <c r="J201" t="n">
        <v>0.152</v>
      </c>
      <c r="K201" t="n">
        <v>-19.1</v>
      </c>
      <c r="L201" t="n">
        <v>1877.75</v>
      </c>
      <c r="M201" t="n">
        <v>11.89</v>
      </c>
    </row>
    <row r="202" ht="16" customHeight="1" s="89" thickBot="1">
      <c r="B202" t="inlineStr">
        <is>
          <t>Liberia</t>
        </is>
      </c>
      <c r="C202" t="n">
        <v>3</v>
      </c>
      <c r="D202" t="n">
        <v>-0.03</v>
      </c>
      <c r="E202" s="74" t="n"/>
      <c r="F202" t="n">
        <v>0.2</v>
      </c>
      <c r="G202" t="n">
        <v>0.081</v>
      </c>
      <c r="H202" t="n">
        <v>0.027</v>
      </c>
      <c r="I202" t="n">
        <v>-0.03</v>
      </c>
      <c r="J202" t="n">
        <v>0.521</v>
      </c>
      <c r="K202" t="n">
        <v>-17.8</v>
      </c>
      <c r="L202" t="n">
        <v>186.3</v>
      </c>
      <c r="M202" t="n">
        <v>5.57</v>
      </c>
    </row>
    <row r="203" ht="16" customHeight="1" s="89" thickBot="1">
      <c r="B203" t="inlineStr">
        <is>
          <t>Lesotho</t>
        </is>
      </c>
      <c r="C203" t="n">
        <v>2</v>
      </c>
      <c r="D203" t="n">
        <v>-0.138</v>
      </c>
      <c r="E203" s="74" t="n"/>
      <c r="F203" t="n">
        <v>0.035</v>
      </c>
      <c r="G203" t="n">
        <v>0.055</v>
      </c>
      <c r="H203" t="n">
        <v>0.247</v>
      </c>
      <c r="I203" t="n">
        <v>-0.028</v>
      </c>
      <c r="J203" t="n">
        <v>0.696</v>
      </c>
      <c r="K203" t="n">
        <v>-2.1</v>
      </c>
      <c r="L203" t="n">
        <v>14.36</v>
      </c>
      <c r="M203" t="n">
        <v>2.14</v>
      </c>
    </row>
    <row r="204" ht="16" customHeight="1" s="89" thickBot="1">
      <c r="B204" t="inlineStr">
        <is>
          <t>Cape Verde</t>
        </is>
      </c>
      <c r="C204" t="n">
        <v>2</v>
      </c>
      <c r="D204" t="n">
        <v>-0.11</v>
      </c>
      <c r="E204" s="83" t="n">
        <v>0.018</v>
      </c>
      <c r="F204" t="n">
        <v>0.0025</v>
      </c>
      <c r="G204" t="n">
        <v>0.024</v>
      </c>
      <c r="H204" t="n">
        <v>0.123</v>
      </c>
      <c r="I204" t="n">
        <v>-0.089</v>
      </c>
      <c r="J204" t="n">
        <v>1.558</v>
      </c>
      <c r="K204" t="n">
        <v>-15.6</v>
      </c>
      <c r="L204" t="n">
        <v>99.94</v>
      </c>
      <c r="M204" t="n">
        <v>0.5600000000000001</v>
      </c>
    </row>
    <row r="205" ht="16" customHeight="1" s="89" thickBot="1">
      <c r="B205" t="inlineStr">
        <is>
          <t>Central African Republic</t>
        </is>
      </c>
      <c r="C205" t="n">
        <v>2</v>
      </c>
      <c r="D205" t="n">
        <v>0</v>
      </c>
      <c r="E205" s="74" t="n"/>
      <c r="F205" t="n">
        <v>0.0325</v>
      </c>
      <c r="G205" t="n">
        <v>0.0478</v>
      </c>
      <c r="H205" t="n">
        <v>0.043</v>
      </c>
      <c r="I205" t="n">
        <v>-0.03</v>
      </c>
      <c r="J205" t="n">
        <v>0.449</v>
      </c>
      <c r="K205" t="n">
        <v>-5.7</v>
      </c>
      <c r="L205" t="n">
        <v>551.3200000000001</v>
      </c>
      <c r="M205" t="n">
        <v>4.83</v>
      </c>
    </row>
    <row r="206" ht="16" customHeight="1" s="89" thickBot="1">
      <c r="B206" t="inlineStr">
        <is>
          <t>Bhutan</t>
        </is>
      </c>
      <c r="C206" t="n">
        <v>2</v>
      </c>
      <c r="D206" t="n">
        <v>0.055</v>
      </c>
      <c r="E206" s="74" t="n"/>
      <c r="F206" t="n">
        <v>0.06859999999999999</v>
      </c>
      <c r="G206" t="n">
        <v>0.0515</v>
      </c>
      <c r="H206" t="n">
        <v>0.05</v>
      </c>
      <c r="I206" t="n">
        <v>-0.062</v>
      </c>
      <c r="J206" t="n">
        <v>1.2074</v>
      </c>
      <c r="K206" t="n">
        <v>-11.4</v>
      </c>
      <c r="L206" t="n">
        <v>71.01000000000001</v>
      </c>
      <c r="M206" t="n">
        <v>0.77</v>
      </c>
    </row>
    <row r="207" ht="16" customHeight="1" s="89" thickBot="1">
      <c r="B207" t="inlineStr">
        <is>
          <t>East Timor</t>
        </is>
      </c>
      <c r="C207" t="n">
        <v>2</v>
      </c>
      <c r="D207" t="n">
        <v>-0.068</v>
      </c>
      <c r="E207" s="74" t="n"/>
      <c r="F207" s="74" t="n"/>
      <c r="G207" t="n">
        <v>0.039</v>
      </c>
      <c r="H207" t="n">
        <v>0.0506</v>
      </c>
      <c r="I207" t="n">
        <v>-0.048</v>
      </c>
      <c r="J207" s="74" t="n"/>
      <c r="K207" t="n">
        <v>-18</v>
      </c>
      <c r="M207" t="n">
        <v>1.32</v>
      </c>
    </row>
    <row r="208" ht="16" customHeight="1" s="89" thickBot="1">
      <c r="B208" t="inlineStr">
        <is>
          <t>Gambia</t>
        </is>
      </c>
      <c r="C208" t="n">
        <v>2</v>
      </c>
      <c r="D208" t="n">
        <v>-0.002</v>
      </c>
      <c r="E208" s="74" t="n"/>
      <c r="F208" t="n">
        <v>0.1</v>
      </c>
      <c r="G208" t="n">
        <v>0.06950000000000001</v>
      </c>
      <c r="H208" t="n">
        <v>0.096</v>
      </c>
      <c r="I208" t="n">
        <v>-0.037</v>
      </c>
      <c r="J208" t="n">
        <v>0.831</v>
      </c>
      <c r="K208" t="n">
        <v>-8.6</v>
      </c>
      <c r="L208" t="n">
        <v>51.35</v>
      </c>
      <c r="M208" t="n">
        <v>2.28</v>
      </c>
    </row>
    <row r="209" ht="16" customHeight="1" s="89" thickBot="1">
      <c r="B209" t="inlineStr">
        <is>
          <t>Guinea Bissau</t>
        </is>
      </c>
      <c r="C209" t="n">
        <v>1</v>
      </c>
      <c r="D209" t="n">
        <v>0.027</v>
      </c>
      <c r="E209" s="74" t="n"/>
      <c r="F209" t="n">
        <v>0.04</v>
      </c>
      <c r="G209" t="n">
        <v>0.048</v>
      </c>
      <c r="H209" t="n">
        <v>0.032</v>
      </c>
      <c r="I209" t="n">
        <v>-0.078</v>
      </c>
      <c r="J209" t="n">
        <v>0.365</v>
      </c>
      <c r="K209" t="n">
        <v>-8.6</v>
      </c>
      <c r="M209" t="n">
        <v>1.96</v>
      </c>
    </row>
    <row r="210">
      <c r="B210" t="inlineStr">
        <is>
          <t>Comoros</t>
        </is>
      </c>
      <c r="C210" t="n">
        <v>1</v>
      </c>
      <c r="D210" t="n">
        <v>0.002</v>
      </c>
      <c r="E210" s="74" t="n"/>
      <c r="F210" t="n">
        <v>0.0094</v>
      </c>
      <c r="G210" t="n">
        <v>-0.0602</v>
      </c>
      <c r="H210" t="n">
        <v>0.08400000000000001</v>
      </c>
      <c r="I210" t="n">
        <v>-0.042</v>
      </c>
      <c r="J210" t="n">
        <v>0.268</v>
      </c>
      <c r="K210" t="n">
        <v>-3.3</v>
      </c>
      <c r="L210" t="n">
        <v>417.02</v>
      </c>
      <c r="M210" t="n">
        <v>0.87</v>
      </c>
    </row>
    <row r="211" ht="16" customHeight="1" s="89" thickBot="1">
      <c r="B211" t="inlineStr">
        <is>
          <t>Seychelles</t>
        </is>
      </c>
      <c r="C211" t="n">
        <v>1</v>
      </c>
      <c r="D211" t="n">
        <v>-0.246</v>
      </c>
      <c r="F211" t="n">
        <v>0.02</v>
      </c>
      <c r="G211" t="n">
        <v>0.1051</v>
      </c>
      <c r="H211" t="n">
        <v>0.04</v>
      </c>
      <c r="I211" t="n">
        <v>-0.191</v>
      </c>
      <c r="J211" t="n">
        <v>0.9399999999999999</v>
      </c>
      <c r="K211" t="n">
        <v>-27.4</v>
      </c>
      <c r="L211" t="n">
        <v>13.7</v>
      </c>
      <c r="M211" t="n">
        <v>0.1</v>
      </c>
    </row>
    <row r="212" ht="16" customHeight="1" s="89" thickBot="1">
      <c r="B212" t="inlineStr">
        <is>
          <t>South Sudan</t>
        </is>
      </c>
      <c r="C212" t="n">
        <v>1</v>
      </c>
      <c r="D212" t="n">
        <v>-0.036</v>
      </c>
      <c r="E212" s="74" t="n"/>
      <c r="F212" s="77" t="n">
        <v>0.15</v>
      </c>
      <c r="G212" t="n">
        <v>0.183</v>
      </c>
      <c r="H212" t="n">
        <v>0.127</v>
      </c>
      <c r="I212" s="74" t="n"/>
      <c r="J212" s="74" t="n"/>
      <c r="K212" s="74" t="n"/>
      <c r="L212" t="n">
        <v>175.31</v>
      </c>
      <c r="M212" t="n">
        <v>11.19</v>
      </c>
    </row>
    <row r="213">
      <c r="B213" t="inlineStr">
        <is>
          <t>Sao Tome and Principe</t>
        </is>
      </c>
      <c r="C213" t="n">
        <v>0</v>
      </c>
      <c r="D213" t="n">
        <v>-0.064</v>
      </c>
      <c r="E213" s="74" t="n"/>
      <c r="F213" t="n">
        <v>0.09</v>
      </c>
      <c r="G213" t="n">
        <v>0.06900000000000001</v>
      </c>
      <c r="H213" t="n">
        <v>0.139</v>
      </c>
      <c r="I213" t="n">
        <v>-0.05</v>
      </c>
      <c r="J213" t="n">
        <v>1.03</v>
      </c>
      <c r="K213" t="n">
        <v>-9.300000000000001</v>
      </c>
      <c r="L213" t="n">
        <v>20.8</v>
      </c>
      <c r="M213" t="n">
        <v>0.21</v>
      </c>
    </row>
  </sheetData>
  <mergeCells count="11">
    <mergeCell ref="H31:H32"/>
    <mergeCell ref="I31:I32"/>
    <mergeCell ref="J31:J32"/>
    <mergeCell ref="K31:K32"/>
    <mergeCell ref="L31:L32"/>
    <mergeCell ref="G31:G32"/>
    <mergeCell ref="B31:B32"/>
    <mergeCell ref="C31:C32"/>
    <mergeCell ref="D31:D32"/>
    <mergeCell ref="E31:E32"/>
    <mergeCell ref="F31:F32"/>
  </mergeCells>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8.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68" activePane="bottomLeft" state="frozen"/>
      <selection pane="bottomLeft" activeCell="C101" sqref="C101"/>
    </sheetView>
  </sheetViews>
  <sheetFormatPr baseColWidth="10" defaultColWidth="8.83203125" defaultRowHeight="15"/>
  <cols>
    <col width="9.1640625" customWidth="1" style="40" min="1" max="1"/>
    <col width="12.6640625" bestFit="1" customWidth="1" style="39" min="2" max="2"/>
    <col width="11.6640625" customWidth="1" style="41" min="3" max="3"/>
    <col width="11.6640625" customWidth="1" style="52" min="4" max="4"/>
    <col width="9.1640625" customWidth="1" style="93" min="5" max="48"/>
  </cols>
  <sheetData>
    <row r="1" ht="32" customHeight="1" s="89">
      <c r="A1" s="43" t="inlineStr">
        <is>
          <t>Data</t>
        </is>
      </c>
      <c r="B1" s="49" t="inlineStr">
        <is>
          <t>USA</t>
        </is>
      </c>
      <c r="C1" s="44" t="inlineStr">
        <is>
          <t>Quarter Change</t>
        </is>
      </c>
      <c r="D1" s="50" t="n"/>
      <c r="E1" s="51" t="inlineStr">
        <is>
          <t>Change Country in B2</t>
        </is>
      </c>
      <c r="F1" s="50" t="n"/>
      <c r="G1" s="50" t="n"/>
      <c r="H1" s="50" t="n"/>
      <c r="J1" s="93">
        <f>B1&amp;" GDP % yoy"</f>
        <v/>
      </c>
    </row>
    <row r="2">
      <c r="A2" s="46" t="n">
        <v>17349</v>
      </c>
      <c r="B2" s="47">
        <f>VLOOKUP(A2,'Data yoy'!$B:$AT,MATCH($B$1,'Data yoy'!$B$1:$AT$1,0),FALSE)</f>
        <v/>
      </c>
      <c r="C2" s="48" t="n"/>
      <c r="D2" s="50" t="n"/>
      <c r="E2" s="50" t="n"/>
      <c r="F2" s="50" t="n"/>
      <c r="G2" s="50" t="n"/>
      <c r="H2" s="50" t="n"/>
      <c r="J2" s="93">
        <f>B1&amp;" "&amp;C1</f>
        <v/>
      </c>
      <c r="V2" s="93" t="inlineStr">
        <is>
          <t>AUT</t>
        </is>
      </c>
    </row>
    <row r="3">
      <c r="A3" s="46" t="n">
        <v>17441</v>
      </c>
      <c r="B3" s="47">
        <f>VLOOKUP(A3,'Data yoy'!$B:$AT,MATCH($B$1,'Data yoy'!$B$1:$AT$1,0),FALSE)</f>
        <v/>
      </c>
      <c r="C3" s="47">
        <f>Table13456789101112131415161734[[#This Row],[USA]]-B2</f>
        <v/>
      </c>
      <c r="D3" s="50" t="n"/>
      <c r="E3" s="50" t="n"/>
      <c r="F3" s="50" t="n"/>
      <c r="G3" s="50" t="n"/>
      <c r="H3" s="50" t="n"/>
      <c r="J3" s="93">
        <f>J2&amp;" 2000-"</f>
        <v/>
      </c>
      <c r="V3" s="93" t="inlineStr">
        <is>
          <t>BEL</t>
        </is>
      </c>
    </row>
    <row r="4">
      <c r="A4" s="46" t="n">
        <v>17533</v>
      </c>
      <c r="B4" s="47">
        <f>VLOOKUP(A4,'Data yoy'!$B:$AT,MATCH($B$1,'Data yoy'!$B$1:$AT$1,0),FALSE)</f>
        <v/>
      </c>
      <c r="C4" s="47">
        <f>Table13456789101112131415161734[[#This Row],[USA]]-B3</f>
        <v/>
      </c>
      <c r="D4" s="50" t="n"/>
      <c r="E4" s="50" t="n"/>
      <c r="F4" s="50" t="n"/>
      <c r="G4" s="50" t="n"/>
      <c r="H4" s="50" t="n"/>
      <c r="V4" s="93" t="inlineStr">
        <is>
          <t>CAN</t>
        </is>
      </c>
    </row>
    <row r="5">
      <c r="A5" s="46" t="n">
        <v>17624</v>
      </c>
      <c r="B5" s="47">
        <f>VLOOKUP(A5,'Data yoy'!$B:$AT,MATCH($B$1,'Data yoy'!$B$1:$AT$1,0),FALSE)</f>
        <v/>
      </c>
      <c r="C5" s="47">
        <f>Table13456789101112131415161734[[#This Row],[USA]]-B4</f>
        <v/>
      </c>
      <c r="D5" s="50" t="n"/>
      <c r="E5" s="50" t="n"/>
      <c r="F5" s="50" t="n"/>
      <c r="G5" s="50" t="n"/>
      <c r="H5" s="50" t="n"/>
      <c r="V5" s="93" t="inlineStr">
        <is>
          <t>CHL</t>
        </is>
      </c>
    </row>
    <row r="6">
      <c r="A6" s="46" t="n">
        <v>17715</v>
      </c>
      <c r="B6" s="47">
        <f>VLOOKUP(A6,'Data yoy'!$B:$AT,MATCH($B$1,'Data yoy'!$B$1:$AT$1,0),FALSE)</f>
        <v/>
      </c>
      <c r="C6" s="47">
        <f>Table13456789101112131415161734[[#This Row],[USA]]-B5</f>
        <v/>
      </c>
      <c r="D6" s="50" t="n"/>
      <c r="E6" s="50" t="n"/>
      <c r="F6" s="50" t="n"/>
      <c r="G6" s="50" t="n"/>
      <c r="H6" s="50" t="n"/>
      <c r="V6" s="93" t="inlineStr">
        <is>
          <t>CZE</t>
        </is>
      </c>
    </row>
    <row r="7">
      <c r="A7" s="46" t="n">
        <v>17807</v>
      </c>
      <c r="B7" s="47">
        <f>VLOOKUP(A7,'Data yoy'!$B:$AT,MATCH($B$1,'Data yoy'!$B$1:$AT$1,0),FALSE)</f>
        <v/>
      </c>
      <c r="C7" s="47">
        <f>Table13456789101112131415161734[[#This Row],[USA]]-B6</f>
        <v/>
      </c>
      <c r="D7" s="50" t="n"/>
      <c r="E7" s="50" t="n"/>
      <c r="F7" s="50" t="n"/>
      <c r="G7" s="50" t="n"/>
      <c r="H7" s="50" t="n"/>
      <c r="V7" s="93" t="inlineStr">
        <is>
          <t>DEU</t>
        </is>
      </c>
    </row>
    <row r="8">
      <c r="A8" s="46" t="n">
        <v>17899</v>
      </c>
      <c r="B8" s="47">
        <f>VLOOKUP(A8,'Data yoy'!$B:$AT,MATCH($B$1,'Data yoy'!$B$1:$AT$1,0),FALSE)</f>
        <v/>
      </c>
      <c r="C8" s="47">
        <f>Table13456789101112131415161734[[#This Row],[USA]]-B7</f>
        <v/>
      </c>
      <c r="D8" s="50" t="n"/>
      <c r="E8" s="50" t="n"/>
      <c r="F8" s="50" t="n"/>
      <c r="G8" s="50" t="n"/>
      <c r="H8" s="50" t="n"/>
      <c r="V8" s="93" t="inlineStr">
        <is>
          <t>DNK</t>
        </is>
      </c>
    </row>
    <row r="9">
      <c r="A9" s="46" t="n">
        <v>17989</v>
      </c>
      <c r="B9" s="47">
        <f>VLOOKUP(A9,'Data yoy'!$B:$AT,MATCH($B$1,'Data yoy'!$B$1:$AT$1,0),FALSE)</f>
        <v/>
      </c>
      <c r="C9" s="47">
        <f>Table13456789101112131415161734[[#This Row],[USA]]-B8</f>
        <v/>
      </c>
      <c r="D9" s="50" t="n"/>
      <c r="E9" s="50" t="n"/>
      <c r="F9" s="50" t="n"/>
      <c r="G9" s="50" t="n"/>
      <c r="H9" s="50" t="n"/>
      <c r="V9" s="93" t="inlineStr">
        <is>
          <t>ESP</t>
        </is>
      </c>
    </row>
    <row r="10">
      <c r="A10" s="46" t="n">
        <v>18080</v>
      </c>
      <c r="B10" s="47">
        <f>VLOOKUP(A10,'Data yoy'!$B:$AT,MATCH($B$1,'Data yoy'!$B$1:$AT$1,0),FALSE)</f>
        <v/>
      </c>
      <c r="C10" s="47">
        <f>Table13456789101112131415161734[[#This Row],[USA]]-B9</f>
        <v/>
      </c>
      <c r="D10" s="50" t="n"/>
      <c r="E10" s="50" t="n"/>
      <c r="F10" s="50" t="n"/>
      <c r="G10" s="50" t="n"/>
      <c r="H10" s="50" t="n"/>
      <c r="V10" s="93" t="inlineStr">
        <is>
          <t>EST</t>
        </is>
      </c>
    </row>
    <row r="11">
      <c r="A11" s="46" t="n">
        <v>18172</v>
      </c>
      <c r="B11" s="47">
        <f>VLOOKUP(A11,'Data yoy'!$B:$AT,MATCH($B$1,'Data yoy'!$B$1:$AT$1,0),FALSE)</f>
        <v/>
      </c>
      <c r="C11" s="47">
        <f>Table13456789101112131415161734[[#This Row],[USA]]-B10</f>
        <v/>
      </c>
      <c r="D11" s="50" t="n"/>
      <c r="E11" s="50" t="n"/>
      <c r="F11" s="50" t="n"/>
      <c r="G11" s="50" t="n"/>
      <c r="H11" s="50" t="n"/>
      <c r="V11" s="93" t="inlineStr">
        <is>
          <t>FIN</t>
        </is>
      </c>
    </row>
    <row r="12">
      <c r="A12" s="46" t="n">
        <v>18264</v>
      </c>
      <c r="B12" s="47">
        <f>VLOOKUP(A12,'Data yoy'!$B:$AT,MATCH($B$1,'Data yoy'!$B$1:$AT$1,0),FALSE)</f>
        <v/>
      </c>
      <c r="C12" s="47">
        <f>Table13456789101112131415161734[[#This Row],[USA]]-B11</f>
        <v/>
      </c>
      <c r="D12" s="28" t="n"/>
      <c r="V12" s="93" t="inlineStr">
        <is>
          <t>FRA</t>
        </is>
      </c>
    </row>
    <row r="13">
      <c r="A13" s="46" t="n">
        <v>18354</v>
      </c>
      <c r="B13" s="47">
        <f>VLOOKUP(A13,'Data yoy'!$B:$AT,MATCH($B$1,'Data yoy'!$B$1:$AT$1,0),FALSE)</f>
        <v/>
      </c>
      <c r="C13" s="47">
        <f>Table13456789101112131415161734[[#This Row],[USA]]-B12</f>
        <v/>
      </c>
      <c r="D13" s="28" t="n"/>
      <c r="V13" s="93" t="inlineStr">
        <is>
          <t>GBR</t>
        </is>
      </c>
    </row>
    <row r="14">
      <c r="A14" s="46" t="n">
        <v>18445</v>
      </c>
      <c r="B14" s="47">
        <f>VLOOKUP(A14,'Data yoy'!$B:$AT,MATCH($B$1,'Data yoy'!$B$1:$AT$1,0),FALSE)</f>
        <v/>
      </c>
      <c r="C14" s="47">
        <f>Table13456789101112131415161734[[#This Row],[USA]]-B13</f>
        <v/>
      </c>
      <c r="D14" s="28" t="n"/>
      <c r="V14" s="93" t="inlineStr">
        <is>
          <t>GRC</t>
        </is>
      </c>
    </row>
    <row r="15">
      <c r="A15" s="46" t="n">
        <v>18537</v>
      </c>
      <c r="B15" s="47">
        <f>VLOOKUP(A15,'Data yoy'!$B:$AT,MATCH($B$1,'Data yoy'!$B$1:$AT$1,0),FALSE)</f>
        <v/>
      </c>
      <c r="C15" s="47">
        <f>Table13456789101112131415161734[[#This Row],[USA]]-B14</f>
        <v/>
      </c>
      <c r="D15" s="28" t="n"/>
      <c r="V15" s="93" t="inlineStr">
        <is>
          <t>HUN</t>
        </is>
      </c>
    </row>
    <row r="16">
      <c r="A16" s="46" t="n">
        <v>18629</v>
      </c>
      <c r="B16" s="47">
        <f>VLOOKUP(A16,'Data yoy'!$B:$AT,MATCH($B$1,'Data yoy'!$B$1:$AT$1,0),FALSE)</f>
        <v/>
      </c>
      <c r="C16" s="47">
        <f>Table13456789101112131415161734[[#This Row],[USA]]-B15</f>
        <v/>
      </c>
      <c r="D16" s="28" t="n"/>
      <c r="V16" s="93" t="inlineStr">
        <is>
          <t>IRL</t>
        </is>
      </c>
    </row>
    <row r="17">
      <c r="A17" s="46" t="n">
        <v>18719</v>
      </c>
      <c r="B17" s="47">
        <f>VLOOKUP(A17,'Data yoy'!$B:$AT,MATCH($B$1,'Data yoy'!$B$1:$AT$1,0),FALSE)</f>
        <v/>
      </c>
      <c r="C17" s="47">
        <f>Table13456789101112131415161734[[#This Row],[USA]]-B16</f>
        <v/>
      </c>
      <c r="D17" s="28" t="n"/>
      <c r="V17" s="93" t="inlineStr">
        <is>
          <t>ISL</t>
        </is>
      </c>
    </row>
    <row r="18">
      <c r="A18" s="46" t="n">
        <v>18810</v>
      </c>
      <c r="B18" s="47">
        <f>VLOOKUP(A18,'Data yoy'!$B:$AT,MATCH($B$1,'Data yoy'!$B$1:$AT$1,0),FALSE)</f>
        <v/>
      </c>
      <c r="C18" s="47">
        <f>Table13456789101112131415161734[[#This Row],[USA]]-B17</f>
        <v/>
      </c>
      <c r="D18" s="28" t="n"/>
      <c r="V18" s="93" t="inlineStr">
        <is>
          <t>ISR</t>
        </is>
      </c>
    </row>
    <row r="19">
      <c r="A19" s="46" t="n">
        <v>18902</v>
      </c>
      <c r="B19" s="47">
        <f>VLOOKUP(A19,'Data yoy'!$B:$AT,MATCH($B$1,'Data yoy'!$B$1:$AT$1,0),FALSE)</f>
        <v/>
      </c>
      <c r="C19" s="47">
        <f>Table13456789101112131415161734[[#This Row],[USA]]-B18</f>
        <v/>
      </c>
      <c r="D19" s="28" t="n"/>
      <c r="V19" s="93" t="inlineStr">
        <is>
          <t>ITA</t>
        </is>
      </c>
    </row>
    <row r="20">
      <c r="A20" s="46" t="n">
        <v>18994</v>
      </c>
      <c r="B20" s="47">
        <f>VLOOKUP(A20,'Data yoy'!$B:$AT,MATCH($B$1,'Data yoy'!$B$1:$AT$1,0),FALSE)</f>
        <v/>
      </c>
      <c r="C20" s="47">
        <f>Table13456789101112131415161734[[#This Row],[USA]]-B19</f>
        <v/>
      </c>
      <c r="D20" s="28" t="n"/>
      <c r="V20" s="93" t="inlineStr">
        <is>
          <t>JPN</t>
        </is>
      </c>
    </row>
    <row r="21">
      <c r="A21" s="46" t="n">
        <v>19085</v>
      </c>
      <c r="B21" s="47">
        <f>VLOOKUP(A21,'Data yoy'!$B:$AT,MATCH($B$1,'Data yoy'!$B$1:$AT$1,0),FALSE)</f>
        <v/>
      </c>
      <c r="C21" s="47">
        <f>Table13456789101112131415161734[[#This Row],[USA]]-B20</f>
        <v/>
      </c>
      <c r="D21" s="28" t="n"/>
      <c r="V21" s="93" t="inlineStr">
        <is>
          <t>KOR</t>
        </is>
      </c>
    </row>
    <row r="22">
      <c r="A22" s="46" t="n">
        <v>19176</v>
      </c>
      <c r="B22" s="47">
        <f>VLOOKUP(A22,'Data yoy'!$B:$AT,MATCH($B$1,'Data yoy'!$B$1:$AT$1,0),FALSE)</f>
        <v/>
      </c>
      <c r="C22" s="47">
        <f>Table13456789101112131415161734[[#This Row],[USA]]-B21</f>
        <v/>
      </c>
      <c r="D22" s="28" t="n"/>
      <c r="V22" s="93" t="inlineStr">
        <is>
          <t>LUX</t>
        </is>
      </c>
    </row>
    <row r="23">
      <c r="A23" s="46" t="n">
        <v>19268</v>
      </c>
      <c r="B23" s="47">
        <f>VLOOKUP(A23,'Data yoy'!$B:$AT,MATCH($B$1,'Data yoy'!$B$1:$AT$1,0),FALSE)</f>
        <v/>
      </c>
      <c r="C23" s="47">
        <f>Table13456789101112131415161734[[#This Row],[USA]]-B22</f>
        <v/>
      </c>
      <c r="D23" s="28" t="n"/>
      <c r="V23" s="93" t="inlineStr">
        <is>
          <t>LVA</t>
        </is>
      </c>
    </row>
    <row r="24">
      <c r="A24" s="46" t="n">
        <v>19360</v>
      </c>
      <c r="B24" s="47">
        <f>VLOOKUP(A24,'Data yoy'!$B:$AT,MATCH($B$1,'Data yoy'!$B$1:$AT$1,0),FALSE)</f>
        <v/>
      </c>
      <c r="C24" s="47">
        <f>Table13456789101112131415161734[[#This Row],[USA]]-B23</f>
        <v/>
      </c>
      <c r="D24" s="28" t="n"/>
      <c r="V24" s="93" t="inlineStr">
        <is>
          <t>MEX</t>
        </is>
      </c>
    </row>
    <row r="25">
      <c r="A25" s="46" t="n">
        <v>19450</v>
      </c>
      <c r="B25" s="47">
        <f>VLOOKUP(A25,'Data yoy'!$B:$AT,MATCH($B$1,'Data yoy'!$B$1:$AT$1,0),FALSE)</f>
        <v/>
      </c>
      <c r="C25" s="47">
        <f>Table13456789101112131415161734[[#This Row],[USA]]-B24</f>
        <v/>
      </c>
      <c r="D25" s="28" t="n"/>
      <c r="V25" s="93" t="inlineStr">
        <is>
          <t>NLD</t>
        </is>
      </c>
    </row>
    <row r="26">
      <c r="A26" s="46" t="n">
        <v>19541</v>
      </c>
      <c r="B26" s="47">
        <f>VLOOKUP(A26,'Data yoy'!$B:$AT,MATCH($B$1,'Data yoy'!$B$1:$AT$1,0),FALSE)</f>
        <v/>
      </c>
      <c r="C26" s="47">
        <f>Table13456789101112131415161734[[#This Row],[USA]]-B25</f>
        <v/>
      </c>
      <c r="D26" s="28" t="n"/>
      <c r="V26" s="93" t="inlineStr">
        <is>
          <t>NOR</t>
        </is>
      </c>
    </row>
    <row r="27">
      <c r="A27" s="46" t="n">
        <v>19633</v>
      </c>
      <c r="B27" s="47">
        <f>VLOOKUP(A27,'Data yoy'!$B:$AT,MATCH($B$1,'Data yoy'!$B$1:$AT$1,0),FALSE)</f>
        <v/>
      </c>
      <c r="C27" s="47">
        <f>Table13456789101112131415161734[[#This Row],[USA]]-B26</f>
        <v/>
      </c>
      <c r="D27" s="28" t="n"/>
      <c r="V27" s="93" t="inlineStr">
        <is>
          <t>OECD</t>
        </is>
      </c>
    </row>
    <row r="28">
      <c r="A28" s="46" t="n">
        <v>19725</v>
      </c>
      <c r="B28" s="47">
        <f>VLOOKUP(A28,'Data yoy'!$B:$AT,MATCH($B$1,'Data yoy'!$B$1:$AT$1,0),FALSE)</f>
        <v/>
      </c>
      <c r="C28" s="47">
        <f>Table13456789101112131415161734[[#This Row],[USA]]-B27</f>
        <v/>
      </c>
      <c r="D28" s="28" t="n"/>
      <c r="V28" s="93" t="inlineStr">
        <is>
          <t>POL</t>
        </is>
      </c>
    </row>
    <row r="29">
      <c r="A29" s="46" t="n">
        <v>19815</v>
      </c>
      <c r="B29" s="47">
        <f>VLOOKUP(A29,'Data yoy'!$B:$AT,MATCH($B$1,'Data yoy'!$B$1:$AT$1,0),FALSE)</f>
        <v/>
      </c>
      <c r="C29" s="47">
        <f>Table13456789101112131415161734[[#This Row],[USA]]-B28</f>
        <v/>
      </c>
      <c r="D29" s="28" t="n"/>
      <c r="V29" s="93" t="inlineStr">
        <is>
          <t>PRT</t>
        </is>
      </c>
    </row>
    <row r="30">
      <c r="A30" s="46" t="n">
        <v>19906</v>
      </c>
      <c r="B30" s="47">
        <f>VLOOKUP(A30,'Data yoy'!$B:$AT,MATCH($B$1,'Data yoy'!$B$1:$AT$1,0),FALSE)</f>
        <v/>
      </c>
      <c r="C30" s="47">
        <f>Table13456789101112131415161734[[#This Row],[USA]]-B29</f>
        <v/>
      </c>
      <c r="D30" s="28" t="n"/>
      <c r="V30" s="93" t="inlineStr">
        <is>
          <t>SVK</t>
        </is>
      </c>
    </row>
    <row r="31">
      <c r="A31" s="46" t="n">
        <v>19998</v>
      </c>
      <c r="B31" s="47">
        <f>VLOOKUP(A31,'Data yoy'!$B:$AT,MATCH($B$1,'Data yoy'!$B$1:$AT$1,0),FALSE)</f>
        <v/>
      </c>
      <c r="C31" s="47">
        <f>Table13456789101112131415161734[[#This Row],[USA]]-B30</f>
        <v/>
      </c>
      <c r="D31" s="28" t="n"/>
      <c r="V31" s="93" t="inlineStr">
        <is>
          <t>SVN</t>
        </is>
      </c>
    </row>
    <row r="32">
      <c r="A32" s="46" t="n">
        <v>20090</v>
      </c>
      <c r="B32" s="47">
        <f>VLOOKUP(A32,'Data yoy'!$B:$AT,MATCH($B$1,'Data yoy'!$B$1:$AT$1,0),FALSE)</f>
        <v/>
      </c>
      <c r="C32" s="47">
        <f>Table13456789101112131415161734[[#This Row],[USA]]-B31</f>
        <v/>
      </c>
      <c r="D32" s="28" t="n"/>
      <c r="V32" s="93" t="inlineStr">
        <is>
          <t>SWE</t>
        </is>
      </c>
    </row>
    <row r="33">
      <c r="A33" s="46" t="n">
        <v>20180</v>
      </c>
      <c r="B33" s="47">
        <f>VLOOKUP(A33,'Data yoy'!$B:$AT,MATCH($B$1,'Data yoy'!$B$1:$AT$1,0),FALSE)</f>
        <v/>
      </c>
      <c r="C33" s="47">
        <f>Table13456789101112131415161734[[#This Row],[USA]]-B32</f>
        <v/>
      </c>
      <c r="D33" s="28" t="n"/>
      <c r="V33" s="93" t="inlineStr">
        <is>
          <t>TUR</t>
        </is>
      </c>
    </row>
    <row r="34">
      <c r="A34" s="46" t="n">
        <v>20271</v>
      </c>
      <c r="B34" s="47">
        <f>VLOOKUP(A34,'Data yoy'!$B:$AT,MATCH($B$1,'Data yoy'!$B$1:$AT$1,0),FALSE)</f>
        <v/>
      </c>
      <c r="C34" s="47">
        <f>Table13456789101112131415161734[[#This Row],[USA]]-B33</f>
        <v/>
      </c>
      <c r="D34" s="28" t="n"/>
      <c r="V34" s="93" t="inlineStr">
        <is>
          <t>USA</t>
        </is>
      </c>
    </row>
    <row r="35">
      <c r="A35" s="46" t="n">
        <v>20363</v>
      </c>
      <c r="B35" s="47">
        <f>VLOOKUP(A35,'Data yoy'!$B:$AT,MATCH($B$1,'Data yoy'!$B$1:$AT$1,0),FALSE)</f>
        <v/>
      </c>
      <c r="C35" s="47">
        <f>Table13456789101112131415161734[[#This Row],[USA]]-B34</f>
        <v/>
      </c>
      <c r="D35" s="28" t="n"/>
      <c r="V35" s="93" t="inlineStr">
        <is>
          <t>EA19</t>
        </is>
      </c>
    </row>
    <row r="36">
      <c r="A36" s="46" t="n">
        <v>20455</v>
      </c>
      <c r="B36" s="47">
        <f>VLOOKUP(A36,'Data yoy'!$B:$AT,MATCH($B$1,'Data yoy'!$B$1:$AT$1,0),FALSE)</f>
        <v/>
      </c>
      <c r="C36" s="47">
        <f>Table13456789101112131415161734[[#This Row],[USA]]-B35</f>
        <v/>
      </c>
      <c r="D36" s="28" t="n"/>
      <c r="V36" t="inlineStr">
        <is>
          <t>EU27_2020</t>
        </is>
      </c>
    </row>
    <row r="37">
      <c r="A37" s="46" t="n">
        <v>20546</v>
      </c>
      <c r="B37" s="47">
        <f>VLOOKUP(A37,'Data yoy'!$B:$AT,MATCH($B$1,'Data yoy'!$B$1:$AT$1,0),FALSE)</f>
        <v/>
      </c>
      <c r="C37" s="47">
        <f>Table13456789101112131415161734[[#This Row],[USA]]-B36</f>
        <v/>
      </c>
      <c r="D37" s="28" t="n"/>
      <c r="V37" s="93" t="inlineStr">
        <is>
          <t>G-7</t>
        </is>
      </c>
    </row>
    <row r="38">
      <c r="A38" s="46" t="n">
        <v>20637</v>
      </c>
      <c r="B38" s="47">
        <f>VLOOKUP(A38,'Data yoy'!$B:$AT,MATCH($B$1,'Data yoy'!$B$1:$AT$1,0),FALSE)</f>
        <v/>
      </c>
      <c r="C38" s="47">
        <f>Table13456789101112131415161734[[#This Row],[USA]]-B37</f>
        <v/>
      </c>
      <c r="D38" s="28" t="n"/>
      <c r="V38" s="93" t="inlineStr">
        <is>
          <t>CHE</t>
        </is>
      </c>
    </row>
    <row r="39">
      <c r="A39" s="46" t="n">
        <v>20729</v>
      </c>
      <c r="B39" s="47">
        <f>VLOOKUP(A39,'Data yoy'!$B:$AT,MATCH($B$1,'Data yoy'!$B$1:$AT$1,0),FALSE)</f>
        <v/>
      </c>
      <c r="C39" s="47">
        <f>Table13456789101112131415161734[[#This Row],[USA]]-B38</f>
        <v/>
      </c>
      <c r="D39" s="28" t="n"/>
      <c r="V39" s="93" t="inlineStr">
        <is>
          <t>IND</t>
        </is>
      </c>
    </row>
    <row r="40">
      <c r="A40" s="46" t="n">
        <v>20821</v>
      </c>
      <c r="B40" s="47">
        <f>VLOOKUP(A40,'Data yoy'!$B:$AT,MATCH($B$1,'Data yoy'!$B$1:$AT$1,0),FALSE)</f>
        <v/>
      </c>
      <c r="C40" s="47">
        <f>Table13456789101112131415161734[[#This Row],[USA]]-B39</f>
        <v/>
      </c>
      <c r="D40" s="28" t="n"/>
      <c r="V40" s="93" t="inlineStr">
        <is>
          <t>ZAF</t>
        </is>
      </c>
    </row>
    <row r="41">
      <c r="A41" s="46" t="n">
        <v>20911</v>
      </c>
      <c r="B41" s="47">
        <f>VLOOKUP(A41,'Data yoy'!$B:$AT,MATCH($B$1,'Data yoy'!$B$1:$AT$1,0),FALSE)</f>
        <v/>
      </c>
      <c r="C41" s="47">
        <f>Table13456789101112131415161734[[#This Row],[USA]]-B40</f>
        <v/>
      </c>
      <c r="D41" s="28" t="n"/>
      <c r="V41" s="93" t="inlineStr">
        <is>
          <t>RUS</t>
        </is>
      </c>
    </row>
    <row r="42">
      <c r="A42" s="46" t="n">
        <v>21002</v>
      </c>
      <c r="B42" s="47">
        <f>VLOOKUP(A42,'Data yoy'!$B:$AT,MATCH($B$1,'Data yoy'!$B$1:$AT$1,0),FALSE)</f>
        <v/>
      </c>
      <c r="C42" s="47">
        <f>Table13456789101112131415161734[[#This Row],[USA]]-B41</f>
        <v/>
      </c>
      <c r="D42" s="28" t="n"/>
    </row>
    <row r="43">
      <c r="A43" s="46" t="n">
        <v>21094</v>
      </c>
      <c r="B43" s="47">
        <f>VLOOKUP(A43,'Data yoy'!$B:$AT,MATCH($B$1,'Data yoy'!$B$1:$AT$1,0),FALSE)</f>
        <v/>
      </c>
      <c r="C43" s="47">
        <f>Table13456789101112131415161734[[#This Row],[USA]]-B42</f>
        <v/>
      </c>
      <c r="D43" s="28" t="n"/>
    </row>
    <row r="44">
      <c r="A44" s="46" t="n">
        <v>21186</v>
      </c>
      <c r="B44" s="47">
        <f>VLOOKUP(A44,'Data yoy'!$B:$AT,MATCH($B$1,'Data yoy'!$B$1:$AT$1,0),FALSE)</f>
        <v/>
      </c>
      <c r="C44" s="47">
        <f>Table13456789101112131415161734[[#This Row],[USA]]-B43</f>
        <v/>
      </c>
      <c r="D44" s="28" t="n"/>
    </row>
    <row r="45">
      <c r="A45" s="46" t="n">
        <v>21276</v>
      </c>
      <c r="B45" s="47">
        <f>VLOOKUP(A45,'Data yoy'!$B:$AT,MATCH($B$1,'Data yoy'!$B$1:$AT$1,0),FALSE)</f>
        <v/>
      </c>
      <c r="C45" s="47">
        <f>Table13456789101112131415161734[[#This Row],[USA]]-B44</f>
        <v/>
      </c>
      <c r="D45" s="28" t="n"/>
    </row>
    <row r="46">
      <c r="A46" s="46" t="n">
        <v>21367</v>
      </c>
      <c r="B46" s="47">
        <f>VLOOKUP(A46,'Data yoy'!$B:$AT,MATCH($B$1,'Data yoy'!$B$1:$AT$1,0),FALSE)</f>
        <v/>
      </c>
      <c r="C46" s="47">
        <f>Table13456789101112131415161734[[#This Row],[USA]]-B45</f>
        <v/>
      </c>
      <c r="D46" s="28" t="n"/>
    </row>
    <row r="47">
      <c r="A47" s="46" t="n">
        <v>21459</v>
      </c>
      <c r="B47" s="47">
        <f>VLOOKUP(A47,'Data yoy'!$B:$AT,MATCH($B$1,'Data yoy'!$B$1:$AT$1,0),FALSE)</f>
        <v/>
      </c>
      <c r="C47" s="47">
        <f>Table13456789101112131415161734[[#This Row],[USA]]-B46</f>
        <v/>
      </c>
      <c r="D47" s="28" t="n"/>
    </row>
    <row r="48">
      <c r="A48" s="46" t="n">
        <v>21551</v>
      </c>
      <c r="B48" s="47">
        <f>VLOOKUP(A48,'Data yoy'!$B:$AT,MATCH($B$1,'Data yoy'!$B$1:$AT$1,0),FALSE)</f>
        <v/>
      </c>
      <c r="C48" s="47">
        <f>Table13456789101112131415161734[[#This Row],[USA]]-B47</f>
        <v/>
      </c>
      <c r="D48" s="28" t="n"/>
    </row>
    <row r="49">
      <c r="A49" s="46" t="n">
        <v>21641</v>
      </c>
      <c r="B49" s="47">
        <f>VLOOKUP(A49,'Data yoy'!$B:$AT,MATCH($B$1,'Data yoy'!$B$1:$AT$1,0),FALSE)</f>
        <v/>
      </c>
      <c r="C49" s="47">
        <f>Table13456789101112131415161734[[#This Row],[USA]]-B48</f>
        <v/>
      </c>
      <c r="D49" s="28" t="n"/>
    </row>
    <row r="50">
      <c r="A50" s="46" t="n">
        <v>21732</v>
      </c>
      <c r="B50" s="47">
        <f>VLOOKUP(A50,'Data yoy'!$B:$AT,MATCH($B$1,'Data yoy'!$B$1:$AT$1,0),FALSE)</f>
        <v/>
      </c>
      <c r="C50" s="47">
        <f>Table13456789101112131415161734[[#This Row],[USA]]-B49</f>
        <v/>
      </c>
      <c r="D50" s="28" t="n"/>
    </row>
    <row r="51">
      <c r="A51" s="46" t="n">
        <v>21824</v>
      </c>
      <c r="B51" s="47">
        <f>VLOOKUP(A51,'Data yoy'!$B:$AT,MATCH($B$1,'Data yoy'!$B$1:$AT$1,0),FALSE)</f>
        <v/>
      </c>
      <c r="C51" s="47">
        <f>Table13456789101112131415161734[[#This Row],[USA]]-B50</f>
        <v/>
      </c>
      <c r="D51" s="28" t="n"/>
    </row>
    <row r="52">
      <c r="A52" s="46" t="n">
        <v>21916</v>
      </c>
      <c r="B52" s="47">
        <f>VLOOKUP(A52,'Data yoy'!$B:$AT,MATCH($B$1,'Data yoy'!$B$1:$AT$1,0),FALSE)</f>
        <v/>
      </c>
      <c r="C52" s="47">
        <f>Table13456789101112131415161734[[#This Row],[USA]]-B51</f>
        <v/>
      </c>
      <c r="D52" s="28" t="n"/>
    </row>
    <row r="53">
      <c r="A53" s="46" t="n">
        <v>22007</v>
      </c>
      <c r="B53" s="47">
        <f>VLOOKUP(A53,'Data yoy'!$B:$AT,MATCH($B$1,'Data yoy'!$B$1:$AT$1,0),FALSE)</f>
        <v/>
      </c>
      <c r="C53" s="47">
        <f>Table13456789101112131415161734[[#This Row],[USA]]-B52</f>
        <v/>
      </c>
      <c r="D53" s="28" t="n"/>
    </row>
    <row r="54">
      <c r="A54" s="46" t="n">
        <v>22098</v>
      </c>
      <c r="B54" s="47">
        <f>VLOOKUP(A54,'Data yoy'!$B:$AT,MATCH($B$1,'Data yoy'!$B$1:$AT$1,0),FALSE)</f>
        <v/>
      </c>
      <c r="C54" s="47">
        <f>Table13456789101112131415161734[[#This Row],[USA]]-B53</f>
        <v/>
      </c>
      <c r="D54" s="28" t="n"/>
    </row>
    <row r="55">
      <c r="A55" s="46" t="n">
        <v>22190</v>
      </c>
      <c r="B55" s="47">
        <f>VLOOKUP(A55,'Data yoy'!$B:$AT,MATCH($B$1,'Data yoy'!$B$1:$AT$1,0),FALSE)</f>
        <v/>
      </c>
      <c r="C55" s="47">
        <f>Table13456789101112131415161734[[#This Row],[USA]]-B54</f>
        <v/>
      </c>
      <c r="D55" s="28" t="n"/>
    </row>
    <row r="56">
      <c r="A56" s="46" t="n">
        <v>22282</v>
      </c>
      <c r="B56" s="47">
        <f>VLOOKUP(A56,'Data yoy'!$B:$AT,MATCH($B$1,'Data yoy'!$B$1:$AT$1,0),FALSE)</f>
        <v/>
      </c>
      <c r="C56" s="47">
        <f>Table13456789101112131415161734[[#This Row],[USA]]-B55</f>
        <v/>
      </c>
      <c r="D56" s="28" t="n"/>
    </row>
    <row r="57">
      <c r="A57" s="46" t="n">
        <v>22372</v>
      </c>
      <c r="B57" s="47">
        <f>VLOOKUP(A57,'Data yoy'!$B:$AT,MATCH($B$1,'Data yoy'!$B$1:$AT$1,0),FALSE)</f>
        <v/>
      </c>
      <c r="C57" s="47">
        <f>Table13456789101112131415161734[[#This Row],[USA]]-B56</f>
        <v/>
      </c>
      <c r="D57" s="28" t="n"/>
    </row>
    <row r="58">
      <c r="A58" s="46" t="n">
        <v>22463</v>
      </c>
      <c r="B58" s="47">
        <f>VLOOKUP(A58,'Data yoy'!$B:$AT,MATCH($B$1,'Data yoy'!$B$1:$AT$1,0),FALSE)</f>
        <v/>
      </c>
      <c r="C58" s="47">
        <f>Table13456789101112131415161734[[#This Row],[USA]]-B57</f>
        <v/>
      </c>
      <c r="D58" s="28" t="n"/>
    </row>
    <row r="59">
      <c r="A59" s="46" t="n">
        <v>22555</v>
      </c>
      <c r="B59" s="47">
        <f>VLOOKUP(A59,'Data yoy'!$B:$AT,MATCH($B$1,'Data yoy'!$B$1:$AT$1,0),FALSE)</f>
        <v/>
      </c>
      <c r="C59" s="47">
        <f>Table13456789101112131415161734[[#This Row],[USA]]-B58</f>
        <v/>
      </c>
      <c r="D59" s="28" t="n"/>
    </row>
    <row r="60">
      <c r="A60" s="46" t="n">
        <v>22647</v>
      </c>
      <c r="B60" s="47">
        <f>VLOOKUP(A60,'Data yoy'!$B:$AT,MATCH($B$1,'Data yoy'!$B$1:$AT$1,0),FALSE)</f>
        <v/>
      </c>
      <c r="C60" s="47">
        <f>Table13456789101112131415161734[[#This Row],[USA]]-B59</f>
        <v/>
      </c>
      <c r="D60" s="28" t="n"/>
    </row>
    <row r="61">
      <c r="A61" s="46" t="n">
        <v>22737</v>
      </c>
      <c r="B61" s="47">
        <f>VLOOKUP(A61,'Data yoy'!$B:$AT,MATCH($B$1,'Data yoy'!$B$1:$AT$1,0),FALSE)</f>
        <v/>
      </c>
      <c r="C61" s="47">
        <f>Table13456789101112131415161734[[#This Row],[USA]]-B60</f>
        <v/>
      </c>
      <c r="D61" s="28" t="n"/>
    </row>
    <row r="62">
      <c r="A62" s="46" t="n">
        <v>22828</v>
      </c>
      <c r="B62" s="47">
        <f>VLOOKUP(A62,'Data yoy'!$B:$AT,MATCH($B$1,'Data yoy'!$B$1:$AT$1,0),FALSE)</f>
        <v/>
      </c>
      <c r="C62" s="47">
        <f>Table13456789101112131415161734[[#This Row],[USA]]-B61</f>
        <v/>
      </c>
      <c r="D62" s="28" t="n"/>
    </row>
    <row r="63">
      <c r="A63" s="46" t="n">
        <v>22920</v>
      </c>
      <c r="B63" s="47">
        <f>VLOOKUP(A63,'Data yoy'!$B:$AT,MATCH($B$1,'Data yoy'!$B$1:$AT$1,0),FALSE)</f>
        <v/>
      </c>
      <c r="C63" s="47">
        <f>Table13456789101112131415161734[[#This Row],[USA]]-B62</f>
        <v/>
      </c>
      <c r="D63" s="28" t="n"/>
    </row>
    <row r="64">
      <c r="A64" s="46" t="n">
        <v>23012</v>
      </c>
      <c r="B64" s="47">
        <f>VLOOKUP(A64,'Data yoy'!$B:$AT,MATCH($B$1,'Data yoy'!$B$1:$AT$1,0),FALSE)</f>
        <v/>
      </c>
      <c r="C64" s="47">
        <f>Table13456789101112131415161734[[#This Row],[USA]]-B63</f>
        <v/>
      </c>
      <c r="D64" s="28" t="n"/>
    </row>
    <row r="65">
      <c r="A65" s="46" t="n">
        <v>23102</v>
      </c>
      <c r="B65" s="47">
        <f>VLOOKUP(A65,'Data yoy'!$B:$AT,MATCH($B$1,'Data yoy'!$B$1:$AT$1,0),FALSE)</f>
        <v/>
      </c>
      <c r="C65" s="47">
        <f>Table13456789101112131415161734[[#This Row],[USA]]-B64</f>
        <v/>
      </c>
      <c r="D65" s="28" t="n"/>
    </row>
    <row r="66">
      <c r="A66" s="46" t="n">
        <v>23193</v>
      </c>
      <c r="B66" s="47">
        <f>VLOOKUP(A66,'Data yoy'!$B:$AT,MATCH($B$1,'Data yoy'!$B$1:$AT$1,0),FALSE)</f>
        <v/>
      </c>
      <c r="C66" s="47">
        <f>Table13456789101112131415161734[[#This Row],[USA]]-B65</f>
        <v/>
      </c>
      <c r="D66" s="28" t="n"/>
    </row>
    <row r="67">
      <c r="A67" s="46" t="n">
        <v>23285</v>
      </c>
      <c r="B67" s="47">
        <f>VLOOKUP(A67,'Data yoy'!$B:$AT,MATCH($B$1,'Data yoy'!$B$1:$AT$1,0),FALSE)</f>
        <v/>
      </c>
      <c r="C67" s="47">
        <f>Table13456789101112131415161734[[#This Row],[USA]]-B66</f>
        <v/>
      </c>
      <c r="D67" s="28" t="n"/>
    </row>
    <row r="68">
      <c r="A68" s="46" t="n">
        <v>23377</v>
      </c>
      <c r="B68" s="47">
        <f>VLOOKUP(A68,'Data yoy'!$B:$AT,MATCH($B$1,'Data yoy'!$B$1:$AT$1,0),FALSE)</f>
        <v/>
      </c>
      <c r="C68" s="47">
        <f>Table13456789101112131415161734[[#This Row],[USA]]-B67</f>
        <v/>
      </c>
      <c r="D68" s="28" t="n"/>
    </row>
    <row r="69">
      <c r="A69" s="46" t="n">
        <v>23468</v>
      </c>
      <c r="B69" s="47">
        <f>VLOOKUP(A69,'Data yoy'!$B:$AT,MATCH($B$1,'Data yoy'!$B$1:$AT$1,0),FALSE)</f>
        <v/>
      </c>
      <c r="C69" s="47">
        <f>Table13456789101112131415161734[[#This Row],[USA]]-B68</f>
        <v/>
      </c>
      <c r="D69" s="28" t="n"/>
    </row>
    <row r="70">
      <c r="A70" s="46" t="n">
        <v>23559</v>
      </c>
      <c r="B70" s="47">
        <f>VLOOKUP(A70,'Data yoy'!$B:$AT,MATCH($B$1,'Data yoy'!$B$1:$AT$1,0),FALSE)</f>
        <v/>
      </c>
      <c r="C70" s="47">
        <f>Table13456789101112131415161734[[#This Row],[USA]]-B69</f>
        <v/>
      </c>
      <c r="D70" s="28" t="n"/>
    </row>
    <row r="71">
      <c r="A71" s="46" t="n">
        <v>23651</v>
      </c>
      <c r="B71" s="47">
        <f>VLOOKUP(A71,'Data yoy'!$B:$AT,MATCH($B$1,'Data yoy'!$B$1:$AT$1,0),FALSE)</f>
        <v/>
      </c>
      <c r="C71" s="47">
        <f>Table13456789101112131415161734[[#This Row],[USA]]-B70</f>
        <v/>
      </c>
      <c r="D71" s="28" t="n"/>
    </row>
    <row r="72">
      <c r="A72" s="46" t="n">
        <v>23743</v>
      </c>
      <c r="B72" s="47">
        <f>VLOOKUP(A72,'Data yoy'!$B:$AT,MATCH($B$1,'Data yoy'!$B$1:$AT$1,0),FALSE)</f>
        <v/>
      </c>
      <c r="C72" s="47">
        <f>Table13456789101112131415161734[[#This Row],[USA]]-B71</f>
        <v/>
      </c>
      <c r="D72" s="28" t="n"/>
    </row>
    <row r="73">
      <c r="A73" s="46" t="n">
        <v>23833</v>
      </c>
      <c r="B73" s="47">
        <f>VLOOKUP(A73,'Data yoy'!$B:$AT,MATCH($B$1,'Data yoy'!$B$1:$AT$1,0),FALSE)</f>
        <v/>
      </c>
      <c r="C73" s="47">
        <f>Table13456789101112131415161734[[#This Row],[USA]]-B72</f>
        <v/>
      </c>
      <c r="D73" s="28" t="n"/>
    </row>
    <row r="74">
      <c r="A74" s="46" t="n">
        <v>23924</v>
      </c>
      <c r="B74" s="47">
        <f>VLOOKUP(A74,'Data yoy'!$B:$AT,MATCH($B$1,'Data yoy'!$B$1:$AT$1,0),FALSE)</f>
        <v/>
      </c>
      <c r="C74" s="47">
        <f>Table13456789101112131415161734[[#This Row],[USA]]-B73</f>
        <v/>
      </c>
      <c r="D74" s="28" t="n"/>
    </row>
    <row r="75">
      <c r="A75" s="46" t="n">
        <v>24016</v>
      </c>
      <c r="B75" s="47">
        <f>VLOOKUP(A75,'Data yoy'!$B:$AT,MATCH($B$1,'Data yoy'!$B$1:$AT$1,0),FALSE)</f>
        <v/>
      </c>
      <c r="C75" s="47">
        <f>Table13456789101112131415161734[[#This Row],[USA]]-B74</f>
        <v/>
      </c>
      <c r="D75" s="28" t="n"/>
    </row>
    <row r="76">
      <c r="A76" s="46" t="n">
        <v>24108</v>
      </c>
      <c r="B76" s="47">
        <f>VLOOKUP(A76,'Data yoy'!$B:$AT,MATCH($B$1,'Data yoy'!$B$1:$AT$1,0),FALSE)</f>
        <v/>
      </c>
      <c r="C76" s="47">
        <f>Table13456789101112131415161734[[#This Row],[USA]]-B75</f>
        <v/>
      </c>
      <c r="D76" s="28" t="n"/>
    </row>
    <row r="77">
      <c r="A77" s="46" t="n">
        <v>24198</v>
      </c>
      <c r="B77" s="47">
        <f>VLOOKUP(A77,'Data yoy'!$B:$AT,MATCH($B$1,'Data yoy'!$B$1:$AT$1,0),FALSE)</f>
        <v/>
      </c>
      <c r="C77" s="47">
        <f>Table13456789101112131415161734[[#This Row],[USA]]-B76</f>
        <v/>
      </c>
      <c r="D77" s="28" t="n"/>
    </row>
    <row r="78">
      <c r="A78" s="46" t="n">
        <v>24289</v>
      </c>
      <c r="B78" s="47">
        <f>VLOOKUP(A78,'Data yoy'!$B:$AT,MATCH($B$1,'Data yoy'!$B$1:$AT$1,0),FALSE)</f>
        <v/>
      </c>
      <c r="C78" s="47">
        <f>Table13456789101112131415161734[[#This Row],[USA]]-B77</f>
        <v/>
      </c>
      <c r="D78" s="28" t="n"/>
    </row>
    <row r="79">
      <c r="A79" s="46" t="n">
        <v>24381</v>
      </c>
      <c r="B79" s="47">
        <f>VLOOKUP(A79,'Data yoy'!$B:$AT,MATCH($B$1,'Data yoy'!$B$1:$AT$1,0),FALSE)</f>
        <v/>
      </c>
      <c r="C79" s="47">
        <f>Table13456789101112131415161734[[#This Row],[USA]]-B78</f>
        <v/>
      </c>
      <c r="D79" s="28" t="n"/>
    </row>
    <row r="80">
      <c r="A80" s="46" t="n">
        <v>24473</v>
      </c>
      <c r="B80" s="47">
        <f>VLOOKUP(A80,'Data yoy'!$B:$AT,MATCH($B$1,'Data yoy'!$B$1:$AT$1,0),FALSE)</f>
        <v/>
      </c>
      <c r="C80" s="47">
        <f>Table13456789101112131415161734[[#This Row],[USA]]-B79</f>
        <v/>
      </c>
      <c r="D80" s="28" t="n"/>
    </row>
    <row r="81">
      <c r="A81" s="46" t="n">
        <v>24563</v>
      </c>
      <c r="B81" s="47">
        <f>VLOOKUP(A81,'Data yoy'!$B:$AT,MATCH($B$1,'Data yoy'!$B$1:$AT$1,0),FALSE)</f>
        <v/>
      </c>
      <c r="C81" s="47">
        <f>Table13456789101112131415161734[[#This Row],[USA]]-B80</f>
        <v/>
      </c>
      <c r="D81" s="28" t="n"/>
    </row>
    <row r="82">
      <c r="A82" s="46" t="n">
        <v>24654</v>
      </c>
      <c r="B82" s="47">
        <f>VLOOKUP(A82,'Data yoy'!$B:$AT,MATCH($B$1,'Data yoy'!$B$1:$AT$1,0),FALSE)</f>
        <v/>
      </c>
      <c r="C82" s="47">
        <f>Table13456789101112131415161734[[#This Row],[USA]]-B81</f>
        <v/>
      </c>
      <c r="D82" s="28" t="n"/>
    </row>
    <row r="83">
      <c r="A83" s="46" t="n">
        <v>24746</v>
      </c>
      <c r="B83" s="47">
        <f>VLOOKUP(A83,'Data yoy'!$B:$AT,MATCH($B$1,'Data yoy'!$B$1:$AT$1,0),FALSE)</f>
        <v/>
      </c>
      <c r="C83" s="47">
        <f>Table13456789101112131415161734[[#This Row],[USA]]-B82</f>
        <v/>
      </c>
      <c r="D83" s="28" t="n"/>
    </row>
    <row r="84">
      <c r="A84" s="46" t="n">
        <v>24838</v>
      </c>
      <c r="B84" s="47">
        <f>VLOOKUP(A84,'Data yoy'!$B:$AT,MATCH($B$1,'Data yoy'!$B$1:$AT$1,0),FALSE)</f>
        <v/>
      </c>
      <c r="C84" s="47">
        <f>Table13456789101112131415161734[[#This Row],[USA]]-B83</f>
        <v/>
      </c>
      <c r="D84" s="28" t="n"/>
    </row>
    <row r="85">
      <c r="A85" s="46" t="n">
        <v>24929</v>
      </c>
      <c r="B85" s="47">
        <f>VLOOKUP(A85,'Data yoy'!$B:$AT,MATCH($B$1,'Data yoy'!$B$1:$AT$1,0),FALSE)</f>
        <v/>
      </c>
      <c r="C85" s="47">
        <f>Table13456789101112131415161734[[#This Row],[USA]]-B84</f>
        <v/>
      </c>
      <c r="D85" s="28" t="n"/>
    </row>
    <row r="86">
      <c r="A86" s="46" t="n">
        <v>25020</v>
      </c>
      <c r="B86" s="47">
        <f>VLOOKUP(A86,'Data yoy'!$B:$AT,MATCH($B$1,'Data yoy'!$B$1:$AT$1,0),FALSE)</f>
        <v/>
      </c>
      <c r="C86" s="47">
        <f>Table13456789101112131415161734[[#This Row],[USA]]-B85</f>
        <v/>
      </c>
      <c r="D86" s="28" t="n"/>
    </row>
    <row r="87">
      <c r="A87" s="46" t="n">
        <v>25112</v>
      </c>
      <c r="B87" s="47">
        <f>VLOOKUP(A87,'Data yoy'!$B:$AT,MATCH($B$1,'Data yoy'!$B$1:$AT$1,0),FALSE)</f>
        <v/>
      </c>
      <c r="C87" s="47">
        <f>Table13456789101112131415161734[[#This Row],[USA]]-B86</f>
        <v/>
      </c>
      <c r="D87" s="28" t="n"/>
    </row>
    <row r="88">
      <c r="A88" s="46" t="n">
        <v>25204</v>
      </c>
      <c r="B88" s="47">
        <f>VLOOKUP(A88,'Data yoy'!$B:$AT,MATCH($B$1,'Data yoy'!$B$1:$AT$1,0),FALSE)</f>
        <v/>
      </c>
      <c r="C88" s="47">
        <f>Table13456789101112131415161734[[#This Row],[USA]]-B87</f>
        <v/>
      </c>
      <c r="D88" s="28" t="n"/>
    </row>
    <row r="89">
      <c r="A89" s="46" t="n">
        <v>25294</v>
      </c>
      <c r="B89" s="47">
        <f>VLOOKUP(A89,'Data yoy'!$B:$AT,MATCH($B$1,'Data yoy'!$B$1:$AT$1,0),FALSE)</f>
        <v/>
      </c>
      <c r="C89" s="47">
        <f>Table13456789101112131415161734[[#This Row],[USA]]-B88</f>
        <v/>
      </c>
      <c r="D89" s="28" t="n"/>
    </row>
    <row r="90">
      <c r="A90" s="46" t="n">
        <v>25385</v>
      </c>
      <c r="B90" s="47">
        <f>VLOOKUP(A90,'Data yoy'!$B:$AT,MATCH($B$1,'Data yoy'!$B$1:$AT$1,0),FALSE)</f>
        <v/>
      </c>
      <c r="C90" s="47">
        <f>Table13456789101112131415161734[[#This Row],[USA]]-B89</f>
        <v/>
      </c>
      <c r="D90" s="28" t="n"/>
    </row>
    <row r="91">
      <c r="A91" s="46" t="n">
        <v>25477</v>
      </c>
      <c r="B91" s="47">
        <f>VLOOKUP(A91,'Data yoy'!$B:$AT,MATCH($B$1,'Data yoy'!$B$1:$AT$1,0),FALSE)</f>
        <v/>
      </c>
      <c r="C91" s="47">
        <f>Table13456789101112131415161734[[#This Row],[USA]]-B90</f>
        <v/>
      </c>
      <c r="D91" s="28" t="n"/>
    </row>
    <row r="92">
      <c r="A92" s="46" t="n">
        <v>25569</v>
      </c>
      <c r="B92" s="47">
        <f>VLOOKUP(A92,'Data yoy'!$B:$AT,MATCH($B$1,'Data yoy'!$B$1:$AT$1,0),FALSE)</f>
        <v/>
      </c>
      <c r="C92" s="47">
        <f>Table13456789101112131415161734[[#This Row],[USA]]-B91</f>
        <v/>
      </c>
      <c r="D92" s="28" t="n"/>
    </row>
    <row r="93">
      <c r="A93" s="46" t="n">
        <v>25659</v>
      </c>
      <c r="B93" s="47">
        <f>VLOOKUP(A93,'Data yoy'!$B:$AT,MATCH($B$1,'Data yoy'!$B$1:$AT$1,0),FALSE)</f>
        <v/>
      </c>
      <c r="C93" s="47">
        <f>Table13456789101112131415161734[[#This Row],[USA]]-B92</f>
        <v/>
      </c>
      <c r="D93" s="28" t="n"/>
    </row>
    <row r="94">
      <c r="A94" s="46" t="n">
        <v>25750</v>
      </c>
      <c r="B94" s="47">
        <f>VLOOKUP(A94,'Data yoy'!$B:$AT,MATCH($B$1,'Data yoy'!$B$1:$AT$1,0),FALSE)</f>
        <v/>
      </c>
      <c r="C94" s="47">
        <f>Table13456789101112131415161734[[#This Row],[USA]]-B93</f>
        <v/>
      </c>
      <c r="D94" s="28" t="n"/>
    </row>
    <row r="95">
      <c r="A95" s="46" t="n">
        <v>25842</v>
      </c>
      <c r="B95" s="47">
        <f>VLOOKUP(A95,'Data yoy'!$B:$AT,MATCH($B$1,'Data yoy'!$B$1:$AT$1,0),FALSE)</f>
        <v/>
      </c>
      <c r="C95" s="47">
        <f>Table13456789101112131415161734[[#This Row],[USA]]-B94</f>
        <v/>
      </c>
      <c r="D95" s="28" t="n"/>
    </row>
    <row r="96">
      <c r="A96" s="46" t="n">
        <v>25934</v>
      </c>
      <c r="B96" s="47">
        <f>VLOOKUP(A96,'Data yoy'!$B:$AT,MATCH($B$1,'Data yoy'!$B$1:$AT$1,0),FALSE)</f>
        <v/>
      </c>
      <c r="C96" s="47">
        <f>Table13456789101112131415161734[[#This Row],[USA]]-B95</f>
        <v/>
      </c>
      <c r="D96" s="28" t="n"/>
    </row>
    <row r="97">
      <c r="A97" s="46" t="n">
        <v>26024</v>
      </c>
      <c r="B97" s="47">
        <f>VLOOKUP(A97,'Data yoy'!$B:$AT,MATCH($B$1,'Data yoy'!$B$1:$AT$1,0),FALSE)</f>
        <v/>
      </c>
      <c r="C97" s="47">
        <f>Table13456789101112131415161734[[#This Row],[USA]]-B96</f>
        <v/>
      </c>
      <c r="D97" s="28" t="n"/>
    </row>
    <row r="98">
      <c r="A98" s="46" t="n">
        <v>26115</v>
      </c>
      <c r="B98" s="47">
        <f>VLOOKUP(A98,'Data yoy'!$B:$AT,MATCH($B$1,'Data yoy'!$B$1:$AT$1,0),FALSE)</f>
        <v/>
      </c>
      <c r="C98" s="47">
        <f>Table13456789101112131415161734[[#This Row],[USA]]-B97</f>
        <v/>
      </c>
      <c r="D98" s="28" t="n"/>
    </row>
    <row r="99">
      <c r="A99" s="46" t="n">
        <v>26207</v>
      </c>
      <c r="B99" s="47">
        <f>VLOOKUP(A99,'Data yoy'!$B:$AT,MATCH($B$1,'Data yoy'!$B$1:$AT$1,0),FALSE)</f>
        <v/>
      </c>
      <c r="C99" s="47">
        <f>Table13456789101112131415161734[[#This Row],[USA]]-B98</f>
        <v/>
      </c>
      <c r="D99" s="28" t="n"/>
    </row>
    <row r="100">
      <c r="A100" s="46" t="n">
        <v>26299</v>
      </c>
      <c r="B100" s="47">
        <f>VLOOKUP(A100,'Data yoy'!$B:$AT,MATCH($B$1,'Data yoy'!$B$1:$AT$1,0),FALSE)</f>
        <v/>
      </c>
      <c r="C100" s="47">
        <f>Table13456789101112131415161734[[#This Row],[USA]]-B99</f>
        <v/>
      </c>
      <c r="D100" s="28" t="n"/>
    </row>
    <row r="101">
      <c r="A101" s="46" t="n">
        <v>26390</v>
      </c>
      <c r="B101" s="47">
        <f>VLOOKUP(A101,'Data yoy'!$B:$AT,MATCH($B$1,'Data yoy'!$B$1:$AT$1,0),FALSE)</f>
        <v/>
      </c>
      <c r="C101" s="47">
        <f>Table13456789101112131415161734[[#This Row],[USA]]-B100</f>
        <v/>
      </c>
      <c r="D101" s="28" t="n"/>
    </row>
    <row r="102">
      <c r="A102" s="46" t="n">
        <v>26481</v>
      </c>
      <c r="B102" s="47">
        <f>VLOOKUP(A102,'Data yoy'!$B:$AT,MATCH($B$1,'Data yoy'!$B$1:$AT$1,0),FALSE)</f>
        <v/>
      </c>
      <c r="C102" s="47">
        <f>Table13456789101112131415161734[[#This Row],[USA]]-B101</f>
        <v/>
      </c>
      <c r="D102" s="28" t="n"/>
    </row>
    <row r="103">
      <c r="A103" s="46" t="n">
        <v>26573</v>
      </c>
      <c r="B103" s="47">
        <f>VLOOKUP(A103,'Data yoy'!$B:$AT,MATCH($B$1,'Data yoy'!$B$1:$AT$1,0),FALSE)</f>
        <v/>
      </c>
      <c r="C103" s="47">
        <f>Table13456789101112131415161734[[#This Row],[USA]]-B102</f>
        <v/>
      </c>
      <c r="D103" s="28" t="n"/>
    </row>
    <row r="104">
      <c r="A104" s="46" t="n">
        <v>26665</v>
      </c>
      <c r="B104" s="47">
        <f>VLOOKUP(A104,'Data yoy'!$B:$AT,MATCH($B$1,'Data yoy'!$B$1:$AT$1,0),FALSE)</f>
        <v/>
      </c>
      <c r="C104" s="47">
        <f>Table13456789101112131415161734[[#This Row],[USA]]-B103</f>
        <v/>
      </c>
      <c r="D104" s="28" t="n"/>
    </row>
    <row r="105">
      <c r="A105" s="46" t="n">
        <v>26755</v>
      </c>
      <c r="B105" s="47">
        <f>VLOOKUP(A105,'Data yoy'!$B:$AT,MATCH($B$1,'Data yoy'!$B$1:$AT$1,0),FALSE)</f>
        <v/>
      </c>
      <c r="C105" s="47">
        <f>Table13456789101112131415161734[[#This Row],[USA]]-B104</f>
        <v/>
      </c>
      <c r="D105" s="28" t="n"/>
    </row>
    <row r="106">
      <c r="A106" s="46" t="n">
        <v>26846</v>
      </c>
      <c r="B106" s="47">
        <f>VLOOKUP(A106,'Data yoy'!$B:$AT,MATCH($B$1,'Data yoy'!$B$1:$AT$1,0),FALSE)</f>
        <v/>
      </c>
      <c r="C106" s="47">
        <f>Table13456789101112131415161734[[#This Row],[USA]]-B105</f>
        <v/>
      </c>
      <c r="D106" s="28" t="n"/>
    </row>
    <row r="107">
      <c r="A107" s="46" t="n">
        <v>26938</v>
      </c>
      <c r="B107" s="47">
        <f>VLOOKUP(A107,'Data yoy'!$B:$AT,MATCH($B$1,'Data yoy'!$B$1:$AT$1,0),FALSE)</f>
        <v/>
      </c>
      <c r="C107" s="47">
        <f>Table13456789101112131415161734[[#This Row],[USA]]-B106</f>
        <v/>
      </c>
      <c r="D107" s="28" t="n"/>
    </row>
    <row r="108">
      <c r="A108" s="46" t="n">
        <v>27030</v>
      </c>
      <c r="B108" s="47">
        <f>VLOOKUP(A108,'Data yoy'!$B:$AT,MATCH($B$1,'Data yoy'!$B$1:$AT$1,0),FALSE)</f>
        <v/>
      </c>
      <c r="C108" s="47">
        <f>Table13456789101112131415161734[[#This Row],[USA]]-B107</f>
        <v/>
      </c>
      <c r="D108" s="28" t="n"/>
    </row>
    <row r="109">
      <c r="A109" s="46" t="n">
        <v>27120</v>
      </c>
      <c r="B109" s="47">
        <f>VLOOKUP(A109,'Data yoy'!$B:$AT,MATCH($B$1,'Data yoy'!$B$1:$AT$1,0),FALSE)</f>
        <v/>
      </c>
      <c r="C109" s="47">
        <f>Table13456789101112131415161734[[#This Row],[USA]]-B108</f>
        <v/>
      </c>
      <c r="D109" s="28" t="n"/>
    </row>
    <row r="110">
      <c r="A110" s="46" t="n">
        <v>27211</v>
      </c>
      <c r="B110" s="47">
        <f>VLOOKUP(A110,'Data yoy'!$B:$AT,MATCH($B$1,'Data yoy'!$B$1:$AT$1,0),FALSE)</f>
        <v/>
      </c>
      <c r="C110" s="47">
        <f>Table13456789101112131415161734[[#This Row],[USA]]-B109</f>
        <v/>
      </c>
      <c r="D110" s="28" t="n"/>
    </row>
    <row r="111">
      <c r="A111" s="46" t="n">
        <v>27303</v>
      </c>
      <c r="B111" s="47">
        <f>VLOOKUP(A111,'Data yoy'!$B:$AT,MATCH($B$1,'Data yoy'!$B$1:$AT$1,0),FALSE)</f>
        <v/>
      </c>
      <c r="C111" s="47">
        <f>Table13456789101112131415161734[[#This Row],[USA]]-B110</f>
        <v/>
      </c>
      <c r="D111" s="28" t="n"/>
    </row>
    <row r="112">
      <c r="A112" s="46" t="n">
        <v>27395</v>
      </c>
      <c r="B112" s="47">
        <f>VLOOKUP(A112,'Data yoy'!$B:$AT,MATCH($B$1,'Data yoy'!$B$1:$AT$1,0),FALSE)</f>
        <v/>
      </c>
      <c r="C112" s="47">
        <f>Table13456789101112131415161734[[#This Row],[USA]]-B111</f>
        <v/>
      </c>
      <c r="D112" s="28" t="n"/>
    </row>
    <row r="113">
      <c r="A113" s="46" t="n">
        <v>27485</v>
      </c>
      <c r="B113" s="47">
        <f>VLOOKUP(A113,'Data yoy'!$B:$AT,MATCH($B$1,'Data yoy'!$B$1:$AT$1,0),FALSE)</f>
        <v/>
      </c>
      <c r="C113" s="47">
        <f>Table13456789101112131415161734[[#This Row],[USA]]-B112</f>
        <v/>
      </c>
      <c r="D113" s="28" t="n"/>
    </row>
    <row r="114">
      <c r="A114" s="46" t="n">
        <v>27576</v>
      </c>
      <c r="B114" s="47">
        <f>VLOOKUP(A114,'Data yoy'!$B:$AT,MATCH($B$1,'Data yoy'!$B$1:$AT$1,0),FALSE)</f>
        <v/>
      </c>
      <c r="C114" s="47">
        <f>Table13456789101112131415161734[[#This Row],[USA]]-B113</f>
        <v/>
      </c>
      <c r="D114" s="28" t="n"/>
    </row>
    <row r="115">
      <c r="A115" s="46" t="n">
        <v>27668</v>
      </c>
      <c r="B115" s="47">
        <f>VLOOKUP(A115,'Data yoy'!$B:$AT,MATCH($B$1,'Data yoy'!$B$1:$AT$1,0),FALSE)</f>
        <v/>
      </c>
      <c r="C115" s="47">
        <f>Table13456789101112131415161734[[#This Row],[USA]]-B114</f>
        <v/>
      </c>
      <c r="D115" s="28" t="n"/>
    </row>
    <row r="116">
      <c r="A116" s="46" t="n">
        <v>27760</v>
      </c>
      <c r="B116" s="47">
        <f>VLOOKUP(A116,'Data yoy'!$B:$AT,MATCH($B$1,'Data yoy'!$B$1:$AT$1,0),FALSE)</f>
        <v/>
      </c>
      <c r="C116" s="47">
        <f>Table13456789101112131415161734[[#This Row],[USA]]-B115</f>
        <v/>
      </c>
      <c r="D116" s="28" t="n"/>
    </row>
    <row r="117">
      <c r="A117" s="46" t="n">
        <v>27851</v>
      </c>
      <c r="B117" s="47">
        <f>VLOOKUP(A117,'Data yoy'!$B:$AT,MATCH($B$1,'Data yoy'!$B$1:$AT$1,0),FALSE)</f>
        <v/>
      </c>
      <c r="C117" s="47">
        <f>Table13456789101112131415161734[[#This Row],[USA]]-B116</f>
        <v/>
      </c>
      <c r="D117" s="28" t="n"/>
    </row>
    <row r="118">
      <c r="A118" s="46" t="n">
        <v>27942</v>
      </c>
      <c r="B118" s="47">
        <f>VLOOKUP(A118,'Data yoy'!$B:$AT,MATCH($B$1,'Data yoy'!$B$1:$AT$1,0),FALSE)</f>
        <v/>
      </c>
      <c r="C118" s="47">
        <f>Table13456789101112131415161734[[#This Row],[USA]]-B117</f>
        <v/>
      </c>
      <c r="D118" s="28" t="n"/>
    </row>
    <row r="119">
      <c r="A119" s="46" t="n">
        <v>28034</v>
      </c>
      <c r="B119" s="47">
        <f>VLOOKUP(A119,'Data yoy'!$B:$AT,MATCH($B$1,'Data yoy'!$B$1:$AT$1,0),FALSE)</f>
        <v/>
      </c>
      <c r="C119" s="47">
        <f>Table13456789101112131415161734[[#This Row],[USA]]-B118</f>
        <v/>
      </c>
      <c r="D119" s="28" t="n"/>
    </row>
    <row r="120">
      <c r="A120" s="46" t="n">
        <v>28126</v>
      </c>
      <c r="B120" s="47">
        <f>VLOOKUP(A120,'Data yoy'!$B:$AT,MATCH($B$1,'Data yoy'!$B$1:$AT$1,0),FALSE)</f>
        <v/>
      </c>
      <c r="C120" s="47">
        <f>Table13456789101112131415161734[[#This Row],[USA]]-B119</f>
        <v/>
      </c>
      <c r="D120" s="28" t="n"/>
    </row>
    <row r="121">
      <c r="A121" s="46" t="n">
        <v>28216</v>
      </c>
      <c r="B121" s="47">
        <f>VLOOKUP(A121,'Data yoy'!$B:$AT,MATCH($B$1,'Data yoy'!$B$1:$AT$1,0),FALSE)</f>
        <v/>
      </c>
      <c r="C121" s="47">
        <f>Table13456789101112131415161734[[#This Row],[USA]]-B120</f>
        <v/>
      </c>
      <c r="D121" s="28" t="n"/>
    </row>
    <row r="122">
      <c r="A122" s="46" t="n">
        <v>28307</v>
      </c>
      <c r="B122" s="47">
        <f>VLOOKUP(A122,'Data yoy'!$B:$AT,MATCH($B$1,'Data yoy'!$B$1:$AT$1,0),FALSE)</f>
        <v/>
      </c>
      <c r="C122" s="47">
        <f>Table13456789101112131415161734[[#This Row],[USA]]-B121</f>
        <v/>
      </c>
      <c r="D122" s="28" t="n"/>
    </row>
    <row r="123">
      <c r="A123" s="46" t="n">
        <v>28399</v>
      </c>
      <c r="B123" s="47">
        <f>VLOOKUP(A123,'Data yoy'!$B:$AT,MATCH($B$1,'Data yoy'!$B$1:$AT$1,0),FALSE)</f>
        <v/>
      </c>
      <c r="C123" s="47">
        <f>Table13456789101112131415161734[[#This Row],[USA]]-B122</f>
        <v/>
      </c>
      <c r="D123" s="28" t="n"/>
    </row>
    <row r="124">
      <c r="A124" s="46" t="n">
        <v>28491</v>
      </c>
      <c r="B124" s="47">
        <f>VLOOKUP(A124,'Data yoy'!$B:$AT,MATCH($B$1,'Data yoy'!$B$1:$AT$1,0),FALSE)</f>
        <v/>
      </c>
      <c r="C124" s="47">
        <f>Table13456789101112131415161734[[#This Row],[USA]]-B123</f>
        <v/>
      </c>
      <c r="D124" s="28" t="n"/>
    </row>
    <row r="125">
      <c r="A125" s="46" t="n">
        <v>28581</v>
      </c>
      <c r="B125" s="47">
        <f>VLOOKUP(A125,'Data yoy'!$B:$AT,MATCH($B$1,'Data yoy'!$B$1:$AT$1,0),FALSE)</f>
        <v/>
      </c>
      <c r="C125" s="47">
        <f>Table13456789101112131415161734[[#This Row],[USA]]-B124</f>
        <v/>
      </c>
      <c r="D125" s="28" t="n"/>
    </row>
    <row r="126">
      <c r="A126" s="46" t="n">
        <v>28672</v>
      </c>
      <c r="B126" s="47">
        <f>VLOOKUP(A126,'Data yoy'!$B:$AT,MATCH($B$1,'Data yoy'!$B$1:$AT$1,0),FALSE)</f>
        <v/>
      </c>
      <c r="C126" s="47">
        <f>Table13456789101112131415161734[[#This Row],[USA]]-B125</f>
        <v/>
      </c>
      <c r="D126" s="28" t="n"/>
    </row>
    <row r="127">
      <c r="A127" s="46" t="n">
        <v>28764</v>
      </c>
      <c r="B127" s="47">
        <f>VLOOKUP(A127,'Data yoy'!$B:$AT,MATCH($B$1,'Data yoy'!$B$1:$AT$1,0),FALSE)</f>
        <v/>
      </c>
      <c r="C127" s="47">
        <f>Table13456789101112131415161734[[#This Row],[USA]]-B126</f>
        <v/>
      </c>
      <c r="D127" s="28" t="n"/>
    </row>
    <row r="128">
      <c r="A128" s="46" t="n">
        <v>28856</v>
      </c>
      <c r="B128" s="47">
        <f>VLOOKUP(A128,'Data yoy'!$B:$AT,MATCH($B$1,'Data yoy'!$B$1:$AT$1,0),FALSE)</f>
        <v/>
      </c>
      <c r="C128" s="47">
        <f>Table13456789101112131415161734[[#This Row],[USA]]-B127</f>
        <v/>
      </c>
      <c r="D128" s="28" t="n"/>
    </row>
    <row r="129">
      <c r="A129" s="46" t="n">
        <v>28946</v>
      </c>
      <c r="B129" s="47">
        <f>VLOOKUP(A129,'Data yoy'!$B:$AT,MATCH($B$1,'Data yoy'!$B$1:$AT$1,0),FALSE)</f>
        <v/>
      </c>
      <c r="C129" s="47">
        <f>Table13456789101112131415161734[[#This Row],[USA]]-B128</f>
        <v/>
      </c>
      <c r="D129" s="28" t="n"/>
    </row>
    <row r="130">
      <c r="A130" s="46" t="n">
        <v>29037</v>
      </c>
      <c r="B130" s="47">
        <f>VLOOKUP(A130,'Data yoy'!$B:$AT,MATCH($B$1,'Data yoy'!$B$1:$AT$1,0),FALSE)</f>
        <v/>
      </c>
      <c r="C130" s="47">
        <f>Table13456789101112131415161734[[#This Row],[USA]]-B129</f>
        <v/>
      </c>
      <c r="D130" s="28" t="n"/>
    </row>
    <row r="131">
      <c r="A131" s="46" t="n">
        <v>29129</v>
      </c>
      <c r="B131" s="47">
        <f>VLOOKUP(A131,'Data yoy'!$B:$AT,MATCH($B$1,'Data yoy'!$B$1:$AT$1,0),FALSE)</f>
        <v/>
      </c>
      <c r="C131" s="47">
        <f>Table13456789101112131415161734[[#This Row],[USA]]-B130</f>
        <v/>
      </c>
      <c r="D131" s="28" t="n"/>
    </row>
    <row r="132">
      <c r="A132" s="46" t="n">
        <v>29221</v>
      </c>
      <c r="B132" s="47">
        <f>VLOOKUP(A132,'Data yoy'!$B:$AT,MATCH($B$1,'Data yoy'!$B$1:$AT$1,0),FALSE)</f>
        <v/>
      </c>
      <c r="C132" s="47">
        <f>Table13456789101112131415161734[[#This Row],[USA]]-B131</f>
        <v/>
      </c>
      <c r="D132" s="28" t="n"/>
    </row>
    <row r="133">
      <c r="A133" s="46" t="n">
        <v>29312</v>
      </c>
      <c r="B133" s="47">
        <f>VLOOKUP(A133,'Data yoy'!$B:$AT,MATCH($B$1,'Data yoy'!$B$1:$AT$1,0),FALSE)</f>
        <v/>
      </c>
      <c r="C133" s="47">
        <f>Table13456789101112131415161734[[#This Row],[USA]]-B132</f>
        <v/>
      </c>
      <c r="D133" s="28" t="n"/>
    </row>
    <row r="134">
      <c r="A134" s="46" t="n">
        <v>29403</v>
      </c>
      <c r="B134" s="47">
        <f>VLOOKUP(A134,'Data yoy'!$B:$AT,MATCH($B$1,'Data yoy'!$B$1:$AT$1,0),FALSE)</f>
        <v/>
      </c>
      <c r="C134" s="47">
        <f>Table13456789101112131415161734[[#This Row],[USA]]-B133</f>
        <v/>
      </c>
      <c r="D134" s="28" t="n"/>
    </row>
    <row r="135">
      <c r="A135" s="46" t="n">
        <v>29495</v>
      </c>
      <c r="B135" s="47">
        <f>VLOOKUP(A135,'Data yoy'!$B:$AT,MATCH($B$1,'Data yoy'!$B$1:$AT$1,0),FALSE)</f>
        <v/>
      </c>
      <c r="C135" s="47">
        <f>Table13456789101112131415161734[[#This Row],[USA]]-B134</f>
        <v/>
      </c>
      <c r="D135" s="28" t="n"/>
    </row>
    <row r="136">
      <c r="A136" s="46" t="n">
        <v>29587</v>
      </c>
      <c r="B136" s="47">
        <f>VLOOKUP(A136,'Data yoy'!$B:$AT,MATCH($B$1,'Data yoy'!$B$1:$AT$1,0),FALSE)</f>
        <v/>
      </c>
      <c r="C136" s="47">
        <f>Table13456789101112131415161734[[#This Row],[USA]]-B135</f>
        <v/>
      </c>
      <c r="D136" s="28" t="n"/>
    </row>
    <row r="137">
      <c r="A137" s="46" t="n">
        <v>29677</v>
      </c>
      <c r="B137" s="47">
        <f>VLOOKUP(A137,'Data yoy'!$B:$AT,MATCH($B$1,'Data yoy'!$B$1:$AT$1,0),FALSE)</f>
        <v/>
      </c>
      <c r="C137" s="47">
        <f>Table13456789101112131415161734[[#This Row],[USA]]-B136</f>
        <v/>
      </c>
      <c r="D137" s="28" t="n"/>
    </row>
    <row r="138">
      <c r="A138" s="46" t="n">
        <v>29768</v>
      </c>
      <c r="B138" s="47">
        <f>VLOOKUP(A138,'Data yoy'!$B:$AT,MATCH($B$1,'Data yoy'!$B$1:$AT$1,0),FALSE)</f>
        <v/>
      </c>
      <c r="C138" s="47">
        <f>Table13456789101112131415161734[[#This Row],[USA]]-B137</f>
        <v/>
      </c>
      <c r="D138" s="28" t="n"/>
    </row>
    <row r="139">
      <c r="A139" s="46" t="n">
        <v>29860</v>
      </c>
      <c r="B139" s="47">
        <f>VLOOKUP(A139,'Data yoy'!$B:$AT,MATCH($B$1,'Data yoy'!$B$1:$AT$1,0),FALSE)</f>
        <v/>
      </c>
      <c r="C139" s="47">
        <f>Table13456789101112131415161734[[#This Row],[USA]]-B138</f>
        <v/>
      </c>
      <c r="D139" s="28" t="n"/>
    </row>
    <row r="140">
      <c r="A140" s="46" t="n">
        <v>29952</v>
      </c>
      <c r="B140" s="47">
        <f>VLOOKUP(A140,'Data yoy'!$B:$AT,MATCH($B$1,'Data yoy'!$B$1:$AT$1,0),FALSE)</f>
        <v/>
      </c>
      <c r="C140" s="47">
        <f>Table13456789101112131415161734[[#This Row],[USA]]-B139</f>
        <v/>
      </c>
      <c r="D140" s="28" t="n"/>
    </row>
    <row r="141">
      <c r="A141" s="46" t="n">
        <v>30042</v>
      </c>
      <c r="B141" s="47">
        <f>VLOOKUP(A141,'Data yoy'!$B:$AT,MATCH($B$1,'Data yoy'!$B$1:$AT$1,0),FALSE)</f>
        <v/>
      </c>
      <c r="C141" s="47">
        <f>Table13456789101112131415161734[[#This Row],[USA]]-B140</f>
        <v/>
      </c>
      <c r="D141" s="28" t="n"/>
    </row>
    <row r="142">
      <c r="A142" s="46" t="n">
        <v>30133</v>
      </c>
      <c r="B142" s="47">
        <f>VLOOKUP(A142,'Data yoy'!$B:$AT,MATCH($B$1,'Data yoy'!$B$1:$AT$1,0),FALSE)</f>
        <v/>
      </c>
      <c r="C142" s="47">
        <f>Table13456789101112131415161734[[#This Row],[USA]]-B141</f>
        <v/>
      </c>
      <c r="D142" s="28" t="n"/>
    </row>
    <row r="143">
      <c r="A143" s="46" t="n">
        <v>30225</v>
      </c>
      <c r="B143" s="47">
        <f>VLOOKUP(A143,'Data yoy'!$B:$AT,MATCH($B$1,'Data yoy'!$B$1:$AT$1,0),FALSE)</f>
        <v/>
      </c>
      <c r="C143" s="47">
        <f>Table13456789101112131415161734[[#This Row],[USA]]-B142</f>
        <v/>
      </c>
      <c r="D143" s="28" t="n"/>
    </row>
    <row r="144">
      <c r="A144" s="46" t="n">
        <v>30317</v>
      </c>
      <c r="B144" s="47">
        <f>VLOOKUP(A144,'Data yoy'!$B:$AT,MATCH($B$1,'Data yoy'!$B$1:$AT$1,0),FALSE)</f>
        <v/>
      </c>
      <c r="C144" s="47">
        <f>Table13456789101112131415161734[[#This Row],[USA]]-B143</f>
        <v/>
      </c>
      <c r="D144" s="28" t="n"/>
    </row>
    <row r="145">
      <c r="A145" s="46" t="n">
        <v>30407</v>
      </c>
      <c r="B145" s="47">
        <f>VLOOKUP(A145,'Data yoy'!$B:$AT,MATCH($B$1,'Data yoy'!$B$1:$AT$1,0),FALSE)</f>
        <v/>
      </c>
      <c r="C145" s="47">
        <f>Table13456789101112131415161734[[#This Row],[USA]]-B144</f>
        <v/>
      </c>
      <c r="D145" s="28" t="n"/>
    </row>
    <row r="146">
      <c r="A146" s="46" t="n">
        <v>30498</v>
      </c>
      <c r="B146" s="47">
        <f>VLOOKUP(A146,'Data yoy'!$B:$AT,MATCH($B$1,'Data yoy'!$B$1:$AT$1,0),FALSE)</f>
        <v/>
      </c>
      <c r="C146" s="47">
        <f>Table13456789101112131415161734[[#This Row],[USA]]-B145</f>
        <v/>
      </c>
      <c r="D146" s="28" t="n"/>
    </row>
    <row r="147">
      <c r="A147" s="46" t="n">
        <v>30590</v>
      </c>
      <c r="B147" s="47">
        <f>VLOOKUP(A147,'Data yoy'!$B:$AT,MATCH($B$1,'Data yoy'!$B$1:$AT$1,0),FALSE)</f>
        <v/>
      </c>
      <c r="C147" s="47">
        <f>Table13456789101112131415161734[[#This Row],[USA]]-B146</f>
        <v/>
      </c>
      <c r="D147" s="28" t="n"/>
    </row>
    <row r="148">
      <c r="A148" s="46" t="n">
        <v>30682</v>
      </c>
      <c r="B148" s="47">
        <f>VLOOKUP(A148,'Data yoy'!$B:$AT,MATCH($B$1,'Data yoy'!$B$1:$AT$1,0),FALSE)</f>
        <v/>
      </c>
      <c r="C148" s="47">
        <f>Table13456789101112131415161734[[#This Row],[USA]]-B147</f>
        <v/>
      </c>
      <c r="D148" s="28" t="n"/>
    </row>
    <row r="149">
      <c r="A149" s="46" t="n">
        <v>30773</v>
      </c>
      <c r="B149" s="47">
        <f>VLOOKUP(A149,'Data yoy'!$B:$AT,MATCH($B$1,'Data yoy'!$B$1:$AT$1,0),FALSE)</f>
        <v/>
      </c>
      <c r="C149" s="47">
        <f>Table13456789101112131415161734[[#This Row],[USA]]-B148</f>
        <v/>
      </c>
      <c r="D149" s="28" t="n"/>
    </row>
    <row r="150">
      <c r="A150" s="46" t="n">
        <v>30864</v>
      </c>
      <c r="B150" s="47">
        <f>VLOOKUP(A150,'Data yoy'!$B:$AT,MATCH($B$1,'Data yoy'!$B$1:$AT$1,0),FALSE)</f>
        <v/>
      </c>
      <c r="C150" s="47">
        <f>Table13456789101112131415161734[[#This Row],[USA]]-B149</f>
        <v/>
      </c>
      <c r="D150" s="28" t="n"/>
    </row>
    <row r="151">
      <c r="A151" s="46" t="n">
        <v>30956</v>
      </c>
      <c r="B151" s="47">
        <f>VLOOKUP(A151,'Data yoy'!$B:$AT,MATCH($B$1,'Data yoy'!$B$1:$AT$1,0),FALSE)</f>
        <v/>
      </c>
      <c r="C151" s="47">
        <f>Table13456789101112131415161734[[#This Row],[USA]]-B150</f>
        <v/>
      </c>
      <c r="D151" s="28" t="n"/>
    </row>
    <row r="152">
      <c r="A152" s="46" t="n">
        <v>31048</v>
      </c>
      <c r="B152" s="47">
        <f>VLOOKUP(A152,'Data yoy'!$B:$AT,MATCH($B$1,'Data yoy'!$B$1:$AT$1,0),FALSE)</f>
        <v/>
      </c>
      <c r="C152" s="47">
        <f>Table13456789101112131415161734[[#This Row],[USA]]-B151</f>
        <v/>
      </c>
      <c r="D152" s="28" t="n"/>
    </row>
    <row r="153">
      <c r="A153" s="46" t="n">
        <v>31138</v>
      </c>
      <c r="B153" s="47">
        <f>VLOOKUP(A153,'Data yoy'!$B:$AT,MATCH($B$1,'Data yoy'!$B$1:$AT$1,0),FALSE)</f>
        <v/>
      </c>
      <c r="C153" s="47">
        <f>Table13456789101112131415161734[[#This Row],[USA]]-B152</f>
        <v/>
      </c>
      <c r="D153" s="28" t="n"/>
    </row>
    <row r="154">
      <c r="A154" s="46" t="n">
        <v>31229</v>
      </c>
      <c r="B154" s="47">
        <f>VLOOKUP(A154,'Data yoy'!$B:$AT,MATCH($B$1,'Data yoy'!$B$1:$AT$1,0),FALSE)</f>
        <v/>
      </c>
      <c r="C154" s="47">
        <f>Table13456789101112131415161734[[#This Row],[USA]]-B153</f>
        <v/>
      </c>
      <c r="D154" s="28" t="n"/>
    </row>
    <row r="155">
      <c r="A155" s="46" t="n">
        <v>31321</v>
      </c>
      <c r="B155" s="47">
        <f>VLOOKUP(A155,'Data yoy'!$B:$AT,MATCH($B$1,'Data yoy'!$B$1:$AT$1,0),FALSE)</f>
        <v/>
      </c>
      <c r="C155" s="47">
        <f>Table13456789101112131415161734[[#This Row],[USA]]-B154</f>
        <v/>
      </c>
      <c r="D155" s="28" t="n"/>
    </row>
    <row r="156">
      <c r="A156" s="46" t="n">
        <v>31413</v>
      </c>
      <c r="B156" s="47">
        <f>VLOOKUP(A156,'Data yoy'!$B:$AT,MATCH($B$1,'Data yoy'!$B$1:$AT$1,0),FALSE)</f>
        <v/>
      </c>
      <c r="C156" s="47">
        <f>Table13456789101112131415161734[[#This Row],[USA]]-B155</f>
        <v/>
      </c>
      <c r="D156" s="28" t="n"/>
    </row>
    <row r="157">
      <c r="A157" s="46" t="n">
        <v>31503</v>
      </c>
      <c r="B157" s="47">
        <f>VLOOKUP(A157,'Data yoy'!$B:$AT,MATCH($B$1,'Data yoy'!$B$1:$AT$1,0),FALSE)</f>
        <v/>
      </c>
      <c r="C157" s="47">
        <f>Table13456789101112131415161734[[#This Row],[USA]]-B156</f>
        <v/>
      </c>
      <c r="D157" s="28" t="n"/>
    </row>
    <row r="158">
      <c r="A158" s="46" t="n">
        <v>31594</v>
      </c>
      <c r="B158" s="47">
        <f>VLOOKUP(A158,'Data yoy'!$B:$AT,MATCH($B$1,'Data yoy'!$B$1:$AT$1,0),FALSE)</f>
        <v/>
      </c>
      <c r="C158" s="47">
        <f>Table13456789101112131415161734[[#This Row],[USA]]-B157</f>
        <v/>
      </c>
      <c r="D158" s="28" t="n"/>
    </row>
    <row r="159">
      <c r="A159" s="46" t="n">
        <v>31686</v>
      </c>
      <c r="B159" s="47">
        <f>VLOOKUP(A159,'Data yoy'!$B:$AT,MATCH($B$1,'Data yoy'!$B$1:$AT$1,0),FALSE)</f>
        <v/>
      </c>
      <c r="C159" s="47">
        <f>Table13456789101112131415161734[[#This Row],[USA]]-B158</f>
        <v/>
      </c>
      <c r="D159" s="28" t="n"/>
    </row>
    <row r="160">
      <c r="A160" s="46" t="n">
        <v>31778</v>
      </c>
      <c r="B160" s="47">
        <f>VLOOKUP(A160,'Data yoy'!$B:$AT,MATCH($B$1,'Data yoy'!$B$1:$AT$1,0),FALSE)</f>
        <v/>
      </c>
      <c r="C160" s="47">
        <f>Table13456789101112131415161734[[#This Row],[USA]]-B159</f>
        <v/>
      </c>
      <c r="D160" s="28" t="n"/>
    </row>
    <row r="161">
      <c r="A161" s="46" t="n">
        <v>31868</v>
      </c>
      <c r="B161" s="47">
        <f>VLOOKUP(A161,'Data yoy'!$B:$AT,MATCH($B$1,'Data yoy'!$B$1:$AT$1,0),FALSE)</f>
        <v/>
      </c>
      <c r="C161" s="47">
        <f>Table13456789101112131415161734[[#This Row],[USA]]-B160</f>
        <v/>
      </c>
      <c r="D161" s="28" t="n"/>
    </row>
    <row r="162">
      <c r="A162" s="46" t="n">
        <v>31959</v>
      </c>
      <c r="B162" s="47">
        <f>VLOOKUP(A162,'Data yoy'!$B:$AT,MATCH($B$1,'Data yoy'!$B$1:$AT$1,0),FALSE)</f>
        <v/>
      </c>
      <c r="C162" s="47">
        <f>Table13456789101112131415161734[[#This Row],[USA]]-B161</f>
        <v/>
      </c>
      <c r="D162" s="28" t="n"/>
    </row>
    <row r="163">
      <c r="A163" s="46" t="n">
        <v>32051</v>
      </c>
      <c r="B163" s="47">
        <f>VLOOKUP(A163,'Data yoy'!$B:$AT,MATCH($B$1,'Data yoy'!$B$1:$AT$1,0),FALSE)</f>
        <v/>
      </c>
      <c r="C163" s="47">
        <f>Table13456789101112131415161734[[#This Row],[USA]]-B162</f>
        <v/>
      </c>
      <c r="D163" s="28" t="n"/>
    </row>
    <row r="164">
      <c r="A164" s="46" t="n">
        <v>32143</v>
      </c>
      <c r="B164" s="47">
        <f>VLOOKUP(A164,'Data yoy'!$B:$AT,MATCH($B$1,'Data yoy'!$B$1:$AT$1,0),FALSE)</f>
        <v/>
      </c>
      <c r="C164" s="47">
        <f>Table13456789101112131415161734[[#This Row],[USA]]-B163</f>
        <v/>
      </c>
      <c r="D164" s="28" t="n"/>
    </row>
    <row r="165">
      <c r="A165" s="46" t="n">
        <v>32234</v>
      </c>
      <c r="B165" s="47">
        <f>VLOOKUP(A165,'Data yoy'!$B:$AT,MATCH($B$1,'Data yoy'!$B$1:$AT$1,0),FALSE)</f>
        <v/>
      </c>
      <c r="C165" s="47">
        <f>Table13456789101112131415161734[[#This Row],[USA]]-B164</f>
        <v/>
      </c>
      <c r="D165" s="28" t="n"/>
    </row>
    <row r="166">
      <c r="A166" s="46" t="n">
        <v>32325</v>
      </c>
      <c r="B166" s="47">
        <f>VLOOKUP(A166,'Data yoy'!$B:$AT,MATCH($B$1,'Data yoy'!$B$1:$AT$1,0),FALSE)</f>
        <v/>
      </c>
      <c r="C166" s="47">
        <f>Table13456789101112131415161734[[#This Row],[USA]]-B165</f>
        <v/>
      </c>
      <c r="D166" s="28" t="n"/>
    </row>
    <row r="167">
      <c r="A167" s="46" t="n">
        <v>32417</v>
      </c>
      <c r="B167" s="47">
        <f>VLOOKUP(A167,'Data yoy'!$B:$AT,MATCH($B$1,'Data yoy'!$B$1:$AT$1,0),FALSE)</f>
        <v/>
      </c>
      <c r="C167" s="47">
        <f>Table13456789101112131415161734[[#This Row],[USA]]-B166</f>
        <v/>
      </c>
      <c r="D167" s="28" t="n"/>
    </row>
    <row r="168">
      <c r="A168" s="46" t="n">
        <v>32509</v>
      </c>
      <c r="B168" s="47">
        <f>VLOOKUP(A168,'Data yoy'!$B:$AT,MATCH($B$1,'Data yoy'!$B$1:$AT$1,0),FALSE)</f>
        <v/>
      </c>
      <c r="C168" s="47">
        <f>Table13456789101112131415161734[[#This Row],[USA]]-B167</f>
        <v/>
      </c>
      <c r="D168" s="28" t="n"/>
    </row>
    <row r="169">
      <c r="A169" s="46" t="n">
        <v>32599</v>
      </c>
      <c r="B169" s="47">
        <f>VLOOKUP(A169,'Data yoy'!$B:$AT,MATCH($B$1,'Data yoy'!$B$1:$AT$1,0),FALSE)</f>
        <v/>
      </c>
      <c r="C169" s="47">
        <f>Table13456789101112131415161734[[#This Row],[USA]]-B168</f>
        <v/>
      </c>
      <c r="D169" s="28" t="n"/>
    </row>
    <row r="170">
      <c r="A170" s="46" t="n">
        <v>32690</v>
      </c>
      <c r="B170" s="47">
        <f>VLOOKUP(A170,'Data yoy'!$B:$AT,MATCH($B$1,'Data yoy'!$B$1:$AT$1,0),FALSE)</f>
        <v/>
      </c>
      <c r="C170" s="47">
        <f>Table13456789101112131415161734[[#This Row],[USA]]-B169</f>
        <v/>
      </c>
      <c r="D170" s="28" t="n"/>
    </row>
    <row r="171">
      <c r="A171" s="46" t="n">
        <v>32782</v>
      </c>
      <c r="B171" s="47">
        <f>VLOOKUP(A171,'Data yoy'!$B:$AT,MATCH($B$1,'Data yoy'!$B$1:$AT$1,0),FALSE)</f>
        <v/>
      </c>
      <c r="C171" s="47">
        <f>Table13456789101112131415161734[[#This Row],[USA]]-B170</f>
        <v/>
      </c>
      <c r="D171" s="28" t="n"/>
    </row>
    <row r="172">
      <c r="A172" s="46" t="n">
        <v>32874</v>
      </c>
      <c r="B172" s="47">
        <f>VLOOKUP(A172,'Data yoy'!$B:$AT,MATCH($B$1,'Data yoy'!$B$1:$AT$1,0),FALSE)</f>
        <v/>
      </c>
      <c r="C172" s="47">
        <f>Table13456789101112131415161734[[#This Row],[USA]]-B171</f>
        <v/>
      </c>
      <c r="D172" s="28" t="n"/>
    </row>
    <row r="173">
      <c r="A173" s="46" t="n">
        <v>32964</v>
      </c>
      <c r="B173" s="47">
        <f>VLOOKUP(A173,'Data yoy'!$B:$AT,MATCH($B$1,'Data yoy'!$B$1:$AT$1,0),FALSE)</f>
        <v/>
      </c>
      <c r="C173" s="47">
        <f>Table13456789101112131415161734[[#This Row],[USA]]-B172</f>
        <v/>
      </c>
      <c r="D173" s="28" t="n"/>
    </row>
    <row r="174">
      <c r="A174" s="46" t="n">
        <v>33055</v>
      </c>
      <c r="B174" s="47">
        <f>VLOOKUP(A174,'Data yoy'!$B:$AT,MATCH($B$1,'Data yoy'!$B$1:$AT$1,0),FALSE)</f>
        <v/>
      </c>
      <c r="C174" s="47">
        <f>Table13456789101112131415161734[[#This Row],[USA]]-B173</f>
        <v/>
      </c>
      <c r="D174" s="28" t="n"/>
    </row>
    <row r="175">
      <c r="A175" s="46" t="n">
        <v>33147</v>
      </c>
      <c r="B175" s="47">
        <f>VLOOKUP(A175,'Data yoy'!$B:$AT,MATCH($B$1,'Data yoy'!$B$1:$AT$1,0),FALSE)</f>
        <v/>
      </c>
      <c r="C175" s="47">
        <f>Table13456789101112131415161734[[#This Row],[USA]]-B174</f>
        <v/>
      </c>
      <c r="D175" s="28" t="n"/>
    </row>
    <row r="176">
      <c r="A176" s="46" t="n">
        <v>33239</v>
      </c>
      <c r="B176" s="47">
        <f>VLOOKUP(A176,'Data yoy'!$B:$AT,MATCH($B$1,'Data yoy'!$B$1:$AT$1,0),FALSE)</f>
        <v/>
      </c>
      <c r="C176" s="47">
        <f>Table13456789101112131415161734[[#This Row],[USA]]-B175</f>
        <v/>
      </c>
      <c r="D176" s="28" t="n"/>
    </row>
    <row r="177">
      <c r="A177" s="46" t="n">
        <v>33329</v>
      </c>
      <c r="B177" s="47">
        <f>VLOOKUP(A177,'Data yoy'!$B:$AT,MATCH($B$1,'Data yoy'!$B$1:$AT$1,0),FALSE)</f>
        <v/>
      </c>
      <c r="C177" s="47">
        <f>Table13456789101112131415161734[[#This Row],[USA]]-B176</f>
        <v/>
      </c>
      <c r="D177" s="28" t="n"/>
    </row>
    <row r="178">
      <c r="A178" s="46" t="n">
        <v>33420</v>
      </c>
      <c r="B178" s="47">
        <f>VLOOKUP(A178,'Data yoy'!$B:$AT,MATCH($B$1,'Data yoy'!$B$1:$AT$1,0),FALSE)</f>
        <v/>
      </c>
      <c r="C178" s="47">
        <f>Table13456789101112131415161734[[#This Row],[USA]]-B177</f>
        <v/>
      </c>
      <c r="D178" s="28" t="n"/>
    </row>
    <row r="179">
      <c r="A179" s="46" t="n">
        <v>33512</v>
      </c>
      <c r="B179" s="47">
        <f>VLOOKUP(A179,'Data yoy'!$B:$AT,MATCH($B$1,'Data yoy'!$B$1:$AT$1,0),FALSE)</f>
        <v/>
      </c>
      <c r="C179" s="47">
        <f>Table13456789101112131415161734[[#This Row],[USA]]-B178</f>
        <v/>
      </c>
      <c r="D179" s="28" t="n"/>
    </row>
    <row r="180">
      <c r="A180" s="46" t="n">
        <v>33604</v>
      </c>
      <c r="B180" s="47">
        <f>VLOOKUP(A180,'Data yoy'!$B:$AT,MATCH($B$1,'Data yoy'!$B$1:$AT$1,0),FALSE)</f>
        <v/>
      </c>
      <c r="C180" s="47">
        <f>Table13456789101112131415161734[[#This Row],[USA]]-B179</f>
        <v/>
      </c>
      <c r="D180" s="28" t="n"/>
    </row>
    <row r="181">
      <c r="A181" s="46" t="n">
        <v>33695</v>
      </c>
      <c r="B181" s="47">
        <f>VLOOKUP(A181,'Data yoy'!$B:$AT,MATCH($B$1,'Data yoy'!$B$1:$AT$1,0),FALSE)</f>
        <v/>
      </c>
      <c r="C181" s="47">
        <f>Table13456789101112131415161734[[#This Row],[USA]]-B180</f>
        <v/>
      </c>
      <c r="D181" s="28" t="n"/>
    </row>
    <row r="182">
      <c r="A182" s="46" t="n">
        <v>33786</v>
      </c>
      <c r="B182" s="47">
        <f>VLOOKUP(A182,'Data yoy'!$B:$AT,MATCH($B$1,'Data yoy'!$B$1:$AT$1,0),FALSE)</f>
        <v/>
      </c>
      <c r="C182" s="47">
        <f>Table13456789101112131415161734[[#This Row],[USA]]-B181</f>
        <v/>
      </c>
      <c r="D182" s="28" t="n"/>
    </row>
    <row r="183">
      <c r="A183" s="46" t="n">
        <v>33878</v>
      </c>
      <c r="B183" s="47">
        <f>VLOOKUP(A183,'Data yoy'!$B:$AT,MATCH($B$1,'Data yoy'!$B$1:$AT$1,0),FALSE)</f>
        <v/>
      </c>
      <c r="C183" s="47">
        <f>Table13456789101112131415161734[[#This Row],[USA]]-B182</f>
        <v/>
      </c>
      <c r="D183" s="28" t="n"/>
    </row>
    <row r="184">
      <c r="A184" s="46" t="n">
        <v>33970</v>
      </c>
      <c r="B184" s="47">
        <f>VLOOKUP(A184,'Data yoy'!$B:$AT,MATCH($B$1,'Data yoy'!$B$1:$AT$1,0),FALSE)</f>
        <v/>
      </c>
      <c r="C184" s="47">
        <f>Table13456789101112131415161734[[#This Row],[USA]]-B183</f>
        <v/>
      </c>
      <c r="D184" s="28" t="n"/>
    </row>
    <row r="185">
      <c r="A185" s="46" t="n">
        <v>34060</v>
      </c>
      <c r="B185" s="47">
        <f>VLOOKUP(A185,'Data yoy'!$B:$AT,MATCH($B$1,'Data yoy'!$B$1:$AT$1,0),FALSE)</f>
        <v/>
      </c>
      <c r="C185" s="47">
        <f>Table13456789101112131415161734[[#This Row],[USA]]-B184</f>
        <v/>
      </c>
      <c r="D185" s="28" t="n"/>
    </row>
    <row r="186">
      <c r="A186" s="46" t="n">
        <v>34151</v>
      </c>
      <c r="B186" s="47">
        <f>VLOOKUP(A186,'Data yoy'!$B:$AT,MATCH($B$1,'Data yoy'!$B$1:$AT$1,0),FALSE)</f>
        <v/>
      </c>
      <c r="C186" s="47">
        <f>Table13456789101112131415161734[[#This Row],[USA]]-B185</f>
        <v/>
      </c>
      <c r="D186" s="28" t="n"/>
    </row>
    <row r="187">
      <c r="A187" s="46" t="n">
        <v>34243</v>
      </c>
      <c r="B187" s="47">
        <f>VLOOKUP(A187,'Data yoy'!$B:$AT,MATCH($B$1,'Data yoy'!$B$1:$AT$1,0),FALSE)</f>
        <v/>
      </c>
      <c r="C187" s="47">
        <f>Table13456789101112131415161734[[#This Row],[USA]]-B186</f>
        <v/>
      </c>
      <c r="D187" s="28" t="n"/>
    </row>
    <row r="188">
      <c r="A188" s="46" t="n">
        <v>34335</v>
      </c>
      <c r="B188" s="47">
        <f>VLOOKUP(A188,'Data yoy'!$B:$AT,MATCH($B$1,'Data yoy'!$B$1:$AT$1,0),FALSE)</f>
        <v/>
      </c>
      <c r="C188" s="47">
        <f>Table13456789101112131415161734[[#This Row],[USA]]-B187</f>
        <v/>
      </c>
      <c r="D188" s="28" t="n"/>
    </row>
    <row r="189">
      <c r="A189" s="46" t="n">
        <v>34425</v>
      </c>
      <c r="B189" s="47">
        <f>VLOOKUP(A189,'Data yoy'!$B:$AT,MATCH($B$1,'Data yoy'!$B$1:$AT$1,0),FALSE)</f>
        <v/>
      </c>
      <c r="C189" s="47">
        <f>Table13456789101112131415161734[[#This Row],[USA]]-B188</f>
        <v/>
      </c>
      <c r="D189" s="28" t="n"/>
    </row>
    <row r="190">
      <c r="A190" s="46" t="n">
        <v>34516</v>
      </c>
      <c r="B190" s="47">
        <f>VLOOKUP(A190,'Data yoy'!$B:$AT,MATCH($B$1,'Data yoy'!$B$1:$AT$1,0),FALSE)</f>
        <v/>
      </c>
      <c r="C190" s="47">
        <f>Table13456789101112131415161734[[#This Row],[USA]]-B189</f>
        <v/>
      </c>
      <c r="D190" s="28" t="n"/>
    </row>
    <row r="191">
      <c r="A191" s="46" t="n">
        <v>34608</v>
      </c>
      <c r="B191" s="47">
        <f>VLOOKUP(A191,'Data yoy'!$B:$AT,MATCH($B$1,'Data yoy'!$B$1:$AT$1,0),FALSE)</f>
        <v/>
      </c>
      <c r="C191" s="47">
        <f>Table13456789101112131415161734[[#This Row],[USA]]-B190</f>
        <v/>
      </c>
      <c r="D191" s="28" t="n"/>
    </row>
    <row r="192">
      <c r="A192" s="46" t="n">
        <v>34700</v>
      </c>
      <c r="B192" s="47">
        <f>VLOOKUP(A192,'Data yoy'!$B:$AT,MATCH($B$1,'Data yoy'!$B$1:$AT$1,0),FALSE)</f>
        <v/>
      </c>
      <c r="C192" s="47">
        <f>Table13456789101112131415161734[[#This Row],[USA]]-B191</f>
        <v/>
      </c>
      <c r="D192" s="28" t="n"/>
    </row>
    <row r="193">
      <c r="A193" s="46" t="n">
        <v>34790</v>
      </c>
      <c r="B193" s="47">
        <f>VLOOKUP(A193,'Data yoy'!$B:$AT,MATCH($B$1,'Data yoy'!$B$1:$AT$1,0),FALSE)</f>
        <v/>
      </c>
      <c r="C193" s="47">
        <f>Table13456789101112131415161734[[#This Row],[USA]]-B192</f>
        <v/>
      </c>
      <c r="D193" s="28" t="n"/>
    </row>
    <row r="194">
      <c r="A194" s="46" t="n">
        <v>34881</v>
      </c>
      <c r="B194" s="47">
        <f>VLOOKUP(A194,'Data yoy'!$B:$AT,MATCH($B$1,'Data yoy'!$B$1:$AT$1,0),FALSE)</f>
        <v/>
      </c>
      <c r="C194" s="47">
        <f>Table13456789101112131415161734[[#This Row],[USA]]-B193</f>
        <v/>
      </c>
      <c r="D194" s="28" t="n"/>
    </row>
    <row r="195">
      <c r="A195" s="46" t="n">
        <v>34973</v>
      </c>
      <c r="B195" s="47">
        <f>VLOOKUP(A195,'Data yoy'!$B:$AT,MATCH($B$1,'Data yoy'!$B$1:$AT$1,0),FALSE)</f>
        <v/>
      </c>
      <c r="C195" s="47">
        <f>Table13456789101112131415161734[[#This Row],[USA]]-B194</f>
        <v/>
      </c>
      <c r="D195" s="28" t="n"/>
    </row>
    <row r="196">
      <c r="A196" s="46" t="n">
        <v>35065</v>
      </c>
      <c r="B196" s="47">
        <f>VLOOKUP(A196,'Data yoy'!$B:$AT,MATCH($B$1,'Data yoy'!$B$1:$AT$1,0),FALSE)</f>
        <v/>
      </c>
      <c r="C196" s="47">
        <f>Table13456789101112131415161734[[#This Row],[USA]]-B195</f>
        <v/>
      </c>
      <c r="D196" s="28" t="n"/>
    </row>
    <row r="197">
      <c r="A197" s="46" t="n">
        <v>35156</v>
      </c>
      <c r="B197" s="47">
        <f>VLOOKUP(A197,'Data yoy'!$B:$AT,MATCH($B$1,'Data yoy'!$B$1:$AT$1,0),FALSE)</f>
        <v/>
      </c>
      <c r="C197" s="47">
        <f>Table13456789101112131415161734[[#This Row],[USA]]-B196</f>
        <v/>
      </c>
      <c r="D197" s="28" t="n"/>
    </row>
    <row r="198">
      <c r="A198" s="46" t="n">
        <v>35247</v>
      </c>
      <c r="B198" s="47">
        <f>VLOOKUP(A198,'Data yoy'!$B:$AT,MATCH($B$1,'Data yoy'!$B$1:$AT$1,0),FALSE)</f>
        <v/>
      </c>
      <c r="C198" s="47">
        <f>Table13456789101112131415161734[[#This Row],[USA]]-B197</f>
        <v/>
      </c>
      <c r="D198" s="28" t="n"/>
    </row>
    <row r="199">
      <c r="A199" s="46" t="n">
        <v>35339</v>
      </c>
      <c r="B199" s="47">
        <f>VLOOKUP(A199,'Data yoy'!$B:$AT,MATCH($B$1,'Data yoy'!$B$1:$AT$1,0),FALSE)</f>
        <v/>
      </c>
      <c r="C199" s="47">
        <f>Table13456789101112131415161734[[#This Row],[USA]]-B198</f>
        <v/>
      </c>
      <c r="D199" s="28" t="n"/>
    </row>
    <row r="200">
      <c r="A200" s="46" t="n">
        <v>35431</v>
      </c>
      <c r="B200" s="47">
        <f>VLOOKUP(A200,'Data yoy'!$B:$AT,MATCH($B$1,'Data yoy'!$B$1:$AT$1,0),FALSE)</f>
        <v/>
      </c>
      <c r="C200" s="47">
        <f>Table13456789101112131415161734[[#This Row],[USA]]-B199</f>
        <v/>
      </c>
      <c r="D200" s="28" t="n"/>
    </row>
    <row r="201">
      <c r="A201" s="46" t="n">
        <v>35521</v>
      </c>
      <c r="B201" s="47">
        <f>VLOOKUP(A201,'Data yoy'!$B:$AT,MATCH($B$1,'Data yoy'!$B$1:$AT$1,0),FALSE)</f>
        <v/>
      </c>
      <c r="C201" s="47">
        <f>Table13456789101112131415161734[[#This Row],[USA]]-B200</f>
        <v/>
      </c>
      <c r="D201" s="28" t="n"/>
    </row>
    <row r="202">
      <c r="A202" s="46" t="n">
        <v>35612</v>
      </c>
      <c r="B202" s="47">
        <f>VLOOKUP(A202,'Data yoy'!$B:$AT,MATCH($B$1,'Data yoy'!$B$1:$AT$1,0),FALSE)</f>
        <v/>
      </c>
      <c r="C202" s="47">
        <f>Table13456789101112131415161734[[#This Row],[USA]]-B201</f>
        <v/>
      </c>
      <c r="D202" s="28" t="n"/>
    </row>
    <row r="203">
      <c r="A203" s="46" t="n">
        <v>35704</v>
      </c>
      <c r="B203" s="47">
        <f>VLOOKUP(A203,'Data yoy'!$B:$AT,MATCH($B$1,'Data yoy'!$B$1:$AT$1,0),FALSE)</f>
        <v/>
      </c>
      <c r="C203" s="47">
        <f>Table13456789101112131415161734[[#This Row],[USA]]-B202</f>
        <v/>
      </c>
      <c r="D203" s="28" t="n"/>
    </row>
    <row r="204">
      <c r="A204" s="46" t="n">
        <v>35796</v>
      </c>
      <c r="B204" s="47">
        <f>VLOOKUP(A204,'Data yoy'!$B:$AT,MATCH($B$1,'Data yoy'!$B$1:$AT$1,0),FALSE)</f>
        <v/>
      </c>
      <c r="C204" s="47">
        <f>Table13456789101112131415161734[[#This Row],[USA]]-B203</f>
        <v/>
      </c>
      <c r="D204" s="28" t="n"/>
    </row>
    <row r="205">
      <c r="A205" s="46" t="n">
        <v>35886</v>
      </c>
      <c r="B205" s="47">
        <f>VLOOKUP(A205,'Data yoy'!$B:$AT,MATCH($B$1,'Data yoy'!$B$1:$AT$1,0),FALSE)</f>
        <v/>
      </c>
      <c r="C205" s="47">
        <f>Table13456789101112131415161734[[#This Row],[USA]]-B204</f>
        <v/>
      </c>
      <c r="D205" s="28" t="n"/>
    </row>
    <row r="206">
      <c r="A206" s="46" t="n">
        <v>35977</v>
      </c>
      <c r="B206" s="47">
        <f>VLOOKUP(A206,'Data yoy'!$B:$AT,MATCH($B$1,'Data yoy'!$B$1:$AT$1,0),FALSE)</f>
        <v/>
      </c>
      <c r="C206" s="47">
        <f>Table13456789101112131415161734[[#This Row],[USA]]-B205</f>
        <v/>
      </c>
      <c r="D206" s="28" t="n"/>
    </row>
    <row r="207">
      <c r="A207" s="46" t="n">
        <v>36069</v>
      </c>
      <c r="B207" s="47">
        <f>VLOOKUP(A207,'Data yoy'!$B:$AT,MATCH($B$1,'Data yoy'!$B$1:$AT$1,0),FALSE)</f>
        <v/>
      </c>
      <c r="C207" s="47">
        <f>Table13456789101112131415161734[[#This Row],[USA]]-B206</f>
        <v/>
      </c>
      <c r="D207" s="28" t="n"/>
    </row>
    <row r="208">
      <c r="A208" s="46" t="n">
        <v>36161</v>
      </c>
      <c r="B208" s="47">
        <f>VLOOKUP(A208,'Data yoy'!$B:$AT,MATCH($B$1,'Data yoy'!$B$1:$AT$1,0),FALSE)</f>
        <v/>
      </c>
      <c r="C208" s="47">
        <f>Table13456789101112131415161734[[#This Row],[USA]]-B207</f>
        <v/>
      </c>
      <c r="D208" s="28" t="n"/>
    </row>
    <row r="209">
      <c r="A209" s="46" t="n">
        <v>36251</v>
      </c>
      <c r="B209" s="47">
        <f>VLOOKUP(A209,'Data yoy'!$B:$AT,MATCH($B$1,'Data yoy'!$B$1:$AT$1,0),FALSE)</f>
        <v/>
      </c>
      <c r="C209" s="47">
        <f>Table13456789101112131415161734[[#This Row],[USA]]-B208</f>
        <v/>
      </c>
      <c r="D209" s="28" t="n"/>
    </row>
    <row r="210">
      <c r="A210" s="46" t="n">
        <v>36342</v>
      </c>
      <c r="B210" s="47">
        <f>VLOOKUP(A210,'Data yoy'!$B:$AT,MATCH($B$1,'Data yoy'!$B$1:$AT$1,0),FALSE)</f>
        <v/>
      </c>
      <c r="C210" s="47">
        <f>Table13456789101112131415161734[[#This Row],[USA]]-B209</f>
        <v/>
      </c>
      <c r="D210" s="28" t="n"/>
    </row>
    <row r="211">
      <c r="A211" s="46" t="n">
        <v>36434</v>
      </c>
      <c r="B211" s="47">
        <f>VLOOKUP(A211,'Data yoy'!$B:$AT,MATCH($B$1,'Data yoy'!$B$1:$AT$1,0),FALSE)</f>
        <v/>
      </c>
      <c r="C211" s="47">
        <f>Table13456789101112131415161734[[#This Row],[USA]]-B210</f>
        <v/>
      </c>
      <c r="D211" s="28" t="n"/>
    </row>
    <row r="212">
      <c r="A212" s="46" t="n">
        <v>36526</v>
      </c>
      <c r="B212" s="47">
        <f>VLOOKUP(A212,'Data yoy'!$B:$AT,MATCH($B$1,'Data yoy'!$B$1:$AT$1,0),FALSE)</f>
        <v/>
      </c>
      <c r="C212" s="47">
        <f>Table13456789101112131415161734[[#This Row],[USA]]-B211</f>
        <v/>
      </c>
      <c r="D212" s="28" t="n"/>
    </row>
    <row r="213">
      <c r="A213" s="46" t="n">
        <v>36617</v>
      </c>
      <c r="B213" s="47">
        <f>VLOOKUP(A213,'Data yoy'!$B:$AT,MATCH($B$1,'Data yoy'!$B$1:$AT$1,0),FALSE)</f>
        <v/>
      </c>
      <c r="C213" s="47">
        <f>Table13456789101112131415161734[[#This Row],[USA]]-B212</f>
        <v/>
      </c>
      <c r="D213" s="28" t="n"/>
    </row>
    <row r="214">
      <c r="A214" s="46" t="n">
        <v>36708</v>
      </c>
      <c r="B214" s="47">
        <f>VLOOKUP(A214,'Data yoy'!$B:$AT,MATCH($B$1,'Data yoy'!$B$1:$AT$1,0),FALSE)</f>
        <v/>
      </c>
      <c r="C214" s="47">
        <f>Table13456789101112131415161734[[#This Row],[USA]]-B213</f>
        <v/>
      </c>
      <c r="D214" s="28" t="n"/>
    </row>
    <row r="215">
      <c r="A215" s="46" t="n">
        <v>36800</v>
      </c>
      <c r="B215" s="47">
        <f>VLOOKUP(A215,'Data yoy'!$B:$AT,MATCH($B$1,'Data yoy'!$B$1:$AT$1,0),FALSE)</f>
        <v/>
      </c>
      <c r="C215" s="47">
        <f>Table13456789101112131415161734[[#This Row],[USA]]-B214</f>
        <v/>
      </c>
      <c r="D215" s="28" t="n"/>
    </row>
    <row r="216">
      <c r="A216" s="46" t="n">
        <v>36892</v>
      </c>
      <c r="B216" s="47">
        <f>VLOOKUP(A216,'Data yoy'!$B:$AT,MATCH($B$1,'Data yoy'!$B$1:$AT$1,0),FALSE)</f>
        <v/>
      </c>
      <c r="C216" s="47">
        <f>Table13456789101112131415161734[[#This Row],[USA]]-B215</f>
        <v/>
      </c>
      <c r="D216" s="28" t="n"/>
    </row>
    <row r="217">
      <c r="A217" s="46" t="n">
        <v>36982</v>
      </c>
      <c r="B217" s="47">
        <f>VLOOKUP(A217,'Data yoy'!$B:$AT,MATCH($B$1,'Data yoy'!$B$1:$AT$1,0),FALSE)</f>
        <v/>
      </c>
      <c r="C217" s="47">
        <f>Table13456789101112131415161734[[#This Row],[USA]]-B216</f>
        <v/>
      </c>
      <c r="D217" s="28" t="n"/>
    </row>
    <row r="218">
      <c r="A218" s="46" t="n">
        <v>37073</v>
      </c>
      <c r="B218" s="47">
        <f>VLOOKUP(A218,'Data yoy'!$B:$AT,MATCH($B$1,'Data yoy'!$B$1:$AT$1,0),FALSE)</f>
        <v/>
      </c>
      <c r="C218" s="47">
        <f>Table13456789101112131415161734[[#This Row],[USA]]-B217</f>
        <v/>
      </c>
      <c r="D218" s="28" t="n"/>
    </row>
    <row r="219">
      <c r="A219" s="46" t="n">
        <v>37165</v>
      </c>
      <c r="B219" s="47">
        <f>VLOOKUP(A219,'Data yoy'!$B:$AT,MATCH($B$1,'Data yoy'!$B$1:$AT$1,0),FALSE)</f>
        <v/>
      </c>
      <c r="C219" s="47">
        <f>Table13456789101112131415161734[[#This Row],[USA]]-B218</f>
        <v/>
      </c>
      <c r="D219" s="28" t="n"/>
    </row>
    <row r="220">
      <c r="A220" s="46" t="n">
        <v>37257</v>
      </c>
      <c r="B220" s="47">
        <f>VLOOKUP(A220,'Data yoy'!$B:$AT,MATCH($B$1,'Data yoy'!$B$1:$AT$1,0),FALSE)</f>
        <v/>
      </c>
      <c r="C220" s="47">
        <f>Table13456789101112131415161734[[#This Row],[USA]]-B219</f>
        <v/>
      </c>
      <c r="D220" s="28" t="n"/>
    </row>
    <row r="221">
      <c r="A221" s="46" t="n">
        <v>37347</v>
      </c>
      <c r="B221" s="47">
        <f>VLOOKUP(A221,'Data yoy'!$B:$AT,MATCH($B$1,'Data yoy'!$B$1:$AT$1,0),FALSE)</f>
        <v/>
      </c>
      <c r="C221" s="47">
        <f>Table13456789101112131415161734[[#This Row],[USA]]-B220</f>
        <v/>
      </c>
      <c r="D221" s="28" t="n"/>
    </row>
    <row r="222">
      <c r="A222" s="46" t="n">
        <v>37438</v>
      </c>
      <c r="B222" s="47">
        <f>VLOOKUP(A222,'Data yoy'!$B:$AT,MATCH($B$1,'Data yoy'!$B$1:$AT$1,0),FALSE)</f>
        <v/>
      </c>
      <c r="C222" s="47">
        <f>Table13456789101112131415161734[[#This Row],[USA]]-B221</f>
        <v/>
      </c>
      <c r="D222" s="28" t="n"/>
    </row>
    <row r="223">
      <c r="A223" s="46" t="n">
        <v>37530</v>
      </c>
      <c r="B223" s="47">
        <f>VLOOKUP(A223,'Data yoy'!$B:$AT,MATCH($B$1,'Data yoy'!$B$1:$AT$1,0),FALSE)</f>
        <v/>
      </c>
      <c r="C223" s="47">
        <f>Table13456789101112131415161734[[#This Row],[USA]]-B222</f>
        <v/>
      </c>
      <c r="D223" s="28" t="n"/>
    </row>
    <row r="224">
      <c r="A224" s="46" t="n">
        <v>37622</v>
      </c>
      <c r="B224" s="47">
        <f>VLOOKUP(A224,'Data yoy'!$B:$AT,MATCH($B$1,'Data yoy'!$B$1:$AT$1,0),FALSE)</f>
        <v/>
      </c>
      <c r="C224" s="47">
        <f>Table13456789101112131415161734[[#This Row],[USA]]-B223</f>
        <v/>
      </c>
      <c r="D224" s="28" t="n"/>
    </row>
    <row r="225">
      <c r="A225" s="46" t="n">
        <v>37712</v>
      </c>
      <c r="B225" s="47">
        <f>VLOOKUP(A225,'Data yoy'!$B:$AT,MATCH($B$1,'Data yoy'!$B$1:$AT$1,0),FALSE)</f>
        <v/>
      </c>
      <c r="C225" s="47">
        <f>Table13456789101112131415161734[[#This Row],[USA]]-B224</f>
        <v/>
      </c>
      <c r="D225" s="28" t="n"/>
    </row>
    <row r="226">
      <c r="A226" s="46" t="n">
        <v>37803</v>
      </c>
      <c r="B226" s="47">
        <f>VLOOKUP(A226,'Data yoy'!$B:$AT,MATCH($B$1,'Data yoy'!$B$1:$AT$1,0),FALSE)</f>
        <v/>
      </c>
      <c r="C226" s="47">
        <f>Table13456789101112131415161734[[#This Row],[USA]]-B225</f>
        <v/>
      </c>
      <c r="D226" s="28" t="n"/>
    </row>
    <row r="227">
      <c r="A227" s="46" t="n">
        <v>37895</v>
      </c>
      <c r="B227" s="47">
        <f>VLOOKUP(A227,'Data yoy'!$B:$AT,MATCH($B$1,'Data yoy'!$B$1:$AT$1,0),FALSE)</f>
        <v/>
      </c>
      <c r="C227" s="47">
        <f>Table13456789101112131415161734[[#This Row],[USA]]-B226</f>
        <v/>
      </c>
      <c r="D227" s="28" t="n"/>
    </row>
    <row r="228">
      <c r="A228" s="46" t="n">
        <v>37987</v>
      </c>
      <c r="B228" s="47">
        <f>VLOOKUP(A228,'Data yoy'!$B:$AT,MATCH($B$1,'Data yoy'!$B$1:$AT$1,0),FALSE)</f>
        <v/>
      </c>
      <c r="C228" s="47">
        <f>Table13456789101112131415161734[[#This Row],[USA]]-B227</f>
        <v/>
      </c>
      <c r="D228" s="28" t="n"/>
    </row>
    <row r="229">
      <c r="A229" s="46" t="n">
        <v>38078</v>
      </c>
      <c r="B229" s="47">
        <f>VLOOKUP(A229,'Data yoy'!$B:$AT,MATCH($B$1,'Data yoy'!$B$1:$AT$1,0),FALSE)</f>
        <v/>
      </c>
      <c r="C229" s="47">
        <f>Table13456789101112131415161734[[#This Row],[USA]]-B228</f>
        <v/>
      </c>
      <c r="D229" s="28" t="n"/>
    </row>
    <row r="230">
      <c r="A230" s="46" t="n">
        <v>38169</v>
      </c>
      <c r="B230" s="47">
        <f>VLOOKUP(A230,'Data yoy'!$B:$AT,MATCH($B$1,'Data yoy'!$B$1:$AT$1,0),FALSE)</f>
        <v/>
      </c>
      <c r="C230" s="47">
        <f>Table13456789101112131415161734[[#This Row],[USA]]-B229</f>
        <v/>
      </c>
      <c r="D230" s="28" t="n"/>
    </row>
    <row r="231">
      <c r="A231" s="46" t="n">
        <v>38261</v>
      </c>
      <c r="B231" s="47">
        <f>VLOOKUP(A231,'Data yoy'!$B:$AT,MATCH($B$1,'Data yoy'!$B$1:$AT$1,0),FALSE)</f>
        <v/>
      </c>
      <c r="C231" s="47">
        <f>Table13456789101112131415161734[[#This Row],[USA]]-B230</f>
        <v/>
      </c>
      <c r="D231" s="28" t="n"/>
    </row>
    <row r="232">
      <c r="A232" s="46" t="n">
        <v>38353</v>
      </c>
      <c r="B232" s="47">
        <f>VLOOKUP(A232,'Data yoy'!$B:$AT,MATCH($B$1,'Data yoy'!$B$1:$AT$1,0),FALSE)</f>
        <v/>
      </c>
      <c r="C232" s="47">
        <f>Table13456789101112131415161734[[#This Row],[USA]]-B231</f>
        <v/>
      </c>
      <c r="D232" s="28" t="n"/>
    </row>
    <row r="233">
      <c r="A233" s="46" t="n">
        <v>38443</v>
      </c>
      <c r="B233" s="47">
        <f>VLOOKUP(A233,'Data yoy'!$B:$AT,MATCH($B$1,'Data yoy'!$B$1:$AT$1,0),FALSE)</f>
        <v/>
      </c>
      <c r="C233" s="47">
        <f>Table13456789101112131415161734[[#This Row],[USA]]-B232</f>
        <v/>
      </c>
      <c r="D233" s="28" t="n"/>
    </row>
    <row r="234">
      <c r="A234" s="46" t="n">
        <v>38534</v>
      </c>
      <c r="B234" s="47">
        <f>VLOOKUP(A234,'Data yoy'!$B:$AT,MATCH($B$1,'Data yoy'!$B$1:$AT$1,0),FALSE)</f>
        <v/>
      </c>
      <c r="C234" s="47">
        <f>Table13456789101112131415161734[[#This Row],[USA]]-B233</f>
        <v/>
      </c>
      <c r="D234" s="28" t="n"/>
    </row>
    <row r="235">
      <c r="A235" s="46" t="n">
        <v>38626</v>
      </c>
      <c r="B235" s="47">
        <f>VLOOKUP(A235,'Data yoy'!$B:$AT,MATCH($B$1,'Data yoy'!$B$1:$AT$1,0),FALSE)</f>
        <v/>
      </c>
      <c r="C235" s="47">
        <f>Table13456789101112131415161734[[#This Row],[USA]]-B234</f>
        <v/>
      </c>
      <c r="D235" s="28" t="n"/>
    </row>
    <row r="236">
      <c r="A236" s="46" t="n">
        <v>38718</v>
      </c>
      <c r="B236" s="47">
        <f>VLOOKUP(A236,'Data yoy'!$B:$AT,MATCH($B$1,'Data yoy'!$B$1:$AT$1,0),FALSE)</f>
        <v/>
      </c>
      <c r="C236" s="47">
        <f>Table13456789101112131415161734[[#This Row],[USA]]-B235</f>
        <v/>
      </c>
      <c r="D236" s="28" t="n"/>
    </row>
    <row r="237">
      <c r="A237" s="46" t="n">
        <v>38808</v>
      </c>
      <c r="B237" s="47">
        <f>VLOOKUP(A237,'Data yoy'!$B:$AT,MATCH($B$1,'Data yoy'!$B$1:$AT$1,0),FALSE)</f>
        <v/>
      </c>
      <c r="C237" s="47">
        <f>Table13456789101112131415161734[[#This Row],[USA]]-B236</f>
        <v/>
      </c>
      <c r="D237" s="28" t="n"/>
    </row>
    <row r="238">
      <c r="A238" s="46" t="n">
        <v>38899</v>
      </c>
      <c r="B238" s="47">
        <f>VLOOKUP(A238,'Data yoy'!$B:$AT,MATCH($B$1,'Data yoy'!$B$1:$AT$1,0),FALSE)</f>
        <v/>
      </c>
      <c r="C238" s="47">
        <f>Table13456789101112131415161734[[#This Row],[USA]]-B237</f>
        <v/>
      </c>
      <c r="D238" s="28" t="n"/>
    </row>
    <row r="239">
      <c r="A239" s="46" t="n">
        <v>38991</v>
      </c>
      <c r="B239" s="47">
        <f>VLOOKUP(A239,'Data yoy'!$B:$AT,MATCH($B$1,'Data yoy'!$B$1:$AT$1,0),FALSE)</f>
        <v/>
      </c>
      <c r="C239" s="47">
        <f>Table13456789101112131415161734[[#This Row],[USA]]-B238</f>
        <v/>
      </c>
      <c r="D239" s="28" t="n"/>
    </row>
    <row r="240">
      <c r="A240" s="46" t="n">
        <v>39083</v>
      </c>
      <c r="B240" s="47">
        <f>VLOOKUP(A240,'Data yoy'!$B:$AT,MATCH($B$1,'Data yoy'!$B$1:$AT$1,0),FALSE)</f>
        <v/>
      </c>
      <c r="C240" s="47">
        <f>Table13456789101112131415161734[[#This Row],[USA]]-B239</f>
        <v/>
      </c>
      <c r="D240" s="28" t="n"/>
    </row>
    <row r="241">
      <c r="A241" s="46" t="n">
        <v>39173</v>
      </c>
      <c r="B241" s="47">
        <f>VLOOKUP(A241,'Data yoy'!$B:$AT,MATCH($B$1,'Data yoy'!$B$1:$AT$1,0),FALSE)</f>
        <v/>
      </c>
      <c r="C241" s="47">
        <f>Table13456789101112131415161734[[#This Row],[USA]]-B240</f>
        <v/>
      </c>
      <c r="D241" s="28" t="n"/>
    </row>
    <row r="242">
      <c r="A242" s="46" t="n">
        <v>39264</v>
      </c>
      <c r="B242" s="47">
        <f>VLOOKUP(A242,'Data yoy'!$B:$AT,MATCH($B$1,'Data yoy'!$B$1:$AT$1,0),FALSE)</f>
        <v/>
      </c>
      <c r="C242" s="47">
        <f>Table13456789101112131415161734[[#This Row],[USA]]-B241</f>
        <v/>
      </c>
      <c r="D242" s="28" t="n"/>
    </row>
    <row r="243">
      <c r="A243" s="46" t="n">
        <v>39356</v>
      </c>
      <c r="B243" s="47">
        <f>VLOOKUP(A243,'Data yoy'!$B:$AT,MATCH($B$1,'Data yoy'!$B$1:$AT$1,0),FALSE)</f>
        <v/>
      </c>
      <c r="C243" s="47">
        <f>Table13456789101112131415161734[[#This Row],[USA]]-B242</f>
        <v/>
      </c>
      <c r="D243" s="28" t="n"/>
    </row>
    <row r="244">
      <c r="A244" s="46" t="n">
        <v>39448</v>
      </c>
      <c r="B244" s="47">
        <f>VLOOKUP(A244,'Data yoy'!$B:$AT,MATCH($B$1,'Data yoy'!$B$1:$AT$1,0),FALSE)</f>
        <v/>
      </c>
      <c r="C244" s="47">
        <f>Table13456789101112131415161734[[#This Row],[USA]]-B243</f>
        <v/>
      </c>
      <c r="D244" s="28" t="n"/>
    </row>
    <row r="245">
      <c r="A245" s="46" t="n">
        <v>39539</v>
      </c>
      <c r="B245" s="47">
        <f>VLOOKUP(A245,'Data yoy'!$B:$AT,MATCH($B$1,'Data yoy'!$B$1:$AT$1,0),FALSE)</f>
        <v/>
      </c>
      <c r="C245" s="47">
        <f>Table13456789101112131415161734[[#This Row],[USA]]-B244</f>
        <v/>
      </c>
      <c r="D245" s="28" t="n"/>
    </row>
    <row r="246">
      <c r="A246" s="46" t="n">
        <v>39630</v>
      </c>
      <c r="B246" s="47">
        <f>VLOOKUP(A246,'Data yoy'!$B:$AT,MATCH($B$1,'Data yoy'!$B$1:$AT$1,0),FALSE)</f>
        <v/>
      </c>
      <c r="C246" s="47">
        <f>Table13456789101112131415161734[[#This Row],[USA]]-B245</f>
        <v/>
      </c>
      <c r="D246" s="28" t="n"/>
    </row>
    <row r="247">
      <c r="A247" s="46" t="n">
        <v>39722</v>
      </c>
      <c r="B247" s="47">
        <f>VLOOKUP(A247,'Data yoy'!$B:$AT,MATCH($B$1,'Data yoy'!$B$1:$AT$1,0),FALSE)</f>
        <v/>
      </c>
      <c r="C247" s="47">
        <f>Table13456789101112131415161734[[#This Row],[USA]]-B246</f>
        <v/>
      </c>
      <c r="D247" s="28" t="n"/>
    </row>
    <row r="248">
      <c r="A248" s="46" t="n">
        <v>39814</v>
      </c>
      <c r="B248" s="47">
        <f>VLOOKUP(A248,'Data yoy'!$B:$AT,MATCH($B$1,'Data yoy'!$B$1:$AT$1,0),FALSE)</f>
        <v/>
      </c>
      <c r="C248" s="47">
        <f>Table13456789101112131415161734[[#This Row],[USA]]-B247</f>
        <v/>
      </c>
      <c r="D248" s="28" t="n"/>
    </row>
    <row r="249">
      <c r="A249" s="46" t="n">
        <v>39904</v>
      </c>
      <c r="B249" s="47">
        <f>VLOOKUP(A249,'Data yoy'!$B:$AT,MATCH($B$1,'Data yoy'!$B$1:$AT$1,0),FALSE)</f>
        <v/>
      </c>
      <c r="C249" s="47">
        <f>Table13456789101112131415161734[[#This Row],[USA]]-B248</f>
        <v/>
      </c>
      <c r="D249" s="28" t="n"/>
    </row>
    <row r="250">
      <c r="A250" s="46" t="n">
        <v>39995</v>
      </c>
      <c r="B250" s="47">
        <f>VLOOKUP(A250,'Data yoy'!$B:$AT,MATCH($B$1,'Data yoy'!$B$1:$AT$1,0),FALSE)</f>
        <v/>
      </c>
      <c r="C250" s="47">
        <f>Table13456789101112131415161734[[#This Row],[USA]]-B249</f>
        <v/>
      </c>
      <c r="D250" s="28" t="n"/>
    </row>
    <row r="251">
      <c r="A251" s="46" t="n">
        <v>40087</v>
      </c>
      <c r="B251" s="47">
        <f>VLOOKUP(A251,'Data yoy'!$B:$AT,MATCH($B$1,'Data yoy'!$B$1:$AT$1,0),FALSE)</f>
        <v/>
      </c>
      <c r="C251" s="47">
        <f>Table13456789101112131415161734[[#This Row],[USA]]-B250</f>
        <v/>
      </c>
      <c r="D251" s="28" t="n"/>
    </row>
    <row r="252">
      <c r="A252" s="46" t="n">
        <v>40179</v>
      </c>
      <c r="B252" s="47">
        <f>VLOOKUP(A252,'Data yoy'!$B:$AT,MATCH($B$1,'Data yoy'!$B$1:$AT$1,0),FALSE)</f>
        <v/>
      </c>
      <c r="C252" s="47">
        <f>Table13456789101112131415161734[[#This Row],[USA]]-B251</f>
        <v/>
      </c>
      <c r="D252" s="28" t="n"/>
    </row>
    <row r="253">
      <c r="A253" s="46" t="n">
        <v>40269</v>
      </c>
      <c r="B253" s="47">
        <f>VLOOKUP(A253,'Data yoy'!$B:$AT,MATCH($B$1,'Data yoy'!$B$1:$AT$1,0),FALSE)</f>
        <v/>
      </c>
      <c r="C253" s="47">
        <f>Table13456789101112131415161734[[#This Row],[USA]]-B252</f>
        <v/>
      </c>
      <c r="D253" s="28" t="n"/>
    </row>
    <row r="254">
      <c r="A254" s="46" t="n">
        <v>40360</v>
      </c>
      <c r="B254" s="47">
        <f>VLOOKUP(A254,'Data yoy'!$B:$AT,MATCH($B$1,'Data yoy'!$B$1:$AT$1,0),FALSE)</f>
        <v/>
      </c>
      <c r="C254" s="47">
        <f>Table13456789101112131415161734[[#This Row],[USA]]-B253</f>
        <v/>
      </c>
      <c r="D254" s="28" t="n"/>
    </row>
    <row r="255">
      <c r="A255" s="46" t="n">
        <v>40452</v>
      </c>
      <c r="B255" s="47">
        <f>VLOOKUP(A255,'Data yoy'!$B:$AT,MATCH($B$1,'Data yoy'!$B$1:$AT$1,0),FALSE)</f>
        <v/>
      </c>
      <c r="C255" s="47">
        <f>Table13456789101112131415161734[[#This Row],[USA]]-B254</f>
        <v/>
      </c>
      <c r="D255" s="28" t="n"/>
    </row>
    <row r="256">
      <c r="A256" s="46" t="n">
        <v>40544</v>
      </c>
      <c r="B256" s="47">
        <f>VLOOKUP(A256,'Data yoy'!$B:$AT,MATCH($B$1,'Data yoy'!$B$1:$AT$1,0),FALSE)</f>
        <v/>
      </c>
      <c r="C256" s="47">
        <f>Table13456789101112131415161734[[#This Row],[USA]]-B255</f>
        <v/>
      </c>
      <c r="D256" s="28" t="n"/>
    </row>
    <row r="257">
      <c r="A257" s="46" t="n">
        <v>40634</v>
      </c>
      <c r="B257" s="47">
        <f>VLOOKUP(A257,'Data yoy'!$B:$AT,MATCH($B$1,'Data yoy'!$B$1:$AT$1,0),FALSE)</f>
        <v/>
      </c>
      <c r="C257" s="47">
        <f>Table13456789101112131415161734[[#This Row],[USA]]-B256</f>
        <v/>
      </c>
      <c r="D257" s="28" t="n"/>
    </row>
    <row r="258">
      <c r="A258" s="46" t="n">
        <v>40725</v>
      </c>
      <c r="B258" s="47">
        <f>VLOOKUP(A258,'Data yoy'!$B:$AT,MATCH($B$1,'Data yoy'!$B$1:$AT$1,0),FALSE)</f>
        <v/>
      </c>
      <c r="C258" s="47">
        <f>Table13456789101112131415161734[[#This Row],[USA]]-B257</f>
        <v/>
      </c>
      <c r="D258" s="28" t="n"/>
    </row>
    <row r="259">
      <c r="A259" s="46" t="n">
        <v>40817</v>
      </c>
      <c r="B259" s="47">
        <f>VLOOKUP(A259,'Data yoy'!$B:$AT,MATCH($B$1,'Data yoy'!$B$1:$AT$1,0),FALSE)</f>
        <v/>
      </c>
      <c r="C259" s="47">
        <f>Table13456789101112131415161734[[#This Row],[USA]]-B258</f>
        <v/>
      </c>
      <c r="D259" s="28" t="n"/>
    </row>
    <row r="260">
      <c r="A260" s="46" t="n">
        <v>40909</v>
      </c>
      <c r="B260" s="47">
        <f>VLOOKUP(A260,'Data yoy'!$B:$AT,MATCH($B$1,'Data yoy'!$B$1:$AT$1,0),FALSE)</f>
        <v/>
      </c>
      <c r="C260" s="47">
        <f>Table13456789101112131415161734[[#This Row],[USA]]-B259</f>
        <v/>
      </c>
      <c r="D260" s="28" t="n"/>
    </row>
    <row r="261">
      <c r="A261" s="46" t="n">
        <v>41000</v>
      </c>
      <c r="B261" s="47">
        <f>VLOOKUP(A261,'Data yoy'!$B:$AT,MATCH($B$1,'Data yoy'!$B$1:$AT$1,0),FALSE)</f>
        <v/>
      </c>
      <c r="C261" s="47">
        <f>Table13456789101112131415161734[[#This Row],[USA]]-B260</f>
        <v/>
      </c>
      <c r="D261" s="28" t="n"/>
    </row>
    <row r="262">
      <c r="A262" s="46" t="n">
        <v>41091</v>
      </c>
      <c r="B262" s="47">
        <f>VLOOKUP(A262,'Data yoy'!$B:$AT,MATCH($B$1,'Data yoy'!$B$1:$AT$1,0),FALSE)</f>
        <v/>
      </c>
      <c r="C262" s="47">
        <f>Table13456789101112131415161734[[#This Row],[USA]]-B261</f>
        <v/>
      </c>
      <c r="D262" s="28" t="n"/>
    </row>
    <row r="263">
      <c r="A263" s="46" t="n">
        <v>41183</v>
      </c>
      <c r="B263" s="47">
        <f>VLOOKUP(A263,'Data yoy'!$B:$AT,MATCH($B$1,'Data yoy'!$B$1:$AT$1,0),FALSE)</f>
        <v/>
      </c>
      <c r="C263" s="47">
        <f>Table13456789101112131415161734[[#This Row],[USA]]-B262</f>
        <v/>
      </c>
      <c r="D263" s="28" t="n"/>
    </row>
    <row r="264">
      <c r="A264" s="46" t="n">
        <v>41275</v>
      </c>
      <c r="B264" s="47">
        <f>VLOOKUP(A264,'Data yoy'!$B:$AT,MATCH($B$1,'Data yoy'!$B$1:$AT$1,0),FALSE)</f>
        <v/>
      </c>
      <c r="C264" s="47">
        <f>Table13456789101112131415161734[[#This Row],[USA]]-B263</f>
        <v/>
      </c>
      <c r="D264" s="28" t="n"/>
    </row>
    <row r="265">
      <c r="A265" s="46" t="n">
        <v>41365</v>
      </c>
      <c r="B265" s="47">
        <f>VLOOKUP(A265,'Data yoy'!$B:$AT,MATCH($B$1,'Data yoy'!$B$1:$AT$1,0),FALSE)</f>
        <v/>
      </c>
      <c r="C265" s="47">
        <f>Table13456789101112131415161734[[#This Row],[USA]]-B264</f>
        <v/>
      </c>
      <c r="D265" s="28" t="n"/>
    </row>
    <row r="266">
      <c r="A266" s="46" t="n">
        <v>41456</v>
      </c>
      <c r="B266" s="47">
        <f>VLOOKUP(A266,'Data yoy'!$B:$AT,MATCH($B$1,'Data yoy'!$B$1:$AT$1,0),FALSE)</f>
        <v/>
      </c>
      <c r="C266" s="47">
        <f>Table13456789101112131415161734[[#This Row],[USA]]-B265</f>
        <v/>
      </c>
      <c r="D266" s="28" t="n"/>
    </row>
    <row r="267">
      <c r="A267" s="46" t="n">
        <v>41548</v>
      </c>
      <c r="B267" s="47">
        <f>VLOOKUP(A267,'Data yoy'!$B:$AT,MATCH($B$1,'Data yoy'!$B$1:$AT$1,0),FALSE)</f>
        <v/>
      </c>
      <c r="C267" s="47">
        <f>Table13456789101112131415161734[[#This Row],[USA]]-B266</f>
        <v/>
      </c>
      <c r="D267" s="28" t="n"/>
    </row>
    <row r="268">
      <c r="A268" s="46" t="n">
        <v>41640</v>
      </c>
      <c r="B268" s="47">
        <f>VLOOKUP(A268,'Data yoy'!$B:$AT,MATCH($B$1,'Data yoy'!$B$1:$AT$1,0),FALSE)</f>
        <v/>
      </c>
      <c r="C268" s="47">
        <f>Table13456789101112131415161734[[#This Row],[USA]]-B267</f>
        <v/>
      </c>
      <c r="D268" s="28" t="n"/>
    </row>
    <row r="269">
      <c r="A269" s="46" t="n">
        <v>41730</v>
      </c>
      <c r="B269" s="47">
        <f>VLOOKUP(A269,'Data yoy'!$B:$AT,MATCH($B$1,'Data yoy'!$B$1:$AT$1,0),FALSE)</f>
        <v/>
      </c>
      <c r="C269" s="47">
        <f>Table13456789101112131415161734[[#This Row],[USA]]-B268</f>
        <v/>
      </c>
      <c r="D269" s="28" t="n"/>
    </row>
    <row r="270">
      <c r="A270" s="46" t="n">
        <v>41821</v>
      </c>
      <c r="B270" s="47">
        <f>VLOOKUP(A270,'Data yoy'!$B:$AT,MATCH($B$1,'Data yoy'!$B$1:$AT$1,0),FALSE)</f>
        <v/>
      </c>
      <c r="C270" s="47">
        <f>Table13456789101112131415161734[[#This Row],[USA]]-B269</f>
        <v/>
      </c>
      <c r="D270" s="28" t="n"/>
    </row>
    <row r="271">
      <c r="A271" s="46" t="n">
        <v>41913</v>
      </c>
      <c r="B271" s="47">
        <f>VLOOKUP(A271,'Data yoy'!$B:$AT,MATCH($B$1,'Data yoy'!$B$1:$AT$1,0),FALSE)</f>
        <v/>
      </c>
      <c r="C271" s="47">
        <f>Table13456789101112131415161734[[#This Row],[USA]]-B270</f>
        <v/>
      </c>
      <c r="D271" s="28" t="n"/>
    </row>
    <row r="272">
      <c r="A272" s="46" t="n">
        <v>42005</v>
      </c>
      <c r="B272" s="47">
        <f>VLOOKUP(A272,'Data yoy'!$B:$AT,MATCH($B$1,'Data yoy'!$B$1:$AT$1,0),FALSE)</f>
        <v/>
      </c>
      <c r="C272" s="47">
        <f>Table13456789101112131415161734[[#This Row],[USA]]-B271</f>
        <v/>
      </c>
      <c r="D272" s="28" t="n"/>
    </row>
    <row r="273">
      <c r="A273" s="46" t="n">
        <v>42095</v>
      </c>
      <c r="B273" s="47">
        <f>VLOOKUP(A273,'Data yoy'!$B:$AT,MATCH($B$1,'Data yoy'!$B$1:$AT$1,0),FALSE)</f>
        <v/>
      </c>
      <c r="C273" s="47">
        <f>Table13456789101112131415161734[[#This Row],[USA]]-B272</f>
        <v/>
      </c>
      <c r="D273" s="28" t="n"/>
    </row>
    <row r="274">
      <c r="A274" s="46" t="n">
        <v>42186</v>
      </c>
      <c r="B274" s="47">
        <f>VLOOKUP(A274,'Data yoy'!$B:$AT,MATCH($B$1,'Data yoy'!$B$1:$AT$1,0),FALSE)</f>
        <v/>
      </c>
      <c r="C274" s="47">
        <f>Table13456789101112131415161734[[#This Row],[USA]]-B273</f>
        <v/>
      </c>
      <c r="D274" s="28" t="n"/>
    </row>
    <row r="275">
      <c r="A275" s="46" t="n">
        <v>42278</v>
      </c>
      <c r="B275" s="47">
        <f>VLOOKUP(A275,'Data yoy'!$B:$AT,MATCH($B$1,'Data yoy'!$B$1:$AT$1,0),FALSE)</f>
        <v/>
      </c>
      <c r="C275" s="47">
        <f>Table13456789101112131415161734[[#This Row],[USA]]-B274</f>
        <v/>
      </c>
      <c r="D275" s="28" t="n"/>
    </row>
    <row r="276">
      <c r="A276" s="46" t="n">
        <v>42370</v>
      </c>
      <c r="B276" s="47">
        <f>VLOOKUP(A276,'Data yoy'!$B:$AT,MATCH($B$1,'Data yoy'!$B$1:$AT$1,0),FALSE)</f>
        <v/>
      </c>
      <c r="C276" s="47">
        <f>Table13456789101112131415161734[[#This Row],[USA]]-B275</f>
        <v/>
      </c>
      <c r="D276" s="28" t="n"/>
    </row>
    <row r="277">
      <c r="A277" s="46" t="n">
        <v>42461</v>
      </c>
      <c r="B277" s="47">
        <f>VLOOKUP(A277,'Data yoy'!$B:$AT,MATCH($B$1,'Data yoy'!$B$1:$AT$1,0),FALSE)</f>
        <v/>
      </c>
      <c r="C277" s="47">
        <f>Table13456789101112131415161734[[#This Row],[USA]]-B276</f>
        <v/>
      </c>
      <c r="D277" s="28" t="n"/>
    </row>
    <row r="278">
      <c r="A278" s="46" t="n">
        <v>42552</v>
      </c>
      <c r="B278" s="47">
        <f>VLOOKUP(A278,'Data yoy'!$B:$AT,MATCH($B$1,'Data yoy'!$B$1:$AT$1,0),FALSE)</f>
        <v/>
      </c>
      <c r="C278" s="47">
        <f>Table13456789101112131415161734[[#This Row],[USA]]-B277</f>
        <v/>
      </c>
      <c r="D278" s="28" t="n"/>
    </row>
    <row r="279">
      <c r="A279" s="46" t="n">
        <v>42644</v>
      </c>
      <c r="B279" s="47">
        <f>VLOOKUP(A279,'Data yoy'!$B:$AT,MATCH($B$1,'Data yoy'!$B$1:$AT$1,0),FALSE)</f>
        <v/>
      </c>
      <c r="C279" s="47">
        <f>Table13456789101112131415161734[[#This Row],[USA]]-B278</f>
        <v/>
      </c>
      <c r="D279" s="28" t="n"/>
    </row>
    <row r="280">
      <c r="A280" s="46" t="n">
        <v>42736</v>
      </c>
      <c r="B280" s="47">
        <f>VLOOKUP(A280,'Data yoy'!$B:$AT,MATCH($B$1,'Data yoy'!$B$1:$AT$1,0),FALSE)</f>
        <v/>
      </c>
      <c r="C280" s="47">
        <f>Table13456789101112131415161734[[#This Row],[USA]]-B279</f>
        <v/>
      </c>
      <c r="D280" s="28" t="n"/>
    </row>
    <row r="281">
      <c r="A281" s="46" t="n">
        <v>42826</v>
      </c>
      <c r="B281" s="47">
        <f>VLOOKUP(A281,'Data yoy'!$B:$AT,MATCH($B$1,'Data yoy'!$B$1:$AT$1,0),FALSE)</f>
        <v/>
      </c>
      <c r="C281" s="47">
        <f>Table13456789101112131415161734[[#This Row],[USA]]-B280</f>
        <v/>
      </c>
      <c r="D281" s="28" t="n"/>
    </row>
    <row r="282">
      <c r="A282" s="46" t="n">
        <v>42917</v>
      </c>
      <c r="B282" s="47">
        <f>VLOOKUP(A282,'Data yoy'!$B:$AT,MATCH($B$1,'Data yoy'!$B$1:$AT$1,0),FALSE)</f>
        <v/>
      </c>
      <c r="C282" s="47">
        <f>Table13456789101112131415161734[[#This Row],[USA]]-B281</f>
        <v/>
      </c>
      <c r="D282" s="28" t="n"/>
    </row>
    <row r="283">
      <c r="A283" s="46" t="n">
        <v>43009</v>
      </c>
      <c r="B283" s="47">
        <f>VLOOKUP(A283,'Data yoy'!$B:$AT,MATCH($B$1,'Data yoy'!$B$1:$AT$1,0),FALSE)</f>
        <v/>
      </c>
      <c r="C283" s="47">
        <f>Table13456789101112131415161734[[#This Row],[USA]]-B282</f>
        <v/>
      </c>
      <c r="D283" s="28" t="n"/>
    </row>
    <row r="284">
      <c r="A284" s="46" t="n">
        <v>43101</v>
      </c>
      <c r="B284" s="47">
        <f>VLOOKUP(A284,'Data yoy'!$B:$AT,MATCH($B$1,'Data yoy'!$B$1:$AT$1,0),FALSE)</f>
        <v/>
      </c>
      <c r="C284" s="47">
        <f>Table13456789101112131415161734[[#This Row],[USA]]-B283</f>
        <v/>
      </c>
      <c r="D284" s="28" t="n"/>
    </row>
    <row r="285">
      <c r="A285" s="46" t="n">
        <v>43191</v>
      </c>
      <c r="B285" s="47">
        <f>VLOOKUP(A285,'Data yoy'!$B:$AT,MATCH($B$1,'Data yoy'!$B$1:$AT$1,0),FALSE)</f>
        <v/>
      </c>
      <c r="C285" s="47">
        <f>Table13456789101112131415161734[[#This Row],[USA]]-B284</f>
        <v/>
      </c>
      <c r="D285" s="28" t="n"/>
    </row>
    <row r="286">
      <c r="A286" s="46" t="n">
        <v>43282</v>
      </c>
      <c r="B286" s="47">
        <f>VLOOKUP(A286,'Data yoy'!$B:$AT,MATCH($B$1,'Data yoy'!$B$1:$AT$1,0),FALSE)</f>
        <v/>
      </c>
      <c r="C286" s="47">
        <f>Table13456789101112131415161734[[#This Row],[USA]]-B285</f>
        <v/>
      </c>
    </row>
    <row r="287">
      <c r="A287" s="46" t="n">
        <v>43374</v>
      </c>
      <c r="B287" s="47">
        <f>VLOOKUP(A287,'Data yoy'!$B:$AT,MATCH($B$1,'Data yoy'!$B$1:$AT$1,0),FALSE)</f>
        <v/>
      </c>
      <c r="C287" s="47">
        <f>Table13456789101112131415161734[[#This Row],[USA]]-B286</f>
        <v/>
      </c>
    </row>
    <row r="288">
      <c r="A288" s="46" t="n">
        <v>43466</v>
      </c>
      <c r="B288" s="47">
        <f>VLOOKUP(A288,'Data yoy'!$B:$AT,MATCH($B$1,'Data yoy'!$B$1:$AT$1,0),FALSE)</f>
        <v/>
      </c>
      <c r="C288" s="47">
        <f>Table13456789101112131415161734[[#This Row],[USA]]-B287</f>
        <v/>
      </c>
    </row>
    <row r="289">
      <c r="A289" s="46" t="n">
        <v>43556</v>
      </c>
      <c r="B289" s="47">
        <f>VLOOKUP(A289,'Data yoy'!$B:$AT,MATCH($B$1,'Data yoy'!$B$1:$AT$1,0),FALSE)</f>
        <v/>
      </c>
      <c r="C289" s="47">
        <f>Table13456789101112131415161734[[#This Row],[USA]]-B288</f>
        <v/>
      </c>
    </row>
    <row r="290">
      <c r="A290" s="46" t="n">
        <v>43647</v>
      </c>
      <c r="B290" s="47">
        <f>VLOOKUP(A290,'Data yoy'!$B:$AT,MATCH($B$1,'Data yoy'!$B$1:$AT$1,0),FALSE)</f>
        <v/>
      </c>
      <c r="C290" s="47">
        <f>Table13456789101112131415161734[[#This Row],[USA]]-B289</f>
        <v/>
      </c>
    </row>
    <row r="291" customFormat="1" s="93">
      <c r="A291" s="46" t="n">
        <v>43739</v>
      </c>
      <c r="B291" s="47">
        <f>VLOOKUP(A291,'Data yoy'!$B:$AT,MATCH($B$1,'Data yoy'!$B$1:$AT$1,0),FALSE)</f>
        <v/>
      </c>
      <c r="C291" s="47">
        <f>Table13456789101112131415161734[[#This Row],[USA]]-B290</f>
        <v/>
      </c>
      <c r="D291" s="52" t="n"/>
    </row>
    <row r="292" customFormat="1" s="93">
      <c r="A292" s="46" t="n">
        <v>43831</v>
      </c>
      <c r="B292" s="47">
        <f>VLOOKUP(A292,'Data yoy'!$B:$AT,MATCH($B$1,'Data yoy'!$B$1:$AT$1,0),FALSE)</f>
        <v/>
      </c>
      <c r="C292" s="47">
        <f>Table13456789101112131415161734[[#This Row],[USA]]-B291</f>
        <v/>
      </c>
      <c r="D292" s="52" t="n"/>
    </row>
    <row r="293" customFormat="1" s="93">
      <c r="A293" s="46" t="n">
        <v>43922</v>
      </c>
      <c r="B293" s="47">
        <f>VLOOKUP(A293,'Data yoy'!$B:$AT,MATCH($B$1,'Data yoy'!$B$1:$AT$1,0),FALSE)</f>
        <v/>
      </c>
      <c r="C293" s="47">
        <f>Table13456789101112131415161734[[#This Row],[USA]]-B292</f>
        <v/>
      </c>
      <c r="D293" s="52" t="n"/>
    </row>
    <row r="294" customFormat="1" s="93">
      <c r="A294" s="46" t="n">
        <v>44013</v>
      </c>
      <c r="B294" s="47">
        <f>VLOOKUP(A294,'Data yoy'!$B:$AT,MATCH($B$1,'Data yoy'!$B$1:$AT$1,0),FALSE)</f>
        <v/>
      </c>
      <c r="C294" s="47">
        <f>Table13456789101112131415161734[[#This Row],[USA]]-B293</f>
        <v/>
      </c>
      <c r="D294" s="52" t="n"/>
    </row>
    <row r="295" customFormat="1" s="93">
      <c r="A295" s="46" t="n">
        <v>44105</v>
      </c>
      <c r="B295" s="47">
        <f>VLOOKUP(A295,'Data yoy'!$B:$AT,MATCH($B$1,'Data yoy'!$B$1:$AT$1,0),FALSE)</f>
        <v/>
      </c>
      <c r="C295" s="47">
        <f>Table13456789101112131415161734[[#This Row],[USA]]-B294</f>
        <v/>
      </c>
      <c r="D295" s="52" t="n"/>
    </row>
    <row r="296" customFormat="1" s="93">
      <c r="A296" s="46" t="n">
        <v>44197</v>
      </c>
      <c r="B296" s="47">
        <f>VLOOKUP(A296,'Data yoy'!$B:$AT,MATCH($B$1,'Data yoy'!$B$1:$AT$1,0),FALSE)</f>
        <v/>
      </c>
      <c r="C296" s="47">
        <f>Table13456789101112131415161734[[#This Row],[USA]]-B295</f>
        <v/>
      </c>
      <c r="D296" s="52" t="n"/>
    </row>
    <row r="297" customFormat="1" s="93">
      <c r="A297" s="46" t="n">
        <v>44287</v>
      </c>
      <c r="B297" s="47">
        <f>VLOOKUP(A297,'Data yoy'!$B:$AT,MATCH($B$1,'Data yoy'!$B$1:$AT$1,0),FALSE)</f>
        <v/>
      </c>
      <c r="C297" s="47">
        <f>Table13456789101112131415161734[[#This Row],[USA]]-B296</f>
        <v/>
      </c>
      <c r="D297" s="52" t="n"/>
    </row>
    <row r="298" customFormat="1" s="93">
      <c r="A298" s="46" t="n">
        <v>44378</v>
      </c>
      <c r="B298" s="47">
        <f>VLOOKUP(A298,'Data yoy'!$B:$AT,MATCH($B$1,'Data yoy'!$B$1:$AT$1,0),FALSE)</f>
        <v/>
      </c>
      <c r="C298" s="47">
        <f>Table13456789101112131415161734[[#This Row],[USA]]-B297</f>
        <v/>
      </c>
      <c r="D298" s="52" t="n"/>
    </row>
    <row r="299" customFormat="1" s="93">
      <c r="A299" s="53" t="n"/>
      <c r="B299" s="54" t="n"/>
      <c r="C299" s="45" t="n"/>
      <c r="D299" s="52" t="n"/>
    </row>
    <row r="300" customFormat="1" s="93">
      <c r="A300" s="53" t="n"/>
      <c r="B300" s="54" t="n"/>
      <c r="C300" s="45" t="n"/>
      <c r="D300" s="52" t="n"/>
    </row>
    <row r="301" customFormat="1" s="93">
      <c r="A301" s="53" t="n"/>
      <c r="B301" s="54" t="n"/>
      <c r="C301" s="45" t="n"/>
      <c r="D301" s="52" t="n"/>
    </row>
    <row r="302" customFormat="1" s="93">
      <c r="A302" s="53" t="n"/>
      <c r="B302" s="54" t="n"/>
      <c r="C302" s="45" t="n"/>
      <c r="D302" s="52" t="n"/>
    </row>
    <row r="303" customFormat="1" s="93">
      <c r="A303" s="53" t="n"/>
      <c r="B303" s="54" t="n"/>
      <c r="C303" s="45" t="n"/>
      <c r="D303" s="52" t="n"/>
    </row>
    <row r="304" customFormat="1" s="93">
      <c r="A304" s="53" t="n"/>
      <c r="B304" s="54" t="n"/>
      <c r="C304" s="45" t="n"/>
      <c r="D304" s="52" t="n"/>
    </row>
    <row r="305" customFormat="1" s="93">
      <c r="A305" s="53" t="n"/>
      <c r="B305" s="54" t="n"/>
      <c r="C305" s="45" t="n"/>
      <c r="D305" s="52" t="n"/>
    </row>
    <row r="306" customFormat="1" s="93">
      <c r="A306" s="53" t="n"/>
      <c r="B306" s="54" t="n"/>
      <c r="C306" s="45" t="n"/>
      <c r="D306" s="52" t="n"/>
    </row>
    <row r="307" customFormat="1" s="93">
      <c r="A307" s="53" t="n"/>
      <c r="B307" s="54" t="n"/>
      <c r="C307" s="45" t="n"/>
      <c r="D307" s="52" t="n"/>
    </row>
    <row r="308" customFormat="1" s="93">
      <c r="A308" s="53" t="n"/>
      <c r="B308" s="54" t="n"/>
      <c r="C308" s="45" t="n"/>
      <c r="D308" s="52" t="n"/>
    </row>
    <row r="309" customFormat="1" s="93">
      <c r="A309" s="53" t="n"/>
      <c r="B309" s="54" t="n"/>
      <c r="C309" s="45" t="n"/>
      <c r="D309" s="52" t="n"/>
    </row>
    <row r="310" customFormat="1" s="93">
      <c r="A310" s="53" t="n"/>
      <c r="B310" s="54" t="n"/>
      <c r="C310" s="45" t="n"/>
      <c r="D310" s="52" t="n"/>
    </row>
    <row r="311" customFormat="1" s="93">
      <c r="A311" s="53" t="n"/>
      <c r="B311" s="54" t="n"/>
      <c r="C311" s="45" t="n"/>
      <c r="D311" s="52" t="n"/>
    </row>
    <row r="312" customFormat="1" s="93">
      <c r="A312" s="53" t="n"/>
      <c r="B312" s="54" t="n"/>
      <c r="C312" s="45" t="n"/>
      <c r="D312" s="52" t="n"/>
    </row>
    <row r="313" customFormat="1" s="93">
      <c r="A313" s="53" t="n"/>
      <c r="B313" s="54" t="n"/>
      <c r="C313" s="45" t="n"/>
      <c r="D313" s="52" t="n"/>
    </row>
    <row r="314" customFormat="1" s="93">
      <c r="A314" s="53" t="n"/>
      <c r="B314" s="54" t="n"/>
      <c r="C314" s="45" t="n"/>
      <c r="D314" s="52" t="n"/>
    </row>
    <row r="315" customFormat="1" s="93">
      <c r="A315" s="53" t="n"/>
      <c r="B315" s="54" t="n"/>
      <c r="C315" s="45" t="n"/>
      <c r="D315" s="52" t="n"/>
    </row>
    <row r="316" customFormat="1" s="93">
      <c r="A316" s="53" t="n"/>
      <c r="B316" s="54" t="n"/>
      <c r="C316" s="45" t="n"/>
      <c r="D316" s="52" t="n"/>
    </row>
    <row r="317" customFormat="1" s="93">
      <c r="A317" s="53" t="n"/>
      <c r="B317" s="54" t="n"/>
      <c r="C317" s="45" t="n"/>
      <c r="D317" s="52" t="n"/>
    </row>
    <row r="318" customFormat="1" s="93">
      <c r="A318" s="53" t="n"/>
      <c r="B318" s="54" t="n"/>
      <c r="C318" s="45" t="n"/>
      <c r="D318" s="52" t="n"/>
    </row>
    <row r="319" customFormat="1" s="93">
      <c r="A319" s="53" t="n"/>
      <c r="B319" s="54" t="n"/>
      <c r="C319" s="45" t="n"/>
      <c r="D319" s="52" t="n"/>
    </row>
    <row r="320" customFormat="1" s="93">
      <c r="A320" s="53" t="n"/>
      <c r="B320" s="54" t="n"/>
      <c r="C320" s="45" t="n"/>
      <c r="D320" s="52" t="n"/>
    </row>
    <row r="321" customFormat="1" s="93">
      <c r="A321" s="53" t="n"/>
      <c r="B321" s="54" t="n"/>
      <c r="C321" s="45" t="n"/>
      <c r="D321" s="52" t="n"/>
    </row>
    <row r="322" customFormat="1" s="93">
      <c r="A322" s="53" t="n"/>
      <c r="B322" s="54" t="n"/>
      <c r="C322" s="45" t="n"/>
      <c r="D322" s="52" t="n"/>
    </row>
    <row r="323" customFormat="1" s="93">
      <c r="A323" s="53" t="n"/>
      <c r="B323" s="54" t="n"/>
      <c r="C323" s="45" t="n"/>
      <c r="D323" s="52" t="n"/>
    </row>
    <row r="324" customFormat="1" s="93">
      <c r="A324" s="53" t="n"/>
      <c r="B324" s="54" t="n"/>
      <c r="C324" s="45" t="n"/>
      <c r="D324" s="52" t="n"/>
    </row>
    <row r="325" customFormat="1" s="93">
      <c r="A325" s="53" t="n"/>
      <c r="B325" s="54" t="n"/>
      <c r="C325" s="45" t="n"/>
      <c r="D325" s="52" t="n"/>
    </row>
    <row r="326" customFormat="1" s="93">
      <c r="A326" s="53" t="n"/>
      <c r="B326" s="54" t="n"/>
      <c r="C326" s="45" t="n"/>
      <c r="D326" s="52" t="n"/>
    </row>
    <row r="327" customFormat="1" s="93">
      <c r="A327" s="53" t="n"/>
      <c r="B327" s="54" t="n"/>
      <c r="C327" s="45" t="n"/>
      <c r="D327" s="52" t="n"/>
    </row>
    <row r="328" customFormat="1" s="93">
      <c r="A328" s="53" t="n"/>
      <c r="B328" s="54" t="n"/>
      <c r="C328" s="45" t="n"/>
      <c r="D328" s="52" t="n"/>
    </row>
    <row r="329" customFormat="1" s="93">
      <c r="A329" s="53" t="n"/>
      <c r="B329" s="54" t="n"/>
      <c r="C329" s="45" t="n"/>
      <c r="D329" s="52" t="n"/>
    </row>
    <row r="330" customFormat="1" s="93">
      <c r="A330" s="53" t="n"/>
      <c r="B330" s="54" t="n"/>
      <c r="C330" s="45" t="n"/>
      <c r="D330" s="52" t="n"/>
    </row>
    <row r="331" customFormat="1" s="93">
      <c r="A331" s="53" t="n"/>
      <c r="B331" s="54" t="n"/>
      <c r="C331" s="45" t="n"/>
      <c r="D331" s="52" t="n"/>
    </row>
    <row r="332" customFormat="1" s="93">
      <c r="A332" s="53" t="n"/>
      <c r="B332" s="54" t="n"/>
      <c r="C332" s="45" t="n"/>
      <c r="D332" s="52" t="n"/>
    </row>
    <row r="333" customFormat="1" s="93">
      <c r="A333" s="53" t="n"/>
      <c r="B333" s="54" t="n"/>
      <c r="C333" s="45" t="n"/>
      <c r="D333" s="52" t="n"/>
    </row>
    <row r="334" customFormat="1" s="93">
      <c r="A334" s="53" t="n"/>
      <c r="B334" s="54" t="n"/>
      <c r="C334" s="45" t="n"/>
      <c r="D334" s="52" t="n"/>
    </row>
    <row r="335" customFormat="1" s="93">
      <c r="A335" s="53" t="n"/>
      <c r="B335" s="54" t="n"/>
      <c r="C335" s="45" t="n"/>
      <c r="D335" s="52" t="n"/>
    </row>
    <row r="336" customFormat="1" s="93">
      <c r="A336" s="53" t="n"/>
      <c r="B336" s="54" t="n"/>
      <c r="C336" s="45" t="n"/>
      <c r="D336" s="52" t="n"/>
    </row>
    <row r="337" customFormat="1" s="93">
      <c r="A337" s="53" t="n"/>
      <c r="B337" s="54" t="n"/>
      <c r="C337" s="45" t="n"/>
      <c r="D337" s="52" t="n"/>
    </row>
    <row r="338" customFormat="1" s="93">
      <c r="A338" s="53" t="n"/>
      <c r="B338" s="54" t="n"/>
      <c r="C338" s="45" t="n"/>
      <c r="D338" s="52" t="n"/>
    </row>
    <row r="339" customFormat="1" s="93">
      <c r="A339" s="53" t="n"/>
      <c r="B339" s="54" t="n"/>
      <c r="C339" s="45" t="n"/>
      <c r="D339" s="52" t="n"/>
    </row>
    <row r="340" customFormat="1" s="93">
      <c r="A340" s="53" t="n"/>
      <c r="B340" s="54" t="n"/>
      <c r="C340" s="45" t="n"/>
      <c r="D340" s="52" t="n"/>
    </row>
    <row r="341" customFormat="1" s="93">
      <c r="A341" s="53" t="n"/>
      <c r="B341" s="54" t="n"/>
      <c r="C341" s="45" t="n"/>
      <c r="D341" s="52" t="n"/>
    </row>
    <row r="342" customFormat="1" s="93">
      <c r="A342" s="53" t="n"/>
      <c r="B342" s="54" t="n"/>
      <c r="C342" s="45" t="n"/>
      <c r="D342" s="52" t="n"/>
    </row>
    <row r="343" customFormat="1" s="93">
      <c r="A343" s="53" t="n"/>
      <c r="B343" s="54" t="n"/>
      <c r="C343" s="45" t="n"/>
      <c r="D343" s="52" t="n"/>
    </row>
    <row r="344" customFormat="1" s="93">
      <c r="A344" s="53" t="n"/>
      <c r="B344" s="54" t="n"/>
      <c r="C344" s="45" t="n"/>
      <c r="D344" s="52" t="n"/>
    </row>
    <row r="345" customFormat="1" s="93">
      <c r="A345" s="53" t="n"/>
      <c r="B345" s="54" t="n"/>
      <c r="C345" s="45" t="n"/>
      <c r="D345" s="52" t="n"/>
    </row>
    <row r="346" customFormat="1" s="93">
      <c r="A346" s="53" t="n"/>
      <c r="B346" s="54" t="n"/>
      <c r="C346" s="45" t="n"/>
      <c r="D346" s="52" t="n"/>
    </row>
    <row r="347" customFormat="1" s="93">
      <c r="A347" s="53" t="n"/>
      <c r="B347" s="54" t="n"/>
      <c r="C347" s="45" t="n"/>
      <c r="D347" s="52" t="n"/>
    </row>
    <row r="348" customFormat="1" s="93">
      <c r="A348" s="53" t="n"/>
      <c r="B348" s="54" t="n"/>
      <c r="C348" s="45" t="n"/>
      <c r="D348" s="52" t="n"/>
    </row>
    <row r="349" customFormat="1" s="93">
      <c r="A349" s="53" t="n"/>
      <c r="B349" s="54" t="n"/>
      <c r="C349" s="45" t="n"/>
      <c r="D349" s="52" t="n"/>
    </row>
    <row r="350" customFormat="1" s="93">
      <c r="A350" s="53" t="n"/>
      <c r="B350" s="54" t="n"/>
      <c r="C350" s="45" t="n"/>
      <c r="D350" s="52" t="n"/>
    </row>
    <row r="351" customFormat="1" s="93">
      <c r="A351" s="53" t="n"/>
      <c r="B351" s="54" t="n"/>
      <c r="C351" s="45" t="n"/>
      <c r="D351" s="52" t="n"/>
    </row>
    <row r="352" customFormat="1" s="93">
      <c r="A352" s="53" t="n"/>
      <c r="B352" s="54" t="n"/>
      <c r="C352" s="45" t="n"/>
      <c r="D352" s="52" t="n"/>
    </row>
    <row r="353" customFormat="1" s="93">
      <c r="A353" s="53" t="n"/>
      <c r="B353" s="54" t="n"/>
      <c r="C353" s="45" t="n"/>
      <c r="D353" s="52" t="n"/>
    </row>
    <row r="354" customFormat="1" s="93">
      <c r="A354" s="53" t="n"/>
      <c r="B354" s="54" t="n"/>
      <c r="C354" s="45" t="n"/>
      <c r="D354" s="52" t="n"/>
    </row>
    <row r="355" customFormat="1" s="93">
      <c r="A355" s="53" t="n"/>
      <c r="B355" s="54" t="n"/>
      <c r="C355" s="45" t="n"/>
      <c r="D355" s="52" t="n"/>
    </row>
    <row r="356" customFormat="1" s="93">
      <c r="A356" s="53" t="n"/>
      <c r="B356" s="54" t="n"/>
      <c r="C356" s="45" t="n"/>
      <c r="D356" s="52" t="n"/>
    </row>
    <row r="357" customFormat="1" s="93">
      <c r="A357" s="53" t="n"/>
      <c r="B357" s="54" t="n"/>
      <c r="C357" s="45" t="n"/>
      <c r="D357" s="52" t="n"/>
    </row>
    <row r="358" customFormat="1" s="93">
      <c r="A358" s="53" t="n"/>
      <c r="B358" s="54" t="n"/>
      <c r="C358" s="45" t="n"/>
      <c r="D358" s="52" t="n"/>
    </row>
    <row r="359" customFormat="1" s="93">
      <c r="A359" s="53" t="n"/>
      <c r="B359" s="54" t="n"/>
      <c r="C359" s="45" t="n"/>
      <c r="D359" s="52" t="n"/>
    </row>
    <row r="360" customFormat="1" s="93">
      <c r="A360" s="53" t="n"/>
      <c r="B360" s="54" t="n"/>
      <c r="C360" s="45" t="n"/>
      <c r="D360" s="52" t="n"/>
    </row>
    <row r="361" customFormat="1" s="93">
      <c r="A361" s="53" t="n"/>
      <c r="B361" s="54" t="n"/>
      <c r="C361" s="45" t="n"/>
      <c r="D361" s="52" t="n"/>
    </row>
    <row r="362" customFormat="1" s="93">
      <c r="A362" s="53" t="n"/>
      <c r="B362" s="54" t="n"/>
      <c r="C362" s="45" t="n"/>
      <c r="D362" s="52" t="n"/>
    </row>
    <row r="363" customFormat="1" s="93">
      <c r="A363" s="53" t="n"/>
      <c r="B363" s="54" t="n"/>
      <c r="C363" s="45" t="n"/>
      <c r="D363" s="52" t="n"/>
    </row>
    <row r="364" customFormat="1" s="93">
      <c r="A364" s="53" t="n"/>
      <c r="B364" s="54" t="n"/>
      <c r="C364" s="45" t="n"/>
      <c r="D364" s="52" t="n"/>
    </row>
    <row r="365" customFormat="1" s="93">
      <c r="A365" s="53" t="n"/>
      <c r="B365" s="54" t="n"/>
      <c r="C365" s="45" t="n"/>
      <c r="D365" s="52" t="n"/>
    </row>
    <row r="366" customFormat="1" s="93">
      <c r="A366" s="53" t="n"/>
      <c r="B366" s="54" t="n"/>
      <c r="C366" s="45" t="n"/>
      <c r="D366" s="52" t="n"/>
    </row>
    <row r="367" customFormat="1" s="93">
      <c r="A367" s="53" t="n"/>
      <c r="B367" s="54" t="n"/>
      <c r="C367" s="45" t="n"/>
      <c r="D367" s="52" t="n"/>
    </row>
    <row r="368" customFormat="1" s="93">
      <c r="A368" s="53" t="n"/>
      <c r="B368" s="54" t="n"/>
      <c r="C368" s="45" t="n"/>
      <c r="D368" s="52" t="n"/>
    </row>
    <row r="369" customFormat="1" s="93">
      <c r="A369" s="53" t="n"/>
      <c r="B369" s="54" t="n"/>
      <c r="C369" s="45" t="n"/>
      <c r="D369" s="52" t="n"/>
    </row>
    <row r="370" customFormat="1" s="93">
      <c r="A370" s="53" t="n"/>
      <c r="B370" s="54" t="n"/>
      <c r="C370" s="45" t="n"/>
      <c r="D370" s="52" t="n"/>
    </row>
    <row r="371" customFormat="1" s="93">
      <c r="A371" s="53" t="n"/>
      <c r="B371" s="54" t="n"/>
      <c r="C371" s="45" t="n"/>
      <c r="D371" s="52" t="n"/>
    </row>
    <row r="372" customFormat="1" s="93">
      <c r="A372" s="53" t="n"/>
      <c r="B372" s="54" t="n"/>
      <c r="C372" s="45" t="n"/>
      <c r="D372" s="52" t="n"/>
    </row>
    <row r="373" customFormat="1" s="93">
      <c r="A373" s="53" t="n"/>
      <c r="B373" s="54" t="n"/>
      <c r="C373" s="45" t="n"/>
      <c r="D373" s="52" t="n"/>
    </row>
    <row r="374" customFormat="1" s="93">
      <c r="A374" s="53" t="n"/>
      <c r="B374" s="54" t="n"/>
      <c r="C374" s="45" t="n"/>
      <c r="D374" s="52" t="n"/>
    </row>
    <row r="375" customFormat="1" s="93">
      <c r="A375" s="53" t="n"/>
      <c r="B375" s="54" t="n"/>
      <c r="C375" s="45" t="n"/>
      <c r="D375" s="52" t="n"/>
    </row>
    <row r="376" customFormat="1" s="93">
      <c r="A376" s="53" t="n"/>
      <c r="B376" s="54" t="n"/>
      <c r="C376" s="45" t="n"/>
      <c r="D376" s="52" t="n"/>
    </row>
    <row r="377" customFormat="1" s="93">
      <c r="A377" s="53" t="n"/>
      <c r="B377" s="54" t="n"/>
      <c r="C377" s="45" t="n"/>
      <c r="D377" s="52" t="n"/>
    </row>
    <row r="378" customFormat="1" s="93">
      <c r="A378" s="53" t="n"/>
      <c r="B378" s="54" t="n"/>
      <c r="C378" s="45" t="n"/>
      <c r="D378" s="52" t="n"/>
    </row>
    <row r="379" customFormat="1" s="93">
      <c r="A379" s="53" t="n"/>
      <c r="B379" s="54" t="n"/>
      <c r="C379" s="45" t="n"/>
      <c r="D379" s="52" t="n"/>
    </row>
    <row r="380" customFormat="1" s="93">
      <c r="A380" s="53" t="n"/>
      <c r="B380" s="54" t="n"/>
      <c r="C380" s="45" t="n"/>
      <c r="D380" s="52" t="n"/>
    </row>
    <row r="381" customFormat="1" s="93">
      <c r="A381" s="53" t="n"/>
      <c r="B381" s="54" t="n"/>
      <c r="C381" s="45" t="n"/>
      <c r="D381" s="52" t="n"/>
    </row>
    <row r="382" customFormat="1" s="93">
      <c r="A382" s="53" t="n"/>
      <c r="B382" s="54" t="n"/>
      <c r="C382" s="45" t="n"/>
      <c r="D382" s="52" t="n"/>
    </row>
    <row r="383" customFormat="1" s="93">
      <c r="A383" s="53" t="n"/>
      <c r="B383" s="54" t="n"/>
      <c r="C383" s="45" t="n"/>
      <c r="D383" s="52" t="n"/>
    </row>
    <row r="384" customFormat="1" s="93">
      <c r="A384" s="53" t="n"/>
      <c r="B384" s="54" t="n"/>
      <c r="C384" s="45" t="n"/>
      <c r="D384" s="52" t="n"/>
    </row>
    <row r="385" customFormat="1" s="93">
      <c r="A385" s="53" t="n"/>
      <c r="B385" s="54" t="n"/>
      <c r="C385" s="45" t="n"/>
      <c r="D385" s="52" t="n"/>
    </row>
    <row r="386" customFormat="1" s="93">
      <c r="A386" s="53" t="n"/>
      <c r="B386" s="54" t="n"/>
      <c r="C386" s="45" t="n"/>
      <c r="D386" s="52" t="n"/>
    </row>
    <row r="387" customFormat="1" s="93">
      <c r="A387" s="53" t="n"/>
      <c r="B387" s="54" t="n"/>
      <c r="C387" s="45" t="n"/>
      <c r="D387" s="52" t="n"/>
    </row>
    <row r="388" customFormat="1" s="93">
      <c r="A388" s="53" t="n"/>
      <c r="B388" s="54" t="n"/>
      <c r="C388" s="45" t="n"/>
      <c r="D388" s="52" t="n"/>
    </row>
    <row r="389" customFormat="1" s="93">
      <c r="A389" s="53" t="n"/>
      <c r="B389" s="54" t="n"/>
      <c r="C389" s="45" t="n"/>
      <c r="D389" s="52" t="n"/>
    </row>
    <row r="390" customFormat="1" s="93">
      <c r="A390" s="53" t="n"/>
      <c r="B390" s="54" t="n"/>
      <c r="C390" s="45" t="n"/>
      <c r="D390" s="52" t="n"/>
    </row>
    <row r="391" customFormat="1" s="93">
      <c r="A391" s="53" t="n"/>
      <c r="B391" s="54" t="n"/>
      <c r="C391" s="45" t="n"/>
      <c r="D391" s="52" t="n"/>
    </row>
    <row r="392" customFormat="1" s="93">
      <c r="A392" s="53" t="n"/>
      <c r="B392" s="54" t="n"/>
      <c r="C392" s="45" t="n"/>
      <c r="D392" s="52" t="n"/>
    </row>
    <row r="393" customFormat="1" s="93">
      <c r="A393" s="53" t="n"/>
      <c r="B393" s="54" t="n"/>
      <c r="C393" s="45" t="n"/>
      <c r="D393" s="52" t="n"/>
    </row>
    <row r="394" customFormat="1" s="93">
      <c r="A394" s="53" t="n"/>
      <c r="B394" s="54" t="n"/>
      <c r="C394" s="45" t="n"/>
      <c r="D394" s="52" t="n"/>
    </row>
    <row r="395" customFormat="1" s="93">
      <c r="A395" s="53" t="n"/>
      <c r="B395" s="54" t="n"/>
      <c r="C395" s="45" t="n"/>
      <c r="D395" s="52" t="n"/>
    </row>
    <row r="396" customFormat="1" s="93">
      <c r="A396" s="53" t="n"/>
      <c r="B396" s="54" t="n"/>
      <c r="C396" s="45" t="n"/>
      <c r="D396" s="52" t="n"/>
    </row>
    <row r="397" customFormat="1" s="93">
      <c r="A397" s="53" t="n"/>
      <c r="B397" s="54" t="n"/>
      <c r="C397" s="45" t="n"/>
      <c r="D397" s="52" t="n"/>
    </row>
    <row r="398" customFormat="1" s="93">
      <c r="A398" s="53" t="n"/>
      <c r="B398" s="54" t="n"/>
      <c r="C398" s="45" t="n"/>
      <c r="D398" s="52" t="n"/>
    </row>
    <row r="399" customFormat="1" s="93">
      <c r="A399" s="53" t="n"/>
      <c r="B399" s="54" t="n"/>
      <c r="C399" s="45" t="n"/>
      <c r="D399" s="52" t="n"/>
    </row>
    <row r="400" customFormat="1" s="93">
      <c r="A400" s="53" t="n"/>
      <c r="B400" s="54" t="n"/>
      <c r="C400" s="45" t="n"/>
      <c r="D400" s="52" t="n"/>
    </row>
    <row r="401" customFormat="1" s="93">
      <c r="A401" s="53" t="n"/>
      <c r="B401" s="54" t="n"/>
      <c r="C401" s="45" t="n"/>
      <c r="D401" s="52" t="n"/>
    </row>
    <row r="402" customFormat="1" s="93">
      <c r="A402" s="53" t="n"/>
      <c r="B402" s="54" t="n"/>
      <c r="C402" s="45" t="n"/>
      <c r="D402" s="52" t="n"/>
    </row>
    <row r="403" customFormat="1" s="93">
      <c r="A403" s="53" t="n"/>
      <c r="B403" s="54" t="n"/>
      <c r="C403" s="45" t="n"/>
      <c r="D403" s="52" t="n"/>
    </row>
    <row r="404" customFormat="1" s="93">
      <c r="A404" s="53" t="n"/>
      <c r="B404" s="54" t="n"/>
      <c r="C404" s="45" t="n"/>
      <c r="D404" s="52" t="n"/>
    </row>
    <row r="405" customFormat="1" s="93">
      <c r="A405" s="53" t="n"/>
      <c r="B405" s="54" t="n"/>
      <c r="C405" s="45" t="n"/>
      <c r="D405" s="52" t="n"/>
    </row>
    <row r="406" customFormat="1" s="93">
      <c r="A406" s="53" t="n"/>
      <c r="B406" s="54" t="n"/>
      <c r="C406" s="45" t="n"/>
      <c r="D406" s="52" t="n"/>
    </row>
    <row r="407" customFormat="1" s="93">
      <c r="A407" s="53" t="n"/>
      <c r="B407" s="54" t="n"/>
      <c r="C407" s="45" t="n"/>
      <c r="D407" s="52" t="n"/>
    </row>
    <row r="408" customFormat="1" s="93">
      <c r="A408" s="53" t="n"/>
      <c r="B408" s="54" t="n"/>
      <c r="C408" s="45" t="n"/>
      <c r="D408" s="52" t="n"/>
    </row>
    <row r="409" customFormat="1" s="93">
      <c r="A409" s="53" t="n"/>
      <c r="B409" s="54" t="n"/>
      <c r="C409" s="45" t="n"/>
      <c r="D409" s="52" t="n"/>
    </row>
    <row r="410" customFormat="1" s="93">
      <c r="A410" s="53" t="n"/>
      <c r="B410" s="54" t="n"/>
      <c r="C410" s="45" t="n"/>
      <c r="D410" s="52" t="n"/>
    </row>
    <row r="411" customFormat="1" s="93">
      <c r="A411" s="53" t="n"/>
      <c r="B411" s="54" t="n"/>
      <c r="C411" s="45" t="n"/>
      <c r="D411" s="52" t="n"/>
    </row>
    <row r="412" customFormat="1" s="93">
      <c r="A412" s="53" t="n"/>
      <c r="B412" s="54" t="n"/>
      <c r="C412" s="45" t="n"/>
      <c r="D412" s="52" t="n"/>
    </row>
    <row r="413" customFormat="1" s="93">
      <c r="A413" s="53" t="n"/>
      <c r="B413" s="54" t="n"/>
      <c r="C413" s="45" t="n"/>
      <c r="D413" s="52" t="n"/>
    </row>
    <row r="414" customFormat="1" s="93">
      <c r="A414" s="53" t="n"/>
      <c r="B414" s="54" t="n"/>
      <c r="C414" s="45" t="n"/>
      <c r="D414" s="52" t="n"/>
    </row>
    <row r="415" customFormat="1" s="93">
      <c r="A415" s="53" t="n"/>
      <c r="B415" s="54" t="n"/>
      <c r="C415" s="45" t="n"/>
      <c r="D415" s="52" t="n"/>
    </row>
    <row r="416" customFormat="1" s="93">
      <c r="A416" s="53" t="n"/>
      <c r="B416" s="54" t="n"/>
      <c r="C416" s="45" t="n"/>
      <c r="D416" s="52" t="n"/>
    </row>
    <row r="417" customFormat="1" s="93">
      <c r="A417" s="53" t="n"/>
      <c r="B417" s="54" t="n"/>
      <c r="C417" s="45" t="n"/>
      <c r="D417" s="52" t="n"/>
    </row>
    <row r="418" customFormat="1" s="93">
      <c r="A418" s="53" t="n"/>
      <c r="B418" s="54" t="n"/>
      <c r="C418" s="45" t="n"/>
      <c r="D418" s="52" t="n"/>
    </row>
    <row r="419" customFormat="1" s="93">
      <c r="A419" s="53" t="n"/>
      <c r="B419" s="54" t="n"/>
      <c r="C419" s="45" t="n"/>
      <c r="D419" s="52" t="n"/>
    </row>
    <row r="420" customFormat="1" s="93">
      <c r="A420" s="53" t="n"/>
      <c r="B420" s="54" t="n"/>
      <c r="C420" s="45" t="n"/>
      <c r="D420" s="52" t="n"/>
    </row>
    <row r="421" customFormat="1" s="93">
      <c r="A421" s="53" t="n"/>
      <c r="B421" s="54" t="n"/>
      <c r="C421" s="45" t="n"/>
      <c r="D421" s="52" t="n"/>
    </row>
    <row r="422" customFormat="1" s="93">
      <c r="A422" s="53" t="n"/>
      <c r="B422" s="54" t="n"/>
      <c r="C422" s="45" t="n"/>
      <c r="D422" s="52" t="n"/>
    </row>
    <row r="423" customFormat="1" s="93">
      <c r="A423" s="53" t="n"/>
      <c r="B423" s="54" t="n"/>
      <c r="C423" s="45" t="n"/>
      <c r="D423" s="52" t="n"/>
    </row>
    <row r="424" customFormat="1" s="93">
      <c r="A424" s="53" t="n"/>
      <c r="B424" s="54" t="n"/>
      <c r="C424" s="45" t="n"/>
      <c r="D424" s="52" t="n"/>
    </row>
    <row r="425" customFormat="1" s="93">
      <c r="A425" s="53" t="n"/>
      <c r="B425" s="54" t="n"/>
      <c r="C425" s="45" t="n"/>
      <c r="D425" s="52" t="n"/>
    </row>
    <row r="426" customFormat="1" s="93">
      <c r="A426" s="53" t="n"/>
      <c r="B426" s="54" t="n"/>
      <c r="C426" s="45" t="n"/>
      <c r="D426" s="52" t="n"/>
    </row>
    <row r="427" customFormat="1" s="93">
      <c r="A427" s="53" t="n"/>
      <c r="B427" s="54" t="n"/>
      <c r="C427" s="45" t="n"/>
      <c r="D427" s="52" t="n"/>
    </row>
    <row r="428" customFormat="1" s="93">
      <c r="A428" s="53" t="n"/>
      <c r="B428" s="54" t="n"/>
      <c r="C428" s="45" t="n"/>
      <c r="D428" s="52" t="n"/>
    </row>
    <row r="429" customFormat="1" s="93">
      <c r="A429" s="53" t="n"/>
      <c r="B429" s="54" t="n"/>
      <c r="C429" s="45" t="n"/>
      <c r="D429" s="52" t="n"/>
    </row>
    <row r="430" customFormat="1" s="93">
      <c r="A430" s="53" t="n"/>
      <c r="B430" s="54" t="n"/>
      <c r="C430" s="45" t="n"/>
      <c r="D430" s="52" t="n"/>
    </row>
    <row r="431" customFormat="1" s="93">
      <c r="A431" s="53" t="n"/>
      <c r="B431" s="54" t="n"/>
      <c r="C431" s="45" t="n"/>
      <c r="D431" s="52" t="n"/>
    </row>
    <row r="432" customFormat="1" s="93">
      <c r="A432" s="53" t="n"/>
      <c r="B432" s="54" t="n"/>
      <c r="C432" s="45" t="n"/>
      <c r="D432" s="52" t="n"/>
    </row>
    <row r="433" customFormat="1" s="93">
      <c r="A433" s="53" t="n"/>
      <c r="B433" s="54" t="n"/>
      <c r="C433" s="45" t="n"/>
      <c r="D433" s="52" t="n"/>
    </row>
    <row r="434" customFormat="1" s="93">
      <c r="A434" s="53" t="n"/>
      <c r="B434" s="54" t="n"/>
      <c r="C434" s="45" t="n"/>
      <c r="D434" s="52" t="n"/>
    </row>
    <row r="435">
      <c r="A435" s="42" t="n"/>
    </row>
  </sheetData>
  <conditionalFormatting sqref="B233:B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52" activePane="bottomLeft" state="frozen"/>
      <selection activeCell="B31" sqref="B31"/>
      <selection pane="bottomLeft" activeCell="B31" sqref="B31"/>
    </sheetView>
  </sheetViews>
  <sheetFormatPr baseColWidth="10" defaultColWidth="8.83203125" defaultRowHeight="15"/>
  <cols>
    <col width="9.1640625" customWidth="1" style="40" min="1" max="1"/>
    <col width="16.1640625" customWidth="1" style="39" min="2" max="2"/>
    <col width="11.6640625" customWidth="1" style="41" min="3" max="3"/>
    <col width="11.6640625" customWidth="1" style="60" min="4" max="4"/>
    <col width="9.1640625" customWidth="1" style="93" min="5" max="43"/>
  </cols>
  <sheetData>
    <row r="1" ht="32" customHeight="1" s="89">
      <c r="A1" s="55" t="inlineStr">
        <is>
          <t>Data</t>
        </is>
      </c>
      <c r="B1" s="49" t="inlineStr">
        <is>
          <t>USA</t>
        </is>
      </c>
      <c r="C1" s="56" t="inlineStr">
        <is>
          <t>Quarter Change</t>
        </is>
      </c>
      <c r="D1" s="57" t="inlineStr">
        <is>
          <t>qoq annualized</t>
        </is>
      </c>
      <c r="E1" s="51" t="inlineStr">
        <is>
          <t>Change Country in B2</t>
        </is>
      </c>
      <c r="F1" s="50" t="n"/>
      <c r="G1" s="50" t="n"/>
      <c r="H1" s="50" t="n"/>
      <c r="J1" s="93">
        <f>B1&amp;" GDP % qoq"</f>
        <v/>
      </c>
      <c r="V1" s="93" t="inlineStr">
        <is>
          <t>AUS</t>
        </is>
      </c>
    </row>
    <row r="2">
      <c r="A2" s="46" t="n">
        <v>17349</v>
      </c>
      <c r="B2" s="47">
        <f>VLOOKUP(A2,'Data qoq'!$B:$AT,MATCH($B$1,'Data qoq'!$B$1:$AT$1,0),FALSE)</f>
        <v/>
      </c>
      <c r="C2" s="48" t="n"/>
      <c r="D2" s="58">
        <f>(Table134567891011121314151617343[[#This Row],[USA]]/100 +1)^4-1</f>
        <v/>
      </c>
      <c r="E2" s="50" t="n"/>
      <c r="F2" s="50" t="n"/>
      <c r="G2" s="50" t="n"/>
      <c r="H2" s="50" t="n"/>
      <c r="J2" s="93">
        <f>B1&amp;" GDP % qoq annualized"</f>
        <v/>
      </c>
      <c r="V2" s="93" t="inlineStr">
        <is>
          <t>AUT</t>
        </is>
      </c>
    </row>
    <row r="3">
      <c r="A3" s="46" t="n">
        <v>17441</v>
      </c>
      <c r="B3" s="47">
        <f>VLOOKUP(A3,'Data qoq'!$B:$AT,MATCH($B$1,'Data qoq'!$B$1:$AT$1,0),FALSE)</f>
        <v/>
      </c>
      <c r="C3" s="47">
        <f>Table134567891011121314151617343[[#This Row],[USA]]-B2</f>
        <v/>
      </c>
      <c r="D3" s="58">
        <f>(Table134567891011121314151617343[[#This Row],[USA]]/100 +1)^4-1</f>
        <v/>
      </c>
      <c r="E3" s="50" t="n"/>
      <c r="F3" s="50" t="n"/>
      <c r="G3" s="50" t="n"/>
      <c r="H3" s="50" t="n"/>
      <c r="V3" s="93" t="inlineStr">
        <is>
          <t>BEL</t>
        </is>
      </c>
    </row>
    <row r="4">
      <c r="A4" s="46" t="n">
        <v>17533</v>
      </c>
      <c r="B4" s="47">
        <f>VLOOKUP(A4,'Data qoq'!$B:$AT,MATCH($B$1,'Data qoq'!$B$1:$AT$1,0),FALSE)</f>
        <v/>
      </c>
      <c r="C4" s="47">
        <f>Table134567891011121314151617343[[#This Row],[USA]]-B3</f>
        <v/>
      </c>
      <c r="D4" s="58">
        <f>(Table134567891011121314151617343[[#This Row],[USA]]/100 +1)^4-1</f>
        <v/>
      </c>
      <c r="E4" s="50" t="n"/>
      <c r="F4" s="50" t="n"/>
      <c r="G4" s="50" t="n"/>
      <c r="H4" s="50" t="n"/>
      <c r="V4" s="93" t="inlineStr">
        <is>
          <t>CAN</t>
        </is>
      </c>
    </row>
    <row r="5">
      <c r="A5" s="46" t="n">
        <v>17624</v>
      </c>
      <c r="B5" s="47">
        <f>VLOOKUP(A5,'Data qoq'!$B:$AT,MATCH($B$1,'Data qoq'!$B$1:$AT$1,0),FALSE)</f>
        <v/>
      </c>
      <c r="C5" s="47">
        <f>Table134567891011121314151617343[[#This Row],[USA]]-B4</f>
        <v/>
      </c>
      <c r="D5" s="58">
        <f>(Table134567891011121314151617343[[#This Row],[USA]]/100 +1)^4-1</f>
        <v/>
      </c>
      <c r="E5" s="50" t="n"/>
      <c r="F5" s="50" t="n"/>
      <c r="G5" s="50" t="n"/>
      <c r="H5" s="50" t="n"/>
      <c r="V5" s="93" t="inlineStr">
        <is>
          <t>CHL</t>
        </is>
      </c>
    </row>
    <row r="6">
      <c r="A6" s="46" t="n">
        <v>17715</v>
      </c>
      <c r="B6" s="47">
        <f>VLOOKUP(A6,'Data qoq'!$B:$AT,MATCH($B$1,'Data qoq'!$B$1:$AT$1,0),FALSE)</f>
        <v/>
      </c>
      <c r="C6" s="47">
        <f>Table134567891011121314151617343[[#This Row],[USA]]-B5</f>
        <v/>
      </c>
      <c r="D6" s="58">
        <f>(Table134567891011121314151617343[[#This Row],[USA]]/100 +1)^4-1</f>
        <v/>
      </c>
      <c r="E6" s="50" t="n"/>
      <c r="F6" s="50" t="n"/>
      <c r="G6" s="50" t="n"/>
      <c r="H6" s="50" t="n"/>
      <c r="V6" s="93" t="inlineStr">
        <is>
          <t>CZE</t>
        </is>
      </c>
    </row>
    <row r="7">
      <c r="A7" s="46" t="n">
        <v>17807</v>
      </c>
      <c r="B7" s="47">
        <f>VLOOKUP(A7,'Data qoq'!$B:$AT,MATCH($B$1,'Data qoq'!$B$1:$AT$1,0),FALSE)</f>
        <v/>
      </c>
      <c r="C7" s="47">
        <f>Table134567891011121314151617343[[#This Row],[USA]]-B6</f>
        <v/>
      </c>
      <c r="D7" s="58">
        <f>(Table134567891011121314151617343[[#This Row],[USA]]/100 +1)^4-1</f>
        <v/>
      </c>
      <c r="E7" s="50" t="n"/>
      <c r="F7" s="50" t="n"/>
      <c r="G7" s="50" t="n"/>
      <c r="H7" s="50" t="n"/>
      <c r="V7" s="93" t="inlineStr">
        <is>
          <t>DEU</t>
        </is>
      </c>
    </row>
    <row r="8">
      <c r="A8" s="46" t="n">
        <v>17899</v>
      </c>
      <c r="B8" s="47">
        <f>VLOOKUP(A8,'Data qoq'!$B:$AT,MATCH($B$1,'Data qoq'!$B$1:$AT$1,0),FALSE)</f>
        <v/>
      </c>
      <c r="C8" s="47">
        <f>Table134567891011121314151617343[[#This Row],[USA]]-B7</f>
        <v/>
      </c>
      <c r="D8" s="58">
        <f>(Table134567891011121314151617343[[#This Row],[USA]]/100 +1)^4-1</f>
        <v/>
      </c>
      <c r="E8" s="50" t="n"/>
      <c r="F8" s="50" t="n"/>
      <c r="G8" s="50" t="n"/>
      <c r="H8" s="50" t="n"/>
      <c r="V8" s="93" t="inlineStr">
        <is>
          <t>DNK</t>
        </is>
      </c>
    </row>
    <row r="9">
      <c r="A9" s="46" t="n">
        <v>17989</v>
      </c>
      <c r="B9" s="47">
        <f>VLOOKUP(A9,'Data qoq'!$B:$AT,MATCH($B$1,'Data qoq'!$B$1:$AT$1,0),FALSE)</f>
        <v/>
      </c>
      <c r="C9" s="47">
        <f>Table134567891011121314151617343[[#This Row],[USA]]-B8</f>
        <v/>
      </c>
      <c r="D9" s="58">
        <f>(Table134567891011121314151617343[[#This Row],[USA]]/100 +1)^4-1</f>
        <v/>
      </c>
      <c r="E9" s="50" t="n"/>
      <c r="F9" s="50" t="n"/>
      <c r="G9" s="50" t="n"/>
      <c r="H9" s="50" t="n"/>
      <c r="V9" s="93" t="inlineStr">
        <is>
          <t>ESP</t>
        </is>
      </c>
    </row>
    <row r="10">
      <c r="A10" s="46" t="n">
        <v>18080</v>
      </c>
      <c r="B10" s="47">
        <f>VLOOKUP(A10,'Data qoq'!$B:$AT,MATCH($B$1,'Data qoq'!$B$1:$AT$1,0),FALSE)</f>
        <v/>
      </c>
      <c r="C10" s="47">
        <f>Table134567891011121314151617343[[#This Row],[USA]]-B9</f>
        <v/>
      </c>
      <c r="D10" s="58">
        <f>(Table134567891011121314151617343[[#This Row],[USA]]/100 +1)^4-1</f>
        <v/>
      </c>
      <c r="E10" s="50" t="n"/>
      <c r="F10" s="50" t="n"/>
      <c r="G10" s="50" t="n"/>
      <c r="H10" s="50" t="n"/>
      <c r="V10" s="93" t="inlineStr">
        <is>
          <t>EST</t>
        </is>
      </c>
    </row>
    <row r="11">
      <c r="A11" s="46" t="n">
        <v>18172</v>
      </c>
      <c r="B11" s="47">
        <f>VLOOKUP(A11,'Data qoq'!$B:$AT,MATCH($B$1,'Data qoq'!$B$1:$AT$1,0),FALSE)</f>
        <v/>
      </c>
      <c r="C11" s="47">
        <f>Table134567891011121314151617343[[#This Row],[USA]]-B10</f>
        <v/>
      </c>
      <c r="D11" s="58">
        <f>(Table134567891011121314151617343[[#This Row],[USA]]/100 +1)^4-1</f>
        <v/>
      </c>
      <c r="E11" s="50" t="n"/>
      <c r="F11" s="50" t="n"/>
      <c r="G11" s="50" t="n"/>
      <c r="H11" s="50" t="n"/>
      <c r="V11" s="93" t="inlineStr">
        <is>
          <t>FIN</t>
        </is>
      </c>
    </row>
    <row r="12">
      <c r="A12" s="46" t="n">
        <v>18264</v>
      </c>
      <c r="B12" s="47">
        <f>VLOOKUP(A12,'Data qoq'!$B:$AT,MATCH($B$1,'Data qoq'!$B$1:$AT$1,0),FALSE)</f>
        <v/>
      </c>
      <c r="C12" s="47">
        <f>Table134567891011121314151617343[[#This Row],[USA]]-B11</f>
        <v/>
      </c>
      <c r="D12" s="59">
        <f>(Table134567891011121314151617343[[#This Row],[USA]]/100 +1)^4-1</f>
        <v/>
      </c>
      <c r="V12" s="93" t="inlineStr">
        <is>
          <t>FRA</t>
        </is>
      </c>
    </row>
    <row r="13">
      <c r="A13" s="46" t="n">
        <v>18354</v>
      </c>
      <c r="B13" s="47">
        <f>VLOOKUP(A13,'Data qoq'!$B:$AT,MATCH($B$1,'Data qoq'!$B$1:$AT$1,0),FALSE)</f>
        <v/>
      </c>
      <c r="C13" s="47">
        <f>Table134567891011121314151617343[[#This Row],[USA]]-B12</f>
        <v/>
      </c>
      <c r="D13" s="59">
        <f>(Table134567891011121314151617343[[#This Row],[USA]]/100 +1)^4-1</f>
        <v/>
      </c>
      <c r="V13" s="93" t="inlineStr">
        <is>
          <t>GBR</t>
        </is>
      </c>
    </row>
    <row r="14">
      <c r="A14" s="46" t="n">
        <v>18445</v>
      </c>
      <c r="B14" s="47">
        <f>VLOOKUP(A14,'Data qoq'!$B:$AT,MATCH($B$1,'Data qoq'!$B$1:$AT$1,0),FALSE)</f>
        <v/>
      </c>
      <c r="C14" s="47">
        <f>Table134567891011121314151617343[[#This Row],[USA]]-B13</f>
        <v/>
      </c>
      <c r="D14" s="59">
        <f>(Table134567891011121314151617343[[#This Row],[USA]]/100 +1)^4-1</f>
        <v/>
      </c>
      <c r="V14" s="93" t="inlineStr">
        <is>
          <t>GRC</t>
        </is>
      </c>
    </row>
    <row r="15">
      <c r="A15" s="46" t="n">
        <v>18537</v>
      </c>
      <c r="B15" s="47">
        <f>VLOOKUP(A15,'Data qoq'!$B:$AT,MATCH($B$1,'Data qoq'!$B$1:$AT$1,0),FALSE)</f>
        <v/>
      </c>
      <c r="C15" s="47">
        <f>Table134567891011121314151617343[[#This Row],[USA]]-B14</f>
        <v/>
      </c>
      <c r="D15" s="59">
        <f>(Table134567891011121314151617343[[#This Row],[USA]]/100 +1)^4-1</f>
        <v/>
      </c>
      <c r="V15" s="93" t="inlineStr">
        <is>
          <t>HUN</t>
        </is>
      </c>
    </row>
    <row r="16">
      <c r="A16" s="46" t="n">
        <v>18629</v>
      </c>
      <c r="B16" s="47">
        <f>VLOOKUP(A16,'Data qoq'!$B:$AT,MATCH($B$1,'Data qoq'!$B$1:$AT$1,0),FALSE)</f>
        <v/>
      </c>
      <c r="C16" s="47">
        <f>Table134567891011121314151617343[[#This Row],[USA]]-B15</f>
        <v/>
      </c>
      <c r="D16" s="59">
        <f>(Table134567891011121314151617343[[#This Row],[USA]]/100 +1)^4-1</f>
        <v/>
      </c>
      <c r="V16" s="93" t="inlineStr">
        <is>
          <t>IRL</t>
        </is>
      </c>
    </row>
    <row r="17">
      <c r="A17" s="46" t="n">
        <v>18719</v>
      </c>
      <c r="B17" s="47">
        <f>VLOOKUP(A17,'Data qoq'!$B:$AT,MATCH($B$1,'Data qoq'!$B$1:$AT$1,0),FALSE)</f>
        <v/>
      </c>
      <c r="C17" s="47">
        <f>Table134567891011121314151617343[[#This Row],[USA]]-B16</f>
        <v/>
      </c>
      <c r="D17" s="59">
        <f>(Table134567891011121314151617343[[#This Row],[USA]]/100 +1)^4-1</f>
        <v/>
      </c>
      <c r="V17" s="93" t="inlineStr">
        <is>
          <t>ISL</t>
        </is>
      </c>
    </row>
    <row r="18">
      <c r="A18" s="46" t="n">
        <v>18810</v>
      </c>
      <c r="B18" s="47">
        <f>VLOOKUP(A18,'Data qoq'!$B:$AT,MATCH($B$1,'Data qoq'!$B$1:$AT$1,0),FALSE)</f>
        <v/>
      </c>
      <c r="C18" s="47">
        <f>Table134567891011121314151617343[[#This Row],[USA]]-B17</f>
        <v/>
      </c>
      <c r="D18" s="59">
        <f>(Table134567891011121314151617343[[#This Row],[USA]]/100 +1)^4-1</f>
        <v/>
      </c>
      <c r="V18" s="93" t="inlineStr">
        <is>
          <t>ISR</t>
        </is>
      </c>
    </row>
    <row r="19">
      <c r="A19" s="46" t="n">
        <v>18902</v>
      </c>
      <c r="B19" s="47">
        <f>VLOOKUP(A19,'Data qoq'!$B:$AT,MATCH($B$1,'Data qoq'!$B$1:$AT$1,0),FALSE)</f>
        <v/>
      </c>
      <c r="C19" s="47">
        <f>Table134567891011121314151617343[[#This Row],[USA]]-B18</f>
        <v/>
      </c>
      <c r="D19" s="59">
        <f>(Table134567891011121314151617343[[#This Row],[USA]]/100 +1)^4-1</f>
        <v/>
      </c>
      <c r="V19" s="93" t="inlineStr">
        <is>
          <t>ITA</t>
        </is>
      </c>
    </row>
    <row r="20">
      <c r="A20" s="46" t="n">
        <v>18994</v>
      </c>
      <c r="B20" s="47">
        <f>VLOOKUP(A20,'Data qoq'!$B:$AT,MATCH($B$1,'Data qoq'!$B$1:$AT$1,0),FALSE)</f>
        <v/>
      </c>
      <c r="C20" s="47">
        <f>Table134567891011121314151617343[[#This Row],[USA]]-B19</f>
        <v/>
      </c>
      <c r="D20" s="59">
        <f>(Table134567891011121314151617343[[#This Row],[USA]]/100 +1)^4-1</f>
        <v/>
      </c>
      <c r="V20" s="93" t="inlineStr">
        <is>
          <t>JPN</t>
        </is>
      </c>
    </row>
    <row r="21">
      <c r="A21" s="46" t="n">
        <v>19085</v>
      </c>
      <c r="B21" s="47">
        <f>VLOOKUP(A21,'Data qoq'!$B:$AT,MATCH($B$1,'Data qoq'!$B$1:$AT$1,0),FALSE)</f>
        <v/>
      </c>
      <c r="C21" s="47">
        <f>Table134567891011121314151617343[[#This Row],[USA]]-B20</f>
        <v/>
      </c>
      <c r="D21" s="59">
        <f>(Table134567891011121314151617343[[#This Row],[USA]]/100 +1)^4-1</f>
        <v/>
      </c>
      <c r="V21" s="93" t="inlineStr">
        <is>
          <t>KOR</t>
        </is>
      </c>
    </row>
    <row r="22">
      <c r="A22" s="46" t="n">
        <v>19176</v>
      </c>
      <c r="B22" s="47">
        <f>VLOOKUP(A22,'Data qoq'!$B:$AT,MATCH($B$1,'Data qoq'!$B$1:$AT$1,0),FALSE)</f>
        <v/>
      </c>
      <c r="C22" s="47">
        <f>Table134567891011121314151617343[[#This Row],[USA]]-B21</f>
        <v/>
      </c>
      <c r="D22" s="59">
        <f>(Table134567891011121314151617343[[#This Row],[USA]]/100 +1)^4-1</f>
        <v/>
      </c>
      <c r="V22" s="93" t="inlineStr">
        <is>
          <t>LUX</t>
        </is>
      </c>
    </row>
    <row r="23">
      <c r="A23" s="46" t="n">
        <v>19268</v>
      </c>
      <c r="B23" s="47">
        <f>VLOOKUP(A23,'Data qoq'!$B:$AT,MATCH($B$1,'Data qoq'!$B$1:$AT$1,0),FALSE)</f>
        <v/>
      </c>
      <c r="C23" s="47">
        <f>Table134567891011121314151617343[[#This Row],[USA]]-B22</f>
        <v/>
      </c>
      <c r="D23" s="59">
        <f>(Table134567891011121314151617343[[#This Row],[USA]]/100 +1)^4-1</f>
        <v/>
      </c>
      <c r="V23" s="93" t="inlineStr">
        <is>
          <t>LVA</t>
        </is>
      </c>
    </row>
    <row r="24">
      <c r="A24" s="46" t="n">
        <v>19360</v>
      </c>
      <c r="B24" s="47">
        <f>VLOOKUP(A24,'Data qoq'!$B:$AT,MATCH($B$1,'Data qoq'!$B$1:$AT$1,0),FALSE)</f>
        <v/>
      </c>
      <c r="C24" s="47">
        <f>Table134567891011121314151617343[[#This Row],[USA]]-B23</f>
        <v/>
      </c>
      <c r="D24" s="59">
        <f>(Table134567891011121314151617343[[#This Row],[USA]]/100 +1)^4-1</f>
        <v/>
      </c>
      <c r="V24" s="93" t="inlineStr">
        <is>
          <t>MEX</t>
        </is>
      </c>
    </row>
    <row r="25">
      <c r="A25" s="46" t="n">
        <v>19450</v>
      </c>
      <c r="B25" s="47">
        <f>VLOOKUP(A25,'Data qoq'!$B:$AT,MATCH($B$1,'Data qoq'!$B$1:$AT$1,0),FALSE)</f>
        <v/>
      </c>
      <c r="C25" s="47">
        <f>Table134567891011121314151617343[[#This Row],[USA]]-B24</f>
        <v/>
      </c>
      <c r="D25" s="59">
        <f>(Table134567891011121314151617343[[#This Row],[USA]]/100 +1)^4-1</f>
        <v/>
      </c>
      <c r="V25" s="93" t="inlineStr">
        <is>
          <t>NLD</t>
        </is>
      </c>
    </row>
    <row r="26">
      <c r="A26" s="46" t="n">
        <v>19541</v>
      </c>
      <c r="B26" s="47">
        <f>VLOOKUP(A26,'Data qoq'!$B:$AT,MATCH($B$1,'Data qoq'!$B$1:$AT$1,0),FALSE)</f>
        <v/>
      </c>
      <c r="C26" s="47">
        <f>Table134567891011121314151617343[[#This Row],[USA]]-B25</f>
        <v/>
      </c>
      <c r="D26" s="59">
        <f>(Table134567891011121314151617343[[#This Row],[USA]]/100 +1)^4-1</f>
        <v/>
      </c>
      <c r="V26" s="93" t="inlineStr">
        <is>
          <t>NOR</t>
        </is>
      </c>
    </row>
    <row r="27">
      <c r="A27" s="46" t="n">
        <v>19633</v>
      </c>
      <c r="B27" s="47">
        <f>VLOOKUP(A27,'Data qoq'!$B:$AT,MATCH($B$1,'Data qoq'!$B$1:$AT$1,0),FALSE)</f>
        <v/>
      </c>
      <c r="C27" s="47">
        <f>Table134567891011121314151617343[[#This Row],[USA]]-B26</f>
        <v/>
      </c>
      <c r="D27" s="59">
        <f>(Table134567891011121314151617343[[#This Row],[USA]]/100 +1)^4-1</f>
        <v/>
      </c>
      <c r="V27" s="93" t="inlineStr">
        <is>
          <t>OECD</t>
        </is>
      </c>
    </row>
    <row r="28">
      <c r="A28" s="46" t="n">
        <v>19725</v>
      </c>
      <c r="B28" s="47">
        <f>VLOOKUP(A28,'Data qoq'!$B:$AT,MATCH($B$1,'Data qoq'!$B$1:$AT$1,0),FALSE)</f>
        <v/>
      </c>
      <c r="C28" s="47">
        <f>Table134567891011121314151617343[[#This Row],[USA]]-B27</f>
        <v/>
      </c>
      <c r="D28" s="59">
        <f>(Table134567891011121314151617343[[#This Row],[USA]]/100 +1)^4-1</f>
        <v/>
      </c>
      <c r="V28" s="93" t="inlineStr">
        <is>
          <t>POL</t>
        </is>
      </c>
    </row>
    <row r="29">
      <c r="A29" s="46" t="n">
        <v>19815</v>
      </c>
      <c r="B29" s="47">
        <f>VLOOKUP(A29,'Data qoq'!$B:$AT,MATCH($B$1,'Data qoq'!$B$1:$AT$1,0),FALSE)</f>
        <v/>
      </c>
      <c r="C29" s="47">
        <f>Table134567891011121314151617343[[#This Row],[USA]]-B28</f>
        <v/>
      </c>
      <c r="D29" s="59">
        <f>(Table134567891011121314151617343[[#This Row],[USA]]/100 +1)^4-1</f>
        <v/>
      </c>
      <c r="V29" s="93" t="inlineStr">
        <is>
          <t>PRT</t>
        </is>
      </c>
    </row>
    <row r="30">
      <c r="A30" s="46" t="n">
        <v>19906</v>
      </c>
      <c r="B30" s="47">
        <f>VLOOKUP(A30,'Data qoq'!$B:$AT,MATCH($B$1,'Data qoq'!$B$1:$AT$1,0),FALSE)</f>
        <v/>
      </c>
      <c r="C30" s="47">
        <f>Table134567891011121314151617343[[#This Row],[USA]]-B29</f>
        <v/>
      </c>
      <c r="D30" s="59">
        <f>(Table134567891011121314151617343[[#This Row],[USA]]/100 +1)^4-1</f>
        <v/>
      </c>
      <c r="V30" s="93" t="inlineStr">
        <is>
          <t>SVK</t>
        </is>
      </c>
    </row>
    <row r="31">
      <c r="A31" s="46" t="n">
        <v>19998</v>
      </c>
      <c r="B31" s="47">
        <f>VLOOKUP(A31,'Data qoq'!$B:$AT,MATCH($B$1,'Data qoq'!$B$1:$AT$1,0),FALSE)</f>
        <v/>
      </c>
      <c r="C31" s="47">
        <f>Table134567891011121314151617343[[#This Row],[USA]]-B30</f>
        <v/>
      </c>
      <c r="D31" s="59">
        <f>(Table134567891011121314151617343[[#This Row],[USA]]/100 +1)^4-1</f>
        <v/>
      </c>
      <c r="V31" s="93" t="inlineStr">
        <is>
          <t>SVN</t>
        </is>
      </c>
    </row>
    <row r="32">
      <c r="A32" s="46" t="n">
        <v>20090</v>
      </c>
      <c r="B32" s="47">
        <f>VLOOKUP(A32,'Data qoq'!$B:$AT,MATCH($B$1,'Data qoq'!$B$1:$AT$1,0),FALSE)</f>
        <v/>
      </c>
      <c r="C32" s="47">
        <f>Table134567891011121314151617343[[#This Row],[USA]]-B31</f>
        <v/>
      </c>
      <c r="D32" s="59">
        <f>(Table134567891011121314151617343[[#This Row],[USA]]/100 +1)^4-1</f>
        <v/>
      </c>
      <c r="V32" s="93" t="inlineStr">
        <is>
          <t>SWE</t>
        </is>
      </c>
    </row>
    <row r="33">
      <c r="A33" s="46" t="n">
        <v>20180</v>
      </c>
      <c r="B33" s="47">
        <f>VLOOKUP(A33,'Data qoq'!$B:$AT,MATCH($B$1,'Data qoq'!$B$1:$AT$1,0),FALSE)</f>
        <v/>
      </c>
      <c r="C33" s="47">
        <f>Table134567891011121314151617343[[#This Row],[USA]]-B32</f>
        <v/>
      </c>
      <c r="D33" s="59">
        <f>(Table134567891011121314151617343[[#This Row],[USA]]/100 +1)^4-1</f>
        <v/>
      </c>
      <c r="V33" s="93" t="inlineStr">
        <is>
          <t>TUR</t>
        </is>
      </c>
    </row>
    <row r="34">
      <c r="A34" s="46" t="n">
        <v>20271</v>
      </c>
      <c r="B34" s="47">
        <f>VLOOKUP(A34,'Data qoq'!$B:$AT,MATCH($B$1,'Data qoq'!$B$1:$AT$1,0),FALSE)</f>
        <v/>
      </c>
      <c r="C34" s="47">
        <f>Table134567891011121314151617343[[#This Row],[USA]]-B33</f>
        <v/>
      </c>
      <c r="D34" s="59">
        <f>(Table134567891011121314151617343[[#This Row],[USA]]/100 +1)^4-1</f>
        <v/>
      </c>
      <c r="V34" s="93" t="inlineStr">
        <is>
          <t>USA</t>
        </is>
      </c>
    </row>
    <row r="35">
      <c r="A35" s="46" t="n">
        <v>20363</v>
      </c>
      <c r="B35" s="47">
        <f>VLOOKUP(A35,'Data qoq'!$B:$AT,MATCH($B$1,'Data qoq'!$B$1:$AT$1,0),FALSE)</f>
        <v/>
      </c>
      <c r="C35" s="47">
        <f>Table134567891011121314151617343[[#This Row],[USA]]-B34</f>
        <v/>
      </c>
      <c r="D35" s="59">
        <f>(Table134567891011121314151617343[[#This Row],[USA]]/100 +1)^4-1</f>
        <v/>
      </c>
      <c r="V35" s="93" t="inlineStr">
        <is>
          <t>EA19</t>
        </is>
      </c>
    </row>
    <row r="36">
      <c r="A36" s="46" t="n">
        <v>20455</v>
      </c>
      <c r="B36" s="47">
        <f>VLOOKUP(A36,'Data qoq'!$B:$AT,MATCH($B$1,'Data qoq'!$B$1:$AT$1,0),FALSE)</f>
        <v/>
      </c>
      <c r="C36" s="47">
        <f>Table134567891011121314151617343[[#This Row],[USA]]-B35</f>
        <v/>
      </c>
      <c r="D36" s="59">
        <f>(Table134567891011121314151617343[[#This Row],[USA]]/100 +1)^4-1</f>
        <v/>
      </c>
      <c r="V36" s="93" t="inlineStr">
        <is>
          <t>EU27_2020</t>
        </is>
      </c>
    </row>
    <row r="37">
      <c r="A37" s="46" t="n">
        <v>20546</v>
      </c>
      <c r="B37" s="47">
        <f>VLOOKUP(A37,'Data qoq'!$B:$AT,MATCH($B$1,'Data qoq'!$B$1:$AT$1,0),FALSE)</f>
        <v/>
      </c>
      <c r="C37" s="47">
        <f>Table134567891011121314151617343[[#This Row],[USA]]-B36</f>
        <v/>
      </c>
      <c r="D37" s="59">
        <f>(Table134567891011121314151617343[[#This Row],[USA]]/100 +1)^4-1</f>
        <v/>
      </c>
      <c r="V37" s="93" t="inlineStr">
        <is>
          <t>G-7</t>
        </is>
      </c>
    </row>
    <row r="38">
      <c r="A38" s="46" t="n">
        <v>20637</v>
      </c>
      <c r="B38" s="47">
        <f>VLOOKUP(A38,'Data qoq'!$B:$AT,MATCH($B$1,'Data qoq'!$B$1:$AT$1,0),FALSE)</f>
        <v/>
      </c>
      <c r="C38" s="47">
        <f>Table134567891011121314151617343[[#This Row],[USA]]-B37</f>
        <v/>
      </c>
      <c r="D38" s="59">
        <f>(Table134567891011121314151617343[[#This Row],[USA]]/100 +1)^4-1</f>
        <v/>
      </c>
      <c r="V38" s="93" t="inlineStr">
        <is>
          <t>CHE</t>
        </is>
      </c>
    </row>
    <row r="39">
      <c r="A39" s="46" t="n">
        <v>20729</v>
      </c>
      <c r="B39" s="47">
        <f>VLOOKUP(A39,'Data qoq'!$B:$AT,MATCH($B$1,'Data qoq'!$B$1:$AT$1,0),FALSE)</f>
        <v/>
      </c>
      <c r="C39" s="47">
        <f>Table134567891011121314151617343[[#This Row],[USA]]-B38</f>
        <v/>
      </c>
      <c r="D39" s="59">
        <f>(Table134567891011121314151617343[[#This Row],[USA]]/100 +1)^4-1</f>
        <v/>
      </c>
      <c r="V39" s="93" t="inlineStr">
        <is>
          <t>IND</t>
        </is>
      </c>
    </row>
    <row r="40">
      <c r="A40" s="46" t="n">
        <v>20821</v>
      </c>
      <c r="B40" s="47">
        <f>VLOOKUP(A40,'Data qoq'!$B:$AT,MATCH($B$1,'Data qoq'!$B$1:$AT$1,0),FALSE)</f>
        <v/>
      </c>
      <c r="C40" s="47">
        <f>Table134567891011121314151617343[[#This Row],[USA]]-B39</f>
        <v/>
      </c>
      <c r="D40" s="59">
        <f>(Table134567891011121314151617343[[#This Row],[USA]]/100 +1)^4-1</f>
        <v/>
      </c>
      <c r="V40" s="93" t="inlineStr">
        <is>
          <t>ZAF</t>
        </is>
      </c>
    </row>
    <row r="41">
      <c r="A41" s="46" t="n">
        <v>20911</v>
      </c>
      <c r="B41" s="47">
        <f>VLOOKUP(A41,'Data qoq'!$B:$AT,MATCH($B$1,'Data qoq'!$B$1:$AT$1,0),FALSE)</f>
        <v/>
      </c>
      <c r="C41" s="47">
        <f>Table134567891011121314151617343[[#This Row],[USA]]-B40</f>
        <v/>
      </c>
      <c r="D41" s="59">
        <f>(Table134567891011121314151617343[[#This Row],[USA]]/100 +1)^4-1</f>
        <v/>
      </c>
      <c r="V41" s="93" t="inlineStr">
        <is>
          <t>RUS</t>
        </is>
      </c>
    </row>
    <row r="42">
      <c r="A42" s="46" t="n">
        <v>21002</v>
      </c>
      <c r="B42" s="47">
        <f>VLOOKUP(A42,'Data qoq'!$B:$AT,MATCH($B$1,'Data qoq'!$B$1:$AT$1,0),FALSE)</f>
        <v/>
      </c>
      <c r="C42" s="47">
        <f>Table134567891011121314151617343[[#This Row],[USA]]-B41</f>
        <v/>
      </c>
      <c r="D42" s="59">
        <f>(Table134567891011121314151617343[[#This Row],[USA]]/100 +1)^4-1</f>
        <v/>
      </c>
    </row>
    <row r="43">
      <c r="A43" s="46" t="n">
        <v>21094</v>
      </c>
      <c r="B43" s="47">
        <f>VLOOKUP(A43,'Data qoq'!$B:$AT,MATCH($B$1,'Data qoq'!$B$1:$AT$1,0),FALSE)</f>
        <v/>
      </c>
      <c r="C43" s="47">
        <f>Table134567891011121314151617343[[#This Row],[USA]]-B42</f>
        <v/>
      </c>
      <c r="D43" s="59">
        <f>(Table134567891011121314151617343[[#This Row],[USA]]/100 +1)^4-1</f>
        <v/>
      </c>
    </row>
    <row r="44">
      <c r="A44" s="46" t="n">
        <v>21186</v>
      </c>
      <c r="B44" s="47">
        <f>VLOOKUP(A44,'Data qoq'!$B:$AT,MATCH($B$1,'Data qoq'!$B$1:$AT$1,0),FALSE)</f>
        <v/>
      </c>
      <c r="C44" s="47">
        <f>Table134567891011121314151617343[[#This Row],[USA]]-B43</f>
        <v/>
      </c>
      <c r="D44" s="59">
        <f>(Table134567891011121314151617343[[#This Row],[USA]]/100 +1)^4-1</f>
        <v/>
      </c>
    </row>
    <row r="45">
      <c r="A45" s="46" t="n">
        <v>21276</v>
      </c>
      <c r="B45" s="47">
        <f>VLOOKUP(A45,'Data qoq'!$B:$AT,MATCH($B$1,'Data qoq'!$B$1:$AT$1,0),FALSE)</f>
        <v/>
      </c>
      <c r="C45" s="47">
        <f>Table134567891011121314151617343[[#This Row],[USA]]-B44</f>
        <v/>
      </c>
      <c r="D45" s="59">
        <f>(Table134567891011121314151617343[[#This Row],[USA]]/100 +1)^4-1</f>
        <v/>
      </c>
    </row>
    <row r="46">
      <c r="A46" s="46" t="n">
        <v>21367</v>
      </c>
      <c r="B46" s="47">
        <f>VLOOKUP(A46,'Data qoq'!$B:$AT,MATCH($B$1,'Data qoq'!$B$1:$AT$1,0),FALSE)</f>
        <v/>
      </c>
      <c r="C46" s="47">
        <f>Table134567891011121314151617343[[#This Row],[USA]]-B45</f>
        <v/>
      </c>
      <c r="D46" s="59">
        <f>(Table134567891011121314151617343[[#This Row],[USA]]/100 +1)^4-1</f>
        <v/>
      </c>
    </row>
    <row r="47">
      <c r="A47" s="46" t="n">
        <v>21459</v>
      </c>
      <c r="B47" s="47">
        <f>VLOOKUP(A47,'Data qoq'!$B:$AT,MATCH($B$1,'Data qoq'!$B$1:$AT$1,0),FALSE)</f>
        <v/>
      </c>
      <c r="C47" s="47">
        <f>Table134567891011121314151617343[[#This Row],[USA]]-B46</f>
        <v/>
      </c>
      <c r="D47" s="59">
        <f>(Table134567891011121314151617343[[#This Row],[USA]]/100 +1)^4-1</f>
        <v/>
      </c>
    </row>
    <row r="48">
      <c r="A48" s="46" t="n">
        <v>21551</v>
      </c>
      <c r="B48" s="47">
        <f>VLOOKUP(A48,'Data qoq'!$B:$AT,MATCH($B$1,'Data qoq'!$B$1:$AT$1,0),FALSE)</f>
        <v/>
      </c>
      <c r="C48" s="47">
        <f>Table134567891011121314151617343[[#This Row],[USA]]-B47</f>
        <v/>
      </c>
      <c r="D48" s="59">
        <f>(Table134567891011121314151617343[[#This Row],[USA]]/100 +1)^4-1</f>
        <v/>
      </c>
    </row>
    <row r="49">
      <c r="A49" s="46" t="n">
        <v>21641</v>
      </c>
      <c r="B49" s="47">
        <f>VLOOKUP(A49,'Data qoq'!$B:$AT,MATCH($B$1,'Data qoq'!$B$1:$AT$1,0),FALSE)</f>
        <v/>
      </c>
      <c r="C49" s="47">
        <f>Table134567891011121314151617343[[#This Row],[USA]]-B48</f>
        <v/>
      </c>
      <c r="D49" s="59">
        <f>(Table134567891011121314151617343[[#This Row],[USA]]/100 +1)^4-1</f>
        <v/>
      </c>
    </row>
    <row r="50">
      <c r="A50" s="46" t="n">
        <v>21732</v>
      </c>
      <c r="B50" s="47">
        <f>VLOOKUP(A50,'Data qoq'!$B:$AT,MATCH($B$1,'Data qoq'!$B$1:$AT$1,0),FALSE)</f>
        <v/>
      </c>
      <c r="C50" s="47">
        <f>Table134567891011121314151617343[[#This Row],[USA]]-B49</f>
        <v/>
      </c>
      <c r="D50" s="59">
        <f>(Table134567891011121314151617343[[#This Row],[USA]]/100 +1)^4-1</f>
        <v/>
      </c>
    </row>
    <row r="51">
      <c r="A51" s="46" t="n">
        <v>21824</v>
      </c>
      <c r="B51" s="47">
        <f>VLOOKUP(A51,'Data qoq'!$B:$AT,MATCH($B$1,'Data qoq'!$B$1:$AT$1,0),FALSE)</f>
        <v/>
      </c>
      <c r="C51" s="47">
        <f>Table134567891011121314151617343[[#This Row],[USA]]-B50</f>
        <v/>
      </c>
      <c r="D51" s="59">
        <f>(Table134567891011121314151617343[[#This Row],[USA]]/100 +1)^4-1</f>
        <v/>
      </c>
    </row>
    <row r="52">
      <c r="A52" s="46" t="n">
        <v>21916</v>
      </c>
      <c r="B52" s="47">
        <f>VLOOKUP(A52,'Data qoq'!$B:$AT,MATCH($B$1,'Data qoq'!$B$1:$AT$1,0),FALSE)</f>
        <v/>
      </c>
      <c r="C52" s="47">
        <f>Table134567891011121314151617343[[#This Row],[USA]]-B51</f>
        <v/>
      </c>
      <c r="D52" s="59">
        <f>(Table134567891011121314151617343[[#This Row],[USA]]/100 +1)^4-1</f>
        <v/>
      </c>
    </row>
    <row r="53">
      <c r="A53" s="46" t="n">
        <v>22007</v>
      </c>
      <c r="B53" s="47">
        <f>VLOOKUP(A53,'Data qoq'!$B:$AT,MATCH($B$1,'Data qoq'!$B$1:$AT$1,0),FALSE)</f>
        <v/>
      </c>
      <c r="C53" s="47">
        <f>Table134567891011121314151617343[[#This Row],[USA]]-B52</f>
        <v/>
      </c>
      <c r="D53" s="59">
        <f>(Table134567891011121314151617343[[#This Row],[USA]]/100 +1)^4-1</f>
        <v/>
      </c>
    </row>
    <row r="54">
      <c r="A54" s="46" t="n">
        <v>22098</v>
      </c>
      <c r="B54" s="47">
        <f>VLOOKUP(A54,'Data qoq'!$B:$AT,MATCH($B$1,'Data qoq'!$B$1:$AT$1,0),FALSE)</f>
        <v/>
      </c>
      <c r="C54" s="47">
        <f>Table134567891011121314151617343[[#This Row],[USA]]-B53</f>
        <v/>
      </c>
      <c r="D54" s="59">
        <f>(Table134567891011121314151617343[[#This Row],[USA]]/100 +1)^4-1</f>
        <v/>
      </c>
    </row>
    <row r="55">
      <c r="A55" s="46" t="n">
        <v>22190</v>
      </c>
      <c r="B55" s="47">
        <f>VLOOKUP(A55,'Data qoq'!$B:$AT,MATCH($B$1,'Data qoq'!$B$1:$AT$1,0),FALSE)</f>
        <v/>
      </c>
      <c r="C55" s="47">
        <f>Table134567891011121314151617343[[#This Row],[USA]]-B54</f>
        <v/>
      </c>
      <c r="D55" s="59">
        <f>(Table134567891011121314151617343[[#This Row],[USA]]/100 +1)^4-1</f>
        <v/>
      </c>
    </row>
    <row r="56">
      <c r="A56" s="46" t="n">
        <v>22282</v>
      </c>
      <c r="B56" s="47">
        <f>VLOOKUP(A56,'Data qoq'!$B:$AT,MATCH($B$1,'Data qoq'!$B$1:$AT$1,0),FALSE)</f>
        <v/>
      </c>
      <c r="C56" s="47">
        <f>Table134567891011121314151617343[[#This Row],[USA]]-B55</f>
        <v/>
      </c>
      <c r="D56" s="59">
        <f>(Table134567891011121314151617343[[#This Row],[USA]]/100 +1)^4-1</f>
        <v/>
      </c>
    </row>
    <row r="57">
      <c r="A57" s="46" t="n">
        <v>22372</v>
      </c>
      <c r="B57" s="47">
        <f>VLOOKUP(A57,'Data qoq'!$B:$AT,MATCH($B$1,'Data qoq'!$B$1:$AT$1,0),FALSE)</f>
        <v/>
      </c>
      <c r="C57" s="47">
        <f>Table134567891011121314151617343[[#This Row],[USA]]-B56</f>
        <v/>
      </c>
      <c r="D57" s="59">
        <f>(Table134567891011121314151617343[[#This Row],[USA]]/100 +1)^4-1</f>
        <v/>
      </c>
    </row>
    <row r="58">
      <c r="A58" s="46" t="n">
        <v>22463</v>
      </c>
      <c r="B58" s="47">
        <f>VLOOKUP(A58,'Data qoq'!$B:$AT,MATCH($B$1,'Data qoq'!$B$1:$AT$1,0),FALSE)</f>
        <v/>
      </c>
      <c r="C58" s="47">
        <f>Table134567891011121314151617343[[#This Row],[USA]]-B57</f>
        <v/>
      </c>
      <c r="D58" s="59">
        <f>(Table134567891011121314151617343[[#This Row],[USA]]/100 +1)^4-1</f>
        <v/>
      </c>
    </row>
    <row r="59">
      <c r="A59" s="46" t="n">
        <v>22555</v>
      </c>
      <c r="B59" s="47">
        <f>VLOOKUP(A59,'Data qoq'!$B:$AT,MATCH($B$1,'Data qoq'!$B$1:$AT$1,0),FALSE)</f>
        <v/>
      </c>
      <c r="C59" s="47">
        <f>Table134567891011121314151617343[[#This Row],[USA]]-B58</f>
        <v/>
      </c>
      <c r="D59" s="59">
        <f>(Table134567891011121314151617343[[#This Row],[USA]]/100 +1)^4-1</f>
        <v/>
      </c>
    </row>
    <row r="60">
      <c r="A60" s="46" t="n">
        <v>22647</v>
      </c>
      <c r="B60" s="47">
        <f>VLOOKUP(A60,'Data qoq'!$B:$AT,MATCH($B$1,'Data qoq'!$B$1:$AT$1,0),FALSE)</f>
        <v/>
      </c>
      <c r="C60" s="47">
        <f>Table134567891011121314151617343[[#This Row],[USA]]-B59</f>
        <v/>
      </c>
      <c r="D60" s="59">
        <f>(Table134567891011121314151617343[[#This Row],[USA]]/100 +1)^4-1</f>
        <v/>
      </c>
    </row>
    <row r="61">
      <c r="A61" s="46" t="n">
        <v>22737</v>
      </c>
      <c r="B61" s="47">
        <f>VLOOKUP(A61,'Data qoq'!$B:$AT,MATCH($B$1,'Data qoq'!$B$1:$AT$1,0),FALSE)</f>
        <v/>
      </c>
      <c r="C61" s="47">
        <f>Table134567891011121314151617343[[#This Row],[USA]]-B60</f>
        <v/>
      </c>
      <c r="D61" s="59">
        <f>(Table134567891011121314151617343[[#This Row],[USA]]/100 +1)^4-1</f>
        <v/>
      </c>
    </row>
    <row r="62">
      <c r="A62" s="46" t="n">
        <v>22828</v>
      </c>
      <c r="B62" s="47">
        <f>VLOOKUP(A62,'Data qoq'!$B:$AT,MATCH($B$1,'Data qoq'!$B$1:$AT$1,0),FALSE)</f>
        <v/>
      </c>
      <c r="C62" s="47">
        <f>Table134567891011121314151617343[[#This Row],[USA]]-B61</f>
        <v/>
      </c>
      <c r="D62" s="59">
        <f>(Table134567891011121314151617343[[#This Row],[USA]]/100 +1)^4-1</f>
        <v/>
      </c>
    </row>
    <row r="63">
      <c r="A63" s="46" t="n">
        <v>22920</v>
      </c>
      <c r="B63" s="47">
        <f>VLOOKUP(A63,'Data qoq'!$B:$AT,MATCH($B$1,'Data qoq'!$B$1:$AT$1,0),FALSE)</f>
        <v/>
      </c>
      <c r="C63" s="47">
        <f>Table134567891011121314151617343[[#This Row],[USA]]-B62</f>
        <v/>
      </c>
      <c r="D63" s="59">
        <f>(Table134567891011121314151617343[[#This Row],[USA]]/100 +1)^4-1</f>
        <v/>
      </c>
    </row>
    <row r="64">
      <c r="A64" s="46" t="n">
        <v>23012</v>
      </c>
      <c r="B64" s="47">
        <f>VLOOKUP(A64,'Data qoq'!$B:$AT,MATCH($B$1,'Data qoq'!$B$1:$AT$1,0),FALSE)</f>
        <v/>
      </c>
      <c r="C64" s="47">
        <f>Table134567891011121314151617343[[#This Row],[USA]]-B63</f>
        <v/>
      </c>
      <c r="D64" s="59">
        <f>(Table134567891011121314151617343[[#This Row],[USA]]/100 +1)^4-1</f>
        <v/>
      </c>
    </row>
    <row r="65">
      <c r="A65" s="46" t="n">
        <v>23102</v>
      </c>
      <c r="B65" s="47">
        <f>VLOOKUP(A65,'Data qoq'!$B:$AT,MATCH($B$1,'Data qoq'!$B$1:$AT$1,0),FALSE)</f>
        <v/>
      </c>
      <c r="C65" s="47">
        <f>Table134567891011121314151617343[[#This Row],[USA]]-B64</f>
        <v/>
      </c>
      <c r="D65" s="59">
        <f>(Table134567891011121314151617343[[#This Row],[USA]]/100 +1)^4-1</f>
        <v/>
      </c>
    </row>
    <row r="66">
      <c r="A66" s="46" t="n">
        <v>23193</v>
      </c>
      <c r="B66" s="47">
        <f>VLOOKUP(A66,'Data qoq'!$B:$AT,MATCH($B$1,'Data qoq'!$B$1:$AT$1,0),FALSE)</f>
        <v/>
      </c>
      <c r="C66" s="47">
        <f>Table134567891011121314151617343[[#This Row],[USA]]-B65</f>
        <v/>
      </c>
      <c r="D66" s="59">
        <f>(Table134567891011121314151617343[[#This Row],[USA]]/100 +1)^4-1</f>
        <v/>
      </c>
    </row>
    <row r="67">
      <c r="A67" s="46" t="n">
        <v>23285</v>
      </c>
      <c r="B67" s="47">
        <f>VLOOKUP(A67,'Data qoq'!$B:$AT,MATCH($B$1,'Data qoq'!$B$1:$AT$1,0),FALSE)</f>
        <v/>
      </c>
      <c r="C67" s="47">
        <f>Table134567891011121314151617343[[#This Row],[USA]]-B66</f>
        <v/>
      </c>
      <c r="D67" s="59">
        <f>(Table134567891011121314151617343[[#This Row],[USA]]/100 +1)^4-1</f>
        <v/>
      </c>
    </row>
    <row r="68">
      <c r="A68" s="46" t="n">
        <v>23377</v>
      </c>
      <c r="B68" s="47">
        <f>VLOOKUP(A68,'Data qoq'!$B:$AT,MATCH($B$1,'Data qoq'!$B$1:$AT$1,0),FALSE)</f>
        <v/>
      </c>
      <c r="C68" s="47">
        <f>Table134567891011121314151617343[[#This Row],[USA]]-B67</f>
        <v/>
      </c>
      <c r="D68" s="59">
        <f>(Table134567891011121314151617343[[#This Row],[USA]]/100 +1)^4-1</f>
        <v/>
      </c>
    </row>
    <row r="69">
      <c r="A69" s="46" t="n">
        <v>23468</v>
      </c>
      <c r="B69" s="47">
        <f>VLOOKUP(A69,'Data qoq'!$B:$AT,MATCH($B$1,'Data qoq'!$B$1:$AT$1,0),FALSE)</f>
        <v/>
      </c>
      <c r="C69" s="47">
        <f>Table134567891011121314151617343[[#This Row],[USA]]-B68</f>
        <v/>
      </c>
      <c r="D69" s="59">
        <f>(Table134567891011121314151617343[[#This Row],[USA]]/100 +1)^4-1</f>
        <v/>
      </c>
    </row>
    <row r="70">
      <c r="A70" s="46" t="n">
        <v>23559</v>
      </c>
      <c r="B70" s="47">
        <f>VLOOKUP(A70,'Data qoq'!$B:$AT,MATCH($B$1,'Data qoq'!$B$1:$AT$1,0),FALSE)</f>
        <v/>
      </c>
      <c r="C70" s="47">
        <f>Table134567891011121314151617343[[#This Row],[USA]]-B69</f>
        <v/>
      </c>
      <c r="D70" s="59">
        <f>(Table134567891011121314151617343[[#This Row],[USA]]/100 +1)^4-1</f>
        <v/>
      </c>
    </row>
    <row r="71">
      <c r="A71" s="46" t="n">
        <v>23651</v>
      </c>
      <c r="B71" s="47">
        <f>VLOOKUP(A71,'Data qoq'!$B:$AT,MATCH($B$1,'Data qoq'!$B$1:$AT$1,0),FALSE)</f>
        <v/>
      </c>
      <c r="C71" s="47">
        <f>Table134567891011121314151617343[[#This Row],[USA]]-B70</f>
        <v/>
      </c>
      <c r="D71" s="59">
        <f>(Table134567891011121314151617343[[#This Row],[USA]]/100 +1)^4-1</f>
        <v/>
      </c>
    </row>
    <row r="72">
      <c r="A72" s="46" t="n">
        <v>23743</v>
      </c>
      <c r="B72" s="47">
        <f>VLOOKUP(A72,'Data qoq'!$B:$AT,MATCH($B$1,'Data qoq'!$B$1:$AT$1,0),FALSE)</f>
        <v/>
      </c>
      <c r="C72" s="47">
        <f>Table134567891011121314151617343[[#This Row],[USA]]-B71</f>
        <v/>
      </c>
      <c r="D72" s="59">
        <f>(Table134567891011121314151617343[[#This Row],[USA]]/100 +1)^4-1</f>
        <v/>
      </c>
    </row>
    <row r="73">
      <c r="A73" s="46" t="n">
        <v>23833</v>
      </c>
      <c r="B73" s="47">
        <f>VLOOKUP(A73,'Data qoq'!$B:$AT,MATCH($B$1,'Data qoq'!$B$1:$AT$1,0),FALSE)</f>
        <v/>
      </c>
      <c r="C73" s="47">
        <f>Table134567891011121314151617343[[#This Row],[USA]]-B72</f>
        <v/>
      </c>
      <c r="D73" s="59">
        <f>(Table134567891011121314151617343[[#This Row],[USA]]/100 +1)^4-1</f>
        <v/>
      </c>
    </row>
    <row r="74">
      <c r="A74" s="46" t="n">
        <v>23924</v>
      </c>
      <c r="B74" s="47">
        <f>VLOOKUP(A74,'Data qoq'!$B:$AT,MATCH($B$1,'Data qoq'!$B$1:$AT$1,0),FALSE)</f>
        <v/>
      </c>
      <c r="C74" s="47">
        <f>Table134567891011121314151617343[[#This Row],[USA]]-B73</f>
        <v/>
      </c>
      <c r="D74" s="59">
        <f>(Table134567891011121314151617343[[#This Row],[USA]]/100 +1)^4-1</f>
        <v/>
      </c>
    </row>
    <row r="75">
      <c r="A75" s="46" t="n">
        <v>24016</v>
      </c>
      <c r="B75" s="47">
        <f>VLOOKUP(A75,'Data qoq'!$B:$AT,MATCH($B$1,'Data qoq'!$B$1:$AT$1,0),FALSE)</f>
        <v/>
      </c>
      <c r="C75" s="47">
        <f>Table134567891011121314151617343[[#This Row],[USA]]-B74</f>
        <v/>
      </c>
      <c r="D75" s="59">
        <f>(Table134567891011121314151617343[[#This Row],[USA]]/100 +1)^4-1</f>
        <v/>
      </c>
    </row>
    <row r="76">
      <c r="A76" s="46" t="n">
        <v>24108</v>
      </c>
      <c r="B76" s="47">
        <f>VLOOKUP(A76,'Data qoq'!$B:$AT,MATCH($B$1,'Data qoq'!$B$1:$AT$1,0),FALSE)</f>
        <v/>
      </c>
      <c r="C76" s="47">
        <f>Table134567891011121314151617343[[#This Row],[USA]]-B75</f>
        <v/>
      </c>
      <c r="D76" s="59">
        <f>(Table134567891011121314151617343[[#This Row],[USA]]/100 +1)^4-1</f>
        <v/>
      </c>
    </row>
    <row r="77">
      <c r="A77" s="46" t="n">
        <v>24198</v>
      </c>
      <c r="B77" s="47">
        <f>VLOOKUP(A77,'Data qoq'!$B:$AT,MATCH($B$1,'Data qoq'!$B$1:$AT$1,0),FALSE)</f>
        <v/>
      </c>
      <c r="C77" s="47">
        <f>Table134567891011121314151617343[[#This Row],[USA]]-B76</f>
        <v/>
      </c>
      <c r="D77" s="59">
        <f>(Table134567891011121314151617343[[#This Row],[USA]]/100 +1)^4-1</f>
        <v/>
      </c>
    </row>
    <row r="78">
      <c r="A78" s="46" t="n">
        <v>24289</v>
      </c>
      <c r="B78" s="47">
        <f>VLOOKUP(A78,'Data qoq'!$B:$AT,MATCH($B$1,'Data qoq'!$B$1:$AT$1,0),FALSE)</f>
        <v/>
      </c>
      <c r="C78" s="47">
        <f>Table134567891011121314151617343[[#This Row],[USA]]-B77</f>
        <v/>
      </c>
      <c r="D78" s="59">
        <f>(Table134567891011121314151617343[[#This Row],[USA]]/100 +1)^4-1</f>
        <v/>
      </c>
    </row>
    <row r="79">
      <c r="A79" s="46" t="n">
        <v>24381</v>
      </c>
      <c r="B79" s="47">
        <f>VLOOKUP(A79,'Data qoq'!$B:$AT,MATCH($B$1,'Data qoq'!$B$1:$AT$1,0),FALSE)</f>
        <v/>
      </c>
      <c r="C79" s="47">
        <f>Table134567891011121314151617343[[#This Row],[USA]]-B78</f>
        <v/>
      </c>
      <c r="D79" s="59">
        <f>(Table134567891011121314151617343[[#This Row],[USA]]/100 +1)^4-1</f>
        <v/>
      </c>
    </row>
    <row r="80">
      <c r="A80" s="46" t="n">
        <v>24473</v>
      </c>
      <c r="B80" s="47">
        <f>VLOOKUP(A80,'Data qoq'!$B:$AT,MATCH($B$1,'Data qoq'!$B$1:$AT$1,0),FALSE)</f>
        <v/>
      </c>
      <c r="C80" s="47">
        <f>Table134567891011121314151617343[[#This Row],[USA]]-B79</f>
        <v/>
      </c>
      <c r="D80" s="59">
        <f>(Table134567891011121314151617343[[#This Row],[USA]]/100 +1)^4-1</f>
        <v/>
      </c>
    </row>
    <row r="81">
      <c r="A81" s="46" t="n">
        <v>24563</v>
      </c>
      <c r="B81" s="47">
        <f>VLOOKUP(A81,'Data qoq'!$B:$AT,MATCH($B$1,'Data qoq'!$B$1:$AT$1,0),FALSE)</f>
        <v/>
      </c>
      <c r="C81" s="47">
        <f>Table134567891011121314151617343[[#This Row],[USA]]-B80</f>
        <v/>
      </c>
      <c r="D81" s="59">
        <f>(Table134567891011121314151617343[[#This Row],[USA]]/100 +1)^4-1</f>
        <v/>
      </c>
    </row>
    <row r="82">
      <c r="A82" s="46" t="n">
        <v>24654</v>
      </c>
      <c r="B82" s="47">
        <f>VLOOKUP(A82,'Data qoq'!$B:$AT,MATCH($B$1,'Data qoq'!$B$1:$AT$1,0),FALSE)</f>
        <v/>
      </c>
      <c r="C82" s="47">
        <f>Table134567891011121314151617343[[#This Row],[USA]]-B81</f>
        <v/>
      </c>
      <c r="D82" s="59">
        <f>(Table134567891011121314151617343[[#This Row],[USA]]/100 +1)^4-1</f>
        <v/>
      </c>
    </row>
    <row r="83">
      <c r="A83" s="46" t="n">
        <v>24746</v>
      </c>
      <c r="B83" s="47">
        <f>VLOOKUP(A83,'Data qoq'!$B:$AT,MATCH($B$1,'Data qoq'!$B$1:$AT$1,0),FALSE)</f>
        <v/>
      </c>
      <c r="C83" s="47">
        <f>Table134567891011121314151617343[[#This Row],[USA]]-B82</f>
        <v/>
      </c>
      <c r="D83" s="59">
        <f>(Table134567891011121314151617343[[#This Row],[USA]]/100 +1)^4-1</f>
        <v/>
      </c>
    </row>
    <row r="84">
      <c r="A84" s="46" t="n">
        <v>24838</v>
      </c>
      <c r="B84" s="47">
        <f>VLOOKUP(A84,'Data qoq'!$B:$AT,MATCH($B$1,'Data qoq'!$B$1:$AT$1,0),FALSE)</f>
        <v/>
      </c>
      <c r="C84" s="47">
        <f>Table134567891011121314151617343[[#This Row],[USA]]-B83</f>
        <v/>
      </c>
      <c r="D84" s="59">
        <f>(Table134567891011121314151617343[[#This Row],[USA]]/100 +1)^4-1</f>
        <v/>
      </c>
    </row>
    <row r="85">
      <c r="A85" s="46" t="n">
        <v>24929</v>
      </c>
      <c r="B85" s="47">
        <f>VLOOKUP(A85,'Data qoq'!$B:$AT,MATCH($B$1,'Data qoq'!$B$1:$AT$1,0),FALSE)</f>
        <v/>
      </c>
      <c r="C85" s="47">
        <f>Table134567891011121314151617343[[#This Row],[USA]]-B84</f>
        <v/>
      </c>
      <c r="D85" s="59">
        <f>(Table134567891011121314151617343[[#This Row],[USA]]/100 +1)^4-1</f>
        <v/>
      </c>
    </row>
    <row r="86">
      <c r="A86" s="46" t="n">
        <v>25020</v>
      </c>
      <c r="B86" s="47">
        <f>VLOOKUP(A86,'Data qoq'!$B:$AT,MATCH($B$1,'Data qoq'!$B$1:$AT$1,0),FALSE)</f>
        <v/>
      </c>
      <c r="C86" s="47">
        <f>Table134567891011121314151617343[[#This Row],[USA]]-B85</f>
        <v/>
      </c>
      <c r="D86" s="59">
        <f>(Table134567891011121314151617343[[#This Row],[USA]]/100 +1)^4-1</f>
        <v/>
      </c>
    </row>
    <row r="87">
      <c r="A87" s="46" t="n">
        <v>25112</v>
      </c>
      <c r="B87" s="47">
        <f>VLOOKUP(A87,'Data qoq'!$B:$AT,MATCH($B$1,'Data qoq'!$B$1:$AT$1,0),FALSE)</f>
        <v/>
      </c>
      <c r="C87" s="47">
        <f>Table134567891011121314151617343[[#This Row],[USA]]-B86</f>
        <v/>
      </c>
      <c r="D87" s="59">
        <f>(Table134567891011121314151617343[[#This Row],[USA]]/100 +1)^4-1</f>
        <v/>
      </c>
    </row>
    <row r="88">
      <c r="A88" s="46" t="n">
        <v>25204</v>
      </c>
      <c r="B88" s="47">
        <f>VLOOKUP(A88,'Data qoq'!$B:$AT,MATCH($B$1,'Data qoq'!$B$1:$AT$1,0),FALSE)</f>
        <v/>
      </c>
      <c r="C88" s="47">
        <f>Table134567891011121314151617343[[#This Row],[USA]]-B87</f>
        <v/>
      </c>
      <c r="D88" s="59">
        <f>(Table134567891011121314151617343[[#This Row],[USA]]/100 +1)^4-1</f>
        <v/>
      </c>
    </row>
    <row r="89">
      <c r="A89" s="46" t="n">
        <v>25294</v>
      </c>
      <c r="B89" s="47">
        <f>VLOOKUP(A89,'Data qoq'!$B:$AT,MATCH($B$1,'Data qoq'!$B$1:$AT$1,0),FALSE)</f>
        <v/>
      </c>
      <c r="C89" s="47">
        <f>Table134567891011121314151617343[[#This Row],[USA]]-B88</f>
        <v/>
      </c>
      <c r="D89" s="59">
        <f>(Table134567891011121314151617343[[#This Row],[USA]]/100 +1)^4-1</f>
        <v/>
      </c>
    </row>
    <row r="90">
      <c r="A90" s="46" t="n">
        <v>25385</v>
      </c>
      <c r="B90" s="47">
        <f>VLOOKUP(A90,'Data qoq'!$B:$AT,MATCH($B$1,'Data qoq'!$B$1:$AT$1,0),FALSE)</f>
        <v/>
      </c>
      <c r="C90" s="47">
        <f>Table134567891011121314151617343[[#This Row],[USA]]-B89</f>
        <v/>
      </c>
      <c r="D90" s="59">
        <f>(Table134567891011121314151617343[[#This Row],[USA]]/100 +1)^4-1</f>
        <v/>
      </c>
    </row>
    <row r="91">
      <c r="A91" s="46" t="n">
        <v>25477</v>
      </c>
      <c r="B91" s="47">
        <f>VLOOKUP(A91,'Data qoq'!$B:$AT,MATCH($B$1,'Data qoq'!$B$1:$AT$1,0),FALSE)</f>
        <v/>
      </c>
      <c r="C91" s="47">
        <f>Table134567891011121314151617343[[#This Row],[USA]]-B90</f>
        <v/>
      </c>
      <c r="D91" s="59">
        <f>(Table134567891011121314151617343[[#This Row],[USA]]/100 +1)^4-1</f>
        <v/>
      </c>
    </row>
    <row r="92">
      <c r="A92" s="46" t="n">
        <v>25569</v>
      </c>
      <c r="B92" s="47">
        <f>VLOOKUP(A92,'Data qoq'!$B:$AT,MATCH($B$1,'Data qoq'!$B$1:$AT$1,0),FALSE)</f>
        <v/>
      </c>
      <c r="C92" s="47">
        <f>Table134567891011121314151617343[[#This Row],[USA]]-B91</f>
        <v/>
      </c>
      <c r="D92" s="59">
        <f>(Table134567891011121314151617343[[#This Row],[USA]]/100 +1)^4-1</f>
        <v/>
      </c>
    </row>
    <row r="93">
      <c r="A93" s="46" t="n">
        <v>25659</v>
      </c>
      <c r="B93" s="47">
        <f>VLOOKUP(A93,'Data qoq'!$B:$AT,MATCH($B$1,'Data qoq'!$B$1:$AT$1,0),FALSE)</f>
        <v/>
      </c>
      <c r="C93" s="47">
        <f>Table134567891011121314151617343[[#This Row],[USA]]-B92</f>
        <v/>
      </c>
      <c r="D93" s="59">
        <f>(Table134567891011121314151617343[[#This Row],[USA]]/100 +1)^4-1</f>
        <v/>
      </c>
    </row>
    <row r="94">
      <c r="A94" s="46" t="n">
        <v>25750</v>
      </c>
      <c r="B94" s="47">
        <f>VLOOKUP(A94,'Data qoq'!$B:$AT,MATCH($B$1,'Data qoq'!$B$1:$AT$1,0),FALSE)</f>
        <v/>
      </c>
      <c r="C94" s="47">
        <f>Table134567891011121314151617343[[#This Row],[USA]]-B93</f>
        <v/>
      </c>
      <c r="D94" s="59">
        <f>(Table134567891011121314151617343[[#This Row],[USA]]/100 +1)^4-1</f>
        <v/>
      </c>
    </row>
    <row r="95">
      <c r="A95" s="46" t="n">
        <v>25842</v>
      </c>
      <c r="B95" s="47">
        <f>VLOOKUP(A95,'Data qoq'!$B:$AT,MATCH($B$1,'Data qoq'!$B$1:$AT$1,0),FALSE)</f>
        <v/>
      </c>
      <c r="C95" s="47">
        <f>Table134567891011121314151617343[[#This Row],[USA]]-B94</f>
        <v/>
      </c>
      <c r="D95" s="59">
        <f>(Table134567891011121314151617343[[#This Row],[USA]]/100 +1)^4-1</f>
        <v/>
      </c>
    </row>
    <row r="96">
      <c r="A96" s="46" t="n">
        <v>25934</v>
      </c>
      <c r="B96" s="47">
        <f>VLOOKUP(A96,'Data qoq'!$B:$AT,MATCH($B$1,'Data qoq'!$B$1:$AT$1,0),FALSE)</f>
        <v/>
      </c>
      <c r="C96" s="47">
        <f>Table134567891011121314151617343[[#This Row],[USA]]-B95</f>
        <v/>
      </c>
      <c r="D96" s="59">
        <f>(Table134567891011121314151617343[[#This Row],[USA]]/100 +1)^4-1</f>
        <v/>
      </c>
    </row>
    <row r="97">
      <c r="A97" s="46" t="n">
        <v>26024</v>
      </c>
      <c r="B97" s="47">
        <f>VLOOKUP(A97,'Data qoq'!$B:$AT,MATCH($B$1,'Data qoq'!$B$1:$AT$1,0),FALSE)</f>
        <v/>
      </c>
      <c r="C97" s="47">
        <f>Table134567891011121314151617343[[#This Row],[USA]]-B96</f>
        <v/>
      </c>
      <c r="D97" s="59">
        <f>(Table134567891011121314151617343[[#This Row],[USA]]/100 +1)^4-1</f>
        <v/>
      </c>
    </row>
    <row r="98">
      <c r="A98" s="46" t="n">
        <v>26115</v>
      </c>
      <c r="B98" s="47">
        <f>VLOOKUP(A98,'Data qoq'!$B:$AT,MATCH($B$1,'Data qoq'!$B$1:$AT$1,0),FALSE)</f>
        <v/>
      </c>
      <c r="C98" s="47">
        <f>Table134567891011121314151617343[[#This Row],[USA]]-B97</f>
        <v/>
      </c>
      <c r="D98" s="59">
        <f>(Table134567891011121314151617343[[#This Row],[USA]]/100 +1)^4-1</f>
        <v/>
      </c>
    </row>
    <row r="99">
      <c r="A99" s="46" t="n">
        <v>26207</v>
      </c>
      <c r="B99" s="47">
        <f>VLOOKUP(A99,'Data qoq'!$B:$AT,MATCH($B$1,'Data qoq'!$B$1:$AT$1,0),FALSE)</f>
        <v/>
      </c>
      <c r="C99" s="47">
        <f>Table134567891011121314151617343[[#This Row],[USA]]-B98</f>
        <v/>
      </c>
      <c r="D99" s="59">
        <f>(Table134567891011121314151617343[[#This Row],[USA]]/100 +1)^4-1</f>
        <v/>
      </c>
    </row>
    <row r="100">
      <c r="A100" s="46" t="n">
        <v>26299</v>
      </c>
      <c r="B100" s="47">
        <f>VLOOKUP(A100,'Data qoq'!$B:$AT,MATCH($B$1,'Data qoq'!$B$1:$AT$1,0),FALSE)</f>
        <v/>
      </c>
      <c r="C100" s="47">
        <f>Table134567891011121314151617343[[#This Row],[USA]]-B99</f>
        <v/>
      </c>
      <c r="D100" s="59">
        <f>(Table134567891011121314151617343[[#This Row],[USA]]/100 +1)^4-1</f>
        <v/>
      </c>
    </row>
    <row r="101">
      <c r="A101" s="46" t="n">
        <v>26390</v>
      </c>
      <c r="B101" s="47">
        <f>VLOOKUP(A101,'Data qoq'!$B:$AT,MATCH($B$1,'Data qoq'!$B$1:$AT$1,0),FALSE)</f>
        <v/>
      </c>
      <c r="C101" s="47">
        <f>Table134567891011121314151617343[[#This Row],[USA]]-B100</f>
        <v/>
      </c>
      <c r="D101" s="59">
        <f>(Table134567891011121314151617343[[#This Row],[USA]]/100 +1)^4-1</f>
        <v/>
      </c>
    </row>
    <row r="102">
      <c r="A102" s="46" t="n">
        <v>26481</v>
      </c>
      <c r="B102" s="47">
        <f>VLOOKUP(A102,'Data qoq'!$B:$AT,MATCH($B$1,'Data qoq'!$B$1:$AT$1,0),FALSE)</f>
        <v/>
      </c>
      <c r="C102" s="47">
        <f>Table134567891011121314151617343[[#This Row],[USA]]-B101</f>
        <v/>
      </c>
      <c r="D102" s="59">
        <f>(Table134567891011121314151617343[[#This Row],[USA]]/100 +1)^4-1</f>
        <v/>
      </c>
    </row>
    <row r="103">
      <c r="A103" s="46" t="n">
        <v>26573</v>
      </c>
      <c r="B103" s="47">
        <f>VLOOKUP(A103,'Data qoq'!$B:$AT,MATCH($B$1,'Data qoq'!$B$1:$AT$1,0),FALSE)</f>
        <v/>
      </c>
      <c r="C103" s="47">
        <f>Table134567891011121314151617343[[#This Row],[USA]]-B102</f>
        <v/>
      </c>
      <c r="D103" s="59">
        <f>(Table134567891011121314151617343[[#This Row],[USA]]/100 +1)^4-1</f>
        <v/>
      </c>
    </row>
    <row r="104">
      <c r="A104" s="46" t="n">
        <v>26665</v>
      </c>
      <c r="B104" s="47">
        <f>VLOOKUP(A104,'Data qoq'!$B:$AT,MATCH($B$1,'Data qoq'!$B$1:$AT$1,0),FALSE)</f>
        <v/>
      </c>
      <c r="C104" s="47">
        <f>Table134567891011121314151617343[[#This Row],[USA]]-B103</f>
        <v/>
      </c>
      <c r="D104" s="59">
        <f>(Table134567891011121314151617343[[#This Row],[USA]]/100 +1)^4-1</f>
        <v/>
      </c>
    </row>
    <row r="105">
      <c r="A105" s="46" t="n">
        <v>26755</v>
      </c>
      <c r="B105" s="47">
        <f>VLOOKUP(A105,'Data qoq'!$B:$AT,MATCH($B$1,'Data qoq'!$B$1:$AT$1,0),FALSE)</f>
        <v/>
      </c>
      <c r="C105" s="47">
        <f>Table134567891011121314151617343[[#This Row],[USA]]-B104</f>
        <v/>
      </c>
      <c r="D105" s="59">
        <f>(Table134567891011121314151617343[[#This Row],[USA]]/100 +1)^4-1</f>
        <v/>
      </c>
    </row>
    <row r="106">
      <c r="A106" s="46" t="n">
        <v>26846</v>
      </c>
      <c r="B106" s="47">
        <f>VLOOKUP(A106,'Data qoq'!$B:$AT,MATCH($B$1,'Data qoq'!$B$1:$AT$1,0),FALSE)</f>
        <v/>
      </c>
      <c r="C106" s="47">
        <f>Table134567891011121314151617343[[#This Row],[USA]]-B105</f>
        <v/>
      </c>
      <c r="D106" s="59">
        <f>(Table134567891011121314151617343[[#This Row],[USA]]/100 +1)^4-1</f>
        <v/>
      </c>
    </row>
    <row r="107">
      <c r="A107" s="46" t="n">
        <v>26938</v>
      </c>
      <c r="B107" s="47">
        <f>VLOOKUP(A107,'Data qoq'!$B:$AT,MATCH($B$1,'Data qoq'!$B$1:$AT$1,0),FALSE)</f>
        <v/>
      </c>
      <c r="C107" s="47">
        <f>Table134567891011121314151617343[[#This Row],[USA]]-B106</f>
        <v/>
      </c>
      <c r="D107" s="59">
        <f>(Table134567891011121314151617343[[#This Row],[USA]]/100 +1)^4-1</f>
        <v/>
      </c>
    </row>
    <row r="108">
      <c r="A108" s="46" t="n">
        <v>27030</v>
      </c>
      <c r="B108" s="47">
        <f>VLOOKUP(A108,'Data qoq'!$B:$AT,MATCH($B$1,'Data qoq'!$B$1:$AT$1,0),FALSE)</f>
        <v/>
      </c>
      <c r="C108" s="47">
        <f>Table134567891011121314151617343[[#This Row],[USA]]-B107</f>
        <v/>
      </c>
      <c r="D108" s="59">
        <f>(Table134567891011121314151617343[[#This Row],[USA]]/100 +1)^4-1</f>
        <v/>
      </c>
    </row>
    <row r="109">
      <c r="A109" s="46" t="n">
        <v>27120</v>
      </c>
      <c r="B109" s="47">
        <f>VLOOKUP(A109,'Data qoq'!$B:$AT,MATCH($B$1,'Data qoq'!$B$1:$AT$1,0),FALSE)</f>
        <v/>
      </c>
      <c r="C109" s="47">
        <f>Table134567891011121314151617343[[#This Row],[USA]]-B108</f>
        <v/>
      </c>
      <c r="D109" s="59">
        <f>(Table134567891011121314151617343[[#This Row],[USA]]/100 +1)^4-1</f>
        <v/>
      </c>
    </row>
    <row r="110">
      <c r="A110" s="46" t="n">
        <v>27211</v>
      </c>
      <c r="B110" s="47">
        <f>VLOOKUP(A110,'Data qoq'!$B:$AT,MATCH($B$1,'Data qoq'!$B$1:$AT$1,0),FALSE)</f>
        <v/>
      </c>
      <c r="C110" s="47">
        <f>Table134567891011121314151617343[[#This Row],[USA]]-B109</f>
        <v/>
      </c>
      <c r="D110" s="59">
        <f>(Table134567891011121314151617343[[#This Row],[USA]]/100 +1)^4-1</f>
        <v/>
      </c>
    </row>
    <row r="111">
      <c r="A111" s="46" t="n">
        <v>27303</v>
      </c>
      <c r="B111" s="47">
        <f>VLOOKUP(A111,'Data qoq'!$B:$AT,MATCH($B$1,'Data qoq'!$B$1:$AT$1,0),FALSE)</f>
        <v/>
      </c>
      <c r="C111" s="47">
        <f>Table134567891011121314151617343[[#This Row],[USA]]-B110</f>
        <v/>
      </c>
      <c r="D111" s="59">
        <f>(Table134567891011121314151617343[[#This Row],[USA]]/100 +1)^4-1</f>
        <v/>
      </c>
    </row>
    <row r="112">
      <c r="A112" s="46" t="n">
        <v>27395</v>
      </c>
      <c r="B112" s="47">
        <f>VLOOKUP(A112,'Data qoq'!$B:$AT,MATCH($B$1,'Data qoq'!$B$1:$AT$1,0),FALSE)</f>
        <v/>
      </c>
      <c r="C112" s="47">
        <f>Table134567891011121314151617343[[#This Row],[USA]]-B111</f>
        <v/>
      </c>
      <c r="D112" s="59">
        <f>(Table134567891011121314151617343[[#This Row],[USA]]/100 +1)^4-1</f>
        <v/>
      </c>
    </row>
    <row r="113">
      <c r="A113" s="46" t="n">
        <v>27485</v>
      </c>
      <c r="B113" s="47">
        <f>VLOOKUP(A113,'Data qoq'!$B:$AT,MATCH($B$1,'Data qoq'!$B$1:$AT$1,0),FALSE)</f>
        <v/>
      </c>
      <c r="C113" s="47">
        <f>Table134567891011121314151617343[[#This Row],[USA]]-B112</f>
        <v/>
      </c>
      <c r="D113" s="59">
        <f>(Table134567891011121314151617343[[#This Row],[USA]]/100 +1)^4-1</f>
        <v/>
      </c>
    </row>
    <row r="114">
      <c r="A114" s="46" t="n">
        <v>27576</v>
      </c>
      <c r="B114" s="47">
        <f>VLOOKUP(A114,'Data qoq'!$B:$AT,MATCH($B$1,'Data qoq'!$B$1:$AT$1,0),FALSE)</f>
        <v/>
      </c>
      <c r="C114" s="47">
        <f>Table134567891011121314151617343[[#This Row],[USA]]-B113</f>
        <v/>
      </c>
      <c r="D114" s="59">
        <f>(Table134567891011121314151617343[[#This Row],[USA]]/100 +1)^4-1</f>
        <v/>
      </c>
    </row>
    <row r="115">
      <c r="A115" s="46" t="n">
        <v>27668</v>
      </c>
      <c r="B115" s="47">
        <f>VLOOKUP(A115,'Data qoq'!$B:$AT,MATCH($B$1,'Data qoq'!$B$1:$AT$1,0),FALSE)</f>
        <v/>
      </c>
      <c r="C115" s="47">
        <f>Table134567891011121314151617343[[#This Row],[USA]]-B114</f>
        <v/>
      </c>
      <c r="D115" s="59">
        <f>(Table134567891011121314151617343[[#This Row],[USA]]/100 +1)^4-1</f>
        <v/>
      </c>
    </row>
    <row r="116">
      <c r="A116" s="46" t="n">
        <v>27760</v>
      </c>
      <c r="B116" s="47">
        <f>VLOOKUP(A116,'Data qoq'!$B:$AT,MATCH($B$1,'Data qoq'!$B$1:$AT$1,0),FALSE)</f>
        <v/>
      </c>
      <c r="C116" s="47">
        <f>Table134567891011121314151617343[[#This Row],[USA]]-B115</f>
        <v/>
      </c>
      <c r="D116" s="59">
        <f>(Table134567891011121314151617343[[#This Row],[USA]]/100 +1)^4-1</f>
        <v/>
      </c>
    </row>
    <row r="117">
      <c r="A117" s="46" t="n">
        <v>27851</v>
      </c>
      <c r="B117" s="47">
        <f>VLOOKUP(A117,'Data qoq'!$B:$AT,MATCH($B$1,'Data qoq'!$B$1:$AT$1,0),FALSE)</f>
        <v/>
      </c>
      <c r="C117" s="47">
        <f>Table134567891011121314151617343[[#This Row],[USA]]-B116</f>
        <v/>
      </c>
      <c r="D117" s="59">
        <f>(Table134567891011121314151617343[[#This Row],[USA]]/100 +1)^4-1</f>
        <v/>
      </c>
    </row>
    <row r="118">
      <c r="A118" s="46" t="n">
        <v>27942</v>
      </c>
      <c r="B118" s="47">
        <f>VLOOKUP(A118,'Data qoq'!$B:$AT,MATCH($B$1,'Data qoq'!$B$1:$AT$1,0),FALSE)</f>
        <v/>
      </c>
      <c r="C118" s="47">
        <f>Table134567891011121314151617343[[#This Row],[USA]]-B117</f>
        <v/>
      </c>
      <c r="D118" s="59">
        <f>(Table134567891011121314151617343[[#This Row],[USA]]/100 +1)^4-1</f>
        <v/>
      </c>
    </row>
    <row r="119">
      <c r="A119" s="46" t="n">
        <v>28034</v>
      </c>
      <c r="B119" s="47">
        <f>VLOOKUP(A119,'Data qoq'!$B:$AT,MATCH($B$1,'Data qoq'!$B$1:$AT$1,0),FALSE)</f>
        <v/>
      </c>
      <c r="C119" s="47">
        <f>Table134567891011121314151617343[[#This Row],[USA]]-B118</f>
        <v/>
      </c>
      <c r="D119" s="59">
        <f>(Table134567891011121314151617343[[#This Row],[USA]]/100 +1)^4-1</f>
        <v/>
      </c>
    </row>
    <row r="120">
      <c r="A120" s="46" t="n">
        <v>28126</v>
      </c>
      <c r="B120" s="47">
        <f>VLOOKUP(A120,'Data qoq'!$B:$AT,MATCH($B$1,'Data qoq'!$B$1:$AT$1,0),FALSE)</f>
        <v/>
      </c>
      <c r="C120" s="47">
        <f>Table134567891011121314151617343[[#This Row],[USA]]-B119</f>
        <v/>
      </c>
      <c r="D120" s="59">
        <f>(Table134567891011121314151617343[[#This Row],[USA]]/100 +1)^4-1</f>
        <v/>
      </c>
    </row>
    <row r="121">
      <c r="A121" s="46" t="n">
        <v>28216</v>
      </c>
      <c r="B121" s="47">
        <f>VLOOKUP(A121,'Data qoq'!$B:$AT,MATCH($B$1,'Data qoq'!$B$1:$AT$1,0),FALSE)</f>
        <v/>
      </c>
      <c r="C121" s="47">
        <f>Table134567891011121314151617343[[#This Row],[USA]]-B120</f>
        <v/>
      </c>
      <c r="D121" s="59">
        <f>(Table134567891011121314151617343[[#This Row],[USA]]/100 +1)^4-1</f>
        <v/>
      </c>
    </row>
    <row r="122">
      <c r="A122" s="46" t="n">
        <v>28307</v>
      </c>
      <c r="B122" s="47">
        <f>VLOOKUP(A122,'Data qoq'!$B:$AT,MATCH($B$1,'Data qoq'!$B$1:$AT$1,0),FALSE)</f>
        <v/>
      </c>
      <c r="C122" s="47">
        <f>Table134567891011121314151617343[[#This Row],[USA]]-B121</f>
        <v/>
      </c>
      <c r="D122" s="59">
        <f>(Table134567891011121314151617343[[#This Row],[USA]]/100 +1)^4-1</f>
        <v/>
      </c>
    </row>
    <row r="123">
      <c r="A123" s="46" t="n">
        <v>28399</v>
      </c>
      <c r="B123" s="47">
        <f>VLOOKUP(A123,'Data qoq'!$B:$AT,MATCH($B$1,'Data qoq'!$B$1:$AT$1,0),FALSE)</f>
        <v/>
      </c>
      <c r="C123" s="47">
        <f>Table134567891011121314151617343[[#This Row],[USA]]-B122</f>
        <v/>
      </c>
      <c r="D123" s="59">
        <f>(Table134567891011121314151617343[[#This Row],[USA]]/100 +1)^4-1</f>
        <v/>
      </c>
    </row>
    <row r="124">
      <c r="A124" s="46" t="n">
        <v>28491</v>
      </c>
      <c r="B124" s="47">
        <f>VLOOKUP(A124,'Data qoq'!$B:$AT,MATCH($B$1,'Data qoq'!$B$1:$AT$1,0),FALSE)</f>
        <v/>
      </c>
      <c r="C124" s="47">
        <f>Table134567891011121314151617343[[#This Row],[USA]]-B123</f>
        <v/>
      </c>
      <c r="D124" s="59">
        <f>(Table134567891011121314151617343[[#This Row],[USA]]/100 +1)^4-1</f>
        <v/>
      </c>
    </row>
    <row r="125">
      <c r="A125" s="46" t="n">
        <v>28581</v>
      </c>
      <c r="B125" s="47">
        <f>VLOOKUP(A125,'Data qoq'!$B:$AT,MATCH($B$1,'Data qoq'!$B$1:$AT$1,0),FALSE)</f>
        <v/>
      </c>
      <c r="C125" s="47">
        <f>Table134567891011121314151617343[[#This Row],[USA]]-B124</f>
        <v/>
      </c>
      <c r="D125" s="59">
        <f>(Table134567891011121314151617343[[#This Row],[USA]]/100 +1)^4-1</f>
        <v/>
      </c>
    </row>
    <row r="126">
      <c r="A126" s="46" t="n">
        <v>28672</v>
      </c>
      <c r="B126" s="47">
        <f>VLOOKUP(A126,'Data qoq'!$B:$AT,MATCH($B$1,'Data qoq'!$B$1:$AT$1,0),FALSE)</f>
        <v/>
      </c>
      <c r="C126" s="47">
        <f>Table134567891011121314151617343[[#This Row],[USA]]-B125</f>
        <v/>
      </c>
      <c r="D126" s="59">
        <f>(Table134567891011121314151617343[[#This Row],[USA]]/100 +1)^4-1</f>
        <v/>
      </c>
    </row>
    <row r="127">
      <c r="A127" s="46" t="n">
        <v>28764</v>
      </c>
      <c r="B127" s="47">
        <f>VLOOKUP(A127,'Data qoq'!$B:$AT,MATCH($B$1,'Data qoq'!$B$1:$AT$1,0),FALSE)</f>
        <v/>
      </c>
      <c r="C127" s="47">
        <f>Table134567891011121314151617343[[#This Row],[USA]]-B126</f>
        <v/>
      </c>
      <c r="D127" s="59">
        <f>(Table134567891011121314151617343[[#This Row],[USA]]/100 +1)^4-1</f>
        <v/>
      </c>
    </row>
    <row r="128">
      <c r="A128" s="46" t="n">
        <v>28856</v>
      </c>
      <c r="B128" s="47">
        <f>VLOOKUP(A128,'Data qoq'!$B:$AT,MATCH($B$1,'Data qoq'!$B$1:$AT$1,0),FALSE)</f>
        <v/>
      </c>
      <c r="C128" s="47">
        <f>Table134567891011121314151617343[[#This Row],[USA]]-B127</f>
        <v/>
      </c>
      <c r="D128" s="59">
        <f>(Table134567891011121314151617343[[#This Row],[USA]]/100 +1)^4-1</f>
        <v/>
      </c>
    </row>
    <row r="129">
      <c r="A129" s="46" t="n">
        <v>28946</v>
      </c>
      <c r="B129" s="47">
        <f>VLOOKUP(A129,'Data qoq'!$B:$AT,MATCH($B$1,'Data qoq'!$B$1:$AT$1,0),FALSE)</f>
        <v/>
      </c>
      <c r="C129" s="47">
        <f>Table134567891011121314151617343[[#This Row],[USA]]-B128</f>
        <v/>
      </c>
      <c r="D129" s="59">
        <f>(Table134567891011121314151617343[[#This Row],[USA]]/100 +1)^4-1</f>
        <v/>
      </c>
    </row>
    <row r="130">
      <c r="A130" s="46" t="n">
        <v>29037</v>
      </c>
      <c r="B130" s="47">
        <f>VLOOKUP(A130,'Data qoq'!$B:$AT,MATCH($B$1,'Data qoq'!$B$1:$AT$1,0),FALSE)</f>
        <v/>
      </c>
      <c r="C130" s="47">
        <f>Table134567891011121314151617343[[#This Row],[USA]]-B129</f>
        <v/>
      </c>
      <c r="D130" s="59">
        <f>(Table134567891011121314151617343[[#This Row],[USA]]/100 +1)^4-1</f>
        <v/>
      </c>
    </row>
    <row r="131">
      <c r="A131" s="46" t="n">
        <v>29129</v>
      </c>
      <c r="B131" s="47">
        <f>VLOOKUP(A131,'Data qoq'!$B:$AT,MATCH($B$1,'Data qoq'!$B$1:$AT$1,0),FALSE)</f>
        <v/>
      </c>
      <c r="C131" s="47">
        <f>Table134567891011121314151617343[[#This Row],[USA]]-B130</f>
        <v/>
      </c>
      <c r="D131" s="59">
        <f>(Table134567891011121314151617343[[#This Row],[USA]]/100 +1)^4-1</f>
        <v/>
      </c>
    </row>
    <row r="132">
      <c r="A132" s="46" t="n">
        <v>29221</v>
      </c>
      <c r="B132" s="47">
        <f>VLOOKUP(A132,'Data qoq'!$B:$AT,MATCH($B$1,'Data qoq'!$B$1:$AT$1,0),FALSE)</f>
        <v/>
      </c>
      <c r="C132" s="47">
        <f>Table134567891011121314151617343[[#This Row],[USA]]-B131</f>
        <v/>
      </c>
      <c r="D132" s="59">
        <f>(Table134567891011121314151617343[[#This Row],[USA]]/100 +1)^4-1</f>
        <v/>
      </c>
    </row>
    <row r="133">
      <c r="A133" s="46" t="n">
        <v>29312</v>
      </c>
      <c r="B133" s="47">
        <f>VLOOKUP(A133,'Data qoq'!$B:$AT,MATCH($B$1,'Data qoq'!$B$1:$AT$1,0),FALSE)</f>
        <v/>
      </c>
      <c r="C133" s="47">
        <f>Table134567891011121314151617343[[#This Row],[USA]]-B132</f>
        <v/>
      </c>
      <c r="D133" s="59">
        <f>(Table134567891011121314151617343[[#This Row],[USA]]/100 +1)^4-1</f>
        <v/>
      </c>
    </row>
    <row r="134">
      <c r="A134" s="46" t="n">
        <v>29403</v>
      </c>
      <c r="B134" s="47">
        <f>VLOOKUP(A134,'Data qoq'!$B:$AT,MATCH($B$1,'Data qoq'!$B$1:$AT$1,0),FALSE)</f>
        <v/>
      </c>
      <c r="C134" s="47">
        <f>Table134567891011121314151617343[[#This Row],[USA]]-B133</f>
        <v/>
      </c>
      <c r="D134" s="59">
        <f>(Table134567891011121314151617343[[#This Row],[USA]]/100 +1)^4-1</f>
        <v/>
      </c>
    </row>
    <row r="135">
      <c r="A135" s="46" t="n">
        <v>29495</v>
      </c>
      <c r="B135" s="47">
        <f>VLOOKUP(A135,'Data qoq'!$B:$AT,MATCH($B$1,'Data qoq'!$B$1:$AT$1,0),FALSE)</f>
        <v/>
      </c>
      <c r="C135" s="47">
        <f>Table134567891011121314151617343[[#This Row],[USA]]-B134</f>
        <v/>
      </c>
      <c r="D135" s="59">
        <f>(Table134567891011121314151617343[[#This Row],[USA]]/100 +1)^4-1</f>
        <v/>
      </c>
    </row>
    <row r="136">
      <c r="A136" s="46" t="n">
        <v>29587</v>
      </c>
      <c r="B136" s="47">
        <f>VLOOKUP(A136,'Data qoq'!$B:$AT,MATCH($B$1,'Data qoq'!$B$1:$AT$1,0),FALSE)</f>
        <v/>
      </c>
      <c r="C136" s="47">
        <f>Table134567891011121314151617343[[#This Row],[USA]]-B135</f>
        <v/>
      </c>
      <c r="D136" s="59">
        <f>(Table134567891011121314151617343[[#This Row],[USA]]/100 +1)^4-1</f>
        <v/>
      </c>
    </row>
    <row r="137">
      <c r="A137" s="46" t="n">
        <v>29677</v>
      </c>
      <c r="B137" s="47">
        <f>VLOOKUP(A137,'Data qoq'!$B:$AT,MATCH($B$1,'Data qoq'!$B$1:$AT$1,0),FALSE)</f>
        <v/>
      </c>
      <c r="C137" s="47">
        <f>Table134567891011121314151617343[[#This Row],[USA]]-B136</f>
        <v/>
      </c>
      <c r="D137" s="59">
        <f>(Table134567891011121314151617343[[#This Row],[USA]]/100 +1)^4-1</f>
        <v/>
      </c>
    </row>
    <row r="138">
      <c r="A138" s="46" t="n">
        <v>29768</v>
      </c>
      <c r="B138" s="47">
        <f>VLOOKUP(A138,'Data qoq'!$B:$AT,MATCH($B$1,'Data qoq'!$B$1:$AT$1,0),FALSE)</f>
        <v/>
      </c>
      <c r="C138" s="47">
        <f>Table134567891011121314151617343[[#This Row],[USA]]-B137</f>
        <v/>
      </c>
      <c r="D138" s="59">
        <f>(Table134567891011121314151617343[[#This Row],[USA]]/100 +1)^4-1</f>
        <v/>
      </c>
    </row>
    <row r="139">
      <c r="A139" s="46" t="n">
        <v>29860</v>
      </c>
      <c r="B139" s="47">
        <f>VLOOKUP(A139,'Data qoq'!$B:$AT,MATCH($B$1,'Data qoq'!$B$1:$AT$1,0),FALSE)</f>
        <v/>
      </c>
      <c r="C139" s="47">
        <f>Table134567891011121314151617343[[#This Row],[USA]]-B138</f>
        <v/>
      </c>
      <c r="D139" s="59">
        <f>(Table134567891011121314151617343[[#This Row],[USA]]/100 +1)^4-1</f>
        <v/>
      </c>
    </row>
    <row r="140">
      <c r="A140" s="46" t="n">
        <v>29952</v>
      </c>
      <c r="B140" s="47">
        <f>VLOOKUP(A140,'Data qoq'!$B:$AT,MATCH($B$1,'Data qoq'!$B$1:$AT$1,0),FALSE)</f>
        <v/>
      </c>
      <c r="C140" s="47">
        <f>Table134567891011121314151617343[[#This Row],[USA]]-B139</f>
        <v/>
      </c>
      <c r="D140" s="59">
        <f>(Table134567891011121314151617343[[#This Row],[USA]]/100 +1)^4-1</f>
        <v/>
      </c>
    </row>
    <row r="141">
      <c r="A141" s="46" t="n">
        <v>30042</v>
      </c>
      <c r="B141" s="47">
        <f>VLOOKUP(A141,'Data qoq'!$B:$AT,MATCH($B$1,'Data qoq'!$B$1:$AT$1,0),FALSE)</f>
        <v/>
      </c>
      <c r="C141" s="47">
        <f>Table134567891011121314151617343[[#This Row],[USA]]-B140</f>
        <v/>
      </c>
      <c r="D141" s="59">
        <f>(Table134567891011121314151617343[[#This Row],[USA]]/100 +1)^4-1</f>
        <v/>
      </c>
    </row>
    <row r="142">
      <c r="A142" s="46" t="n">
        <v>30133</v>
      </c>
      <c r="B142" s="47">
        <f>VLOOKUP(A142,'Data qoq'!$B:$AT,MATCH($B$1,'Data qoq'!$B$1:$AT$1,0),FALSE)</f>
        <v/>
      </c>
      <c r="C142" s="47">
        <f>Table134567891011121314151617343[[#This Row],[USA]]-B141</f>
        <v/>
      </c>
      <c r="D142" s="59">
        <f>(Table134567891011121314151617343[[#This Row],[USA]]/100 +1)^4-1</f>
        <v/>
      </c>
    </row>
    <row r="143">
      <c r="A143" s="46" t="n">
        <v>30225</v>
      </c>
      <c r="B143" s="47">
        <f>VLOOKUP(A143,'Data qoq'!$B:$AT,MATCH($B$1,'Data qoq'!$B$1:$AT$1,0),FALSE)</f>
        <v/>
      </c>
      <c r="C143" s="47">
        <f>Table134567891011121314151617343[[#This Row],[USA]]-B142</f>
        <v/>
      </c>
      <c r="D143" s="59">
        <f>(Table134567891011121314151617343[[#This Row],[USA]]/100 +1)^4-1</f>
        <v/>
      </c>
    </row>
    <row r="144">
      <c r="A144" s="46" t="n">
        <v>30317</v>
      </c>
      <c r="B144" s="47">
        <f>VLOOKUP(A144,'Data qoq'!$B:$AT,MATCH($B$1,'Data qoq'!$B$1:$AT$1,0),FALSE)</f>
        <v/>
      </c>
      <c r="C144" s="47">
        <f>Table134567891011121314151617343[[#This Row],[USA]]-B143</f>
        <v/>
      </c>
      <c r="D144" s="59">
        <f>(Table134567891011121314151617343[[#This Row],[USA]]/100 +1)^4-1</f>
        <v/>
      </c>
    </row>
    <row r="145">
      <c r="A145" s="46" t="n">
        <v>30407</v>
      </c>
      <c r="B145" s="47">
        <f>VLOOKUP(A145,'Data qoq'!$B:$AT,MATCH($B$1,'Data qoq'!$B$1:$AT$1,0),FALSE)</f>
        <v/>
      </c>
      <c r="C145" s="47">
        <f>Table134567891011121314151617343[[#This Row],[USA]]-B144</f>
        <v/>
      </c>
      <c r="D145" s="59">
        <f>(Table134567891011121314151617343[[#This Row],[USA]]/100 +1)^4-1</f>
        <v/>
      </c>
    </row>
    <row r="146">
      <c r="A146" s="46" t="n">
        <v>30498</v>
      </c>
      <c r="B146" s="47">
        <f>VLOOKUP(A146,'Data qoq'!$B:$AT,MATCH($B$1,'Data qoq'!$B$1:$AT$1,0),FALSE)</f>
        <v/>
      </c>
      <c r="C146" s="47">
        <f>Table134567891011121314151617343[[#This Row],[USA]]-B145</f>
        <v/>
      </c>
      <c r="D146" s="59">
        <f>(Table134567891011121314151617343[[#This Row],[USA]]/100 +1)^4-1</f>
        <v/>
      </c>
    </row>
    <row r="147">
      <c r="A147" s="46" t="n">
        <v>30590</v>
      </c>
      <c r="B147" s="47">
        <f>VLOOKUP(A147,'Data qoq'!$B:$AT,MATCH($B$1,'Data qoq'!$B$1:$AT$1,0),FALSE)</f>
        <v/>
      </c>
      <c r="C147" s="47">
        <f>Table134567891011121314151617343[[#This Row],[USA]]-B146</f>
        <v/>
      </c>
      <c r="D147" s="59">
        <f>(Table134567891011121314151617343[[#This Row],[USA]]/100 +1)^4-1</f>
        <v/>
      </c>
    </row>
    <row r="148">
      <c r="A148" s="46" t="n">
        <v>30682</v>
      </c>
      <c r="B148" s="47">
        <f>VLOOKUP(A148,'Data qoq'!$B:$AT,MATCH($B$1,'Data qoq'!$B$1:$AT$1,0),FALSE)</f>
        <v/>
      </c>
      <c r="C148" s="47">
        <f>Table134567891011121314151617343[[#This Row],[USA]]-B147</f>
        <v/>
      </c>
      <c r="D148" s="59">
        <f>(Table134567891011121314151617343[[#This Row],[USA]]/100 +1)^4-1</f>
        <v/>
      </c>
    </row>
    <row r="149">
      <c r="A149" s="46" t="n">
        <v>30773</v>
      </c>
      <c r="B149" s="47">
        <f>VLOOKUP(A149,'Data qoq'!$B:$AT,MATCH($B$1,'Data qoq'!$B$1:$AT$1,0),FALSE)</f>
        <v/>
      </c>
      <c r="C149" s="47">
        <f>Table134567891011121314151617343[[#This Row],[USA]]-B148</f>
        <v/>
      </c>
      <c r="D149" s="59">
        <f>(Table134567891011121314151617343[[#This Row],[USA]]/100 +1)^4-1</f>
        <v/>
      </c>
    </row>
    <row r="150">
      <c r="A150" s="46" t="n">
        <v>30864</v>
      </c>
      <c r="B150" s="47">
        <f>VLOOKUP(A150,'Data qoq'!$B:$AT,MATCH($B$1,'Data qoq'!$B$1:$AT$1,0),FALSE)</f>
        <v/>
      </c>
      <c r="C150" s="47">
        <f>Table134567891011121314151617343[[#This Row],[USA]]-B149</f>
        <v/>
      </c>
      <c r="D150" s="59">
        <f>(Table134567891011121314151617343[[#This Row],[USA]]/100 +1)^4-1</f>
        <v/>
      </c>
    </row>
    <row r="151">
      <c r="A151" s="46" t="n">
        <v>30956</v>
      </c>
      <c r="B151" s="47">
        <f>VLOOKUP(A151,'Data qoq'!$B:$AT,MATCH($B$1,'Data qoq'!$B$1:$AT$1,0),FALSE)</f>
        <v/>
      </c>
      <c r="C151" s="47">
        <f>Table134567891011121314151617343[[#This Row],[USA]]-B150</f>
        <v/>
      </c>
      <c r="D151" s="59">
        <f>(Table134567891011121314151617343[[#This Row],[USA]]/100 +1)^4-1</f>
        <v/>
      </c>
    </row>
    <row r="152">
      <c r="A152" s="46" t="n">
        <v>31048</v>
      </c>
      <c r="B152" s="47">
        <f>VLOOKUP(A152,'Data qoq'!$B:$AT,MATCH($B$1,'Data qoq'!$B$1:$AT$1,0),FALSE)</f>
        <v/>
      </c>
      <c r="C152" s="47">
        <f>Table134567891011121314151617343[[#This Row],[USA]]-B151</f>
        <v/>
      </c>
      <c r="D152" s="59">
        <f>(Table134567891011121314151617343[[#This Row],[USA]]/100 +1)^4-1</f>
        <v/>
      </c>
    </row>
    <row r="153">
      <c r="A153" s="46" t="n">
        <v>31138</v>
      </c>
      <c r="B153" s="47">
        <f>VLOOKUP(A153,'Data qoq'!$B:$AT,MATCH($B$1,'Data qoq'!$B$1:$AT$1,0),FALSE)</f>
        <v/>
      </c>
      <c r="C153" s="47">
        <f>Table134567891011121314151617343[[#This Row],[USA]]-B152</f>
        <v/>
      </c>
      <c r="D153" s="59">
        <f>(Table134567891011121314151617343[[#This Row],[USA]]/100 +1)^4-1</f>
        <v/>
      </c>
    </row>
    <row r="154">
      <c r="A154" s="46" t="n">
        <v>31229</v>
      </c>
      <c r="B154" s="47">
        <f>VLOOKUP(A154,'Data qoq'!$B:$AT,MATCH($B$1,'Data qoq'!$B$1:$AT$1,0),FALSE)</f>
        <v/>
      </c>
      <c r="C154" s="47">
        <f>Table134567891011121314151617343[[#This Row],[USA]]-B153</f>
        <v/>
      </c>
      <c r="D154" s="59">
        <f>(Table134567891011121314151617343[[#This Row],[USA]]/100 +1)^4-1</f>
        <v/>
      </c>
    </row>
    <row r="155">
      <c r="A155" s="46" t="n">
        <v>31321</v>
      </c>
      <c r="B155" s="47">
        <f>VLOOKUP(A155,'Data qoq'!$B:$AT,MATCH($B$1,'Data qoq'!$B$1:$AT$1,0),FALSE)</f>
        <v/>
      </c>
      <c r="C155" s="47">
        <f>Table134567891011121314151617343[[#This Row],[USA]]-B154</f>
        <v/>
      </c>
      <c r="D155" s="59">
        <f>(Table134567891011121314151617343[[#This Row],[USA]]/100 +1)^4-1</f>
        <v/>
      </c>
    </row>
    <row r="156">
      <c r="A156" s="46" t="n">
        <v>31413</v>
      </c>
      <c r="B156" s="47">
        <f>VLOOKUP(A156,'Data qoq'!$B:$AT,MATCH($B$1,'Data qoq'!$B$1:$AT$1,0),FALSE)</f>
        <v/>
      </c>
      <c r="C156" s="47">
        <f>Table134567891011121314151617343[[#This Row],[USA]]-B155</f>
        <v/>
      </c>
      <c r="D156" s="59">
        <f>(Table134567891011121314151617343[[#This Row],[USA]]/100 +1)^4-1</f>
        <v/>
      </c>
    </row>
    <row r="157">
      <c r="A157" s="46" t="n">
        <v>31503</v>
      </c>
      <c r="B157" s="47">
        <f>VLOOKUP(A157,'Data qoq'!$B:$AT,MATCH($B$1,'Data qoq'!$B$1:$AT$1,0),FALSE)</f>
        <v/>
      </c>
      <c r="C157" s="47">
        <f>Table134567891011121314151617343[[#This Row],[USA]]-B156</f>
        <v/>
      </c>
      <c r="D157" s="59">
        <f>(Table134567891011121314151617343[[#This Row],[USA]]/100 +1)^4-1</f>
        <v/>
      </c>
    </row>
    <row r="158">
      <c r="A158" s="46" t="n">
        <v>31594</v>
      </c>
      <c r="B158" s="47">
        <f>VLOOKUP(A158,'Data qoq'!$B:$AT,MATCH($B$1,'Data qoq'!$B$1:$AT$1,0),FALSE)</f>
        <v/>
      </c>
      <c r="C158" s="47">
        <f>Table134567891011121314151617343[[#This Row],[USA]]-B157</f>
        <v/>
      </c>
      <c r="D158" s="59">
        <f>(Table134567891011121314151617343[[#This Row],[USA]]/100 +1)^4-1</f>
        <v/>
      </c>
    </row>
    <row r="159">
      <c r="A159" s="46" t="n">
        <v>31686</v>
      </c>
      <c r="B159" s="47">
        <f>VLOOKUP(A159,'Data qoq'!$B:$AT,MATCH($B$1,'Data qoq'!$B$1:$AT$1,0),FALSE)</f>
        <v/>
      </c>
      <c r="C159" s="47">
        <f>Table134567891011121314151617343[[#This Row],[USA]]-B158</f>
        <v/>
      </c>
      <c r="D159" s="59">
        <f>(Table134567891011121314151617343[[#This Row],[USA]]/100 +1)^4-1</f>
        <v/>
      </c>
    </row>
    <row r="160">
      <c r="A160" s="46" t="n">
        <v>31778</v>
      </c>
      <c r="B160" s="47">
        <f>VLOOKUP(A160,'Data qoq'!$B:$AT,MATCH($B$1,'Data qoq'!$B$1:$AT$1,0),FALSE)</f>
        <v/>
      </c>
      <c r="C160" s="47">
        <f>Table134567891011121314151617343[[#This Row],[USA]]-B159</f>
        <v/>
      </c>
      <c r="D160" s="59">
        <f>(Table134567891011121314151617343[[#This Row],[USA]]/100 +1)^4-1</f>
        <v/>
      </c>
    </row>
    <row r="161">
      <c r="A161" s="46" t="n">
        <v>31868</v>
      </c>
      <c r="B161" s="47">
        <f>VLOOKUP(A161,'Data qoq'!$B:$AT,MATCH($B$1,'Data qoq'!$B$1:$AT$1,0),FALSE)</f>
        <v/>
      </c>
      <c r="C161" s="47">
        <f>Table134567891011121314151617343[[#This Row],[USA]]-B160</f>
        <v/>
      </c>
      <c r="D161" s="59">
        <f>(Table134567891011121314151617343[[#This Row],[USA]]/100 +1)^4-1</f>
        <v/>
      </c>
    </row>
    <row r="162">
      <c r="A162" s="46" t="n">
        <v>31959</v>
      </c>
      <c r="B162" s="47">
        <f>VLOOKUP(A162,'Data qoq'!$B:$AT,MATCH($B$1,'Data qoq'!$B$1:$AT$1,0),FALSE)</f>
        <v/>
      </c>
      <c r="C162" s="47">
        <f>Table134567891011121314151617343[[#This Row],[USA]]-B161</f>
        <v/>
      </c>
      <c r="D162" s="59">
        <f>(Table134567891011121314151617343[[#This Row],[USA]]/100 +1)^4-1</f>
        <v/>
      </c>
    </row>
    <row r="163">
      <c r="A163" s="46" t="n">
        <v>32051</v>
      </c>
      <c r="B163" s="47">
        <f>VLOOKUP(A163,'Data qoq'!$B:$AT,MATCH($B$1,'Data qoq'!$B$1:$AT$1,0),FALSE)</f>
        <v/>
      </c>
      <c r="C163" s="47">
        <f>Table134567891011121314151617343[[#This Row],[USA]]-B162</f>
        <v/>
      </c>
      <c r="D163" s="59">
        <f>(Table134567891011121314151617343[[#This Row],[USA]]/100 +1)^4-1</f>
        <v/>
      </c>
    </row>
    <row r="164">
      <c r="A164" s="46" t="n">
        <v>32143</v>
      </c>
      <c r="B164" s="47">
        <f>VLOOKUP(A164,'Data qoq'!$B:$AT,MATCH($B$1,'Data qoq'!$B$1:$AT$1,0),FALSE)</f>
        <v/>
      </c>
      <c r="C164" s="47">
        <f>Table134567891011121314151617343[[#This Row],[USA]]-B163</f>
        <v/>
      </c>
      <c r="D164" s="59">
        <f>(Table134567891011121314151617343[[#This Row],[USA]]/100 +1)^4-1</f>
        <v/>
      </c>
    </row>
    <row r="165">
      <c r="A165" s="46" t="n">
        <v>32234</v>
      </c>
      <c r="B165" s="47">
        <f>VLOOKUP(A165,'Data qoq'!$B:$AT,MATCH($B$1,'Data qoq'!$B$1:$AT$1,0),FALSE)</f>
        <v/>
      </c>
      <c r="C165" s="47">
        <f>Table134567891011121314151617343[[#This Row],[USA]]-B164</f>
        <v/>
      </c>
      <c r="D165" s="59">
        <f>(Table134567891011121314151617343[[#This Row],[USA]]/100 +1)^4-1</f>
        <v/>
      </c>
    </row>
    <row r="166">
      <c r="A166" s="46" t="n">
        <v>32325</v>
      </c>
      <c r="B166" s="47">
        <f>VLOOKUP(A166,'Data qoq'!$B:$AT,MATCH($B$1,'Data qoq'!$B$1:$AT$1,0),FALSE)</f>
        <v/>
      </c>
      <c r="C166" s="47">
        <f>Table134567891011121314151617343[[#This Row],[USA]]-B165</f>
        <v/>
      </c>
      <c r="D166" s="59">
        <f>(Table134567891011121314151617343[[#This Row],[USA]]/100 +1)^4-1</f>
        <v/>
      </c>
    </row>
    <row r="167">
      <c r="A167" s="46" t="n">
        <v>32417</v>
      </c>
      <c r="B167" s="47">
        <f>VLOOKUP(A167,'Data qoq'!$B:$AT,MATCH($B$1,'Data qoq'!$B$1:$AT$1,0),FALSE)</f>
        <v/>
      </c>
      <c r="C167" s="47">
        <f>Table134567891011121314151617343[[#This Row],[USA]]-B166</f>
        <v/>
      </c>
      <c r="D167" s="59">
        <f>(Table134567891011121314151617343[[#This Row],[USA]]/100 +1)^4-1</f>
        <v/>
      </c>
    </row>
    <row r="168">
      <c r="A168" s="46" t="n">
        <v>32509</v>
      </c>
      <c r="B168" s="47">
        <f>VLOOKUP(A168,'Data qoq'!$B:$AT,MATCH($B$1,'Data qoq'!$B$1:$AT$1,0),FALSE)</f>
        <v/>
      </c>
      <c r="C168" s="47">
        <f>Table134567891011121314151617343[[#This Row],[USA]]-B167</f>
        <v/>
      </c>
      <c r="D168" s="59">
        <f>(Table134567891011121314151617343[[#This Row],[USA]]/100 +1)^4-1</f>
        <v/>
      </c>
    </row>
    <row r="169">
      <c r="A169" s="46" t="n">
        <v>32599</v>
      </c>
      <c r="B169" s="47">
        <f>VLOOKUP(A169,'Data qoq'!$B:$AT,MATCH($B$1,'Data qoq'!$B$1:$AT$1,0),FALSE)</f>
        <v/>
      </c>
      <c r="C169" s="47">
        <f>Table134567891011121314151617343[[#This Row],[USA]]-B168</f>
        <v/>
      </c>
      <c r="D169" s="59">
        <f>(Table134567891011121314151617343[[#This Row],[USA]]/100 +1)^4-1</f>
        <v/>
      </c>
    </row>
    <row r="170">
      <c r="A170" s="46" t="n">
        <v>32690</v>
      </c>
      <c r="B170" s="47">
        <f>VLOOKUP(A170,'Data qoq'!$B:$AT,MATCH($B$1,'Data qoq'!$B$1:$AT$1,0),FALSE)</f>
        <v/>
      </c>
      <c r="C170" s="47">
        <f>Table134567891011121314151617343[[#This Row],[USA]]-B169</f>
        <v/>
      </c>
      <c r="D170" s="59">
        <f>(Table134567891011121314151617343[[#This Row],[USA]]/100 +1)^4-1</f>
        <v/>
      </c>
    </row>
    <row r="171">
      <c r="A171" s="46" t="n">
        <v>32782</v>
      </c>
      <c r="B171" s="47">
        <f>VLOOKUP(A171,'Data qoq'!$B:$AT,MATCH($B$1,'Data qoq'!$B$1:$AT$1,0),FALSE)</f>
        <v/>
      </c>
      <c r="C171" s="47">
        <f>Table134567891011121314151617343[[#This Row],[USA]]-B170</f>
        <v/>
      </c>
      <c r="D171" s="59">
        <f>(Table134567891011121314151617343[[#This Row],[USA]]/100 +1)^4-1</f>
        <v/>
      </c>
    </row>
    <row r="172">
      <c r="A172" s="46" t="n">
        <v>32874</v>
      </c>
      <c r="B172" s="47">
        <f>VLOOKUP(A172,'Data qoq'!$B:$AT,MATCH($B$1,'Data qoq'!$B$1:$AT$1,0),FALSE)</f>
        <v/>
      </c>
      <c r="C172" s="47">
        <f>Table134567891011121314151617343[[#This Row],[USA]]-B171</f>
        <v/>
      </c>
      <c r="D172" s="59">
        <f>(Table134567891011121314151617343[[#This Row],[USA]]/100 +1)^4-1</f>
        <v/>
      </c>
    </row>
    <row r="173">
      <c r="A173" s="46" t="n">
        <v>32964</v>
      </c>
      <c r="B173" s="47">
        <f>VLOOKUP(A173,'Data qoq'!$B:$AT,MATCH($B$1,'Data qoq'!$B$1:$AT$1,0),FALSE)</f>
        <v/>
      </c>
      <c r="C173" s="47">
        <f>Table134567891011121314151617343[[#This Row],[USA]]-B172</f>
        <v/>
      </c>
      <c r="D173" s="59">
        <f>(Table134567891011121314151617343[[#This Row],[USA]]/100 +1)^4-1</f>
        <v/>
      </c>
    </row>
    <row r="174">
      <c r="A174" s="46" t="n">
        <v>33055</v>
      </c>
      <c r="B174" s="47">
        <f>VLOOKUP(A174,'Data qoq'!$B:$AT,MATCH($B$1,'Data qoq'!$B$1:$AT$1,0),FALSE)</f>
        <v/>
      </c>
      <c r="C174" s="47">
        <f>Table134567891011121314151617343[[#This Row],[USA]]-B173</f>
        <v/>
      </c>
      <c r="D174" s="59">
        <f>(Table134567891011121314151617343[[#This Row],[USA]]/100 +1)^4-1</f>
        <v/>
      </c>
    </row>
    <row r="175">
      <c r="A175" s="46" t="n">
        <v>33147</v>
      </c>
      <c r="B175" s="47">
        <f>VLOOKUP(A175,'Data qoq'!$B:$AT,MATCH($B$1,'Data qoq'!$B$1:$AT$1,0),FALSE)</f>
        <v/>
      </c>
      <c r="C175" s="47">
        <f>Table134567891011121314151617343[[#This Row],[USA]]-B174</f>
        <v/>
      </c>
      <c r="D175" s="59">
        <f>(Table134567891011121314151617343[[#This Row],[USA]]/100 +1)^4-1</f>
        <v/>
      </c>
    </row>
    <row r="176">
      <c r="A176" s="46" t="n">
        <v>33239</v>
      </c>
      <c r="B176" s="47">
        <f>VLOOKUP(A176,'Data qoq'!$B:$AT,MATCH($B$1,'Data qoq'!$B$1:$AT$1,0),FALSE)</f>
        <v/>
      </c>
      <c r="C176" s="47">
        <f>Table134567891011121314151617343[[#This Row],[USA]]-B175</f>
        <v/>
      </c>
      <c r="D176" s="59">
        <f>(Table134567891011121314151617343[[#This Row],[USA]]/100 +1)^4-1</f>
        <v/>
      </c>
    </row>
    <row r="177">
      <c r="A177" s="46" t="n">
        <v>33329</v>
      </c>
      <c r="B177" s="47">
        <f>VLOOKUP(A177,'Data qoq'!$B:$AT,MATCH($B$1,'Data qoq'!$B$1:$AT$1,0),FALSE)</f>
        <v/>
      </c>
      <c r="C177" s="47">
        <f>Table134567891011121314151617343[[#This Row],[USA]]-B176</f>
        <v/>
      </c>
      <c r="D177" s="59">
        <f>(Table134567891011121314151617343[[#This Row],[USA]]/100 +1)^4-1</f>
        <v/>
      </c>
    </row>
    <row r="178">
      <c r="A178" s="46" t="n">
        <v>33420</v>
      </c>
      <c r="B178" s="47">
        <f>VLOOKUP(A178,'Data qoq'!$B:$AT,MATCH($B$1,'Data qoq'!$B$1:$AT$1,0),FALSE)</f>
        <v/>
      </c>
      <c r="C178" s="47">
        <f>Table134567891011121314151617343[[#This Row],[USA]]-B177</f>
        <v/>
      </c>
      <c r="D178" s="59">
        <f>(Table134567891011121314151617343[[#This Row],[USA]]/100 +1)^4-1</f>
        <v/>
      </c>
    </row>
    <row r="179">
      <c r="A179" s="46" t="n">
        <v>33512</v>
      </c>
      <c r="B179" s="47">
        <f>VLOOKUP(A179,'Data qoq'!$B:$AT,MATCH($B$1,'Data qoq'!$B$1:$AT$1,0),FALSE)</f>
        <v/>
      </c>
      <c r="C179" s="47">
        <f>Table134567891011121314151617343[[#This Row],[USA]]-B178</f>
        <v/>
      </c>
      <c r="D179" s="59">
        <f>(Table134567891011121314151617343[[#This Row],[USA]]/100 +1)^4-1</f>
        <v/>
      </c>
    </row>
    <row r="180">
      <c r="A180" s="46" t="n">
        <v>33604</v>
      </c>
      <c r="B180" s="47">
        <f>VLOOKUP(A180,'Data qoq'!$B:$AT,MATCH($B$1,'Data qoq'!$B$1:$AT$1,0),FALSE)</f>
        <v/>
      </c>
      <c r="C180" s="47">
        <f>Table134567891011121314151617343[[#This Row],[USA]]-B179</f>
        <v/>
      </c>
      <c r="D180" s="59">
        <f>(Table134567891011121314151617343[[#This Row],[USA]]/100 +1)^4-1</f>
        <v/>
      </c>
    </row>
    <row r="181">
      <c r="A181" s="46" t="n">
        <v>33695</v>
      </c>
      <c r="B181" s="47">
        <f>VLOOKUP(A181,'Data qoq'!$B:$AT,MATCH($B$1,'Data qoq'!$B$1:$AT$1,0),FALSE)</f>
        <v/>
      </c>
      <c r="C181" s="47">
        <f>Table134567891011121314151617343[[#This Row],[USA]]-B180</f>
        <v/>
      </c>
      <c r="D181" s="59">
        <f>(Table134567891011121314151617343[[#This Row],[USA]]/100 +1)^4-1</f>
        <v/>
      </c>
    </row>
    <row r="182">
      <c r="A182" s="46" t="n">
        <v>33786</v>
      </c>
      <c r="B182" s="47">
        <f>VLOOKUP(A182,'Data qoq'!$B:$AT,MATCH($B$1,'Data qoq'!$B$1:$AT$1,0),FALSE)</f>
        <v/>
      </c>
      <c r="C182" s="47">
        <f>Table134567891011121314151617343[[#This Row],[USA]]-B181</f>
        <v/>
      </c>
      <c r="D182" s="59">
        <f>(Table134567891011121314151617343[[#This Row],[USA]]/100 +1)^4-1</f>
        <v/>
      </c>
    </row>
    <row r="183">
      <c r="A183" s="46" t="n">
        <v>33878</v>
      </c>
      <c r="B183" s="47">
        <f>VLOOKUP(A183,'Data qoq'!$B:$AT,MATCH($B$1,'Data qoq'!$B$1:$AT$1,0),FALSE)</f>
        <v/>
      </c>
      <c r="C183" s="47">
        <f>Table134567891011121314151617343[[#This Row],[USA]]-B182</f>
        <v/>
      </c>
      <c r="D183" s="59">
        <f>(Table134567891011121314151617343[[#This Row],[USA]]/100 +1)^4-1</f>
        <v/>
      </c>
    </row>
    <row r="184">
      <c r="A184" s="46" t="n">
        <v>33970</v>
      </c>
      <c r="B184" s="47">
        <f>VLOOKUP(A184,'Data qoq'!$B:$AT,MATCH($B$1,'Data qoq'!$B$1:$AT$1,0),FALSE)</f>
        <v/>
      </c>
      <c r="C184" s="47">
        <f>Table134567891011121314151617343[[#This Row],[USA]]-B183</f>
        <v/>
      </c>
      <c r="D184" s="59">
        <f>(Table134567891011121314151617343[[#This Row],[USA]]/100 +1)^4-1</f>
        <v/>
      </c>
    </row>
    <row r="185">
      <c r="A185" s="46" t="n">
        <v>34060</v>
      </c>
      <c r="B185" s="47">
        <f>VLOOKUP(A185,'Data qoq'!$B:$AT,MATCH($B$1,'Data qoq'!$B$1:$AT$1,0),FALSE)</f>
        <v/>
      </c>
      <c r="C185" s="47">
        <f>Table134567891011121314151617343[[#This Row],[USA]]-B184</f>
        <v/>
      </c>
      <c r="D185" s="59">
        <f>(Table134567891011121314151617343[[#This Row],[USA]]/100 +1)^4-1</f>
        <v/>
      </c>
    </row>
    <row r="186">
      <c r="A186" s="46" t="n">
        <v>34151</v>
      </c>
      <c r="B186" s="47">
        <f>VLOOKUP(A186,'Data qoq'!$B:$AT,MATCH($B$1,'Data qoq'!$B$1:$AT$1,0),FALSE)</f>
        <v/>
      </c>
      <c r="C186" s="47">
        <f>Table134567891011121314151617343[[#This Row],[USA]]-B185</f>
        <v/>
      </c>
      <c r="D186" s="59">
        <f>(Table134567891011121314151617343[[#This Row],[USA]]/100 +1)^4-1</f>
        <v/>
      </c>
    </row>
    <row r="187">
      <c r="A187" s="46" t="n">
        <v>34243</v>
      </c>
      <c r="B187" s="47">
        <f>VLOOKUP(A187,'Data qoq'!$B:$AT,MATCH($B$1,'Data qoq'!$B$1:$AT$1,0),FALSE)</f>
        <v/>
      </c>
      <c r="C187" s="47">
        <f>Table134567891011121314151617343[[#This Row],[USA]]-B186</f>
        <v/>
      </c>
      <c r="D187" s="59">
        <f>(Table134567891011121314151617343[[#This Row],[USA]]/100 +1)^4-1</f>
        <v/>
      </c>
    </row>
    <row r="188">
      <c r="A188" s="46" t="n">
        <v>34335</v>
      </c>
      <c r="B188" s="47">
        <f>VLOOKUP(A188,'Data qoq'!$B:$AT,MATCH($B$1,'Data qoq'!$B$1:$AT$1,0),FALSE)</f>
        <v/>
      </c>
      <c r="C188" s="47">
        <f>Table134567891011121314151617343[[#This Row],[USA]]-B187</f>
        <v/>
      </c>
      <c r="D188" s="59">
        <f>(Table134567891011121314151617343[[#This Row],[USA]]/100 +1)^4-1</f>
        <v/>
      </c>
    </row>
    <row r="189">
      <c r="A189" s="46" t="n">
        <v>34425</v>
      </c>
      <c r="B189" s="47">
        <f>VLOOKUP(A189,'Data qoq'!$B:$AT,MATCH($B$1,'Data qoq'!$B$1:$AT$1,0),FALSE)</f>
        <v/>
      </c>
      <c r="C189" s="47">
        <f>Table134567891011121314151617343[[#This Row],[USA]]-B188</f>
        <v/>
      </c>
      <c r="D189" s="59">
        <f>(Table134567891011121314151617343[[#This Row],[USA]]/100 +1)^4-1</f>
        <v/>
      </c>
    </row>
    <row r="190">
      <c r="A190" s="46" t="n">
        <v>34516</v>
      </c>
      <c r="B190" s="47">
        <f>VLOOKUP(A190,'Data qoq'!$B:$AT,MATCH($B$1,'Data qoq'!$B$1:$AT$1,0),FALSE)</f>
        <v/>
      </c>
      <c r="C190" s="47">
        <f>Table134567891011121314151617343[[#This Row],[USA]]-B189</f>
        <v/>
      </c>
      <c r="D190" s="59">
        <f>(Table134567891011121314151617343[[#This Row],[USA]]/100 +1)^4-1</f>
        <v/>
      </c>
    </row>
    <row r="191">
      <c r="A191" s="46" t="n">
        <v>34608</v>
      </c>
      <c r="B191" s="47">
        <f>VLOOKUP(A191,'Data qoq'!$B:$AT,MATCH($B$1,'Data qoq'!$B$1:$AT$1,0),FALSE)</f>
        <v/>
      </c>
      <c r="C191" s="47">
        <f>Table134567891011121314151617343[[#This Row],[USA]]-B190</f>
        <v/>
      </c>
      <c r="D191" s="59">
        <f>(Table134567891011121314151617343[[#This Row],[USA]]/100 +1)^4-1</f>
        <v/>
      </c>
    </row>
    <row r="192">
      <c r="A192" s="46" t="n">
        <v>34700</v>
      </c>
      <c r="B192" s="47">
        <f>VLOOKUP(A192,'Data qoq'!$B:$AT,MATCH($B$1,'Data qoq'!$B$1:$AT$1,0),FALSE)</f>
        <v/>
      </c>
      <c r="C192" s="47">
        <f>Table134567891011121314151617343[[#This Row],[USA]]-B191</f>
        <v/>
      </c>
      <c r="D192" s="59">
        <f>(Table134567891011121314151617343[[#This Row],[USA]]/100 +1)^4-1</f>
        <v/>
      </c>
    </row>
    <row r="193">
      <c r="A193" s="46" t="n">
        <v>34790</v>
      </c>
      <c r="B193" s="47">
        <f>VLOOKUP(A193,'Data qoq'!$B:$AT,MATCH($B$1,'Data qoq'!$B$1:$AT$1,0),FALSE)</f>
        <v/>
      </c>
      <c r="C193" s="47">
        <f>Table134567891011121314151617343[[#This Row],[USA]]-B192</f>
        <v/>
      </c>
      <c r="D193" s="59">
        <f>(Table134567891011121314151617343[[#This Row],[USA]]/100 +1)^4-1</f>
        <v/>
      </c>
    </row>
    <row r="194">
      <c r="A194" s="46" t="n">
        <v>34881</v>
      </c>
      <c r="B194" s="47">
        <f>VLOOKUP(A194,'Data qoq'!$B:$AT,MATCH($B$1,'Data qoq'!$B$1:$AT$1,0),FALSE)</f>
        <v/>
      </c>
      <c r="C194" s="47">
        <f>Table134567891011121314151617343[[#This Row],[USA]]-B193</f>
        <v/>
      </c>
      <c r="D194" s="59">
        <f>(Table134567891011121314151617343[[#This Row],[USA]]/100 +1)^4-1</f>
        <v/>
      </c>
    </row>
    <row r="195">
      <c r="A195" s="46" t="n">
        <v>34973</v>
      </c>
      <c r="B195" s="47">
        <f>VLOOKUP(A195,'Data qoq'!$B:$AT,MATCH($B$1,'Data qoq'!$B$1:$AT$1,0),FALSE)</f>
        <v/>
      </c>
      <c r="C195" s="47">
        <f>Table134567891011121314151617343[[#This Row],[USA]]-B194</f>
        <v/>
      </c>
      <c r="D195" s="59">
        <f>(Table134567891011121314151617343[[#This Row],[USA]]/100 +1)^4-1</f>
        <v/>
      </c>
    </row>
    <row r="196">
      <c r="A196" s="46" t="n">
        <v>35065</v>
      </c>
      <c r="B196" s="47">
        <f>VLOOKUP(A196,'Data qoq'!$B:$AT,MATCH($B$1,'Data qoq'!$B$1:$AT$1,0),FALSE)</f>
        <v/>
      </c>
      <c r="C196" s="47">
        <f>Table134567891011121314151617343[[#This Row],[USA]]-B195</f>
        <v/>
      </c>
      <c r="D196" s="59">
        <f>(Table134567891011121314151617343[[#This Row],[USA]]/100 +1)^4-1</f>
        <v/>
      </c>
    </row>
    <row r="197">
      <c r="A197" s="46" t="n">
        <v>35156</v>
      </c>
      <c r="B197" s="47">
        <f>VLOOKUP(A197,'Data qoq'!$B:$AT,MATCH($B$1,'Data qoq'!$B$1:$AT$1,0),FALSE)</f>
        <v/>
      </c>
      <c r="C197" s="47">
        <f>Table134567891011121314151617343[[#This Row],[USA]]-B196</f>
        <v/>
      </c>
      <c r="D197" s="59">
        <f>(Table134567891011121314151617343[[#This Row],[USA]]/100 +1)^4-1</f>
        <v/>
      </c>
    </row>
    <row r="198">
      <c r="A198" s="46" t="n">
        <v>35247</v>
      </c>
      <c r="B198" s="47">
        <f>VLOOKUP(A198,'Data qoq'!$B:$AT,MATCH($B$1,'Data qoq'!$B$1:$AT$1,0),FALSE)</f>
        <v/>
      </c>
      <c r="C198" s="47">
        <f>Table134567891011121314151617343[[#This Row],[USA]]-B197</f>
        <v/>
      </c>
      <c r="D198" s="59">
        <f>(Table134567891011121314151617343[[#This Row],[USA]]/100 +1)^4-1</f>
        <v/>
      </c>
    </row>
    <row r="199">
      <c r="A199" s="46" t="n">
        <v>35339</v>
      </c>
      <c r="B199" s="47">
        <f>VLOOKUP(A199,'Data qoq'!$B:$AT,MATCH($B$1,'Data qoq'!$B$1:$AT$1,0),FALSE)</f>
        <v/>
      </c>
      <c r="C199" s="47">
        <f>Table134567891011121314151617343[[#This Row],[USA]]-B198</f>
        <v/>
      </c>
      <c r="D199" s="59">
        <f>(Table134567891011121314151617343[[#This Row],[USA]]/100 +1)^4-1</f>
        <v/>
      </c>
    </row>
    <row r="200">
      <c r="A200" s="46" t="n">
        <v>35431</v>
      </c>
      <c r="B200" s="47">
        <f>VLOOKUP(A200,'Data qoq'!$B:$AT,MATCH($B$1,'Data qoq'!$B$1:$AT$1,0),FALSE)</f>
        <v/>
      </c>
      <c r="C200" s="47">
        <f>Table134567891011121314151617343[[#This Row],[USA]]-B199</f>
        <v/>
      </c>
      <c r="D200" s="59">
        <f>(Table134567891011121314151617343[[#This Row],[USA]]/100 +1)^4-1</f>
        <v/>
      </c>
    </row>
    <row r="201">
      <c r="A201" s="46" t="n">
        <v>35521</v>
      </c>
      <c r="B201" s="47">
        <f>VLOOKUP(A201,'Data qoq'!$B:$AT,MATCH($B$1,'Data qoq'!$B$1:$AT$1,0),FALSE)</f>
        <v/>
      </c>
      <c r="C201" s="47">
        <f>Table134567891011121314151617343[[#This Row],[USA]]-B200</f>
        <v/>
      </c>
      <c r="D201" s="59">
        <f>(Table134567891011121314151617343[[#This Row],[USA]]/100 +1)^4-1</f>
        <v/>
      </c>
    </row>
    <row r="202">
      <c r="A202" s="46" t="n">
        <v>35612</v>
      </c>
      <c r="B202" s="47">
        <f>VLOOKUP(A202,'Data qoq'!$B:$AT,MATCH($B$1,'Data qoq'!$B$1:$AT$1,0),FALSE)</f>
        <v/>
      </c>
      <c r="C202" s="47">
        <f>Table134567891011121314151617343[[#This Row],[USA]]-B201</f>
        <v/>
      </c>
      <c r="D202" s="59">
        <f>(Table134567891011121314151617343[[#This Row],[USA]]/100 +1)^4-1</f>
        <v/>
      </c>
    </row>
    <row r="203">
      <c r="A203" s="46" t="n">
        <v>35704</v>
      </c>
      <c r="B203" s="47">
        <f>VLOOKUP(A203,'Data qoq'!$B:$AT,MATCH($B$1,'Data qoq'!$B$1:$AT$1,0),FALSE)</f>
        <v/>
      </c>
      <c r="C203" s="47">
        <f>Table134567891011121314151617343[[#This Row],[USA]]-B202</f>
        <v/>
      </c>
      <c r="D203" s="59">
        <f>(Table134567891011121314151617343[[#This Row],[USA]]/100 +1)^4-1</f>
        <v/>
      </c>
    </row>
    <row r="204">
      <c r="A204" s="46" t="n">
        <v>35796</v>
      </c>
      <c r="B204" s="47">
        <f>VLOOKUP(A204,'Data qoq'!$B:$AT,MATCH($B$1,'Data qoq'!$B$1:$AT$1,0),FALSE)</f>
        <v/>
      </c>
      <c r="C204" s="47">
        <f>Table134567891011121314151617343[[#This Row],[USA]]-B203</f>
        <v/>
      </c>
      <c r="D204" s="59">
        <f>(Table134567891011121314151617343[[#This Row],[USA]]/100 +1)^4-1</f>
        <v/>
      </c>
    </row>
    <row r="205">
      <c r="A205" s="46" t="n">
        <v>35886</v>
      </c>
      <c r="B205" s="47">
        <f>VLOOKUP(A205,'Data qoq'!$B:$AT,MATCH($B$1,'Data qoq'!$B$1:$AT$1,0),FALSE)</f>
        <v/>
      </c>
      <c r="C205" s="47">
        <f>Table134567891011121314151617343[[#This Row],[USA]]-B204</f>
        <v/>
      </c>
      <c r="D205" s="59">
        <f>(Table134567891011121314151617343[[#This Row],[USA]]/100 +1)^4-1</f>
        <v/>
      </c>
    </row>
    <row r="206">
      <c r="A206" s="46" t="n">
        <v>35977</v>
      </c>
      <c r="B206" s="47">
        <f>VLOOKUP(A206,'Data qoq'!$B:$AT,MATCH($B$1,'Data qoq'!$B$1:$AT$1,0),FALSE)</f>
        <v/>
      </c>
      <c r="C206" s="47">
        <f>Table134567891011121314151617343[[#This Row],[USA]]-B205</f>
        <v/>
      </c>
      <c r="D206" s="59">
        <f>(Table134567891011121314151617343[[#This Row],[USA]]/100 +1)^4-1</f>
        <v/>
      </c>
    </row>
    <row r="207">
      <c r="A207" s="46" t="n">
        <v>36069</v>
      </c>
      <c r="B207" s="47">
        <f>VLOOKUP(A207,'Data qoq'!$B:$AT,MATCH($B$1,'Data qoq'!$B$1:$AT$1,0),FALSE)</f>
        <v/>
      </c>
      <c r="C207" s="47">
        <f>Table134567891011121314151617343[[#This Row],[USA]]-B206</f>
        <v/>
      </c>
      <c r="D207" s="59">
        <f>(Table134567891011121314151617343[[#This Row],[USA]]/100 +1)^4-1</f>
        <v/>
      </c>
    </row>
    <row r="208">
      <c r="A208" s="46" t="n">
        <v>36161</v>
      </c>
      <c r="B208" s="47">
        <f>VLOOKUP(A208,'Data qoq'!$B:$AT,MATCH($B$1,'Data qoq'!$B$1:$AT$1,0),FALSE)</f>
        <v/>
      </c>
      <c r="C208" s="47">
        <f>Table134567891011121314151617343[[#This Row],[USA]]-B207</f>
        <v/>
      </c>
      <c r="D208" s="59">
        <f>(Table134567891011121314151617343[[#This Row],[USA]]/100 +1)^4-1</f>
        <v/>
      </c>
    </row>
    <row r="209">
      <c r="A209" s="46" t="n">
        <v>36251</v>
      </c>
      <c r="B209" s="47">
        <f>VLOOKUP(A209,'Data qoq'!$B:$AT,MATCH($B$1,'Data qoq'!$B$1:$AT$1,0),FALSE)</f>
        <v/>
      </c>
      <c r="C209" s="47">
        <f>Table134567891011121314151617343[[#This Row],[USA]]-B208</f>
        <v/>
      </c>
      <c r="D209" s="59">
        <f>(Table134567891011121314151617343[[#This Row],[USA]]/100 +1)^4-1</f>
        <v/>
      </c>
    </row>
    <row r="210">
      <c r="A210" s="46" t="n">
        <v>36342</v>
      </c>
      <c r="B210" s="47">
        <f>VLOOKUP(A210,'Data qoq'!$B:$AT,MATCH($B$1,'Data qoq'!$B$1:$AT$1,0),FALSE)</f>
        <v/>
      </c>
      <c r="C210" s="47">
        <f>Table134567891011121314151617343[[#This Row],[USA]]-B209</f>
        <v/>
      </c>
      <c r="D210" s="59">
        <f>(Table134567891011121314151617343[[#This Row],[USA]]/100 +1)^4-1</f>
        <v/>
      </c>
    </row>
    <row r="211">
      <c r="A211" s="46" t="n">
        <v>36434</v>
      </c>
      <c r="B211" s="47">
        <f>VLOOKUP(A211,'Data qoq'!$B:$AT,MATCH($B$1,'Data qoq'!$B$1:$AT$1,0),FALSE)</f>
        <v/>
      </c>
      <c r="C211" s="47">
        <f>Table134567891011121314151617343[[#This Row],[USA]]-B210</f>
        <v/>
      </c>
      <c r="D211" s="59">
        <f>(Table134567891011121314151617343[[#This Row],[USA]]/100 +1)^4-1</f>
        <v/>
      </c>
    </row>
    <row r="212">
      <c r="A212" s="46" t="n">
        <v>36526</v>
      </c>
      <c r="B212" s="47">
        <f>VLOOKUP(A212,'Data qoq'!$B:$AT,MATCH($B$1,'Data qoq'!$B$1:$AT$1,0),FALSE)</f>
        <v/>
      </c>
      <c r="C212" s="47">
        <f>Table134567891011121314151617343[[#This Row],[USA]]-B211</f>
        <v/>
      </c>
      <c r="D212" s="59">
        <f>(Table134567891011121314151617343[[#This Row],[USA]]/100 +1)^4-1</f>
        <v/>
      </c>
    </row>
    <row r="213">
      <c r="A213" s="46" t="n">
        <v>36617</v>
      </c>
      <c r="B213" s="47">
        <f>VLOOKUP(A213,'Data qoq'!$B:$AT,MATCH($B$1,'Data qoq'!$B$1:$AT$1,0),FALSE)</f>
        <v/>
      </c>
      <c r="C213" s="47">
        <f>Table134567891011121314151617343[[#This Row],[USA]]-B212</f>
        <v/>
      </c>
      <c r="D213" s="59">
        <f>(Table134567891011121314151617343[[#This Row],[USA]]/100 +1)^4-1</f>
        <v/>
      </c>
    </row>
    <row r="214">
      <c r="A214" s="46" t="n">
        <v>36708</v>
      </c>
      <c r="B214" s="47">
        <f>VLOOKUP(A214,'Data qoq'!$B:$AT,MATCH($B$1,'Data qoq'!$B$1:$AT$1,0),FALSE)</f>
        <v/>
      </c>
      <c r="C214" s="47">
        <f>Table134567891011121314151617343[[#This Row],[USA]]-B213</f>
        <v/>
      </c>
      <c r="D214" s="59">
        <f>(Table134567891011121314151617343[[#This Row],[USA]]/100 +1)^4-1</f>
        <v/>
      </c>
    </row>
    <row r="215">
      <c r="A215" s="46" t="n">
        <v>36800</v>
      </c>
      <c r="B215" s="47">
        <f>VLOOKUP(A215,'Data qoq'!$B:$AT,MATCH($B$1,'Data qoq'!$B$1:$AT$1,0),FALSE)</f>
        <v/>
      </c>
      <c r="C215" s="47">
        <f>Table134567891011121314151617343[[#This Row],[USA]]-B214</f>
        <v/>
      </c>
      <c r="D215" s="59">
        <f>(Table134567891011121314151617343[[#This Row],[USA]]/100 +1)^4-1</f>
        <v/>
      </c>
    </row>
    <row r="216">
      <c r="A216" s="46" t="n">
        <v>36892</v>
      </c>
      <c r="B216" s="47">
        <f>VLOOKUP(A216,'Data qoq'!$B:$AT,MATCH($B$1,'Data qoq'!$B$1:$AT$1,0),FALSE)</f>
        <v/>
      </c>
      <c r="C216" s="47">
        <f>Table134567891011121314151617343[[#This Row],[USA]]-B215</f>
        <v/>
      </c>
      <c r="D216" s="59">
        <f>(Table134567891011121314151617343[[#This Row],[USA]]/100 +1)^4-1</f>
        <v/>
      </c>
    </row>
    <row r="217">
      <c r="A217" s="46" t="n">
        <v>36982</v>
      </c>
      <c r="B217" s="47">
        <f>VLOOKUP(A217,'Data qoq'!$B:$AT,MATCH($B$1,'Data qoq'!$B$1:$AT$1,0),FALSE)</f>
        <v/>
      </c>
      <c r="C217" s="47">
        <f>Table134567891011121314151617343[[#This Row],[USA]]-B216</f>
        <v/>
      </c>
      <c r="D217" s="59">
        <f>(Table134567891011121314151617343[[#This Row],[USA]]/100 +1)^4-1</f>
        <v/>
      </c>
    </row>
    <row r="218">
      <c r="A218" s="46" t="n">
        <v>37073</v>
      </c>
      <c r="B218" s="47">
        <f>VLOOKUP(A218,'Data qoq'!$B:$AT,MATCH($B$1,'Data qoq'!$B$1:$AT$1,0),FALSE)</f>
        <v/>
      </c>
      <c r="C218" s="47">
        <f>Table134567891011121314151617343[[#This Row],[USA]]-B217</f>
        <v/>
      </c>
      <c r="D218" s="59">
        <f>(Table134567891011121314151617343[[#This Row],[USA]]/100 +1)^4-1</f>
        <v/>
      </c>
    </row>
    <row r="219">
      <c r="A219" s="46" t="n">
        <v>37165</v>
      </c>
      <c r="B219" s="47">
        <f>VLOOKUP(A219,'Data qoq'!$B:$AT,MATCH($B$1,'Data qoq'!$B$1:$AT$1,0),FALSE)</f>
        <v/>
      </c>
      <c r="C219" s="47">
        <f>Table134567891011121314151617343[[#This Row],[USA]]-B218</f>
        <v/>
      </c>
      <c r="D219" s="59">
        <f>(Table134567891011121314151617343[[#This Row],[USA]]/100 +1)^4-1</f>
        <v/>
      </c>
    </row>
    <row r="220">
      <c r="A220" s="46" t="n">
        <v>37257</v>
      </c>
      <c r="B220" s="47">
        <f>VLOOKUP(A220,'Data qoq'!$B:$AT,MATCH($B$1,'Data qoq'!$B$1:$AT$1,0),FALSE)</f>
        <v/>
      </c>
      <c r="C220" s="47">
        <f>Table134567891011121314151617343[[#This Row],[USA]]-B219</f>
        <v/>
      </c>
      <c r="D220" s="59">
        <f>(Table134567891011121314151617343[[#This Row],[USA]]/100 +1)^4-1</f>
        <v/>
      </c>
    </row>
    <row r="221">
      <c r="A221" s="46" t="n">
        <v>37347</v>
      </c>
      <c r="B221" s="47">
        <f>VLOOKUP(A221,'Data qoq'!$B:$AT,MATCH($B$1,'Data qoq'!$B$1:$AT$1,0),FALSE)</f>
        <v/>
      </c>
      <c r="C221" s="47">
        <f>Table134567891011121314151617343[[#This Row],[USA]]-B220</f>
        <v/>
      </c>
      <c r="D221" s="59">
        <f>(Table134567891011121314151617343[[#This Row],[USA]]/100 +1)^4-1</f>
        <v/>
      </c>
    </row>
    <row r="222">
      <c r="A222" s="46" t="n">
        <v>37438</v>
      </c>
      <c r="B222" s="47">
        <f>VLOOKUP(A222,'Data qoq'!$B:$AT,MATCH($B$1,'Data qoq'!$B$1:$AT$1,0),FALSE)</f>
        <v/>
      </c>
      <c r="C222" s="47">
        <f>Table134567891011121314151617343[[#This Row],[USA]]-B221</f>
        <v/>
      </c>
      <c r="D222" s="59">
        <f>(Table134567891011121314151617343[[#This Row],[USA]]/100 +1)^4-1</f>
        <v/>
      </c>
    </row>
    <row r="223">
      <c r="A223" s="46" t="n">
        <v>37530</v>
      </c>
      <c r="B223" s="47">
        <f>VLOOKUP(A223,'Data qoq'!$B:$AT,MATCH($B$1,'Data qoq'!$B$1:$AT$1,0),FALSE)</f>
        <v/>
      </c>
      <c r="C223" s="47">
        <f>Table134567891011121314151617343[[#This Row],[USA]]-B222</f>
        <v/>
      </c>
      <c r="D223" s="59">
        <f>(Table134567891011121314151617343[[#This Row],[USA]]/100 +1)^4-1</f>
        <v/>
      </c>
    </row>
    <row r="224">
      <c r="A224" s="46" t="n">
        <v>37622</v>
      </c>
      <c r="B224" s="47">
        <f>VLOOKUP(A224,'Data qoq'!$B:$AT,MATCH($B$1,'Data qoq'!$B$1:$AT$1,0),FALSE)</f>
        <v/>
      </c>
      <c r="C224" s="47">
        <f>Table134567891011121314151617343[[#This Row],[USA]]-B223</f>
        <v/>
      </c>
      <c r="D224" s="59">
        <f>(Table134567891011121314151617343[[#This Row],[USA]]/100 +1)^4-1</f>
        <v/>
      </c>
    </row>
    <row r="225">
      <c r="A225" s="46" t="n">
        <v>37712</v>
      </c>
      <c r="B225" s="47">
        <f>VLOOKUP(A225,'Data qoq'!$B:$AT,MATCH($B$1,'Data qoq'!$B$1:$AT$1,0),FALSE)</f>
        <v/>
      </c>
      <c r="C225" s="47">
        <f>Table134567891011121314151617343[[#This Row],[USA]]-B224</f>
        <v/>
      </c>
      <c r="D225" s="59">
        <f>(Table134567891011121314151617343[[#This Row],[USA]]/100 +1)^4-1</f>
        <v/>
      </c>
    </row>
    <row r="226">
      <c r="A226" s="46" t="n">
        <v>37803</v>
      </c>
      <c r="B226" s="47">
        <f>VLOOKUP(A226,'Data qoq'!$B:$AT,MATCH($B$1,'Data qoq'!$B$1:$AT$1,0),FALSE)</f>
        <v/>
      </c>
      <c r="C226" s="47">
        <f>Table134567891011121314151617343[[#This Row],[USA]]-B225</f>
        <v/>
      </c>
      <c r="D226" s="59">
        <f>(Table134567891011121314151617343[[#This Row],[USA]]/100 +1)^4-1</f>
        <v/>
      </c>
    </row>
    <row r="227">
      <c r="A227" s="46" t="n">
        <v>37895</v>
      </c>
      <c r="B227" s="47">
        <f>VLOOKUP(A227,'Data qoq'!$B:$AT,MATCH($B$1,'Data qoq'!$B$1:$AT$1,0),FALSE)</f>
        <v/>
      </c>
      <c r="C227" s="47">
        <f>Table134567891011121314151617343[[#This Row],[USA]]-B226</f>
        <v/>
      </c>
      <c r="D227" s="59">
        <f>(Table134567891011121314151617343[[#This Row],[USA]]/100 +1)^4-1</f>
        <v/>
      </c>
    </row>
    <row r="228">
      <c r="A228" s="46" t="n">
        <v>37987</v>
      </c>
      <c r="B228" s="47">
        <f>VLOOKUP(A228,'Data qoq'!$B:$AT,MATCH($B$1,'Data qoq'!$B$1:$AT$1,0),FALSE)</f>
        <v/>
      </c>
      <c r="C228" s="47">
        <f>Table134567891011121314151617343[[#This Row],[USA]]-B227</f>
        <v/>
      </c>
      <c r="D228" s="59">
        <f>(Table134567891011121314151617343[[#This Row],[USA]]/100 +1)^4-1</f>
        <v/>
      </c>
    </row>
    <row r="229">
      <c r="A229" s="46" t="n">
        <v>38078</v>
      </c>
      <c r="B229" s="47">
        <f>VLOOKUP(A229,'Data qoq'!$B:$AT,MATCH($B$1,'Data qoq'!$B$1:$AT$1,0),FALSE)</f>
        <v/>
      </c>
      <c r="C229" s="47">
        <f>Table134567891011121314151617343[[#This Row],[USA]]-B228</f>
        <v/>
      </c>
      <c r="D229" s="59">
        <f>(Table134567891011121314151617343[[#This Row],[USA]]/100 +1)^4-1</f>
        <v/>
      </c>
    </row>
    <row r="230">
      <c r="A230" s="46" t="n">
        <v>38169</v>
      </c>
      <c r="B230" s="47">
        <f>VLOOKUP(A230,'Data qoq'!$B:$AT,MATCH($B$1,'Data qoq'!$B$1:$AT$1,0),FALSE)</f>
        <v/>
      </c>
      <c r="C230" s="47">
        <f>Table134567891011121314151617343[[#This Row],[USA]]-B229</f>
        <v/>
      </c>
      <c r="D230" s="59">
        <f>(Table134567891011121314151617343[[#This Row],[USA]]/100 +1)^4-1</f>
        <v/>
      </c>
    </row>
    <row r="231">
      <c r="A231" s="46" t="n">
        <v>38261</v>
      </c>
      <c r="B231" s="47">
        <f>VLOOKUP(A231,'Data qoq'!$B:$AT,MATCH($B$1,'Data qoq'!$B$1:$AT$1,0),FALSE)</f>
        <v/>
      </c>
      <c r="C231" s="47">
        <f>Table134567891011121314151617343[[#This Row],[USA]]-B230</f>
        <v/>
      </c>
      <c r="D231" s="59">
        <f>(Table134567891011121314151617343[[#This Row],[USA]]/100 +1)^4-1</f>
        <v/>
      </c>
    </row>
    <row r="232">
      <c r="A232" s="46" t="n">
        <v>38353</v>
      </c>
      <c r="B232" s="47">
        <f>VLOOKUP(A232,'Data qoq'!$B:$AT,MATCH($B$1,'Data qoq'!$B$1:$AT$1,0),FALSE)</f>
        <v/>
      </c>
      <c r="C232" s="47">
        <f>Table134567891011121314151617343[[#This Row],[USA]]-B231</f>
        <v/>
      </c>
      <c r="D232" s="59">
        <f>(Table134567891011121314151617343[[#This Row],[USA]]/100 +1)^4-1</f>
        <v/>
      </c>
    </row>
    <row r="233">
      <c r="A233" s="46" t="n">
        <v>38443</v>
      </c>
      <c r="B233" s="47">
        <f>VLOOKUP(A233,'Data qoq'!$B:$AT,MATCH($B$1,'Data qoq'!$B$1:$AT$1,0),FALSE)</f>
        <v/>
      </c>
      <c r="C233" s="47">
        <f>Table134567891011121314151617343[[#This Row],[USA]]-B232</f>
        <v/>
      </c>
      <c r="D233" s="59">
        <f>(Table134567891011121314151617343[[#This Row],[USA]]/100 +1)^4-1</f>
        <v/>
      </c>
    </row>
    <row r="234">
      <c r="A234" s="46" t="n">
        <v>38534</v>
      </c>
      <c r="B234" s="47">
        <f>VLOOKUP(A234,'Data qoq'!$B:$AT,MATCH($B$1,'Data qoq'!$B$1:$AT$1,0),FALSE)</f>
        <v/>
      </c>
      <c r="C234" s="47">
        <f>Table134567891011121314151617343[[#This Row],[USA]]-B233</f>
        <v/>
      </c>
      <c r="D234" s="59">
        <f>(Table134567891011121314151617343[[#This Row],[USA]]/100 +1)^4-1</f>
        <v/>
      </c>
    </row>
    <row r="235">
      <c r="A235" s="46" t="n">
        <v>38626</v>
      </c>
      <c r="B235" s="47">
        <f>VLOOKUP(A235,'Data qoq'!$B:$AT,MATCH($B$1,'Data qoq'!$B$1:$AT$1,0),FALSE)</f>
        <v/>
      </c>
      <c r="C235" s="47">
        <f>Table134567891011121314151617343[[#This Row],[USA]]-B234</f>
        <v/>
      </c>
      <c r="D235" s="59">
        <f>(Table134567891011121314151617343[[#This Row],[USA]]/100 +1)^4-1</f>
        <v/>
      </c>
    </row>
    <row r="236">
      <c r="A236" s="46" t="n">
        <v>38718</v>
      </c>
      <c r="B236" s="47">
        <f>VLOOKUP(A236,'Data qoq'!$B:$AT,MATCH($B$1,'Data qoq'!$B$1:$AT$1,0),FALSE)</f>
        <v/>
      </c>
      <c r="C236" s="47">
        <f>Table134567891011121314151617343[[#This Row],[USA]]-B235</f>
        <v/>
      </c>
      <c r="D236" s="59">
        <f>(Table134567891011121314151617343[[#This Row],[USA]]/100 +1)^4-1</f>
        <v/>
      </c>
    </row>
    <row r="237">
      <c r="A237" s="46" t="n">
        <v>38808</v>
      </c>
      <c r="B237" s="47">
        <f>VLOOKUP(A237,'Data qoq'!$B:$AT,MATCH($B$1,'Data qoq'!$B$1:$AT$1,0),FALSE)</f>
        <v/>
      </c>
      <c r="C237" s="47">
        <f>Table134567891011121314151617343[[#This Row],[USA]]-B236</f>
        <v/>
      </c>
      <c r="D237" s="59">
        <f>(Table134567891011121314151617343[[#This Row],[USA]]/100 +1)^4-1</f>
        <v/>
      </c>
    </row>
    <row r="238">
      <c r="A238" s="46" t="n">
        <v>38899</v>
      </c>
      <c r="B238" s="47">
        <f>VLOOKUP(A238,'Data qoq'!$B:$AT,MATCH($B$1,'Data qoq'!$B$1:$AT$1,0),FALSE)</f>
        <v/>
      </c>
      <c r="C238" s="47">
        <f>Table134567891011121314151617343[[#This Row],[USA]]-B237</f>
        <v/>
      </c>
      <c r="D238" s="59">
        <f>(Table134567891011121314151617343[[#This Row],[USA]]/100 +1)^4-1</f>
        <v/>
      </c>
    </row>
    <row r="239">
      <c r="A239" s="46" t="n">
        <v>38991</v>
      </c>
      <c r="B239" s="47">
        <f>VLOOKUP(A239,'Data qoq'!$B:$AT,MATCH($B$1,'Data qoq'!$B$1:$AT$1,0),FALSE)</f>
        <v/>
      </c>
      <c r="C239" s="47">
        <f>Table134567891011121314151617343[[#This Row],[USA]]-B238</f>
        <v/>
      </c>
      <c r="D239" s="59">
        <f>(Table134567891011121314151617343[[#This Row],[USA]]/100 +1)^4-1</f>
        <v/>
      </c>
    </row>
    <row r="240">
      <c r="A240" s="46" t="n">
        <v>39083</v>
      </c>
      <c r="B240" s="47">
        <f>VLOOKUP(A240,'Data qoq'!$B:$AT,MATCH($B$1,'Data qoq'!$B$1:$AT$1,0),FALSE)</f>
        <v/>
      </c>
      <c r="C240" s="47">
        <f>Table134567891011121314151617343[[#This Row],[USA]]-B239</f>
        <v/>
      </c>
      <c r="D240" s="59">
        <f>(Table134567891011121314151617343[[#This Row],[USA]]/100 +1)^4-1</f>
        <v/>
      </c>
    </row>
    <row r="241">
      <c r="A241" s="46" t="n">
        <v>39173</v>
      </c>
      <c r="B241" s="47">
        <f>VLOOKUP(A241,'Data qoq'!$B:$AT,MATCH($B$1,'Data qoq'!$B$1:$AT$1,0),FALSE)</f>
        <v/>
      </c>
      <c r="C241" s="47">
        <f>Table134567891011121314151617343[[#This Row],[USA]]-B240</f>
        <v/>
      </c>
      <c r="D241" s="59">
        <f>(Table134567891011121314151617343[[#This Row],[USA]]/100 +1)^4-1</f>
        <v/>
      </c>
    </row>
    <row r="242">
      <c r="A242" s="46" t="n">
        <v>39264</v>
      </c>
      <c r="B242" s="47">
        <f>VLOOKUP(A242,'Data qoq'!$B:$AT,MATCH($B$1,'Data qoq'!$B$1:$AT$1,0),FALSE)</f>
        <v/>
      </c>
      <c r="C242" s="47">
        <f>Table134567891011121314151617343[[#This Row],[USA]]-B241</f>
        <v/>
      </c>
      <c r="D242" s="59">
        <f>(Table134567891011121314151617343[[#This Row],[USA]]/100 +1)^4-1</f>
        <v/>
      </c>
    </row>
    <row r="243">
      <c r="A243" s="46" t="n">
        <v>39356</v>
      </c>
      <c r="B243" s="47">
        <f>VLOOKUP(A243,'Data qoq'!$B:$AT,MATCH($B$1,'Data qoq'!$B$1:$AT$1,0),FALSE)</f>
        <v/>
      </c>
      <c r="C243" s="47">
        <f>Table134567891011121314151617343[[#This Row],[USA]]-B242</f>
        <v/>
      </c>
      <c r="D243" s="59">
        <f>(Table134567891011121314151617343[[#This Row],[USA]]/100 +1)^4-1</f>
        <v/>
      </c>
    </row>
    <row r="244">
      <c r="A244" s="46" t="n">
        <v>39448</v>
      </c>
      <c r="B244" s="47">
        <f>VLOOKUP(A244,'Data qoq'!$B:$AT,MATCH($B$1,'Data qoq'!$B$1:$AT$1,0),FALSE)</f>
        <v/>
      </c>
      <c r="C244" s="47">
        <f>Table134567891011121314151617343[[#This Row],[USA]]-B243</f>
        <v/>
      </c>
      <c r="D244" s="59">
        <f>(Table134567891011121314151617343[[#This Row],[USA]]/100 +1)^4-1</f>
        <v/>
      </c>
    </row>
    <row r="245">
      <c r="A245" s="46" t="n">
        <v>39539</v>
      </c>
      <c r="B245" s="47">
        <f>VLOOKUP(A245,'Data qoq'!$B:$AT,MATCH($B$1,'Data qoq'!$B$1:$AT$1,0),FALSE)</f>
        <v/>
      </c>
      <c r="C245" s="47">
        <f>Table134567891011121314151617343[[#This Row],[USA]]-B244</f>
        <v/>
      </c>
      <c r="D245" s="59">
        <f>(Table134567891011121314151617343[[#This Row],[USA]]/100 +1)^4-1</f>
        <v/>
      </c>
    </row>
    <row r="246">
      <c r="A246" s="46" t="n">
        <v>39630</v>
      </c>
      <c r="B246" s="47">
        <f>VLOOKUP(A246,'Data qoq'!$B:$AT,MATCH($B$1,'Data qoq'!$B$1:$AT$1,0),FALSE)</f>
        <v/>
      </c>
      <c r="C246" s="47">
        <f>Table134567891011121314151617343[[#This Row],[USA]]-B245</f>
        <v/>
      </c>
      <c r="D246" s="59">
        <f>(Table134567891011121314151617343[[#This Row],[USA]]/100 +1)^4-1</f>
        <v/>
      </c>
    </row>
    <row r="247">
      <c r="A247" s="46" t="n">
        <v>39722</v>
      </c>
      <c r="B247" s="47">
        <f>VLOOKUP(A247,'Data qoq'!$B:$AT,MATCH($B$1,'Data qoq'!$B$1:$AT$1,0),FALSE)</f>
        <v/>
      </c>
      <c r="C247" s="47">
        <f>Table134567891011121314151617343[[#This Row],[USA]]-B246</f>
        <v/>
      </c>
      <c r="D247" s="59">
        <f>(Table134567891011121314151617343[[#This Row],[USA]]/100 +1)^4-1</f>
        <v/>
      </c>
    </row>
    <row r="248">
      <c r="A248" s="46" t="n">
        <v>39814</v>
      </c>
      <c r="B248" s="47">
        <f>VLOOKUP(A248,'Data qoq'!$B:$AT,MATCH($B$1,'Data qoq'!$B$1:$AT$1,0),FALSE)</f>
        <v/>
      </c>
      <c r="C248" s="47">
        <f>Table134567891011121314151617343[[#This Row],[USA]]-B247</f>
        <v/>
      </c>
      <c r="D248" s="59">
        <f>(Table134567891011121314151617343[[#This Row],[USA]]/100 +1)^4-1</f>
        <v/>
      </c>
    </row>
    <row r="249">
      <c r="A249" s="46" t="n">
        <v>39904</v>
      </c>
      <c r="B249" s="47">
        <f>VLOOKUP(A249,'Data qoq'!$B:$AT,MATCH($B$1,'Data qoq'!$B$1:$AT$1,0),FALSE)</f>
        <v/>
      </c>
      <c r="C249" s="47">
        <f>Table134567891011121314151617343[[#This Row],[USA]]-B248</f>
        <v/>
      </c>
      <c r="D249" s="59">
        <f>(Table134567891011121314151617343[[#This Row],[USA]]/100 +1)^4-1</f>
        <v/>
      </c>
    </row>
    <row r="250">
      <c r="A250" s="46" t="n">
        <v>39995</v>
      </c>
      <c r="B250" s="47">
        <f>VLOOKUP(A250,'Data qoq'!$B:$AT,MATCH($B$1,'Data qoq'!$B$1:$AT$1,0),FALSE)</f>
        <v/>
      </c>
      <c r="C250" s="47">
        <f>Table134567891011121314151617343[[#This Row],[USA]]-B249</f>
        <v/>
      </c>
      <c r="D250" s="59">
        <f>(Table134567891011121314151617343[[#This Row],[USA]]/100 +1)^4-1</f>
        <v/>
      </c>
    </row>
    <row r="251">
      <c r="A251" s="46" t="n">
        <v>40087</v>
      </c>
      <c r="B251" s="47">
        <f>VLOOKUP(A251,'Data qoq'!$B:$AT,MATCH($B$1,'Data qoq'!$B$1:$AT$1,0),FALSE)</f>
        <v/>
      </c>
      <c r="C251" s="47">
        <f>Table134567891011121314151617343[[#This Row],[USA]]-B250</f>
        <v/>
      </c>
      <c r="D251" s="59">
        <f>(Table134567891011121314151617343[[#This Row],[USA]]/100 +1)^4-1</f>
        <v/>
      </c>
    </row>
    <row r="252">
      <c r="A252" s="46" t="n">
        <v>40179</v>
      </c>
      <c r="B252" s="47">
        <f>VLOOKUP(A252,'Data qoq'!$B:$AT,MATCH($B$1,'Data qoq'!$B$1:$AT$1,0),FALSE)</f>
        <v/>
      </c>
      <c r="C252" s="47">
        <f>Table134567891011121314151617343[[#This Row],[USA]]-B251</f>
        <v/>
      </c>
      <c r="D252" s="59">
        <f>(Table134567891011121314151617343[[#This Row],[USA]]/100 +1)^4-1</f>
        <v/>
      </c>
    </row>
    <row r="253">
      <c r="A253" s="46" t="n">
        <v>40269</v>
      </c>
      <c r="B253" s="47">
        <f>VLOOKUP(A253,'Data qoq'!$B:$AT,MATCH($B$1,'Data qoq'!$B$1:$AT$1,0),FALSE)</f>
        <v/>
      </c>
      <c r="C253" s="47">
        <f>Table134567891011121314151617343[[#This Row],[USA]]-B252</f>
        <v/>
      </c>
      <c r="D253" s="59">
        <f>(Table134567891011121314151617343[[#This Row],[USA]]/100 +1)^4-1</f>
        <v/>
      </c>
    </row>
    <row r="254">
      <c r="A254" s="46" t="n">
        <v>40360</v>
      </c>
      <c r="B254" s="47">
        <f>VLOOKUP(A254,'Data qoq'!$B:$AT,MATCH($B$1,'Data qoq'!$B$1:$AT$1,0),FALSE)</f>
        <v/>
      </c>
      <c r="C254" s="47">
        <f>Table134567891011121314151617343[[#This Row],[USA]]-B253</f>
        <v/>
      </c>
      <c r="D254" s="59">
        <f>(Table134567891011121314151617343[[#This Row],[USA]]/100 +1)^4-1</f>
        <v/>
      </c>
    </row>
    <row r="255">
      <c r="A255" s="46" t="n">
        <v>40452</v>
      </c>
      <c r="B255" s="47">
        <f>VLOOKUP(A255,'Data qoq'!$B:$AT,MATCH($B$1,'Data qoq'!$B$1:$AT$1,0),FALSE)</f>
        <v/>
      </c>
      <c r="C255" s="47">
        <f>Table134567891011121314151617343[[#This Row],[USA]]-B254</f>
        <v/>
      </c>
      <c r="D255" s="59">
        <f>(Table134567891011121314151617343[[#This Row],[USA]]/100 +1)^4-1</f>
        <v/>
      </c>
    </row>
    <row r="256">
      <c r="A256" s="46" t="n">
        <v>40544</v>
      </c>
      <c r="B256" s="47">
        <f>VLOOKUP(A256,'Data qoq'!$B:$AT,MATCH($B$1,'Data qoq'!$B$1:$AT$1,0),FALSE)</f>
        <v/>
      </c>
      <c r="C256" s="47">
        <f>Table134567891011121314151617343[[#This Row],[USA]]-B255</f>
        <v/>
      </c>
      <c r="D256" s="59">
        <f>(Table134567891011121314151617343[[#This Row],[USA]]/100 +1)^4-1</f>
        <v/>
      </c>
    </row>
    <row r="257">
      <c r="A257" s="46" t="n">
        <v>40634</v>
      </c>
      <c r="B257" s="47">
        <f>VLOOKUP(A257,'Data qoq'!$B:$AT,MATCH($B$1,'Data qoq'!$B$1:$AT$1,0),FALSE)</f>
        <v/>
      </c>
      <c r="C257" s="47">
        <f>Table134567891011121314151617343[[#This Row],[USA]]-B256</f>
        <v/>
      </c>
      <c r="D257" s="59">
        <f>(Table134567891011121314151617343[[#This Row],[USA]]/100 +1)^4-1</f>
        <v/>
      </c>
    </row>
    <row r="258">
      <c r="A258" s="46" t="n">
        <v>40725</v>
      </c>
      <c r="B258" s="47">
        <f>VLOOKUP(A258,'Data qoq'!$B:$AT,MATCH($B$1,'Data qoq'!$B$1:$AT$1,0),FALSE)</f>
        <v/>
      </c>
      <c r="C258" s="47">
        <f>Table134567891011121314151617343[[#This Row],[USA]]-B257</f>
        <v/>
      </c>
      <c r="D258" s="59">
        <f>(Table134567891011121314151617343[[#This Row],[USA]]/100 +1)^4-1</f>
        <v/>
      </c>
    </row>
    <row r="259">
      <c r="A259" s="46" t="n">
        <v>40817</v>
      </c>
      <c r="B259" s="47">
        <f>VLOOKUP(A259,'Data qoq'!$B:$AT,MATCH($B$1,'Data qoq'!$B$1:$AT$1,0),FALSE)</f>
        <v/>
      </c>
      <c r="C259" s="47">
        <f>Table134567891011121314151617343[[#This Row],[USA]]-B258</f>
        <v/>
      </c>
      <c r="D259" s="59">
        <f>(Table134567891011121314151617343[[#This Row],[USA]]/100 +1)^4-1</f>
        <v/>
      </c>
    </row>
    <row r="260">
      <c r="A260" s="46" t="n">
        <v>40909</v>
      </c>
      <c r="B260" s="47">
        <f>VLOOKUP(A260,'Data qoq'!$B:$AT,MATCH($B$1,'Data qoq'!$B$1:$AT$1,0),FALSE)</f>
        <v/>
      </c>
      <c r="C260" s="47">
        <f>Table134567891011121314151617343[[#This Row],[USA]]-B259</f>
        <v/>
      </c>
      <c r="D260" s="59">
        <f>(Table134567891011121314151617343[[#This Row],[USA]]/100 +1)^4-1</f>
        <v/>
      </c>
    </row>
    <row r="261">
      <c r="A261" s="46" t="n">
        <v>41000</v>
      </c>
      <c r="B261" s="47">
        <f>VLOOKUP(A261,'Data qoq'!$B:$AT,MATCH($B$1,'Data qoq'!$B$1:$AT$1,0),FALSE)</f>
        <v/>
      </c>
      <c r="C261" s="47">
        <f>Table134567891011121314151617343[[#This Row],[USA]]-B260</f>
        <v/>
      </c>
      <c r="D261" s="59">
        <f>(Table134567891011121314151617343[[#This Row],[USA]]/100 +1)^4-1</f>
        <v/>
      </c>
    </row>
    <row r="262">
      <c r="A262" s="46" t="n">
        <v>41091</v>
      </c>
      <c r="B262" s="47">
        <f>VLOOKUP(A262,'Data qoq'!$B:$AT,MATCH($B$1,'Data qoq'!$B$1:$AT$1,0),FALSE)</f>
        <v/>
      </c>
      <c r="C262" s="47">
        <f>Table134567891011121314151617343[[#This Row],[USA]]-B261</f>
        <v/>
      </c>
      <c r="D262" s="59">
        <f>(Table134567891011121314151617343[[#This Row],[USA]]/100 +1)^4-1</f>
        <v/>
      </c>
    </row>
    <row r="263">
      <c r="A263" s="46" t="n">
        <v>41183</v>
      </c>
      <c r="B263" s="47">
        <f>VLOOKUP(A263,'Data qoq'!$B:$AT,MATCH($B$1,'Data qoq'!$B$1:$AT$1,0),FALSE)</f>
        <v/>
      </c>
      <c r="C263" s="47">
        <f>Table134567891011121314151617343[[#This Row],[USA]]-B262</f>
        <v/>
      </c>
      <c r="D263" s="59">
        <f>(Table134567891011121314151617343[[#This Row],[USA]]/100 +1)^4-1</f>
        <v/>
      </c>
    </row>
    <row r="264">
      <c r="A264" s="46" t="n">
        <v>41275</v>
      </c>
      <c r="B264" s="47">
        <f>VLOOKUP(A264,'Data qoq'!$B:$AT,MATCH($B$1,'Data qoq'!$B$1:$AT$1,0),FALSE)</f>
        <v/>
      </c>
      <c r="C264" s="47">
        <f>Table134567891011121314151617343[[#This Row],[USA]]-B263</f>
        <v/>
      </c>
      <c r="D264" s="59">
        <f>(Table134567891011121314151617343[[#This Row],[USA]]/100 +1)^4-1</f>
        <v/>
      </c>
    </row>
    <row r="265">
      <c r="A265" s="46" t="n">
        <v>41365</v>
      </c>
      <c r="B265" s="47">
        <f>VLOOKUP(A265,'Data qoq'!$B:$AT,MATCH($B$1,'Data qoq'!$B$1:$AT$1,0),FALSE)</f>
        <v/>
      </c>
      <c r="C265" s="47">
        <f>Table134567891011121314151617343[[#This Row],[USA]]-B264</f>
        <v/>
      </c>
      <c r="D265" s="59">
        <f>(Table134567891011121314151617343[[#This Row],[USA]]/100 +1)^4-1</f>
        <v/>
      </c>
    </row>
    <row r="266">
      <c r="A266" s="46" t="n">
        <v>41456</v>
      </c>
      <c r="B266" s="47">
        <f>VLOOKUP(A266,'Data qoq'!$B:$AT,MATCH($B$1,'Data qoq'!$B$1:$AT$1,0),FALSE)</f>
        <v/>
      </c>
      <c r="C266" s="47">
        <f>Table134567891011121314151617343[[#This Row],[USA]]-B265</f>
        <v/>
      </c>
      <c r="D266" s="59">
        <f>(Table134567891011121314151617343[[#This Row],[USA]]/100 +1)^4-1</f>
        <v/>
      </c>
    </row>
    <row r="267">
      <c r="A267" s="46" t="n">
        <v>41548</v>
      </c>
      <c r="B267" s="47">
        <f>VLOOKUP(A267,'Data qoq'!$B:$AT,MATCH($B$1,'Data qoq'!$B$1:$AT$1,0),FALSE)</f>
        <v/>
      </c>
      <c r="C267" s="47">
        <f>Table134567891011121314151617343[[#This Row],[USA]]-B266</f>
        <v/>
      </c>
      <c r="D267" s="59">
        <f>(Table134567891011121314151617343[[#This Row],[USA]]/100 +1)^4-1</f>
        <v/>
      </c>
    </row>
    <row r="268">
      <c r="A268" s="46" t="n">
        <v>41640</v>
      </c>
      <c r="B268" s="47">
        <f>VLOOKUP(A268,'Data qoq'!$B:$AT,MATCH($B$1,'Data qoq'!$B$1:$AT$1,0),FALSE)</f>
        <v/>
      </c>
      <c r="C268" s="47">
        <f>Table134567891011121314151617343[[#This Row],[USA]]-B267</f>
        <v/>
      </c>
      <c r="D268" s="59">
        <f>(Table134567891011121314151617343[[#This Row],[USA]]/100 +1)^4-1</f>
        <v/>
      </c>
    </row>
    <row r="269">
      <c r="A269" s="46" t="n">
        <v>41730</v>
      </c>
      <c r="B269" s="47">
        <f>VLOOKUP(A269,'Data qoq'!$B:$AT,MATCH($B$1,'Data qoq'!$B$1:$AT$1,0),FALSE)</f>
        <v/>
      </c>
      <c r="C269" s="47">
        <f>Table134567891011121314151617343[[#This Row],[USA]]-B268</f>
        <v/>
      </c>
      <c r="D269" s="59">
        <f>(Table134567891011121314151617343[[#This Row],[USA]]/100 +1)^4-1</f>
        <v/>
      </c>
    </row>
    <row r="270">
      <c r="A270" s="46" t="n">
        <v>41821</v>
      </c>
      <c r="B270" s="47">
        <f>VLOOKUP(A270,'Data qoq'!$B:$AT,MATCH($B$1,'Data qoq'!$B$1:$AT$1,0),FALSE)</f>
        <v/>
      </c>
      <c r="C270" s="47">
        <f>Table134567891011121314151617343[[#This Row],[USA]]-B269</f>
        <v/>
      </c>
      <c r="D270" s="59">
        <f>(Table134567891011121314151617343[[#This Row],[USA]]/100 +1)^4-1</f>
        <v/>
      </c>
    </row>
    <row r="271">
      <c r="A271" s="46" t="n">
        <v>41913</v>
      </c>
      <c r="B271" s="47">
        <f>VLOOKUP(A271,'Data qoq'!$B:$AT,MATCH($B$1,'Data qoq'!$B$1:$AT$1,0),FALSE)</f>
        <v/>
      </c>
      <c r="C271" s="47">
        <f>Table134567891011121314151617343[[#This Row],[USA]]-B270</f>
        <v/>
      </c>
      <c r="D271" s="59">
        <f>(Table134567891011121314151617343[[#This Row],[USA]]/100 +1)^4-1</f>
        <v/>
      </c>
    </row>
    <row r="272">
      <c r="A272" s="46" t="n">
        <v>42005</v>
      </c>
      <c r="B272" s="47">
        <f>VLOOKUP(A272,'Data qoq'!$B:$AT,MATCH($B$1,'Data qoq'!$B$1:$AT$1,0),FALSE)</f>
        <v/>
      </c>
      <c r="C272" s="47">
        <f>Table134567891011121314151617343[[#This Row],[USA]]-B271</f>
        <v/>
      </c>
      <c r="D272" s="59">
        <f>(Table134567891011121314151617343[[#This Row],[USA]]/100 +1)^4-1</f>
        <v/>
      </c>
    </row>
    <row r="273">
      <c r="A273" s="46" t="n">
        <v>42095</v>
      </c>
      <c r="B273" s="47">
        <f>VLOOKUP(A273,'Data qoq'!$B:$AT,MATCH($B$1,'Data qoq'!$B$1:$AT$1,0),FALSE)</f>
        <v/>
      </c>
      <c r="C273" s="47">
        <f>Table134567891011121314151617343[[#This Row],[USA]]-B272</f>
        <v/>
      </c>
      <c r="D273" s="59">
        <f>(Table134567891011121314151617343[[#This Row],[USA]]/100 +1)^4-1</f>
        <v/>
      </c>
    </row>
    <row r="274">
      <c r="A274" s="46" t="n">
        <v>42186</v>
      </c>
      <c r="B274" s="47">
        <f>VLOOKUP(A274,'Data qoq'!$B:$AT,MATCH($B$1,'Data qoq'!$B$1:$AT$1,0),FALSE)</f>
        <v/>
      </c>
      <c r="C274" s="47">
        <f>Table134567891011121314151617343[[#This Row],[USA]]-B273</f>
        <v/>
      </c>
      <c r="D274" s="59">
        <f>(Table134567891011121314151617343[[#This Row],[USA]]/100 +1)^4-1</f>
        <v/>
      </c>
    </row>
    <row r="275">
      <c r="A275" s="46" t="n">
        <v>42278</v>
      </c>
      <c r="B275" s="47">
        <f>VLOOKUP(A275,'Data qoq'!$B:$AT,MATCH($B$1,'Data qoq'!$B$1:$AT$1,0),FALSE)</f>
        <v/>
      </c>
      <c r="C275" s="47">
        <f>Table134567891011121314151617343[[#This Row],[USA]]-B274</f>
        <v/>
      </c>
      <c r="D275" s="59">
        <f>(Table134567891011121314151617343[[#This Row],[USA]]/100 +1)^4-1</f>
        <v/>
      </c>
    </row>
    <row r="276">
      <c r="A276" s="46" t="n">
        <v>42370</v>
      </c>
      <c r="B276" s="47">
        <f>VLOOKUP(A276,'Data qoq'!$B:$AT,MATCH($B$1,'Data qoq'!$B$1:$AT$1,0),FALSE)</f>
        <v/>
      </c>
      <c r="C276" s="47">
        <f>Table134567891011121314151617343[[#This Row],[USA]]-B275</f>
        <v/>
      </c>
      <c r="D276" s="59">
        <f>(Table134567891011121314151617343[[#This Row],[USA]]/100 +1)^4-1</f>
        <v/>
      </c>
    </row>
    <row r="277">
      <c r="A277" s="46" t="n">
        <v>42461</v>
      </c>
      <c r="B277" s="47">
        <f>VLOOKUP(A277,'Data qoq'!$B:$AT,MATCH($B$1,'Data qoq'!$B$1:$AT$1,0),FALSE)</f>
        <v/>
      </c>
      <c r="C277" s="47">
        <f>Table134567891011121314151617343[[#This Row],[USA]]-B276</f>
        <v/>
      </c>
      <c r="D277" s="59">
        <f>(Table134567891011121314151617343[[#This Row],[USA]]/100 +1)^4-1</f>
        <v/>
      </c>
    </row>
    <row r="278">
      <c r="A278" s="46" t="n">
        <v>42552</v>
      </c>
      <c r="B278" s="47">
        <f>VLOOKUP(A278,'Data qoq'!$B:$AT,MATCH($B$1,'Data qoq'!$B$1:$AT$1,0),FALSE)</f>
        <v/>
      </c>
      <c r="C278" s="47">
        <f>Table134567891011121314151617343[[#This Row],[USA]]-B277</f>
        <v/>
      </c>
      <c r="D278" s="59">
        <f>(Table134567891011121314151617343[[#This Row],[USA]]/100 +1)^4-1</f>
        <v/>
      </c>
    </row>
    <row r="279">
      <c r="A279" s="46" t="n">
        <v>42644</v>
      </c>
      <c r="B279" s="47">
        <f>VLOOKUP(A279,'Data qoq'!$B:$AT,MATCH($B$1,'Data qoq'!$B$1:$AT$1,0),FALSE)</f>
        <v/>
      </c>
      <c r="C279" s="47">
        <f>Table134567891011121314151617343[[#This Row],[USA]]-B278</f>
        <v/>
      </c>
      <c r="D279" s="59">
        <f>(Table134567891011121314151617343[[#This Row],[USA]]/100 +1)^4-1</f>
        <v/>
      </c>
    </row>
    <row r="280">
      <c r="A280" s="46" t="n">
        <v>42736</v>
      </c>
      <c r="B280" s="47">
        <f>VLOOKUP(A280,'Data qoq'!$B:$AT,MATCH($B$1,'Data qoq'!$B$1:$AT$1,0),FALSE)</f>
        <v/>
      </c>
      <c r="C280" s="47">
        <f>Table134567891011121314151617343[[#This Row],[USA]]-B279</f>
        <v/>
      </c>
      <c r="D280" s="59">
        <f>(Table134567891011121314151617343[[#This Row],[USA]]/100 +1)^4-1</f>
        <v/>
      </c>
    </row>
    <row r="281">
      <c r="A281" s="46" t="n">
        <v>42826</v>
      </c>
      <c r="B281" s="47">
        <f>VLOOKUP(A281,'Data qoq'!$B:$AT,MATCH($B$1,'Data qoq'!$B$1:$AT$1,0),FALSE)</f>
        <v/>
      </c>
      <c r="C281" s="47">
        <f>Table134567891011121314151617343[[#This Row],[USA]]-B280</f>
        <v/>
      </c>
      <c r="D281" s="59">
        <f>(Table134567891011121314151617343[[#This Row],[USA]]/100 +1)^4-1</f>
        <v/>
      </c>
    </row>
    <row r="282">
      <c r="A282" s="46" t="n">
        <v>42917</v>
      </c>
      <c r="B282" s="47">
        <f>VLOOKUP(A282,'Data qoq'!$B:$AT,MATCH($B$1,'Data qoq'!$B$1:$AT$1,0),FALSE)</f>
        <v/>
      </c>
      <c r="C282" s="47">
        <f>Table134567891011121314151617343[[#This Row],[USA]]-B281</f>
        <v/>
      </c>
      <c r="D282" s="59">
        <f>(Table134567891011121314151617343[[#This Row],[USA]]/100 +1)^4-1</f>
        <v/>
      </c>
    </row>
    <row r="283">
      <c r="A283" s="46" t="n">
        <v>43009</v>
      </c>
      <c r="B283" s="47">
        <f>VLOOKUP(A283,'Data qoq'!$B:$AT,MATCH($B$1,'Data qoq'!$B$1:$AT$1,0),FALSE)</f>
        <v/>
      </c>
      <c r="C283" s="47">
        <f>Table134567891011121314151617343[[#This Row],[USA]]-B282</f>
        <v/>
      </c>
      <c r="D283" s="59">
        <f>(Table134567891011121314151617343[[#This Row],[USA]]/100 +1)^4-1</f>
        <v/>
      </c>
    </row>
    <row r="284">
      <c r="A284" s="46" t="n">
        <v>43101</v>
      </c>
      <c r="B284" s="47">
        <f>VLOOKUP(A284,'Data qoq'!$B:$AT,MATCH($B$1,'Data qoq'!$B$1:$AT$1,0),FALSE)</f>
        <v/>
      </c>
      <c r="C284" s="47">
        <f>Table134567891011121314151617343[[#This Row],[USA]]-B283</f>
        <v/>
      </c>
      <c r="D284" s="59">
        <f>(Table134567891011121314151617343[[#This Row],[USA]]/100 +1)^4-1</f>
        <v/>
      </c>
    </row>
    <row r="285">
      <c r="A285" s="46" t="n">
        <v>43191</v>
      </c>
      <c r="B285" s="47">
        <f>VLOOKUP(A285,'Data qoq'!$B:$AT,MATCH($B$1,'Data qoq'!$B$1:$AT$1,0),FALSE)</f>
        <v/>
      </c>
      <c r="C285" s="47">
        <f>Table134567891011121314151617343[[#This Row],[USA]]-B284</f>
        <v/>
      </c>
      <c r="D285" s="59">
        <f>(Table134567891011121314151617343[[#This Row],[USA]]/100 +1)^4-1</f>
        <v/>
      </c>
    </row>
    <row r="286">
      <c r="A286" s="46" t="n">
        <v>43282</v>
      </c>
      <c r="B286" s="47">
        <f>VLOOKUP(A286,'Data qoq'!$B:$AT,MATCH($B$1,'Data qoq'!$B$1:$AT$1,0),FALSE)</f>
        <v/>
      </c>
      <c r="C286" s="47">
        <f>Table134567891011121314151617343[[#This Row],[USA]]-B285</f>
        <v/>
      </c>
      <c r="D286" s="59">
        <f>(Table134567891011121314151617343[[#This Row],[USA]]/100 +1)^4-1</f>
        <v/>
      </c>
    </row>
    <row r="287">
      <c r="A287" s="46" t="n">
        <v>43374</v>
      </c>
      <c r="B287" s="47">
        <f>VLOOKUP(A287,'Data qoq'!$B:$AT,MATCH($B$1,'Data qoq'!$B$1:$AT$1,0),FALSE)</f>
        <v/>
      </c>
      <c r="C287" s="47">
        <f>Table134567891011121314151617343[[#This Row],[USA]]-B286</f>
        <v/>
      </c>
      <c r="D287" s="59">
        <f>(Table134567891011121314151617343[[#This Row],[USA]]/100 +1)^4-1</f>
        <v/>
      </c>
    </row>
    <row r="288">
      <c r="A288" s="46" t="n">
        <v>43466</v>
      </c>
      <c r="B288" s="47">
        <f>VLOOKUP(A288,'Data qoq'!$B:$AT,MATCH($B$1,'Data qoq'!$B$1:$AT$1,0),FALSE)</f>
        <v/>
      </c>
      <c r="C288" s="47">
        <f>Table134567891011121314151617343[[#This Row],[USA]]-B287</f>
        <v/>
      </c>
      <c r="D288" s="59">
        <f>(Table134567891011121314151617343[[#This Row],[USA]]/100 +1)^4-1</f>
        <v/>
      </c>
    </row>
    <row r="289">
      <c r="A289" s="46" t="n">
        <v>43556</v>
      </c>
      <c r="B289" s="47">
        <f>VLOOKUP(A289,'Data qoq'!$B:$AT,MATCH($B$1,'Data qoq'!$B$1:$AT$1,0),FALSE)</f>
        <v/>
      </c>
      <c r="C289" s="47">
        <f>Table134567891011121314151617343[[#This Row],[USA]]-B288</f>
        <v/>
      </c>
      <c r="D289" s="59">
        <f>(Table134567891011121314151617343[[#This Row],[USA]]/100 +1)^4-1</f>
        <v/>
      </c>
    </row>
    <row r="290">
      <c r="A290" s="46" t="n">
        <v>43647</v>
      </c>
      <c r="B290" s="47">
        <f>VLOOKUP(A290,'Data qoq'!$B:$AT,MATCH($B$1,'Data qoq'!$B$1:$AT$1,0),FALSE)</f>
        <v/>
      </c>
      <c r="C290" s="47">
        <f>Table134567891011121314151617343[[#This Row],[USA]]-B289</f>
        <v/>
      </c>
      <c r="D290" s="59">
        <f>(Table134567891011121314151617343[[#This Row],[USA]]/100 +1)^4-1</f>
        <v/>
      </c>
    </row>
    <row r="291" customFormat="1" s="93">
      <c r="A291" s="46" t="n">
        <v>43739</v>
      </c>
      <c r="B291" s="47">
        <f>VLOOKUP(A291,'Data qoq'!$B:$AT,MATCH($B$1,'Data qoq'!$B$1:$AT$1,0),FALSE)</f>
        <v/>
      </c>
      <c r="C291" s="47">
        <f>Table134567891011121314151617343[[#This Row],[USA]]-B290</f>
        <v/>
      </c>
      <c r="D291" s="59">
        <f>(Table134567891011121314151617343[[#This Row],[USA]]/100 +1)^4-1</f>
        <v/>
      </c>
    </row>
    <row r="292" customFormat="1" s="93">
      <c r="A292" s="46" t="n">
        <v>43831</v>
      </c>
      <c r="B292" s="47">
        <f>VLOOKUP(A292,'Data qoq'!$B:$AT,MATCH($B$1,'Data qoq'!$B$1:$AT$1,0),FALSE)</f>
        <v/>
      </c>
      <c r="C292" s="47">
        <f>Table134567891011121314151617343[[#This Row],[USA]]-B291</f>
        <v/>
      </c>
      <c r="D292" s="59">
        <f>(Table134567891011121314151617343[[#This Row],[USA]]/100 +1)^4-1</f>
        <v/>
      </c>
    </row>
    <row r="293" customFormat="1" s="93">
      <c r="A293" s="46" t="n">
        <v>43922</v>
      </c>
      <c r="B293" s="47">
        <f>VLOOKUP(A293,'Data qoq'!$B:$AT,MATCH($B$1,'Data qoq'!$B$1:$AT$1,0),FALSE)</f>
        <v/>
      </c>
      <c r="C293" s="47">
        <f>Table134567891011121314151617343[[#This Row],[USA]]-B292</f>
        <v/>
      </c>
      <c r="D293" s="59">
        <f>(Table134567891011121314151617343[[#This Row],[USA]]/100 +1)^4-1</f>
        <v/>
      </c>
    </row>
    <row r="294" customFormat="1" s="93">
      <c r="A294" s="46" t="n">
        <v>44013</v>
      </c>
      <c r="B294" s="47">
        <f>VLOOKUP(A294,'Data qoq'!$B:$AT,MATCH($B$1,'Data qoq'!$B$1:$AT$1,0),FALSE)</f>
        <v/>
      </c>
      <c r="C294" s="47">
        <f>Table134567891011121314151617343[[#This Row],[USA]]-B293</f>
        <v/>
      </c>
      <c r="D294" s="59">
        <f>(Table134567891011121314151617343[[#This Row],[USA]]/100 +1)^4-1</f>
        <v/>
      </c>
    </row>
    <row r="295" customFormat="1" s="93">
      <c r="A295" s="46" t="n">
        <v>44105</v>
      </c>
      <c r="B295" s="47">
        <f>VLOOKUP(A295,'Data qoq'!$B:$AT,MATCH($B$1,'Data qoq'!$B$1:$AT$1,0),FALSE)</f>
        <v/>
      </c>
      <c r="C295" s="47">
        <f>Table134567891011121314151617343[[#This Row],[USA]]-B294</f>
        <v/>
      </c>
      <c r="D295" s="59">
        <f>(Table134567891011121314151617343[[#This Row],[USA]]/100 +1)^4-1</f>
        <v/>
      </c>
    </row>
    <row r="296" customFormat="1" s="93">
      <c r="A296" s="46" t="n">
        <v>44197</v>
      </c>
      <c r="B296" s="47">
        <f>VLOOKUP(A296,'Data qoq'!$B:$AT,MATCH($B$1,'Data qoq'!$B$1:$AT$1,0),FALSE)</f>
        <v/>
      </c>
      <c r="C296" s="47">
        <f>Table134567891011121314151617343[[#This Row],[USA]]-B295</f>
        <v/>
      </c>
      <c r="D296" s="59">
        <f>(Table134567891011121314151617343[[#This Row],[USA]]/100 +1)^4-1</f>
        <v/>
      </c>
    </row>
    <row r="297" customFormat="1" s="93">
      <c r="A297" s="46" t="n">
        <v>44287</v>
      </c>
      <c r="B297" s="47">
        <f>VLOOKUP(A297,'Data qoq'!$B:$AT,MATCH($B$1,'Data qoq'!$B$1:$AT$1,0),FALSE)</f>
        <v/>
      </c>
      <c r="C297" s="47">
        <f>Table134567891011121314151617343[[#This Row],[USA]]-B296</f>
        <v/>
      </c>
      <c r="D297" s="59">
        <f>(Table134567891011121314151617343[[#This Row],[USA]]/100 +1)^4-1</f>
        <v/>
      </c>
    </row>
    <row r="298" customFormat="1" s="93">
      <c r="A298" s="46" t="n">
        <v>44378</v>
      </c>
      <c r="B298" s="47">
        <f>VLOOKUP(A298,'Data qoq'!$B:$AT,MATCH($B$1,'Data qoq'!$B$1:$AT$1,0),FALSE)</f>
        <v/>
      </c>
      <c r="C298" s="47">
        <f>Table134567891011121314151617343[[#This Row],[USA]]-B297</f>
        <v/>
      </c>
      <c r="D298" s="59">
        <f>(Table134567891011121314151617343[[#This Row],[USA]]/100 +1)^4-1</f>
        <v/>
      </c>
    </row>
    <row r="299" customFormat="1" s="93">
      <c r="A299" s="53" t="n"/>
      <c r="B299" s="54" t="n"/>
      <c r="C299" s="45" t="n"/>
      <c r="D299" s="60" t="n"/>
    </row>
    <row r="300" customFormat="1" s="93">
      <c r="A300" s="53" t="n"/>
      <c r="B300" s="54" t="n"/>
      <c r="C300" s="45" t="n"/>
      <c r="D300" s="60" t="n"/>
    </row>
    <row r="301" customFormat="1" s="93">
      <c r="A301" s="53" t="n"/>
      <c r="B301" s="54" t="n"/>
      <c r="C301" s="45" t="n"/>
      <c r="D301" s="60" t="n"/>
    </row>
    <row r="302" customFormat="1" s="93">
      <c r="A302" s="53" t="n"/>
      <c r="B302" s="54" t="n"/>
      <c r="C302" s="45" t="n"/>
      <c r="D302" s="60" t="n"/>
    </row>
    <row r="303" customFormat="1" s="93">
      <c r="A303" s="53" t="n"/>
      <c r="B303" s="54" t="n"/>
      <c r="C303" s="45" t="n"/>
      <c r="D303" s="60" t="n"/>
    </row>
    <row r="304" customFormat="1" s="93">
      <c r="A304" s="53" t="n"/>
      <c r="B304" s="54" t="n"/>
      <c r="C304" s="45" t="n"/>
      <c r="D304" s="60" t="n"/>
    </row>
    <row r="305" customFormat="1" s="93">
      <c r="A305" s="53" t="n"/>
      <c r="B305" s="54" t="n"/>
      <c r="C305" s="45" t="n"/>
      <c r="D305" s="60" t="n"/>
    </row>
    <row r="306" customFormat="1" s="93">
      <c r="A306" s="53" t="n"/>
      <c r="B306" s="54" t="n"/>
      <c r="C306" s="45" t="n"/>
      <c r="D306" s="60" t="n"/>
    </row>
    <row r="307" customFormat="1" s="93">
      <c r="A307" s="53" t="n"/>
      <c r="B307" s="54" t="n"/>
      <c r="C307" s="45" t="n"/>
      <c r="D307" s="60" t="n"/>
    </row>
    <row r="308" customFormat="1" s="93">
      <c r="A308" s="53" t="n"/>
      <c r="B308" s="54" t="n"/>
      <c r="C308" s="45" t="n"/>
      <c r="D308" s="60" t="n"/>
    </row>
    <row r="309" customFormat="1" s="93">
      <c r="A309" s="53" t="n"/>
      <c r="B309" s="54" t="n"/>
      <c r="C309" s="45" t="n"/>
      <c r="D309" s="60" t="n"/>
    </row>
    <row r="310" customFormat="1" s="93">
      <c r="A310" s="53" t="n"/>
      <c r="B310" s="54" t="n"/>
      <c r="C310" s="45" t="n"/>
      <c r="D310" s="60" t="n"/>
    </row>
    <row r="311" customFormat="1" s="93">
      <c r="A311" s="53" t="n"/>
      <c r="B311" s="54" t="n"/>
      <c r="C311" s="45" t="n"/>
      <c r="D311" s="60" t="n"/>
    </row>
    <row r="312" customFormat="1" s="93">
      <c r="A312" s="53" t="n"/>
      <c r="B312" s="54" t="n"/>
      <c r="C312" s="45" t="n"/>
      <c r="D312" s="60" t="n"/>
    </row>
    <row r="313" customFormat="1" s="93">
      <c r="A313" s="53" t="n"/>
      <c r="B313" s="54" t="n"/>
      <c r="C313" s="45" t="n"/>
      <c r="D313" s="60" t="n"/>
    </row>
    <row r="314" customFormat="1" s="93">
      <c r="A314" s="53" t="n"/>
      <c r="B314" s="54" t="n"/>
      <c r="C314" s="45" t="n"/>
      <c r="D314" s="60" t="n"/>
    </row>
    <row r="315" customFormat="1" s="93">
      <c r="A315" s="53" t="n"/>
      <c r="B315" s="54" t="n"/>
      <c r="C315" s="45" t="n"/>
      <c r="D315" s="60" t="n"/>
    </row>
    <row r="316" customFormat="1" s="93">
      <c r="A316" s="53" t="n"/>
      <c r="B316" s="54" t="n"/>
      <c r="C316" s="45" t="n"/>
      <c r="D316" s="60" t="n"/>
    </row>
    <row r="317" customFormat="1" s="93">
      <c r="A317" s="53" t="n"/>
      <c r="B317" s="54" t="n"/>
      <c r="C317" s="45" t="n"/>
      <c r="D317" s="60" t="n"/>
    </row>
    <row r="318" customFormat="1" s="93">
      <c r="A318" s="53" t="n"/>
      <c r="B318" s="54" t="n"/>
      <c r="C318" s="45" t="n"/>
      <c r="D318" s="60" t="n"/>
    </row>
    <row r="319" customFormat="1" s="93">
      <c r="A319" s="53" t="n"/>
      <c r="B319" s="54" t="n"/>
      <c r="C319" s="45" t="n"/>
      <c r="D319" s="60" t="n"/>
    </row>
    <row r="320" customFormat="1" s="93">
      <c r="A320" s="53" t="n"/>
      <c r="B320" s="54" t="n"/>
      <c r="C320" s="45" t="n"/>
      <c r="D320" s="60" t="n"/>
    </row>
    <row r="321" customFormat="1" s="93">
      <c r="A321" s="53" t="n"/>
      <c r="B321" s="54" t="n"/>
      <c r="C321" s="45" t="n"/>
      <c r="D321" s="60" t="n"/>
    </row>
    <row r="322" customFormat="1" s="93">
      <c r="A322" s="53" t="n"/>
      <c r="B322" s="54" t="n"/>
      <c r="C322" s="45" t="n"/>
      <c r="D322" s="60" t="n"/>
    </row>
    <row r="323" customFormat="1" s="93">
      <c r="A323" s="53" t="n"/>
      <c r="B323" s="54" t="n"/>
      <c r="C323" s="45" t="n"/>
      <c r="D323" s="60" t="n"/>
    </row>
    <row r="324" customFormat="1" s="93">
      <c r="A324" s="53" t="n"/>
      <c r="B324" s="54" t="n"/>
      <c r="C324" s="45" t="n"/>
      <c r="D324" s="60" t="n"/>
    </row>
    <row r="325" customFormat="1" s="93">
      <c r="A325" s="53" t="n"/>
      <c r="B325" s="54" t="n"/>
      <c r="C325" s="45" t="n"/>
      <c r="D325" s="60" t="n"/>
    </row>
    <row r="326" customFormat="1" s="93">
      <c r="A326" s="53" t="n"/>
      <c r="B326" s="54" t="n"/>
      <c r="C326" s="45" t="n"/>
      <c r="D326" s="60" t="n"/>
    </row>
    <row r="327" customFormat="1" s="93">
      <c r="A327" s="53" t="n"/>
      <c r="B327" s="54" t="n"/>
      <c r="C327" s="45" t="n"/>
      <c r="D327" s="60" t="n"/>
    </row>
    <row r="328" customFormat="1" s="93">
      <c r="A328" s="53" t="n"/>
      <c r="B328" s="54" t="n"/>
      <c r="C328" s="45" t="n"/>
      <c r="D328" s="60" t="n"/>
    </row>
    <row r="329" customFormat="1" s="93">
      <c r="A329" s="53" t="n"/>
      <c r="B329" s="54" t="n"/>
      <c r="C329" s="45" t="n"/>
      <c r="D329" s="60" t="n"/>
    </row>
    <row r="330" customFormat="1" s="93">
      <c r="A330" s="53" t="n"/>
      <c r="B330" s="54" t="n"/>
      <c r="C330" s="45" t="n"/>
      <c r="D330" s="60" t="n"/>
    </row>
    <row r="331" customFormat="1" s="93">
      <c r="A331" s="53" t="n"/>
      <c r="B331" s="54" t="n"/>
      <c r="C331" s="45" t="n"/>
      <c r="D331" s="60" t="n"/>
    </row>
    <row r="332" customFormat="1" s="93">
      <c r="A332" s="53" t="n"/>
      <c r="B332" s="54" t="n"/>
      <c r="C332" s="45" t="n"/>
      <c r="D332" s="60" t="n"/>
    </row>
    <row r="333" customFormat="1" s="93">
      <c r="A333" s="53" t="n"/>
      <c r="B333" s="54" t="n"/>
      <c r="C333" s="45" t="n"/>
      <c r="D333" s="60" t="n"/>
    </row>
    <row r="334" customFormat="1" s="93">
      <c r="A334" s="53" t="n"/>
      <c r="B334" s="54" t="n"/>
      <c r="C334" s="45" t="n"/>
      <c r="D334" s="60" t="n"/>
    </row>
    <row r="335" customFormat="1" s="93">
      <c r="A335" s="53" t="n"/>
      <c r="B335" s="54" t="n"/>
      <c r="C335" s="45" t="n"/>
      <c r="D335" s="60" t="n"/>
    </row>
    <row r="336" customFormat="1" s="93">
      <c r="A336" s="53" t="n"/>
      <c r="B336" s="54" t="n"/>
      <c r="C336" s="45" t="n"/>
      <c r="D336" s="60" t="n"/>
    </row>
    <row r="337" customFormat="1" s="93">
      <c r="A337" s="53" t="n"/>
      <c r="B337" s="54" t="n"/>
      <c r="C337" s="45" t="n"/>
      <c r="D337" s="60" t="n"/>
    </row>
    <row r="338" customFormat="1" s="93">
      <c r="A338" s="53" t="n"/>
      <c r="B338" s="54" t="n"/>
      <c r="C338" s="45" t="n"/>
      <c r="D338" s="60" t="n"/>
    </row>
    <row r="339" customFormat="1" s="93">
      <c r="A339" s="53" t="n"/>
      <c r="B339" s="54" t="n"/>
      <c r="C339" s="45" t="n"/>
      <c r="D339" s="60" t="n"/>
    </row>
    <row r="340" customFormat="1" s="93">
      <c r="A340" s="53" t="n"/>
      <c r="B340" s="54" t="n"/>
      <c r="C340" s="45" t="n"/>
      <c r="D340" s="60" t="n"/>
    </row>
    <row r="341" customFormat="1" s="93">
      <c r="A341" s="53" t="n"/>
      <c r="B341" s="54" t="n"/>
      <c r="C341" s="45" t="n"/>
      <c r="D341" s="60" t="n"/>
    </row>
    <row r="342" customFormat="1" s="93">
      <c r="A342" s="53" t="n"/>
      <c r="B342" s="54" t="n"/>
      <c r="C342" s="45" t="n"/>
      <c r="D342" s="60" t="n"/>
    </row>
    <row r="343" customFormat="1" s="93">
      <c r="A343" s="53" t="n"/>
      <c r="B343" s="54" t="n"/>
      <c r="C343" s="45" t="n"/>
      <c r="D343" s="60" t="n"/>
    </row>
    <row r="344" customFormat="1" s="93">
      <c r="A344" s="53" t="n"/>
      <c r="B344" s="54" t="n"/>
      <c r="C344" s="45" t="n"/>
      <c r="D344" s="60" t="n"/>
    </row>
    <row r="345" customFormat="1" s="93">
      <c r="A345" s="53" t="n"/>
      <c r="B345" s="54" t="n"/>
      <c r="C345" s="45" t="n"/>
      <c r="D345" s="60" t="n"/>
    </row>
    <row r="346" customFormat="1" s="93">
      <c r="A346" s="53" t="n"/>
      <c r="B346" s="54" t="n"/>
      <c r="C346" s="45" t="n"/>
      <c r="D346" s="60" t="n"/>
    </row>
    <row r="347" customFormat="1" s="93">
      <c r="A347" s="53" t="n"/>
      <c r="B347" s="54" t="n"/>
      <c r="C347" s="45" t="n"/>
      <c r="D347" s="60" t="n"/>
    </row>
    <row r="348" customFormat="1" s="93">
      <c r="A348" s="53" t="n"/>
      <c r="B348" s="54" t="n"/>
      <c r="C348" s="45" t="n"/>
      <c r="D348" s="60" t="n"/>
    </row>
    <row r="349" customFormat="1" s="93">
      <c r="A349" s="53" t="n"/>
      <c r="B349" s="54" t="n"/>
      <c r="C349" s="45" t="n"/>
      <c r="D349" s="60" t="n"/>
    </row>
    <row r="350" customFormat="1" s="93">
      <c r="A350" s="53" t="n"/>
      <c r="B350" s="54" t="n"/>
      <c r="C350" s="45" t="n"/>
      <c r="D350" s="60" t="n"/>
    </row>
    <row r="351" customFormat="1" s="93">
      <c r="A351" s="53" t="n"/>
      <c r="B351" s="54" t="n"/>
      <c r="C351" s="45" t="n"/>
      <c r="D351" s="60" t="n"/>
    </row>
    <row r="352" customFormat="1" s="93">
      <c r="A352" s="53" t="n"/>
      <c r="B352" s="54" t="n"/>
      <c r="C352" s="45" t="n"/>
      <c r="D352" s="60" t="n"/>
    </row>
    <row r="353" customFormat="1" s="93">
      <c r="A353" s="53" t="n"/>
      <c r="B353" s="54" t="n"/>
      <c r="C353" s="45" t="n"/>
      <c r="D353" s="60" t="n"/>
    </row>
    <row r="354" customFormat="1" s="93">
      <c r="A354" s="53" t="n"/>
      <c r="B354" s="54" t="n"/>
      <c r="C354" s="45" t="n"/>
      <c r="D354" s="60" t="n"/>
    </row>
    <row r="355" customFormat="1" s="93">
      <c r="A355" s="53" t="n"/>
      <c r="B355" s="54" t="n"/>
      <c r="C355" s="45" t="n"/>
      <c r="D355" s="60" t="n"/>
    </row>
    <row r="356" customFormat="1" s="93">
      <c r="A356" s="53" t="n"/>
      <c r="B356" s="54" t="n"/>
      <c r="C356" s="45" t="n"/>
      <c r="D356" s="60" t="n"/>
    </row>
    <row r="357" customFormat="1" s="93">
      <c r="A357" s="53" t="n"/>
      <c r="B357" s="54" t="n"/>
      <c r="C357" s="45" t="n"/>
      <c r="D357" s="60" t="n"/>
    </row>
    <row r="358" customFormat="1" s="93">
      <c r="A358" s="53" t="n"/>
      <c r="B358" s="54" t="n"/>
      <c r="C358" s="45" t="n"/>
      <c r="D358" s="60" t="n"/>
    </row>
    <row r="359" customFormat="1" s="93">
      <c r="A359" s="53" t="n"/>
      <c r="B359" s="54" t="n"/>
      <c r="C359" s="45" t="n"/>
      <c r="D359" s="60" t="n"/>
    </row>
    <row r="360" customFormat="1" s="93">
      <c r="A360" s="53" t="n"/>
      <c r="B360" s="54" t="n"/>
      <c r="C360" s="45" t="n"/>
      <c r="D360" s="60" t="n"/>
    </row>
    <row r="361" customFormat="1" s="93">
      <c r="A361" s="53" t="n"/>
      <c r="B361" s="54" t="n"/>
      <c r="C361" s="45" t="n"/>
      <c r="D361" s="60" t="n"/>
    </row>
    <row r="362" customFormat="1" s="93">
      <c r="A362" s="53" t="n"/>
      <c r="B362" s="54" t="n"/>
      <c r="C362" s="45" t="n"/>
      <c r="D362" s="60" t="n"/>
    </row>
    <row r="363" customFormat="1" s="93">
      <c r="A363" s="53" t="n"/>
      <c r="B363" s="54" t="n"/>
      <c r="C363" s="45" t="n"/>
      <c r="D363" s="60" t="n"/>
    </row>
    <row r="364" customFormat="1" s="93">
      <c r="A364" s="53" t="n"/>
      <c r="B364" s="54" t="n"/>
      <c r="C364" s="45" t="n"/>
      <c r="D364" s="60" t="n"/>
    </row>
    <row r="365" customFormat="1" s="93">
      <c r="A365" s="53" t="n"/>
      <c r="B365" s="54" t="n"/>
      <c r="C365" s="45" t="n"/>
      <c r="D365" s="60" t="n"/>
    </row>
    <row r="366" customFormat="1" s="93">
      <c r="A366" s="53" t="n"/>
      <c r="B366" s="54" t="n"/>
      <c r="C366" s="45" t="n"/>
      <c r="D366" s="60" t="n"/>
    </row>
    <row r="367" customFormat="1" s="93">
      <c r="A367" s="53" t="n"/>
      <c r="B367" s="54" t="n"/>
      <c r="C367" s="45" t="n"/>
      <c r="D367" s="60" t="n"/>
    </row>
    <row r="368" customFormat="1" s="93">
      <c r="A368" s="53" t="n"/>
      <c r="B368" s="54" t="n"/>
      <c r="C368" s="45" t="n"/>
      <c r="D368" s="60" t="n"/>
    </row>
    <row r="369" customFormat="1" s="93">
      <c r="A369" s="53" t="n"/>
      <c r="B369" s="54" t="n"/>
      <c r="C369" s="45" t="n"/>
      <c r="D369" s="60" t="n"/>
    </row>
    <row r="370" customFormat="1" s="93">
      <c r="A370" s="53" t="n"/>
      <c r="B370" s="54" t="n"/>
      <c r="C370" s="45" t="n"/>
      <c r="D370" s="60" t="n"/>
    </row>
    <row r="371" customFormat="1" s="93">
      <c r="A371" s="53" t="n"/>
      <c r="B371" s="54" t="n"/>
      <c r="C371" s="45" t="n"/>
      <c r="D371" s="60" t="n"/>
    </row>
    <row r="372" customFormat="1" s="93">
      <c r="A372" s="53" t="n"/>
      <c r="B372" s="54" t="n"/>
      <c r="C372" s="45" t="n"/>
      <c r="D372" s="60" t="n"/>
    </row>
    <row r="373" customFormat="1" s="93">
      <c r="A373" s="53" t="n"/>
      <c r="B373" s="54" t="n"/>
      <c r="C373" s="45" t="n"/>
      <c r="D373" s="60" t="n"/>
    </row>
    <row r="374" customFormat="1" s="93">
      <c r="A374" s="53" t="n"/>
      <c r="B374" s="54" t="n"/>
      <c r="C374" s="45" t="n"/>
      <c r="D374" s="60" t="n"/>
    </row>
    <row r="375" customFormat="1" s="93">
      <c r="A375" s="53" t="n"/>
      <c r="B375" s="54" t="n"/>
      <c r="C375" s="45" t="n"/>
      <c r="D375" s="60" t="n"/>
    </row>
    <row r="376" customFormat="1" s="93">
      <c r="A376" s="53" t="n"/>
      <c r="B376" s="54" t="n"/>
      <c r="C376" s="45" t="n"/>
      <c r="D376" s="60" t="n"/>
    </row>
    <row r="377" customFormat="1" s="93">
      <c r="A377" s="53" t="n"/>
      <c r="B377" s="54" t="n"/>
      <c r="C377" s="45" t="n"/>
      <c r="D377" s="60" t="n"/>
    </row>
    <row r="378" customFormat="1" s="93">
      <c r="A378" s="53" t="n"/>
      <c r="B378" s="54" t="n"/>
      <c r="C378" s="45" t="n"/>
      <c r="D378" s="60" t="n"/>
    </row>
    <row r="379" customFormat="1" s="93">
      <c r="A379" s="53" t="n"/>
      <c r="B379" s="54" t="n"/>
      <c r="C379" s="45" t="n"/>
      <c r="D379" s="60" t="n"/>
    </row>
    <row r="380" customFormat="1" s="93">
      <c r="A380" s="53" t="n"/>
      <c r="B380" s="54" t="n"/>
      <c r="C380" s="45" t="n"/>
      <c r="D380" s="60" t="n"/>
    </row>
    <row r="381" customFormat="1" s="93">
      <c r="A381" s="53" t="n"/>
      <c r="B381" s="54" t="n"/>
      <c r="C381" s="45" t="n"/>
      <c r="D381" s="60" t="n"/>
    </row>
    <row r="382" customFormat="1" s="93">
      <c r="A382" s="53" t="n"/>
      <c r="B382" s="54" t="n"/>
      <c r="C382" s="45" t="n"/>
      <c r="D382" s="60" t="n"/>
    </row>
    <row r="383" customFormat="1" s="93">
      <c r="A383" s="53" t="n"/>
      <c r="B383" s="54" t="n"/>
      <c r="C383" s="45" t="n"/>
      <c r="D383" s="60" t="n"/>
    </row>
    <row r="384" customFormat="1" s="93">
      <c r="A384" s="53" t="n"/>
      <c r="B384" s="54" t="n"/>
      <c r="C384" s="45" t="n"/>
      <c r="D384" s="60" t="n"/>
    </row>
    <row r="385" customFormat="1" s="93">
      <c r="A385" s="53" t="n"/>
      <c r="B385" s="54" t="n"/>
      <c r="C385" s="45" t="n"/>
      <c r="D385" s="60" t="n"/>
    </row>
    <row r="386" customFormat="1" s="93">
      <c r="A386" s="53" t="n"/>
      <c r="B386" s="54" t="n"/>
      <c r="C386" s="45" t="n"/>
      <c r="D386" s="60" t="n"/>
    </row>
    <row r="387" customFormat="1" s="93">
      <c r="A387" s="53" t="n"/>
      <c r="B387" s="54" t="n"/>
      <c r="C387" s="45" t="n"/>
      <c r="D387" s="60" t="n"/>
    </row>
    <row r="388" customFormat="1" s="93">
      <c r="A388" s="53" t="n"/>
      <c r="B388" s="54" t="n"/>
      <c r="C388" s="45" t="n"/>
      <c r="D388" s="60" t="n"/>
    </row>
    <row r="389" customFormat="1" s="93">
      <c r="A389" s="53" t="n"/>
      <c r="B389" s="54" t="n"/>
      <c r="C389" s="45" t="n"/>
      <c r="D389" s="60" t="n"/>
    </row>
    <row r="390" customFormat="1" s="93">
      <c r="A390" s="53" t="n"/>
      <c r="B390" s="54" t="n"/>
      <c r="C390" s="45" t="n"/>
      <c r="D390" s="60" t="n"/>
    </row>
    <row r="391" customFormat="1" s="93">
      <c r="A391" s="53" t="n"/>
      <c r="B391" s="54" t="n"/>
      <c r="C391" s="45" t="n"/>
      <c r="D391" s="60" t="n"/>
    </row>
    <row r="392" customFormat="1" s="93">
      <c r="A392" s="53" t="n"/>
      <c r="B392" s="54" t="n"/>
      <c r="C392" s="45" t="n"/>
      <c r="D392" s="60" t="n"/>
    </row>
    <row r="393" customFormat="1" s="93">
      <c r="A393" s="53" t="n"/>
      <c r="B393" s="54" t="n"/>
      <c r="C393" s="45" t="n"/>
      <c r="D393" s="60" t="n"/>
    </row>
    <row r="394" customFormat="1" s="93">
      <c r="A394" s="53" t="n"/>
      <c r="B394" s="54" t="n"/>
      <c r="C394" s="45" t="n"/>
      <c r="D394" s="60" t="n"/>
    </row>
    <row r="395" customFormat="1" s="93">
      <c r="A395" s="53" t="n"/>
      <c r="B395" s="54" t="n"/>
      <c r="C395" s="45" t="n"/>
      <c r="D395" s="60" t="n"/>
    </row>
    <row r="396" customFormat="1" s="93">
      <c r="A396" s="53" t="n"/>
      <c r="B396" s="54" t="n"/>
      <c r="C396" s="45" t="n"/>
      <c r="D396" s="60" t="n"/>
    </row>
    <row r="397" customFormat="1" s="93">
      <c r="A397" s="53" t="n"/>
      <c r="B397" s="54" t="n"/>
      <c r="C397" s="45" t="n"/>
      <c r="D397" s="60" t="n"/>
    </row>
    <row r="398" customFormat="1" s="93">
      <c r="A398" s="53" t="n"/>
      <c r="B398" s="54" t="n"/>
      <c r="C398" s="45" t="n"/>
      <c r="D398" s="60" t="n"/>
    </row>
    <row r="399" customFormat="1" s="93">
      <c r="A399" s="53" t="n"/>
      <c r="B399" s="54" t="n"/>
      <c r="C399" s="45" t="n"/>
      <c r="D399" s="60" t="n"/>
    </row>
    <row r="400" customFormat="1" s="93">
      <c r="A400" s="53" t="n"/>
      <c r="B400" s="54" t="n"/>
      <c r="C400" s="45" t="n"/>
      <c r="D400" s="60" t="n"/>
    </row>
    <row r="401" customFormat="1" s="93">
      <c r="A401" s="53" t="n"/>
      <c r="B401" s="54" t="n"/>
      <c r="C401" s="45" t="n"/>
      <c r="D401" s="60" t="n"/>
    </row>
    <row r="402" customFormat="1" s="93">
      <c r="A402" s="53" t="n"/>
      <c r="B402" s="54" t="n"/>
      <c r="C402" s="45" t="n"/>
      <c r="D402" s="60" t="n"/>
    </row>
    <row r="403" customFormat="1" s="93">
      <c r="A403" s="53" t="n"/>
      <c r="B403" s="54" t="n"/>
      <c r="C403" s="45" t="n"/>
      <c r="D403" s="60" t="n"/>
    </row>
    <row r="404" customFormat="1" s="93">
      <c r="A404" s="53" t="n"/>
      <c r="B404" s="54" t="n"/>
      <c r="C404" s="45" t="n"/>
      <c r="D404" s="60" t="n"/>
    </row>
    <row r="405" customFormat="1" s="93">
      <c r="A405" s="53" t="n"/>
      <c r="B405" s="54" t="n"/>
      <c r="C405" s="45" t="n"/>
      <c r="D405" s="60" t="n"/>
    </row>
    <row r="406" customFormat="1" s="93">
      <c r="A406" s="53" t="n"/>
      <c r="B406" s="54" t="n"/>
      <c r="C406" s="45" t="n"/>
      <c r="D406" s="60" t="n"/>
    </row>
    <row r="407" customFormat="1" s="93">
      <c r="A407" s="53" t="n"/>
      <c r="B407" s="54" t="n"/>
      <c r="C407" s="45" t="n"/>
      <c r="D407" s="60" t="n"/>
    </row>
    <row r="408" customFormat="1" s="93">
      <c r="A408" s="53" t="n"/>
      <c r="B408" s="54" t="n"/>
      <c r="C408" s="45" t="n"/>
      <c r="D408" s="60" t="n"/>
    </row>
    <row r="409" customFormat="1" s="93">
      <c r="A409" s="53" t="n"/>
      <c r="B409" s="54" t="n"/>
      <c r="C409" s="45" t="n"/>
      <c r="D409" s="60" t="n"/>
    </row>
    <row r="410" customFormat="1" s="93">
      <c r="A410" s="53" t="n"/>
      <c r="B410" s="54" t="n"/>
      <c r="C410" s="45" t="n"/>
      <c r="D410" s="60" t="n"/>
    </row>
    <row r="411" customFormat="1" s="93">
      <c r="A411" s="53" t="n"/>
      <c r="B411" s="54" t="n"/>
      <c r="C411" s="45" t="n"/>
      <c r="D411" s="60" t="n"/>
    </row>
    <row r="412" customFormat="1" s="93">
      <c r="A412" s="53" t="n"/>
      <c r="B412" s="54" t="n"/>
      <c r="C412" s="45" t="n"/>
      <c r="D412" s="60" t="n"/>
    </row>
    <row r="413" customFormat="1" s="93">
      <c r="A413" s="53" t="n"/>
      <c r="B413" s="54" t="n"/>
      <c r="C413" s="45" t="n"/>
      <c r="D413" s="60" t="n"/>
    </row>
    <row r="414" customFormat="1" s="93">
      <c r="A414" s="53" t="n"/>
      <c r="B414" s="54" t="n"/>
      <c r="C414" s="45" t="n"/>
      <c r="D414" s="60" t="n"/>
    </row>
    <row r="415" customFormat="1" s="93">
      <c r="A415" s="53" t="n"/>
      <c r="B415" s="54" t="n"/>
      <c r="C415" s="45" t="n"/>
      <c r="D415" s="60" t="n"/>
    </row>
    <row r="416" customFormat="1" s="93">
      <c r="A416" s="53" t="n"/>
      <c r="B416" s="54" t="n"/>
      <c r="C416" s="45" t="n"/>
      <c r="D416" s="60" t="n"/>
    </row>
    <row r="417" customFormat="1" s="93">
      <c r="A417" s="53" t="n"/>
      <c r="B417" s="54" t="n"/>
      <c r="C417" s="45" t="n"/>
      <c r="D417" s="60" t="n"/>
    </row>
    <row r="418" customFormat="1" s="93">
      <c r="A418" s="53" t="n"/>
      <c r="B418" s="54" t="n"/>
      <c r="C418" s="45" t="n"/>
      <c r="D418" s="60" t="n"/>
    </row>
    <row r="419" customFormat="1" s="93">
      <c r="A419" s="53" t="n"/>
      <c r="B419" s="54" t="n"/>
      <c r="C419" s="45" t="n"/>
      <c r="D419" s="60" t="n"/>
    </row>
    <row r="420" customFormat="1" s="93">
      <c r="A420" s="53" t="n"/>
      <c r="B420" s="54" t="n"/>
      <c r="C420" s="45" t="n"/>
      <c r="D420" s="60" t="n"/>
    </row>
    <row r="421" customFormat="1" s="93">
      <c r="A421" s="53" t="n"/>
      <c r="B421" s="54" t="n"/>
      <c r="C421" s="45" t="n"/>
      <c r="D421" s="60" t="n"/>
    </row>
    <row r="422" customFormat="1" s="93">
      <c r="A422" s="53" t="n"/>
      <c r="B422" s="54" t="n"/>
      <c r="C422" s="45" t="n"/>
      <c r="D422" s="60" t="n"/>
    </row>
    <row r="423" customFormat="1" s="93">
      <c r="A423" s="53" t="n"/>
      <c r="B423" s="54" t="n"/>
      <c r="C423" s="45" t="n"/>
      <c r="D423" s="60" t="n"/>
    </row>
    <row r="424" customFormat="1" s="93">
      <c r="A424" s="53" t="n"/>
      <c r="B424" s="54" t="n"/>
      <c r="C424" s="45" t="n"/>
      <c r="D424" s="60" t="n"/>
    </row>
    <row r="425" customFormat="1" s="93">
      <c r="A425" s="53" t="n"/>
      <c r="B425" s="54" t="n"/>
      <c r="C425" s="45" t="n"/>
      <c r="D425" s="60" t="n"/>
    </row>
    <row r="426" customFormat="1" s="93">
      <c r="A426" s="53" t="n"/>
      <c r="B426" s="54" t="n"/>
      <c r="C426" s="45" t="n"/>
      <c r="D426" s="60" t="n"/>
    </row>
    <row r="427" customFormat="1" s="93">
      <c r="A427" s="53" t="n"/>
      <c r="B427" s="54" t="n"/>
      <c r="C427" s="45" t="n"/>
      <c r="D427" s="60" t="n"/>
    </row>
    <row r="428" customFormat="1" s="93">
      <c r="A428" s="53" t="n"/>
      <c r="B428" s="54" t="n"/>
      <c r="C428" s="45" t="n"/>
      <c r="D428" s="60" t="n"/>
    </row>
    <row r="429" customFormat="1" s="93">
      <c r="A429" s="53" t="n"/>
      <c r="B429" s="54" t="n"/>
      <c r="C429" s="45" t="n"/>
      <c r="D429" s="60" t="n"/>
    </row>
    <row r="430" customFormat="1" s="93">
      <c r="A430" s="53" t="n"/>
      <c r="B430" s="54" t="n"/>
      <c r="C430" s="45" t="n"/>
      <c r="D430" s="60" t="n"/>
    </row>
    <row r="431" customFormat="1" s="93">
      <c r="A431" s="53" t="n"/>
      <c r="B431" s="54" t="n"/>
      <c r="C431" s="45" t="n"/>
      <c r="D431" s="60" t="n"/>
    </row>
    <row r="432">
      <c r="A432" s="42" t="n"/>
    </row>
    <row r="433">
      <c r="A433" s="42" t="n"/>
    </row>
    <row r="434">
      <c r="A434" s="42" t="n"/>
    </row>
    <row r="435">
      <c r="A435" s="42" t="n"/>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2021-12-16T12:11:50Z</dcterms:modified>
  <cp:lastModifiedBy>Mark Mukherjee</cp:lastModifiedBy>
</cp:coreProperties>
</file>