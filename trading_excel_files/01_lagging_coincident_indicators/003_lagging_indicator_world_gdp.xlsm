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457D942-38BE-AF4C-9A12-DE0A68B2DFB6}" xr6:coauthVersionLast="47" xr6:coauthVersionMax="47" xr10:uidLastSave="{00000000-0000-0000-0000-000000000000}"/>
  <bookViews>
    <workbookView xWindow="-65100" yWindow="2960" windowWidth="27720" windowHeight="21540" activeTab="3"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2" i="10" l="1"/>
  <c r="D302" i="10" s="1"/>
  <c r="B301" i="10"/>
  <c r="C302" i="10" s="1"/>
  <c r="D300" i="10"/>
  <c r="B300" i="10"/>
  <c r="B299" i="10"/>
  <c r="D299" i="10" s="1"/>
  <c r="C298" i="10"/>
  <c r="B298" i="10"/>
  <c r="C299" i="10" s="1"/>
  <c r="D297" i="10"/>
  <c r="B297" i="10"/>
  <c r="C296" i="10"/>
  <c r="B296" i="10"/>
  <c r="C297" i="10" s="1"/>
  <c r="D295" i="10"/>
  <c r="C295" i="10"/>
  <c r="B295" i="10"/>
  <c r="B294" i="10"/>
  <c r="D294" i="10" s="1"/>
  <c r="B293" i="10"/>
  <c r="C294" i="10" s="1"/>
  <c r="D292" i="10"/>
  <c r="B292" i="10"/>
  <c r="B291" i="10"/>
  <c r="D291" i="10" s="1"/>
  <c r="C290" i="10"/>
  <c r="B290" i="10"/>
  <c r="C291" i="10" s="1"/>
  <c r="D289" i="10"/>
  <c r="B289" i="10"/>
  <c r="C288" i="10"/>
  <c r="B288" i="10"/>
  <c r="C289" i="10" s="1"/>
  <c r="D287" i="10"/>
  <c r="C287" i="10"/>
  <c r="B287" i="10"/>
  <c r="B286" i="10"/>
  <c r="D286" i="10" s="1"/>
  <c r="B285" i="10"/>
  <c r="C286" i="10" s="1"/>
  <c r="D284" i="10"/>
  <c r="B284" i="10"/>
  <c r="B283" i="10"/>
  <c r="D283" i="10" s="1"/>
  <c r="C282" i="10"/>
  <c r="B282" i="10"/>
  <c r="C283" i="10" s="1"/>
  <c r="D281" i="10"/>
  <c r="B281" i="10"/>
  <c r="C280" i="10"/>
  <c r="B280" i="10"/>
  <c r="C281" i="10" s="1"/>
  <c r="D279" i="10"/>
  <c r="C279" i="10"/>
  <c r="B279" i="10"/>
  <c r="B278" i="10"/>
  <c r="D278" i="10" s="1"/>
  <c r="B277" i="10"/>
  <c r="C278" i="10" s="1"/>
  <c r="D276" i="10"/>
  <c r="B276" i="10"/>
  <c r="B275" i="10"/>
  <c r="D275" i="10" s="1"/>
  <c r="C274" i="10"/>
  <c r="B274" i="10"/>
  <c r="C275" i="10" s="1"/>
  <c r="D273" i="10"/>
  <c r="B273" i="10"/>
  <c r="C272" i="10"/>
  <c r="B272" i="10"/>
  <c r="C273" i="10" s="1"/>
  <c r="D271" i="10"/>
  <c r="C271" i="10"/>
  <c r="B271" i="10"/>
  <c r="B270" i="10"/>
  <c r="D270" i="10" s="1"/>
  <c r="D269" i="10"/>
  <c r="C269" i="10"/>
  <c r="B269" i="10"/>
  <c r="C270" i="10" s="1"/>
  <c r="D268" i="10"/>
  <c r="B268" i="10"/>
  <c r="B267" i="10"/>
  <c r="B266" i="10"/>
  <c r="C267" i="10" s="1"/>
  <c r="D265" i="10"/>
  <c r="B265" i="10"/>
  <c r="B264" i="10"/>
  <c r="D263" i="10"/>
  <c r="C263" i="10"/>
  <c r="B263" i="10"/>
  <c r="B262" i="10"/>
  <c r="D262" i="10" s="1"/>
  <c r="D261" i="10"/>
  <c r="C261" i="10"/>
  <c r="B261" i="10"/>
  <c r="C262" i="10" s="1"/>
  <c r="D260" i="10"/>
  <c r="B260" i="10"/>
  <c r="B259" i="10"/>
  <c r="B258" i="10"/>
  <c r="C259" i="10" s="1"/>
  <c r="D257" i="10"/>
  <c r="B257" i="10"/>
  <c r="B256" i="10"/>
  <c r="D255" i="10"/>
  <c r="C255" i="10"/>
  <c r="B255" i="10"/>
  <c r="B254" i="10"/>
  <c r="D254" i="10" s="1"/>
  <c r="B253" i="10"/>
  <c r="C254" i="10" s="1"/>
  <c r="D252" i="10"/>
  <c r="B252" i="10"/>
  <c r="B251" i="10"/>
  <c r="D250" i="10"/>
  <c r="C250" i="10"/>
  <c r="B250" i="10"/>
  <c r="C251" i="10" s="1"/>
  <c r="D249" i="10"/>
  <c r="B249" i="10"/>
  <c r="C248" i="10"/>
  <c r="B248" i="10"/>
  <c r="D247" i="10"/>
  <c r="C247" i="10"/>
  <c r="B247" i="10"/>
  <c r="B246" i="10"/>
  <c r="D246" i="10" s="1"/>
  <c r="B245" i="10"/>
  <c r="C246" i="10" s="1"/>
  <c r="D244" i="10"/>
  <c r="B244" i="10"/>
  <c r="B243" i="10"/>
  <c r="D242" i="10"/>
  <c r="C242" i="10"/>
  <c r="B242" i="10"/>
  <c r="D241" i="10"/>
  <c r="B241" i="10"/>
  <c r="C240" i="10"/>
  <c r="B240" i="10"/>
  <c r="D239" i="10"/>
  <c r="C239" i="10"/>
  <c r="B239" i="10"/>
  <c r="B238" i="10"/>
  <c r="D238" i="10" s="1"/>
  <c r="C237" i="10"/>
  <c r="B237" i="10"/>
  <c r="C238" i="10" s="1"/>
  <c r="D236" i="10"/>
  <c r="B236" i="10"/>
  <c r="B235" i="10"/>
  <c r="B234" i="10"/>
  <c r="C235" i="10" s="1"/>
  <c r="D233" i="10"/>
  <c r="B233" i="10"/>
  <c r="B232" i="10"/>
  <c r="D231" i="10"/>
  <c r="C231" i="10"/>
  <c r="B231" i="10"/>
  <c r="B230" i="10"/>
  <c r="D230" i="10" s="1"/>
  <c r="D229" i="10"/>
  <c r="C229" i="10"/>
  <c r="B229" i="10"/>
  <c r="C230" i="10" s="1"/>
  <c r="D228" i="10"/>
  <c r="B228" i="10"/>
  <c r="B227" i="10"/>
  <c r="B226" i="10"/>
  <c r="C227" i="10" s="1"/>
  <c r="D225" i="10"/>
  <c r="B225" i="10"/>
  <c r="B224" i="10"/>
  <c r="D223" i="10"/>
  <c r="C223" i="10"/>
  <c r="B223" i="10"/>
  <c r="B222" i="10"/>
  <c r="D222" i="10" s="1"/>
  <c r="B221" i="10"/>
  <c r="C222" i="10" s="1"/>
  <c r="D220" i="10"/>
  <c r="B220" i="10"/>
  <c r="B219" i="10"/>
  <c r="D218" i="10"/>
  <c r="C218" i="10"/>
  <c r="B218" i="10"/>
  <c r="C219" i="10" s="1"/>
  <c r="D217" i="10"/>
  <c r="B217" i="10"/>
  <c r="B216" i="10"/>
  <c r="D215" i="10"/>
  <c r="C215" i="10"/>
  <c r="B215" i="10"/>
  <c r="B214" i="10"/>
  <c r="D214" i="10" s="1"/>
  <c r="B213" i="10"/>
  <c r="C214" i="10" s="1"/>
  <c r="D212" i="10"/>
  <c r="B212" i="10"/>
  <c r="B211" i="10"/>
  <c r="D210" i="10"/>
  <c r="C210" i="10"/>
  <c r="B210" i="10"/>
  <c r="D209" i="10"/>
  <c r="B209" i="10"/>
  <c r="C208" i="10"/>
  <c r="B208" i="10"/>
  <c r="D207" i="10"/>
  <c r="C207" i="10"/>
  <c r="B207" i="10"/>
  <c r="B206" i="10"/>
  <c r="D206" i="10" s="1"/>
  <c r="B205" i="10"/>
  <c r="C206" i="10" s="1"/>
  <c r="D204" i="10"/>
  <c r="B204" i="10"/>
  <c r="B203" i="10"/>
  <c r="B202" i="10"/>
  <c r="D202" i="10" s="1"/>
  <c r="D201" i="10"/>
  <c r="B201" i="10"/>
  <c r="B200" i="10"/>
  <c r="D199" i="10"/>
  <c r="C199" i="10"/>
  <c r="B199" i="10"/>
  <c r="B198" i="10"/>
  <c r="D198" i="10" s="1"/>
  <c r="C197" i="10"/>
  <c r="B197" i="10"/>
  <c r="C198" i="10" s="1"/>
  <c r="D196" i="10"/>
  <c r="B196" i="10"/>
  <c r="B195" i="10"/>
  <c r="B194" i="10"/>
  <c r="C195" i="10" s="1"/>
  <c r="D193" i="10"/>
  <c r="B193" i="10"/>
  <c r="B192" i="10"/>
  <c r="D191" i="10"/>
  <c r="C191" i="10"/>
  <c r="B191" i="10"/>
  <c r="B190" i="10"/>
  <c r="D190" i="10" s="1"/>
  <c r="B189" i="10"/>
  <c r="C190" i="10" s="1"/>
  <c r="D188" i="10"/>
  <c r="B188" i="10"/>
  <c r="B187" i="10"/>
  <c r="B186" i="10"/>
  <c r="C187" i="10" s="1"/>
  <c r="D185" i="10"/>
  <c r="B185" i="10"/>
  <c r="C184" i="10"/>
  <c r="B184" i="10"/>
  <c r="D183" i="10"/>
  <c r="C183" i="10"/>
  <c r="B183" i="10"/>
  <c r="B182" i="10"/>
  <c r="D182" i="10" s="1"/>
  <c r="B181" i="10"/>
  <c r="D180" i="10"/>
  <c r="B180" i="10"/>
  <c r="B179" i="10"/>
  <c r="C178" i="10"/>
  <c r="B178" i="10"/>
  <c r="C179" i="10" s="1"/>
  <c r="D177" i="10"/>
  <c r="B177" i="10"/>
  <c r="C176" i="10"/>
  <c r="B176" i="10"/>
  <c r="D175" i="10"/>
  <c r="C175" i="10"/>
  <c r="B175" i="10"/>
  <c r="B174" i="10"/>
  <c r="D174" i="10" s="1"/>
  <c r="D173" i="10"/>
  <c r="C173" i="10"/>
  <c r="B173" i="10"/>
  <c r="C174" i="10" s="1"/>
  <c r="D172" i="10"/>
  <c r="B172" i="10"/>
  <c r="B171" i="10"/>
  <c r="B170" i="10"/>
  <c r="C171" i="10" s="1"/>
  <c r="D169" i="10"/>
  <c r="B169" i="10"/>
  <c r="B168" i="10"/>
  <c r="D167" i="10"/>
  <c r="C167" i="10"/>
  <c r="B167" i="10"/>
  <c r="B166" i="10"/>
  <c r="D166" i="10" s="1"/>
  <c r="D165" i="10"/>
  <c r="C165" i="10"/>
  <c r="B165" i="10"/>
  <c r="C166" i="10" s="1"/>
  <c r="D164" i="10"/>
  <c r="B164" i="10"/>
  <c r="B163" i="10"/>
  <c r="B162" i="10"/>
  <c r="D161" i="10"/>
  <c r="B161" i="10"/>
  <c r="B160" i="10"/>
  <c r="D159" i="10"/>
  <c r="C159" i="10"/>
  <c r="B159" i="10"/>
  <c r="B158" i="10"/>
  <c r="D158" i="10" s="1"/>
  <c r="B157" i="10"/>
  <c r="C158" i="10" s="1"/>
  <c r="D156" i="10"/>
  <c r="B156" i="10"/>
  <c r="B155" i="10"/>
  <c r="D154" i="10"/>
  <c r="C154" i="10"/>
  <c r="B154" i="10"/>
  <c r="D153" i="10"/>
  <c r="B153" i="10"/>
  <c r="B152" i="10"/>
  <c r="D151" i="10"/>
  <c r="C151" i="10"/>
  <c r="B151" i="10"/>
  <c r="B150" i="10"/>
  <c r="D150" i="10" s="1"/>
  <c r="B149" i="10"/>
  <c r="C150" i="10" s="1"/>
  <c r="D148" i="10"/>
  <c r="B148" i="10"/>
  <c r="B147" i="10"/>
  <c r="D146" i="10"/>
  <c r="C146" i="10"/>
  <c r="B146" i="10"/>
  <c r="D145" i="10"/>
  <c r="B145" i="10"/>
  <c r="C144" i="10"/>
  <c r="B144" i="10"/>
  <c r="D143" i="10"/>
  <c r="C143" i="10"/>
  <c r="B143" i="10"/>
  <c r="B142" i="10"/>
  <c r="D142" i="10" s="1"/>
  <c r="B141" i="10"/>
  <c r="C142" i="10" s="1"/>
  <c r="D140" i="10"/>
  <c r="B140" i="10"/>
  <c r="B139" i="10"/>
  <c r="B138" i="10"/>
  <c r="D138" i="10" s="1"/>
  <c r="D137" i="10"/>
  <c r="B137" i="10"/>
  <c r="B136" i="10"/>
  <c r="D135" i="10"/>
  <c r="C135" i="10"/>
  <c r="B135" i="10"/>
  <c r="B134" i="10"/>
  <c r="D134" i="10" s="1"/>
  <c r="C133" i="10"/>
  <c r="B133" i="10"/>
  <c r="C134" i="10" s="1"/>
  <c r="D132" i="10"/>
  <c r="B132" i="10"/>
  <c r="B131" i="10"/>
  <c r="B130" i="10"/>
  <c r="C131" i="10" s="1"/>
  <c r="D129" i="10"/>
  <c r="B129" i="10"/>
  <c r="B128" i="10"/>
  <c r="D127" i="10"/>
  <c r="C127" i="10"/>
  <c r="B127" i="10"/>
  <c r="B126" i="10"/>
  <c r="D126" i="10" s="1"/>
  <c r="B125" i="10"/>
  <c r="D124" i="10"/>
  <c r="B124" i="10"/>
  <c r="B123" i="10"/>
  <c r="B122" i="10"/>
  <c r="D121" i="10"/>
  <c r="B121" i="10"/>
  <c r="C120" i="10"/>
  <c r="B120" i="10"/>
  <c r="D119" i="10"/>
  <c r="C119" i="10"/>
  <c r="B119" i="10"/>
  <c r="B118" i="10"/>
  <c r="D118" i="10" s="1"/>
  <c r="B117" i="10"/>
  <c r="D116" i="10"/>
  <c r="B116" i="10"/>
  <c r="B115" i="10"/>
  <c r="B114" i="10"/>
  <c r="D113" i="10"/>
  <c r="B113" i="10"/>
  <c r="C112" i="10"/>
  <c r="B112" i="10"/>
  <c r="D111" i="10"/>
  <c r="C111" i="10"/>
  <c r="B111" i="10"/>
  <c r="B110" i="10"/>
  <c r="D110" i="10" s="1"/>
  <c r="D109" i="10"/>
  <c r="C109" i="10"/>
  <c r="B109" i="10"/>
  <c r="C110" i="10" s="1"/>
  <c r="D108" i="10"/>
  <c r="B108" i="10"/>
  <c r="B107" i="10"/>
  <c r="C106" i="10"/>
  <c r="B106" i="10"/>
  <c r="C107" i="10" s="1"/>
  <c r="D105" i="10"/>
  <c r="B105" i="10"/>
  <c r="B104" i="10"/>
  <c r="D103" i="10"/>
  <c r="C103" i="10"/>
  <c r="B103" i="10"/>
  <c r="B102" i="10"/>
  <c r="D102" i="10" s="1"/>
  <c r="D101" i="10"/>
  <c r="C101" i="10"/>
  <c r="B101" i="10"/>
  <c r="C102" i="10" s="1"/>
  <c r="D100" i="10"/>
  <c r="B100" i="10"/>
  <c r="B99" i="10"/>
  <c r="C98" i="10"/>
  <c r="B98" i="10"/>
  <c r="C99" i="10" s="1"/>
  <c r="D97" i="10"/>
  <c r="B97" i="10"/>
  <c r="B96" i="10"/>
  <c r="D95" i="10"/>
  <c r="C95" i="10"/>
  <c r="B95" i="10"/>
  <c r="B94" i="10"/>
  <c r="D94" i="10" s="1"/>
  <c r="B93" i="10"/>
  <c r="C94" i="10" s="1"/>
  <c r="D92" i="10"/>
  <c r="B92" i="10"/>
  <c r="B91" i="10"/>
  <c r="D90" i="10"/>
  <c r="C90" i="10"/>
  <c r="B90" i="10"/>
  <c r="D89" i="10"/>
  <c r="B89" i="10"/>
  <c r="B88" i="10"/>
  <c r="D87" i="10"/>
  <c r="C87" i="10"/>
  <c r="B87" i="10"/>
  <c r="B86" i="10"/>
  <c r="D86" i="10" s="1"/>
  <c r="B85" i="10"/>
  <c r="C86" i="10" s="1"/>
  <c r="D84" i="10"/>
  <c r="B84" i="10"/>
  <c r="B83" i="10"/>
  <c r="D82" i="10"/>
  <c r="C82" i="10"/>
  <c r="B82" i="10"/>
  <c r="D81" i="10"/>
  <c r="B81" i="10"/>
  <c r="C80" i="10"/>
  <c r="B80" i="10"/>
  <c r="D79" i="10"/>
  <c r="C79" i="10"/>
  <c r="B79" i="10"/>
  <c r="B78" i="10"/>
  <c r="D78" i="10" s="1"/>
  <c r="B77" i="10"/>
  <c r="D76" i="10"/>
  <c r="B76" i="10"/>
  <c r="B75" i="10"/>
  <c r="B74" i="10"/>
  <c r="D74" i="10" s="1"/>
  <c r="D73" i="10"/>
  <c r="B73" i="10"/>
  <c r="C72" i="10"/>
  <c r="B72" i="10"/>
  <c r="D71" i="10"/>
  <c r="C71" i="10"/>
  <c r="B71" i="10"/>
  <c r="B70" i="10"/>
  <c r="D70" i="10" s="1"/>
  <c r="C69" i="10"/>
  <c r="B69" i="10"/>
  <c r="D68" i="10"/>
  <c r="C68" i="10"/>
  <c r="B68" i="10"/>
  <c r="B67" i="10"/>
  <c r="D67" i="10" s="1"/>
  <c r="C66" i="10"/>
  <c r="B66" i="10"/>
  <c r="D65" i="10"/>
  <c r="B65" i="10"/>
  <c r="B64" i="10"/>
  <c r="C65" i="10" s="1"/>
  <c r="B63" i="10"/>
  <c r="B62" i="10"/>
  <c r="D62" i="10" s="1"/>
  <c r="D61" i="10"/>
  <c r="C61" i="10"/>
  <c r="B61" i="10"/>
  <c r="D60" i="10"/>
  <c r="B60" i="10"/>
  <c r="B59" i="10"/>
  <c r="D58" i="10"/>
  <c r="C58" i="10"/>
  <c r="B58" i="10"/>
  <c r="D57" i="10"/>
  <c r="B57" i="10"/>
  <c r="B56" i="10"/>
  <c r="C57" i="10" s="1"/>
  <c r="D55" i="10"/>
  <c r="B55" i="10"/>
  <c r="B54" i="10"/>
  <c r="D54" i="10" s="1"/>
  <c r="C53" i="10"/>
  <c r="B53" i="10"/>
  <c r="D52" i="10"/>
  <c r="C52" i="10"/>
  <c r="B52" i="10"/>
  <c r="B51" i="10"/>
  <c r="D51" i="10" s="1"/>
  <c r="C50" i="10"/>
  <c r="B50" i="10"/>
  <c r="D49" i="10"/>
  <c r="B49" i="10"/>
  <c r="B48" i="10"/>
  <c r="C49" i="10" s="1"/>
  <c r="B47" i="10"/>
  <c r="B46" i="10"/>
  <c r="D46" i="10" s="1"/>
  <c r="D45" i="10"/>
  <c r="C45" i="10"/>
  <c r="B45" i="10"/>
  <c r="D44" i="10"/>
  <c r="B44" i="10"/>
  <c r="B43" i="10"/>
  <c r="D42" i="10"/>
  <c r="C42" i="10"/>
  <c r="B42" i="10"/>
  <c r="D41" i="10"/>
  <c r="B41" i="10"/>
  <c r="B40" i="10"/>
  <c r="C41" i="10" s="1"/>
  <c r="D39" i="10"/>
  <c r="B39" i="10"/>
  <c r="B38" i="10"/>
  <c r="D38" i="10" s="1"/>
  <c r="B37" i="10"/>
  <c r="D36" i="10"/>
  <c r="C36" i="10"/>
  <c r="B36" i="10"/>
  <c r="B35" i="10"/>
  <c r="D35" i="10" s="1"/>
  <c r="C34" i="10"/>
  <c r="B34" i="10"/>
  <c r="D33" i="10"/>
  <c r="B33" i="10"/>
  <c r="B32" i="10"/>
  <c r="C33" i="10" s="1"/>
  <c r="B31" i="10"/>
  <c r="B30" i="10"/>
  <c r="D30" i="10" s="1"/>
  <c r="D29" i="10"/>
  <c r="C29" i="10"/>
  <c r="B29" i="10"/>
  <c r="D28" i="10"/>
  <c r="B28" i="10"/>
  <c r="B27" i="10"/>
  <c r="D26" i="10"/>
  <c r="C26" i="10"/>
  <c r="B26" i="10"/>
  <c r="D25" i="10"/>
  <c r="B25" i="10"/>
  <c r="B24" i="10"/>
  <c r="C25" i="10" s="1"/>
  <c r="D23" i="10"/>
  <c r="B23" i="10"/>
  <c r="B22" i="10"/>
  <c r="D22" i="10" s="1"/>
  <c r="B21" i="10"/>
  <c r="D20" i="10"/>
  <c r="C20" i="10"/>
  <c r="B20" i="10"/>
  <c r="B19" i="10"/>
  <c r="D19" i="10" s="1"/>
  <c r="C18" i="10"/>
  <c r="B18" i="10"/>
  <c r="D17" i="10"/>
  <c r="B17" i="10"/>
  <c r="B16" i="10"/>
  <c r="C17" i="10" s="1"/>
  <c r="B15" i="10"/>
  <c r="B14" i="10"/>
  <c r="D14" i="10" s="1"/>
  <c r="D13" i="10"/>
  <c r="C13" i="10"/>
  <c r="B13" i="10"/>
  <c r="D12" i="10"/>
  <c r="B12" i="10"/>
  <c r="B11" i="10"/>
  <c r="D10" i="10"/>
  <c r="C10" i="10"/>
  <c r="B10" i="10"/>
  <c r="D9" i="10"/>
  <c r="B9" i="10"/>
  <c r="B8" i="10"/>
  <c r="C9" i="10" s="1"/>
  <c r="D7" i="10"/>
  <c r="B7" i="10"/>
  <c r="B6" i="10"/>
  <c r="D6" i="10" s="1"/>
  <c r="B5" i="10"/>
  <c r="D4" i="10"/>
  <c r="C4" i="10"/>
  <c r="B4" i="10"/>
  <c r="B3" i="10"/>
  <c r="D3" i="10" s="1"/>
  <c r="J2" i="10"/>
  <c r="B2" i="10"/>
  <c r="C3" i="10" s="1"/>
  <c r="J1" i="10"/>
  <c r="B302" i="9"/>
  <c r="B301" i="9"/>
  <c r="C302" i="9" s="1"/>
  <c r="B300" i="9"/>
  <c r="C301" i="9" s="1"/>
  <c r="C299" i="9"/>
  <c r="B299" i="9"/>
  <c r="C300" i="9" s="1"/>
  <c r="B298" i="9"/>
  <c r="B297" i="9"/>
  <c r="B296" i="9"/>
  <c r="C297" i="9" s="1"/>
  <c r="B295" i="9"/>
  <c r="C296" i="9" s="1"/>
  <c r="B294" i="9"/>
  <c r="C295" i="9" s="1"/>
  <c r="C293" i="9"/>
  <c r="B293" i="9"/>
  <c r="B292" i="9"/>
  <c r="B291" i="9"/>
  <c r="C292" i="9" s="1"/>
  <c r="B290" i="9"/>
  <c r="C291" i="9" s="1"/>
  <c r="B289" i="9"/>
  <c r="C290" i="9" s="1"/>
  <c r="C288" i="9"/>
  <c r="B288" i="9"/>
  <c r="B287" i="9"/>
  <c r="B286" i="9"/>
  <c r="C287" i="9" s="1"/>
  <c r="B285" i="9"/>
  <c r="C286" i="9" s="1"/>
  <c r="B284" i="9"/>
  <c r="C285" i="9" s="1"/>
  <c r="B283" i="9"/>
  <c r="B282" i="9"/>
  <c r="C283" i="9" s="1"/>
  <c r="B281" i="9"/>
  <c r="B280" i="9"/>
  <c r="C281" i="9" s="1"/>
  <c r="C279" i="9"/>
  <c r="B279" i="9"/>
  <c r="B278" i="9"/>
  <c r="C277" i="9"/>
  <c r="B277" i="9"/>
  <c r="C278" i="9" s="1"/>
  <c r="B276" i="9"/>
  <c r="B275" i="9"/>
  <c r="C276" i="9" s="1"/>
  <c r="B274" i="9"/>
  <c r="B273" i="9"/>
  <c r="C274" i="9" s="1"/>
  <c r="B272" i="9"/>
  <c r="C271" i="9"/>
  <c r="B271" i="9"/>
  <c r="B270" i="9"/>
  <c r="B269" i="9"/>
  <c r="C268" i="9"/>
  <c r="B268" i="9"/>
  <c r="C269" i="9" s="1"/>
  <c r="C267" i="9"/>
  <c r="B267" i="9"/>
  <c r="B266" i="9"/>
  <c r="B265" i="9"/>
  <c r="B264" i="9"/>
  <c r="C265" i="9" s="1"/>
  <c r="B263" i="9"/>
  <c r="C264" i="9" s="1"/>
  <c r="B262" i="9"/>
  <c r="C263" i="9" s="1"/>
  <c r="C261" i="9"/>
  <c r="B261" i="9"/>
  <c r="B260" i="9"/>
  <c r="B259" i="9"/>
  <c r="C260" i="9" s="1"/>
  <c r="B258" i="9"/>
  <c r="C259" i="9" s="1"/>
  <c r="B257" i="9"/>
  <c r="B256" i="9"/>
  <c r="C257" i="9" s="1"/>
  <c r="B255" i="9"/>
  <c r="B254" i="9"/>
  <c r="B253" i="9"/>
  <c r="C254" i="9" s="1"/>
  <c r="B252" i="9"/>
  <c r="C253" i="9" s="1"/>
  <c r="B251" i="9"/>
  <c r="C252" i="9" s="1"/>
  <c r="C250" i="9"/>
  <c r="B250" i="9"/>
  <c r="B249" i="9"/>
  <c r="B248" i="9"/>
  <c r="C249" i="9" s="1"/>
  <c r="B247" i="9"/>
  <c r="C248" i="9" s="1"/>
  <c r="B246" i="9"/>
  <c r="C247" i="9" s="1"/>
  <c r="C245" i="9"/>
  <c r="B245" i="9"/>
  <c r="B244" i="9"/>
  <c r="B243" i="9"/>
  <c r="C244" i="9" s="1"/>
  <c r="B242" i="9"/>
  <c r="C243" i="9" s="1"/>
  <c r="B241" i="9"/>
  <c r="C242" i="9" s="1"/>
  <c r="B240" i="9"/>
  <c r="C241" i="9" s="1"/>
  <c r="B239" i="9"/>
  <c r="B238" i="9"/>
  <c r="B237" i="9"/>
  <c r="C238" i="9" s="1"/>
  <c r="B236" i="9"/>
  <c r="C237" i="9" s="1"/>
  <c r="B235" i="9"/>
  <c r="C236" i="9" s="1"/>
  <c r="C234" i="9"/>
  <c r="B234" i="9"/>
  <c r="B233" i="9"/>
  <c r="B232" i="9"/>
  <c r="C233" i="9" s="1"/>
  <c r="B231" i="9"/>
  <c r="C232" i="9" s="1"/>
  <c r="B230" i="9"/>
  <c r="C231" i="9" s="1"/>
  <c r="C229" i="9"/>
  <c r="B229" i="9"/>
  <c r="B228" i="9"/>
  <c r="B227" i="9"/>
  <c r="C228" i="9" s="1"/>
  <c r="B226" i="9"/>
  <c r="C227" i="9" s="1"/>
  <c r="B225" i="9"/>
  <c r="C226" i="9" s="1"/>
  <c r="B224" i="9"/>
  <c r="C225" i="9" s="1"/>
  <c r="B223" i="9"/>
  <c r="B222" i="9"/>
  <c r="B221" i="9"/>
  <c r="C222" i="9" s="1"/>
  <c r="B220" i="9"/>
  <c r="C221" i="9" s="1"/>
  <c r="B219" i="9"/>
  <c r="C220" i="9" s="1"/>
  <c r="C218" i="9"/>
  <c r="B218" i="9"/>
  <c r="B217" i="9"/>
  <c r="B216" i="9"/>
  <c r="C217" i="9" s="1"/>
  <c r="B215" i="9"/>
  <c r="C216" i="9" s="1"/>
  <c r="B214" i="9"/>
  <c r="C215" i="9" s="1"/>
  <c r="C213" i="9"/>
  <c r="B213" i="9"/>
  <c r="B212" i="9"/>
  <c r="B211" i="9"/>
  <c r="C212" i="9" s="1"/>
  <c r="B210" i="9"/>
  <c r="C211" i="9" s="1"/>
  <c r="B209" i="9"/>
  <c r="C210" i="9" s="1"/>
  <c r="B208" i="9"/>
  <c r="C209" i="9" s="1"/>
  <c r="B207" i="9"/>
  <c r="B206" i="9"/>
  <c r="B205" i="9"/>
  <c r="C206" i="9" s="1"/>
  <c r="B204" i="9"/>
  <c r="C205" i="9" s="1"/>
  <c r="B203" i="9"/>
  <c r="C204" i="9" s="1"/>
  <c r="C202" i="9"/>
  <c r="B202" i="9"/>
  <c r="B201" i="9"/>
  <c r="B200" i="9"/>
  <c r="C201" i="9" s="1"/>
  <c r="B199" i="9"/>
  <c r="C200" i="9" s="1"/>
  <c r="B198" i="9"/>
  <c r="C199" i="9" s="1"/>
  <c r="C197" i="9"/>
  <c r="B197" i="9"/>
  <c r="B196" i="9"/>
  <c r="B195" i="9"/>
  <c r="C196" i="9" s="1"/>
  <c r="B194" i="9"/>
  <c r="C195" i="9" s="1"/>
  <c r="B193" i="9"/>
  <c r="C194" i="9" s="1"/>
  <c r="B192" i="9"/>
  <c r="C193" i="9" s="1"/>
  <c r="B191" i="9"/>
  <c r="B190" i="9"/>
  <c r="B189" i="9"/>
  <c r="C190" i="9" s="1"/>
  <c r="B188" i="9"/>
  <c r="C189" i="9" s="1"/>
  <c r="B187" i="9"/>
  <c r="C188" i="9" s="1"/>
  <c r="C186" i="9"/>
  <c r="B186" i="9"/>
  <c r="B185" i="9"/>
  <c r="B184" i="9"/>
  <c r="C185" i="9" s="1"/>
  <c r="B183" i="9"/>
  <c r="C184" i="9" s="1"/>
  <c r="B182" i="9"/>
  <c r="C183" i="9" s="1"/>
  <c r="C181" i="9"/>
  <c r="B181" i="9"/>
  <c r="B180" i="9"/>
  <c r="B179" i="9"/>
  <c r="C180" i="9" s="1"/>
  <c r="B178" i="9"/>
  <c r="C179" i="9" s="1"/>
  <c r="B177" i="9"/>
  <c r="C178" i="9" s="1"/>
  <c r="B176" i="9"/>
  <c r="C177" i="9" s="1"/>
  <c r="B175" i="9"/>
  <c r="B174" i="9"/>
  <c r="B173" i="9"/>
  <c r="C174" i="9" s="1"/>
  <c r="B172" i="9"/>
  <c r="C173" i="9" s="1"/>
  <c r="B171" i="9"/>
  <c r="C172" i="9" s="1"/>
  <c r="C170" i="9"/>
  <c r="B170" i="9"/>
  <c r="B169" i="9"/>
  <c r="B168" i="9"/>
  <c r="C169" i="9" s="1"/>
  <c r="B167" i="9"/>
  <c r="C168" i="9" s="1"/>
  <c r="B166" i="9"/>
  <c r="C167" i="9" s="1"/>
  <c r="C165" i="9"/>
  <c r="B165" i="9"/>
  <c r="B164" i="9"/>
  <c r="B163" i="9"/>
  <c r="C164" i="9" s="1"/>
  <c r="B162" i="9"/>
  <c r="C163" i="9" s="1"/>
  <c r="B161" i="9"/>
  <c r="C162" i="9" s="1"/>
  <c r="B160" i="9"/>
  <c r="C161" i="9" s="1"/>
  <c r="B159" i="9"/>
  <c r="B158" i="9"/>
  <c r="B157" i="9"/>
  <c r="C158" i="9" s="1"/>
  <c r="B156" i="9"/>
  <c r="C157" i="9" s="1"/>
  <c r="B155" i="9"/>
  <c r="C156" i="9" s="1"/>
  <c r="C154" i="9"/>
  <c r="B154" i="9"/>
  <c r="B153" i="9"/>
  <c r="B152" i="9"/>
  <c r="C153" i="9" s="1"/>
  <c r="B151" i="9"/>
  <c r="C152" i="9" s="1"/>
  <c r="B150" i="9"/>
  <c r="C149" i="9"/>
  <c r="B149" i="9"/>
  <c r="B148" i="9"/>
  <c r="B147" i="9"/>
  <c r="C148" i="9" s="1"/>
  <c r="B146" i="9"/>
  <c r="C147" i="9" s="1"/>
  <c r="B145" i="9"/>
  <c r="C146" i="9" s="1"/>
  <c r="B144" i="9"/>
  <c r="C145" i="9" s="1"/>
  <c r="B143" i="9"/>
  <c r="B142" i="9"/>
  <c r="B141" i="9"/>
  <c r="C142" i="9" s="1"/>
  <c r="B140" i="9"/>
  <c r="C141" i="9" s="1"/>
  <c r="B139" i="9"/>
  <c r="C140" i="9" s="1"/>
  <c r="C138" i="9"/>
  <c r="B138" i="9"/>
  <c r="B137" i="9"/>
  <c r="B136" i="9"/>
  <c r="C137" i="9" s="1"/>
  <c r="B135" i="9"/>
  <c r="C136" i="9" s="1"/>
  <c r="B134" i="9"/>
  <c r="C133" i="9"/>
  <c r="B133" i="9"/>
  <c r="B132" i="9"/>
  <c r="B131" i="9"/>
  <c r="C132" i="9" s="1"/>
  <c r="B130" i="9"/>
  <c r="C131" i="9" s="1"/>
  <c r="B129" i="9"/>
  <c r="C130" i="9" s="1"/>
  <c r="B128" i="9"/>
  <c r="C129" i="9" s="1"/>
  <c r="B127" i="9"/>
  <c r="B126" i="9"/>
  <c r="B125" i="9"/>
  <c r="C126" i="9" s="1"/>
  <c r="B124" i="9"/>
  <c r="C125" i="9" s="1"/>
  <c r="B123" i="9"/>
  <c r="C124" i="9" s="1"/>
  <c r="C122" i="9"/>
  <c r="B122" i="9"/>
  <c r="B121" i="9"/>
  <c r="B120" i="9"/>
  <c r="C121" i="9" s="1"/>
  <c r="B119" i="9"/>
  <c r="C120" i="9" s="1"/>
  <c r="B118" i="9"/>
  <c r="C117" i="9"/>
  <c r="B117" i="9"/>
  <c r="B116" i="9"/>
  <c r="B115" i="9"/>
  <c r="C116" i="9" s="1"/>
  <c r="B114" i="9"/>
  <c r="C115" i="9" s="1"/>
  <c r="B113" i="9"/>
  <c r="C114" i="9" s="1"/>
  <c r="B112" i="9"/>
  <c r="C113" i="9" s="1"/>
  <c r="B111" i="9"/>
  <c r="B110" i="9"/>
  <c r="B109" i="9"/>
  <c r="C110" i="9" s="1"/>
  <c r="B108" i="9"/>
  <c r="C109" i="9" s="1"/>
  <c r="B107" i="9"/>
  <c r="C108" i="9" s="1"/>
  <c r="C106" i="9"/>
  <c r="B106" i="9"/>
  <c r="B105" i="9"/>
  <c r="B104" i="9"/>
  <c r="C105" i="9" s="1"/>
  <c r="B103" i="9"/>
  <c r="C104" i="9" s="1"/>
  <c r="B102" i="9"/>
  <c r="C101" i="9"/>
  <c r="B101" i="9"/>
  <c r="B100" i="9"/>
  <c r="B99" i="9"/>
  <c r="C100" i="9" s="1"/>
  <c r="B98" i="9"/>
  <c r="C99" i="9" s="1"/>
  <c r="B97" i="9"/>
  <c r="C98" i="9" s="1"/>
  <c r="B96" i="9"/>
  <c r="C97" i="9" s="1"/>
  <c r="B95" i="9"/>
  <c r="B94" i="9"/>
  <c r="B93" i="9"/>
  <c r="C94" i="9" s="1"/>
  <c r="B92" i="9"/>
  <c r="C93" i="9" s="1"/>
  <c r="B91" i="9"/>
  <c r="C92" i="9" s="1"/>
  <c r="C90" i="9"/>
  <c r="B90" i="9"/>
  <c r="B89" i="9"/>
  <c r="B88" i="9"/>
  <c r="C89" i="9" s="1"/>
  <c r="B87" i="9"/>
  <c r="C88" i="9" s="1"/>
  <c r="B86" i="9"/>
  <c r="C85" i="9"/>
  <c r="B85" i="9"/>
  <c r="B84" i="9"/>
  <c r="B83" i="9"/>
  <c r="C84" i="9" s="1"/>
  <c r="B82" i="9"/>
  <c r="C83" i="9" s="1"/>
  <c r="B81" i="9"/>
  <c r="C82" i="9" s="1"/>
  <c r="B80" i="9"/>
  <c r="C81" i="9" s="1"/>
  <c r="B79" i="9"/>
  <c r="B78" i="9"/>
  <c r="B77" i="9"/>
  <c r="C78" i="9" s="1"/>
  <c r="B76" i="9"/>
  <c r="C77" i="9" s="1"/>
  <c r="B75" i="9"/>
  <c r="C76" i="9" s="1"/>
  <c r="C74" i="9"/>
  <c r="B74" i="9"/>
  <c r="B73" i="9"/>
  <c r="B72" i="9"/>
  <c r="C73" i="9" s="1"/>
  <c r="B71" i="9"/>
  <c r="C72" i="9" s="1"/>
  <c r="B70" i="9"/>
  <c r="C69" i="9"/>
  <c r="B69" i="9"/>
  <c r="B68" i="9"/>
  <c r="B67" i="9"/>
  <c r="C68" i="9" s="1"/>
  <c r="B66" i="9"/>
  <c r="C67" i="9" s="1"/>
  <c r="B65" i="9"/>
  <c r="C66" i="9" s="1"/>
  <c r="B64" i="9"/>
  <c r="C65" i="9" s="1"/>
  <c r="B63" i="9"/>
  <c r="B62" i="9"/>
  <c r="B61" i="9"/>
  <c r="C62" i="9" s="1"/>
  <c r="B60" i="9"/>
  <c r="C61" i="9" s="1"/>
  <c r="C59" i="9"/>
  <c r="B59" i="9"/>
  <c r="C60" i="9" s="1"/>
  <c r="C58" i="9"/>
  <c r="B58" i="9"/>
  <c r="B57" i="9"/>
  <c r="B56" i="9"/>
  <c r="C57" i="9" s="1"/>
  <c r="B55" i="9"/>
  <c r="C54" i="9"/>
  <c r="B54" i="9"/>
  <c r="B53" i="9"/>
  <c r="B52" i="9"/>
  <c r="C53" i="9" s="1"/>
  <c r="C51" i="9"/>
  <c r="B51" i="9"/>
  <c r="C52" i="9" s="1"/>
  <c r="C50" i="9"/>
  <c r="B50" i="9"/>
  <c r="C49" i="9"/>
  <c r="B49" i="9"/>
  <c r="B48" i="9"/>
  <c r="B47" i="9"/>
  <c r="C48" i="9" s="1"/>
  <c r="B46" i="9"/>
  <c r="C47" i="9" s="1"/>
  <c r="C45" i="9"/>
  <c r="B45" i="9"/>
  <c r="B44" i="9"/>
  <c r="B43" i="9"/>
  <c r="C44" i="9" s="1"/>
  <c r="C42" i="9"/>
  <c r="B42" i="9"/>
  <c r="C43" i="9" s="1"/>
  <c r="C41" i="9"/>
  <c r="B41" i="9"/>
  <c r="B40" i="9"/>
  <c r="B39" i="9"/>
  <c r="B38" i="9"/>
  <c r="C39" i="9" s="1"/>
  <c r="B37" i="9"/>
  <c r="C38" i="9" s="1"/>
  <c r="B36" i="9"/>
  <c r="C37" i="9" s="1"/>
  <c r="C35" i="9"/>
  <c r="B35" i="9"/>
  <c r="B34" i="9"/>
  <c r="C33" i="9"/>
  <c r="B33" i="9"/>
  <c r="C34" i="9" s="1"/>
  <c r="B32" i="9"/>
  <c r="C31" i="9"/>
  <c r="B31" i="9"/>
  <c r="B30" i="9"/>
  <c r="B29" i="9"/>
  <c r="C30" i="9" s="1"/>
  <c r="B28" i="9"/>
  <c r="C29" i="9" s="1"/>
  <c r="C27" i="9"/>
  <c r="B27" i="9"/>
  <c r="C28" i="9" s="1"/>
  <c r="C26" i="9"/>
  <c r="B26" i="9"/>
  <c r="B25" i="9"/>
  <c r="B24" i="9"/>
  <c r="C25" i="9" s="1"/>
  <c r="B23" i="9"/>
  <c r="C22" i="9"/>
  <c r="B22" i="9"/>
  <c r="B21" i="9"/>
  <c r="B20" i="9"/>
  <c r="C21" i="9" s="1"/>
  <c r="C19" i="9"/>
  <c r="B19" i="9"/>
  <c r="C20" i="9" s="1"/>
  <c r="C18" i="9"/>
  <c r="B18" i="9"/>
  <c r="C17" i="9"/>
  <c r="B17" i="9"/>
  <c r="B16" i="9"/>
  <c r="B15" i="9"/>
  <c r="C16" i="9" s="1"/>
  <c r="B14" i="9"/>
  <c r="C15" i="9" s="1"/>
  <c r="C13" i="9"/>
  <c r="B13" i="9"/>
  <c r="B12" i="9"/>
  <c r="B11" i="9"/>
  <c r="C12" i="9" s="1"/>
  <c r="C10" i="9"/>
  <c r="B10" i="9"/>
  <c r="C11" i="9" s="1"/>
  <c r="C9" i="9"/>
  <c r="B9" i="9"/>
  <c r="B8" i="9"/>
  <c r="B7" i="9"/>
  <c r="B6" i="9"/>
  <c r="C7" i="9" s="1"/>
  <c r="B5" i="9"/>
  <c r="C6" i="9" s="1"/>
  <c r="B4" i="9"/>
  <c r="C5" i="9" s="1"/>
  <c r="J3" i="9"/>
  <c r="B3" i="9"/>
  <c r="J2" i="9"/>
  <c r="B2" i="9"/>
  <c r="C3" i="9" s="1"/>
  <c r="J1" i="9"/>
  <c r="C31" i="8"/>
  <c r="E27" i="8"/>
  <c r="D27" i="8"/>
  <c r="C27" i="8"/>
  <c r="E26" i="8"/>
  <c r="D26" i="8"/>
  <c r="C26" i="8"/>
  <c r="E25" i="8"/>
  <c r="D25" i="8"/>
  <c r="C25" i="8"/>
  <c r="E24" i="8"/>
  <c r="D24" i="8"/>
  <c r="C24" i="8"/>
  <c r="E23" i="8"/>
  <c r="D23" i="8"/>
  <c r="C23" i="8"/>
  <c r="E22" i="8"/>
  <c r="D22" i="8"/>
  <c r="C22" i="8"/>
  <c r="E21" i="8"/>
  <c r="D21" i="8"/>
  <c r="C21" i="8"/>
  <c r="E20" i="8"/>
  <c r="D20" i="8"/>
  <c r="C20" i="8"/>
  <c r="E19" i="8"/>
  <c r="D19" i="8"/>
  <c r="C19" i="8"/>
  <c r="E18" i="8"/>
  <c r="D18" i="8"/>
  <c r="C18" i="8"/>
  <c r="E17" i="8"/>
  <c r="D17" i="8"/>
  <c r="C17" i="8"/>
  <c r="E16" i="8"/>
  <c r="D16" i="8"/>
  <c r="C16" i="8"/>
  <c r="E15" i="8"/>
  <c r="D15" i="8"/>
  <c r="C15" i="8"/>
  <c r="E14" i="8"/>
  <c r="D14" i="8"/>
  <c r="C14" i="8"/>
  <c r="E13" i="8"/>
  <c r="D13" i="8"/>
  <c r="C13" i="8"/>
  <c r="E12" i="8"/>
  <c r="D12" i="8"/>
  <c r="C12" i="8"/>
  <c r="E11" i="8"/>
  <c r="D11" i="8"/>
  <c r="C11" i="8"/>
  <c r="E10" i="8"/>
  <c r="D10" i="8"/>
  <c r="C10" i="8"/>
  <c r="E9" i="8"/>
  <c r="D9" i="8"/>
  <c r="C9" i="8"/>
  <c r="E8" i="8"/>
  <c r="D8" i="8"/>
  <c r="C8" i="8"/>
  <c r="E7" i="8"/>
  <c r="D7" i="8"/>
  <c r="C7" i="8"/>
  <c r="E6" i="8"/>
  <c r="D6" i="8"/>
  <c r="C6" i="8"/>
  <c r="E5" i="8"/>
  <c r="D5" i="8"/>
  <c r="C5" i="8"/>
  <c r="E4" i="8"/>
  <c r="D4" i="8"/>
  <c r="C4" i="8"/>
  <c r="E3" i="8"/>
  <c r="D3" i="8"/>
  <c r="C3" i="8"/>
  <c r="AC100" i="7"/>
  <c r="AA100" i="7"/>
  <c r="Z100" i="7"/>
  <c r="Y100" i="7"/>
  <c r="X100" i="7"/>
  <c r="W100" i="7"/>
  <c r="V100" i="7"/>
  <c r="U100" i="7"/>
  <c r="T100" i="7"/>
  <c r="S100" i="7"/>
  <c r="R100" i="7"/>
  <c r="Q100" i="7"/>
  <c r="P100" i="7"/>
  <c r="O100" i="7"/>
  <c r="N100" i="7"/>
  <c r="M100" i="7"/>
  <c r="L100" i="7"/>
  <c r="K100" i="7"/>
  <c r="J100" i="7"/>
  <c r="I100" i="7"/>
  <c r="H100" i="7"/>
  <c r="G100" i="7"/>
  <c r="F100" i="7"/>
  <c r="E100" i="7"/>
  <c r="AD100" i="7" s="1"/>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A94" i="7"/>
  <c r="Z94" i="7"/>
  <c r="Y94" i="7"/>
  <c r="X94" i="7"/>
  <c r="W94" i="7"/>
  <c r="V94" i="7"/>
  <c r="U94" i="7"/>
  <c r="T94" i="7"/>
  <c r="S94" i="7"/>
  <c r="R94" i="7"/>
  <c r="Q94" i="7"/>
  <c r="P94" i="7"/>
  <c r="O94" i="7"/>
  <c r="N94" i="7"/>
  <c r="M94" i="7"/>
  <c r="L94" i="7"/>
  <c r="K94" i="7"/>
  <c r="J94" i="7"/>
  <c r="I94" i="7"/>
  <c r="H94" i="7"/>
  <c r="G94" i="7"/>
  <c r="F94" i="7"/>
  <c r="E94" i="7"/>
  <c r="AD94" i="7" s="1"/>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A86" i="7"/>
  <c r="Z86" i="7"/>
  <c r="Y86" i="7"/>
  <c r="X86" i="7"/>
  <c r="W86" i="7"/>
  <c r="V86" i="7"/>
  <c r="U86" i="7"/>
  <c r="T86" i="7"/>
  <c r="S86" i="7"/>
  <c r="R86" i="7"/>
  <c r="Q86" i="7"/>
  <c r="P86" i="7"/>
  <c r="O86" i="7"/>
  <c r="N86" i="7"/>
  <c r="M86" i="7"/>
  <c r="L86" i="7"/>
  <c r="K86" i="7"/>
  <c r="J86" i="7"/>
  <c r="I86" i="7"/>
  <c r="H86" i="7"/>
  <c r="G86" i="7"/>
  <c r="F86" i="7"/>
  <c r="E86" i="7"/>
  <c r="AD86" i="7" s="1"/>
  <c r="D86" i="7"/>
  <c r="C86" i="7"/>
  <c r="AC85" i="7"/>
  <c r="AA85" i="7"/>
  <c r="Z85" i="7"/>
  <c r="Y85" i="7"/>
  <c r="X85" i="7"/>
  <c r="W85" i="7"/>
  <c r="V85" i="7"/>
  <c r="U85" i="7"/>
  <c r="T85" i="7"/>
  <c r="S85" i="7"/>
  <c r="R85" i="7"/>
  <c r="Q85" i="7"/>
  <c r="P85" i="7"/>
  <c r="O85" i="7"/>
  <c r="N85" i="7"/>
  <c r="M85" i="7"/>
  <c r="L85" i="7"/>
  <c r="K85" i="7"/>
  <c r="J85" i="7"/>
  <c r="I85" i="7"/>
  <c r="H85" i="7"/>
  <c r="G85" i="7"/>
  <c r="F85" i="7"/>
  <c r="E85" i="7"/>
  <c r="AD85" i="7" s="1"/>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A78" i="7"/>
  <c r="Z78" i="7"/>
  <c r="Y78" i="7"/>
  <c r="X78" i="7"/>
  <c r="W78" i="7"/>
  <c r="V78" i="7"/>
  <c r="U78" i="7"/>
  <c r="T78" i="7"/>
  <c r="S78" i="7"/>
  <c r="R78" i="7"/>
  <c r="Q78" i="7"/>
  <c r="P78" i="7"/>
  <c r="O78" i="7"/>
  <c r="N78" i="7"/>
  <c r="M78" i="7"/>
  <c r="L78" i="7"/>
  <c r="K78" i="7"/>
  <c r="J78" i="7"/>
  <c r="I78" i="7"/>
  <c r="H78" i="7"/>
  <c r="G78" i="7"/>
  <c r="F78" i="7"/>
  <c r="E78" i="7"/>
  <c r="AD78" i="7" s="1"/>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A76" i="7"/>
  <c r="Z76" i="7"/>
  <c r="Y76" i="7"/>
  <c r="X76" i="7"/>
  <c r="W76" i="7"/>
  <c r="V76" i="7"/>
  <c r="U76" i="7"/>
  <c r="T76" i="7"/>
  <c r="S76" i="7"/>
  <c r="R76" i="7"/>
  <c r="Q76" i="7"/>
  <c r="P76" i="7"/>
  <c r="O76" i="7"/>
  <c r="N76" i="7"/>
  <c r="M76" i="7"/>
  <c r="L76" i="7"/>
  <c r="K76" i="7"/>
  <c r="J76" i="7"/>
  <c r="I76" i="7"/>
  <c r="H76" i="7"/>
  <c r="G76" i="7"/>
  <c r="F76" i="7"/>
  <c r="E76" i="7"/>
  <c r="AD76" i="7" s="1"/>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A74" i="7"/>
  <c r="Z74" i="7"/>
  <c r="Y74" i="7"/>
  <c r="X74" i="7"/>
  <c r="W74" i="7"/>
  <c r="V74" i="7"/>
  <c r="U74" i="7"/>
  <c r="T74" i="7"/>
  <c r="S74" i="7"/>
  <c r="R74" i="7"/>
  <c r="Q74" i="7"/>
  <c r="P74" i="7"/>
  <c r="O74" i="7"/>
  <c r="N74" i="7"/>
  <c r="M74" i="7"/>
  <c r="L74" i="7"/>
  <c r="K74" i="7"/>
  <c r="J74" i="7"/>
  <c r="I74" i="7"/>
  <c r="H74" i="7"/>
  <c r="G74" i="7"/>
  <c r="F74" i="7"/>
  <c r="E74" i="7"/>
  <c r="AD74" i="7" s="1"/>
  <c r="D74" i="7"/>
  <c r="C74" i="7"/>
  <c r="AC73" i="7"/>
  <c r="AD73" i="7" s="1"/>
  <c r="AA73" i="7"/>
  <c r="AA6" i="7" s="1"/>
  <c r="Z73" i="7"/>
  <c r="Y73" i="7"/>
  <c r="X73" i="7"/>
  <c r="W73" i="7"/>
  <c r="V73" i="7"/>
  <c r="U73" i="7"/>
  <c r="T73" i="7"/>
  <c r="S73" i="7"/>
  <c r="S6" i="7" s="1"/>
  <c r="R73" i="7"/>
  <c r="Q73" i="7"/>
  <c r="P73" i="7"/>
  <c r="O73" i="7"/>
  <c r="N73" i="7"/>
  <c r="M73" i="7"/>
  <c r="L73" i="7"/>
  <c r="K73" i="7"/>
  <c r="K6" i="7" s="1"/>
  <c r="J73" i="7"/>
  <c r="I73" i="7"/>
  <c r="H73" i="7"/>
  <c r="G73" i="7"/>
  <c r="F73" i="7"/>
  <c r="E73" i="7"/>
  <c r="D73" i="7"/>
  <c r="C73" i="7"/>
  <c r="C6" i="7" s="1"/>
  <c r="AC72" i="7"/>
  <c r="AA72" i="7"/>
  <c r="Z72" i="7"/>
  <c r="Y72" i="7"/>
  <c r="X72" i="7"/>
  <c r="W72" i="7"/>
  <c r="V72" i="7"/>
  <c r="V5" i="7" s="1"/>
  <c r="U72" i="7"/>
  <c r="U6" i="7" s="1"/>
  <c r="T72" i="7"/>
  <c r="T6" i="7" s="1"/>
  <c r="S72" i="7"/>
  <c r="R72" i="7"/>
  <c r="Q72" i="7"/>
  <c r="P72" i="7"/>
  <c r="O72" i="7"/>
  <c r="N72" i="7"/>
  <c r="N5" i="7" s="1"/>
  <c r="M72" i="7"/>
  <c r="M6" i="7" s="1"/>
  <c r="L72" i="7"/>
  <c r="L6" i="7" s="1"/>
  <c r="K72" i="7"/>
  <c r="J72" i="7"/>
  <c r="I72" i="7"/>
  <c r="H72" i="7"/>
  <c r="G72" i="7"/>
  <c r="F72" i="7"/>
  <c r="F5" i="7" s="1"/>
  <c r="E72" i="7"/>
  <c r="E6" i="7" s="1"/>
  <c r="D72" i="7"/>
  <c r="D6" i="7" s="1"/>
  <c r="C72" i="7"/>
  <c r="AC71" i="7"/>
  <c r="AD71" i="7" s="1"/>
  <c r="AA71" i="7"/>
  <c r="Z71" i="7"/>
  <c r="Y71" i="7"/>
  <c r="Y4" i="7" s="1"/>
  <c r="X71" i="7"/>
  <c r="X4" i="7" s="1"/>
  <c r="W71" i="7"/>
  <c r="W4" i="7" s="1"/>
  <c r="V71" i="7"/>
  <c r="U71" i="7"/>
  <c r="T71" i="7"/>
  <c r="S71" i="7"/>
  <c r="R71" i="7"/>
  <c r="Q71" i="7"/>
  <c r="Q4" i="7" s="1"/>
  <c r="P71" i="7"/>
  <c r="P4" i="7" s="1"/>
  <c r="O71" i="7"/>
  <c r="O4" i="7" s="1"/>
  <c r="N71" i="7"/>
  <c r="M71" i="7"/>
  <c r="L71" i="7"/>
  <c r="K71" i="7"/>
  <c r="J71" i="7"/>
  <c r="I71" i="7"/>
  <c r="I4" i="7" s="1"/>
  <c r="H71" i="7"/>
  <c r="H4" i="7" s="1"/>
  <c r="G71" i="7"/>
  <c r="G4" i="7" s="1"/>
  <c r="F71" i="7"/>
  <c r="E71" i="7"/>
  <c r="D71" i="7"/>
  <c r="C71" i="7"/>
  <c r="AC70" i="7"/>
  <c r="AA70" i="7"/>
  <c r="Z70" i="7"/>
  <c r="Y70" i="7"/>
  <c r="X70" i="7"/>
  <c r="W70" i="7"/>
  <c r="V70" i="7"/>
  <c r="U70" i="7"/>
  <c r="T70" i="7"/>
  <c r="S70" i="7"/>
  <c r="R70" i="7"/>
  <c r="Q70" i="7"/>
  <c r="P70" i="7"/>
  <c r="O70" i="7"/>
  <c r="N70" i="7"/>
  <c r="M70" i="7"/>
  <c r="L70" i="7"/>
  <c r="K70" i="7"/>
  <c r="J70" i="7"/>
  <c r="I70" i="7"/>
  <c r="H70" i="7"/>
  <c r="G70" i="7"/>
  <c r="F70" i="7"/>
  <c r="E70" i="7"/>
  <c r="AD70" i="7" s="1"/>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A66" i="7"/>
  <c r="Z66" i="7"/>
  <c r="Y66" i="7"/>
  <c r="X66" i="7"/>
  <c r="W66" i="7"/>
  <c r="V66" i="7"/>
  <c r="U66" i="7"/>
  <c r="T66" i="7"/>
  <c r="S66" i="7"/>
  <c r="R66" i="7"/>
  <c r="Q66" i="7"/>
  <c r="P66" i="7"/>
  <c r="O66" i="7"/>
  <c r="N66" i="7"/>
  <c r="M66" i="7"/>
  <c r="L66" i="7"/>
  <c r="K66" i="7"/>
  <c r="J66" i="7"/>
  <c r="I66" i="7"/>
  <c r="H66" i="7"/>
  <c r="G66" i="7"/>
  <c r="F66" i="7"/>
  <c r="E66" i="7"/>
  <c r="AD66" i="7" s="1"/>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A61" i="7"/>
  <c r="Z61" i="7"/>
  <c r="Y61" i="7"/>
  <c r="X61" i="7"/>
  <c r="W61" i="7"/>
  <c r="V61" i="7"/>
  <c r="U61" i="7"/>
  <c r="T61" i="7"/>
  <c r="S61" i="7"/>
  <c r="R61" i="7"/>
  <c r="Q61" i="7"/>
  <c r="P61" i="7"/>
  <c r="O61" i="7"/>
  <c r="N61" i="7"/>
  <c r="M61" i="7"/>
  <c r="L61" i="7"/>
  <c r="K61" i="7"/>
  <c r="J61" i="7"/>
  <c r="I61" i="7"/>
  <c r="H61" i="7"/>
  <c r="G61" i="7"/>
  <c r="F61" i="7"/>
  <c r="E61" i="7"/>
  <c r="AD61" i="7" s="1"/>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A58" i="7"/>
  <c r="Z58" i="7"/>
  <c r="Y58" i="7"/>
  <c r="X58" i="7"/>
  <c r="W58" i="7"/>
  <c r="V58" i="7"/>
  <c r="U58" i="7"/>
  <c r="T58" i="7"/>
  <c r="S58" i="7"/>
  <c r="R58" i="7"/>
  <c r="Q58" i="7"/>
  <c r="P58" i="7"/>
  <c r="O58" i="7"/>
  <c r="N58" i="7"/>
  <c r="M58" i="7"/>
  <c r="L58" i="7"/>
  <c r="K58" i="7"/>
  <c r="J58" i="7"/>
  <c r="I58" i="7"/>
  <c r="H58" i="7"/>
  <c r="G58" i="7"/>
  <c r="F58" i="7"/>
  <c r="E58" i="7"/>
  <c r="AD58" i="7" s="1"/>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A52" i="7"/>
  <c r="Z52" i="7"/>
  <c r="Y52" i="7"/>
  <c r="X52" i="7"/>
  <c r="W52" i="7"/>
  <c r="V52" i="7"/>
  <c r="U52" i="7"/>
  <c r="T52" i="7"/>
  <c r="S52" i="7"/>
  <c r="R52" i="7"/>
  <c r="Q52" i="7"/>
  <c r="P52" i="7"/>
  <c r="O52" i="7"/>
  <c r="N52" i="7"/>
  <c r="M52" i="7"/>
  <c r="L52" i="7"/>
  <c r="K52" i="7"/>
  <c r="J52" i="7"/>
  <c r="I52" i="7"/>
  <c r="H52" i="7"/>
  <c r="G52" i="7"/>
  <c r="F52" i="7"/>
  <c r="E52" i="7"/>
  <c r="AD52" i="7" s="1"/>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D50" i="7"/>
  <c r="C50" i="7"/>
  <c r="AC49" i="7"/>
  <c r="AD49" i="7" s="1"/>
  <c r="AA49" i="7"/>
  <c r="Z49" i="7"/>
  <c r="Y49" i="7"/>
  <c r="X49" i="7"/>
  <c r="W49" i="7"/>
  <c r="V49" i="7"/>
  <c r="U49" i="7"/>
  <c r="T49" i="7"/>
  <c r="S49" i="7"/>
  <c r="R49" i="7"/>
  <c r="Q49" i="7"/>
  <c r="P49" i="7"/>
  <c r="O49" i="7"/>
  <c r="N49" i="7"/>
  <c r="M49" i="7"/>
  <c r="L49" i="7"/>
  <c r="K49" i="7"/>
  <c r="J49" i="7"/>
  <c r="I49" i="7"/>
  <c r="H49" i="7"/>
  <c r="G49" i="7"/>
  <c r="F49" i="7"/>
  <c r="E49" i="7"/>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A45" i="7"/>
  <c r="Z45" i="7"/>
  <c r="Y45" i="7"/>
  <c r="X45" i="7"/>
  <c r="W45" i="7"/>
  <c r="V45" i="7"/>
  <c r="U45" i="7"/>
  <c r="T45" i="7"/>
  <c r="S45" i="7"/>
  <c r="R45" i="7"/>
  <c r="Q45" i="7"/>
  <c r="P45" i="7"/>
  <c r="O45" i="7"/>
  <c r="N45" i="7"/>
  <c r="M45" i="7"/>
  <c r="L45" i="7"/>
  <c r="K45" i="7"/>
  <c r="J45" i="7"/>
  <c r="I45" i="7"/>
  <c r="H45" i="7"/>
  <c r="G45" i="7"/>
  <c r="F45" i="7"/>
  <c r="E45" i="7"/>
  <c r="AD45" i="7" s="1"/>
  <c r="D45" i="7"/>
  <c r="C45" i="7"/>
  <c r="AC44" i="7"/>
  <c r="AA44" i="7"/>
  <c r="Z44" i="7"/>
  <c r="Y44" i="7"/>
  <c r="X44" i="7"/>
  <c r="W44" i="7"/>
  <c r="V44" i="7"/>
  <c r="U44" i="7"/>
  <c r="T44" i="7"/>
  <c r="S44" i="7"/>
  <c r="R44" i="7"/>
  <c r="Q44" i="7"/>
  <c r="P44" i="7"/>
  <c r="O44" i="7"/>
  <c r="N44" i="7"/>
  <c r="M44" i="7"/>
  <c r="L44" i="7"/>
  <c r="K44" i="7"/>
  <c r="J44" i="7"/>
  <c r="I44" i="7"/>
  <c r="H44" i="7"/>
  <c r="G44" i="7"/>
  <c r="F44" i="7"/>
  <c r="E44" i="7"/>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A42" i="7"/>
  <c r="Z42" i="7"/>
  <c r="Y42" i="7"/>
  <c r="X42" i="7"/>
  <c r="W42" i="7"/>
  <c r="V42" i="7"/>
  <c r="U42" i="7"/>
  <c r="T42" i="7"/>
  <c r="S42" i="7"/>
  <c r="R42" i="7"/>
  <c r="Q42" i="7"/>
  <c r="P42" i="7"/>
  <c r="O42" i="7"/>
  <c r="N42" i="7"/>
  <c r="M42" i="7"/>
  <c r="L42" i="7"/>
  <c r="K42" i="7"/>
  <c r="J42" i="7"/>
  <c r="I42" i="7"/>
  <c r="H42" i="7"/>
  <c r="G42" i="7"/>
  <c r="F42" i="7"/>
  <c r="E42" i="7"/>
  <c r="AD42" i="7" s="1"/>
  <c r="D42" i="7"/>
  <c r="C42" i="7"/>
  <c r="AC41" i="7"/>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A37" i="7"/>
  <c r="Z37" i="7"/>
  <c r="Y37" i="7"/>
  <c r="X37" i="7"/>
  <c r="W37" i="7"/>
  <c r="V37" i="7"/>
  <c r="U37" i="7"/>
  <c r="T37" i="7"/>
  <c r="S37" i="7"/>
  <c r="R37" i="7"/>
  <c r="Q37" i="7"/>
  <c r="P37" i="7"/>
  <c r="O37" i="7"/>
  <c r="N37" i="7"/>
  <c r="M37" i="7"/>
  <c r="L37" i="7"/>
  <c r="K37" i="7"/>
  <c r="J37" i="7"/>
  <c r="I37" i="7"/>
  <c r="H37" i="7"/>
  <c r="G37" i="7"/>
  <c r="F37" i="7"/>
  <c r="E37" i="7"/>
  <c r="AD37" i="7" s="1"/>
  <c r="D37" i="7"/>
  <c r="C37" i="7"/>
  <c r="AC36" i="7"/>
  <c r="AA36" i="7"/>
  <c r="Z36" i="7"/>
  <c r="Y36" i="7"/>
  <c r="X36" i="7"/>
  <c r="W36" i="7"/>
  <c r="V36" i="7"/>
  <c r="U36" i="7"/>
  <c r="T36" i="7"/>
  <c r="S36" i="7"/>
  <c r="R36" i="7"/>
  <c r="Q36" i="7"/>
  <c r="P36" i="7"/>
  <c r="O36" i="7"/>
  <c r="N36" i="7"/>
  <c r="M36" i="7"/>
  <c r="L36" i="7"/>
  <c r="K36" i="7"/>
  <c r="J36" i="7"/>
  <c r="I36" i="7"/>
  <c r="H36" i="7"/>
  <c r="G36" i="7"/>
  <c r="F36" i="7"/>
  <c r="E36" i="7"/>
  <c r="AD36" i="7" s="1"/>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A29" i="7"/>
  <c r="Z29" i="7"/>
  <c r="Y29" i="7"/>
  <c r="X29" i="7"/>
  <c r="W29" i="7"/>
  <c r="V29" i="7"/>
  <c r="U29" i="7"/>
  <c r="T29" i="7"/>
  <c r="S29" i="7"/>
  <c r="R29" i="7"/>
  <c r="Q29" i="7"/>
  <c r="P29" i="7"/>
  <c r="O29" i="7"/>
  <c r="N29" i="7"/>
  <c r="M29" i="7"/>
  <c r="L29" i="7"/>
  <c r="K29" i="7"/>
  <c r="J29" i="7"/>
  <c r="I29" i="7"/>
  <c r="H29" i="7"/>
  <c r="G29" i="7"/>
  <c r="F29" i="7"/>
  <c r="E29" i="7"/>
  <c r="AD29" i="7" s="1"/>
  <c r="D29" i="7"/>
  <c r="C29" i="7"/>
  <c r="AC28" i="7"/>
  <c r="AA28" i="7"/>
  <c r="Z28" i="7"/>
  <c r="Y28" i="7"/>
  <c r="X28" i="7"/>
  <c r="W28" i="7"/>
  <c r="V28" i="7"/>
  <c r="U28" i="7"/>
  <c r="T28" i="7"/>
  <c r="S28" i="7"/>
  <c r="R28" i="7"/>
  <c r="Q28" i="7"/>
  <c r="P28" i="7"/>
  <c r="O28" i="7"/>
  <c r="N28" i="7"/>
  <c r="M28" i="7"/>
  <c r="L28" i="7"/>
  <c r="K28" i="7"/>
  <c r="J28" i="7"/>
  <c r="I28" i="7"/>
  <c r="H28" i="7"/>
  <c r="G28" i="7"/>
  <c r="F28" i="7"/>
  <c r="E28" i="7"/>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A26" i="7"/>
  <c r="Z26" i="7"/>
  <c r="Y26" i="7"/>
  <c r="X26" i="7"/>
  <c r="W26" i="7"/>
  <c r="V26" i="7"/>
  <c r="U26" i="7"/>
  <c r="T26" i="7"/>
  <c r="S26" i="7"/>
  <c r="R26" i="7"/>
  <c r="Q26" i="7"/>
  <c r="P26" i="7"/>
  <c r="O26" i="7"/>
  <c r="N26" i="7"/>
  <c r="M26" i="7"/>
  <c r="L26" i="7"/>
  <c r="K26" i="7"/>
  <c r="J26" i="7"/>
  <c r="I26" i="7"/>
  <c r="H26" i="7"/>
  <c r="G26" i="7"/>
  <c r="F26" i="7"/>
  <c r="E26" i="7"/>
  <c r="AD26" i="7" s="1"/>
  <c r="D26" i="7"/>
  <c r="C26" i="7"/>
  <c r="AC25" i="7"/>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A21" i="7"/>
  <c r="Z21" i="7"/>
  <c r="Y21" i="7"/>
  <c r="X21" i="7"/>
  <c r="W21" i="7"/>
  <c r="V21" i="7"/>
  <c r="U21" i="7"/>
  <c r="T21" i="7"/>
  <c r="S21" i="7"/>
  <c r="R21" i="7"/>
  <c r="Q21" i="7"/>
  <c r="P21" i="7"/>
  <c r="O21" i="7"/>
  <c r="N21" i="7"/>
  <c r="M21" i="7"/>
  <c r="L21" i="7"/>
  <c r="K21" i="7"/>
  <c r="J21" i="7"/>
  <c r="I21" i="7"/>
  <c r="H21" i="7"/>
  <c r="G21" i="7"/>
  <c r="F21" i="7"/>
  <c r="E21" i="7"/>
  <c r="AD21" i="7" s="1"/>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A13" i="7"/>
  <c r="Z13" i="7"/>
  <c r="Y13" i="7"/>
  <c r="X13" i="7"/>
  <c r="W13" i="7"/>
  <c r="V13" i="7"/>
  <c r="U13" i="7"/>
  <c r="T13" i="7"/>
  <c r="S13" i="7"/>
  <c r="R13" i="7"/>
  <c r="Q13" i="7"/>
  <c r="P13" i="7"/>
  <c r="O13" i="7"/>
  <c r="N13" i="7"/>
  <c r="M13" i="7"/>
  <c r="L13" i="7"/>
  <c r="K13" i="7"/>
  <c r="J13" i="7"/>
  <c r="I13" i="7"/>
  <c r="H13" i="7"/>
  <c r="G13" i="7"/>
  <c r="F13" i="7"/>
  <c r="E13" i="7"/>
  <c r="AD13" i="7" s="1"/>
  <c r="D13" i="7"/>
  <c r="C13" i="7"/>
  <c r="AC12" i="7"/>
  <c r="AA12" i="7"/>
  <c r="Z12" i="7"/>
  <c r="Y12" i="7"/>
  <c r="X12" i="7"/>
  <c r="W12" i="7"/>
  <c r="V12" i="7"/>
  <c r="U12" i="7"/>
  <c r="T12" i="7"/>
  <c r="S12" i="7"/>
  <c r="R12" i="7"/>
  <c r="Q12" i="7"/>
  <c r="P12" i="7"/>
  <c r="O12" i="7"/>
  <c r="N12" i="7"/>
  <c r="M12" i="7"/>
  <c r="L12" i="7"/>
  <c r="K12" i="7"/>
  <c r="J12" i="7"/>
  <c r="I12" i="7"/>
  <c r="H12" i="7"/>
  <c r="G12" i="7"/>
  <c r="F12" i="7"/>
  <c r="E12" i="7"/>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W9" i="7"/>
  <c r="O9" i="7"/>
  <c r="N9" i="7"/>
  <c r="M9" i="7"/>
  <c r="L9" i="7"/>
  <c r="G9" i="7"/>
  <c r="X8" i="7"/>
  <c r="V8" i="7"/>
  <c r="U8" i="7"/>
  <c r="P8" i="7"/>
  <c r="H8" i="7"/>
  <c r="F8" i="7"/>
  <c r="E8" i="7"/>
  <c r="Z6" i="7"/>
  <c r="Y6" i="7"/>
  <c r="Y7" i="7" s="1"/>
  <c r="X6" i="7"/>
  <c r="X7" i="7" s="1"/>
  <c r="W6" i="7"/>
  <c r="W7" i="7" s="1"/>
  <c r="R6" i="7"/>
  <c r="Q6" i="7"/>
  <c r="Q7" i="7" s="1"/>
  <c r="P6" i="7"/>
  <c r="P7" i="7" s="1"/>
  <c r="O6" i="7"/>
  <c r="O7" i="7" s="1"/>
  <c r="J6" i="7"/>
  <c r="I6" i="7"/>
  <c r="I7" i="7" s="1"/>
  <c r="H6" i="7"/>
  <c r="H7" i="7" s="1"/>
  <c r="G6" i="7"/>
  <c r="G7" i="7" s="1"/>
  <c r="AA5" i="7"/>
  <c r="Z5" i="7"/>
  <c r="Y5" i="7"/>
  <c r="X5" i="7"/>
  <c r="S5" i="7"/>
  <c r="R5" i="7"/>
  <c r="Q5" i="7"/>
  <c r="P5" i="7"/>
  <c r="K5" i="7"/>
  <c r="J5" i="7"/>
  <c r="I5" i="7"/>
  <c r="H5" i="7"/>
  <c r="C5" i="7"/>
  <c r="AE4" i="7"/>
  <c r="O8" i="7" s="1"/>
  <c r="AA4" i="7"/>
  <c r="Z4" i="7"/>
  <c r="U4" i="7"/>
  <c r="T4" i="7"/>
  <c r="S4" i="7"/>
  <c r="R4" i="7"/>
  <c r="M4" i="7"/>
  <c r="L4" i="7"/>
  <c r="K4" i="7"/>
  <c r="J4" i="7"/>
  <c r="E4" i="7"/>
  <c r="D4" i="7"/>
  <c r="C4" i="7"/>
  <c r="AE3" i="7"/>
  <c r="V9" i="7" s="1"/>
  <c r="AE2" i="7"/>
  <c r="Z9" i="7" s="1"/>
  <c r="AC99" i="6"/>
  <c r="AD99" i="6" s="1"/>
  <c r="AA99" i="6"/>
  <c r="Z99" i="6"/>
  <c r="Y99" i="6"/>
  <c r="X99" i="6"/>
  <c r="W99" i="6"/>
  <c r="V99" i="6"/>
  <c r="U99" i="6"/>
  <c r="T99" i="6"/>
  <c r="S99" i="6"/>
  <c r="R99" i="6"/>
  <c r="Q99" i="6"/>
  <c r="P99" i="6"/>
  <c r="O99" i="6"/>
  <c r="N99" i="6"/>
  <c r="M99" i="6"/>
  <c r="L99" i="6"/>
  <c r="K99" i="6"/>
  <c r="J99" i="6"/>
  <c r="I99" i="6"/>
  <c r="H99" i="6"/>
  <c r="G99" i="6"/>
  <c r="F99" i="6"/>
  <c r="E99" i="6"/>
  <c r="D99" i="6"/>
  <c r="C99" i="6"/>
  <c r="AC98" i="6"/>
  <c r="AD98" i="6" s="1"/>
  <c r="AA98" i="6"/>
  <c r="Z98" i="6"/>
  <c r="Y98" i="6"/>
  <c r="X98" i="6"/>
  <c r="W98" i="6"/>
  <c r="V98" i="6"/>
  <c r="U98" i="6"/>
  <c r="T98" i="6"/>
  <c r="S98" i="6"/>
  <c r="R98" i="6"/>
  <c r="Q98" i="6"/>
  <c r="P98" i="6"/>
  <c r="O98" i="6"/>
  <c r="N98" i="6"/>
  <c r="M98" i="6"/>
  <c r="L98" i="6"/>
  <c r="K98" i="6"/>
  <c r="J98" i="6"/>
  <c r="I98" i="6"/>
  <c r="H98" i="6"/>
  <c r="G98" i="6"/>
  <c r="F98" i="6"/>
  <c r="E98" i="6"/>
  <c r="D98" i="6"/>
  <c r="C98" i="6"/>
  <c r="AC97" i="6"/>
  <c r="AA97" i="6"/>
  <c r="Z97" i="6"/>
  <c r="Y97" i="6"/>
  <c r="X97" i="6"/>
  <c r="W97" i="6"/>
  <c r="V97" i="6"/>
  <c r="U97" i="6"/>
  <c r="T97" i="6"/>
  <c r="S97" i="6"/>
  <c r="R97" i="6"/>
  <c r="Q97" i="6"/>
  <c r="P97" i="6"/>
  <c r="O97" i="6"/>
  <c r="N97" i="6"/>
  <c r="M97" i="6"/>
  <c r="L97" i="6"/>
  <c r="K97" i="6"/>
  <c r="J97" i="6"/>
  <c r="I97" i="6"/>
  <c r="H97" i="6"/>
  <c r="G97" i="6"/>
  <c r="AD97" i="6" s="1"/>
  <c r="F97" i="6"/>
  <c r="E97" i="6"/>
  <c r="D97" i="6"/>
  <c r="C97" i="6"/>
  <c r="AC96" i="6"/>
  <c r="AA96" i="6"/>
  <c r="Z96" i="6"/>
  <c r="Y96" i="6"/>
  <c r="X96" i="6"/>
  <c r="W96" i="6"/>
  <c r="V96" i="6"/>
  <c r="U96" i="6"/>
  <c r="T96" i="6"/>
  <c r="S96" i="6"/>
  <c r="R96" i="6"/>
  <c r="Q96" i="6"/>
  <c r="P96" i="6"/>
  <c r="O96" i="6"/>
  <c r="N96" i="6"/>
  <c r="M96" i="6"/>
  <c r="L96" i="6"/>
  <c r="K96" i="6"/>
  <c r="J96" i="6"/>
  <c r="I96" i="6"/>
  <c r="H96" i="6"/>
  <c r="G96" i="6"/>
  <c r="F96" i="6"/>
  <c r="E96" i="6"/>
  <c r="D96" i="6"/>
  <c r="C96" i="6"/>
  <c r="AD96" i="6" s="1"/>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D93" i="6" s="1"/>
  <c r="AA93" i="6"/>
  <c r="Z93" i="6"/>
  <c r="Y93" i="6"/>
  <c r="X93" i="6"/>
  <c r="W93" i="6"/>
  <c r="V93" i="6"/>
  <c r="U93" i="6"/>
  <c r="T93" i="6"/>
  <c r="S93" i="6"/>
  <c r="R93" i="6"/>
  <c r="Q93" i="6"/>
  <c r="P93" i="6"/>
  <c r="O93" i="6"/>
  <c r="N93" i="6"/>
  <c r="M93" i="6"/>
  <c r="L93" i="6"/>
  <c r="K93" i="6"/>
  <c r="J93" i="6"/>
  <c r="I93" i="6"/>
  <c r="H93" i="6"/>
  <c r="G93" i="6"/>
  <c r="F93" i="6"/>
  <c r="E93" i="6"/>
  <c r="D93" i="6"/>
  <c r="C93" i="6"/>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A91" i="6"/>
  <c r="Z91" i="6"/>
  <c r="Y91" i="6"/>
  <c r="X91" i="6"/>
  <c r="W91" i="6"/>
  <c r="V91" i="6"/>
  <c r="U91" i="6"/>
  <c r="T91" i="6"/>
  <c r="S91" i="6"/>
  <c r="R91" i="6"/>
  <c r="Q91" i="6"/>
  <c r="P91" i="6"/>
  <c r="O91" i="6"/>
  <c r="N91" i="6"/>
  <c r="M91" i="6"/>
  <c r="L91" i="6"/>
  <c r="K91" i="6"/>
  <c r="J91" i="6"/>
  <c r="I91" i="6"/>
  <c r="H91" i="6"/>
  <c r="G91" i="6"/>
  <c r="F91" i="6"/>
  <c r="E91" i="6"/>
  <c r="D91" i="6"/>
  <c r="C91" i="6"/>
  <c r="AC90" i="6"/>
  <c r="AD90" i="6" s="1"/>
  <c r="AA90" i="6"/>
  <c r="Z90" i="6"/>
  <c r="Y90" i="6"/>
  <c r="X90" i="6"/>
  <c r="W90" i="6"/>
  <c r="V90" i="6"/>
  <c r="U90" i="6"/>
  <c r="T90" i="6"/>
  <c r="S90" i="6"/>
  <c r="R90" i="6"/>
  <c r="Q90" i="6"/>
  <c r="P90" i="6"/>
  <c r="O90" i="6"/>
  <c r="N90" i="6"/>
  <c r="M90" i="6"/>
  <c r="L90" i="6"/>
  <c r="K90" i="6"/>
  <c r="J90" i="6"/>
  <c r="I90" i="6"/>
  <c r="H90" i="6"/>
  <c r="G90" i="6"/>
  <c r="F90" i="6"/>
  <c r="E90" i="6"/>
  <c r="D90" i="6"/>
  <c r="C90" i="6"/>
  <c r="AD89" i="6"/>
  <c r="AC89" i="6"/>
  <c r="AA89" i="6"/>
  <c r="Z89" i="6"/>
  <c r="Y89" i="6"/>
  <c r="X89" i="6"/>
  <c r="W89" i="6"/>
  <c r="V89" i="6"/>
  <c r="U89" i="6"/>
  <c r="T89" i="6"/>
  <c r="S89" i="6"/>
  <c r="R89" i="6"/>
  <c r="Q89" i="6"/>
  <c r="P89" i="6"/>
  <c r="O89" i="6"/>
  <c r="N89" i="6"/>
  <c r="M89" i="6"/>
  <c r="L89" i="6"/>
  <c r="K89" i="6"/>
  <c r="J89" i="6"/>
  <c r="I89" i="6"/>
  <c r="H89" i="6"/>
  <c r="G89" i="6"/>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D88" i="6"/>
  <c r="C88" i="6"/>
  <c r="AD88" i="6" s="1"/>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D86" i="6"/>
  <c r="C86" i="6"/>
  <c r="AD86" i="6" s="1"/>
  <c r="AC85" i="6"/>
  <c r="AD85" i="6" s="1"/>
  <c r="AA85" i="6"/>
  <c r="Z85" i="6"/>
  <c r="Y85" i="6"/>
  <c r="X85" i="6"/>
  <c r="W85" i="6"/>
  <c r="V85" i="6"/>
  <c r="U85" i="6"/>
  <c r="T85" i="6"/>
  <c r="S85" i="6"/>
  <c r="R85" i="6"/>
  <c r="Q85" i="6"/>
  <c r="P85" i="6"/>
  <c r="O85" i="6"/>
  <c r="N85" i="6"/>
  <c r="M85" i="6"/>
  <c r="L85" i="6"/>
  <c r="K85" i="6"/>
  <c r="J85" i="6"/>
  <c r="I85" i="6"/>
  <c r="H85" i="6"/>
  <c r="G85" i="6"/>
  <c r="F85" i="6"/>
  <c r="E85" i="6"/>
  <c r="D85" i="6"/>
  <c r="C85" i="6"/>
  <c r="AC84" i="6"/>
  <c r="AD84" i="6" s="1"/>
  <c r="AA84" i="6"/>
  <c r="Z84" i="6"/>
  <c r="Y84" i="6"/>
  <c r="X84" i="6"/>
  <c r="W84" i="6"/>
  <c r="V84" i="6"/>
  <c r="U84" i="6"/>
  <c r="T84" i="6"/>
  <c r="S84" i="6"/>
  <c r="R84" i="6"/>
  <c r="Q84" i="6"/>
  <c r="P84" i="6"/>
  <c r="O84" i="6"/>
  <c r="N84" i="6"/>
  <c r="M84" i="6"/>
  <c r="L84" i="6"/>
  <c r="K84" i="6"/>
  <c r="J84" i="6"/>
  <c r="I84" i="6"/>
  <c r="H84" i="6"/>
  <c r="G84" i="6"/>
  <c r="F84" i="6"/>
  <c r="E84" i="6"/>
  <c r="D84" i="6"/>
  <c r="C84" i="6"/>
  <c r="AC83" i="6"/>
  <c r="AD83" i="6" s="1"/>
  <c r="AA83" i="6"/>
  <c r="Z83" i="6"/>
  <c r="Y83" i="6"/>
  <c r="X83" i="6"/>
  <c r="W83" i="6"/>
  <c r="V83" i="6"/>
  <c r="U83" i="6"/>
  <c r="T83" i="6"/>
  <c r="S83" i="6"/>
  <c r="R83" i="6"/>
  <c r="Q83" i="6"/>
  <c r="P83" i="6"/>
  <c r="O83" i="6"/>
  <c r="N83" i="6"/>
  <c r="M83" i="6"/>
  <c r="L83" i="6"/>
  <c r="K83" i="6"/>
  <c r="J83" i="6"/>
  <c r="I83" i="6"/>
  <c r="H83" i="6"/>
  <c r="G83" i="6"/>
  <c r="F83" i="6"/>
  <c r="E83" i="6"/>
  <c r="D83" i="6"/>
  <c r="C83" i="6"/>
  <c r="AC82" i="6"/>
  <c r="AD82" i="6" s="1"/>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AD81" i="6" s="1"/>
  <c r="F81" i="6"/>
  <c r="E81" i="6"/>
  <c r="D81" i="6"/>
  <c r="C81" i="6"/>
  <c r="AC80" i="6"/>
  <c r="AA80" i="6"/>
  <c r="AA6" i="6" s="1"/>
  <c r="Z80" i="6"/>
  <c r="Y80" i="6"/>
  <c r="X80" i="6"/>
  <c r="W80" i="6"/>
  <c r="V80" i="6"/>
  <c r="U80" i="6"/>
  <c r="T80" i="6"/>
  <c r="S80" i="6"/>
  <c r="R80" i="6"/>
  <c r="Q80" i="6"/>
  <c r="P80" i="6"/>
  <c r="O80" i="6"/>
  <c r="N80" i="6"/>
  <c r="M80" i="6"/>
  <c r="L80" i="6"/>
  <c r="K80" i="6"/>
  <c r="K6" i="6" s="1"/>
  <c r="J80" i="6"/>
  <c r="I80" i="6"/>
  <c r="H80" i="6"/>
  <c r="G80" i="6"/>
  <c r="F80" i="6"/>
  <c r="E80" i="6"/>
  <c r="D80" i="6"/>
  <c r="C80" i="6"/>
  <c r="AD80" i="6" s="1"/>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V6" i="6" s="1"/>
  <c r="U78" i="6"/>
  <c r="T78" i="6"/>
  <c r="S78" i="6"/>
  <c r="R78" i="6"/>
  <c r="Q78" i="6"/>
  <c r="P78" i="6"/>
  <c r="P4" i="6" s="1"/>
  <c r="O78" i="6"/>
  <c r="N78" i="6"/>
  <c r="N4" i="6" s="1"/>
  <c r="M78" i="6"/>
  <c r="L78" i="6"/>
  <c r="K78" i="6"/>
  <c r="J78" i="6"/>
  <c r="I78" i="6"/>
  <c r="H78" i="6"/>
  <c r="G78" i="6"/>
  <c r="F78" i="6"/>
  <c r="F4" i="6" s="1"/>
  <c r="E78" i="6"/>
  <c r="D78" i="6"/>
  <c r="C78" i="6"/>
  <c r="AC77" i="6"/>
  <c r="AD77" i="6" s="1"/>
  <c r="AA77" i="6"/>
  <c r="Z77" i="6"/>
  <c r="Y77" i="6"/>
  <c r="X77" i="6"/>
  <c r="W77" i="6"/>
  <c r="V77" i="6"/>
  <c r="U77" i="6"/>
  <c r="T77" i="6"/>
  <c r="S77" i="6"/>
  <c r="R77" i="6"/>
  <c r="Q77" i="6"/>
  <c r="P77" i="6"/>
  <c r="O77" i="6"/>
  <c r="N77" i="6"/>
  <c r="M77" i="6"/>
  <c r="L77" i="6"/>
  <c r="K77" i="6"/>
  <c r="J77" i="6"/>
  <c r="I77" i="6"/>
  <c r="H77" i="6"/>
  <c r="G77" i="6"/>
  <c r="F77" i="6"/>
  <c r="E77" i="6"/>
  <c r="D77" i="6"/>
  <c r="C77" i="6"/>
  <c r="AC76" i="6"/>
  <c r="AD76" i="6" s="1"/>
  <c r="AA76" i="6"/>
  <c r="Z76" i="6"/>
  <c r="Y76" i="6"/>
  <c r="X76" i="6"/>
  <c r="W76" i="6"/>
  <c r="V76" i="6"/>
  <c r="U76" i="6"/>
  <c r="T76" i="6"/>
  <c r="S76" i="6"/>
  <c r="R76" i="6"/>
  <c r="Q76" i="6"/>
  <c r="P76" i="6"/>
  <c r="O76" i="6"/>
  <c r="N76" i="6"/>
  <c r="M76" i="6"/>
  <c r="L76" i="6"/>
  <c r="K76" i="6"/>
  <c r="J76" i="6"/>
  <c r="I76" i="6"/>
  <c r="H76" i="6"/>
  <c r="G76" i="6"/>
  <c r="F76" i="6"/>
  <c r="E76" i="6"/>
  <c r="D76" i="6"/>
  <c r="C76" i="6"/>
  <c r="AC75" i="6"/>
  <c r="AA75" i="6"/>
  <c r="Z75" i="6"/>
  <c r="Y75" i="6"/>
  <c r="X75" i="6"/>
  <c r="W75" i="6"/>
  <c r="V75" i="6"/>
  <c r="U75" i="6"/>
  <c r="T75" i="6"/>
  <c r="S75" i="6"/>
  <c r="R75" i="6"/>
  <c r="Q75" i="6"/>
  <c r="P75" i="6"/>
  <c r="O75" i="6"/>
  <c r="N75" i="6"/>
  <c r="M75" i="6"/>
  <c r="L75" i="6"/>
  <c r="K75" i="6"/>
  <c r="J75" i="6"/>
  <c r="I75" i="6"/>
  <c r="H75" i="6"/>
  <c r="G75" i="6"/>
  <c r="G5" i="6" s="1"/>
  <c r="F75" i="6"/>
  <c r="E75" i="6"/>
  <c r="D75" i="6"/>
  <c r="C75" i="6"/>
  <c r="AC74" i="6"/>
  <c r="AD74" i="6" s="1"/>
  <c r="AA74" i="6"/>
  <c r="Z74" i="6"/>
  <c r="Z6" i="6" s="1"/>
  <c r="Y74" i="6"/>
  <c r="X74" i="6"/>
  <c r="W74" i="6"/>
  <c r="V74" i="6"/>
  <c r="U74" i="6"/>
  <c r="T74" i="6"/>
  <c r="S74" i="6"/>
  <c r="R74" i="6"/>
  <c r="Q74" i="6"/>
  <c r="P74" i="6"/>
  <c r="O74" i="6"/>
  <c r="N74" i="6"/>
  <c r="M74" i="6"/>
  <c r="L74" i="6"/>
  <c r="K74" i="6"/>
  <c r="J74" i="6"/>
  <c r="J6" i="6" s="1"/>
  <c r="I74" i="6"/>
  <c r="H74" i="6"/>
  <c r="G74" i="6"/>
  <c r="F74" i="6"/>
  <c r="E74" i="6"/>
  <c r="D74" i="6"/>
  <c r="C74" i="6"/>
  <c r="AD73" i="6"/>
  <c r="AC73" i="6"/>
  <c r="AA73" i="6"/>
  <c r="Z73" i="6"/>
  <c r="Y73" i="6"/>
  <c r="X73" i="6"/>
  <c r="W73" i="6"/>
  <c r="W4" i="6" s="1"/>
  <c r="V73" i="6"/>
  <c r="U73" i="6"/>
  <c r="U6" i="6" s="1"/>
  <c r="T73" i="6"/>
  <c r="S73" i="6"/>
  <c r="R73" i="6"/>
  <c r="Q73" i="6"/>
  <c r="P73" i="6"/>
  <c r="O73" i="6"/>
  <c r="N73" i="6"/>
  <c r="M73" i="6"/>
  <c r="M6" i="6" s="1"/>
  <c r="L73" i="6"/>
  <c r="K73" i="6"/>
  <c r="J73" i="6"/>
  <c r="I73" i="6"/>
  <c r="H73" i="6"/>
  <c r="G73" i="6"/>
  <c r="F73" i="6"/>
  <c r="E73" i="6"/>
  <c r="E4" i="6" s="1"/>
  <c r="D73" i="6"/>
  <c r="C73" i="6"/>
  <c r="AC72" i="6"/>
  <c r="AA72" i="6"/>
  <c r="Z72" i="6"/>
  <c r="Y72" i="6"/>
  <c r="X72" i="6"/>
  <c r="W72" i="6"/>
  <c r="V72" i="6"/>
  <c r="U72" i="6"/>
  <c r="T72" i="6"/>
  <c r="S72" i="6"/>
  <c r="R72" i="6"/>
  <c r="Q72" i="6"/>
  <c r="P72" i="6"/>
  <c r="O72" i="6"/>
  <c r="N72" i="6"/>
  <c r="M72" i="6"/>
  <c r="L72" i="6"/>
  <c r="K72" i="6"/>
  <c r="J72" i="6"/>
  <c r="I72" i="6"/>
  <c r="H72" i="6"/>
  <c r="G72" i="6"/>
  <c r="F72" i="6"/>
  <c r="E72" i="6"/>
  <c r="D72" i="6"/>
  <c r="C72" i="6"/>
  <c r="AD72" i="6" s="1"/>
  <c r="AC71" i="6"/>
  <c r="AD71" i="6" s="1"/>
  <c r="AA71" i="6"/>
  <c r="Z71" i="6"/>
  <c r="Y71" i="6"/>
  <c r="X71" i="6"/>
  <c r="W71" i="6"/>
  <c r="V71" i="6"/>
  <c r="U71" i="6"/>
  <c r="T71" i="6"/>
  <c r="T6" i="6" s="1"/>
  <c r="S71" i="6"/>
  <c r="R71" i="6"/>
  <c r="Q71" i="6"/>
  <c r="P71" i="6"/>
  <c r="O71" i="6"/>
  <c r="N71" i="6"/>
  <c r="M71" i="6"/>
  <c r="L71" i="6"/>
  <c r="K71" i="6"/>
  <c r="J71" i="6"/>
  <c r="I71" i="6"/>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D70" i="6" s="1"/>
  <c r="AC69" i="6"/>
  <c r="AD69" i="6" s="1"/>
  <c r="AA69" i="6"/>
  <c r="Z69" i="6"/>
  <c r="Y69" i="6"/>
  <c r="X69" i="6"/>
  <c r="W69" i="6"/>
  <c r="V69" i="6"/>
  <c r="U69" i="6"/>
  <c r="T69" i="6"/>
  <c r="S69" i="6"/>
  <c r="R69" i="6"/>
  <c r="Q69" i="6"/>
  <c r="P69" i="6"/>
  <c r="O69" i="6"/>
  <c r="N69" i="6"/>
  <c r="M69" i="6"/>
  <c r="L69" i="6"/>
  <c r="K69" i="6"/>
  <c r="J69" i="6"/>
  <c r="I69" i="6"/>
  <c r="H69" i="6"/>
  <c r="G69" i="6"/>
  <c r="F69" i="6"/>
  <c r="E69" i="6"/>
  <c r="D69" i="6"/>
  <c r="C69" i="6"/>
  <c r="AC68" i="6"/>
  <c r="AD68" i="6" s="1"/>
  <c r="AA68" i="6"/>
  <c r="Z68" i="6"/>
  <c r="Y68" i="6"/>
  <c r="X68" i="6"/>
  <c r="W68" i="6"/>
  <c r="V68" i="6"/>
  <c r="U68" i="6"/>
  <c r="T68" i="6"/>
  <c r="S68" i="6"/>
  <c r="R68" i="6"/>
  <c r="Q68" i="6"/>
  <c r="P68" i="6"/>
  <c r="O68" i="6"/>
  <c r="N68" i="6"/>
  <c r="M68" i="6"/>
  <c r="L68" i="6"/>
  <c r="K68" i="6"/>
  <c r="J68" i="6"/>
  <c r="I68" i="6"/>
  <c r="H68" i="6"/>
  <c r="G68" i="6"/>
  <c r="F68" i="6"/>
  <c r="E68" i="6"/>
  <c r="D68" i="6"/>
  <c r="C68"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D66" i="6" s="1"/>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AD65" i="6" s="1"/>
  <c r="F65" i="6"/>
  <c r="E65" i="6"/>
  <c r="D65" i="6"/>
  <c r="C65" i="6"/>
  <c r="AC64" i="6"/>
  <c r="AA64" i="6"/>
  <c r="Z64" i="6"/>
  <c r="Y64" i="6"/>
  <c r="X64" i="6"/>
  <c r="W64" i="6"/>
  <c r="V64" i="6"/>
  <c r="U64" i="6"/>
  <c r="T64" i="6"/>
  <c r="S64" i="6"/>
  <c r="R64" i="6"/>
  <c r="Q64" i="6"/>
  <c r="P64" i="6"/>
  <c r="O64" i="6"/>
  <c r="N64" i="6"/>
  <c r="M64" i="6"/>
  <c r="L64" i="6"/>
  <c r="K64" i="6"/>
  <c r="J64" i="6"/>
  <c r="I64" i="6"/>
  <c r="H64" i="6"/>
  <c r="G64" i="6"/>
  <c r="F64" i="6"/>
  <c r="E64" i="6"/>
  <c r="D64" i="6"/>
  <c r="C64" i="6"/>
  <c r="AD64" i="6" s="1"/>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D61" i="6" s="1"/>
  <c r="AA61" i="6"/>
  <c r="Z61" i="6"/>
  <c r="Y61" i="6"/>
  <c r="X61" i="6"/>
  <c r="W61" i="6"/>
  <c r="V61" i="6"/>
  <c r="U61" i="6"/>
  <c r="T61" i="6"/>
  <c r="S61" i="6"/>
  <c r="R61" i="6"/>
  <c r="Q61" i="6"/>
  <c r="P61" i="6"/>
  <c r="O61" i="6"/>
  <c r="N61" i="6"/>
  <c r="M61" i="6"/>
  <c r="L61" i="6"/>
  <c r="K61" i="6"/>
  <c r="J61" i="6"/>
  <c r="I61" i="6"/>
  <c r="H61" i="6"/>
  <c r="G61" i="6"/>
  <c r="F61" i="6"/>
  <c r="E61" i="6"/>
  <c r="D61" i="6"/>
  <c r="C61" i="6"/>
  <c r="AC60" i="6"/>
  <c r="AD60" i="6" s="1"/>
  <c r="AA60" i="6"/>
  <c r="Z60" i="6"/>
  <c r="Y60" i="6"/>
  <c r="X60" i="6"/>
  <c r="W60" i="6"/>
  <c r="V60" i="6"/>
  <c r="U60" i="6"/>
  <c r="T60" i="6"/>
  <c r="S60" i="6"/>
  <c r="R60" i="6"/>
  <c r="Q60" i="6"/>
  <c r="P60" i="6"/>
  <c r="O60" i="6"/>
  <c r="N60" i="6"/>
  <c r="M60" i="6"/>
  <c r="L60" i="6"/>
  <c r="K60" i="6"/>
  <c r="J60" i="6"/>
  <c r="I60" i="6"/>
  <c r="H60" i="6"/>
  <c r="G60" i="6"/>
  <c r="F60" i="6"/>
  <c r="E60" i="6"/>
  <c r="D60" i="6"/>
  <c r="C60" i="6"/>
  <c r="AC59" i="6"/>
  <c r="AA59" i="6"/>
  <c r="Z59" i="6"/>
  <c r="Y59" i="6"/>
  <c r="X59" i="6"/>
  <c r="W59" i="6"/>
  <c r="V59" i="6"/>
  <c r="U59" i="6"/>
  <c r="T59" i="6"/>
  <c r="S59" i="6"/>
  <c r="R59" i="6"/>
  <c r="Q59" i="6"/>
  <c r="P59" i="6"/>
  <c r="O59" i="6"/>
  <c r="N59" i="6"/>
  <c r="M59" i="6"/>
  <c r="L59" i="6"/>
  <c r="K59" i="6"/>
  <c r="J59" i="6"/>
  <c r="I59" i="6"/>
  <c r="H59" i="6"/>
  <c r="G59" i="6"/>
  <c r="F59" i="6"/>
  <c r="E59" i="6"/>
  <c r="D59" i="6"/>
  <c r="C59" i="6"/>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D57" i="6"/>
  <c r="AC57" i="6"/>
  <c r="AA57" i="6"/>
  <c r="Z57" i="6"/>
  <c r="Y57" i="6"/>
  <c r="X57" i="6"/>
  <c r="W57" i="6"/>
  <c r="V57" i="6"/>
  <c r="U57" i="6"/>
  <c r="T57" i="6"/>
  <c r="S57" i="6"/>
  <c r="R57" i="6"/>
  <c r="Q57" i="6"/>
  <c r="P57" i="6"/>
  <c r="O57" i="6"/>
  <c r="N57" i="6"/>
  <c r="M57" i="6"/>
  <c r="L57" i="6"/>
  <c r="K57" i="6"/>
  <c r="J57" i="6"/>
  <c r="I57" i="6"/>
  <c r="H57" i="6"/>
  <c r="G57" i="6"/>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D56" i="6" s="1"/>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A54" i="6"/>
  <c r="Z54" i="6"/>
  <c r="Y54" i="6"/>
  <c r="X54" i="6"/>
  <c r="W54" i="6"/>
  <c r="V54" i="6"/>
  <c r="U54" i="6"/>
  <c r="T54" i="6"/>
  <c r="S54" i="6"/>
  <c r="R54" i="6"/>
  <c r="Q54" i="6"/>
  <c r="P54" i="6"/>
  <c r="O54" i="6"/>
  <c r="N54" i="6"/>
  <c r="M54" i="6"/>
  <c r="L54" i="6"/>
  <c r="K54" i="6"/>
  <c r="J54" i="6"/>
  <c r="I54" i="6"/>
  <c r="H54" i="6"/>
  <c r="G54" i="6"/>
  <c r="F54" i="6"/>
  <c r="E54" i="6"/>
  <c r="D54" i="6"/>
  <c r="C54" i="6"/>
  <c r="AD54" i="6" s="1"/>
  <c r="AC53" i="6"/>
  <c r="AD53" i="6" s="1"/>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AD52" i="6" s="1"/>
  <c r="F52" i="6"/>
  <c r="E52" i="6"/>
  <c r="D52" i="6"/>
  <c r="C52" i="6"/>
  <c r="AC51" i="6"/>
  <c r="AD51" i="6" s="1"/>
  <c r="AA51" i="6"/>
  <c r="Z51" i="6"/>
  <c r="Y51" i="6"/>
  <c r="X51" i="6"/>
  <c r="W51" i="6"/>
  <c r="V51" i="6"/>
  <c r="U51" i="6"/>
  <c r="T51" i="6"/>
  <c r="S51" i="6"/>
  <c r="R51" i="6"/>
  <c r="Q51" i="6"/>
  <c r="P51" i="6"/>
  <c r="O51" i="6"/>
  <c r="N51" i="6"/>
  <c r="M51" i="6"/>
  <c r="L51" i="6"/>
  <c r="K51" i="6"/>
  <c r="J51" i="6"/>
  <c r="I51" i="6"/>
  <c r="H51" i="6"/>
  <c r="G51" i="6"/>
  <c r="F51" i="6"/>
  <c r="E51" i="6"/>
  <c r="D51" i="6"/>
  <c r="C51" i="6"/>
  <c r="AC50" i="6"/>
  <c r="AD50" i="6" s="1"/>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AD49" i="6" s="1"/>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D48" i="6"/>
  <c r="C48" i="6"/>
  <c r="AD48" i="6" s="1"/>
  <c r="AD47" i="6"/>
  <c r="AC47" i="6"/>
  <c r="AA47" i="6"/>
  <c r="Z47" i="6"/>
  <c r="Y47" i="6"/>
  <c r="X47" i="6"/>
  <c r="W47" i="6"/>
  <c r="V47" i="6"/>
  <c r="U47" i="6"/>
  <c r="T47" i="6"/>
  <c r="S47" i="6"/>
  <c r="R47" i="6"/>
  <c r="Q47" i="6"/>
  <c r="P47" i="6"/>
  <c r="O47" i="6"/>
  <c r="N47" i="6"/>
  <c r="M47" i="6"/>
  <c r="L47" i="6"/>
  <c r="K47" i="6"/>
  <c r="J47" i="6"/>
  <c r="I47" i="6"/>
  <c r="H47" i="6"/>
  <c r="G47" i="6"/>
  <c r="F47" i="6"/>
  <c r="E47" i="6"/>
  <c r="D47" i="6"/>
  <c r="C47"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D45" i="6" s="1"/>
  <c r="AA45" i="6"/>
  <c r="Z45" i="6"/>
  <c r="Y45" i="6"/>
  <c r="X45" i="6"/>
  <c r="W45" i="6"/>
  <c r="V45" i="6"/>
  <c r="U45" i="6"/>
  <c r="T45" i="6"/>
  <c r="S45" i="6"/>
  <c r="R45" i="6"/>
  <c r="Q45" i="6"/>
  <c r="P45" i="6"/>
  <c r="O45" i="6"/>
  <c r="N45" i="6"/>
  <c r="M45" i="6"/>
  <c r="L45" i="6"/>
  <c r="K45" i="6"/>
  <c r="J45" i="6"/>
  <c r="I45" i="6"/>
  <c r="H45" i="6"/>
  <c r="G45" i="6"/>
  <c r="F45" i="6"/>
  <c r="E45" i="6"/>
  <c r="D45" i="6"/>
  <c r="C45" i="6"/>
  <c r="AC44" i="6"/>
  <c r="AD44" i="6" s="1"/>
  <c r="AA44" i="6"/>
  <c r="Z44" i="6"/>
  <c r="Y44" i="6"/>
  <c r="X44" i="6"/>
  <c r="W44" i="6"/>
  <c r="V44" i="6"/>
  <c r="U44" i="6"/>
  <c r="T44" i="6"/>
  <c r="S44" i="6"/>
  <c r="R44" i="6"/>
  <c r="Q44" i="6"/>
  <c r="P44" i="6"/>
  <c r="O44" i="6"/>
  <c r="N44" i="6"/>
  <c r="M44" i="6"/>
  <c r="L44" i="6"/>
  <c r="K44" i="6"/>
  <c r="J44" i="6"/>
  <c r="I44" i="6"/>
  <c r="H44" i="6"/>
  <c r="G44" i="6"/>
  <c r="F44" i="6"/>
  <c r="E44" i="6"/>
  <c r="D44" i="6"/>
  <c r="C44" i="6"/>
  <c r="AC43" i="6"/>
  <c r="AA43" i="6"/>
  <c r="Z43" i="6"/>
  <c r="Y43" i="6"/>
  <c r="X43" i="6"/>
  <c r="W43" i="6"/>
  <c r="V43" i="6"/>
  <c r="U43" i="6"/>
  <c r="T43" i="6"/>
  <c r="S43" i="6"/>
  <c r="R43" i="6"/>
  <c r="Q43" i="6"/>
  <c r="P43" i="6"/>
  <c r="O43" i="6"/>
  <c r="N43" i="6"/>
  <c r="M43" i="6"/>
  <c r="L43" i="6"/>
  <c r="K43" i="6"/>
  <c r="J43" i="6"/>
  <c r="I43" i="6"/>
  <c r="H43" i="6"/>
  <c r="G43" i="6"/>
  <c r="F43" i="6"/>
  <c r="E43" i="6"/>
  <c r="D43" i="6"/>
  <c r="C43" i="6"/>
  <c r="AC42" i="6"/>
  <c r="AD42" i="6" s="1"/>
  <c r="AA42" i="6"/>
  <c r="Z42" i="6"/>
  <c r="Y42" i="6"/>
  <c r="X42" i="6"/>
  <c r="W42" i="6"/>
  <c r="V42" i="6"/>
  <c r="U42" i="6"/>
  <c r="T42" i="6"/>
  <c r="S42" i="6"/>
  <c r="R42" i="6"/>
  <c r="Q42" i="6"/>
  <c r="P42" i="6"/>
  <c r="O42" i="6"/>
  <c r="N42" i="6"/>
  <c r="M42" i="6"/>
  <c r="L42" i="6"/>
  <c r="K42" i="6"/>
  <c r="J42" i="6"/>
  <c r="I42" i="6"/>
  <c r="H42" i="6"/>
  <c r="G42" i="6"/>
  <c r="F42" i="6"/>
  <c r="E42" i="6"/>
  <c r="D42" i="6"/>
  <c r="C42" i="6"/>
  <c r="AD41" i="6"/>
  <c r="AC41" i="6"/>
  <c r="AA41" i="6"/>
  <c r="Z41" i="6"/>
  <c r="Y41" i="6"/>
  <c r="X41" i="6"/>
  <c r="W41" i="6"/>
  <c r="V41" i="6"/>
  <c r="U41" i="6"/>
  <c r="T41" i="6"/>
  <c r="S41" i="6"/>
  <c r="R41" i="6"/>
  <c r="Q41" i="6"/>
  <c r="P41" i="6"/>
  <c r="O41" i="6"/>
  <c r="N41" i="6"/>
  <c r="M41" i="6"/>
  <c r="L41" i="6"/>
  <c r="K41" i="6"/>
  <c r="J41" i="6"/>
  <c r="I41" i="6"/>
  <c r="H41" i="6"/>
  <c r="G41" i="6"/>
  <c r="F41" i="6"/>
  <c r="E41" i="6"/>
  <c r="D41" i="6"/>
  <c r="C41" i="6"/>
  <c r="AC40" i="6"/>
  <c r="AA40" i="6"/>
  <c r="Z40" i="6"/>
  <c r="Y40" i="6"/>
  <c r="X40" i="6"/>
  <c r="W40" i="6"/>
  <c r="V40" i="6"/>
  <c r="U40" i="6"/>
  <c r="T40" i="6"/>
  <c r="S40" i="6"/>
  <c r="R40" i="6"/>
  <c r="Q40" i="6"/>
  <c r="P40" i="6"/>
  <c r="O40" i="6"/>
  <c r="N40" i="6"/>
  <c r="M40" i="6"/>
  <c r="L40" i="6"/>
  <c r="K40" i="6"/>
  <c r="J40" i="6"/>
  <c r="I40" i="6"/>
  <c r="H40" i="6"/>
  <c r="G40" i="6"/>
  <c r="F40" i="6"/>
  <c r="E40" i="6"/>
  <c r="D40" i="6"/>
  <c r="C40" i="6"/>
  <c r="AD40" i="6" s="1"/>
  <c r="AC39" i="6"/>
  <c r="AD39" i="6" s="1"/>
  <c r="AA39" i="6"/>
  <c r="Z39" i="6"/>
  <c r="Y39" i="6"/>
  <c r="X39" i="6"/>
  <c r="W39" i="6"/>
  <c r="V39" i="6"/>
  <c r="U39" i="6"/>
  <c r="T39" i="6"/>
  <c r="S39" i="6"/>
  <c r="R39" i="6"/>
  <c r="Q39" i="6"/>
  <c r="P39" i="6"/>
  <c r="O39" i="6"/>
  <c r="N39" i="6"/>
  <c r="M39" i="6"/>
  <c r="L39" i="6"/>
  <c r="K39" i="6"/>
  <c r="J39" i="6"/>
  <c r="I39" i="6"/>
  <c r="H39" i="6"/>
  <c r="G39" i="6"/>
  <c r="F39" i="6"/>
  <c r="E39" i="6"/>
  <c r="D39" i="6"/>
  <c r="C39" i="6"/>
  <c r="AC38" i="6"/>
  <c r="AA38" i="6"/>
  <c r="Z38" i="6"/>
  <c r="Y38" i="6"/>
  <c r="X38" i="6"/>
  <c r="W38" i="6"/>
  <c r="V38" i="6"/>
  <c r="U38" i="6"/>
  <c r="T38" i="6"/>
  <c r="S38" i="6"/>
  <c r="R38" i="6"/>
  <c r="Q38" i="6"/>
  <c r="P38" i="6"/>
  <c r="O38" i="6"/>
  <c r="N38" i="6"/>
  <c r="M38" i="6"/>
  <c r="L38" i="6"/>
  <c r="K38" i="6"/>
  <c r="J38" i="6"/>
  <c r="I38" i="6"/>
  <c r="H38" i="6"/>
  <c r="G38" i="6"/>
  <c r="F38" i="6"/>
  <c r="E38" i="6"/>
  <c r="D38" i="6"/>
  <c r="C38" i="6"/>
  <c r="AD38" i="6" s="1"/>
  <c r="AC37" i="6"/>
  <c r="AD37" i="6" s="1"/>
  <c r="AA37" i="6"/>
  <c r="Z37" i="6"/>
  <c r="Y37" i="6"/>
  <c r="X37" i="6"/>
  <c r="W37" i="6"/>
  <c r="V37" i="6"/>
  <c r="U37" i="6"/>
  <c r="T37" i="6"/>
  <c r="S37" i="6"/>
  <c r="R37" i="6"/>
  <c r="Q37" i="6"/>
  <c r="P37" i="6"/>
  <c r="O37" i="6"/>
  <c r="N37" i="6"/>
  <c r="M37" i="6"/>
  <c r="L37" i="6"/>
  <c r="K37" i="6"/>
  <c r="J37" i="6"/>
  <c r="I37" i="6"/>
  <c r="H37" i="6"/>
  <c r="G37" i="6"/>
  <c r="F37" i="6"/>
  <c r="E37" i="6"/>
  <c r="D37" i="6"/>
  <c r="C37" i="6"/>
  <c r="AC36" i="6"/>
  <c r="AA36" i="6"/>
  <c r="Z36" i="6"/>
  <c r="Y36" i="6"/>
  <c r="X36" i="6"/>
  <c r="W36" i="6"/>
  <c r="V36" i="6"/>
  <c r="U36" i="6"/>
  <c r="T36" i="6"/>
  <c r="S36" i="6"/>
  <c r="R36" i="6"/>
  <c r="Q36" i="6"/>
  <c r="P36" i="6"/>
  <c r="O36" i="6"/>
  <c r="N36" i="6"/>
  <c r="M36" i="6"/>
  <c r="L36" i="6"/>
  <c r="K36" i="6"/>
  <c r="J36" i="6"/>
  <c r="I36" i="6"/>
  <c r="H36" i="6"/>
  <c r="G36" i="6"/>
  <c r="AD36" i="6" s="1"/>
  <c r="F36" i="6"/>
  <c r="E36" i="6"/>
  <c r="D36" i="6"/>
  <c r="C36" i="6"/>
  <c r="AC35" i="6"/>
  <c r="AD35" i="6" s="1"/>
  <c r="AA35" i="6"/>
  <c r="Z35" i="6"/>
  <c r="Y35" i="6"/>
  <c r="X35" i="6"/>
  <c r="W35" i="6"/>
  <c r="V35" i="6"/>
  <c r="U35" i="6"/>
  <c r="T35" i="6"/>
  <c r="S35" i="6"/>
  <c r="R35" i="6"/>
  <c r="Q35" i="6"/>
  <c r="P35" i="6"/>
  <c r="O35" i="6"/>
  <c r="N35" i="6"/>
  <c r="M35" i="6"/>
  <c r="L35" i="6"/>
  <c r="K35" i="6"/>
  <c r="J35" i="6"/>
  <c r="I35" i="6"/>
  <c r="H35" i="6"/>
  <c r="G35" i="6"/>
  <c r="F35" i="6"/>
  <c r="E35" i="6"/>
  <c r="D35" i="6"/>
  <c r="C35" i="6"/>
  <c r="AC34" i="6"/>
  <c r="AD34" i="6" s="1"/>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AD33" i="6" s="1"/>
  <c r="F33" i="6"/>
  <c r="E33" i="6"/>
  <c r="D33" i="6"/>
  <c r="C33" i="6"/>
  <c r="AC32" i="6"/>
  <c r="AA32" i="6"/>
  <c r="Z32" i="6"/>
  <c r="Y32" i="6"/>
  <c r="X32" i="6"/>
  <c r="W32" i="6"/>
  <c r="V32" i="6"/>
  <c r="U32" i="6"/>
  <c r="T32" i="6"/>
  <c r="S32" i="6"/>
  <c r="R32" i="6"/>
  <c r="Q32" i="6"/>
  <c r="P32" i="6"/>
  <c r="O32" i="6"/>
  <c r="N32" i="6"/>
  <c r="M32" i="6"/>
  <c r="L32" i="6"/>
  <c r="K32" i="6"/>
  <c r="J32" i="6"/>
  <c r="I32" i="6"/>
  <c r="H32" i="6"/>
  <c r="G32" i="6"/>
  <c r="F32" i="6"/>
  <c r="E32" i="6"/>
  <c r="D32" i="6"/>
  <c r="C32" i="6"/>
  <c r="AD32" i="6" s="1"/>
  <c r="AC31" i="6"/>
  <c r="AD31" i="6" s="1"/>
  <c r="AA31" i="6"/>
  <c r="Z31" i="6"/>
  <c r="Y31" i="6"/>
  <c r="X31" i="6"/>
  <c r="W31" i="6"/>
  <c r="V31" i="6"/>
  <c r="U31" i="6"/>
  <c r="T31" i="6"/>
  <c r="S31" i="6"/>
  <c r="R31" i="6"/>
  <c r="Q31" i="6"/>
  <c r="P31" i="6"/>
  <c r="O31" i="6"/>
  <c r="N31" i="6"/>
  <c r="M31" i="6"/>
  <c r="L31" i="6"/>
  <c r="K31" i="6"/>
  <c r="J31" i="6"/>
  <c r="I31" i="6"/>
  <c r="H31" i="6"/>
  <c r="G31" i="6"/>
  <c r="F31" i="6"/>
  <c r="E31" i="6"/>
  <c r="D31" i="6"/>
  <c r="C31" i="6"/>
  <c r="AC30" i="6"/>
  <c r="AA30" i="6"/>
  <c r="Z30" i="6"/>
  <c r="Y30" i="6"/>
  <c r="X30" i="6"/>
  <c r="W30" i="6"/>
  <c r="V30" i="6"/>
  <c r="U30" i="6"/>
  <c r="T30" i="6"/>
  <c r="S30" i="6"/>
  <c r="R30" i="6"/>
  <c r="Q30" i="6"/>
  <c r="P30" i="6"/>
  <c r="O30" i="6"/>
  <c r="N30" i="6"/>
  <c r="M30" i="6"/>
  <c r="L30" i="6"/>
  <c r="K30" i="6"/>
  <c r="J30" i="6"/>
  <c r="I30" i="6"/>
  <c r="H30" i="6"/>
  <c r="G30" i="6"/>
  <c r="F30" i="6"/>
  <c r="E30" i="6"/>
  <c r="D30" i="6"/>
  <c r="C30" i="6"/>
  <c r="AC29" i="6"/>
  <c r="AD29" i="6" s="1"/>
  <c r="AA29" i="6"/>
  <c r="Z29" i="6"/>
  <c r="Y29" i="6"/>
  <c r="X29" i="6"/>
  <c r="W29" i="6"/>
  <c r="V29" i="6"/>
  <c r="U29" i="6"/>
  <c r="T29" i="6"/>
  <c r="S29" i="6"/>
  <c r="R29" i="6"/>
  <c r="Q29" i="6"/>
  <c r="P29" i="6"/>
  <c r="O29" i="6"/>
  <c r="N29" i="6"/>
  <c r="M29" i="6"/>
  <c r="L29" i="6"/>
  <c r="K29" i="6"/>
  <c r="J29" i="6"/>
  <c r="I29" i="6"/>
  <c r="H29" i="6"/>
  <c r="G29" i="6"/>
  <c r="F29" i="6"/>
  <c r="E29" i="6"/>
  <c r="D29" i="6"/>
  <c r="C29"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C27" i="6"/>
  <c r="AA27" i="6"/>
  <c r="Z27" i="6"/>
  <c r="Y27" i="6"/>
  <c r="X27" i="6"/>
  <c r="W27" i="6"/>
  <c r="V27" i="6"/>
  <c r="U27" i="6"/>
  <c r="T27" i="6"/>
  <c r="S27" i="6"/>
  <c r="R27" i="6"/>
  <c r="Q27" i="6"/>
  <c r="P27" i="6"/>
  <c r="O27" i="6"/>
  <c r="N27" i="6"/>
  <c r="M27" i="6"/>
  <c r="L27" i="6"/>
  <c r="K27" i="6"/>
  <c r="J27" i="6"/>
  <c r="I27" i="6"/>
  <c r="H27" i="6"/>
  <c r="G27" i="6"/>
  <c r="F27" i="6"/>
  <c r="E27" i="6"/>
  <c r="D27" i="6"/>
  <c r="C27" i="6"/>
  <c r="AC26" i="6"/>
  <c r="AD26" i="6" s="1"/>
  <c r="AA26" i="6"/>
  <c r="Z26" i="6"/>
  <c r="Y26" i="6"/>
  <c r="X26" i="6"/>
  <c r="W26" i="6"/>
  <c r="V26" i="6"/>
  <c r="U26" i="6"/>
  <c r="T26" i="6"/>
  <c r="S26" i="6"/>
  <c r="R26" i="6"/>
  <c r="Q26" i="6"/>
  <c r="P26" i="6"/>
  <c r="O26" i="6"/>
  <c r="N26" i="6"/>
  <c r="M26" i="6"/>
  <c r="L26" i="6"/>
  <c r="K26" i="6"/>
  <c r="J26" i="6"/>
  <c r="I26" i="6"/>
  <c r="H26" i="6"/>
  <c r="G26" i="6"/>
  <c r="F26" i="6"/>
  <c r="E26" i="6"/>
  <c r="D26" i="6"/>
  <c r="C26" i="6"/>
  <c r="AD25"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A24" i="6"/>
  <c r="Z24" i="6"/>
  <c r="Y24" i="6"/>
  <c r="X24" i="6"/>
  <c r="W24" i="6"/>
  <c r="V24" i="6"/>
  <c r="U24" i="6"/>
  <c r="T24" i="6"/>
  <c r="S24" i="6"/>
  <c r="R24" i="6"/>
  <c r="Q24" i="6"/>
  <c r="P24" i="6"/>
  <c r="O24" i="6"/>
  <c r="N24" i="6"/>
  <c r="M24" i="6"/>
  <c r="L24" i="6"/>
  <c r="K24" i="6"/>
  <c r="J24" i="6"/>
  <c r="I24" i="6"/>
  <c r="H24" i="6"/>
  <c r="G24" i="6"/>
  <c r="F24" i="6"/>
  <c r="E24" i="6"/>
  <c r="D24" i="6"/>
  <c r="C24" i="6"/>
  <c r="AD24" i="6" s="1"/>
  <c r="AC23" i="6"/>
  <c r="AD23" i="6" s="1"/>
  <c r="AA23" i="6"/>
  <c r="Z23" i="6"/>
  <c r="Y23" i="6"/>
  <c r="X23" i="6"/>
  <c r="W23" i="6"/>
  <c r="V23" i="6"/>
  <c r="U23" i="6"/>
  <c r="T23" i="6"/>
  <c r="S23" i="6"/>
  <c r="R23" i="6"/>
  <c r="Q23" i="6"/>
  <c r="P23" i="6"/>
  <c r="O23" i="6"/>
  <c r="N23" i="6"/>
  <c r="M23" i="6"/>
  <c r="L23" i="6"/>
  <c r="K23" i="6"/>
  <c r="J23" i="6"/>
  <c r="I23" i="6"/>
  <c r="H23" i="6"/>
  <c r="G23" i="6"/>
  <c r="F23" i="6"/>
  <c r="E23" i="6"/>
  <c r="D23" i="6"/>
  <c r="C23" i="6"/>
  <c r="AC22" i="6"/>
  <c r="AA22" i="6"/>
  <c r="Z22" i="6"/>
  <c r="Y22" i="6"/>
  <c r="X22" i="6"/>
  <c r="W22" i="6"/>
  <c r="V22" i="6"/>
  <c r="U22" i="6"/>
  <c r="T22" i="6"/>
  <c r="S22" i="6"/>
  <c r="R22" i="6"/>
  <c r="Q22" i="6"/>
  <c r="P22" i="6"/>
  <c r="O22" i="6"/>
  <c r="N22" i="6"/>
  <c r="M22" i="6"/>
  <c r="L22" i="6"/>
  <c r="K22" i="6"/>
  <c r="J22" i="6"/>
  <c r="I22" i="6"/>
  <c r="H22" i="6"/>
  <c r="G22" i="6"/>
  <c r="F22" i="6"/>
  <c r="E22" i="6"/>
  <c r="D22" i="6"/>
  <c r="C22" i="6"/>
  <c r="AD22" i="6" s="1"/>
  <c r="AC21" i="6"/>
  <c r="AD21" i="6" s="1"/>
  <c r="AA21" i="6"/>
  <c r="Z21" i="6"/>
  <c r="Y21" i="6"/>
  <c r="X21" i="6"/>
  <c r="W21" i="6"/>
  <c r="V21" i="6"/>
  <c r="U21" i="6"/>
  <c r="T21" i="6"/>
  <c r="S21" i="6"/>
  <c r="R21" i="6"/>
  <c r="Q21" i="6"/>
  <c r="P21" i="6"/>
  <c r="O21" i="6"/>
  <c r="N21" i="6"/>
  <c r="M21" i="6"/>
  <c r="L21" i="6"/>
  <c r="K21" i="6"/>
  <c r="J21" i="6"/>
  <c r="I21" i="6"/>
  <c r="H21" i="6"/>
  <c r="G21" i="6"/>
  <c r="F21" i="6"/>
  <c r="E21" i="6"/>
  <c r="D21" i="6"/>
  <c r="C21" i="6"/>
  <c r="AC20" i="6"/>
  <c r="AA20" i="6"/>
  <c r="Z20" i="6"/>
  <c r="Y20" i="6"/>
  <c r="X20" i="6"/>
  <c r="W20" i="6"/>
  <c r="V20" i="6"/>
  <c r="U20" i="6"/>
  <c r="T20" i="6"/>
  <c r="S20" i="6"/>
  <c r="R20" i="6"/>
  <c r="Q20" i="6"/>
  <c r="P20" i="6"/>
  <c r="O20" i="6"/>
  <c r="N20" i="6"/>
  <c r="M20" i="6"/>
  <c r="L20" i="6"/>
  <c r="K20" i="6"/>
  <c r="J20" i="6"/>
  <c r="I20" i="6"/>
  <c r="H20" i="6"/>
  <c r="G20" i="6"/>
  <c r="AD20" i="6" s="1"/>
  <c r="F20" i="6"/>
  <c r="E20" i="6"/>
  <c r="D20" i="6"/>
  <c r="C20" i="6"/>
  <c r="AC19" i="6"/>
  <c r="AD19" i="6" s="1"/>
  <c r="AA19" i="6"/>
  <c r="Z19" i="6"/>
  <c r="Y19" i="6"/>
  <c r="X19" i="6"/>
  <c r="W19" i="6"/>
  <c r="V19" i="6"/>
  <c r="U19" i="6"/>
  <c r="T19" i="6"/>
  <c r="S19" i="6"/>
  <c r="R19" i="6"/>
  <c r="Q19" i="6"/>
  <c r="P19" i="6"/>
  <c r="O19" i="6"/>
  <c r="N19" i="6"/>
  <c r="M19" i="6"/>
  <c r="L19" i="6"/>
  <c r="K19" i="6"/>
  <c r="J19" i="6"/>
  <c r="I19" i="6"/>
  <c r="H19" i="6"/>
  <c r="G19" i="6"/>
  <c r="F19" i="6"/>
  <c r="E19" i="6"/>
  <c r="D19" i="6"/>
  <c r="C19" i="6"/>
  <c r="AC18" i="6"/>
  <c r="AD18" i="6" s="1"/>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AD17" i="6" s="1"/>
  <c r="F17" i="6"/>
  <c r="E17" i="6"/>
  <c r="D17" i="6"/>
  <c r="C17" i="6"/>
  <c r="AC16" i="6"/>
  <c r="AA16" i="6"/>
  <c r="Z16" i="6"/>
  <c r="Y16" i="6"/>
  <c r="X16" i="6"/>
  <c r="W16" i="6"/>
  <c r="V16" i="6"/>
  <c r="U16" i="6"/>
  <c r="T16" i="6"/>
  <c r="S16" i="6"/>
  <c r="R16" i="6"/>
  <c r="Q16" i="6"/>
  <c r="P16" i="6"/>
  <c r="O16" i="6"/>
  <c r="N16" i="6"/>
  <c r="M16" i="6"/>
  <c r="L16" i="6"/>
  <c r="K16" i="6"/>
  <c r="J16" i="6"/>
  <c r="I16" i="6"/>
  <c r="H16" i="6"/>
  <c r="G16" i="6"/>
  <c r="F16" i="6"/>
  <c r="E16" i="6"/>
  <c r="D16" i="6"/>
  <c r="C16" i="6"/>
  <c r="AD16" i="6" s="1"/>
  <c r="AC15" i="6"/>
  <c r="AD15" i="6" s="1"/>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F14" i="6"/>
  <c r="E14" i="6"/>
  <c r="D14" i="6"/>
  <c r="C14" i="6"/>
  <c r="AC13" i="6"/>
  <c r="AD13" i="6" s="1"/>
  <c r="AA13" i="6"/>
  <c r="Z13" i="6"/>
  <c r="Y13" i="6"/>
  <c r="X13" i="6"/>
  <c r="W13" i="6"/>
  <c r="V13" i="6"/>
  <c r="U13" i="6"/>
  <c r="T13" i="6"/>
  <c r="S13" i="6"/>
  <c r="R13" i="6"/>
  <c r="Q13" i="6"/>
  <c r="P13" i="6"/>
  <c r="O13" i="6"/>
  <c r="N13" i="6"/>
  <c r="M13" i="6"/>
  <c r="L13" i="6"/>
  <c r="K13" i="6"/>
  <c r="J13" i="6"/>
  <c r="I13" i="6"/>
  <c r="H13" i="6"/>
  <c r="G13" i="6"/>
  <c r="F13" i="6"/>
  <c r="E13" i="6"/>
  <c r="D13" i="6"/>
  <c r="C13" i="6"/>
  <c r="AC12" i="6"/>
  <c r="AD12" i="6" s="1"/>
  <c r="Z12" i="6"/>
  <c r="Y12" i="6"/>
  <c r="X12" i="6"/>
  <c r="W12" i="6"/>
  <c r="V12" i="6"/>
  <c r="U12" i="6"/>
  <c r="T12" i="6"/>
  <c r="S12" i="6"/>
  <c r="R12" i="6"/>
  <c r="Q12" i="6"/>
  <c r="P12" i="6"/>
  <c r="O12" i="6"/>
  <c r="N12" i="6"/>
  <c r="M12" i="6"/>
  <c r="L12" i="6"/>
  <c r="K12" i="6"/>
  <c r="J12" i="6"/>
  <c r="I12" i="6"/>
  <c r="H12" i="6"/>
  <c r="G12" i="6"/>
  <c r="F12" i="6"/>
  <c r="E12" i="6"/>
  <c r="D12" i="6"/>
  <c r="C12" i="6"/>
  <c r="AA12" i="6" s="1"/>
  <c r="AC11" i="6"/>
  <c r="AD11" i="6" s="1"/>
  <c r="Z11" i="6"/>
  <c r="Y11" i="6"/>
  <c r="X11" i="6"/>
  <c r="W11" i="6"/>
  <c r="V11" i="6"/>
  <c r="U11" i="6"/>
  <c r="T11" i="6"/>
  <c r="S11" i="6"/>
  <c r="R11" i="6"/>
  <c r="Q11" i="6"/>
  <c r="P11" i="6"/>
  <c r="O11" i="6"/>
  <c r="N11" i="6"/>
  <c r="M11" i="6"/>
  <c r="L11" i="6"/>
  <c r="K11" i="6"/>
  <c r="J11" i="6"/>
  <c r="I11" i="6"/>
  <c r="H11" i="6"/>
  <c r="G11" i="6"/>
  <c r="F11" i="6"/>
  <c r="E11" i="6"/>
  <c r="D11" i="6"/>
  <c r="C11" i="6"/>
  <c r="AA11" i="6" s="1"/>
  <c r="R9" i="6"/>
  <c r="Q9" i="6"/>
  <c r="G9" i="6"/>
  <c r="C9" i="6"/>
  <c r="R8" i="6"/>
  <c r="Q8" i="6"/>
  <c r="D8" i="6"/>
  <c r="C8" i="6"/>
  <c r="S6" i="6"/>
  <c r="R6" i="6"/>
  <c r="R7" i="6" s="1"/>
  <c r="N6" i="6"/>
  <c r="E6" i="6"/>
  <c r="D6" i="6"/>
  <c r="D7" i="6" s="1"/>
  <c r="C6" i="6"/>
  <c r="C7" i="6" s="1"/>
  <c r="S5" i="6"/>
  <c r="O5" i="6"/>
  <c r="N5" i="6"/>
  <c r="E5" i="6"/>
  <c r="D5" i="6"/>
  <c r="C5" i="6"/>
  <c r="AE4" i="6"/>
  <c r="X4" i="6"/>
  <c r="V4" i="6"/>
  <c r="U4" i="6"/>
  <c r="S4" i="6"/>
  <c r="K4" i="6"/>
  <c r="I4" i="6"/>
  <c r="H4" i="6"/>
  <c r="C4" i="6"/>
  <c r="AE3" i="6"/>
  <c r="AE2" i="6"/>
  <c r="W9" i="6" s="1"/>
  <c r="AE100" i="5"/>
  <c r="AF100" i="5" s="1"/>
  <c r="AD100" i="5"/>
  <c r="AC100" i="5"/>
  <c r="AA100" i="5"/>
  <c r="Z100" i="5"/>
  <c r="Y100" i="5"/>
  <c r="X100" i="5"/>
  <c r="W100" i="5"/>
  <c r="W8" i="5" s="1"/>
  <c r="V100" i="5"/>
  <c r="U100" i="5"/>
  <c r="T100" i="5"/>
  <c r="S100" i="5"/>
  <c r="R100" i="5"/>
  <c r="Q100" i="5"/>
  <c r="P100" i="5"/>
  <c r="O100" i="5"/>
  <c r="O8" i="5" s="1"/>
  <c r="N100" i="5"/>
  <c r="M100" i="5"/>
  <c r="L100" i="5"/>
  <c r="K100" i="5"/>
  <c r="J100" i="5"/>
  <c r="I100" i="5"/>
  <c r="H100" i="5"/>
  <c r="G100" i="5"/>
  <c r="G8" i="5" s="1"/>
  <c r="F100" i="5"/>
  <c r="E100" i="5"/>
  <c r="D100" i="5"/>
  <c r="C100" i="5"/>
  <c r="AC99" i="5"/>
  <c r="AE99" i="5" s="1"/>
  <c r="AA99" i="5"/>
  <c r="Z99" i="5"/>
  <c r="Y99" i="5"/>
  <c r="X99" i="5"/>
  <c r="W99" i="5"/>
  <c r="V99" i="5"/>
  <c r="U99" i="5"/>
  <c r="T99" i="5"/>
  <c r="T9" i="5" s="1"/>
  <c r="S99" i="5"/>
  <c r="S9" i="5" s="1"/>
  <c r="R99" i="5"/>
  <c r="R9" i="5" s="1"/>
  <c r="Q99" i="5"/>
  <c r="P99" i="5"/>
  <c r="O99" i="5"/>
  <c r="N99" i="5"/>
  <c r="M99" i="5"/>
  <c r="L99" i="5"/>
  <c r="L9" i="5" s="1"/>
  <c r="K99" i="5"/>
  <c r="K9" i="5" s="1"/>
  <c r="J99" i="5"/>
  <c r="J9" i="5" s="1"/>
  <c r="I99" i="5"/>
  <c r="H99" i="5"/>
  <c r="G99" i="5"/>
  <c r="F99" i="5"/>
  <c r="E99" i="5"/>
  <c r="D99" i="5"/>
  <c r="D9" i="5" s="1"/>
  <c r="C99" i="5"/>
  <c r="C9" i="5" s="1"/>
  <c r="AE98" i="5"/>
  <c r="AC98" i="5"/>
  <c r="AA98" i="5"/>
  <c r="Z98" i="5"/>
  <c r="Y98" i="5"/>
  <c r="X98" i="5"/>
  <c r="W98" i="5"/>
  <c r="V98" i="5"/>
  <c r="U98" i="5"/>
  <c r="T98" i="5"/>
  <c r="S98" i="5"/>
  <c r="R98" i="5"/>
  <c r="Q98" i="5"/>
  <c r="P98" i="5"/>
  <c r="O98" i="5"/>
  <c r="N98" i="5"/>
  <c r="M98" i="5"/>
  <c r="L98" i="5"/>
  <c r="K98" i="5"/>
  <c r="J98" i="5"/>
  <c r="I98" i="5"/>
  <c r="H98" i="5"/>
  <c r="G98" i="5"/>
  <c r="F98" i="5"/>
  <c r="E98" i="5"/>
  <c r="D98" i="5"/>
  <c r="C98" i="5"/>
  <c r="AC97" i="5"/>
  <c r="AA97" i="5"/>
  <c r="Z97" i="5"/>
  <c r="Y97" i="5"/>
  <c r="X97" i="5"/>
  <c r="W97" i="5"/>
  <c r="V97" i="5"/>
  <c r="U97" i="5"/>
  <c r="T97" i="5"/>
  <c r="S97" i="5"/>
  <c r="R97" i="5"/>
  <c r="Q97" i="5"/>
  <c r="P97" i="5"/>
  <c r="O97" i="5"/>
  <c r="N97" i="5"/>
  <c r="M97" i="5"/>
  <c r="L97" i="5"/>
  <c r="K97" i="5"/>
  <c r="J97" i="5"/>
  <c r="I97" i="5"/>
  <c r="H97" i="5"/>
  <c r="G97" i="5"/>
  <c r="F97" i="5"/>
  <c r="E97" i="5"/>
  <c r="D97" i="5"/>
  <c r="C97" i="5"/>
  <c r="AC96" i="5"/>
  <c r="AE96" i="5" s="1"/>
  <c r="AA96" i="5"/>
  <c r="Z96" i="5"/>
  <c r="Y96" i="5"/>
  <c r="X96" i="5"/>
  <c r="W96" i="5"/>
  <c r="V96" i="5"/>
  <c r="U96" i="5"/>
  <c r="T96" i="5"/>
  <c r="S96" i="5"/>
  <c r="R96" i="5"/>
  <c r="Q96" i="5"/>
  <c r="P96" i="5"/>
  <c r="O96" i="5"/>
  <c r="N96" i="5"/>
  <c r="M96" i="5"/>
  <c r="L96" i="5"/>
  <c r="K96" i="5"/>
  <c r="J96" i="5"/>
  <c r="I96" i="5"/>
  <c r="H96" i="5"/>
  <c r="G96" i="5"/>
  <c r="F96" i="5"/>
  <c r="E96" i="5"/>
  <c r="D96" i="5"/>
  <c r="C96" i="5"/>
  <c r="AE95" i="5"/>
  <c r="AD95" i="5"/>
  <c r="AC95" i="5"/>
  <c r="AA95" i="5"/>
  <c r="Z95" i="5"/>
  <c r="Y95" i="5"/>
  <c r="X95" i="5"/>
  <c r="W95" i="5"/>
  <c r="V95" i="5"/>
  <c r="U95" i="5"/>
  <c r="T95" i="5"/>
  <c r="S95" i="5"/>
  <c r="R95" i="5"/>
  <c r="Q95" i="5"/>
  <c r="P95" i="5"/>
  <c r="O95" i="5"/>
  <c r="N95" i="5"/>
  <c r="M95" i="5"/>
  <c r="L95" i="5"/>
  <c r="K95" i="5"/>
  <c r="J95" i="5"/>
  <c r="I95" i="5"/>
  <c r="H95" i="5"/>
  <c r="G95" i="5"/>
  <c r="F95" i="5"/>
  <c r="E95" i="5"/>
  <c r="D95" i="5"/>
  <c r="C95" i="5"/>
  <c r="AC94" i="5"/>
  <c r="AE94" i="5" s="1"/>
  <c r="AA94" i="5"/>
  <c r="Z94" i="5"/>
  <c r="Y94" i="5"/>
  <c r="X94" i="5"/>
  <c r="W94" i="5"/>
  <c r="V94" i="5"/>
  <c r="U94" i="5"/>
  <c r="T94" i="5"/>
  <c r="S94" i="5"/>
  <c r="R94" i="5"/>
  <c r="Q94" i="5"/>
  <c r="P94" i="5"/>
  <c r="O94" i="5"/>
  <c r="N94" i="5"/>
  <c r="M94" i="5"/>
  <c r="L94" i="5"/>
  <c r="K94" i="5"/>
  <c r="J94" i="5"/>
  <c r="I94" i="5"/>
  <c r="H94" i="5"/>
  <c r="G94" i="5"/>
  <c r="F94" i="5"/>
  <c r="E94" i="5"/>
  <c r="D94" i="5"/>
  <c r="C94" i="5"/>
  <c r="AC93" i="5"/>
  <c r="AA93" i="5"/>
  <c r="Z93" i="5"/>
  <c r="Y93" i="5"/>
  <c r="X93" i="5"/>
  <c r="W93" i="5"/>
  <c r="V93" i="5"/>
  <c r="U93" i="5"/>
  <c r="T93" i="5"/>
  <c r="S93" i="5"/>
  <c r="R93" i="5"/>
  <c r="Q93" i="5"/>
  <c r="P93" i="5"/>
  <c r="O93" i="5"/>
  <c r="N93" i="5"/>
  <c r="M93" i="5"/>
  <c r="L93" i="5"/>
  <c r="K93" i="5"/>
  <c r="J93" i="5"/>
  <c r="I93" i="5"/>
  <c r="AD93" i="5" s="1"/>
  <c r="H93" i="5"/>
  <c r="G93" i="5"/>
  <c r="F93" i="5"/>
  <c r="E93" i="5"/>
  <c r="AE93" i="5" s="1"/>
  <c r="AF93" i="5" s="1"/>
  <c r="D93" i="5"/>
  <c r="C93" i="5"/>
  <c r="AD92" i="5"/>
  <c r="AC92" i="5"/>
  <c r="AA92" i="5"/>
  <c r="Z92" i="5"/>
  <c r="Y92" i="5"/>
  <c r="X92" i="5"/>
  <c r="W92" i="5"/>
  <c r="V92" i="5"/>
  <c r="U92" i="5"/>
  <c r="T92" i="5"/>
  <c r="S92" i="5"/>
  <c r="R92" i="5"/>
  <c r="Q92" i="5"/>
  <c r="P92" i="5"/>
  <c r="O92" i="5"/>
  <c r="N92" i="5"/>
  <c r="M92" i="5"/>
  <c r="L92" i="5"/>
  <c r="K92" i="5"/>
  <c r="J92" i="5"/>
  <c r="I92" i="5"/>
  <c r="H92" i="5"/>
  <c r="G92" i="5"/>
  <c r="F92" i="5"/>
  <c r="E92" i="5"/>
  <c r="D92" i="5"/>
  <c r="C92" i="5"/>
  <c r="AC91" i="5"/>
  <c r="AE91" i="5" s="1"/>
  <c r="AA91" i="5"/>
  <c r="Z91" i="5"/>
  <c r="Y91" i="5"/>
  <c r="X91" i="5"/>
  <c r="W91" i="5"/>
  <c r="V91" i="5"/>
  <c r="U91" i="5"/>
  <c r="T91" i="5"/>
  <c r="S91" i="5"/>
  <c r="R91" i="5"/>
  <c r="Q91" i="5"/>
  <c r="P91" i="5"/>
  <c r="O91" i="5"/>
  <c r="N91" i="5"/>
  <c r="M91" i="5"/>
  <c r="L91" i="5"/>
  <c r="K91" i="5"/>
  <c r="J91" i="5"/>
  <c r="I91" i="5"/>
  <c r="AD91" i="5" s="1"/>
  <c r="AF91" i="5" s="1"/>
  <c r="H91" i="5"/>
  <c r="G91" i="5"/>
  <c r="F91" i="5"/>
  <c r="E91" i="5"/>
  <c r="D91" i="5"/>
  <c r="C91" i="5"/>
  <c r="AE90" i="5"/>
  <c r="AF90" i="5" s="1"/>
  <c r="AC90" i="5"/>
  <c r="AA90" i="5"/>
  <c r="Z90" i="5"/>
  <c r="Y90" i="5"/>
  <c r="X90" i="5"/>
  <c r="W90" i="5"/>
  <c r="W4" i="5" s="1"/>
  <c r="V90" i="5"/>
  <c r="U90" i="5"/>
  <c r="T90" i="5"/>
  <c r="S90" i="5"/>
  <c r="R90" i="5"/>
  <c r="Q90" i="5"/>
  <c r="P90" i="5"/>
  <c r="O90" i="5"/>
  <c r="N90" i="5"/>
  <c r="M90" i="5"/>
  <c r="L90" i="5"/>
  <c r="K90" i="5"/>
  <c r="J90" i="5"/>
  <c r="I90" i="5"/>
  <c r="AD90" i="5" s="1"/>
  <c r="H90" i="5"/>
  <c r="G90" i="5"/>
  <c r="G4" i="5" s="1"/>
  <c r="F90" i="5"/>
  <c r="E90" i="5"/>
  <c r="D90" i="5"/>
  <c r="C90" i="5"/>
  <c r="AC89" i="5"/>
  <c r="AA89" i="5"/>
  <c r="Z89" i="5"/>
  <c r="Y89" i="5"/>
  <c r="X89" i="5"/>
  <c r="W89" i="5"/>
  <c r="V89" i="5"/>
  <c r="U89" i="5"/>
  <c r="T89" i="5"/>
  <c r="S89" i="5"/>
  <c r="R89" i="5"/>
  <c r="Q89" i="5"/>
  <c r="P89" i="5"/>
  <c r="O89" i="5"/>
  <c r="N89" i="5"/>
  <c r="M89" i="5"/>
  <c r="L89" i="5"/>
  <c r="K89" i="5"/>
  <c r="J89" i="5"/>
  <c r="I89" i="5"/>
  <c r="H89" i="5"/>
  <c r="G89" i="5"/>
  <c r="F89" i="5"/>
  <c r="E89" i="5"/>
  <c r="D89" i="5"/>
  <c r="C89" i="5"/>
  <c r="AC88" i="5"/>
  <c r="AE88" i="5" s="1"/>
  <c r="AA88" i="5"/>
  <c r="Z88" i="5"/>
  <c r="Y88" i="5"/>
  <c r="X88" i="5"/>
  <c r="W88" i="5"/>
  <c r="V88" i="5"/>
  <c r="U88" i="5"/>
  <c r="T88" i="5"/>
  <c r="S88" i="5"/>
  <c r="R88" i="5"/>
  <c r="Q88" i="5"/>
  <c r="P88" i="5"/>
  <c r="O88" i="5"/>
  <c r="N88" i="5"/>
  <c r="M88" i="5"/>
  <c r="L88" i="5"/>
  <c r="K88" i="5"/>
  <c r="J88" i="5"/>
  <c r="I88" i="5"/>
  <c r="H88" i="5"/>
  <c r="G88" i="5"/>
  <c r="F88" i="5"/>
  <c r="E88" i="5"/>
  <c r="D88" i="5"/>
  <c r="C88" i="5"/>
  <c r="AD87" i="5"/>
  <c r="AC87" i="5"/>
  <c r="AA87" i="5"/>
  <c r="Z87" i="5"/>
  <c r="Y87" i="5"/>
  <c r="X87" i="5"/>
  <c r="W87" i="5"/>
  <c r="V87" i="5"/>
  <c r="V4" i="5" s="1"/>
  <c r="U87" i="5"/>
  <c r="T87" i="5"/>
  <c r="S87" i="5"/>
  <c r="R87" i="5"/>
  <c r="Q87" i="5"/>
  <c r="P87" i="5"/>
  <c r="O87" i="5"/>
  <c r="N87" i="5"/>
  <c r="M87" i="5"/>
  <c r="L87" i="5"/>
  <c r="K87" i="5"/>
  <c r="J87" i="5"/>
  <c r="I87" i="5"/>
  <c r="H87" i="5"/>
  <c r="G87" i="5"/>
  <c r="F87" i="5"/>
  <c r="E87" i="5"/>
  <c r="AE87" i="5" s="1"/>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C85" i="5"/>
  <c r="AA85" i="5"/>
  <c r="Z85" i="5"/>
  <c r="Y85" i="5"/>
  <c r="X85" i="5"/>
  <c r="W85" i="5"/>
  <c r="V85" i="5"/>
  <c r="U85" i="5"/>
  <c r="T85" i="5"/>
  <c r="S85" i="5"/>
  <c r="R85" i="5"/>
  <c r="Q85" i="5"/>
  <c r="P85" i="5"/>
  <c r="O85" i="5"/>
  <c r="N85" i="5"/>
  <c r="M85" i="5"/>
  <c r="L85" i="5"/>
  <c r="K85" i="5"/>
  <c r="J85" i="5"/>
  <c r="I85" i="5"/>
  <c r="AD85" i="5" s="1"/>
  <c r="H85" i="5"/>
  <c r="G85" i="5"/>
  <c r="F85" i="5"/>
  <c r="E85" i="5"/>
  <c r="AE85" i="5" s="1"/>
  <c r="AF85" i="5" s="1"/>
  <c r="D85" i="5"/>
  <c r="C85" i="5"/>
  <c r="AD84" i="5"/>
  <c r="AC84" i="5"/>
  <c r="AA84" i="5"/>
  <c r="Z84" i="5"/>
  <c r="Y84" i="5"/>
  <c r="X84" i="5"/>
  <c r="W84" i="5"/>
  <c r="V84" i="5"/>
  <c r="U84" i="5"/>
  <c r="U4" i="5" s="1"/>
  <c r="T84" i="5"/>
  <c r="S84" i="5"/>
  <c r="R84" i="5"/>
  <c r="Q84" i="5"/>
  <c r="P84" i="5"/>
  <c r="O84" i="5"/>
  <c r="N84" i="5"/>
  <c r="M84" i="5"/>
  <c r="L84" i="5"/>
  <c r="K84" i="5"/>
  <c r="J84" i="5"/>
  <c r="I84" i="5"/>
  <c r="H84" i="5"/>
  <c r="G84" i="5"/>
  <c r="F84" i="5"/>
  <c r="E84" i="5"/>
  <c r="D84" i="5"/>
  <c r="C84" i="5"/>
  <c r="AC83" i="5"/>
  <c r="AE83" i="5" s="1"/>
  <c r="AA83" i="5"/>
  <c r="Z83" i="5"/>
  <c r="Y83" i="5"/>
  <c r="X83" i="5"/>
  <c r="W83" i="5"/>
  <c r="V83" i="5"/>
  <c r="U83" i="5"/>
  <c r="T83" i="5"/>
  <c r="S83" i="5"/>
  <c r="R83" i="5"/>
  <c r="Q83" i="5"/>
  <c r="P83" i="5"/>
  <c r="O83" i="5"/>
  <c r="N83" i="5"/>
  <c r="M83" i="5"/>
  <c r="L83" i="5"/>
  <c r="K83" i="5"/>
  <c r="J83" i="5"/>
  <c r="I83" i="5"/>
  <c r="AD83" i="5" s="1"/>
  <c r="AF83" i="5" s="1"/>
  <c r="H83" i="5"/>
  <c r="G83" i="5"/>
  <c r="F83" i="5"/>
  <c r="E83" i="5"/>
  <c r="D83" i="5"/>
  <c r="C83" i="5"/>
  <c r="AE82" i="5"/>
  <c r="AF82" i="5" s="1"/>
  <c r="AC82" i="5"/>
  <c r="AA82" i="5"/>
  <c r="Z82" i="5"/>
  <c r="Y82" i="5"/>
  <c r="X82" i="5"/>
  <c r="W82" i="5"/>
  <c r="V82" i="5"/>
  <c r="U82" i="5"/>
  <c r="T82" i="5"/>
  <c r="S82" i="5"/>
  <c r="R82" i="5"/>
  <c r="Q82" i="5"/>
  <c r="P82" i="5"/>
  <c r="O82" i="5"/>
  <c r="N82" i="5"/>
  <c r="M82" i="5"/>
  <c r="L82" i="5"/>
  <c r="K82" i="5"/>
  <c r="J82" i="5"/>
  <c r="I82" i="5"/>
  <c r="AD82" i="5" s="1"/>
  <c r="H82" i="5"/>
  <c r="G82" i="5"/>
  <c r="F82" i="5"/>
  <c r="E82" i="5"/>
  <c r="D82" i="5"/>
  <c r="C82" i="5"/>
  <c r="AC81" i="5"/>
  <c r="AA81" i="5"/>
  <c r="Z81" i="5"/>
  <c r="Y81" i="5"/>
  <c r="X81" i="5"/>
  <c r="W81" i="5"/>
  <c r="V81" i="5"/>
  <c r="U81" i="5"/>
  <c r="T81" i="5"/>
  <c r="S81" i="5"/>
  <c r="R81" i="5"/>
  <c r="Q81" i="5"/>
  <c r="P81" i="5"/>
  <c r="O81" i="5"/>
  <c r="N81" i="5"/>
  <c r="M81" i="5"/>
  <c r="L81" i="5"/>
  <c r="K81" i="5"/>
  <c r="J81" i="5"/>
  <c r="I81" i="5"/>
  <c r="H81" i="5"/>
  <c r="G81" i="5"/>
  <c r="F81" i="5"/>
  <c r="E81" i="5"/>
  <c r="D81" i="5"/>
  <c r="C81" i="5"/>
  <c r="AC80" i="5"/>
  <c r="AE80" i="5" s="1"/>
  <c r="AA80" i="5"/>
  <c r="Z80" i="5"/>
  <c r="Y80" i="5"/>
  <c r="X80" i="5"/>
  <c r="W80" i="5"/>
  <c r="V80" i="5"/>
  <c r="U80" i="5"/>
  <c r="T80" i="5"/>
  <c r="S80" i="5"/>
  <c r="R80" i="5"/>
  <c r="Q80" i="5"/>
  <c r="P80" i="5"/>
  <c r="O80" i="5"/>
  <c r="N80" i="5"/>
  <c r="M80" i="5"/>
  <c r="L80" i="5"/>
  <c r="K80" i="5"/>
  <c r="J80" i="5"/>
  <c r="I80" i="5"/>
  <c r="H80" i="5"/>
  <c r="G80" i="5"/>
  <c r="F80" i="5"/>
  <c r="E80" i="5"/>
  <c r="D80" i="5"/>
  <c r="C80" i="5"/>
  <c r="AD79" i="5"/>
  <c r="AC79" i="5"/>
  <c r="AA79" i="5"/>
  <c r="Z79" i="5"/>
  <c r="Y79" i="5"/>
  <c r="X79" i="5"/>
  <c r="W79" i="5"/>
  <c r="V79" i="5"/>
  <c r="V5" i="5" s="1"/>
  <c r="U79" i="5"/>
  <c r="T79" i="5"/>
  <c r="S79" i="5"/>
  <c r="R79" i="5"/>
  <c r="Q79" i="5"/>
  <c r="P79" i="5"/>
  <c r="O79" i="5"/>
  <c r="N79" i="5"/>
  <c r="N4" i="5" s="1"/>
  <c r="M79" i="5"/>
  <c r="L79" i="5"/>
  <c r="K79" i="5"/>
  <c r="J79" i="5"/>
  <c r="I79" i="5"/>
  <c r="H79" i="5"/>
  <c r="G79" i="5"/>
  <c r="F79" i="5"/>
  <c r="F4" i="5" s="1"/>
  <c r="E79" i="5"/>
  <c r="AE79" i="5" s="1"/>
  <c r="D79" i="5"/>
  <c r="C79" i="5"/>
  <c r="AC78" i="5"/>
  <c r="AE78" i="5" s="1"/>
  <c r="AA78" i="5"/>
  <c r="Z78" i="5"/>
  <c r="Y78" i="5"/>
  <c r="X78" i="5"/>
  <c r="W78" i="5"/>
  <c r="V78" i="5"/>
  <c r="U78" i="5"/>
  <c r="T78" i="5"/>
  <c r="S78" i="5"/>
  <c r="R78" i="5"/>
  <c r="Q78" i="5"/>
  <c r="P78" i="5"/>
  <c r="O78" i="5"/>
  <c r="N78" i="5"/>
  <c r="M78" i="5"/>
  <c r="L78" i="5"/>
  <c r="K78" i="5"/>
  <c r="J78" i="5"/>
  <c r="I78" i="5"/>
  <c r="H78" i="5"/>
  <c r="G78" i="5"/>
  <c r="F78" i="5"/>
  <c r="E78" i="5"/>
  <c r="D78" i="5"/>
  <c r="C78" i="5"/>
  <c r="AC77" i="5"/>
  <c r="AA77" i="5"/>
  <c r="Z77" i="5"/>
  <c r="Y77" i="5"/>
  <c r="X77" i="5"/>
  <c r="W77" i="5"/>
  <c r="V77" i="5"/>
  <c r="U77" i="5"/>
  <c r="T77" i="5"/>
  <c r="S77" i="5"/>
  <c r="R77" i="5"/>
  <c r="Q77" i="5"/>
  <c r="P77" i="5"/>
  <c r="O77" i="5"/>
  <c r="N77" i="5"/>
  <c r="M77" i="5"/>
  <c r="L77" i="5"/>
  <c r="K77" i="5"/>
  <c r="J77" i="5"/>
  <c r="I77" i="5"/>
  <c r="AD77" i="5" s="1"/>
  <c r="AF77" i="5" s="1"/>
  <c r="H77" i="5"/>
  <c r="G77" i="5"/>
  <c r="F77" i="5"/>
  <c r="E77" i="5"/>
  <c r="AE77" i="5" s="1"/>
  <c r="D77" i="5"/>
  <c r="C77" i="5"/>
  <c r="AC76" i="5"/>
  <c r="AE76" i="5" s="1"/>
  <c r="AA76" i="5"/>
  <c r="Z76" i="5"/>
  <c r="Y76" i="5"/>
  <c r="X76" i="5"/>
  <c r="W76" i="5"/>
  <c r="V76" i="5"/>
  <c r="U76" i="5"/>
  <c r="U5" i="5" s="1"/>
  <c r="T76" i="5"/>
  <c r="S76" i="5"/>
  <c r="R76" i="5"/>
  <c r="Q76" i="5"/>
  <c r="P76" i="5"/>
  <c r="O76" i="5"/>
  <c r="N76" i="5"/>
  <c r="M76" i="5"/>
  <c r="M4" i="5" s="1"/>
  <c r="L76" i="5"/>
  <c r="K76" i="5"/>
  <c r="J76" i="5"/>
  <c r="I76" i="5"/>
  <c r="H76" i="5"/>
  <c r="G76" i="5"/>
  <c r="F76" i="5"/>
  <c r="E76" i="5"/>
  <c r="E4" i="5" s="1"/>
  <c r="D76" i="5"/>
  <c r="C76" i="5"/>
  <c r="AC75" i="5"/>
  <c r="AE75" i="5" s="1"/>
  <c r="AA75" i="5"/>
  <c r="Z75" i="5"/>
  <c r="Y75" i="5"/>
  <c r="X75" i="5"/>
  <c r="W75" i="5"/>
  <c r="V75" i="5"/>
  <c r="U75" i="5"/>
  <c r="T75" i="5"/>
  <c r="S75" i="5"/>
  <c r="R75" i="5"/>
  <c r="Q75" i="5"/>
  <c r="P75" i="5"/>
  <c r="O75" i="5"/>
  <c r="N75" i="5"/>
  <c r="M75" i="5"/>
  <c r="L75" i="5"/>
  <c r="K75" i="5"/>
  <c r="J75" i="5"/>
  <c r="I75" i="5"/>
  <c r="AD75" i="5" s="1"/>
  <c r="H75" i="5"/>
  <c r="G75" i="5"/>
  <c r="F75" i="5"/>
  <c r="E75" i="5"/>
  <c r="D75" i="5"/>
  <c r="C75" i="5"/>
  <c r="AE74" i="5"/>
  <c r="AC74" i="5"/>
  <c r="AA74" i="5"/>
  <c r="Z74" i="5"/>
  <c r="Y74" i="5"/>
  <c r="X74" i="5"/>
  <c r="W74" i="5"/>
  <c r="V74" i="5"/>
  <c r="U74" i="5"/>
  <c r="T74" i="5"/>
  <c r="S74" i="5"/>
  <c r="R74" i="5"/>
  <c r="Q74" i="5"/>
  <c r="P74" i="5"/>
  <c r="O74" i="5"/>
  <c r="N74" i="5"/>
  <c r="M74" i="5"/>
  <c r="L74" i="5"/>
  <c r="K74" i="5"/>
  <c r="J74" i="5"/>
  <c r="I74" i="5"/>
  <c r="AD74" i="5" s="1"/>
  <c r="AF74" i="5" s="1"/>
  <c r="H74" i="5"/>
  <c r="G74" i="5"/>
  <c r="F74" i="5"/>
  <c r="E74" i="5"/>
  <c r="D74" i="5"/>
  <c r="C74" i="5"/>
  <c r="AC73" i="5"/>
  <c r="AA73" i="5"/>
  <c r="AA6" i="5" s="1"/>
  <c r="AA7" i="5" s="1"/>
  <c r="Z73" i="5"/>
  <c r="Y73" i="5"/>
  <c r="X73" i="5"/>
  <c r="W73" i="5"/>
  <c r="V73" i="5"/>
  <c r="U73" i="5"/>
  <c r="T73" i="5"/>
  <c r="T6" i="5" s="1"/>
  <c r="T7" i="5" s="1"/>
  <c r="S73" i="5"/>
  <c r="S6" i="5" s="1"/>
  <c r="S7" i="5" s="1"/>
  <c r="R73" i="5"/>
  <c r="Q73" i="5"/>
  <c r="P73" i="5"/>
  <c r="O73" i="5"/>
  <c r="N73" i="5"/>
  <c r="M73" i="5"/>
  <c r="L73" i="5"/>
  <c r="L5" i="5" s="1"/>
  <c r="K73" i="5"/>
  <c r="J73" i="5"/>
  <c r="I73" i="5"/>
  <c r="H73" i="5"/>
  <c r="G73" i="5"/>
  <c r="F73" i="5"/>
  <c r="E73" i="5"/>
  <c r="D73" i="5"/>
  <c r="D6" i="5" s="1"/>
  <c r="D7" i="5" s="1"/>
  <c r="C73" i="5"/>
  <c r="C6" i="5" s="1"/>
  <c r="C7" i="5" s="1"/>
  <c r="AC72" i="5"/>
  <c r="AE72" i="5" s="1"/>
  <c r="AA72" i="5"/>
  <c r="Z72" i="5"/>
  <c r="Y72" i="5"/>
  <c r="X72" i="5"/>
  <c r="W72" i="5"/>
  <c r="V72" i="5"/>
  <c r="U72" i="5"/>
  <c r="T72" i="5"/>
  <c r="S72" i="5"/>
  <c r="R72" i="5"/>
  <c r="Q72" i="5"/>
  <c r="P72" i="5"/>
  <c r="O72" i="5"/>
  <c r="N72" i="5"/>
  <c r="M72" i="5"/>
  <c r="L72" i="5"/>
  <c r="K72" i="5"/>
  <c r="J72" i="5"/>
  <c r="I72" i="5"/>
  <c r="H72" i="5"/>
  <c r="G72" i="5"/>
  <c r="F72" i="5"/>
  <c r="E72" i="5"/>
  <c r="D72" i="5"/>
  <c r="C72" i="5"/>
  <c r="AD71" i="5"/>
  <c r="AC71" i="5"/>
  <c r="AA71" i="5"/>
  <c r="Z71" i="5"/>
  <c r="Y71" i="5"/>
  <c r="Y6" i="5" s="1"/>
  <c r="Y7" i="5" s="1"/>
  <c r="X71" i="5"/>
  <c r="W71" i="5"/>
  <c r="V71" i="5"/>
  <c r="U71" i="5"/>
  <c r="T71" i="5"/>
  <c r="S71" i="5"/>
  <c r="R71" i="5"/>
  <c r="Q71" i="5"/>
  <c r="Q6" i="5" s="1"/>
  <c r="Q7" i="5" s="1"/>
  <c r="P71" i="5"/>
  <c r="O71" i="5"/>
  <c r="N71" i="5"/>
  <c r="M71" i="5"/>
  <c r="L71" i="5"/>
  <c r="K71" i="5"/>
  <c r="J71" i="5"/>
  <c r="I71" i="5"/>
  <c r="I6" i="5" s="1"/>
  <c r="I7" i="5" s="1"/>
  <c r="H71" i="5"/>
  <c r="G71" i="5"/>
  <c r="F71" i="5"/>
  <c r="E71" i="5"/>
  <c r="AE71" i="5" s="1"/>
  <c r="D71" i="5"/>
  <c r="C71"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E69" i="5"/>
  <c r="AC69" i="5"/>
  <c r="AA69" i="5"/>
  <c r="Z69" i="5"/>
  <c r="Y69" i="5"/>
  <c r="X69" i="5"/>
  <c r="W69" i="5"/>
  <c r="V69" i="5"/>
  <c r="U69" i="5"/>
  <c r="T69" i="5"/>
  <c r="S69" i="5"/>
  <c r="R69" i="5"/>
  <c r="Q69" i="5"/>
  <c r="P69" i="5"/>
  <c r="O69" i="5"/>
  <c r="N69" i="5"/>
  <c r="M69" i="5"/>
  <c r="L69" i="5"/>
  <c r="K69" i="5"/>
  <c r="J69" i="5"/>
  <c r="I69" i="5"/>
  <c r="AD69" i="5" s="1"/>
  <c r="AF69" i="5" s="1"/>
  <c r="H69" i="5"/>
  <c r="G69" i="5"/>
  <c r="F69" i="5"/>
  <c r="E69" i="5"/>
  <c r="D69" i="5"/>
  <c r="C69"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C67" i="5"/>
  <c r="AE67" i="5" s="1"/>
  <c r="AA67" i="5"/>
  <c r="Z67" i="5"/>
  <c r="Y67" i="5"/>
  <c r="X67" i="5"/>
  <c r="W67" i="5"/>
  <c r="V67" i="5"/>
  <c r="U67" i="5"/>
  <c r="T67" i="5"/>
  <c r="S67" i="5"/>
  <c r="R67" i="5"/>
  <c r="Q67" i="5"/>
  <c r="P67" i="5"/>
  <c r="O67" i="5"/>
  <c r="N67" i="5"/>
  <c r="M67" i="5"/>
  <c r="L67" i="5"/>
  <c r="K67" i="5"/>
  <c r="J67" i="5"/>
  <c r="I67" i="5"/>
  <c r="AD67" i="5" s="1"/>
  <c r="H67" i="5"/>
  <c r="G67" i="5"/>
  <c r="F67" i="5"/>
  <c r="E67" i="5"/>
  <c r="D67" i="5"/>
  <c r="C67" i="5"/>
  <c r="AE66" i="5"/>
  <c r="AC66" i="5"/>
  <c r="AA66" i="5"/>
  <c r="Z66" i="5"/>
  <c r="Y66" i="5"/>
  <c r="X66" i="5"/>
  <c r="W66" i="5"/>
  <c r="V66" i="5"/>
  <c r="U66" i="5"/>
  <c r="T66" i="5"/>
  <c r="S66" i="5"/>
  <c r="R66" i="5"/>
  <c r="Q66" i="5"/>
  <c r="P66" i="5"/>
  <c r="O66" i="5"/>
  <c r="N66" i="5"/>
  <c r="M66" i="5"/>
  <c r="L66" i="5"/>
  <c r="K66" i="5"/>
  <c r="J66" i="5"/>
  <c r="I66" i="5"/>
  <c r="AD66" i="5" s="1"/>
  <c r="AF66" i="5" s="1"/>
  <c r="H66" i="5"/>
  <c r="G66" i="5"/>
  <c r="F66" i="5"/>
  <c r="E66" i="5"/>
  <c r="D66" i="5"/>
  <c r="C66" i="5"/>
  <c r="AC65" i="5"/>
  <c r="AA65" i="5"/>
  <c r="Z65" i="5"/>
  <c r="Y65" i="5"/>
  <c r="X65" i="5"/>
  <c r="W65" i="5"/>
  <c r="V65" i="5"/>
  <c r="U65" i="5"/>
  <c r="T65" i="5"/>
  <c r="S65" i="5"/>
  <c r="R65" i="5"/>
  <c r="Q65" i="5"/>
  <c r="P65" i="5"/>
  <c r="O65" i="5"/>
  <c r="N65" i="5"/>
  <c r="M65" i="5"/>
  <c r="L65" i="5"/>
  <c r="K65" i="5"/>
  <c r="J65" i="5"/>
  <c r="I65" i="5"/>
  <c r="H65" i="5"/>
  <c r="G65" i="5"/>
  <c r="F65" i="5"/>
  <c r="E65" i="5"/>
  <c r="D65" i="5"/>
  <c r="C65" i="5"/>
  <c r="AC64" i="5"/>
  <c r="AE64" i="5" s="1"/>
  <c r="AA64" i="5"/>
  <c r="Z64" i="5"/>
  <c r="Y64" i="5"/>
  <c r="X64" i="5"/>
  <c r="W64" i="5"/>
  <c r="V64" i="5"/>
  <c r="U64" i="5"/>
  <c r="T64" i="5"/>
  <c r="S64" i="5"/>
  <c r="R64" i="5"/>
  <c r="Q64" i="5"/>
  <c r="P64" i="5"/>
  <c r="O64" i="5"/>
  <c r="N64" i="5"/>
  <c r="M64" i="5"/>
  <c r="L64" i="5"/>
  <c r="K64" i="5"/>
  <c r="J64" i="5"/>
  <c r="I64" i="5"/>
  <c r="H64" i="5"/>
  <c r="G64" i="5"/>
  <c r="F64" i="5"/>
  <c r="E64" i="5"/>
  <c r="D64" i="5"/>
  <c r="C64" i="5"/>
  <c r="AD63" i="5"/>
  <c r="AC63" i="5"/>
  <c r="AA63" i="5"/>
  <c r="Z63" i="5"/>
  <c r="Y63" i="5"/>
  <c r="X63" i="5"/>
  <c r="W63" i="5"/>
  <c r="V63" i="5"/>
  <c r="U63" i="5"/>
  <c r="T63" i="5"/>
  <c r="S63" i="5"/>
  <c r="R63" i="5"/>
  <c r="Q63" i="5"/>
  <c r="P63" i="5"/>
  <c r="O63" i="5"/>
  <c r="N63" i="5"/>
  <c r="M63" i="5"/>
  <c r="L63" i="5"/>
  <c r="K63" i="5"/>
  <c r="J63" i="5"/>
  <c r="I63" i="5"/>
  <c r="H63" i="5"/>
  <c r="G63" i="5"/>
  <c r="F63" i="5"/>
  <c r="E63" i="5"/>
  <c r="AE63" i="5" s="1"/>
  <c r="D63" i="5"/>
  <c r="C63" i="5"/>
  <c r="AC62" i="5"/>
  <c r="AE62" i="5" s="1"/>
  <c r="AA62" i="5"/>
  <c r="Z62" i="5"/>
  <c r="Y62" i="5"/>
  <c r="X62" i="5"/>
  <c r="W62" i="5"/>
  <c r="V62" i="5"/>
  <c r="U62" i="5"/>
  <c r="T62" i="5"/>
  <c r="S62" i="5"/>
  <c r="R62" i="5"/>
  <c r="Q62" i="5"/>
  <c r="P62" i="5"/>
  <c r="O62" i="5"/>
  <c r="N62" i="5"/>
  <c r="M62" i="5"/>
  <c r="L62" i="5"/>
  <c r="K62" i="5"/>
  <c r="J62" i="5"/>
  <c r="I62" i="5"/>
  <c r="H62" i="5"/>
  <c r="G62" i="5"/>
  <c r="F62" i="5"/>
  <c r="E62" i="5"/>
  <c r="D62" i="5"/>
  <c r="C62" i="5"/>
  <c r="AF61" i="5"/>
  <c r="AE61" i="5"/>
  <c r="AC61" i="5"/>
  <c r="AA61" i="5"/>
  <c r="Z61" i="5"/>
  <c r="Y61" i="5"/>
  <c r="X61" i="5"/>
  <c r="W61" i="5"/>
  <c r="V61" i="5"/>
  <c r="U61" i="5"/>
  <c r="T61" i="5"/>
  <c r="S61" i="5"/>
  <c r="R61" i="5"/>
  <c r="Q61" i="5"/>
  <c r="P61" i="5"/>
  <c r="O61" i="5"/>
  <c r="N61" i="5"/>
  <c r="M61" i="5"/>
  <c r="L61" i="5"/>
  <c r="K61" i="5"/>
  <c r="J61" i="5"/>
  <c r="I61" i="5"/>
  <c r="AD61" i="5" s="1"/>
  <c r="H61" i="5"/>
  <c r="G61" i="5"/>
  <c r="F61" i="5"/>
  <c r="E61" i="5"/>
  <c r="D61" i="5"/>
  <c r="C61" i="5"/>
  <c r="AC60" i="5"/>
  <c r="AE60" i="5" s="1"/>
  <c r="AA60" i="5"/>
  <c r="Z60" i="5"/>
  <c r="Y60" i="5"/>
  <c r="X60" i="5"/>
  <c r="W60" i="5"/>
  <c r="V60" i="5"/>
  <c r="U60" i="5"/>
  <c r="T60" i="5"/>
  <c r="S60" i="5"/>
  <c r="R60" i="5"/>
  <c r="Q60" i="5"/>
  <c r="P60" i="5"/>
  <c r="O60" i="5"/>
  <c r="N60" i="5"/>
  <c r="M60" i="5"/>
  <c r="L60" i="5"/>
  <c r="K60" i="5"/>
  <c r="J60" i="5"/>
  <c r="I60" i="5"/>
  <c r="H60" i="5"/>
  <c r="G60" i="5"/>
  <c r="F60" i="5"/>
  <c r="E60" i="5"/>
  <c r="D60" i="5"/>
  <c r="C60" i="5"/>
  <c r="AC59" i="5"/>
  <c r="AE59" i="5" s="1"/>
  <c r="AA59" i="5"/>
  <c r="Z59" i="5"/>
  <c r="Y59" i="5"/>
  <c r="X59" i="5"/>
  <c r="W59" i="5"/>
  <c r="V59" i="5"/>
  <c r="U59" i="5"/>
  <c r="T59" i="5"/>
  <c r="S59" i="5"/>
  <c r="R59" i="5"/>
  <c r="Q59" i="5"/>
  <c r="P59" i="5"/>
  <c r="O59" i="5"/>
  <c r="N59" i="5"/>
  <c r="M59" i="5"/>
  <c r="L59" i="5"/>
  <c r="K59" i="5"/>
  <c r="J59" i="5"/>
  <c r="I59" i="5"/>
  <c r="AD59" i="5" s="1"/>
  <c r="H59" i="5"/>
  <c r="G59" i="5"/>
  <c r="F59" i="5"/>
  <c r="E59" i="5"/>
  <c r="D59" i="5"/>
  <c r="C59" i="5"/>
  <c r="AE58" i="5"/>
  <c r="AC58" i="5"/>
  <c r="AA58" i="5"/>
  <c r="Z58" i="5"/>
  <c r="Y58" i="5"/>
  <c r="X58" i="5"/>
  <c r="W58" i="5"/>
  <c r="V58" i="5"/>
  <c r="U58" i="5"/>
  <c r="T58" i="5"/>
  <c r="S58" i="5"/>
  <c r="R58" i="5"/>
  <c r="Q58" i="5"/>
  <c r="P58" i="5"/>
  <c r="O58" i="5"/>
  <c r="N58" i="5"/>
  <c r="M58" i="5"/>
  <c r="L58" i="5"/>
  <c r="K58" i="5"/>
  <c r="J58" i="5"/>
  <c r="I58" i="5"/>
  <c r="AD58" i="5" s="1"/>
  <c r="AF58" i="5" s="1"/>
  <c r="H58" i="5"/>
  <c r="G58" i="5"/>
  <c r="F58" i="5"/>
  <c r="E58" i="5"/>
  <c r="D58" i="5"/>
  <c r="C58" i="5"/>
  <c r="AC57" i="5"/>
  <c r="AA57" i="5"/>
  <c r="Z57" i="5"/>
  <c r="Y57" i="5"/>
  <c r="X57" i="5"/>
  <c r="W57" i="5"/>
  <c r="V57" i="5"/>
  <c r="U57" i="5"/>
  <c r="T57" i="5"/>
  <c r="S57" i="5"/>
  <c r="R57" i="5"/>
  <c r="Q57" i="5"/>
  <c r="P57" i="5"/>
  <c r="O57" i="5"/>
  <c r="N57" i="5"/>
  <c r="M57" i="5"/>
  <c r="L57" i="5"/>
  <c r="K57" i="5"/>
  <c r="J57" i="5"/>
  <c r="I57" i="5"/>
  <c r="H57" i="5"/>
  <c r="G57" i="5"/>
  <c r="F57" i="5"/>
  <c r="E57" i="5"/>
  <c r="D57" i="5"/>
  <c r="C57" i="5"/>
  <c r="AC56" i="5"/>
  <c r="AE56" i="5" s="1"/>
  <c r="AA56" i="5"/>
  <c r="Z56" i="5"/>
  <c r="Y56" i="5"/>
  <c r="X56" i="5"/>
  <c r="W56" i="5"/>
  <c r="V56" i="5"/>
  <c r="U56" i="5"/>
  <c r="T56" i="5"/>
  <c r="S56" i="5"/>
  <c r="R56" i="5"/>
  <c r="Q56" i="5"/>
  <c r="P56" i="5"/>
  <c r="O56" i="5"/>
  <c r="N56" i="5"/>
  <c r="M56" i="5"/>
  <c r="L56" i="5"/>
  <c r="K56" i="5"/>
  <c r="J56" i="5"/>
  <c r="I56" i="5"/>
  <c r="H56" i="5"/>
  <c r="G56" i="5"/>
  <c r="F56" i="5"/>
  <c r="E56" i="5"/>
  <c r="D56" i="5"/>
  <c r="C56" i="5"/>
  <c r="AE55" i="5"/>
  <c r="AD55" i="5"/>
  <c r="AC55" i="5"/>
  <c r="AA55" i="5"/>
  <c r="Z55" i="5"/>
  <c r="Y55" i="5"/>
  <c r="X55" i="5"/>
  <c r="W55" i="5"/>
  <c r="V55" i="5"/>
  <c r="U55" i="5"/>
  <c r="T55" i="5"/>
  <c r="S55" i="5"/>
  <c r="R55" i="5"/>
  <c r="Q55" i="5"/>
  <c r="P55" i="5"/>
  <c r="O55" i="5"/>
  <c r="N55" i="5"/>
  <c r="M55" i="5"/>
  <c r="L55" i="5"/>
  <c r="K55" i="5"/>
  <c r="J55" i="5"/>
  <c r="I55" i="5"/>
  <c r="H55" i="5"/>
  <c r="G55" i="5"/>
  <c r="F55" i="5"/>
  <c r="E55" i="5"/>
  <c r="D55" i="5"/>
  <c r="C55" i="5"/>
  <c r="AC54" i="5"/>
  <c r="AE54" i="5" s="1"/>
  <c r="AA54" i="5"/>
  <c r="Z54" i="5"/>
  <c r="Y54" i="5"/>
  <c r="X54" i="5"/>
  <c r="W54" i="5"/>
  <c r="V54" i="5"/>
  <c r="U54" i="5"/>
  <c r="T54" i="5"/>
  <c r="S54" i="5"/>
  <c r="R54" i="5"/>
  <c r="Q54" i="5"/>
  <c r="P54" i="5"/>
  <c r="O54" i="5"/>
  <c r="N54" i="5"/>
  <c r="M54" i="5"/>
  <c r="L54" i="5"/>
  <c r="K54" i="5"/>
  <c r="J54" i="5"/>
  <c r="I54" i="5"/>
  <c r="H54" i="5"/>
  <c r="G54" i="5"/>
  <c r="F54" i="5"/>
  <c r="E54" i="5"/>
  <c r="D54" i="5"/>
  <c r="C54" i="5"/>
  <c r="AF53" i="5"/>
  <c r="AE53" i="5"/>
  <c r="AC53" i="5"/>
  <c r="AA53" i="5"/>
  <c r="Z53" i="5"/>
  <c r="Y53" i="5"/>
  <c r="X53" i="5"/>
  <c r="W53" i="5"/>
  <c r="V53" i="5"/>
  <c r="U53" i="5"/>
  <c r="T53" i="5"/>
  <c r="S53" i="5"/>
  <c r="R53" i="5"/>
  <c r="Q53" i="5"/>
  <c r="P53" i="5"/>
  <c r="O53" i="5"/>
  <c r="N53" i="5"/>
  <c r="M53" i="5"/>
  <c r="L53" i="5"/>
  <c r="K53" i="5"/>
  <c r="J53" i="5"/>
  <c r="I53" i="5"/>
  <c r="AD53" i="5" s="1"/>
  <c r="H53" i="5"/>
  <c r="G53" i="5"/>
  <c r="F53" i="5"/>
  <c r="E53" i="5"/>
  <c r="D53" i="5"/>
  <c r="C53" i="5"/>
  <c r="AD52" i="5"/>
  <c r="AC52" i="5"/>
  <c r="AA52" i="5"/>
  <c r="Z52" i="5"/>
  <c r="Y52" i="5"/>
  <c r="X52" i="5"/>
  <c r="W52" i="5"/>
  <c r="V52" i="5"/>
  <c r="U52" i="5"/>
  <c r="T52" i="5"/>
  <c r="S52" i="5"/>
  <c r="R52" i="5"/>
  <c r="Q52" i="5"/>
  <c r="P52" i="5"/>
  <c r="O52" i="5"/>
  <c r="N52" i="5"/>
  <c r="M52" i="5"/>
  <c r="L52" i="5"/>
  <c r="K52" i="5"/>
  <c r="J52" i="5"/>
  <c r="I52" i="5"/>
  <c r="H52" i="5"/>
  <c r="G52" i="5"/>
  <c r="F52" i="5"/>
  <c r="E52" i="5"/>
  <c r="D52" i="5"/>
  <c r="C52" i="5"/>
  <c r="AC51" i="5"/>
  <c r="AE51" i="5" s="1"/>
  <c r="AA51" i="5"/>
  <c r="Z51" i="5"/>
  <c r="Y51" i="5"/>
  <c r="X51" i="5"/>
  <c r="W51" i="5"/>
  <c r="V51" i="5"/>
  <c r="U51" i="5"/>
  <c r="T51" i="5"/>
  <c r="S51" i="5"/>
  <c r="R51" i="5"/>
  <c r="Q51" i="5"/>
  <c r="P51" i="5"/>
  <c r="O51" i="5"/>
  <c r="N51" i="5"/>
  <c r="M51" i="5"/>
  <c r="L51" i="5"/>
  <c r="K51" i="5"/>
  <c r="J51" i="5"/>
  <c r="I51" i="5"/>
  <c r="AD51" i="5" s="1"/>
  <c r="H51" i="5"/>
  <c r="G51" i="5"/>
  <c r="F51" i="5"/>
  <c r="E51" i="5"/>
  <c r="D51" i="5"/>
  <c r="C51" i="5"/>
  <c r="AF50" i="5"/>
  <c r="AE50" i="5"/>
  <c r="AC50" i="5"/>
  <c r="AA50" i="5"/>
  <c r="Z50" i="5"/>
  <c r="Y50" i="5"/>
  <c r="X50" i="5"/>
  <c r="W50" i="5"/>
  <c r="V50" i="5"/>
  <c r="U50" i="5"/>
  <c r="T50" i="5"/>
  <c r="S50" i="5"/>
  <c r="R50" i="5"/>
  <c r="Q50" i="5"/>
  <c r="P50" i="5"/>
  <c r="O50" i="5"/>
  <c r="N50" i="5"/>
  <c r="M50" i="5"/>
  <c r="L50" i="5"/>
  <c r="K50" i="5"/>
  <c r="J50" i="5"/>
  <c r="I50" i="5"/>
  <c r="AD50" i="5" s="1"/>
  <c r="H50" i="5"/>
  <c r="G50" i="5"/>
  <c r="F50" i="5"/>
  <c r="E50" i="5"/>
  <c r="D50" i="5"/>
  <c r="C50" i="5"/>
  <c r="AC49" i="5"/>
  <c r="AA49" i="5"/>
  <c r="Z49" i="5"/>
  <c r="Y49" i="5"/>
  <c r="X49" i="5"/>
  <c r="W49" i="5"/>
  <c r="V49" i="5"/>
  <c r="U49" i="5"/>
  <c r="T49" i="5"/>
  <c r="S49" i="5"/>
  <c r="R49" i="5"/>
  <c r="Q49" i="5"/>
  <c r="P49" i="5"/>
  <c r="O49" i="5"/>
  <c r="N49" i="5"/>
  <c r="M49" i="5"/>
  <c r="L49" i="5"/>
  <c r="K49" i="5"/>
  <c r="J49" i="5"/>
  <c r="I49" i="5"/>
  <c r="H49" i="5"/>
  <c r="G49" i="5"/>
  <c r="F49" i="5"/>
  <c r="E49" i="5"/>
  <c r="D49" i="5"/>
  <c r="C49" i="5"/>
  <c r="AC48" i="5"/>
  <c r="AE48" i="5" s="1"/>
  <c r="AA48" i="5"/>
  <c r="Z48" i="5"/>
  <c r="Y48" i="5"/>
  <c r="X48" i="5"/>
  <c r="W48" i="5"/>
  <c r="V48" i="5"/>
  <c r="U48" i="5"/>
  <c r="T48" i="5"/>
  <c r="S48" i="5"/>
  <c r="R48" i="5"/>
  <c r="Q48" i="5"/>
  <c r="P48" i="5"/>
  <c r="O48" i="5"/>
  <c r="N48" i="5"/>
  <c r="M48" i="5"/>
  <c r="L48" i="5"/>
  <c r="K48" i="5"/>
  <c r="J48" i="5"/>
  <c r="I48" i="5"/>
  <c r="H48" i="5"/>
  <c r="G48" i="5"/>
  <c r="F48" i="5"/>
  <c r="E48" i="5"/>
  <c r="D48" i="5"/>
  <c r="C48" i="5"/>
  <c r="AE47" i="5"/>
  <c r="AD47" i="5"/>
  <c r="AC47" i="5"/>
  <c r="AA47" i="5"/>
  <c r="Z47" i="5"/>
  <c r="Y47" i="5"/>
  <c r="X47" i="5"/>
  <c r="W47" i="5"/>
  <c r="V47" i="5"/>
  <c r="U47" i="5"/>
  <c r="T47" i="5"/>
  <c r="S47" i="5"/>
  <c r="R47" i="5"/>
  <c r="Q47" i="5"/>
  <c r="P47" i="5"/>
  <c r="O47" i="5"/>
  <c r="N47" i="5"/>
  <c r="M47" i="5"/>
  <c r="L47" i="5"/>
  <c r="K47" i="5"/>
  <c r="J47" i="5"/>
  <c r="I47" i="5"/>
  <c r="H47" i="5"/>
  <c r="G47" i="5"/>
  <c r="F47" i="5"/>
  <c r="E47" i="5"/>
  <c r="D47" i="5"/>
  <c r="C47" i="5"/>
  <c r="AC46" i="5"/>
  <c r="AE46" i="5" s="1"/>
  <c r="AA46" i="5"/>
  <c r="Z46" i="5"/>
  <c r="Y46" i="5"/>
  <c r="X46" i="5"/>
  <c r="W46" i="5"/>
  <c r="V46" i="5"/>
  <c r="U46" i="5"/>
  <c r="T46" i="5"/>
  <c r="S46" i="5"/>
  <c r="R46" i="5"/>
  <c r="Q46" i="5"/>
  <c r="P46" i="5"/>
  <c r="O46" i="5"/>
  <c r="N46" i="5"/>
  <c r="M46" i="5"/>
  <c r="L46" i="5"/>
  <c r="K46" i="5"/>
  <c r="J46" i="5"/>
  <c r="I46" i="5"/>
  <c r="H46" i="5"/>
  <c r="G46" i="5"/>
  <c r="F46" i="5"/>
  <c r="E46" i="5"/>
  <c r="D46" i="5"/>
  <c r="C46" i="5"/>
  <c r="AE45" i="5"/>
  <c r="AC45" i="5"/>
  <c r="Z45" i="5"/>
  <c r="Y45" i="5"/>
  <c r="X45" i="5"/>
  <c r="W45" i="5"/>
  <c r="V45" i="5"/>
  <c r="U45" i="5"/>
  <c r="T45" i="5"/>
  <c r="S45" i="5"/>
  <c r="R45" i="5"/>
  <c r="Q45" i="5"/>
  <c r="P45" i="5"/>
  <c r="O45" i="5"/>
  <c r="N45" i="5"/>
  <c r="M45" i="5"/>
  <c r="L45" i="5"/>
  <c r="K45" i="5"/>
  <c r="J45" i="5"/>
  <c r="I45" i="5"/>
  <c r="AD45" i="5" s="1"/>
  <c r="H45" i="5"/>
  <c r="G45" i="5"/>
  <c r="F45" i="5"/>
  <c r="E45" i="5"/>
  <c r="D45" i="5"/>
  <c r="C45" i="5"/>
  <c r="AA45" i="5" s="1"/>
  <c r="AC44" i="5"/>
  <c r="AE44" i="5" s="1"/>
  <c r="Z44" i="5"/>
  <c r="Y44" i="5"/>
  <c r="X44" i="5"/>
  <c r="W44" i="5"/>
  <c r="V44" i="5"/>
  <c r="U44" i="5"/>
  <c r="T44" i="5"/>
  <c r="S44" i="5"/>
  <c r="R44" i="5"/>
  <c r="Q44" i="5"/>
  <c r="P44" i="5"/>
  <c r="O44" i="5"/>
  <c r="N44" i="5"/>
  <c r="M44" i="5"/>
  <c r="L44" i="5"/>
  <c r="K44" i="5"/>
  <c r="J44" i="5"/>
  <c r="I44" i="5"/>
  <c r="H44" i="5"/>
  <c r="G44" i="5"/>
  <c r="F44" i="5"/>
  <c r="E44" i="5"/>
  <c r="D44" i="5"/>
  <c r="C44" i="5"/>
  <c r="AA44" i="5" s="1"/>
  <c r="AE43" i="5"/>
  <c r="AC43" i="5"/>
  <c r="Z43" i="5"/>
  <c r="Y43" i="5"/>
  <c r="X43" i="5"/>
  <c r="W43" i="5"/>
  <c r="V43" i="5"/>
  <c r="U43" i="5"/>
  <c r="T43" i="5"/>
  <c r="S43" i="5"/>
  <c r="R43" i="5"/>
  <c r="Q43" i="5"/>
  <c r="P43" i="5"/>
  <c r="O43" i="5"/>
  <c r="N43" i="5"/>
  <c r="M43" i="5"/>
  <c r="L43" i="5"/>
  <c r="K43" i="5"/>
  <c r="J43" i="5"/>
  <c r="I43" i="5"/>
  <c r="AD43" i="5" s="1"/>
  <c r="H43" i="5"/>
  <c r="G43" i="5"/>
  <c r="F43" i="5"/>
  <c r="E43" i="5"/>
  <c r="D43" i="5"/>
  <c r="C43" i="5"/>
  <c r="AA43" i="5" s="1"/>
  <c r="AC42" i="5"/>
  <c r="AE42" i="5" s="1"/>
  <c r="Z42" i="5"/>
  <c r="Y42" i="5"/>
  <c r="X42" i="5"/>
  <c r="W42" i="5"/>
  <c r="V42" i="5"/>
  <c r="U42" i="5"/>
  <c r="T42" i="5"/>
  <c r="S42" i="5"/>
  <c r="R42" i="5"/>
  <c r="Q42" i="5"/>
  <c r="P42" i="5"/>
  <c r="O42" i="5"/>
  <c r="N42" i="5"/>
  <c r="M42" i="5"/>
  <c r="L42" i="5"/>
  <c r="K42" i="5"/>
  <c r="J42" i="5"/>
  <c r="I42" i="5"/>
  <c r="H42" i="5"/>
  <c r="G42" i="5"/>
  <c r="F42" i="5"/>
  <c r="E42" i="5"/>
  <c r="D42" i="5"/>
  <c r="C42" i="5"/>
  <c r="AA42" i="5" s="1"/>
  <c r="AE41" i="5"/>
  <c r="AC41" i="5"/>
  <c r="Z41" i="5"/>
  <c r="Y41" i="5"/>
  <c r="X41" i="5"/>
  <c r="W41" i="5"/>
  <c r="V41" i="5"/>
  <c r="U41" i="5"/>
  <c r="T41" i="5"/>
  <c r="S41" i="5"/>
  <c r="R41" i="5"/>
  <c r="Q41" i="5"/>
  <c r="P41" i="5"/>
  <c r="O41" i="5"/>
  <c r="N41" i="5"/>
  <c r="M41" i="5"/>
  <c r="L41" i="5"/>
  <c r="K41" i="5"/>
  <c r="J41" i="5"/>
  <c r="I41" i="5"/>
  <c r="AD41" i="5" s="1"/>
  <c r="H41" i="5"/>
  <c r="G41" i="5"/>
  <c r="F41" i="5"/>
  <c r="E41" i="5"/>
  <c r="D41" i="5"/>
  <c r="C41" i="5"/>
  <c r="AA41" i="5" s="1"/>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E39" i="5"/>
  <c r="AC39" i="5"/>
  <c r="Z39" i="5"/>
  <c r="Y39" i="5"/>
  <c r="X39" i="5"/>
  <c r="W39" i="5"/>
  <c r="V39" i="5"/>
  <c r="U39" i="5"/>
  <c r="T39" i="5"/>
  <c r="S39" i="5"/>
  <c r="R39" i="5"/>
  <c r="Q39" i="5"/>
  <c r="P39" i="5"/>
  <c r="O39" i="5"/>
  <c r="N39" i="5"/>
  <c r="M39" i="5"/>
  <c r="L39" i="5"/>
  <c r="K39" i="5"/>
  <c r="J39" i="5"/>
  <c r="I39" i="5"/>
  <c r="AD39" i="5" s="1"/>
  <c r="H39" i="5"/>
  <c r="G39" i="5"/>
  <c r="F39" i="5"/>
  <c r="E39" i="5"/>
  <c r="D39" i="5"/>
  <c r="C39" i="5"/>
  <c r="AA39" i="5" s="1"/>
  <c r="AC38" i="5"/>
  <c r="AE38" i="5" s="1"/>
  <c r="Z38" i="5"/>
  <c r="Y38" i="5"/>
  <c r="X38" i="5"/>
  <c r="W38" i="5"/>
  <c r="V38" i="5"/>
  <c r="U38" i="5"/>
  <c r="T38" i="5"/>
  <c r="S38" i="5"/>
  <c r="R38" i="5"/>
  <c r="Q38" i="5"/>
  <c r="P38" i="5"/>
  <c r="O38" i="5"/>
  <c r="N38" i="5"/>
  <c r="M38" i="5"/>
  <c r="L38" i="5"/>
  <c r="K38" i="5"/>
  <c r="J38" i="5"/>
  <c r="I38" i="5"/>
  <c r="H38" i="5"/>
  <c r="G38" i="5"/>
  <c r="F38" i="5"/>
  <c r="E38" i="5"/>
  <c r="D38" i="5"/>
  <c r="C38" i="5"/>
  <c r="AA38" i="5" s="1"/>
  <c r="AE37" i="5"/>
  <c r="AC37" i="5"/>
  <c r="Z37" i="5"/>
  <c r="Y37" i="5"/>
  <c r="X37" i="5"/>
  <c r="W37" i="5"/>
  <c r="V37" i="5"/>
  <c r="U37" i="5"/>
  <c r="T37" i="5"/>
  <c r="S37" i="5"/>
  <c r="R37" i="5"/>
  <c r="Q37" i="5"/>
  <c r="P37" i="5"/>
  <c r="O37" i="5"/>
  <c r="N37" i="5"/>
  <c r="M37" i="5"/>
  <c r="L37" i="5"/>
  <c r="K37" i="5"/>
  <c r="J37" i="5"/>
  <c r="I37" i="5"/>
  <c r="AD37" i="5" s="1"/>
  <c r="H37" i="5"/>
  <c r="G37" i="5"/>
  <c r="F37" i="5"/>
  <c r="E37" i="5"/>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E35" i="5"/>
  <c r="AC35" i="5"/>
  <c r="Z35" i="5"/>
  <c r="Y35" i="5"/>
  <c r="X35" i="5"/>
  <c r="W35" i="5"/>
  <c r="V35" i="5"/>
  <c r="U35" i="5"/>
  <c r="T35" i="5"/>
  <c r="S35" i="5"/>
  <c r="R35" i="5"/>
  <c r="Q35" i="5"/>
  <c r="P35" i="5"/>
  <c r="O35" i="5"/>
  <c r="N35" i="5"/>
  <c r="M35" i="5"/>
  <c r="L35" i="5"/>
  <c r="K35" i="5"/>
  <c r="J35" i="5"/>
  <c r="I35" i="5"/>
  <c r="AD35" i="5" s="1"/>
  <c r="H35" i="5"/>
  <c r="G35" i="5"/>
  <c r="F35" i="5"/>
  <c r="E35" i="5"/>
  <c r="D35" i="5"/>
  <c r="C35" i="5"/>
  <c r="AA35" i="5" s="1"/>
  <c r="AC34" i="5"/>
  <c r="AE34" i="5" s="1"/>
  <c r="Z34" i="5"/>
  <c r="Y34" i="5"/>
  <c r="X34" i="5"/>
  <c r="W34" i="5"/>
  <c r="V34" i="5"/>
  <c r="U34" i="5"/>
  <c r="T34" i="5"/>
  <c r="S34" i="5"/>
  <c r="R34" i="5"/>
  <c r="Q34" i="5"/>
  <c r="P34" i="5"/>
  <c r="O34" i="5"/>
  <c r="N34" i="5"/>
  <c r="M34" i="5"/>
  <c r="L34" i="5"/>
  <c r="K34" i="5"/>
  <c r="J34" i="5"/>
  <c r="I34" i="5"/>
  <c r="H34" i="5"/>
  <c r="G34" i="5"/>
  <c r="F34" i="5"/>
  <c r="E34" i="5"/>
  <c r="D34" i="5"/>
  <c r="C34" i="5"/>
  <c r="AA34" i="5" s="1"/>
  <c r="AE33" i="5"/>
  <c r="AC33" i="5"/>
  <c r="Z33" i="5"/>
  <c r="Y33" i="5"/>
  <c r="X33" i="5"/>
  <c r="W33" i="5"/>
  <c r="V33" i="5"/>
  <c r="U33" i="5"/>
  <c r="T33" i="5"/>
  <c r="S33" i="5"/>
  <c r="R33" i="5"/>
  <c r="Q33" i="5"/>
  <c r="P33" i="5"/>
  <c r="O33" i="5"/>
  <c r="N33" i="5"/>
  <c r="M33" i="5"/>
  <c r="L33" i="5"/>
  <c r="K33" i="5"/>
  <c r="J33" i="5"/>
  <c r="I33" i="5"/>
  <c r="AD33" i="5" s="1"/>
  <c r="H33" i="5"/>
  <c r="G33" i="5"/>
  <c r="F33" i="5"/>
  <c r="E33" i="5"/>
  <c r="D33" i="5"/>
  <c r="C33" i="5"/>
  <c r="AA33" i="5" s="1"/>
  <c r="AC32" i="5"/>
  <c r="AE32" i="5" s="1"/>
  <c r="Z32" i="5"/>
  <c r="Y32" i="5"/>
  <c r="X32" i="5"/>
  <c r="W32" i="5"/>
  <c r="V32" i="5"/>
  <c r="U32" i="5"/>
  <c r="T32" i="5"/>
  <c r="S32" i="5"/>
  <c r="R32" i="5"/>
  <c r="Q32" i="5"/>
  <c r="P32" i="5"/>
  <c r="O32" i="5"/>
  <c r="N32" i="5"/>
  <c r="M32" i="5"/>
  <c r="L32" i="5"/>
  <c r="K32" i="5"/>
  <c r="J32" i="5"/>
  <c r="I32" i="5"/>
  <c r="H32" i="5"/>
  <c r="G32" i="5"/>
  <c r="F32" i="5"/>
  <c r="E32" i="5"/>
  <c r="D32" i="5"/>
  <c r="C32" i="5"/>
  <c r="AA32" i="5" s="1"/>
  <c r="AE31" i="5"/>
  <c r="AC31" i="5"/>
  <c r="Z31" i="5"/>
  <c r="Y31" i="5"/>
  <c r="X31" i="5"/>
  <c r="W31" i="5"/>
  <c r="V31" i="5"/>
  <c r="U31" i="5"/>
  <c r="T31" i="5"/>
  <c r="S31" i="5"/>
  <c r="R31" i="5"/>
  <c r="Q31" i="5"/>
  <c r="P31" i="5"/>
  <c r="O31" i="5"/>
  <c r="N31" i="5"/>
  <c r="M31" i="5"/>
  <c r="L31" i="5"/>
  <c r="K31" i="5"/>
  <c r="J31" i="5"/>
  <c r="I31" i="5"/>
  <c r="AD31" i="5" s="1"/>
  <c r="H31" i="5"/>
  <c r="G31" i="5"/>
  <c r="F31" i="5"/>
  <c r="E31" i="5"/>
  <c r="D31" i="5"/>
  <c r="C31" i="5"/>
  <c r="AA31" i="5" s="1"/>
  <c r="AC30" i="5"/>
  <c r="AE30" i="5" s="1"/>
  <c r="Z30" i="5"/>
  <c r="Y30" i="5"/>
  <c r="X30" i="5"/>
  <c r="W30" i="5"/>
  <c r="V30" i="5"/>
  <c r="U30" i="5"/>
  <c r="T30" i="5"/>
  <c r="S30" i="5"/>
  <c r="R30" i="5"/>
  <c r="Q30" i="5"/>
  <c r="P30" i="5"/>
  <c r="O30" i="5"/>
  <c r="N30" i="5"/>
  <c r="M30" i="5"/>
  <c r="L30" i="5"/>
  <c r="K30" i="5"/>
  <c r="J30" i="5"/>
  <c r="I30" i="5"/>
  <c r="H30" i="5"/>
  <c r="G30" i="5"/>
  <c r="F30" i="5"/>
  <c r="E30" i="5"/>
  <c r="D30" i="5"/>
  <c r="C30" i="5"/>
  <c r="AA30" i="5" s="1"/>
  <c r="AE29" i="5"/>
  <c r="AC29" i="5"/>
  <c r="Z29" i="5"/>
  <c r="Y29" i="5"/>
  <c r="X29" i="5"/>
  <c r="W29" i="5"/>
  <c r="V29" i="5"/>
  <c r="U29" i="5"/>
  <c r="T29" i="5"/>
  <c r="S29" i="5"/>
  <c r="R29" i="5"/>
  <c r="Q29" i="5"/>
  <c r="P29" i="5"/>
  <c r="O29" i="5"/>
  <c r="N29" i="5"/>
  <c r="M29" i="5"/>
  <c r="L29" i="5"/>
  <c r="K29" i="5"/>
  <c r="J29" i="5"/>
  <c r="I29" i="5"/>
  <c r="AD29" i="5" s="1"/>
  <c r="H29" i="5"/>
  <c r="G29" i="5"/>
  <c r="F29" i="5"/>
  <c r="E29" i="5"/>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E27" i="5"/>
  <c r="AC27" i="5"/>
  <c r="Z27" i="5"/>
  <c r="Y27" i="5"/>
  <c r="X27" i="5"/>
  <c r="W27" i="5"/>
  <c r="V27" i="5"/>
  <c r="U27" i="5"/>
  <c r="T27" i="5"/>
  <c r="S27" i="5"/>
  <c r="R27" i="5"/>
  <c r="Q27" i="5"/>
  <c r="P27" i="5"/>
  <c r="O27" i="5"/>
  <c r="N27" i="5"/>
  <c r="M27" i="5"/>
  <c r="L27" i="5"/>
  <c r="K27" i="5"/>
  <c r="J27" i="5"/>
  <c r="I27" i="5"/>
  <c r="AD27" i="5" s="1"/>
  <c r="H27" i="5"/>
  <c r="G27" i="5"/>
  <c r="F27" i="5"/>
  <c r="E27" i="5"/>
  <c r="D27" i="5"/>
  <c r="C27" i="5"/>
  <c r="AA27" i="5" s="1"/>
  <c r="AC26" i="5"/>
  <c r="AE26" i="5" s="1"/>
  <c r="Z26" i="5"/>
  <c r="Y26" i="5"/>
  <c r="X26" i="5"/>
  <c r="W26" i="5"/>
  <c r="V26" i="5"/>
  <c r="U26" i="5"/>
  <c r="T26" i="5"/>
  <c r="S26" i="5"/>
  <c r="R26" i="5"/>
  <c r="Q26" i="5"/>
  <c r="P26" i="5"/>
  <c r="O26" i="5"/>
  <c r="N26" i="5"/>
  <c r="M26" i="5"/>
  <c r="L26" i="5"/>
  <c r="K26" i="5"/>
  <c r="J26" i="5"/>
  <c r="I26" i="5"/>
  <c r="H26" i="5"/>
  <c r="G26" i="5"/>
  <c r="F26" i="5"/>
  <c r="E26" i="5"/>
  <c r="D26" i="5"/>
  <c r="C26" i="5"/>
  <c r="AA26" i="5" s="1"/>
  <c r="AE25" i="5"/>
  <c r="AC25" i="5"/>
  <c r="Z25" i="5"/>
  <c r="Y25" i="5"/>
  <c r="X25" i="5"/>
  <c r="W25" i="5"/>
  <c r="V25" i="5"/>
  <c r="U25" i="5"/>
  <c r="T25" i="5"/>
  <c r="S25" i="5"/>
  <c r="R25" i="5"/>
  <c r="Q25" i="5"/>
  <c r="P25" i="5"/>
  <c r="O25" i="5"/>
  <c r="N25" i="5"/>
  <c r="M25" i="5"/>
  <c r="L25" i="5"/>
  <c r="K25" i="5"/>
  <c r="J25" i="5"/>
  <c r="I25" i="5"/>
  <c r="AD25" i="5" s="1"/>
  <c r="H25" i="5"/>
  <c r="G25" i="5"/>
  <c r="F25" i="5"/>
  <c r="E25" i="5"/>
  <c r="D25" i="5"/>
  <c r="C25" i="5"/>
  <c r="AA25" i="5" s="1"/>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E23" i="5"/>
  <c r="AC23" i="5"/>
  <c r="Z23" i="5"/>
  <c r="Y23" i="5"/>
  <c r="X23" i="5"/>
  <c r="W23" i="5"/>
  <c r="V23" i="5"/>
  <c r="U23" i="5"/>
  <c r="T23" i="5"/>
  <c r="S23" i="5"/>
  <c r="R23" i="5"/>
  <c r="Q23" i="5"/>
  <c r="P23" i="5"/>
  <c r="O23" i="5"/>
  <c r="N23" i="5"/>
  <c r="M23" i="5"/>
  <c r="L23" i="5"/>
  <c r="K23" i="5"/>
  <c r="J23" i="5"/>
  <c r="I23" i="5"/>
  <c r="AD23" i="5" s="1"/>
  <c r="H23" i="5"/>
  <c r="G23" i="5"/>
  <c r="F23" i="5"/>
  <c r="E23" i="5"/>
  <c r="D23" i="5"/>
  <c r="C23" i="5"/>
  <c r="AA23" i="5" s="1"/>
  <c r="AC22" i="5"/>
  <c r="AE22" i="5" s="1"/>
  <c r="Z22" i="5"/>
  <c r="Y22" i="5"/>
  <c r="X22" i="5"/>
  <c r="W22" i="5"/>
  <c r="V22" i="5"/>
  <c r="U22" i="5"/>
  <c r="T22" i="5"/>
  <c r="S22" i="5"/>
  <c r="R22" i="5"/>
  <c r="Q22" i="5"/>
  <c r="P22" i="5"/>
  <c r="O22" i="5"/>
  <c r="N22" i="5"/>
  <c r="M22" i="5"/>
  <c r="L22" i="5"/>
  <c r="K22" i="5"/>
  <c r="J22" i="5"/>
  <c r="I22" i="5"/>
  <c r="H22" i="5"/>
  <c r="G22" i="5"/>
  <c r="F22" i="5"/>
  <c r="E22" i="5"/>
  <c r="D22" i="5"/>
  <c r="C22" i="5"/>
  <c r="AA22" i="5" s="1"/>
  <c r="AE21" i="5"/>
  <c r="AC21" i="5"/>
  <c r="Z21" i="5"/>
  <c r="Y21" i="5"/>
  <c r="X21" i="5"/>
  <c r="W21" i="5"/>
  <c r="V21" i="5"/>
  <c r="U21" i="5"/>
  <c r="T21" i="5"/>
  <c r="S21" i="5"/>
  <c r="R21" i="5"/>
  <c r="Q21" i="5"/>
  <c r="P21" i="5"/>
  <c r="O21" i="5"/>
  <c r="N21" i="5"/>
  <c r="M21" i="5"/>
  <c r="L21" i="5"/>
  <c r="K21" i="5"/>
  <c r="J21" i="5"/>
  <c r="I21" i="5"/>
  <c r="AD21" i="5" s="1"/>
  <c r="H21" i="5"/>
  <c r="G21" i="5"/>
  <c r="F21" i="5"/>
  <c r="E21" i="5"/>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E19" i="5"/>
  <c r="AC19" i="5"/>
  <c r="Z19" i="5"/>
  <c r="Y19" i="5"/>
  <c r="X19" i="5"/>
  <c r="W19" i="5"/>
  <c r="V19" i="5"/>
  <c r="U19" i="5"/>
  <c r="T19" i="5"/>
  <c r="S19" i="5"/>
  <c r="R19" i="5"/>
  <c r="Q19" i="5"/>
  <c r="P19" i="5"/>
  <c r="O19" i="5"/>
  <c r="N19" i="5"/>
  <c r="M19" i="5"/>
  <c r="L19" i="5"/>
  <c r="K19" i="5"/>
  <c r="J19" i="5"/>
  <c r="I19" i="5"/>
  <c r="AD19" i="5" s="1"/>
  <c r="H19" i="5"/>
  <c r="G19" i="5"/>
  <c r="F19" i="5"/>
  <c r="E19" i="5"/>
  <c r="D19" i="5"/>
  <c r="C19" i="5"/>
  <c r="AA19" i="5" s="1"/>
  <c r="AC18" i="5"/>
  <c r="AE18" i="5" s="1"/>
  <c r="Z18" i="5"/>
  <c r="Y18" i="5"/>
  <c r="X18" i="5"/>
  <c r="W18" i="5"/>
  <c r="V18" i="5"/>
  <c r="U18" i="5"/>
  <c r="T18" i="5"/>
  <c r="S18" i="5"/>
  <c r="R18" i="5"/>
  <c r="Q18" i="5"/>
  <c r="P18" i="5"/>
  <c r="O18" i="5"/>
  <c r="N18" i="5"/>
  <c r="M18" i="5"/>
  <c r="L18" i="5"/>
  <c r="K18" i="5"/>
  <c r="J18" i="5"/>
  <c r="I18" i="5"/>
  <c r="H18" i="5"/>
  <c r="G18" i="5"/>
  <c r="F18" i="5"/>
  <c r="E18" i="5"/>
  <c r="D18" i="5"/>
  <c r="C18" i="5"/>
  <c r="AA18" i="5" s="1"/>
  <c r="AE17" i="5"/>
  <c r="AC17" i="5"/>
  <c r="Z17" i="5"/>
  <c r="Y17" i="5"/>
  <c r="X17" i="5"/>
  <c r="W17" i="5"/>
  <c r="V17" i="5"/>
  <c r="U17" i="5"/>
  <c r="T17" i="5"/>
  <c r="S17" i="5"/>
  <c r="R17" i="5"/>
  <c r="Q17" i="5"/>
  <c r="P17" i="5"/>
  <c r="O17" i="5"/>
  <c r="N17" i="5"/>
  <c r="M17" i="5"/>
  <c r="L17" i="5"/>
  <c r="K17" i="5"/>
  <c r="J17" i="5"/>
  <c r="I17" i="5"/>
  <c r="AD17" i="5" s="1"/>
  <c r="H17" i="5"/>
  <c r="G17" i="5"/>
  <c r="F17" i="5"/>
  <c r="E17" i="5"/>
  <c r="D17" i="5"/>
  <c r="C17" i="5"/>
  <c r="AA17" i="5" s="1"/>
  <c r="AC16" i="5"/>
  <c r="AE16" i="5" s="1"/>
  <c r="Z16" i="5"/>
  <c r="Y16" i="5"/>
  <c r="X16" i="5"/>
  <c r="W16" i="5"/>
  <c r="V16" i="5"/>
  <c r="U16" i="5"/>
  <c r="T16" i="5"/>
  <c r="S16" i="5"/>
  <c r="R16" i="5"/>
  <c r="Q16" i="5"/>
  <c r="P16" i="5"/>
  <c r="O16" i="5"/>
  <c r="N16" i="5"/>
  <c r="M16" i="5"/>
  <c r="L16" i="5"/>
  <c r="K16" i="5"/>
  <c r="J16" i="5"/>
  <c r="I16" i="5"/>
  <c r="H16" i="5"/>
  <c r="G16" i="5"/>
  <c r="F16" i="5"/>
  <c r="E16" i="5"/>
  <c r="D16" i="5"/>
  <c r="C16" i="5"/>
  <c r="AA16" i="5" s="1"/>
  <c r="AE15" i="5"/>
  <c r="AC15" i="5"/>
  <c r="Z15" i="5"/>
  <c r="Y15" i="5"/>
  <c r="X15" i="5"/>
  <c r="W15" i="5"/>
  <c r="V15" i="5"/>
  <c r="U15" i="5"/>
  <c r="T15" i="5"/>
  <c r="S15" i="5"/>
  <c r="R15" i="5"/>
  <c r="Q15" i="5"/>
  <c r="P15" i="5"/>
  <c r="O15" i="5"/>
  <c r="N15" i="5"/>
  <c r="M15" i="5"/>
  <c r="L15" i="5"/>
  <c r="K15" i="5"/>
  <c r="J15" i="5"/>
  <c r="I15" i="5"/>
  <c r="AD15" i="5" s="1"/>
  <c r="H15" i="5"/>
  <c r="G15" i="5"/>
  <c r="F15" i="5"/>
  <c r="E15" i="5"/>
  <c r="D15" i="5"/>
  <c r="C15" i="5"/>
  <c r="AA15" i="5" s="1"/>
  <c r="AC14" i="5"/>
  <c r="AE14" i="5" s="1"/>
  <c r="Z14" i="5"/>
  <c r="Y14" i="5"/>
  <c r="X14" i="5"/>
  <c r="W14" i="5"/>
  <c r="V14" i="5"/>
  <c r="U14" i="5"/>
  <c r="T14" i="5"/>
  <c r="S14" i="5"/>
  <c r="R14" i="5"/>
  <c r="Q14" i="5"/>
  <c r="P14" i="5"/>
  <c r="O14" i="5"/>
  <c r="N14" i="5"/>
  <c r="M14" i="5"/>
  <c r="L14" i="5"/>
  <c r="K14" i="5"/>
  <c r="J14" i="5"/>
  <c r="I14" i="5"/>
  <c r="H14" i="5"/>
  <c r="G14" i="5"/>
  <c r="F14" i="5"/>
  <c r="E14" i="5"/>
  <c r="D14" i="5"/>
  <c r="C14" i="5"/>
  <c r="AA14" i="5" s="1"/>
  <c r="AE13" i="5"/>
  <c r="AC13" i="5"/>
  <c r="Z13" i="5"/>
  <c r="Y13" i="5"/>
  <c r="X13" i="5"/>
  <c r="W13" i="5"/>
  <c r="V13" i="5"/>
  <c r="U13" i="5"/>
  <c r="T13" i="5"/>
  <c r="S13" i="5"/>
  <c r="R13" i="5"/>
  <c r="Q13" i="5"/>
  <c r="P13" i="5"/>
  <c r="O13" i="5"/>
  <c r="N13" i="5"/>
  <c r="M13" i="5"/>
  <c r="L13" i="5"/>
  <c r="K13" i="5"/>
  <c r="J13" i="5"/>
  <c r="I13" i="5"/>
  <c r="AD13" i="5" s="1"/>
  <c r="H13" i="5"/>
  <c r="G13" i="5"/>
  <c r="F13" i="5"/>
  <c r="E13" i="5"/>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E11" i="5"/>
  <c r="AC11" i="5"/>
  <c r="Z11" i="5"/>
  <c r="Y11" i="5"/>
  <c r="X11" i="5"/>
  <c r="W11" i="5"/>
  <c r="V11" i="5"/>
  <c r="U11" i="5"/>
  <c r="T11" i="5"/>
  <c r="S11" i="5"/>
  <c r="R11" i="5"/>
  <c r="Q11" i="5"/>
  <c r="P11" i="5"/>
  <c r="O11" i="5"/>
  <c r="N11" i="5"/>
  <c r="M11" i="5"/>
  <c r="L11" i="5"/>
  <c r="K11" i="5"/>
  <c r="J11" i="5"/>
  <c r="I11" i="5"/>
  <c r="AD11" i="5" s="1"/>
  <c r="H11" i="5"/>
  <c r="G11" i="5"/>
  <c r="F11" i="5"/>
  <c r="E11" i="5"/>
  <c r="D11" i="5"/>
  <c r="C11" i="5"/>
  <c r="AA11" i="5" s="1"/>
  <c r="AA9" i="5"/>
  <c r="Z9" i="5"/>
  <c r="Y9" i="5"/>
  <c r="X9" i="5"/>
  <c r="W9" i="5"/>
  <c r="U9" i="5"/>
  <c r="Q9" i="5"/>
  <c r="P9" i="5"/>
  <c r="O9" i="5"/>
  <c r="M9" i="5"/>
  <c r="I9" i="5"/>
  <c r="H9" i="5"/>
  <c r="G9" i="5"/>
  <c r="E9" i="5"/>
  <c r="AA8" i="5"/>
  <c r="Z8" i="5"/>
  <c r="Y8" i="5"/>
  <c r="X8" i="5"/>
  <c r="U8" i="5"/>
  <c r="T8" i="5"/>
  <c r="S8" i="5"/>
  <c r="R8" i="5"/>
  <c r="Q8" i="5"/>
  <c r="P8" i="5"/>
  <c r="M8" i="5"/>
  <c r="L8" i="5"/>
  <c r="K8" i="5"/>
  <c r="J8" i="5"/>
  <c r="I8" i="5"/>
  <c r="H8" i="5"/>
  <c r="E8" i="5"/>
  <c r="D8" i="5"/>
  <c r="C8" i="5"/>
  <c r="AG6" i="5"/>
  <c r="L6" i="5"/>
  <c r="L7" i="5" s="1"/>
  <c r="K6" i="5"/>
  <c r="K7" i="5" s="1"/>
  <c r="N5" i="5"/>
  <c r="M5" i="5"/>
  <c r="O4" i="5"/>
  <c r="AD73" i="5" l="1"/>
  <c r="AE73" i="5"/>
  <c r="AD76" i="5"/>
  <c r="AF76" i="5" s="1"/>
  <c r="AD57" i="5"/>
  <c r="AE57" i="5"/>
  <c r="AD68" i="5"/>
  <c r="AF68" i="5" s="1"/>
  <c r="E5" i="5"/>
  <c r="E6" i="5"/>
  <c r="E7" i="5" s="1"/>
  <c r="AF47" i="5"/>
  <c r="AF51" i="5"/>
  <c r="H6" i="5"/>
  <c r="H7" i="5" s="1"/>
  <c r="P6" i="5"/>
  <c r="P7" i="5" s="1"/>
  <c r="X6" i="5"/>
  <c r="X7" i="5" s="1"/>
  <c r="D4" i="5"/>
  <c r="L4" i="5"/>
  <c r="T4" i="5"/>
  <c r="AD81" i="5"/>
  <c r="AE81" i="5"/>
  <c r="AE84" i="5"/>
  <c r="AF84" i="5" s="1"/>
  <c r="AF87" i="5"/>
  <c r="P5" i="5"/>
  <c r="P4" i="5"/>
  <c r="AE97" i="5"/>
  <c r="AD97" i="5"/>
  <c r="D5" i="5"/>
  <c r="AD49" i="5"/>
  <c r="AF49" i="5" s="1"/>
  <c r="AE49" i="5"/>
  <c r="AE52" i="5"/>
  <c r="AD60" i="5"/>
  <c r="AF60" i="5" s="1"/>
  <c r="M6" i="5"/>
  <c r="M7" i="5" s="1"/>
  <c r="U6" i="5"/>
  <c r="U7" i="5" s="1"/>
  <c r="AF71" i="5"/>
  <c r="I4" i="5"/>
  <c r="Q4" i="5"/>
  <c r="Y4" i="5"/>
  <c r="AF75" i="5"/>
  <c r="AD65" i="5"/>
  <c r="AF65" i="5" s="1"/>
  <c r="AE65" i="5"/>
  <c r="AF79" i="5"/>
  <c r="H5" i="5"/>
  <c r="H4" i="5"/>
  <c r="AF63" i="5"/>
  <c r="AF67" i="5"/>
  <c r="F6" i="5"/>
  <c r="F7" i="5" s="1"/>
  <c r="N6" i="5"/>
  <c r="N7" i="5" s="1"/>
  <c r="V6" i="5"/>
  <c r="V7" i="5" s="1"/>
  <c r="J6" i="5"/>
  <c r="J7" i="5" s="1"/>
  <c r="R6" i="5"/>
  <c r="R7" i="5" s="1"/>
  <c r="Z6" i="5"/>
  <c r="Z7" i="5" s="1"/>
  <c r="AD89" i="5"/>
  <c r="AF89" i="5" s="1"/>
  <c r="AE89" i="5"/>
  <c r="AE92" i="5"/>
  <c r="AF92" i="5" s="1"/>
  <c r="F9" i="5"/>
  <c r="F8" i="5"/>
  <c r="N9" i="5"/>
  <c r="N8" i="5"/>
  <c r="V9" i="5"/>
  <c r="V8" i="5"/>
  <c r="T5" i="5"/>
  <c r="X5" i="5"/>
  <c r="X4" i="5"/>
  <c r="AF52" i="5"/>
  <c r="F5" i="5"/>
  <c r="AF55" i="5"/>
  <c r="AF59" i="5"/>
  <c r="G6" i="5"/>
  <c r="G7" i="5" s="1"/>
  <c r="O6" i="5"/>
  <c r="O7" i="5" s="1"/>
  <c r="W6" i="5"/>
  <c r="W7" i="5" s="1"/>
  <c r="C5" i="5"/>
  <c r="K5" i="5"/>
  <c r="S5" i="5"/>
  <c r="AA5" i="5"/>
  <c r="AF95" i="5"/>
  <c r="G5" i="5"/>
  <c r="O5" i="5"/>
  <c r="W5" i="5"/>
  <c r="AD12" i="5"/>
  <c r="AD14" i="5"/>
  <c r="AD16" i="5"/>
  <c r="AD18" i="5"/>
  <c r="AD20" i="5"/>
  <c r="AD22" i="5"/>
  <c r="AD24" i="5"/>
  <c r="AD26" i="5"/>
  <c r="AD28" i="5"/>
  <c r="AD30" i="5"/>
  <c r="AD32" i="5"/>
  <c r="AD34" i="5"/>
  <c r="AD36" i="5"/>
  <c r="AD38" i="5"/>
  <c r="AD40" i="5"/>
  <c r="AD42" i="5"/>
  <c r="AD44" i="5"/>
  <c r="AD46" i="5"/>
  <c r="AF46" i="5" s="1"/>
  <c r="AD54" i="5"/>
  <c r="AF54" i="5" s="1"/>
  <c r="AD62" i="5"/>
  <c r="AF62" i="5" s="1"/>
  <c r="AD70" i="5"/>
  <c r="AF70" i="5" s="1"/>
  <c r="AD78" i="5"/>
  <c r="AF78" i="5" s="1"/>
  <c r="AD86" i="5"/>
  <c r="AF86" i="5" s="1"/>
  <c r="AD94" i="5"/>
  <c r="AF94" i="5" s="1"/>
  <c r="AD99" i="5"/>
  <c r="AF99" i="5" s="1"/>
  <c r="M4" i="6"/>
  <c r="F5" i="6"/>
  <c r="T5" i="6"/>
  <c r="F6" i="6"/>
  <c r="T7" i="6"/>
  <c r="I8" i="6"/>
  <c r="T8" i="6"/>
  <c r="I9" i="6"/>
  <c r="H6" i="6"/>
  <c r="H7" i="6" s="1"/>
  <c r="H5" i="6"/>
  <c r="P6" i="6"/>
  <c r="P7" i="6" s="1"/>
  <c r="P5" i="6"/>
  <c r="X6" i="6"/>
  <c r="X5" i="6"/>
  <c r="G8" i="7"/>
  <c r="W8" i="7"/>
  <c r="L4" i="6"/>
  <c r="Y6" i="6"/>
  <c r="Y7" i="6" s="1"/>
  <c r="Y5" i="6"/>
  <c r="W6" i="6"/>
  <c r="V9" i="6"/>
  <c r="N9" i="6"/>
  <c r="F9" i="6"/>
  <c r="W8" i="6"/>
  <c r="O8" i="6"/>
  <c r="G8" i="6"/>
  <c r="X7" i="6"/>
  <c r="U9" i="6"/>
  <c r="M9" i="6"/>
  <c r="E9" i="6"/>
  <c r="V8" i="6"/>
  <c r="N8" i="6"/>
  <c r="F8" i="6"/>
  <c r="W7" i="6"/>
  <c r="T9" i="6"/>
  <c r="L9" i="6"/>
  <c r="D9" i="6"/>
  <c r="U8" i="6"/>
  <c r="M8" i="6"/>
  <c r="E8" i="6"/>
  <c r="V7" i="6"/>
  <c r="N7" i="6"/>
  <c r="F7" i="6"/>
  <c r="E7" i="6"/>
  <c r="S7" i="6"/>
  <c r="S8" i="6"/>
  <c r="H9" i="6"/>
  <c r="S9" i="6"/>
  <c r="D4" i="6"/>
  <c r="T4" i="6"/>
  <c r="I6" i="6"/>
  <c r="I7" i="6" s="1"/>
  <c r="I5" i="6"/>
  <c r="Q6" i="6"/>
  <c r="Q7" i="6" s="1"/>
  <c r="Q5" i="6"/>
  <c r="G6" i="6"/>
  <c r="G7" i="6" s="1"/>
  <c r="O6" i="6"/>
  <c r="O7" i="6" s="1"/>
  <c r="J4" i="5"/>
  <c r="R4" i="5"/>
  <c r="Z4" i="5"/>
  <c r="I5" i="5"/>
  <c r="Q5" i="5"/>
  <c r="Y5" i="5"/>
  <c r="AD48" i="5"/>
  <c r="AF48" i="5" s="1"/>
  <c r="AD56" i="5"/>
  <c r="AF56" i="5" s="1"/>
  <c r="AD64" i="5"/>
  <c r="AF64" i="5" s="1"/>
  <c r="AD72" i="5"/>
  <c r="AF72" i="5" s="1"/>
  <c r="AD80" i="5"/>
  <c r="AF80" i="5" s="1"/>
  <c r="AD88" i="5"/>
  <c r="AF88" i="5" s="1"/>
  <c r="AD96" i="5"/>
  <c r="AF96" i="5" s="1"/>
  <c r="O4" i="6"/>
  <c r="Y4" i="6"/>
  <c r="K5" i="6"/>
  <c r="V5" i="6"/>
  <c r="K7" i="6"/>
  <c r="K8" i="6"/>
  <c r="Y8" i="6"/>
  <c r="K9" i="6"/>
  <c r="Y9" i="6"/>
  <c r="AD14" i="6"/>
  <c r="AD30" i="6"/>
  <c r="AD46" i="6"/>
  <c r="AD62" i="6"/>
  <c r="J5" i="6"/>
  <c r="J4" i="6"/>
  <c r="R5" i="6"/>
  <c r="R4" i="6"/>
  <c r="Z5" i="6"/>
  <c r="Z4" i="6"/>
  <c r="AD78" i="6"/>
  <c r="AD94" i="6"/>
  <c r="M8" i="7"/>
  <c r="D9" i="7"/>
  <c r="T9" i="7"/>
  <c r="AD15" i="7"/>
  <c r="AD18" i="7"/>
  <c r="AD31" i="7"/>
  <c r="AD34" i="7"/>
  <c r="AD47" i="7"/>
  <c r="AD50" i="7"/>
  <c r="H8" i="6"/>
  <c r="C4" i="5"/>
  <c r="K4" i="5"/>
  <c r="S4" i="5"/>
  <c r="AA4" i="5"/>
  <c r="J5" i="5"/>
  <c r="R5" i="5"/>
  <c r="Z5" i="5"/>
  <c r="AD98" i="5"/>
  <c r="AF98" i="5" s="1"/>
  <c r="AA4" i="6"/>
  <c r="L5" i="6"/>
  <c r="W5" i="6"/>
  <c r="L6" i="6"/>
  <c r="L7" i="6" s="1"/>
  <c r="Z7" i="6"/>
  <c r="L8" i="6"/>
  <c r="Z8" i="6"/>
  <c r="O9" i="6"/>
  <c r="Z9" i="6"/>
  <c r="N8" i="7"/>
  <c r="E9" i="7"/>
  <c r="U9" i="7"/>
  <c r="AD12" i="7"/>
  <c r="AD25" i="7"/>
  <c r="AD28" i="7"/>
  <c r="AD41" i="7"/>
  <c r="AD44" i="7"/>
  <c r="U5" i="6"/>
  <c r="J7" i="6"/>
  <c r="U7" i="6"/>
  <c r="J8" i="6"/>
  <c r="X8" i="6"/>
  <c r="J9" i="6"/>
  <c r="X9" i="6"/>
  <c r="G4" i="6"/>
  <c r="Q4" i="6"/>
  <c r="M5" i="6"/>
  <c r="AA5" i="6"/>
  <c r="M7" i="6"/>
  <c r="AA7" i="6"/>
  <c r="P8" i="6"/>
  <c r="AA8" i="6"/>
  <c r="P9" i="6"/>
  <c r="AA9" i="6"/>
  <c r="AD27" i="6"/>
  <c r="AD43" i="6"/>
  <c r="AD59" i="6"/>
  <c r="AD75" i="6"/>
  <c r="AD91" i="6"/>
  <c r="F9" i="7"/>
  <c r="G5" i="7"/>
  <c r="O5" i="7"/>
  <c r="W5" i="7"/>
  <c r="F6" i="7"/>
  <c r="F7" i="7" s="1"/>
  <c r="N6" i="7"/>
  <c r="N7" i="7" s="1"/>
  <c r="V6" i="7"/>
  <c r="V7" i="7" s="1"/>
  <c r="E7" i="7"/>
  <c r="M7" i="7"/>
  <c r="U7" i="7"/>
  <c r="D8" i="7"/>
  <c r="L8" i="7"/>
  <c r="T8" i="7"/>
  <c r="C9" i="7"/>
  <c r="K9" i="7"/>
  <c r="S9" i="7"/>
  <c r="AA9" i="7"/>
  <c r="C32" i="9"/>
  <c r="C64" i="9"/>
  <c r="C75" i="9"/>
  <c r="C80" i="9"/>
  <c r="C91" i="9"/>
  <c r="C96" i="9"/>
  <c r="C107" i="9"/>
  <c r="C112" i="9"/>
  <c r="C123" i="9"/>
  <c r="C128" i="9"/>
  <c r="C139" i="9"/>
  <c r="C144" i="9"/>
  <c r="C155" i="9"/>
  <c r="C160" i="9"/>
  <c r="C171" i="9"/>
  <c r="C176" i="9"/>
  <c r="C187" i="9"/>
  <c r="C192" i="9"/>
  <c r="C203" i="9"/>
  <c r="C208" i="9"/>
  <c r="C219" i="9"/>
  <c r="C224" i="9"/>
  <c r="C235" i="9"/>
  <c r="C240" i="9"/>
  <c r="C251" i="9"/>
  <c r="C256" i="9"/>
  <c r="C294" i="9"/>
  <c r="D75" i="10"/>
  <c r="C76" i="10"/>
  <c r="C81" i="10"/>
  <c r="D80" i="10"/>
  <c r="C123" i="10"/>
  <c r="D122" i="10"/>
  <c r="C122" i="10"/>
  <c r="C193" i="10"/>
  <c r="D192" i="10"/>
  <c r="C192" i="10"/>
  <c r="C273" i="9"/>
  <c r="C115" i="10"/>
  <c r="D114" i="10"/>
  <c r="D203" i="10"/>
  <c r="C204" i="10"/>
  <c r="AD72" i="7"/>
  <c r="C24" i="9"/>
  <c r="C56" i="9"/>
  <c r="C71" i="9"/>
  <c r="C87" i="9"/>
  <c r="C103" i="9"/>
  <c r="C119" i="9"/>
  <c r="C135" i="9"/>
  <c r="C151" i="9"/>
  <c r="D11" i="10"/>
  <c r="C12" i="10"/>
  <c r="C16" i="10"/>
  <c r="D15" i="10"/>
  <c r="D27" i="10"/>
  <c r="C28" i="10"/>
  <c r="C32" i="10"/>
  <c r="D31" i="10"/>
  <c r="D43" i="10"/>
  <c r="C44" i="10"/>
  <c r="C48" i="10"/>
  <c r="D47" i="10"/>
  <c r="D59" i="10"/>
  <c r="C60" i="10"/>
  <c r="C64" i="10"/>
  <c r="D63" i="10"/>
  <c r="D98" i="10"/>
  <c r="D106" i="10"/>
  <c r="C114" i="10"/>
  <c r="C129" i="10"/>
  <c r="D128" i="10"/>
  <c r="C14" i="9"/>
  <c r="C23" i="9"/>
  <c r="C46" i="9"/>
  <c r="C55" i="9"/>
  <c r="C70" i="9"/>
  <c r="C86" i="9"/>
  <c r="C102" i="9"/>
  <c r="C118" i="9"/>
  <c r="C134" i="9"/>
  <c r="C150" i="9"/>
  <c r="C166" i="9"/>
  <c r="C182" i="9"/>
  <c r="C198" i="9"/>
  <c r="C214" i="9"/>
  <c r="C230" i="9"/>
  <c r="C246" i="9"/>
  <c r="C262" i="9"/>
  <c r="C284" i="9"/>
  <c r="C289" i="9"/>
  <c r="C8" i="10"/>
  <c r="C11" i="10"/>
  <c r="C15" i="10"/>
  <c r="C24" i="10"/>
  <c r="C27" i="10"/>
  <c r="C31" i="10"/>
  <c r="C40" i="10"/>
  <c r="C43" i="10"/>
  <c r="C47" i="10"/>
  <c r="C56" i="10"/>
  <c r="C59" i="10"/>
  <c r="C63" i="10"/>
  <c r="C73" i="10"/>
  <c r="D72" i="10"/>
  <c r="C78" i="10"/>
  <c r="D77" i="10"/>
  <c r="C77" i="10"/>
  <c r="D99" i="10"/>
  <c r="C100" i="10"/>
  <c r="C128" i="10"/>
  <c r="D8" i="10"/>
  <c r="D24" i="10"/>
  <c r="D40" i="10"/>
  <c r="D56" i="10"/>
  <c r="C126" i="10"/>
  <c r="C125" i="10"/>
  <c r="D139" i="10"/>
  <c r="C140" i="10"/>
  <c r="C163" i="10"/>
  <c r="D162" i="10"/>
  <c r="C162" i="10"/>
  <c r="F4" i="7"/>
  <c r="N4" i="7"/>
  <c r="V4" i="7"/>
  <c r="D5" i="7"/>
  <c r="L5" i="7"/>
  <c r="T5" i="7"/>
  <c r="J7" i="7"/>
  <c r="R7" i="7"/>
  <c r="Z7" i="7"/>
  <c r="I8" i="7"/>
  <c r="Q8" i="7"/>
  <c r="Y8" i="7"/>
  <c r="H9" i="7"/>
  <c r="P9" i="7"/>
  <c r="X9" i="7"/>
  <c r="C258" i="9"/>
  <c r="C275" i="9"/>
  <c r="C6" i="10"/>
  <c r="D5" i="10"/>
  <c r="C22" i="10"/>
  <c r="D21" i="10"/>
  <c r="C38" i="10"/>
  <c r="D37" i="10"/>
  <c r="C54" i="10"/>
  <c r="D53" i="10"/>
  <c r="C70" i="10"/>
  <c r="D69" i="10"/>
  <c r="D91" i="10"/>
  <c r="C92" i="10"/>
  <c r="D125" i="10"/>
  <c r="E5" i="7"/>
  <c r="M5" i="7"/>
  <c r="U5" i="7"/>
  <c r="C7" i="7"/>
  <c r="K7" i="7"/>
  <c r="S7" i="7"/>
  <c r="AA7" i="7"/>
  <c r="J8" i="7"/>
  <c r="R8" i="7"/>
  <c r="Z8" i="7"/>
  <c r="I9" i="7"/>
  <c r="Q9" i="7"/>
  <c r="Y9" i="7"/>
  <c r="C4" i="9"/>
  <c r="C8" i="9"/>
  <c r="C40" i="9"/>
  <c r="C63" i="9"/>
  <c r="C79" i="9"/>
  <c r="C95" i="9"/>
  <c r="C111" i="9"/>
  <c r="C127" i="9"/>
  <c r="C143" i="9"/>
  <c r="C159" i="9"/>
  <c r="C175" i="9"/>
  <c r="C191" i="9"/>
  <c r="C207" i="9"/>
  <c r="C223" i="9"/>
  <c r="C239" i="9"/>
  <c r="C255" i="9"/>
  <c r="C280" i="9"/>
  <c r="C5" i="10"/>
  <c r="C21" i="10"/>
  <c r="C37" i="10"/>
  <c r="C118" i="10"/>
  <c r="D117" i="10"/>
  <c r="C182" i="10"/>
  <c r="D181" i="10"/>
  <c r="C181" i="10"/>
  <c r="D7" i="7"/>
  <c r="L7" i="7"/>
  <c r="T7" i="7"/>
  <c r="C8" i="7"/>
  <c r="K8" i="7"/>
  <c r="S8" i="7"/>
  <c r="AA8" i="7"/>
  <c r="J9" i="7"/>
  <c r="R9" i="7"/>
  <c r="C36" i="9"/>
  <c r="C272" i="9"/>
  <c r="C282" i="9"/>
  <c r="D2" i="10"/>
  <c r="C19" i="10"/>
  <c r="D18" i="10"/>
  <c r="C35" i="10"/>
  <c r="D34" i="10"/>
  <c r="C51" i="10"/>
  <c r="D50" i="10"/>
  <c r="C67" i="10"/>
  <c r="D66" i="10"/>
  <c r="D83" i="10"/>
  <c r="C84" i="10"/>
  <c r="C89" i="10"/>
  <c r="D88" i="10"/>
  <c r="C88" i="10"/>
  <c r="C117" i="10"/>
  <c r="C266" i="9"/>
  <c r="C298" i="9"/>
  <c r="C7" i="10"/>
  <c r="D16" i="10"/>
  <c r="C23" i="10"/>
  <c r="D32" i="10"/>
  <c r="C39" i="10"/>
  <c r="D48" i="10"/>
  <c r="C55" i="10"/>
  <c r="D64" i="10"/>
  <c r="C91" i="10"/>
  <c r="D93" i="10"/>
  <c r="C121" i="10"/>
  <c r="D120" i="10"/>
  <c r="D131" i="10"/>
  <c r="C132" i="10"/>
  <c r="C155" i="10"/>
  <c r="D157" i="10"/>
  <c r="C185" i="10"/>
  <c r="D184" i="10"/>
  <c r="D195" i="10"/>
  <c r="C196" i="10"/>
  <c r="D221" i="10"/>
  <c r="C249" i="10"/>
  <c r="D248" i="10"/>
  <c r="D259" i="10"/>
  <c r="C260" i="10"/>
  <c r="D266" i="10"/>
  <c r="C257" i="10"/>
  <c r="D256" i="10"/>
  <c r="D267" i="10"/>
  <c r="C268" i="10"/>
  <c r="C137" i="10"/>
  <c r="D136" i="10"/>
  <c r="D147" i="10"/>
  <c r="C148" i="10"/>
  <c r="C201" i="10"/>
  <c r="D200" i="10"/>
  <c r="D211" i="10"/>
  <c r="C212" i="10"/>
  <c r="C226" i="10"/>
  <c r="D237" i="10"/>
  <c r="C245" i="10"/>
  <c r="C256" i="10"/>
  <c r="C265" i="10"/>
  <c r="D264" i="10"/>
  <c r="C136" i="10"/>
  <c r="C145" i="10"/>
  <c r="D144" i="10"/>
  <c r="D155" i="10"/>
  <c r="C156" i="10"/>
  <c r="C170" i="10"/>
  <c r="C189" i="10"/>
  <c r="C200" i="10"/>
  <c r="C209" i="10"/>
  <c r="D208" i="10"/>
  <c r="D219" i="10"/>
  <c r="C220" i="10"/>
  <c r="D226" i="10"/>
  <c r="C234" i="10"/>
  <c r="C243" i="10"/>
  <c r="D245" i="10"/>
  <c r="C253" i="10"/>
  <c r="C264" i="10"/>
  <c r="C153" i="10"/>
  <c r="D152" i="10"/>
  <c r="D163" i="10"/>
  <c r="C164" i="10"/>
  <c r="D170" i="10"/>
  <c r="D189" i="10"/>
  <c r="C217" i="10"/>
  <c r="D216" i="10"/>
  <c r="D227" i="10"/>
  <c r="C228" i="10"/>
  <c r="D234" i="10"/>
  <c r="D253" i="10"/>
  <c r="C97" i="10"/>
  <c r="D96" i="10"/>
  <c r="D107" i="10"/>
  <c r="C108" i="10"/>
  <c r="D133" i="10"/>
  <c r="C141" i="10"/>
  <c r="C152" i="10"/>
  <c r="C161" i="10"/>
  <c r="D160" i="10"/>
  <c r="D171" i="10"/>
  <c r="C172" i="10"/>
  <c r="D178" i="10"/>
  <c r="C186" i="10"/>
  <c r="D197" i="10"/>
  <c r="C205" i="10"/>
  <c r="C216" i="10"/>
  <c r="C225" i="10"/>
  <c r="D224" i="10"/>
  <c r="D235" i="10"/>
  <c r="C236" i="10"/>
  <c r="C75" i="10"/>
  <c r="C85" i="10"/>
  <c r="C96" i="10"/>
  <c r="C105" i="10"/>
  <c r="D104" i="10"/>
  <c r="D115" i="10"/>
  <c r="C116" i="10"/>
  <c r="C130" i="10"/>
  <c r="C139" i="10"/>
  <c r="D141" i="10"/>
  <c r="C149" i="10"/>
  <c r="C160" i="10"/>
  <c r="C169" i="10"/>
  <c r="D168" i="10"/>
  <c r="D179" i="10"/>
  <c r="C180" i="10"/>
  <c r="D186" i="10"/>
  <c r="C194" i="10"/>
  <c r="C203" i="10"/>
  <c r="D205" i="10"/>
  <c r="C213" i="10"/>
  <c r="C224" i="10"/>
  <c r="C233" i="10"/>
  <c r="D232" i="10"/>
  <c r="D243" i="10"/>
  <c r="C244" i="10"/>
  <c r="C258" i="10"/>
  <c r="C270" i="9"/>
  <c r="C14" i="10"/>
  <c r="C30" i="10"/>
  <c r="C46" i="10"/>
  <c r="C62" i="10"/>
  <c r="C74" i="10"/>
  <c r="C83" i="10"/>
  <c r="D85" i="10"/>
  <c r="C93" i="10"/>
  <c r="C104" i="10"/>
  <c r="C113" i="10"/>
  <c r="D112" i="10"/>
  <c r="D123" i="10"/>
  <c r="C124" i="10"/>
  <c r="D130" i="10"/>
  <c r="C138" i="10"/>
  <c r="C147" i="10"/>
  <c r="D149" i="10"/>
  <c r="C157" i="10"/>
  <c r="C168" i="10"/>
  <c r="C177" i="10"/>
  <c r="D176" i="10"/>
  <c r="D187" i="10"/>
  <c r="C188" i="10"/>
  <c r="D194" i="10"/>
  <c r="C202" i="10"/>
  <c r="C211" i="10"/>
  <c r="D213" i="10"/>
  <c r="C221" i="10"/>
  <c r="C232" i="10"/>
  <c r="C241" i="10"/>
  <c r="D240" i="10"/>
  <c r="D251" i="10"/>
  <c r="C252" i="10"/>
  <c r="D258" i="10"/>
  <c r="C266" i="10"/>
  <c r="C276" i="10"/>
  <c r="C284" i="10"/>
  <c r="C292" i="10"/>
  <c r="C300" i="10"/>
  <c r="D274" i="10"/>
  <c r="C277" i="10"/>
  <c r="D282" i="10"/>
  <c r="C285" i="10"/>
  <c r="D290" i="10"/>
  <c r="C293" i="10"/>
  <c r="D298" i="10"/>
  <c r="C301" i="10"/>
  <c r="D277" i="10"/>
  <c r="D285" i="10"/>
  <c r="D293" i="10"/>
  <c r="D301" i="10"/>
  <c r="D272" i="10"/>
  <c r="D280" i="10"/>
  <c r="D288" i="10"/>
  <c r="D296" i="10"/>
  <c r="AF57" i="5" l="1"/>
  <c r="AF81" i="5"/>
  <c r="AF73" i="5"/>
  <c r="AF97" i="5"/>
</calcChain>
</file>

<file path=xl/sharedStrings.xml><?xml version="1.0" encoding="utf-8"?>
<sst xmlns="http://schemas.openxmlformats.org/spreadsheetml/2006/main" count="1514" uniqueCount="602">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</sst>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9"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
      <sz val="8"/>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7">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 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BA74-4A44-A23C-BE1474F5E659}"/>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BA74-4A44-A23C-BE1474F5E659}"/>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BA74-4A44-A23C-BE1474F5E659}"/>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BA74-4A44-A23C-BE1474F5E659}"/>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BA74-4A44-A23C-BE1474F5E659}"/>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BA74-4A44-A23C-BE1474F5E659}"/>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BA74-4A44-A23C-BE1474F5E659}"/>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BA74-4A44-A23C-BE1474F5E659}"/>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BA74-4A44-A23C-BE1474F5E659}"/>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1.8424163549999999</c:v>
                </c:pt>
                <c:pt idx="182">
                  <c:v>2.0469128589999999</c:v>
                </c:pt>
                <c:pt idx="183">
                  <c:v>2.2765395380000002</c:v>
                </c:pt>
                <c:pt idx="184">
                  <c:v>2.7943204119999998</c:v>
                </c:pt>
                <c:pt idx="185">
                  <c:v>3.0635033840000001</c:v>
                </c:pt>
                <c:pt idx="186">
                  <c:v>3.2619828069999999</c:v>
                </c:pt>
                <c:pt idx="187">
                  <c:v>3.1539838329999998</c:v>
                </c:pt>
                <c:pt idx="188">
                  <c:v>2.3125836280000001</c:v>
                </c:pt>
                <c:pt idx="189">
                  <c:v>2.1602281090000002</c:v>
                </c:pt>
                <c:pt idx="190">
                  <c:v>2.1355406160000001</c:v>
                </c:pt>
                <c:pt idx="191">
                  <c:v>2.3058278649999999</c:v>
                </c:pt>
                <c:pt idx="192">
                  <c:v>2.5726308480000002</c:v>
                </c:pt>
                <c:pt idx="193">
                  <c:v>0.82008298099999999</c:v>
                </c:pt>
                <c:pt idx="194">
                  <c:v>-8.3506401560000008</c:v>
                </c:pt>
                <c:pt idx="195">
                  <c:v>-2.0240101209999999</c:v>
                </c:pt>
                <c:pt idx="196">
                  <c:v>-1.5166199330000001</c:v>
                </c:pt>
                <c:pt idx="197">
                  <c:v>1.1919350500000001</c:v>
                </c:pt>
                <c:pt idx="198">
                  <c:v>12.460854405999999</c:v>
                </c:pt>
                <c:pt idx="199">
                  <c:v>4.9556544809999998</c:v>
                </c:pt>
                <c:pt idx="200">
                  <c:v>5.7171000909999998</c:v>
                </c:pt>
                <c:pt idx="201">
                  <c:v>3.6836789579999998</c:v>
                </c:pt>
                <c:pt idx="202">
                  <c:v>1.796042498</c:v>
                </c:pt>
              </c:numCache>
            </c:numRef>
          </c:val>
          <c:smooth val="0"/>
          <c:extLst>
            <c:ext xmlns:c16="http://schemas.microsoft.com/office/drawing/2014/chart" uri="{C3380CC4-5D6E-409C-BE32-E72D297353CC}">
              <c16:uniqueId val="{00000000-A736-D847-B462-472BA1568346}"/>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numCache>
            </c:numRef>
          </c:val>
          <c:smooth val="0"/>
          <c:extLst>
            <c:ext xmlns:c16="http://schemas.microsoft.com/office/drawing/2014/chart" uri="{C3380CC4-5D6E-409C-BE32-E72D297353CC}">
              <c16:uniqueId val="{00000000-1100-544B-8A94-3EE948323019}"/>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numCache>
            </c:numRef>
          </c:val>
          <c:extLst>
            <c:ext xmlns:c16="http://schemas.microsoft.com/office/drawing/2014/chart" uri="{C3380CC4-5D6E-409C-BE32-E72D297353CC}">
              <c16:uniqueId val="{00000000-5CD1-D848-A632-07FC8DD6B5A2}"/>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329710</xdr:colOff>
      <xdr:row>258</xdr:row>
      <xdr:rowOff>86457</xdr:rowOff>
    </xdr:from>
    <xdr:to>
      <xdr:col>12</xdr:col>
      <xdr:colOff>320185</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253511</xdr:colOff>
      <xdr:row>279</xdr:row>
      <xdr:rowOff>29307</xdr:rowOff>
    </xdr:from>
    <xdr:to>
      <xdr:col>12</xdr:col>
      <xdr:colOff>243986</xdr:colOff>
      <xdr:row>299</xdr:row>
      <xdr:rowOff>5372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2" totalsRowShown="0" headerRowDxfId="10" dataDxfId="9">
  <autoFilter ref="A1:C302"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2" totalsRowShown="0" headerRowDxfId="5" dataDxfId="4">
  <autoFilter ref="A1:D302"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baseColWidth="10" defaultColWidth="9.1640625" defaultRowHeight="15" x14ac:dyDescent="0.2"/>
  <cols>
    <col min="1" max="1" width="5.1640625" style="73" customWidth="1"/>
    <col min="2" max="10" width="12.83203125" style="73" customWidth="1"/>
    <col min="11" max="11" width="6.6640625" style="73" customWidth="1"/>
    <col min="12" max="32" width="9.1640625" style="73" customWidth="1"/>
    <col min="33" max="16384" width="9.1640625" style="73"/>
  </cols>
  <sheetData>
    <row r="1" spans="2:10" ht="16" customHeight="1" thickBot="1" x14ac:dyDescent="0.25">
      <c r="B1" s="75"/>
      <c r="C1" s="76"/>
      <c r="D1" s="76"/>
      <c r="E1" s="76"/>
      <c r="F1" s="76"/>
      <c r="G1" s="76"/>
      <c r="H1" s="76"/>
      <c r="I1" s="76"/>
      <c r="J1" s="76"/>
    </row>
    <row r="2" spans="2:10" ht="16" customHeight="1" thickBot="1" x14ac:dyDescent="0.25">
      <c r="B2" s="77"/>
      <c r="C2" s="77"/>
      <c r="D2" s="77"/>
      <c r="E2" s="77"/>
      <c r="F2" s="77"/>
      <c r="G2" s="77"/>
      <c r="H2" s="77"/>
      <c r="I2" s="77"/>
      <c r="J2" s="77"/>
    </row>
    <row r="3" spans="2:10" ht="16" customHeight="1" thickBot="1" x14ac:dyDescent="0.25">
      <c r="B3" s="78" t="s">
        <v>0</v>
      </c>
      <c r="C3" s="79"/>
      <c r="D3" s="79"/>
      <c r="E3" s="79"/>
      <c r="F3" s="79"/>
      <c r="G3" s="79"/>
      <c r="H3" s="79"/>
      <c r="I3" s="79"/>
      <c r="J3" s="80"/>
    </row>
    <row r="5" spans="2:10" x14ac:dyDescent="0.2">
      <c r="B5" s="81" t="s">
        <v>1</v>
      </c>
      <c r="C5" s="82"/>
      <c r="D5" s="82"/>
      <c r="E5" s="82"/>
      <c r="F5" s="82"/>
      <c r="G5" s="82"/>
      <c r="H5" s="82"/>
      <c r="I5" s="82"/>
      <c r="J5" s="83"/>
    </row>
    <row r="7" spans="2:10" ht="132" customHeight="1" x14ac:dyDescent="0.2">
      <c r="B7" s="84" t="s">
        <v>2</v>
      </c>
      <c r="C7" s="76"/>
      <c r="D7" s="76"/>
      <c r="E7" s="76"/>
      <c r="F7" s="76"/>
      <c r="G7" s="76"/>
      <c r="H7" s="76"/>
      <c r="I7" s="76"/>
      <c r="J7" s="76"/>
    </row>
    <row r="8" spans="2:10" x14ac:dyDescent="0.2">
      <c r="B8" s="59"/>
      <c r="C8" s="57"/>
      <c r="D8" s="57"/>
      <c r="E8" s="57"/>
    </row>
    <row r="9" spans="2:10" x14ac:dyDescent="0.2">
      <c r="B9" s="81" t="s">
        <v>3</v>
      </c>
      <c r="C9" s="82"/>
      <c r="D9" s="82"/>
      <c r="E9" s="82"/>
      <c r="F9" s="82"/>
      <c r="G9" s="82"/>
      <c r="H9" s="82"/>
      <c r="I9" s="82"/>
      <c r="J9" s="83"/>
    </row>
    <row r="10" spans="2:10" ht="16" customHeight="1" x14ac:dyDescent="0.2"/>
    <row r="11" spans="2:10" ht="17" customHeight="1" x14ac:dyDescent="0.2">
      <c r="B11" s="81" t="s">
        <v>4</v>
      </c>
      <c r="C11" s="82"/>
      <c r="D11" s="82"/>
      <c r="E11" s="82"/>
      <c r="F11" s="83"/>
      <c r="G11" s="81" t="s">
        <v>5</v>
      </c>
      <c r="H11" s="82"/>
      <c r="I11" s="82"/>
      <c r="J11" s="83"/>
    </row>
    <row r="12" spans="2:10" ht="16" customHeight="1" x14ac:dyDescent="0.2"/>
    <row r="13" spans="2:10" ht="16" customHeight="1" x14ac:dyDescent="0.2">
      <c r="B13" s="86" t="s">
        <v>6</v>
      </c>
      <c r="C13" s="76"/>
      <c r="D13" s="76"/>
      <c r="E13" s="76"/>
      <c r="F13" s="76"/>
      <c r="G13" s="76" t="s">
        <v>7</v>
      </c>
      <c r="H13" s="76"/>
      <c r="I13" s="76"/>
      <c r="J13" s="76"/>
    </row>
    <row r="14" spans="2:10" ht="16" customHeight="1" x14ac:dyDescent="0.2">
      <c r="B14" s="76" t="s">
        <v>8</v>
      </c>
      <c r="C14" s="76"/>
      <c r="D14" s="76"/>
      <c r="E14" s="76"/>
      <c r="F14" s="76"/>
      <c r="G14" s="76" t="s">
        <v>9</v>
      </c>
      <c r="H14" s="76"/>
      <c r="I14" s="76"/>
      <c r="J14" s="76"/>
    </row>
    <row r="15" spans="2:10" ht="16" customHeight="1" x14ac:dyDescent="0.2">
      <c r="B15" s="76" t="s">
        <v>10</v>
      </c>
      <c r="C15" s="76"/>
      <c r="D15" s="76"/>
      <c r="E15" s="76"/>
      <c r="F15" s="76"/>
      <c r="G15" s="76" t="s">
        <v>11</v>
      </c>
      <c r="H15" s="76"/>
      <c r="I15" s="76"/>
      <c r="J15" s="76"/>
    </row>
    <row r="16" spans="2:10" ht="16" customHeight="1" x14ac:dyDescent="0.2">
      <c r="B16" s="76" t="s">
        <v>12</v>
      </c>
      <c r="C16" s="76"/>
      <c r="D16" s="76"/>
      <c r="E16" s="76"/>
      <c r="F16" s="76"/>
    </row>
    <row r="17" spans="2:10" ht="16" customHeight="1" x14ac:dyDescent="0.2">
      <c r="B17" s="76" t="s">
        <v>13</v>
      </c>
      <c r="C17" s="76"/>
      <c r="D17" s="76"/>
      <c r="E17" s="76"/>
      <c r="F17" s="76"/>
    </row>
    <row r="18" spans="2:10" ht="16" customHeight="1" x14ac:dyDescent="0.2"/>
    <row r="19" spans="2:10" ht="16" customHeight="1" x14ac:dyDescent="0.2">
      <c r="B19" s="86" t="s">
        <v>6</v>
      </c>
      <c r="C19" s="76"/>
      <c r="D19" s="76"/>
      <c r="E19" s="76"/>
      <c r="F19" s="76"/>
      <c r="G19" s="76" t="s">
        <v>14</v>
      </c>
      <c r="H19" s="76"/>
      <c r="I19" s="76"/>
      <c r="J19" s="76"/>
    </row>
    <row r="20" spans="2:10" ht="16" customHeight="1" x14ac:dyDescent="0.2">
      <c r="B20" s="76" t="s">
        <v>8</v>
      </c>
      <c r="C20" s="76"/>
      <c r="D20" s="76"/>
      <c r="E20" s="76"/>
      <c r="F20" s="76"/>
      <c r="G20" s="76" t="s">
        <v>9</v>
      </c>
      <c r="H20" s="76"/>
      <c r="I20" s="76"/>
      <c r="J20" s="76"/>
    </row>
    <row r="21" spans="2:10" ht="16" customHeight="1" x14ac:dyDescent="0.2">
      <c r="B21" s="76" t="s">
        <v>10</v>
      </c>
      <c r="C21" s="76"/>
      <c r="D21" s="76"/>
      <c r="E21" s="76"/>
      <c r="F21" s="76"/>
      <c r="G21" s="76" t="s">
        <v>15</v>
      </c>
      <c r="H21" s="76"/>
      <c r="I21" s="76"/>
      <c r="J21" s="76"/>
    </row>
    <row r="22" spans="2:10" ht="16" customHeight="1" x14ac:dyDescent="0.2">
      <c r="B22" s="76" t="s">
        <v>16</v>
      </c>
      <c r="C22" s="76"/>
      <c r="D22" s="76"/>
      <c r="E22" s="76"/>
      <c r="F22" s="76"/>
    </row>
    <row r="23" spans="2:10" ht="16" customHeight="1" x14ac:dyDescent="0.2">
      <c r="B23" s="76" t="s">
        <v>13</v>
      </c>
      <c r="C23" s="76"/>
      <c r="D23" s="76"/>
      <c r="E23" s="76"/>
      <c r="F23" s="76"/>
    </row>
    <row r="24" spans="2:10" ht="16" customHeight="1" x14ac:dyDescent="0.2"/>
    <row r="25" spans="2:10" ht="16" customHeight="1" x14ac:dyDescent="0.2">
      <c r="B25" s="73" t="s">
        <v>17</v>
      </c>
    </row>
    <row r="26" spans="2:10" ht="16" customHeight="1" x14ac:dyDescent="0.2"/>
    <row r="27" spans="2:10" ht="16" customHeight="1" x14ac:dyDescent="0.2">
      <c r="B27" s="73" t="s">
        <v>0</v>
      </c>
      <c r="G27" s="62" t="s">
        <v>18</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85"/>
      <c r="C39" s="76"/>
      <c r="D39" s="76"/>
      <c r="E39" s="76"/>
      <c r="F39" s="76"/>
      <c r="G39" s="76"/>
      <c r="H39" s="76"/>
      <c r="I39" s="76"/>
      <c r="J39" s="76"/>
    </row>
    <row r="40" spans="2:10" x14ac:dyDescent="0.2">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x14ac:dyDescent="0.2"/>
  <cols>
    <col min="1" max="1" width="9.1640625" style="67" customWidth="1"/>
    <col min="2" max="2" width="16.1640625" style="67" customWidth="1"/>
    <col min="3" max="5" width="9.1640625" style="2" customWidth="1"/>
    <col min="6" max="6" width="10.6640625" style="2" bestFit="1" customWidth="1"/>
    <col min="7" max="7" width="10.6640625" style="2" customWidth="1"/>
    <col min="8" max="46" width="9.1640625" style="2" customWidth="1"/>
    <col min="47" max="67" width="9.1640625" style="67" customWidth="1"/>
    <col min="68" max="16384" width="9.1640625" style="67"/>
  </cols>
  <sheetData>
    <row r="1" spans="1:47"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2">
      <c r="A2" t="s">
        <v>66</v>
      </c>
      <c r="B2" s="74">
        <v>17349</v>
      </c>
      <c r="AT2">
        <v>-0.26670598899999998</v>
      </c>
    </row>
    <row r="3" spans="1:47" x14ac:dyDescent="0.2">
      <c r="A3" t="s">
        <v>67</v>
      </c>
      <c r="B3" s="74">
        <v>17441</v>
      </c>
      <c r="AT3">
        <v>-0.20650322500000001</v>
      </c>
    </row>
    <row r="4" spans="1:47" x14ac:dyDescent="0.2">
      <c r="A4" t="s">
        <v>68</v>
      </c>
      <c r="B4" s="74">
        <v>17533</v>
      </c>
      <c r="AT4">
        <v>1.5642763799999999</v>
      </c>
    </row>
    <row r="5" spans="1:47" x14ac:dyDescent="0.2">
      <c r="A5" t="s">
        <v>69</v>
      </c>
      <c r="B5" s="74">
        <v>17624</v>
      </c>
      <c r="AT5">
        <v>1.5042003239999999</v>
      </c>
    </row>
    <row r="6" spans="1:47" x14ac:dyDescent="0.2">
      <c r="A6" t="s">
        <v>70</v>
      </c>
      <c r="B6" s="74">
        <v>17715</v>
      </c>
      <c r="AT6">
        <v>1.650680594</v>
      </c>
    </row>
    <row r="7" spans="1:47" x14ac:dyDescent="0.2">
      <c r="A7" t="s">
        <v>71</v>
      </c>
      <c r="B7" s="74">
        <v>17807</v>
      </c>
      <c r="AT7">
        <v>0.57293019099999998</v>
      </c>
    </row>
    <row r="8" spans="1:47" x14ac:dyDescent="0.2">
      <c r="A8" t="s">
        <v>72</v>
      </c>
      <c r="B8" s="74">
        <v>17899</v>
      </c>
      <c r="AT8">
        <v>0.11171215800000001</v>
      </c>
    </row>
    <row r="9" spans="1:47" x14ac:dyDescent="0.2">
      <c r="A9" t="s">
        <v>73</v>
      </c>
      <c r="B9" s="74">
        <v>17989</v>
      </c>
      <c r="AT9">
        <v>-1.37794649</v>
      </c>
    </row>
    <row r="10" spans="1:47" x14ac:dyDescent="0.2">
      <c r="A10" t="s">
        <v>74</v>
      </c>
      <c r="B10" s="74">
        <v>18080</v>
      </c>
      <c r="AT10">
        <v>-0.34110093000000002</v>
      </c>
    </row>
    <row r="11" spans="1:47" x14ac:dyDescent="0.2">
      <c r="A11" t="s">
        <v>75</v>
      </c>
      <c r="B11" s="74">
        <v>18172</v>
      </c>
      <c r="AT11">
        <v>1.0324247769999999</v>
      </c>
    </row>
    <row r="12" spans="1:47" x14ac:dyDescent="0.2">
      <c r="A12" t="s">
        <v>76</v>
      </c>
      <c r="B12" s="74">
        <v>18264</v>
      </c>
      <c r="AT12">
        <v>-0.83926743999999998</v>
      </c>
    </row>
    <row r="13" spans="1:47" x14ac:dyDescent="0.2">
      <c r="A13" t="s">
        <v>77</v>
      </c>
      <c r="B13" s="74">
        <v>18354</v>
      </c>
      <c r="AT13">
        <v>3.930097999</v>
      </c>
    </row>
    <row r="14" spans="1:47" x14ac:dyDescent="0.2">
      <c r="A14" t="s">
        <v>78</v>
      </c>
      <c r="B14" s="74">
        <v>18445</v>
      </c>
      <c r="AT14">
        <v>3.0498109879999999</v>
      </c>
    </row>
    <row r="15" spans="1:47" x14ac:dyDescent="0.2">
      <c r="A15" t="s">
        <v>79</v>
      </c>
      <c r="B15" s="74">
        <v>18537</v>
      </c>
      <c r="AT15">
        <v>3.8644146030000002</v>
      </c>
    </row>
    <row r="16" spans="1:47" x14ac:dyDescent="0.2">
      <c r="A16" t="s">
        <v>80</v>
      </c>
      <c r="B16" s="74">
        <v>18629</v>
      </c>
      <c r="AT16">
        <v>1.9147801470000001</v>
      </c>
    </row>
    <row r="17" spans="1:46" x14ac:dyDescent="0.2">
      <c r="A17" t="s">
        <v>81</v>
      </c>
      <c r="B17" s="74">
        <v>18719</v>
      </c>
      <c r="AT17">
        <v>1.3581587639999999</v>
      </c>
    </row>
    <row r="18" spans="1:46" x14ac:dyDescent="0.2">
      <c r="A18" t="s">
        <v>82</v>
      </c>
      <c r="B18" s="74">
        <v>18810</v>
      </c>
      <c r="AT18">
        <v>1.7327104369999999</v>
      </c>
    </row>
    <row r="19" spans="1:46" x14ac:dyDescent="0.2">
      <c r="A19" t="s">
        <v>83</v>
      </c>
      <c r="B19" s="74">
        <v>18902</v>
      </c>
      <c r="AT19">
        <v>2.060998798</v>
      </c>
    </row>
    <row r="20" spans="1:46" x14ac:dyDescent="0.2">
      <c r="A20" t="s">
        <v>84</v>
      </c>
      <c r="B20" s="74">
        <v>18994</v>
      </c>
      <c r="AT20">
        <v>0.220249574</v>
      </c>
    </row>
    <row r="21" spans="1:46" x14ac:dyDescent="0.2">
      <c r="A21" t="s">
        <v>85</v>
      </c>
      <c r="B21" s="74">
        <v>19085</v>
      </c>
      <c r="AT21">
        <v>1.068534409</v>
      </c>
    </row>
    <row r="22" spans="1:46" x14ac:dyDescent="0.2">
      <c r="A22" t="s">
        <v>86</v>
      </c>
      <c r="B22" s="74">
        <v>19176</v>
      </c>
      <c r="AT22">
        <v>0.215396694</v>
      </c>
    </row>
    <row r="23" spans="1:46" x14ac:dyDescent="0.2">
      <c r="A23" t="s">
        <v>87</v>
      </c>
      <c r="B23" s="74">
        <v>19268</v>
      </c>
      <c r="AT23">
        <v>0.72184921499999999</v>
      </c>
    </row>
    <row r="24" spans="1:46" x14ac:dyDescent="0.2">
      <c r="A24" t="s">
        <v>88</v>
      </c>
      <c r="B24" s="74">
        <v>19360</v>
      </c>
      <c r="AT24">
        <v>3.2842157109999999</v>
      </c>
    </row>
    <row r="25" spans="1:46" x14ac:dyDescent="0.2">
      <c r="A25" t="s">
        <v>89</v>
      </c>
      <c r="B25" s="74">
        <v>19450</v>
      </c>
      <c r="AT25">
        <v>1.858867482</v>
      </c>
    </row>
    <row r="26" spans="1:46" x14ac:dyDescent="0.2">
      <c r="A26" t="s">
        <v>90</v>
      </c>
      <c r="B26" s="74">
        <v>19541</v>
      </c>
      <c r="AT26">
        <v>0.77293802</v>
      </c>
    </row>
    <row r="27" spans="1:46" x14ac:dyDescent="0.2">
      <c r="A27" t="s">
        <v>91</v>
      </c>
      <c r="B27" s="74">
        <v>19633</v>
      </c>
      <c r="AT27">
        <v>-0.56267703099999999</v>
      </c>
    </row>
    <row r="28" spans="1:46" x14ac:dyDescent="0.2">
      <c r="A28" t="s">
        <v>92</v>
      </c>
      <c r="B28" s="74">
        <v>19725</v>
      </c>
      <c r="AT28">
        <v>-1.51394063</v>
      </c>
    </row>
    <row r="29" spans="1:46" x14ac:dyDescent="0.2">
      <c r="A29" t="s">
        <v>93</v>
      </c>
      <c r="B29" s="74">
        <v>19815</v>
      </c>
      <c r="AT29">
        <v>-0.47802388800000001</v>
      </c>
    </row>
    <row r="30" spans="1:46" x14ac:dyDescent="0.2">
      <c r="A30" t="s">
        <v>94</v>
      </c>
      <c r="B30" s="74">
        <v>19906</v>
      </c>
      <c r="AT30">
        <v>0.108992196</v>
      </c>
    </row>
    <row r="31" spans="1:46" x14ac:dyDescent="0.2">
      <c r="A31" t="s">
        <v>95</v>
      </c>
      <c r="B31" s="74">
        <v>19998</v>
      </c>
      <c r="AT31">
        <v>1.129346277</v>
      </c>
    </row>
    <row r="32" spans="1:46" x14ac:dyDescent="0.2">
      <c r="A32" t="s">
        <v>96</v>
      </c>
      <c r="B32" s="74">
        <v>20090</v>
      </c>
      <c r="AT32">
        <v>1.9566880769999999</v>
      </c>
    </row>
    <row r="33" spans="1:46" x14ac:dyDescent="0.2">
      <c r="A33" t="s">
        <v>97</v>
      </c>
      <c r="B33" s="74">
        <v>20180</v>
      </c>
      <c r="AT33">
        <v>2.8562346550000002</v>
      </c>
    </row>
    <row r="34" spans="1:46" x14ac:dyDescent="0.2">
      <c r="A34" t="s">
        <v>98</v>
      </c>
      <c r="B34" s="74">
        <v>20271</v>
      </c>
      <c r="V34">
        <v>8.7361201999999999E-2</v>
      </c>
      <c r="AT34">
        <v>1.627204957</v>
      </c>
    </row>
    <row r="35" spans="1:46" x14ac:dyDescent="0.2">
      <c r="A35" t="s">
        <v>99</v>
      </c>
      <c r="B35" s="74">
        <v>20363</v>
      </c>
      <c r="V35">
        <v>2.0214215210000002</v>
      </c>
      <c r="AT35">
        <v>1.350464288</v>
      </c>
    </row>
    <row r="36" spans="1:46" x14ac:dyDescent="0.2">
      <c r="A36" t="s">
        <v>100</v>
      </c>
      <c r="B36" s="74">
        <v>20455</v>
      </c>
      <c r="V36">
        <v>-0.543717267</v>
      </c>
      <c r="AT36">
        <v>0.600328737</v>
      </c>
    </row>
    <row r="37" spans="1:46" x14ac:dyDescent="0.2">
      <c r="A37" t="s">
        <v>101</v>
      </c>
      <c r="B37" s="74">
        <v>20546</v>
      </c>
      <c r="V37">
        <v>1.149656309</v>
      </c>
      <c r="AT37">
        <v>-0.38838046799999998</v>
      </c>
    </row>
    <row r="38" spans="1:46" x14ac:dyDescent="0.2">
      <c r="A38" t="s">
        <v>102</v>
      </c>
      <c r="B38" s="74">
        <v>20637</v>
      </c>
      <c r="V38">
        <v>-0.17644954900000001</v>
      </c>
      <c r="AT38">
        <v>0.82631942700000005</v>
      </c>
    </row>
    <row r="39" spans="1:46" x14ac:dyDescent="0.2">
      <c r="A39" t="s">
        <v>103</v>
      </c>
      <c r="B39" s="74">
        <v>20729</v>
      </c>
      <c r="V39">
        <v>-0.116248517</v>
      </c>
      <c r="AT39">
        <v>-8.9839592999999995E-2</v>
      </c>
    </row>
    <row r="40" spans="1:46" x14ac:dyDescent="0.2">
      <c r="A40" t="s">
        <v>104</v>
      </c>
      <c r="B40" s="74">
        <v>20821</v>
      </c>
      <c r="V40">
        <v>0.447997959</v>
      </c>
      <c r="AT40">
        <v>1.645864038</v>
      </c>
    </row>
    <row r="41" spans="1:46" x14ac:dyDescent="0.2">
      <c r="A41" t="s">
        <v>105</v>
      </c>
      <c r="B41" s="74">
        <v>20911</v>
      </c>
      <c r="V41">
        <v>1.999857153</v>
      </c>
      <c r="AT41">
        <v>0.64029115299999995</v>
      </c>
    </row>
    <row r="42" spans="1:46" x14ac:dyDescent="0.2">
      <c r="A42" t="s">
        <v>106</v>
      </c>
      <c r="B42" s="74">
        <v>21002</v>
      </c>
      <c r="V42">
        <v>1.0114448999999999E-2</v>
      </c>
      <c r="AT42">
        <v>-0.21908592399999999</v>
      </c>
    </row>
    <row r="43" spans="1:46" x14ac:dyDescent="0.2">
      <c r="A43" t="s">
        <v>107</v>
      </c>
      <c r="B43" s="74">
        <v>21094</v>
      </c>
      <c r="V43">
        <v>-0.61458511599999999</v>
      </c>
      <c r="AT43">
        <v>0.98001840200000001</v>
      </c>
    </row>
    <row r="44" spans="1:46" x14ac:dyDescent="0.2">
      <c r="A44" t="s">
        <v>108</v>
      </c>
      <c r="B44" s="74">
        <v>21186</v>
      </c>
      <c r="V44">
        <v>0.18081908699999999</v>
      </c>
      <c r="AT44">
        <v>-1.034279655</v>
      </c>
    </row>
    <row r="45" spans="1:46" x14ac:dyDescent="0.2">
      <c r="A45" t="s">
        <v>109</v>
      </c>
      <c r="B45" s="74">
        <v>21276</v>
      </c>
      <c r="V45">
        <v>2.2002922260000002</v>
      </c>
      <c r="AT45">
        <v>-2.5954400450000001</v>
      </c>
    </row>
    <row r="46" spans="1:46" x14ac:dyDescent="0.2">
      <c r="A46" t="s">
        <v>110</v>
      </c>
      <c r="B46" s="74">
        <v>21367</v>
      </c>
      <c r="V46">
        <v>-2.3761649550000001</v>
      </c>
      <c r="AT46">
        <v>0.65722672599999998</v>
      </c>
    </row>
    <row r="47" spans="1:46" x14ac:dyDescent="0.2">
      <c r="A47" t="s">
        <v>111</v>
      </c>
      <c r="B47" s="74">
        <v>21459</v>
      </c>
      <c r="V47">
        <v>2.2256854439999998</v>
      </c>
      <c r="AT47">
        <v>2.3132170410000001</v>
      </c>
    </row>
    <row r="48" spans="1:46" x14ac:dyDescent="0.2">
      <c r="A48" t="s">
        <v>112</v>
      </c>
      <c r="B48" s="74">
        <v>21551</v>
      </c>
      <c r="V48">
        <v>0.10265603299999999</v>
      </c>
      <c r="AT48">
        <v>2.3381095599999999</v>
      </c>
    </row>
    <row r="49" spans="1:47" x14ac:dyDescent="0.2">
      <c r="A49" t="s">
        <v>113</v>
      </c>
      <c r="B49" s="74">
        <v>21641</v>
      </c>
      <c r="V49">
        <v>0.652804457</v>
      </c>
      <c r="AT49">
        <v>1.9195528040000001</v>
      </c>
    </row>
    <row r="50" spans="1:47" x14ac:dyDescent="0.2">
      <c r="A50" t="s">
        <v>114</v>
      </c>
      <c r="B50" s="74">
        <v>21732</v>
      </c>
      <c r="V50">
        <v>1.6628649639999999</v>
      </c>
      <c r="AT50">
        <v>2.2551695309999999</v>
      </c>
    </row>
    <row r="51" spans="1:47" x14ac:dyDescent="0.2">
      <c r="A51" t="s">
        <v>115</v>
      </c>
      <c r="B51" s="74">
        <v>21824</v>
      </c>
      <c r="V51">
        <v>2.1494760930000001</v>
      </c>
      <c r="AT51">
        <v>7.0560340999999999E-2</v>
      </c>
    </row>
    <row r="52" spans="1:47" x14ac:dyDescent="0.2">
      <c r="A52" t="s">
        <v>116</v>
      </c>
      <c r="B52" s="74">
        <v>21916</v>
      </c>
      <c r="V52">
        <v>2.5611175789999998</v>
      </c>
      <c r="AT52">
        <v>0.284889055</v>
      </c>
    </row>
    <row r="53" spans="1:47" x14ac:dyDescent="0.2">
      <c r="A53" t="s">
        <v>117</v>
      </c>
      <c r="B53" s="74">
        <v>22007</v>
      </c>
      <c r="V53">
        <v>2.492165135</v>
      </c>
      <c r="AT53">
        <v>2.2477142919999999</v>
      </c>
    </row>
    <row r="54" spans="1:47" x14ac:dyDescent="0.2">
      <c r="A54" t="s">
        <v>118</v>
      </c>
      <c r="B54" s="74">
        <v>22098</v>
      </c>
      <c r="D54">
        <v>2.7666936610000001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119</v>
      </c>
      <c r="B55" s="74">
        <v>22190</v>
      </c>
      <c r="D55">
        <v>0.22351491500000001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120</v>
      </c>
      <c r="B56" s="74">
        <v>22282</v>
      </c>
      <c r="D56">
        <v>-0.197283774</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121</v>
      </c>
      <c r="B57" s="74">
        <v>22372</v>
      </c>
      <c r="D57">
        <v>0.30080788400000003</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122</v>
      </c>
      <c r="B58" s="74">
        <v>22463</v>
      </c>
      <c r="D58">
        <v>-1.0996543940000001</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123</v>
      </c>
      <c r="B59" s="74">
        <v>22555</v>
      </c>
      <c r="D59">
        <v>-0.71622480200000005</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124</v>
      </c>
      <c r="B60" s="74">
        <v>22647</v>
      </c>
      <c r="D60">
        <v>1.138809704</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125</v>
      </c>
      <c r="B61" s="74">
        <v>22737</v>
      </c>
      <c r="D61">
        <v>2.8070579100000002</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126</v>
      </c>
      <c r="B62" s="74">
        <v>22828</v>
      </c>
      <c r="D62">
        <v>1.917723909</v>
      </c>
      <c r="E62">
        <v>-2.1812204000000002E-2</v>
      </c>
      <c r="F62">
        <v>1.322267863</v>
      </c>
      <c r="H62">
        <v>0.73585614200000005</v>
      </c>
      <c r="I62">
        <v>1.155195043</v>
      </c>
      <c r="M62">
        <v>1.0423439720000001</v>
      </c>
      <c r="N62">
        <v>1.1233471610000001</v>
      </c>
      <c r="P62">
        <v>2.3261759519999998</v>
      </c>
      <c r="S62">
        <v>-2.5335643710000002</v>
      </c>
      <c r="T62">
        <v>1.615682117</v>
      </c>
      <c r="U62">
        <v>1.0344370000000001</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1.075405892</v>
      </c>
      <c r="AN62">
        <v>1.6258781019999999</v>
      </c>
      <c r="AR62">
        <v>1.761047311</v>
      </c>
      <c r="AT62">
        <v>0.90366382300000003</v>
      </c>
      <c r="AU62">
        <v>0.64057107599999996</v>
      </c>
    </row>
    <row r="63" spans="1:47" x14ac:dyDescent="0.2">
      <c r="A63" t="s">
        <v>127</v>
      </c>
      <c r="B63" s="74">
        <v>22920</v>
      </c>
      <c r="D63">
        <v>0.80700502299999999</v>
      </c>
      <c r="E63">
        <v>0.83915841400000002</v>
      </c>
      <c r="F63">
        <v>1.1163253390000001</v>
      </c>
      <c r="H63">
        <v>1.3168748219999999</v>
      </c>
      <c r="I63">
        <v>1.3707409500000001</v>
      </c>
      <c r="M63">
        <v>2.395209581</v>
      </c>
      <c r="N63">
        <v>0.42381070900000001</v>
      </c>
      <c r="P63">
        <v>2.449012722</v>
      </c>
      <c r="S63">
        <v>1.952450944</v>
      </c>
      <c r="T63">
        <v>1.4397853279999999</v>
      </c>
      <c r="U63">
        <v>1.2995289999999999</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1.3889614850000001</v>
      </c>
      <c r="AN63">
        <v>1.5393379</v>
      </c>
      <c r="AR63">
        <v>2.4472096310000002</v>
      </c>
      <c r="AT63">
        <v>1.2285130479999999</v>
      </c>
      <c r="AU63">
        <v>1.9520276400000001</v>
      </c>
    </row>
    <row r="64" spans="1:47" x14ac:dyDescent="0.2">
      <c r="A64" t="s">
        <v>128</v>
      </c>
      <c r="B64" s="74">
        <v>23012</v>
      </c>
      <c r="D64">
        <v>1.7971409119999999</v>
      </c>
      <c r="E64">
        <v>9.0983335999999998E-2</v>
      </c>
      <c r="F64">
        <v>0.89689485300000005</v>
      </c>
      <c r="H64">
        <v>2.037445365</v>
      </c>
      <c r="I64">
        <v>0.64523920999999995</v>
      </c>
      <c r="M64">
        <v>-0.216173587</v>
      </c>
      <c r="N64">
        <v>-0.26218625800000001</v>
      </c>
      <c r="P64">
        <v>0.26826245900000001</v>
      </c>
      <c r="S64">
        <v>1.7781521179999999</v>
      </c>
      <c r="T64">
        <v>1.2517969550000001</v>
      </c>
      <c r="U64">
        <v>0.593333</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0.72778005199999996</v>
      </c>
      <c r="AN64">
        <v>1.4563907970000001</v>
      </c>
      <c r="AR64">
        <v>0.82405230500000004</v>
      </c>
      <c r="AT64">
        <v>0.32890157599999997</v>
      </c>
      <c r="AU64">
        <v>1.280861445</v>
      </c>
    </row>
    <row r="65" spans="1:47" x14ac:dyDescent="0.2">
      <c r="A65" t="s">
        <v>129</v>
      </c>
      <c r="B65" s="74">
        <v>23102</v>
      </c>
      <c r="D65">
        <v>2.308412465</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0.162546</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0.39016927699999998</v>
      </c>
      <c r="AN65">
        <v>1.3766938440000001</v>
      </c>
      <c r="AR65">
        <v>-1.027403198</v>
      </c>
      <c r="AT65">
        <v>1.091574332</v>
      </c>
      <c r="AU65">
        <v>1.32273788</v>
      </c>
    </row>
    <row r="66" spans="1:47" x14ac:dyDescent="0.2">
      <c r="A66" t="s">
        <v>130</v>
      </c>
      <c r="B66" s="74">
        <v>23193</v>
      </c>
      <c r="D66">
        <v>-1.299414348</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2.4539949999999999</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2.377598925</v>
      </c>
      <c r="AN66">
        <v>1.411943883</v>
      </c>
      <c r="AR66">
        <v>3.823815287</v>
      </c>
      <c r="AT66">
        <v>1.1221214530000001</v>
      </c>
      <c r="AU66">
        <v>2.6442269810000001</v>
      </c>
    </row>
    <row r="67" spans="1:47" x14ac:dyDescent="0.2">
      <c r="A67" t="s">
        <v>131</v>
      </c>
      <c r="B67" s="74">
        <v>23285</v>
      </c>
      <c r="D67">
        <v>4.1058515010000001</v>
      </c>
      <c r="E67">
        <v>1.0874852580000001</v>
      </c>
      <c r="F67">
        <v>1.4497469430000001</v>
      </c>
      <c r="H67">
        <v>0.77788355499999995</v>
      </c>
      <c r="I67">
        <v>2.2287377739999998</v>
      </c>
      <c r="M67">
        <v>3.469247781</v>
      </c>
      <c r="N67">
        <v>1.2337917309999999</v>
      </c>
      <c r="P67">
        <v>2.1577354479999999</v>
      </c>
      <c r="S67">
        <v>1.0447611670000001</v>
      </c>
      <c r="T67">
        <v>3.2988024330000001</v>
      </c>
      <c r="U67">
        <v>2.2620659999999999</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2.2310105849999999</v>
      </c>
      <c r="AN67">
        <v>1.445410635</v>
      </c>
      <c r="AR67">
        <v>1.8545470420000001</v>
      </c>
      <c r="AT67">
        <v>2.198434459</v>
      </c>
      <c r="AU67">
        <v>2.639167193</v>
      </c>
    </row>
    <row r="68" spans="1:47" x14ac:dyDescent="0.2">
      <c r="A68" t="s">
        <v>132</v>
      </c>
      <c r="B68" s="74">
        <v>23377</v>
      </c>
      <c r="D68">
        <v>2.1411668910000001</v>
      </c>
      <c r="E68">
        <v>2.0387431110000001</v>
      </c>
      <c r="F68">
        <v>2.0444995229999998</v>
      </c>
      <c r="H68">
        <v>3.138726959</v>
      </c>
      <c r="I68">
        <v>1.086477559</v>
      </c>
      <c r="M68">
        <v>0.48396588200000001</v>
      </c>
      <c r="N68">
        <v>2.3006000329999998</v>
      </c>
      <c r="P68">
        <v>1.861635924</v>
      </c>
      <c r="S68">
        <v>2.1161555860000001</v>
      </c>
      <c r="T68">
        <v>0.311286644</v>
      </c>
      <c r="U68">
        <v>1.1757580000000001</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1.3041351370000001</v>
      </c>
      <c r="AN68">
        <v>1.4772527090000001</v>
      </c>
      <c r="AR68">
        <v>0.877163154</v>
      </c>
      <c r="AT68">
        <v>0.65560243699999998</v>
      </c>
      <c r="AU68">
        <v>1.762170542</v>
      </c>
    </row>
    <row r="69" spans="1:47" x14ac:dyDescent="0.2">
      <c r="A69" t="s">
        <v>133</v>
      </c>
      <c r="B69" s="74">
        <v>23468</v>
      </c>
      <c r="D69">
        <v>-0.16192314899999999</v>
      </c>
      <c r="E69">
        <v>1.006058114</v>
      </c>
      <c r="F69">
        <v>1.987689142</v>
      </c>
      <c r="H69">
        <v>2.4806515450000002</v>
      </c>
      <c r="I69">
        <v>0.124762743</v>
      </c>
      <c r="M69">
        <v>1.375907483</v>
      </c>
      <c r="N69">
        <v>3.3064032700000001</v>
      </c>
      <c r="P69">
        <v>0.56548538199999998</v>
      </c>
      <c r="S69">
        <v>1.2626088579999999</v>
      </c>
      <c r="T69">
        <v>1.882604425</v>
      </c>
      <c r="U69">
        <v>1.930798</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1.823164207</v>
      </c>
      <c r="AN69">
        <v>1.5074208140000001</v>
      </c>
      <c r="AR69">
        <v>2.477562222</v>
      </c>
      <c r="AT69">
        <v>2.108252099</v>
      </c>
      <c r="AU69">
        <v>1.8730916129999999</v>
      </c>
    </row>
    <row r="70" spans="1:47" x14ac:dyDescent="0.2">
      <c r="A70" t="s">
        <v>134</v>
      </c>
      <c r="B70" s="74">
        <v>23559</v>
      </c>
      <c r="D70">
        <v>2.4664712120000001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1.114576</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1.2397341660000001</v>
      </c>
      <c r="AN70">
        <v>1.692709544</v>
      </c>
      <c r="AR70">
        <v>0.54184420200000005</v>
      </c>
      <c r="AT70">
        <v>1.08873369</v>
      </c>
      <c r="AU70">
        <v>1.8098666830000001</v>
      </c>
    </row>
    <row r="71" spans="1:47" x14ac:dyDescent="0.2">
      <c r="A71" t="s">
        <v>135</v>
      </c>
      <c r="B71" s="74">
        <v>23651</v>
      </c>
      <c r="D71">
        <v>0.62095163900000006</v>
      </c>
      <c r="E71">
        <v>0.90052762399999997</v>
      </c>
      <c r="F71">
        <v>1.3443383069999999</v>
      </c>
      <c r="H71">
        <v>1.0420620970000001</v>
      </c>
      <c r="I71">
        <v>-0.54606104600000005</v>
      </c>
      <c r="M71">
        <v>1.039093942</v>
      </c>
      <c r="N71">
        <v>1.9670666409999999</v>
      </c>
      <c r="P71">
        <v>0.75129305000000002</v>
      </c>
      <c r="S71">
        <v>1.6049473320000001</v>
      </c>
      <c r="T71">
        <v>1.226254685</v>
      </c>
      <c r="U71">
        <v>1.196922</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1.2168506960000001</v>
      </c>
      <c r="AN71">
        <v>1.868849429</v>
      </c>
      <c r="AR71">
        <v>1.9957499569999999</v>
      </c>
      <c r="AT71">
        <v>1.5623006660000001</v>
      </c>
      <c r="AU71">
        <v>0.93956852700000004</v>
      </c>
    </row>
    <row r="72" spans="1:47" x14ac:dyDescent="0.2">
      <c r="A72" t="s">
        <v>136</v>
      </c>
      <c r="B72" s="74">
        <v>23743</v>
      </c>
      <c r="D72">
        <v>2.839960311</v>
      </c>
      <c r="E72">
        <v>2.854332243</v>
      </c>
      <c r="F72">
        <v>0.74716173900000005</v>
      </c>
      <c r="H72">
        <v>0.53989243899999995</v>
      </c>
      <c r="I72">
        <v>-0.61158205499999996</v>
      </c>
      <c r="M72">
        <v>1.360335531</v>
      </c>
      <c r="N72">
        <v>1.3641735260000001</v>
      </c>
      <c r="P72">
        <v>2.1741603089999999</v>
      </c>
      <c r="S72">
        <v>-0.64068973600000001</v>
      </c>
      <c r="T72">
        <v>0.90373870199999995</v>
      </c>
      <c r="U72">
        <v>0.66545699999999997</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0.80733203200000003</v>
      </c>
      <c r="AN72">
        <v>2.0350353289999998</v>
      </c>
      <c r="AR72">
        <v>1.0701503729999999</v>
      </c>
      <c r="AT72">
        <v>0.308871858</v>
      </c>
      <c r="AU72">
        <v>2.9242725599999999</v>
      </c>
    </row>
    <row r="73" spans="1:47" x14ac:dyDescent="0.2">
      <c r="A73" t="s">
        <v>137</v>
      </c>
      <c r="B73" s="74">
        <v>23833</v>
      </c>
      <c r="D73">
        <v>0.84128534300000002</v>
      </c>
      <c r="E73">
        <v>-1.0317158500000001</v>
      </c>
      <c r="F73">
        <v>0.73346515499999998</v>
      </c>
      <c r="H73">
        <v>3.1479153449999999</v>
      </c>
      <c r="I73">
        <v>2.4858689969999999</v>
      </c>
      <c r="M73">
        <v>1.63656424</v>
      </c>
      <c r="N73">
        <v>0.78847136100000004</v>
      </c>
      <c r="P73">
        <v>2.1281627489999999</v>
      </c>
      <c r="S73">
        <v>3.226251832</v>
      </c>
      <c r="T73">
        <v>0.22199487300000001</v>
      </c>
      <c r="U73">
        <v>1.658099</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1.615600106</v>
      </c>
      <c r="AN73">
        <v>2.1910147129999999</v>
      </c>
      <c r="AR73">
        <v>1.9709185090000001</v>
      </c>
      <c r="AT73">
        <v>2.4197518790000001</v>
      </c>
      <c r="AU73">
        <v>1.9239982840000001</v>
      </c>
    </row>
    <row r="74" spans="1:47" x14ac:dyDescent="0.2">
      <c r="A74" t="s">
        <v>138</v>
      </c>
      <c r="B74" s="74">
        <v>23924</v>
      </c>
      <c r="D74">
        <v>1.567021376</v>
      </c>
      <c r="E74">
        <v>0.52812923300000003</v>
      </c>
      <c r="F74">
        <v>0.72415100499999996</v>
      </c>
      <c r="H74">
        <v>0.95802062700000001</v>
      </c>
      <c r="I74">
        <v>0.120876874</v>
      </c>
      <c r="M74">
        <v>1.5780708649999999</v>
      </c>
      <c r="N74">
        <v>0.73890616499999995</v>
      </c>
      <c r="P74">
        <v>0.42662027000000002</v>
      </c>
      <c r="S74">
        <v>1.382899031</v>
      </c>
      <c r="T74">
        <v>2.4880954179999999</v>
      </c>
      <c r="U74">
        <v>1.3296410000000001</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1.174706265</v>
      </c>
      <c r="AN74">
        <v>1.7505410589999999</v>
      </c>
      <c r="AR74">
        <v>-0.73941296000000001</v>
      </c>
      <c r="AT74">
        <v>1.263298249</v>
      </c>
      <c r="AU74">
        <v>0.96739433699999999</v>
      </c>
    </row>
    <row r="75" spans="1:47" x14ac:dyDescent="0.2">
      <c r="A75" t="s">
        <v>139</v>
      </c>
      <c r="B75" s="74">
        <v>24016</v>
      </c>
      <c r="D75">
        <v>-0.29524280000000003</v>
      </c>
      <c r="E75">
        <v>2.0212884839999998</v>
      </c>
      <c r="F75">
        <v>0.73643261500000001</v>
      </c>
      <c r="H75">
        <v>1.3618159910000001</v>
      </c>
      <c r="I75">
        <v>1.0595628530000001</v>
      </c>
      <c r="M75">
        <v>0.66587561900000003</v>
      </c>
      <c r="N75">
        <v>0.690385637</v>
      </c>
      <c r="P75">
        <v>1.018033046</v>
      </c>
      <c r="S75">
        <v>1.2227839659999999</v>
      </c>
      <c r="T75">
        <v>1.4450189659999999</v>
      </c>
      <c r="U75">
        <v>1.724766</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1.5814410139999999</v>
      </c>
      <c r="AN75">
        <v>1.3337269089999999</v>
      </c>
      <c r="AR75">
        <v>-0.10296211700000001</v>
      </c>
      <c r="AT75">
        <v>2.2232522819999998</v>
      </c>
      <c r="AU75">
        <v>-0.315747202</v>
      </c>
    </row>
    <row r="76" spans="1:47" x14ac:dyDescent="0.2">
      <c r="A76" t="s">
        <v>140</v>
      </c>
      <c r="B76" s="74">
        <v>24108</v>
      </c>
      <c r="D76">
        <v>0.24311556600000001</v>
      </c>
      <c r="E76">
        <v>0.44959764000000002</v>
      </c>
      <c r="F76">
        <v>0.74509662099999996</v>
      </c>
      <c r="H76">
        <v>2.4595501789999998</v>
      </c>
      <c r="I76">
        <v>-0.261583709</v>
      </c>
      <c r="M76">
        <v>0.59845179100000001</v>
      </c>
      <c r="N76">
        <v>0.64286871400000001</v>
      </c>
      <c r="P76">
        <v>2.9893906939999999</v>
      </c>
      <c r="S76">
        <v>-0.70159602300000001</v>
      </c>
      <c r="T76">
        <v>1.3922143330000001</v>
      </c>
      <c r="U76">
        <v>1.715392</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1.71254967</v>
      </c>
      <c r="AN76">
        <v>0.93459476500000005</v>
      </c>
      <c r="AR76">
        <v>1.9894289329999999</v>
      </c>
      <c r="AT76">
        <v>2.304040466</v>
      </c>
      <c r="AU76">
        <v>1.663322974</v>
      </c>
    </row>
    <row r="77" spans="1:47" x14ac:dyDescent="0.2">
      <c r="A77" t="s">
        <v>141</v>
      </c>
      <c r="B77" s="74">
        <v>24198</v>
      </c>
      <c r="D77">
        <v>-0.288502431</v>
      </c>
      <c r="E77">
        <v>3.1966661589999998</v>
      </c>
      <c r="F77">
        <v>0.73286567400000002</v>
      </c>
      <c r="H77">
        <v>1.9142215460000001</v>
      </c>
      <c r="I77">
        <v>-1.34631725</v>
      </c>
      <c r="M77">
        <v>1.81592055</v>
      </c>
      <c r="N77">
        <v>0.59623050399999999</v>
      </c>
      <c r="P77">
        <v>-0.68051761899999996</v>
      </c>
      <c r="S77">
        <v>-0.91294424500000004</v>
      </c>
      <c r="T77">
        <v>0.902205649</v>
      </c>
      <c r="U77">
        <v>1.920828</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1.669587851</v>
      </c>
      <c r="AN77">
        <v>0.547837083</v>
      </c>
      <c r="AR77">
        <v>1.383376129</v>
      </c>
      <c r="AT77">
        <v>2.4342287589999998</v>
      </c>
      <c r="AU77">
        <v>1.4043375380000001</v>
      </c>
    </row>
    <row r="78" spans="1:47" x14ac:dyDescent="0.2">
      <c r="A78" t="s">
        <v>142</v>
      </c>
      <c r="B78" s="74">
        <v>24289</v>
      </c>
      <c r="D78">
        <v>1.370605187</v>
      </c>
      <c r="E78">
        <v>-0.12343989</v>
      </c>
      <c r="F78">
        <v>0.72223703699999997</v>
      </c>
      <c r="H78">
        <v>2.1199830899999998</v>
      </c>
      <c r="I78">
        <v>5.1304244859999999</v>
      </c>
      <c r="M78">
        <v>0.30748494199999998</v>
      </c>
      <c r="N78">
        <v>0.68115885499999995</v>
      </c>
      <c r="P78">
        <v>5.1675256760000003</v>
      </c>
      <c r="S78">
        <v>2.0591017580000002</v>
      </c>
      <c r="T78">
        <v>1.5125215869999999</v>
      </c>
      <c r="U78">
        <v>0.99329999999999996</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1.285867213</v>
      </c>
      <c r="AN78">
        <v>0.89069494400000004</v>
      </c>
      <c r="AR78">
        <v>-0.65978203000000002</v>
      </c>
      <c r="AT78">
        <v>0.34160196199999998</v>
      </c>
      <c r="AU78">
        <v>1.0882422460000001</v>
      </c>
    </row>
    <row r="79" spans="1:47" x14ac:dyDescent="0.2">
      <c r="A79" t="s">
        <v>143</v>
      </c>
      <c r="B79" s="74">
        <v>24381</v>
      </c>
      <c r="D79">
        <v>2.8269595970000001</v>
      </c>
      <c r="E79">
        <v>0.27664030499999998</v>
      </c>
      <c r="F79">
        <v>0.86768351200000005</v>
      </c>
      <c r="H79">
        <v>-2.3977179000000001E-2</v>
      </c>
      <c r="I79">
        <v>-1.256225564</v>
      </c>
      <c r="M79">
        <v>0.122676937</v>
      </c>
      <c r="N79">
        <v>0.76439263400000002</v>
      </c>
      <c r="P79">
        <v>1.98369138</v>
      </c>
      <c r="S79">
        <v>1.0738815850000001</v>
      </c>
      <c r="T79">
        <v>1.140425464</v>
      </c>
      <c r="U79">
        <v>1.0171319999999999</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1.0340088789999999</v>
      </c>
      <c r="AN79">
        <v>1.2255920410000001</v>
      </c>
      <c r="AR79">
        <v>-2.5602851539999998</v>
      </c>
      <c r="AT79">
        <v>0.84690505199999999</v>
      </c>
      <c r="AU79">
        <v>1.473290107</v>
      </c>
    </row>
    <row r="80" spans="1:47" x14ac:dyDescent="0.2">
      <c r="A80" t="s">
        <v>144</v>
      </c>
      <c r="B80" s="74">
        <v>24473</v>
      </c>
      <c r="D80">
        <v>0.65579209299999996</v>
      </c>
      <c r="E80">
        <v>0.88997646500000005</v>
      </c>
      <c r="F80">
        <v>1.015039977</v>
      </c>
      <c r="H80">
        <v>1.2233343649999999</v>
      </c>
      <c r="I80">
        <v>1.15061795</v>
      </c>
      <c r="M80">
        <v>-1.56154042</v>
      </c>
      <c r="N80">
        <v>0.845812538</v>
      </c>
      <c r="P80">
        <v>0.27089692599999998</v>
      </c>
      <c r="S80">
        <v>3.0710270290000001</v>
      </c>
      <c r="T80">
        <v>0.54594664599999998</v>
      </c>
      <c r="U80">
        <v>0.50407100000000005</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0.63035865899999999</v>
      </c>
      <c r="AN80">
        <v>1.5493923650000001</v>
      </c>
      <c r="AR80">
        <v>5.0669721499999998</v>
      </c>
      <c r="AT80">
        <v>0.82040710900000002</v>
      </c>
      <c r="AU80">
        <v>0.32904126500000003</v>
      </c>
    </row>
    <row r="81" spans="1:47" x14ac:dyDescent="0.2">
      <c r="A81" t="s">
        <v>145</v>
      </c>
      <c r="B81" s="74">
        <v>24563</v>
      </c>
      <c r="D81">
        <v>3.9047221429999999</v>
      </c>
      <c r="E81">
        <v>0.87689693300000005</v>
      </c>
      <c r="F81">
        <v>0.99532012599999997</v>
      </c>
      <c r="H81">
        <v>-0.21992041600000001</v>
      </c>
      <c r="I81">
        <v>2.805190353</v>
      </c>
      <c r="M81">
        <v>-0.49772895</v>
      </c>
      <c r="N81">
        <v>0.92514199600000002</v>
      </c>
      <c r="P81">
        <v>0.27549265000000001</v>
      </c>
      <c r="S81">
        <v>-1.2988756779999999</v>
      </c>
      <c r="T81">
        <v>1.7136395639999999</v>
      </c>
      <c r="U81">
        <v>1.0551839999999999</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1.1023405909999999</v>
      </c>
      <c r="AN81">
        <v>1.8592248950000001</v>
      </c>
      <c r="AR81">
        <v>1.0607375939999999</v>
      </c>
      <c r="AT81">
        <v>0.88555258699999995</v>
      </c>
      <c r="AU81">
        <v>3.6355161690000002</v>
      </c>
    </row>
    <row r="82" spans="1:47" x14ac:dyDescent="0.2">
      <c r="A82" t="s">
        <v>146</v>
      </c>
      <c r="B82" s="74">
        <v>24654</v>
      </c>
      <c r="D82">
        <v>-0.143805778</v>
      </c>
      <c r="E82">
        <v>0.856198071</v>
      </c>
      <c r="F82">
        <v>0.97875329499999997</v>
      </c>
      <c r="H82">
        <v>2.1041992660000002</v>
      </c>
      <c r="I82">
        <v>-0.97919837700000001</v>
      </c>
      <c r="M82">
        <v>-0.31257932999999999</v>
      </c>
      <c r="N82">
        <v>0.87575680600000005</v>
      </c>
      <c r="P82">
        <v>1.201427228</v>
      </c>
      <c r="S82">
        <v>0.82948297500000001</v>
      </c>
      <c r="T82">
        <v>1.094577234</v>
      </c>
      <c r="U82">
        <v>0.76853000000000005</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0.76779208200000004</v>
      </c>
      <c r="AN82">
        <v>2.136933499</v>
      </c>
      <c r="AR82">
        <v>0.33586673299999997</v>
      </c>
      <c r="AT82">
        <v>6.1297813E-2</v>
      </c>
      <c r="AU82">
        <v>0.15892629599999999</v>
      </c>
    </row>
    <row r="83" spans="1:47" x14ac:dyDescent="0.2">
      <c r="A83" t="s">
        <v>147</v>
      </c>
      <c r="B83" s="74">
        <v>24746</v>
      </c>
      <c r="D83">
        <v>1.8785209030000001</v>
      </c>
      <c r="E83">
        <v>-0.65888987399999999</v>
      </c>
      <c r="F83">
        <v>0.95427643699999998</v>
      </c>
      <c r="H83">
        <v>0.35778388700000002</v>
      </c>
      <c r="I83">
        <v>-1.163088589</v>
      </c>
      <c r="M83">
        <v>2.4145918659999999</v>
      </c>
      <c r="N83">
        <v>0.82758342200000001</v>
      </c>
      <c r="P83">
        <v>1.715238061</v>
      </c>
      <c r="S83">
        <v>-0.60382306299999999</v>
      </c>
      <c r="T83">
        <v>0.95619009700000002</v>
      </c>
      <c r="U83">
        <v>1.408431</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1.3278314950000001</v>
      </c>
      <c r="AN83">
        <v>2.3974302669999998</v>
      </c>
      <c r="AR83">
        <v>-1.597445134</v>
      </c>
      <c r="AT83">
        <v>0.94612091700000001</v>
      </c>
      <c r="AU83">
        <v>5.0283374009999999</v>
      </c>
    </row>
    <row r="84" spans="1:47" x14ac:dyDescent="0.2">
      <c r="A84" t="s">
        <v>148</v>
      </c>
      <c r="B84" s="74">
        <v>24838</v>
      </c>
      <c r="D84">
        <v>0.86789315</v>
      </c>
      <c r="E84">
        <v>1.6101192719999999</v>
      </c>
      <c r="F84">
        <v>0.92340842899999998</v>
      </c>
      <c r="H84">
        <v>0.404636985</v>
      </c>
      <c r="I84">
        <v>0.51321928500000003</v>
      </c>
      <c r="M84">
        <v>1.285930408</v>
      </c>
      <c r="N84">
        <v>0.78055322500000002</v>
      </c>
      <c r="P84">
        <v>-0.71910330099999997</v>
      </c>
      <c r="S84">
        <v>-0.60775826399999999</v>
      </c>
      <c r="T84">
        <v>0.97472745699999996</v>
      </c>
      <c r="U84">
        <v>1.041056</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1.042065056</v>
      </c>
      <c r="AN84">
        <v>2.6392798900000001</v>
      </c>
      <c r="AR84">
        <v>2.331611251</v>
      </c>
      <c r="AT84">
        <v>0.75401712700000001</v>
      </c>
      <c r="AU84">
        <v>-1.8157478659999999</v>
      </c>
    </row>
    <row r="85" spans="1:47" x14ac:dyDescent="0.2">
      <c r="A85" t="s">
        <v>149</v>
      </c>
      <c r="B85" s="74">
        <v>24929</v>
      </c>
      <c r="D85">
        <v>-0.88927816999999998</v>
      </c>
      <c r="E85">
        <v>1.264305303</v>
      </c>
      <c r="F85">
        <v>0.90842949399999995</v>
      </c>
      <c r="H85">
        <v>0.82909219999999995</v>
      </c>
      <c r="I85">
        <v>1.5885295779999999</v>
      </c>
      <c r="M85">
        <v>1.170303986</v>
      </c>
      <c r="N85">
        <v>0.73458195299999995</v>
      </c>
      <c r="P85">
        <v>2.1339450210000002</v>
      </c>
      <c r="S85">
        <v>1.016885402</v>
      </c>
      <c r="T85">
        <v>2.9096183990000002</v>
      </c>
      <c r="U85">
        <v>1.9880119999999999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1.8825600389999999</v>
      </c>
      <c r="AN85">
        <v>2.8617832430000001</v>
      </c>
      <c r="AR85">
        <v>-1.6841020170000001</v>
      </c>
      <c r="AT85">
        <v>2.039507129</v>
      </c>
      <c r="AU85">
        <v>1.641868589</v>
      </c>
    </row>
    <row r="86" spans="1:47" x14ac:dyDescent="0.2">
      <c r="A86" t="s">
        <v>150</v>
      </c>
      <c r="B86" s="74">
        <v>25020</v>
      </c>
      <c r="D86">
        <v>3.8499927220000001</v>
      </c>
      <c r="E86">
        <v>1.182700351</v>
      </c>
      <c r="F86">
        <v>0.89686020499999997</v>
      </c>
      <c r="H86">
        <v>2.717634791</v>
      </c>
      <c r="I86">
        <v>0.55338376499999997</v>
      </c>
      <c r="M86">
        <v>0.77727952199999994</v>
      </c>
      <c r="N86">
        <v>1.0821751529999999</v>
      </c>
      <c r="P86">
        <v>3.034022523</v>
      </c>
      <c r="S86">
        <v>1.6238918440000001</v>
      </c>
      <c r="T86">
        <v>-7.5809563649999996</v>
      </c>
      <c r="U86">
        <v>0.95060999999999996</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1.1622264069999999</v>
      </c>
      <c r="AN86">
        <v>1.9413338280000001</v>
      </c>
      <c r="AR86">
        <v>5.4954567709999997</v>
      </c>
      <c r="AT86">
        <v>1.6707995499999999</v>
      </c>
      <c r="AU86">
        <v>0.44336943899999998</v>
      </c>
    </row>
    <row r="87" spans="1:47" x14ac:dyDescent="0.2">
      <c r="A87" t="s">
        <v>151</v>
      </c>
      <c r="B87" s="74">
        <v>25112</v>
      </c>
      <c r="D87">
        <v>1.3225208989999999</v>
      </c>
      <c r="E87">
        <v>1.811362605</v>
      </c>
      <c r="F87">
        <v>1.3318043150000001</v>
      </c>
      <c r="H87">
        <v>1.3677209480000001</v>
      </c>
      <c r="I87">
        <v>2.761789356</v>
      </c>
      <c r="M87">
        <v>2.1951943040000002</v>
      </c>
      <c r="N87">
        <v>1.419760811</v>
      </c>
      <c r="P87">
        <v>0.80629749299999998</v>
      </c>
      <c r="S87">
        <v>0.27727920099999998</v>
      </c>
      <c r="T87">
        <v>11.373243098</v>
      </c>
      <c r="U87">
        <v>2.14934</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1.9993951599999999</v>
      </c>
      <c r="AN87">
        <v>1.0794968970000001</v>
      </c>
      <c r="AR87">
        <v>0.72661108799999996</v>
      </c>
      <c r="AT87">
        <v>0.77495566299999996</v>
      </c>
      <c r="AU87">
        <v>1.0793265299999999</v>
      </c>
    </row>
    <row r="88" spans="1:47" x14ac:dyDescent="0.2">
      <c r="A88" t="s">
        <v>152</v>
      </c>
      <c r="B88" s="74">
        <v>25204</v>
      </c>
      <c r="D88">
        <v>3.726063672</v>
      </c>
      <c r="E88">
        <v>0.89583529799999995</v>
      </c>
      <c r="F88">
        <v>1.770448655</v>
      </c>
      <c r="H88">
        <v>1.3808329340000001</v>
      </c>
      <c r="I88">
        <v>2.4320738959999999</v>
      </c>
      <c r="M88">
        <v>1.5094339619999999</v>
      </c>
      <c r="N88">
        <v>1.744169093</v>
      </c>
      <c r="P88">
        <v>4.0534074799999997</v>
      </c>
      <c r="S88">
        <v>1.87516964</v>
      </c>
      <c r="T88">
        <v>1.0245901639999999</v>
      </c>
      <c r="U88">
        <v>1.4489810000000001</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1.573030017</v>
      </c>
      <c r="AN88">
        <v>0.25193510000000002</v>
      </c>
      <c r="AR88">
        <v>-0.54202259399999997</v>
      </c>
      <c r="AT88">
        <v>0.39332004100000001</v>
      </c>
      <c r="AU88">
        <v>1.890612969</v>
      </c>
    </row>
    <row r="89" spans="1:47" x14ac:dyDescent="0.2">
      <c r="A89" t="s">
        <v>153</v>
      </c>
      <c r="B89" s="74">
        <v>25294</v>
      </c>
      <c r="D89">
        <v>-0.69158006000000005</v>
      </c>
      <c r="E89">
        <v>0.97363511300000005</v>
      </c>
      <c r="F89">
        <v>1.7302537920000001</v>
      </c>
      <c r="H89">
        <v>1.3080932009999999</v>
      </c>
      <c r="I89">
        <v>-2.393514965</v>
      </c>
      <c r="M89">
        <v>2.516442665</v>
      </c>
      <c r="N89">
        <v>2.0526702029999999</v>
      </c>
      <c r="P89">
        <v>3.548013804</v>
      </c>
      <c r="S89">
        <v>4.8897955770000001</v>
      </c>
      <c r="T89">
        <v>0.18374518300000001</v>
      </c>
      <c r="U89">
        <v>1.3188200000000001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1.308891746</v>
      </c>
      <c r="AN89">
        <v>-0.59196282300000003</v>
      </c>
      <c r="AR89">
        <v>-0.43319199000000003</v>
      </c>
      <c r="AT89">
        <v>1.565115509</v>
      </c>
      <c r="AU89">
        <v>0.71868768900000002</v>
      </c>
    </row>
    <row r="90" spans="1:47" x14ac:dyDescent="0.2">
      <c r="A90" t="s">
        <v>154</v>
      </c>
      <c r="B90" s="74">
        <v>25385</v>
      </c>
      <c r="D90">
        <v>1.9817555710000001</v>
      </c>
      <c r="E90">
        <v>1.8923453649999999</v>
      </c>
      <c r="F90">
        <v>1.682228847</v>
      </c>
      <c r="H90">
        <v>0.49284514699999998</v>
      </c>
      <c r="I90">
        <v>3.518600422</v>
      </c>
      <c r="M90">
        <v>1.2830879049999999</v>
      </c>
      <c r="N90">
        <v>1.5477394959999999</v>
      </c>
      <c r="P90">
        <v>-0.33786048299999999</v>
      </c>
      <c r="S90">
        <v>0.94234938499999998</v>
      </c>
      <c r="T90">
        <v>2.4530371180000001</v>
      </c>
      <c r="U90">
        <v>1.1034330000000001</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1.1815446599999999</v>
      </c>
      <c r="AN90">
        <v>-0.183559099</v>
      </c>
      <c r="AR90">
        <v>2.6426031769999998</v>
      </c>
      <c r="AT90">
        <v>0.30399532099999999</v>
      </c>
      <c r="AU90">
        <v>-8.4331489999999995E-2</v>
      </c>
    </row>
    <row r="91" spans="1:47" x14ac:dyDescent="0.2">
      <c r="A91" t="s">
        <v>155</v>
      </c>
      <c r="B91" s="74">
        <v>25477</v>
      </c>
      <c r="D91">
        <v>1.6573078619999999</v>
      </c>
      <c r="E91">
        <v>2.4060259639999999</v>
      </c>
      <c r="F91">
        <v>1.6726515989999999</v>
      </c>
      <c r="H91">
        <v>1.0736989269999999</v>
      </c>
      <c r="I91">
        <v>4.1585568479999999</v>
      </c>
      <c r="M91">
        <v>2.148261051</v>
      </c>
      <c r="N91">
        <v>1.0675537960000001</v>
      </c>
      <c r="P91">
        <v>1.8654529500000001</v>
      </c>
      <c r="S91">
        <v>2.7720648959999998</v>
      </c>
      <c r="T91">
        <v>0.94538381999999999</v>
      </c>
      <c r="U91">
        <v>1.0765769999999999</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1.3097834900000001</v>
      </c>
      <c r="AN91">
        <v>1.9477467129999999</v>
      </c>
      <c r="AR91">
        <v>3.838758903</v>
      </c>
      <c r="AT91">
        <v>0.66051420500000002</v>
      </c>
      <c r="AU91">
        <v>4.5667663090000001</v>
      </c>
    </row>
    <row r="92" spans="1:47" x14ac:dyDescent="0.2">
      <c r="A92" t="s">
        <v>156</v>
      </c>
      <c r="B92" s="74">
        <v>25569</v>
      </c>
      <c r="D92">
        <v>2.3038703169999999</v>
      </c>
      <c r="E92">
        <v>1.0178090500000001</v>
      </c>
      <c r="F92">
        <v>1.6540957270000001</v>
      </c>
      <c r="H92">
        <v>1.431339988</v>
      </c>
      <c r="I92">
        <v>-0.22332619300000001</v>
      </c>
      <c r="M92">
        <v>1.536742829</v>
      </c>
      <c r="N92">
        <v>0.60450455000000003</v>
      </c>
      <c r="P92">
        <v>1.1194782139999999</v>
      </c>
      <c r="S92">
        <v>1.4877672</v>
      </c>
      <c r="T92">
        <v>0.79025171500000002</v>
      </c>
      <c r="U92">
        <v>0.50230900000000001</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0.70691054399999997</v>
      </c>
      <c r="AN92">
        <v>2.6376832270000001</v>
      </c>
      <c r="AR92">
        <v>0.71857372799999997</v>
      </c>
      <c r="AT92">
        <v>-0.48769458799999998</v>
      </c>
      <c r="AU92">
        <v>-1.349816884</v>
      </c>
    </row>
    <row r="93" spans="1:47" x14ac:dyDescent="0.2">
      <c r="A93" t="s">
        <v>157</v>
      </c>
      <c r="B93" s="74">
        <v>25659</v>
      </c>
      <c r="D93">
        <v>2.0801490469999999</v>
      </c>
      <c r="E93">
        <v>1.8876402640000001</v>
      </c>
      <c r="F93">
        <v>1.606117273</v>
      </c>
      <c r="H93">
        <v>0.64617400700000005</v>
      </c>
      <c r="I93">
        <v>1.9961423780000001</v>
      </c>
      <c r="M93">
        <v>-1.595662151</v>
      </c>
      <c r="N93">
        <v>0.151850918</v>
      </c>
      <c r="P93">
        <v>1.869665315</v>
      </c>
      <c r="S93">
        <v>0.86833875100000002</v>
      </c>
      <c r="T93">
        <v>1.9113744450000001</v>
      </c>
      <c r="U93">
        <v>0.74439200000000005</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0.84165517300000003</v>
      </c>
      <c r="AN93">
        <v>2.917470963</v>
      </c>
      <c r="AR93">
        <v>1.3351543320000001</v>
      </c>
      <c r="AT93">
        <v>-0.14847070100000001</v>
      </c>
      <c r="AU93">
        <v>2.1524906399999999</v>
      </c>
    </row>
    <row r="94" spans="1:47" x14ac:dyDescent="0.2">
      <c r="A94" t="s">
        <v>158</v>
      </c>
      <c r="B94" s="74">
        <v>25750</v>
      </c>
      <c r="D94">
        <v>2.0111811039999998</v>
      </c>
      <c r="E94">
        <v>2.5910391829999999</v>
      </c>
      <c r="F94">
        <v>1.575348532</v>
      </c>
      <c r="H94">
        <v>-4.0578690000000004E-3</v>
      </c>
      <c r="I94">
        <v>1.1864406780000001</v>
      </c>
      <c r="M94">
        <v>3.9758176989999998</v>
      </c>
      <c r="N94">
        <v>0.25888395199999997</v>
      </c>
      <c r="P94">
        <v>0.15886402399999999</v>
      </c>
      <c r="S94">
        <v>3.4618527710000002</v>
      </c>
      <c r="T94">
        <v>1.2620384549999999</v>
      </c>
      <c r="U94">
        <v>1.091844</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1.197648496</v>
      </c>
      <c r="AN94">
        <v>2.9933256770000001</v>
      </c>
      <c r="AR94">
        <v>0.76995841300000001</v>
      </c>
      <c r="AT94">
        <v>0.141930001</v>
      </c>
      <c r="AU94">
        <v>2.0405876059999999</v>
      </c>
    </row>
    <row r="95" spans="1:47" x14ac:dyDescent="0.2">
      <c r="A95" t="s">
        <v>159</v>
      </c>
      <c r="B95" s="74">
        <v>25842</v>
      </c>
      <c r="D95">
        <v>-0.21104925399999999</v>
      </c>
      <c r="E95">
        <v>1.9357299699999999</v>
      </c>
      <c r="F95">
        <v>1.176552013</v>
      </c>
      <c r="H95">
        <v>1.0325048480000001</v>
      </c>
      <c r="I95">
        <v>1.3967687900000001</v>
      </c>
      <c r="M95">
        <v>1.867836292</v>
      </c>
      <c r="N95">
        <v>0.36522020199999999</v>
      </c>
      <c r="P95">
        <v>0.51108326199999998</v>
      </c>
      <c r="S95">
        <v>1.8677330539999999</v>
      </c>
      <c r="T95">
        <v>1.3772386089999999</v>
      </c>
      <c r="U95">
        <v>1.431427</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1.3621788960000001</v>
      </c>
      <c r="AN95">
        <v>0.64610706299999998</v>
      </c>
      <c r="AR95">
        <v>2.9206831489999998</v>
      </c>
      <c r="AT95">
        <v>0.92155083000000004</v>
      </c>
      <c r="AU95">
        <v>-1.154461151</v>
      </c>
    </row>
    <row r="96" spans="1:47" x14ac:dyDescent="0.2">
      <c r="A96" t="s">
        <v>160</v>
      </c>
      <c r="B96" s="74">
        <v>25934</v>
      </c>
      <c r="D96">
        <v>0.475212366</v>
      </c>
      <c r="E96">
        <v>1.2421643689999999</v>
      </c>
      <c r="F96">
        <v>0.75863011000000002</v>
      </c>
      <c r="H96">
        <v>0.17830043500000001</v>
      </c>
      <c r="I96">
        <v>0.40499853499999999</v>
      </c>
      <c r="M96">
        <v>0.84760664399999996</v>
      </c>
      <c r="N96">
        <v>0.470506545</v>
      </c>
      <c r="P96">
        <v>0.789027645</v>
      </c>
      <c r="S96">
        <v>1.012939233</v>
      </c>
      <c r="T96">
        <v>1.570186063</v>
      </c>
      <c r="U96">
        <v>-0.19547700000000001</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6.9652908999999999E-2</v>
      </c>
      <c r="AN96">
        <v>1.772498017</v>
      </c>
      <c r="AR96">
        <v>0.46252098800000002</v>
      </c>
      <c r="AT96">
        <v>-1.071638106</v>
      </c>
      <c r="AU96">
        <v>3.5184989799999999</v>
      </c>
    </row>
    <row r="97" spans="1:47" x14ac:dyDescent="0.2">
      <c r="A97" t="s">
        <v>161</v>
      </c>
      <c r="B97" s="74">
        <v>26024</v>
      </c>
      <c r="D97">
        <v>1.2118639659999999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0.96569199999999999</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0.89678698000000001</v>
      </c>
      <c r="AN97">
        <v>-2.2926399E-2</v>
      </c>
      <c r="AR97">
        <v>-1.089008897</v>
      </c>
      <c r="AT97">
        <v>2.715992789</v>
      </c>
      <c r="AU97">
        <v>1.4811279150000001</v>
      </c>
    </row>
    <row r="98" spans="1:47" x14ac:dyDescent="0.2">
      <c r="A98" t="s">
        <v>162</v>
      </c>
      <c r="B98" s="74">
        <v>26115</v>
      </c>
      <c r="D98">
        <v>0.43306716000000001</v>
      </c>
      <c r="E98">
        <v>2.1548485529999999</v>
      </c>
      <c r="F98">
        <v>0.73507800599999995</v>
      </c>
      <c r="H98">
        <v>2.900629253</v>
      </c>
      <c r="I98">
        <v>1.5904259510000001</v>
      </c>
      <c r="M98">
        <v>2.0986408280000002</v>
      </c>
      <c r="N98">
        <v>0.816535071</v>
      </c>
      <c r="P98">
        <v>1.9505926579999999</v>
      </c>
      <c r="S98">
        <v>6.0944927499999997</v>
      </c>
      <c r="T98">
        <v>1.821986785</v>
      </c>
      <c r="U98">
        <v>1.187487</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1.219535582</v>
      </c>
      <c r="AN98">
        <v>3.9647319780000001</v>
      </c>
      <c r="AR98">
        <v>-1.1759942759999999</v>
      </c>
      <c r="AT98">
        <v>0.54112008</v>
      </c>
      <c r="AU98">
        <v>-0.81523000199999995</v>
      </c>
    </row>
    <row r="99" spans="1:47" x14ac:dyDescent="0.2">
      <c r="A99" t="s">
        <v>163</v>
      </c>
      <c r="B99" s="74">
        <v>26207</v>
      </c>
      <c r="D99">
        <v>3.1385548839999999</v>
      </c>
      <c r="E99">
        <v>1.60398934</v>
      </c>
      <c r="F99">
        <v>1.0411394759999999</v>
      </c>
      <c r="H99">
        <v>2.780357231</v>
      </c>
      <c r="I99">
        <v>0.61742747099999995</v>
      </c>
      <c r="M99">
        <v>1.730037193</v>
      </c>
      <c r="N99">
        <v>1.0533128220000001</v>
      </c>
      <c r="P99">
        <v>1.839902173</v>
      </c>
      <c r="S99">
        <v>-2.5945737999999999E-2</v>
      </c>
      <c r="T99">
        <v>1.6306014069999999</v>
      </c>
      <c r="U99">
        <v>1.273741</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1.3406181660000001</v>
      </c>
      <c r="AN99">
        <v>0.58097699899999999</v>
      </c>
      <c r="AR99">
        <v>1.8275422400000001</v>
      </c>
      <c r="AT99">
        <v>0.82296708500000004</v>
      </c>
      <c r="AU99">
        <v>1.3026591190000001</v>
      </c>
    </row>
    <row r="100" spans="1:47" x14ac:dyDescent="0.2">
      <c r="A100" t="s">
        <v>164</v>
      </c>
      <c r="B100" s="74">
        <v>26299</v>
      </c>
      <c r="D100">
        <v>-0.32388664</v>
      </c>
      <c r="E100">
        <v>-0.36443544700000002</v>
      </c>
      <c r="F100">
        <v>1.354625558</v>
      </c>
      <c r="H100">
        <v>1.1057307359999999</v>
      </c>
      <c r="I100">
        <v>0.749717572</v>
      </c>
      <c r="M100">
        <v>-8.4182123999999997E-2</v>
      </c>
      <c r="N100">
        <v>1.2832057189999999</v>
      </c>
      <c r="P100">
        <v>2.0135591970000002</v>
      </c>
      <c r="S100">
        <v>-0.61189449100000004</v>
      </c>
      <c r="T100">
        <v>0.85678106600000004</v>
      </c>
      <c r="U100">
        <v>0.41775000000000001</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0.52888374199999999</v>
      </c>
      <c r="AN100">
        <v>3.4214536610000001</v>
      </c>
      <c r="AR100">
        <v>-0.98052384699999995</v>
      </c>
      <c r="AT100">
        <v>0.235783839</v>
      </c>
      <c r="AU100">
        <v>0.71876223699999997</v>
      </c>
    </row>
    <row r="101" spans="1:47" x14ac:dyDescent="0.2">
      <c r="A101" t="s">
        <v>165</v>
      </c>
      <c r="B101" s="74">
        <v>26390</v>
      </c>
      <c r="D101">
        <v>-1.2118901179999999</v>
      </c>
      <c r="E101">
        <v>3.2570676409999999</v>
      </c>
      <c r="F101">
        <v>1.328109516</v>
      </c>
      <c r="H101">
        <v>-0.34940669699999999</v>
      </c>
      <c r="I101">
        <v>0.91743119299999998</v>
      </c>
      <c r="M101">
        <v>0.101102707</v>
      </c>
      <c r="N101">
        <v>1.5047507689999999</v>
      </c>
      <c r="P101">
        <v>1.6225123589999999</v>
      </c>
      <c r="S101">
        <v>4.9092106759999998</v>
      </c>
      <c r="T101">
        <v>1.309796145</v>
      </c>
      <c r="U101">
        <v>1.4849220000000001</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1.539548672</v>
      </c>
      <c r="AN101">
        <v>-5.2890599000000003E-2</v>
      </c>
      <c r="AR101">
        <v>0.47354708299999998</v>
      </c>
      <c r="AT101">
        <v>1.838958884</v>
      </c>
      <c r="AU101">
        <v>-0.58951997499999997</v>
      </c>
    </row>
    <row r="102" spans="1:47" x14ac:dyDescent="0.2">
      <c r="A102" t="s">
        <v>166</v>
      </c>
      <c r="B102" s="74">
        <v>26481</v>
      </c>
      <c r="D102">
        <v>2.2420621600000001</v>
      </c>
      <c r="E102">
        <v>-3.7419386999999998E-2</v>
      </c>
      <c r="F102">
        <v>1.304745354</v>
      </c>
      <c r="H102">
        <v>2.8300644990000001</v>
      </c>
      <c r="I102">
        <v>0.28535353600000002</v>
      </c>
      <c r="M102">
        <v>1.6329990889999999</v>
      </c>
      <c r="N102">
        <v>1.389444007</v>
      </c>
      <c r="P102">
        <v>2.362836116</v>
      </c>
      <c r="S102">
        <v>-3.9025583000000003E-2</v>
      </c>
      <c r="T102">
        <v>0.38417729</v>
      </c>
      <c r="U102">
        <v>1.8490260000000001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1.7985113100000001</v>
      </c>
      <c r="AN102">
        <v>1.9422763080000001</v>
      </c>
      <c r="AR102">
        <v>0.18998918400000001</v>
      </c>
      <c r="AT102">
        <v>2.2697723540000001</v>
      </c>
      <c r="AU102">
        <v>1.046169957</v>
      </c>
    </row>
    <row r="103" spans="1:47" x14ac:dyDescent="0.2">
      <c r="A103" t="s">
        <v>167</v>
      </c>
      <c r="B103" s="74">
        <v>26573</v>
      </c>
      <c r="D103">
        <v>-0.50636859000000001</v>
      </c>
      <c r="E103">
        <v>1.352706757</v>
      </c>
      <c r="F103">
        <v>1.448760528</v>
      </c>
      <c r="H103">
        <v>0.27873783899999999</v>
      </c>
      <c r="I103">
        <v>0.841034422</v>
      </c>
      <c r="M103">
        <v>2.335604225</v>
      </c>
      <c r="N103">
        <v>1.2786778160000001</v>
      </c>
      <c r="P103">
        <v>2.1968839760000001</v>
      </c>
      <c r="S103">
        <v>2.143043783</v>
      </c>
      <c r="T103">
        <v>0.88796016099999997</v>
      </c>
      <c r="U103">
        <v>1.2408520000000001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1.2833584629999999</v>
      </c>
      <c r="AN103">
        <v>4.9003837710000004</v>
      </c>
      <c r="AR103">
        <v>2.848964976</v>
      </c>
      <c r="AT103">
        <v>0.944381888</v>
      </c>
      <c r="AU103">
        <v>6.1773481999999998E-2</v>
      </c>
    </row>
    <row r="104" spans="1:47" x14ac:dyDescent="0.2">
      <c r="A104" t="s">
        <v>168</v>
      </c>
      <c r="B104" s="74">
        <v>26665</v>
      </c>
      <c r="D104">
        <v>1.055835554</v>
      </c>
      <c r="E104">
        <v>4.5113120770000004</v>
      </c>
      <c r="F104">
        <v>1.593273827</v>
      </c>
      <c r="H104">
        <v>2.3693876829999998</v>
      </c>
      <c r="I104">
        <v>1.765425625</v>
      </c>
      <c r="M104">
        <v>1.5538962949999999</v>
      </c>
      <c r="N104">
        <v>1.171983819</v>
      </c>
      <c r="P104">
        <v>1.981024409</v>
      </c>
      <c r="S104">
        <v>2.0660122049999998</v>
      </c>
      <c r="T104">
        <v>1.6602363849999999</v>
      </c>
      <c r="U104">
        <v>1.7092810000000001</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1.757544193</v>
      </c>
      <c r="AN104">
        <v>0.54074560800000004</v>
      </c>
      <c r="AR104">
        <v>1.704581047</v>
      </c>
      <c r="AT104">
        <v>1.674458738</v>
      </c>
      <c r="AU104">
        <v>1.770998777</v>
      </c>
    </row>
    <row r="105" spans="1:47" x14ac:dyDescent="0.2">
      <c r="A105" t="s">
        <v>169</v>
      </c>
      <c r="B105" s="74">
        <v>26755</v>
      </c>
      <c r="D105">
        <v>2.582625234</v>
      </c>
      <c r="E105">
        <v>-1.4171313780000001</v>
      </c>
      <c r="F105">
        <v>1.5577433709999999</v>
      </c>
      <c r="H105">
        <v>2.6113278599999998</v>
      </c>
      <c r="I105">
        <v>0.49811061499999998</v>
      </c>
      <c r="M105">
        <v>1.3827236789999999</v>
      </c>
      <c r="N105">
        <v>1.0688894609999999</v>
      </c>
      <c r="P105">
        <v>1.8406547520000001</v>
      </c>
      <c r="S105">
        <v>3.574796133</v>
      </c>
      <c r="T105">
        <v>1.99228223</v>
      </c>
      <c r="U105">
        <v>2.5213589999999999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2.330348426</v>
      </c>
      <c r="AN105">
        <v>3.9965673129999999</v>
      </c>
      <c r="AR105">
        <v>0.66499909599999996</v>
      </c>
      <c r="AT105">
        <v>2.4748063770000002</v>
      </c>
      <c r="AU105">
        <v>1.289677636</v>
      </c>
    </row>
    <row r="106" spans="1:47" x14ac:dyDescent="0.2">
      <c r="A106" t="s">
        <v>170</v>
      </c>
      <c r="B106" s="74">
        <v>26846</v>
      </c>
      <c r="D106">
        <v>0.19335587800000001</v>
      </c>
      <c r="E106">
        <v>2.047167789</v>
      </c>
      <c r="F106">
        <v>1.5190713199999999</v>
      </c>
      <c r="H106">
        <v>1.084605289</v>
      </c>
      <c r="I106">
        <v>-8.7897062999999998E-2</v>
      </c>
      <c r="M106">
        <v>0.73887746200000004</v>
      </c>
      <c r="N106">
        <v>0.68814978699999996</v>
      </c>
      <c r="P106">
        <v>1.782785541</v>
      </c>
      <c r="S106">
        <v>-3.086633172</v>
      </c>
      <c r="T106">
        <v>1.0803821689999999</v>
      </c>
      <c r="U106">
        <v>1.0806800000000001</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1.1021922200000001</v>
      </c>
      <c r="AN106">
        <v>2.1144615230000001</v>
      </c>
      <c r="AR106">
        <v>3.6354188000000003E-2</v>
      </c>
      <c r="AT106">
        <v>1.0886625299999999</v>
      </c>
      <c r="AU106">
        <v>-0.44474834099999999</v>
      </c>
    </row>
    <row r="107" spans="1:47" x14ac:dyDescent="0.2">
      <c r="A107" t="s">
        <v>171</v>
      </c>
      <c r="B107" s="74">
        <v>26938</v>
      </c>
      <c r="D107">
        <v>1.009387061</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0.104864</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0.366864366</v>
      </c>
      <c r="AN107">
        <v>2.9849937820000001</v>
      </c>
      <c r="AR107">
        <v>0.78153996599999997</v>
      </c>
      <c r="AT107">
        <v>-0.52589853600000003</v>
      </c>
      <c r="AU107">
        <v>2.892126309</v>
      </c>
    </row>
    <row r="108" spans="1:47" x14ac:dyDescent="0.2">
      <c r="A108" t="s">
        <v>172</v>
      </c>
      <c r="B108" s="74">
        <v>27030</v>
      </c>
      <c r="D108">
        <v>2.49314013</v>
      </c>
      <c r="E108">
        <v>2.1149166660000001</v>
      </c>
      <c r="F108">
        <v>1.324668226</v>
      </c>
      <c r="H108">
        <v>1.8688244270000001</v>
      </c>
      <c r="I108">
        <v>1.762754546</v>
      </c>
      <c r="M108">
        <v>0.24886881999999999</v>
      </c>
      <c r="N108">
        <v>-5.0231497E-2</v>
      </c>
      <c r="P108">
        <v>1.6454251470000001</v>
      </c>
      <c r="S108">
        <v>1.8793849579999999</v>
      </c>
      <c r="T108">
        <v>1.2783191350000001</v>
      </c>
      <c r="U108">
        <v>0.97201300000000002</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1.1355944060000001</v>
      </c>
      <c r="AN108">
        <v>1.5937907609999999</v>
      </c>
      <c r="AR108">
        <v>1.3654840109999999</v>
      </c>
      <c r="AT108">
        <v>0.94921604299999995</v>
      </c>
      <c r="AU108">
        <v>1.9262149900000001</v>
      </c>
    </row>
    <row r="109" spans="1:47" x14ac:dyDescent="0.2">
      <c r="A109" t="s">
        <v>173</v>
      </c>
      <c r="B109" s="74">
        <v>27120</v>
      </c>
      <c r="D109">
        <v>1.7643448999999999E-2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-0.84923899999999997</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-0.44112219899999999</v>
      </c>
      <c r="AN109">
        <v>0.54724524399999996</v>
      </c>
      <c r="AR109">
        <v>-0.53207444400000004</v>
      </c>
      <c r="AT109">
        <v>-0.85977257399999996</v>
      </c>
      <c r="AU109">
        <v>1.868574967</v>
      </c>
    </row>
    <row r="110" spans="1:47" x14ac:dyDescent="0.2">
      <c r="A110" t="s">
        <v>174</v>
      </c>
      <c r="B110" s="74">
        <v>27211</v>
      </c>
      <c r="D110">
        <v>-2.0240368759999998</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0.484267</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0.46312513799999999</v>
      </c>
      <c r="AN110">
        <v>-2.0335644780000002</v>
      </c>
      <c r="AR110">
        <v>1.7026330110000001</v>
      </c>
      <c r="AT110">
        <v>0.237683227</v>
      </c>
      <c r="AU110">
        <v>1.3744174680000001</v>
      </c>
    </row>
    <row r="111" spans="1:47" x14ac:dyDescent="0.2">
      <c r="A111" t="s">
        <v>175</v>
      </c>
      <c r="B111" s="74">
        <v>27303</v>
      </c>
      <c r="D111">
        <v>1.192228206</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-7.9816999999999999E-2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2.0622479999999999E-2</v>
      </c>
      <c r="AN111">
        <v>-1.6588354460000001</v>
      </c>
      <c r="AR111">
        <v>1.4086702120000001</v>
      </c>
      <c r="AT111">
        <v>-0.94514277800000002</v>
      </c>
      <c r="AU111">
        <v>1.1325671960000001</v>
      </c>
    </row>
    <row r="112" spans="1:47" x14ac:dyDescent="0.2">
      <c r="A112" t="s">
        <v>176</v>
      </c>
      <c r="B112" s="74">
        <v>27395</v>
      </c>
      <c r="D112">
        <v>9.6699080000000007E-2</v>
      </c>
      <c r="E112">
        <v>-1.2241990140000001</v>
      </c>
      <c r="F112">
        <v>-1.000723354</v>
      </c>
      <c r="H112">
        <v>-0.46383703399999998</v>
      </c>
      <c r="I112">
        <v>-3.5727122420000001</v>
      </c>
      <c r="M112">
        <v>-1.262707459</v>
      </c>
      <c r="N112">
        <v>-0.64142359800000004</v>
      </c>
      <c r="P112">
        <v>6.6164419000000002E-2</v>
      </c>
      <c r="S112">
        <v>2.3032177000000001E-2</v>
      </c>
      <c r="T112">
        <v>-1.510183316</v>
      </c>
      <c r="U112">
        <v>-0.84926599999999997</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-0.61100894299999997</v>
      </c>
      <c r="AN112">
        <v>-0.77274609400000005</v>
      </c>
      <c r="AR112">
        <v>1.3609915239999999</v>
      </c>
      <c r="AT112">
        <v>-0.38814078299999999</v>
      </c>
      <c r="AU112">
        <v>-0.943914052</v>
      </c>
    </row>
    <row r="113" spans="1:47" x14ac:dyDescent="0.2">
      <c r="A113" t="s">
        <v>177</v>
      </c>
      <c r="B113" s="74">
        <v>27485</v>
      </c>
      <c r="D113">
        <v>0.39492395200000002</v>
      </c>
      <c r="E113">
        <v>0.13912638999999999</v>
      </c>
      <c r="F113">
        <v>-1.0001485539999999</v>
      </c>
      <c r="H113">
        <v>-0.628394126</v>
      </c>
      <c r="I113">
        <v>-2.1271308580000001</v>
      </c>
      <c r="M113">
        <v>-0.57700535100000006</v>
      </c>
      <c r="N113">
        <v>-0.71904517800000001</v>
      </c>
      <c r="P113">
        <v>-0.501915997</v>
      </c>
      <c r="S113">
        <v>1.603501804</v>
      </c>
      <c r="T113">
        <v>-0.44990402000000002</v>
      </c>
      <c r="U113">
        <v>-0.78040299999999996</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-0.51922658700000002</v>
      </c>
      <c r="AN113">
        <v>-1.987540613</v>
      </c>
      <c r="AR113">
        <v>0.63873113599999998</v>
      </c>
      <c r="AT113">
        <v>-1.217285876</v>
      </c>
      <c r="AU113">
        <v>-0.40046615200000002</v>
      </c>
    </row>
    <row r="114" spans="1:47" x14ac:dyDescent="0.2">
      <c r="A114" t="s">
        <v>178</v>
      </c>
      <c r="B114" s="74">
        <v>27576</v>
      </c>
      <c r="D114">
        <v>3.1585105809999998</v>
      </c>
      <c r="E114">
        <v>-1.0301836419999999</v>
      </c>
      <c r="F114">
        <v>-1.0047068079999999</v>
      </c>
      <c r="H114">
        <v>1.299640149</v>
      </c>
      <c r="I114">
        <v>-1.071446707</v>
      </c>
      <c r="M114">
        <v>-0.50195451499999999</v>
      </c>
      <c r="N114">
        <v>9.2145803999999998E-2</v>
      </c>
      <c r="P114">
        <v>-8.3067768E-2</v>
      </c>
      <c r="S114">
        <v>-0.71006589399999998</v>
      </c>
      <c r="T114">
        <v>0.25275012200000002</v>
      </c>
      <c r="U114">
        <v>0.51833700000000005</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0.53594633999999997</v>
      </c>
      <c r="AN114">
        <v>-1.4921001439999999</v>
      </c>
      <c r="AR114">
        <v>-1.1544527529999999</v>
      </c>
      <c r="AT114">
        <v>0.71453621599999995</v>
      </c>
      <c r="AU114">
        <v>1.723782844</v>
      </c>
    </row>
    <row r="115" spans="1:47" x14ac:dyDescent="0.2">
      <c r="A115" t="s">
        <v>179</v>
      </c>
      <c r="B115" s="74">
        <v>27668</v>
      </c>
      <c r="D115">
        <v>-1.095473337</v>
      </c>
      <c r="E115">
        <v>0.96033855099999998</v>
      </c>
      <c r="F115">
        <v>0.50786645900000005</v>
      </c>
      <c r="H115">
        <v>1.877954578</v>
      </c>
      <c r="I115">
        <v>-1.1369469249999999</v>
      </c>
      <c r="M115">
        <v>1.087808729</v>
      </c>
      <c r="N115">
        <v>0.90769125399999995</v>
      </c>
      <c r="P115">
        <v>0.436846242</v>
      </c>
      <c r="S115">
        <v>-0.91538417500000002</v>
      </c>
      <c r="T115">
        <v>0.38735227999999999</v>
      </c>
      <c r="U115">
        <v>1.2490810000000001</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1.09822248</v>
      </c>
      <c r="AN115">
        <v>0.10498070700000001</v>
      </c>
      <c r="AR115">
        <v>0.91162099699999999</v>
      </c>
      <c r="AT115">
        <v>1.7116519670000001</v>
      </c>
      <c r="AU115">
        <v>0.80066534600000006</v>
      </c>
    </row>
    <row r="116" spans="1:47" x14ac:dyDescent="0.2">
      <c r="A116" t="s">
        <v>180</v>
      </c>
      <c r="B116" s="74">
        <v>27760</v>
      </c>
      <c r="D116">
        <v>-1.5127736949999999</v>
      </c>
      <c r="E116">
        <v>2.3762622449999999</v>
      </c>
      <c r="F116">
        <v>2.127560608</v>
      </c>
      <c r="H116">
        <v>1.1664848240000001</v>
      </c>
      <c r="I116">
        <v>-0.71389631600000003</v>
      </c>
      <c r="M116">
        <v>1.965054968</v>
      </c>
      <c r="N116">
        <v>1.707836474</v>
      </c>
      <c r="P116">
        <v>0.70283693300000005</v>
      </c>
      <c r="S116">
        <v>-0.97003291199999997</v>
      </c>
      <c r="T116">
        <v>1.350335463</v>
      </c>
      <c r="U116">
        <v>1.3355239999999999</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1.371494915</v>
      </c>
      <c r="AN116">
        <v>2.344304561</v>
      </c>
      <c r="AR116">
        <v>1.2766893070000001</v>
      </c>
      <c r="AT116">
        <v>1.346524152</v>
      </c>
      <c r="AU116">
        <v>0.82446640900000001</v>
      </c>
    </row>
    <row r="117" spans="1:47" x14ac:dyDescent="0.2">
      <c r="A117" t="s">
        <v>181</v>
      </c>
      <c r="B117" s="74">
        <v>27851</v>
      </c>
      <c r="D117">
        <v>4.4188059720000004</v>
      </c>
      <c r="E117">
        <v>-0.36383930399999997</v>
      </c>
      <c r="F117">
        <v>2.0742985489999999</v>
      </c>
      <c r="H117">
        <v>1.7328394620000001</v>
      </c>
      <c r="I117">
        <v>-8.8898186000000004E-2</v>
      </c>
      <c r="M117">
        <v>0.89850334099999996</v>
      </c>
      <c r="N117">
        <v>2.4738965089999998</v>
      </c>
      <c r="P117">
        <v>0.99384265900000002</v>
      </c>
      <c r="S117">
        <v>0.373156084</v>
      </c>
      <c r="T117">
        <v>1.467728516</v>
      </c>
      <c r="U117">
        <v>1.68791</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1.638346299</v>
      </c>
      <c r="AN117">
        <v>2.4043695430000001</v>
      </c>
      <c r="AR117">
        <v>-1.6661947100000001</v>
      </c>
      <c r="AT117">
        <v>2.2487601210000001</v>
      </c>
      <c r="AU117">
        <v>1.314343738</v>
      </c>
    </row>
    <row r="118" spans="1:47" x14ac:dyDescent="0.2">
      <c r="A118" t="s">
        <v>182</v>
      </c>
      <c r="B118" s="74">
        <v>27942</v>
      </c>
      <c r="D118">
        <v>0.31107622099999999</v>
      </c>
      <c r="E118">
        <v>1.8459804909999999</v>
      </c>
      <c r="F118">
        <v>2.0191180989999999</v>
      </c>
      <c r="H118">
        <v>2.1638039610000002</v>
      </c>
      <c r="I118">
        <v>0.512927876</v>
      </c>
      <c r="M118">
        <v>1.4855149990000001</v>
      </c>
      <c r="N118">
        <v>1.8102854150000001</v>
      </c>
      <c r="P118">
        <v>1.154238868</v>
      </c>
      <c r="S118">
        <v>0.53441765900000004</v>
      </c>
      <c r="T118">
        <v>1.192260978</v>
      </c>
      <c r="U118">
        <v>0.92113100000000003</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1.025271923</v>
      </c>
      <c r="AN118">
        <v>2.4879701220000001</v>
      </c>
      <c r="AR118">
        <v>1.766900116</v>
      </c>
      <c r="AT118">
        <v>0.73370057700000002</v>
      </c>
      <c r="AU118">
        <v>-1.995152109</v>
      </c>
    </row>
    <row r="119" spans="1:47" x14ac:dyDescent="0.2">
      <c r="A119" t="s">
        <v>183</v>
      </c>
      <c r="B119" s="74">
        <v>28034</v>
      </c>
      <c r="D119">
        <v>0.80965441599999999</v>
      </c>
      <c r="E119">
        <v>2.2955401480000002</v>
      </c>
      <c r="F119">
        <v>0.87367084800000006</v>
      </c>
      <c r="H119">
        <v>0.44534407500000001</v>
      </c>
      <c r="I119">
        <v>1.6585086440000001</v>
      </c>
      <c r="M119">
        <v>2.9868819000000001E-2</v>
      </c>
      <c r="N119">
        <v>1.184947516</v>
      </c>
      <c r="P119">
        <v>0.96990798300000003</v>
      </c>
      <c r="S119">
        <v>1.1151557169999999</v>
      </c>
      <c r="T119">
        <v>0.472915631</v>
      </c>
      <c r="U119">
        <v>0.82491899999999996</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0.88600142999999998</v>
      </c>
      <c r="AN119">
        <v>0.46368765099999998</v>
      </c>
      <c r="AR119">
        <v>-0.54132572499999998</v>
      </c>
      <c r="AT119">
        <v>0.54870576400000004</v>
      </c>
      <c r="AU119">
        <v>2.3792481489999999</v>
      </c>
    </row>
    <row r="120" spans="1:47" x14ac:dyDescent="0.2">
      <c r="A120" t="s">
        <v>184</v>
      </c>
      <c r="B120" s="74">
        <v>28126</v>
      </c>
      <c r="D120">
        <v>0.86844854599999999</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0.98623400000000006</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0.95056219200000003</v>
      </c>
      <c r="AN120">
        <v>3.207685852</v>
      </c>
      <c r="AR120">
        <v>-0.46299633200000001</v>
      </c>
      <c r="AT120">
        <v>0.72485097799999998</v>
      </c>
      <c r="AU120">
        <v>-0.73083682400000005</v>
      </c>
    </row>
    <row r="121" spans="1:47" x14ac:dyDescent="0.2">
      <c r="A121" t="s">
        <v>185</v>
      </c>
      <c r="B121" s="74">
        <v>28216</v>
      </c>
      <c r="D121">
        <v>-0.54305216899999997</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1.1091169999999999</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0.91046836799999997</v>
      </c>
      <c r="AN121">
        <v>0.92198202600000001</v>
      </c>
      <c r="AR121">
        <v>-2.0328634829999999</v>
      </c>
      <c r="AT121">
        <v>1.181483598</v>
      </c>
      <c r="AU121">
        <v>-0.21838829300000001</v>
      </c>
    </row>
    <row r="122" spans="1:47" x14ac:dyDescent="0.2">
      <c r="A122" t="s">
        <v>186</v>
      </c>
      <c r="B122" s="74">
        <v>28307</v>
      </c>
      <c r="D122">
        <v>1.4174754469999999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0.97458999999999996</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0.87290783999999999</v>
      </c>
      <c r="AN122">
        <v>0.889026235</v>
      </c>
      <c r="AR122">
        <v>1.010680614</v>
      </c>
      <c r="AT122">
        <v>1.944113078</v>
      </c>
      <c r="AU122">
        <v>9.6063880000000004E-2</v>
      </c>
    </row>
    <row r="123" spans="1:47" x14ac:dyDescent="0.2">
      <c r="A123" t="s">
        <v>187</v>
      </c>
      <c r="B123" s="74">
        <v>28399</v>
      </c>
      <c r="D123">
        <v>-0.427143204</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0.92666000000000004</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0.92144418500000003</v>
      </c>
      <c r="AN123">
        <v>1.0040164789999999</v>
      </c>
      <c r="AR123">
        <v>0.14307584200000001</v>
      </c>
      <c r="AT123">
        <v>1.8043558989999999</v>
      </c>
      <c r="AU123">
        <v>-0.385872981</v>
      </c>
    </row>
    <row r="124" spans="1:47" x14ac:dyDescent="0.2">
      <c r="A124" t="s">
        <v>188</v>
      </c>
      <c r="B124" s="74">
        <v>28491</v>
      </c>
      <c r="D124">
        <v>-0.31940416100000002</v>
      </c>
      <c r="E124">
        <v>2.305531958</v>
      </c>
      <c r="F124">
        <v>0.94035917000000002</v>
      </c>
      <c r="H124">
        <v>1.58111274</v>
      </c>
      <c r="I124">
        <v>-6.2869357000000001E-2</v>
      </c>
      <c r="M124">
        <v>1.7206367010000001</v>
      </c>
      <c r="N124">
        <v>-0.90590735499999997</v>
      </c>
      <c r="P124">
        <v>0.66805372699999999</v>
      </c>
      <c r="S124">
        <v>-0.233206302</v>
      </c>
      <c r="T124">
        <v>0.22825248200000001</v>
      </c>
      <c r="U124">
        <v>0.71150400000000003</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0.81660253299999996</v>
      </c>
      <c r="AN124">
        <v>0.70294707499999998</v>
      </c>
      <c r="AR124">
        <v>-0.59186844299999997</v>
      </c>
      <c r="AT124">
        <v>2.1857719999999999E-3</v>
      </c>
      <c r="AU124">
        <v>0.51350619099999995</v>
      </c>
    </row>
    <row r="125" spans="1:47" x14ac:dyDescent="0.2">
      <c r="A125" t="s">
        <v>189</v>
      </c>
      <c r="B125" s="74">
        <v>28581</v>
      </c>
      <c r="D125">
        <v>0.70910775999999998</v>
      </c>
      <c r="E125">
        <v>-4.375787184</v>
      </c>
      <c r="F125">
        <v>0.92598360999999996</v>
      </c>
      <c r="H125">
        <v>0.84085302699999998</v>
      </c>
      <c r="I125">
        <v>-1.2581782E-2</v>
      </c>
      <c r="M125">
        <v>0.41211537799999998</v>
      </c>
      <c r="N125">
        <v>-1.9078177039999999</v>
      </c>
      <c r="P125">
        <v>0.62425307600000002</v>
      </c>
      <c r="S125">
        <v>1.083238312</v>
      </c>
      <c r="T125">
        <v>1.389138596</v>
      </c>
      <c r="U125">
        <v>0.832982</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0.80620166800000004</v>
      </c>
      <c r="AN125">
        <v>0.48131377400000003</v>
      </c>
      <c r="AR125">
        <v>1.6226280049999999</v>
      </c>
      <c r="AT125">
        <v>0.31916324099999999</v>
      </c>
      <c r="AU125">
        <v>1.6443371369999999</v>
      </c>
    </row>
    <row r="126" spans="1:47" x14ac:dyDescent="0.2">
      <c r="A126" t="s">
        <v>190</v>
      </c>
      <c r="B126" s="74">
        <v>28672</v>
      </c>
      <c r="D126">
        <v>0.82253738200000004</v>
      </c>
      <c r="E126">
        <v>1.884672549</v>
      </c>
      <c r="F126">
        <v>0.90815840400000003</v>
      </c>
      <c r="H126">
        <v>0.68599647799999997</v>
      </c>
      <c r="I126">
        <v>0.22650056700000001</v>
      </c>
      <c r="M126">
        <v>0.39638214900000002</v>
      </c>
      <c r="N126">
        <v>2.178223156</v>
      </c>
      <c r="P126">
        <v>0.202601685</v>
      </c>
      <c r="S126">
        <v>0.70501974099999998</v>
      </c>
      <c r="T126">
        <v>1.662617478</v>
      </c>
      <c r="U126">
        <v>2.2777910000000001</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1.9790619199999999</v>
      </c>
      <c r="AN126">
        <v>0.47728099200000002</v>
      </c>
      <c r="AR126">
        <v>1.5578885659999999</v>
      </c>
      <c r="AT126">
        <v>3.8642701879999999</v>
      </c>
      <c r="AU126">
        <v>1.932724731</v>
      </c>
    </row>
    <row r="127" spans="1:47" x14ac:dyDescent="0.2">
      <c r="A127" t="s">
        <v>191</v>
      </c>
      <c r="B127" s="74">
        <v>28764</v>
      </c>
      <c r="D127">
        <v>1.520565489</v>
      </c>
      <c r="E127">
        <v>0.65760703600000003</v>
      </c>
      <c r="F127">
        <v>0.64427288100000002</v>
      </c>
      <c r="H127">
        <v>0.95450935199999998</v>
      </c>
      <c r="I127">
        <v>3.5153798E-2</v>
      </c>
      <c r="M127">
        <v>1.311340647</v>
      </c>
      <c r="N127">
        <v>1.6222253339999999</v>
      </c>
      <c r="P127">
        <v>-0.122709652</v>
      </c>
      <c r="S127">
        <v>0.43685242200000002</v>
      </c>
      <c r="T127">
        <v>-8.7958221000000003E-2</v>
      </c>
      <c r="U127">
        <v>0.98780299999999999</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0.902680331</v>
      </c>
      <c r="AN127">
        <v>0.53666714400000004</v>
      </c>
      <c r="AR127">
        <v>-2.0622517770000002</v>
      </c>
      <c r="AT127">
        <v>1.0055171270000001</v>
      </c>
      <c r="AU127">
        <v>-1.07584401</v>
      </c>
    </row>
    <row r="128" spans="1:47" x14ac:dyDescent="0.2">
      <c r="A128" t="s">
        <v>192</v>
      </c>
      <c r="B128" s="74">
        <v>28856</v>
      </c>
      <c r="D128">
        <v>0.82730453400000004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1.2582979999999999</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1.316672837</v>
      </c>
      <c r="AN128">
        <v>1.7168464240000001</v>
      </c>
      <c r="AR128">
        <v>1.628870517</v>
      </c>
      <c r="AT128">
        <v>1.3441430640000001</v>
      </c>
      <c r="AU128">
        <v>0.91014468100000001</v>
      </c>
    </row>
    <row r="129" spans="1:47" x14ac:dyDescent="0.2">
      <c r="A129" t="s">
        <v>193</v>
      </c>
      <c r="B129" s="74">
        <v>28946</v>
      </c>
      <c r="D129">
        <v>2.7421974910000002</v>
      </c>
      <c r="E129">
        <v>2.316319435</v>
      </c>
      <c r="F129">
        <v>0.36028048299999998</v>
      </c>
      <c r="H129">
        <v>0.83195171499999998</v>
      </c>
      <c r="I129">
        <v>0.72512689699999999</v>
      </c>
      <c r="M129">
        <v>0.12365559600000001</v>
      </c>
      <c r="N129">
        <v>0.92283557900000002</v>
      </c>
      <c r="P129">
        <v>-0.159395973</v>
      </c>
      <c r="S129">
        <v>2.030235223</v>
      </c>
      <c r="T129">
        <v>0.86005500899999998</v>
      </c>
      <c r="U129">
        <v>0.52784500000000001</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0.58617431499999995</v>
      </c>
      <c r="AN129">
        <v>1.0636691620000001</v>
      </c>
      <c r="AR129">
        <v>2.0640182729999998</v>
      </c>
      <c r="AT129">
        <v>0.17978728799999999</v>
      </c>
      <c r="AU129">
        <v>1.7503628760000001</v>
      </c>
    </row>
    <row r="130" spans="1:47" x14ac:dyDescent="0.2">
      <c r="A130" t="s">
        <v>194</v>
      </c>
      <c r="B130" s="74">
        <v>29037</v>
      </c>
      <c r="D130">
        <v>-1.604634264</v>
      </c>
      <c r="E130">
        <v>1.2889998330000001</v>
      </c>
      <c r="F130">
        <v>0.354987306</v>
      </c>
      <c r="H130">
        <v>1.347063852</v>
      </c>
      <c r="I130">
        <v>0.56103070799999999</v>
      </c>
      <c r="M130">
        <v>3.10525348</v>
      </c>
      <c r="N130">
        <v>1.7372390040000001</v>
      </c>
      <c r="P130">
        <v>0.155449122</v>
      </c>
      <c r="S130">
        <v>2.3749665690000001</v>
      </c>
      <c r="T130">
        <v>0.95599237199999998</v>
      </c>
      <c r="U130">
        <v>1.248556</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1.2287622819999999</v>
      </c>
      <c r="AN130">
        <v>2.1268714360000001</v>
      </c>
      <c r="AR130">
        <v>1.6055902769999999</v>
      </c>
      <c r="AT130">
        <v>0.10691983100000001</v>
      </c>
      <c r="AU130">
        <v>0.64603035900000005</v>
      </c>
    </row>
    <row r="131" spans="1:47" x14ac:dyDescent="0.2">
      <c r="A131" t="s">
        <v>195</v>
      </c>
      <c r="B131" s="74">
        <v>29129</v>
      </c>
      <c r="D131">
        <v>0.93198493000000004</v>
      </c>
      <c r="E131">
        <v>0.87943579100000002</v>
      </c>
      <c r="F131">
        <v>0.95392155700000003</v>
      </c>
      <c r="H131">
        <v>0.69198433299999995</v>
      </c>
      <c r="I131">
        <v>0.94053173400000001</v>
      </c>
      <c r="M131">
        <v>7.5299999999999999E-6</v>
      </c>
      <c r="N131">
        <v>-0.667477188</v>
      </c>
      <c r="P131">
        <v>0.240502258</v>
      </c>
      <c r="S131">
        <v>0.856889075</v>
      </c>
      <c r="T131">
        <v>1.1430987610000001</v>
      </c>
      <c r="U131">
        <v>0.52190899999999996</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0.48452118700000002</v>
      </c>
      <c r="AN131">
        <v>1.3294397710000001</v>
      </c>
      <c r="AR131">
        <v>0.275914039</v>
      </c>
      <c r="AT131">
        <v>0.74287146800000003</v>
      </c>
      <c r="AU131">
        <v>0.74638480799999996</v>
      </c>
    </row>
    <row r="132" spans="1:47" x14ac:dyDescent="0.2">
      <c r="A132" t="s">
        <v>196</v>
      </c>
      <c r="B132" s="74">
        <v>29221</v>
      </c>
      <c r="D132">
        <v>1.928053655</v>
      </c>
      <c r="E132">
        <v>1.3288760820000001</v>
      </c>
      <c r="F132">
        <v>1.576811915</v>
      </c>
      <c r="H132">
        <v>0.665624679</v>
      </c>
      <c r="I132">
        <v>1.530936659</v>
      </c>
      <c r="M132">
        <v>0.61299334000000005</v>
      </c>
      <c r="N132">
        <v>0.50633795500000001</v>
      </c>
      <c r="P132">
        <v>0.35151836400000003</v>
      </c>
      <c r="S132">
        <v>1.196705175</v>
      </c>
      <c r="T132">
        <v>0.190206929</v>
      </c>
      <c r="U132">
        <v>0.56997299999999995</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0.67943419599999999</v>
      </c>
      <c r="AN132">
        <v>2.064941605</v>
      </c>
      <c r="AR132">
        <v>0.106838671</v>
      </c>
      <c r="AT132">
        <v>0.25007503399999997</v>
      </c>
      <c r="AU132">
        <v>2.0521557920000002</v>
      </c>
    </row>
    <row r="133" spans="1:47" x14ac:dyDescent="0.2">
      <c r="A133" t="s">
        <v>197</v>
      </c>
      <c r="B133" s="74">
        <v>29312</v>
      </c>
      <c r="D133">
        <v>0.449300792</v>
      </c>
      <c r="E133">
        <v>1.069759922</v>
      </c>
      <c r="F133">
        <v>3.7624554510000001</v>
      </c>
      <c r="H133">
        <v>0.70018943499999997</v>
      </c>
      <c r="I133">
        <v>2.042255624</v>
      </c>
      <c r="M133">
        <v>0.80123501900000005</v>
      </c>
      <c r="N133">
        <v>1.5309836509999999</v>
      </c>
      <c r="P133">
        <v>0.66963796600000003</v>
      </c>
      <c r="S133">
        <v>1.6740043</v>
      </c>
      <c r="T133">
        <v>1.1916132939999999</v>
      </c>
      <c r="U133">
        <v>0.33005400000000001</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0.58367490399999999</v>
      </c>
      <c r="AN133">
        <v>1.57446299</v>
      </c>
      <c r="AR133">
        <v>3.1278397259999999</v>
      </c>
      <c r="AT133">
        <v>0.31451907600000001</v>
      </c>
      <c r="AU133">
        <v>2.0544454669999999</v>
      </c>
    </row>
    <row r="134" spans="1:47" x14ac:dyDescent="0.2">
      <c r="A134" t="s">
        <v>198</v>
      </c>
      <c r="B134" s="74">
        <v>29403</v>
      </c>
      <c r="D134">
        <v>0.25871423700000001</v>
      </c>
      <c r="E134">
        <v>-1.0489995640000001</v>
      </c>
      <c r="F134">
        <v>-0.66623469800000001</v>
      </c>
      <c r="H134">
        <v>-3.1789498999999999E-2</v>
      </c>
      <c r="I134">
        <v>0.15542904299999999</v>
      </c>
      <c r="M134">
        <v>-0.64380221999999998</v>
      </c>
      <c r="N134">
        <v>-2.5489403209999999</v>
      </c>
      <c r="P134">
        <v>0.33990303500000002</v>
      </c>
      <c r="S134">
        <v>-0.46825436799999998</v>
      </c>
      <c r="T134">
        <v>-0.72792664100000004</v>
      </c>
      <c r="U134">
        <v>-1.2099310000000001</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-1.067234775</v>
      </c>
      <c r="AN134">
        <v>-2.6077098E-2</v>
      </c>
      <c r="AR134">
        <v>-4.7673214609999999</v>
      </c>
      <c r="AT134">
        <v>-2.0604721640000001</v>
      </c>
      <c r="AU134">
        <v>1.901048713</v>
      </c>
    </row>
    <row r="135" spans="1:47" x14ac:dyDescent="0.2">
      <c r="A135" t="s">
        <v>199</v>
      </c>
      <c r="B135" s="74">
        <v>29495</v>
      </c>
      <c r="D135">
        <v>0.53325237800000003</v>
      </c>
      <c r="E135">
        <v>0.52110801200000001</v>
      </c>
      <c r="F135">
        <v>-0.97938113000000004</v>
      </c>
      <c r="H135">
        <v>-0.114812067</v>
      </c>
      <c r="I135">
        <v>0.50956480900000001</v>
      </c>
      <c r="M135">
        <v>-0.39672236799999999</v>
      </c>
      <c r="N135">
        <v>-1.327637339</v>
      </c>
      <c r="P135">
        <v>-0.39652320099999999</v>
      </c>
      <c r="S135">
        <v>4.9878591659999998</v>
      </c>
      <c r="T135">
        <v>0.15768417100000001</v>
      </c>
      <c r="U135">
        <v>0.26225399999999999</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0.30573069200000003</v>
      </c>
      <c r="AN135">
        <v>-0.342024614</v>
      </c>
      <c r="AR135">
        <v>3.7966277829999999</v>
      </c>
      <c r="AT135">
        <v>-0.118847117</v>
      </c>
      <c r="AU135">
        <v>1.7120136889999999</v>
      </c>
    </row>
    <row r="136" spans="1:47" x14ac:dyDescent="0.2">
      <c r="A136" t="s">
        <v>200</v>
      </c>
      <c r="B136" s="74">
        <v>29587</v>
      </c>
      <c r="D136">
        <v>1.7179694219999999</v>
      </c>
      <c r="E136">
        <v>5.5054767999999997E-2</v>
      </c>
      <c r="F136">
        <v>-0.20455512000000001</v>
      </c>
      <c r="H136">
        <v>1.3801630920000001</v>
      </c>
      <c r="I136">
        <v>0.57818094399999997</v>
      </c>
      <c r="M136">
        <v>-0.13276000600000001</v>
      </c>
      <c r="N136">
        <v>0.63582023099999996</v>
      </c>
      <c r="P136">
        <v>0.58001581899999999</v>
      </c>
      <c r="S136">
        <v>-2.7175484239999999</v>
      </c>
      <c r="T136">
        <v>-0.19619894299999999</v>
      </c>
      <c r="U136">
        <v>1.1584730000000001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1.16065409</v>
      </c>
      <c r="AN136">
        <v>1.670542679</v>
      </c>
      <c r="AR136">
        <v>-1.9569952660000001</v>
      </c>
      <c r="AT136">
        <v>1.864925605</v>
      </c>
      <c r="AU136">
        <v>0.22477212999999999</v>
      </c>
    </row>
    <row r="137" spans="1:47" x14ac:dyDescent="0.2">
      <c r="A137" t="s">
        <v>201</v>
      </c>
      <c r="B137" s="74">
        <v>29677</v>
      </c>
      <c r="D137">
        <v>0.39109894899999997</v>
      </c>
      <c r="E137">
        <v>-0.69262949799999995</v>
      </c>
      <c r="F137">
        <v>2.2401138000000001E-2</v>
      </c>
      <c r="H137">
        <v>2.2039555700000002</v>
      </c>
      <c r="I137">
        <v>-3.9375678999999997E-2</v>
      </c>
      <c r="M137">
        <v>1.1898664919999999</v>
      </c>
      <c r="N137">
        <v>0.15638675899999999</v>
      </c>
      <c r="P137">
        <v>-0.56618610700000005</v>
      </c>
      <c r="S137">
        <v>-0.188211986</v>
      </c>
      <c r="T137">
        <v>0.32106401499999998</v>
      </c>
      <c r="U137">
        <v>1.1591359999999999</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1.0473574189999999</v>
      </c>
      <c r="AN137">
        <v>0.44706863499999999</v>
      </c>
      <c r="AR137">
        <v>0.61416171600000002</v>
      </c>
      <c r="AT137">
        <v>1.959429461</v>
      </c>
      <c r="AU137">
        <v>1.242016816</v>
      </c>
    </row>
    <row r="138" spans="1:47" x14ac:dyDescent="0.2">
      <c r="A138" t="s">
        <v>202</v>
      </c>
      <c r="B138" s="74">
        <v>29768</v>
      </c>
      <c r="D138">
        <v>1.5403011170000001</v>
      </c>
      <c r="E138">
        <v>1.0063438549999999</v>
      </c>
      <c r="F138">
        <v>1.457925747</v>
      </c>
      <c r="H138">
        <v>1.123957546</v>
      </c>
      <c r="I138">
        <v>1.142981365</v>
      </c>
      <c r="M138">
        <v>-0.24963233100000001</v>
      </c>
      <c r="N138">
        <v>-0.73448136600000002</v>
      </c>
      <c r="P138">
        <v>-0.11071861700000001</v>
      </c>
      <c r="S138">
        <v>1.171099643</v>
      </c>
      <c r="T138">
        <v>0.69234848800000004</v>
      </c>
      <c r="U138">
        <v>-1.6567999999999999E-2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0.219251574</v>
      </c>
      <c r="AN138">
        <v>8.0633903000000007E-2</v>
      </c>
      <c r="AR138">
        <v>-6.2042613000000003E-2</v>
      </c>
      <c r="AT138">
        <v>-0.74106361300000001</v>
      </c>
      <c r="AU138">
        <v>2.1838548950000001</v>
      </c>
    </row>
    <row r="139" spans="1:47" x14ac:dyDescent="0.2">
      <c r="A139" t="s">
        <v>203</v>
      </c>
      <c r="B139" s="74">
        <v>29860</v>
      </c>
      <c r="D139">
        <v>2.021525799</v>
      </c>
      <c r="E139">
        <v>-6.9449232E-2</v>
      </c>
      <c r="F139">
        <v>-0.428832296</v>
      </c>
      <c r="H139">
        <v>-0.89775248900000004</v>
      </c>
      <c r="I139">
        <v>0.34731278199999999</v>
      </c>
      <c r="M139">
        <v>0.26343396200000002</v>
      </c>
      <c r="N139">
        <v>0.612585924</v>
      </c>
      <c r="P139">
        <v>0.444684894</v>
      </c>
      <c r="S139">
        <v>0.49538944499999998</v>
      </c>
      <c r="T139">
        <v>0.65907698400000003</v>
      </c>
      <c r="U139">
        <v>0.61137799999999998</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0.64070008499999997</v>
      </c>
      <c r="AN139">
        <v>-0.171095832</v>
      </c>
      <c r="AR139">
        <v>0.76728678100000003</v>
      </c>
      <c r="AT139">
        <v>1.19752521</v>
      </c>
      <c r="AU139">
        <v>1.455404361</v>
      </c>
    </row>
    <row r="140" spans="1:47" x14ac:dyDescent="0.2">
      <c r="A140" t="s">
        <v>204</v>
      </c>
      <c r="B140" s="74">
        <v>29952</v>
      </c>
      <c r="D140">
        <v>-0.41019467199999998</v>
      </c>
      <c r="E140">
        <v>-0.63144810500000004</v>
      </c>
      <c r="F140">
        <v>0.267780554</v>
      </c>
      <c r="H140">
        <v>-0.45782277500000002</v>
      </c>
      <c r="I140">
        <v>-0.375179808</v>
      </c>
      <c r="M140">
        <v>-7.8831450999999997E-2</v>
      </c>
      <c r="N140">
        <v>0.18666042699999999</v>
      </c>
      <c r="P140">
        <v>-9.9841043000000004E-2</v>
      </c>
      <c r="S140">
        <v>0.39533408199999998</v>
      </c>
      <c r="T140">
        <v>0.58847860600000002</v>
      </c>
      <c r="U140">
        <v>-0.26054100000000002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-5.6974308000000001E-2</v>
      </c>
      <c r="AN140">
        <v>0.48661910800000002</v>
      </c>
      <c r="AR140">
        <v>-1.122507363</v>
      </c>
      <c r="AT140">
        <v>-1.0895640870000001</v>
      </c>
      <c r="AU140">
        <v>0.62388485199999999</v>
      </c>
    </row>
    <row r="141" spans="1:47" x14ac:dyDescent="0.2">
      <c r="A141" t="s">
        <v>205</v>
      </c>
      <c r="B141" s="74">
        <v>30042</v>
      </c>
      <c r="D141">
        <v>-0.80258222099999998</v>
      </c>
      <c r="E141">
        <v>2.0282792930000002</v>
      </c>
      <c r="F141">
        <v>0.13352377500000001</v>
      </c>
      <c r="H141">
        <v>-1.1764108740000001</v>
      </c>
      <c r="I141">
        <v>-0.69222739200000005</v>
      </c>
      <c r="M141">
        <v>0.37467052000000001</v>
      </c>
      <c r="N141">
        <v>1.317726467</v>
      </c>
      <c r="P141">
        <v>0.41159839599999998</v>
      </c>
      <c r="S141">
        <v>0.62226543499999998</v>
      </c>
      <c r="T141">
        <v>0.83616188599999997</v>
      </c>
      <c r="U141">
        <v>-0.34365800000000002</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-0.29126877899999998</v>
      </c>
      <c r="AN141">
        <v>2.426235309</v>
      </c>
      <c r="AR141">
        <v>0.28403597800000002</v>
      </c>
      <c r="AT141">
        <v>-1.5535444789999999</v>
      </c>
      <c r="AU141">
        <v>-0.92637916399999998</v>
      </c>
    </row>
    <row r="142" spans="1:47" x14ac:dyDescent="0.2">
      <c r="A142" t="s">
        <v>206</v>
      </c>
      <c r="B142" s="74">
        <v>30133</v>
      </c>
      <c r="D142">
        <v>0.88445544399999998</v>
      </c>
      <c r="E142">
        <v>0.293478183</v>
      </c>
      <c r="F142">
        <v>0.26939992299999999</v>
      </c>
      <c r="H142">
        <v>-1.157146926</v>
      </c>
      <c r="I142">
        <v>-0.650736168</v>
      </c>
      <c r="M142">
        <v>-0.615593473</v>
      </c>
      <c r="N142">
        <v>1.182819965</v>
      </c>
      <c r="P142">
        <v>0.37978993700000002</v>
      </c>
      <c r="S142">
        <v>0.98560247400000001</v>
      </c>
      <c r="T142">
        <v>0.67782171999999996</v>
      </c>
      <c r="U142">
        <v>0.29666500000000001</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0.25077226000000002</v>
      </c>
      <c r="AN142">
        <v>-1.3446465839999999</v>
      </c>
      <c r="AR142">
        <v>2.1122900250000001</v>
      </c>
      <c r="AT142">
        <v>0.45619851500000003</v>
      </c>
      <c r="AU142">
        <v>-0.83441653000000005</v>
      </c>
    </row>
    <row r="143" spans="1:47" x14ac:dyDescent="0.2">
      <c r="A143" t="s">
        <v>207</v>
      </c>
      <c r="B143" s="74">
        <v>30225</v>
      </c>
      <c r="D143">
        <v>-0.65441277200000003</v>
      </c>
      <c r="E143">
        <v>-6.7676746999999995E-2</v>
      </c>
      <c r="F143">
        <v>0.112673273</v>
      </c>
      <c r="H143">
        <v>-0.876514444</v>
      </c>
      <c r="I143">
        <v>-0.52792183800000003</v>
      </c>
      <c r="M143">
        <v>-0.98840377300000004</v>
      </c>
      <c r="N143">
        <v>1.0341163209999999</v>
      </c>
      <c r="P143">
        <v>0.67320738999999996</v>
      </c>
      <c r="S143">
        <v>1.0860204769999999</v>
      </c>
      <c r="T143">
        <v>-8.7011829999999995E-3</v>
      </c>
      <c r="U143">
        <v>-0.23183500000000001</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-0.15162494800000001</v>
      </c>
      <c r="AN143">
        <v>0.459236425</v>
      </c>
      <c r="AR143">
        <v>-1.2414885840000001</v>
      </c>
      <c r="AT143">
        <v>-0.38229927400000002</v>
      </c>
      <c r="AU143">
        <v>-2.5570618999999999E-2</v>
      </c>
    </row>
    <row r="144" spans="1:47" x14ac:dyDescent="0.2">
      <c r="A144" t="s">
        <v>208</v>
      </c>
      <c r="B144" s="74">
        <v>30317</v>
      </c>
      <c r="D144">
        <v>-1.5957280119999999</v>
      </c>
      <c r="E144">
        <v>-0.174900526</v>
      </c>
      <c r="F144">
        <v>-0.63330101900000002</v>
      </c>
      <c r="H144">
        <v>-0.92262858599999997</v>
      </c>
      <c r="I144">
        <v>-0.30342340099999998</v>
      </c>
      <c r="M144">
        <v>0.239588883</v>
      </c>
      <c r="N144">
        <v>1.9956407999999998E-2</v>
      </c>
      <c r="P144">
        <v>0.35249598300000001</v>
      </c>
      <c r="S144">
        <v>1.2683988829999999</v>
      </c>
      <c r="T144">
        <v>0.59523273700000001</v>
      </c>
      <c r="U144">
        <v>0.321662</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0.20496188200000001</v>
      </c>
      <c r="AN144">
        <v>0.810506112</v>
      </c>
      <c r="AR144">
        <v>1.9483841639999999</v>
      </c>
      <c r="AT144">
        <v>3.9946273999999997E-2</v>
      </c>
      <c r="AU144">
        <v>-2.1140404610000001</v>
      </c>
    </row>
    <row r="145" spans="1:47" x14ac:dyDescent="0.2">
      <c r="A145" t="s">
        <v>209</v>
      </c>
      <c r="B145" s="74">
        <v>30407</v>
      </c>
      <c r="D145">
        <v>-0.98340817199999997</v>
      </c>
      <c r="E145">
        <v>1.213791378</v>
      </c>
      <c r="F145">
        <v>1.8049094000000002E-2</v>
      </c>
      <c r="H145">
        <v>1.6728054569999999</v>
      </c>
      <c r="I145">
        <v>0.82970354700000004</v>
      </c>
      <c r="M145">
        <v>0.90626954800000004</v>
      </c>
      <c r="N145">
        <v>0.51385369700000005</v>
      </c>
      <c r="P145">
        <v>0.36546309199999999</v>
      </c>
      <c r="S145">
        <v>0.116838809</v>
      </c>
      <c r="T145">
        <v>0.41624905899999998</v>
      </c>
      <c r="U145">
        <v>0.95001100000000005</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0.79726284999999997</v>
      </c>
      <c r="AN145">
        <v>0.92271629700000002</v>
      </c>
      <c r="AR145">
        <v>-1.1314152660000001</v>
      </c>
      <c r="AT145">
        <v>1.3178475759999999</v>
      </c>
      <c r="AU145">
        <v>-1.5434806599999999</v>
      </c>
    </row>
    <row r="146" spans="1:47" x14ac:dyDescent="0.2">
      <c r="A146" t="s">
        <v>210</v>
      </c>
      <c r="B146" s="74">
        <v>30498</v>
      </c>
      <c r="D146">
        <v>-0.20905564700000001</v>
      </c>
      <c r="E146">
        <v>1.3086015040000001</v>
      </c>
      <c r="F146">
        <v>4.7185122000000003E-2</v>
      </c>
      <c r="H146">
        <v>1.9654456259999999</v>
      </c>
      <c r="I146">
        <v>8.7824096000000004E-2</v>
      </c>
      <c r="M146">
        <v>1.0527775180000001</v>
      </c>
      <c r="N146">
        <v>1.6415189990000001</v>
      </c>
      <c r="P146">
        <v>0.61760959400000004</v>
      </c>
      <c r="S146">
        <v>1.050322099</v>
      </c>
      <c r="T146">
        <v>1.9902678E-2</v>
      </c>
      <c r="U146">
        <v>1.3617919999999999</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1.1055364059999999</v>
      </c>
      <c r="AN146">
        <v>-0.89468647800000001</v>
      </c>
      <c r="AR146">
        <v>0.78839974999999995</v>
      </c>
      <c r="AT146">
        <v>2.2756124390000001</v>
      </c>
      <c r="AU146">
        <v>0.41525426599999998</v>
      </c>
    </row>
    <row r="147" spans="1:47" x14ac:dyDescent="0.2">
      <c r="A147" t="s">
        <v>211</v>
      </c>
      <c r="B147" s="74">
        <v>30590</v>
      </c>
      <c r="D147">
        <v>2.811081889</v>
      </c>
      <c r="E147">
        <v>0.83842841899999998</v>
      </c>
      <c r="F147">
        <v>0.83463993199999997</v>
      </c>
      <c r="H147">
        <v>1.1183980069999999</v>
      </c>
      <c r="I147">
        <v>0.51767732399999999</v>
      </c>
      <c r="M147">
        <v>-0.20836780299999999</v>
      </c>
      <c r="N147">
        <v>-1.2903142649999999</v>
      </c>
      <c r="P147">
        <v>0.14706070399999999</v>
      </c>
      <c r="S147">
        <v>0.91929597600000001</v>
      </c>
      <c r="T147">
        <v>0.10325553599999999</v>
      </c>
      <c r="U147">
        <v>1.3776919999999999</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1.32165336</v>
      </c>
      <c r="AN147">
        <v>-1.500339839</v>
      </c>
      <c r="AR147">
        <v>1.1273302510000001</v>
      </c>
      <c r="AT147">
        <v>1.9990642940000001</v>
      </c>
      <c r="AU147">
        <v>1.152778503</v>
      </c>
    </row>
    <row r="148" spans="1:47" x14ac:dyDescent="0.2">
      <c r="A148" t="s">
        <v>212</v>
      </c>
      <c r="B148" s="74">
        <v>30682</v>
      </c>
      <c r="D148">
        <v>1.6539496039999999</v>
      </c>
      <c r="E148">
        <v>1.0135891370000001</v>
      </c>
      <c r="F148">
        <v>1.1173000399999999</v>
      </c>
      <c r="H148">
        <v>1.2601976669999999</v>
      </c>
      <c r="I148">
        <v>0.437203703</v>
      </c>
      <c r="M148">
        <v>1.383273921</v>
      </c>
      <c r="N148">
        <v>2.339343054</v>
      </c>
      <c r="P148">
        <v>0.64611691400000004</v>
      </c>
      <c r="S148">
        <v>-0.242607342</v>
      </c>
      <c r="T148">
        <v>0.61141100599999998</v>
      </c>
      <c r="U148">
        <v>1.5533189999999999</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1.436677494</v>
      </c>
      <c r="AN148">
        <v>-0.65249084899999998</v>
      </c>
      <c r="AR148">
        <v>2.014711165</v>
      </c>
      <c r="AT148">
        <v>2.0862174790000001</v>
      </c>
      <c r="AU148">
        <v>2.5363717960000001</v>
      </c>
    </row>
    <row r="149" spans="1:47" x14ac:dyDescent="0.2">
      <c r="A149" t="s">
        <v>213</v>
      </c>
      <c r="B149" s="74">
        <v>30773</v>
      </c>
      <c r="D149">
        <v>2.5090202609999999</v>
      </c>
      <c r="E149">
        <v>-1.3176037410000001</v>
      </c>
      <c r="F149">
        <v>0.40455643600000002</v>
      </c>
      <c r="H149">
        <v>1.7202980670000001</v>
      </c>
      <c r="I149">
        <v>1.0105954720000001</v>
      </c>
      <c r="M149">
        <v>1.3225726010000001</v>
      </c>
      <c r="N149">
        <v>1.298158981</v>
      </c>
      <c r="P149">
        <v>0.82720121800000002</v>
      </c>
      <c r="S149">
        <v>1.5784885049999999</v>
      </c>
      <c r="T149">
        <v>0.40917136199999998</v>
      </c>
      <c r="U149">
        <v>1.339429</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1.4325099100000001</v>
      </c>
      <c r="AN149">
        <v>-0.77061182900000003</v>
      </c>
      <c r="AR149">
        <v>2.2568758149999999</v>
      </c>
      <c r="AT149">
        <v>1.954770289</v>
      </c>
      <c r="AU149">
        <v>1.6967664849999999</v>
      </c>
    </row>
    <row r="150" spans="1:47" x14ac:dyDescent="0.2">
      <c r="A150" t="s">
        <v>214</v>
      </c>
      <c r="B150" s="74">
        <v>30864</v>
      </c>
      <c r="D150">
        <v>1.1504004139999999</v>
      </c>
      <c r="E150">
        <v>-0.705957587</v>
      </c>
      <c r="F150">
        <v>0.152870268</v>
      </c>
      <c r="H150">
        <v>1.9559213310000001</v>
      </c>
      <c r="I150">
        <v>0.52018415500000004</v>
      </c>
      <c r="M150">
        <v>-1.5752064020000001</v>
      </c>
      <c r="N150">
        <v>1.2678044989999999</v>
      </c>
      <c r="P150">
        <v>-0.30828467900000001</v>
      </c>
      <c r="S150">
        <v>0.13551971800000001</v>
      </c>
      <c r="T150">
        <v>0.41494398799999999</v>
      </c>
      <c r="U150">
        <v>0.89575700000000003</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0.67567494400000006</v>
      </c>
      <c r="AN150">
        <v>-1.0343337560000001</v>
      </c>
      <c r="AR150">
        <v>-1.5135630959999999</v>
      </c>
      <c r="AT150">
        <v>1.727792663</v>
      </c>
      <c r="AU150">
        <v>2.077491808</v>
      </c>
    </row>
    <row r="151" spans="1:47" x14ac:dyDescent="0.2">
      <c r="A151" t="s">
        <v>215</v>
      </c>
      <c r="B151" s="74">
        <v>30956</v>
      </c>
      <c r="D151">
        <v>0.84406507500000005</v>
      </c>
      <c r="E151">
        <v>0.91992236999999999</v>
      </c>
      <c r="F151">
        <v>0.286767681</v>
      </c>
      <c r="H151">
        <v>0.42053384900000002</v>
      </c>
      <c r="I151">
        <v>1.618192911</v>
      </c>
      <c r="M151">
        <v>2.7232875779999999</v>
      </c>
      <c r="N151">
        <v>0.91218748800000005</v>
      </c>
      <c r="P151">
        <v>0.87091521800000005</v>
      </c>
      <c r="S151">
        <v>0.893219651</v>
      </c>
      <c r="T151">
        <v>0.70664293099999997</v>
      </c>
      <c r="U151">
        <v>1.1579600000000001</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1.2287258750000001</v>
      </c>
      <c r="AN151">
        <v>2.404084272</v>
      </c>
      <c r="AR151">
        <v>1.3220528330000001</v>
      </c>
      <c r="AT151">
        <v>0.96406362800000001</v>
      </c>
      <c r="AU151">
        <v>-1.657470107</v>
      </c>
    </row>
    <row r="152" spans="1:47" x14ac:dyDescent="0.2">
      <c r="A152" t="s">
        <v>216</v>
      </c>
      <c r="B152" s="74">
        <v>31048</v>
      </c>
      <c r="D152">
        <v>0.67891986299999996</v>
      </c>
      <c r="E152">
        <v>0.95028882999999997</v>
      </c>
      <c r="F152">
        <v>0.64433674799999996</v>
      </c>
      <c r="H152">
        <v>1.584483871</v>
      </c>
      <c r="I152">
        <v>0.84506971600000003</v>
      </c>
      <c r="M152">
        <v>0.841814285</v>
      </c>
      <c r="N152">
        <v>0.46510026500000001</v>
      </c>
      <c r="P152">
        <v>0.127632419</v>
      </c>
      <c r="S152">
        <v>1.1804158279999999</v>
      </c>
      <c r="T152">
        <v>-7.2056176E-2</v>
      </c>
      <c r="U152">
        <v>0.69950699999999999</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0.62119443399999996</v>
      </c>
      <c r="AN152">
        <v>-0.23164779999999999</v>
      </c>
      <c r="AR152">
        <v>0.92983250799999995</v>
      </c>
      <c r="AT152">
        <v>0.82085714600000004</v>
      </c>
      <c r="AU152">
        <v>0.15461264699999999</v>
      </c>
    </row>
    <row r="153" spans="1:47" x14ac:dyDescent="0.2">
      <c r="A153" t="s">
        <v>217</v>
      </c>
      <c r="B153" s="74">
        <v>31138</v>
      </c>
      <c r="D153">
        <v>1.4512112960000001</v>
      </c>
      <c r="E153">
        <v>0.48031977100000001</v>
      </c>
      <c r="F153">
        <v>0.42765625899999998</v>
      </c>
      <c r="H153">
        <v>1.51940209</v>
      </c>
      <c r="I153">
        <v>1.304406972</v>
      </c>
      <c r="M153">
        <v>-0.54507092199999996</v>
      </c>
      <c r="N153">
        <v>0.31768604299999997</v>
      </c>
      <c r="P153">
        <v>1.115984954</v>
      </c>
      <c r="S153">
        <v>0.689380883</v>
      </c>
      <c r="T153">
        <v>0.265020806</v>
      </c>
      <c r="U153">
        <v>0.96695600000000004</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0.98256423900000001</v>
      </c>
      <c r="AN153">
        <v>1.0888030870000001</v>
      </c>
      <c r="AR153">
        <v>0.138870664</v>
      </c>
      <c r="AT153">
        <v>0.96907230099999997</v>
      </c>
      <c r="AU153">
        <v>-0.59577559599999996</v>
      </c>
    </row>
    <row r="154" spans="1:47" x14ac:dyDescent="0.2">
      <c r="A154" t="s">
        <v>218</v>
      </c>
      <c r="B154" s="74">
        <v>31229</v>
      </c>
      <c r="D154">
        <v>2.2285489890000001</v>
      </c>
      <c r="E154">
        <v>0.155684194</v>
      </c>
      <c r="F154">
        <v>0.36521157700000001</v>
      </c>
      <c r="H154">
        <v>0.31873938699999999</v>
      </c>
      <c r="I154">
        <v>0.655472053</v>
      </c>
      <c r="M154">
        <v>1.002247959</v>
      </c>
      <c r="N154">
        <v>1.6103715460000001</v>
      </c>
      <c r="P154">
        <v>-9.3929207000000001E-2</v>
      </c>
      <c r="S154">
        <v>1.1279350450000001</v>
      </c>
      <c r="T154">
        <v>0.90075669599999997</v>
      </c>
      <c r="U154">
        <v>1.1987859999999999</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1.086334795</v>
      </c>
      <c r="AN154">
        <v>0.97392293100000005</v>
      </c>
      <c r="AR154">
        <v>1.0569776790000001</v>
      </c>
      <c r="AT154">
        <v>0.88046635299999998</v>
      </c>
      <c r="AU154">
        <v>-0.727141963</v>
      </c>
    </row>
    <row r="155" spans="1:47" x14ac:dyDescent="0.2">
      <c r="A155" t="s">
        <v>219</v>
      </c>
      <c r="B155" s="74">
        <v>31321</v>
      </c>
      <c r="D155">
        <v>1.3501223019999999</v>
      </c>
      <c r="E155">
        <v>1.4844613390000001</v>
      </c>
      <c r="F155">
        <v>0.67714972799999995</v>
      </c>
      <c r="H155">
        <v>1.268698772</v>
      </c>
      <c r="I155">
        <v>0.17305527700000001</v>
      </c>
      <c r="M155">
        <v>1.3024081489999999</v>
      </c>
      <c r="N155">
        <v>2.1796522189999998</v>
      </c>
      <c r="P155">
        <v>1.0366668320000001</v>
      </c>
      <c r="S155">
        <v>0.49908862100000001</v>
      </c>
      <c r="T155">
        <v>0.51964417799999996</v>
      </c>
      <c r="U155">
        <v>1.2073229999999999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1.148351323</v>
      </c>
      <c r="AN155">
        <v>-0.37398831700000001</v>
      </c>
      <c r="AR155">
        <v>1.103460017</v>
      </c>
      <c r="AT155">
        <v>1.527121263</v>
      </c>
      <c r="AU155">
        <v>-0.263979032</v>
      </c>
    </row>
    <row r="156" spans="1:47" x14ac:dyDescent="0.2">
      <c r="A156" t="s">
        <v>220</v>
      </c>
      <c r="B156" s="74">
        <v>31413</v>
      </c>
      <c r="D156">
        <v>-0.26698474500000002</v>
      </c>
      <c r="E156">
        <v>-0.41635875300000003</v>
      </c>
      <c r="F156">
        <v>0.51796841199999999</v>
      </c>
      <c r="H156">
        <v>1.534781494</v>
      </c>
      <c r="I156">
        <v>0.86387613799999996</v>
      </c>
      <c r="M156">
        <v>0.59997725099999999</v>
      </c>
      <c r="N156">
        <v>1.901622049</v>
      </c>
      <c r="P156">
        <v>1.1484683010000001</v>
      </c>
      <c r="S156">
        <v>0.168415598</v>
      </c>
      <c r="T156">
        <v>0.43125333999999999</v>
      </c>
      <c r="U156">
        <v>0.79285300000000003</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0.82717225800000005</v>
      </c>
      <c r="AN156">
        <v>1.5871316870000001</v>
      </c>
      <c r="AR156">
        <v>-1.004893611</v>
      </c>
      <c r="AT156">
        <v>0.743327344</v>
      </c>
      <c r="AU156">
        <v>1.0693403159999999</v>
      </c>
    </row>
    <row r="157" spans="1:47" x14ac:dyDescent="0.2">
      <c r="A157" t="s">
        <v>221</v>
      </c>
      <c r="B157" s="74">
        <v>31503</v>
      </c>
      <c r="D157">
        <v>0.65108532900000005</v>
      </c>
      <c r="E157">
        <v>0.89439608000000004</v>
      </c>
      <c r="F157">
        <v>0.54788962500000005</v>
      </c>
      <c r="H157">
        <v>-3.0061903000000001E-2</v>
      </c>
      <c r="I157">
        <v>0.397947567</v>
      </c>
      <c r="M157">
        <v>-0.57204937</v>
      </c>
      <c r="N157">
        <v>0.86508181399999995</v>
      </c>
      <c r="P157">
        <v>0.28204135000000002</v>
      </c>
      <c r="S157">
        <v>6.0355234000000001E-2</v>
      </c>
      <c r="T157">
        <v>0.35155847400000001</v>
      </c>
      <c r="U157">
        <v>0.57456600000000002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0.44033963799999998</v>
      </c>
      <c r="AN157">
        <v>1.321063257</v>
      </c>
      <c r="AR157">
        <v>2.0234702859999998</v>
      </c>
      <c r="AT157">
        <v>0.93352470799999998</v>
      </c>
      <c r="AU157">
        <v>-1.1913956510000001</v>
      </c>
    </row>
    <row r="158" spans="1:47" x14ac:dyDescent="0.2">
      <c r="A158" t="s">
        <v>222</v>
      </c>
      <c r="B158" s="74">
        <v>31594</v>
      </c>
      <c r="D158">
        <v>-0.170463695</v>
      </c>
      <c r="E158">
        <v>1.2099216310000001</v>
      </c>
      <c r="F158">
        <v>0.203576123</v>
      </c>
      <c r="H158">
        <v>0.56848401500000001</v>
      </c>
      <c r="I158">
        <v>0.709904749</v>
      </c>
      <c r="M158">
        <v>1.150684662</v>
      </c>
      <c r="N158">
        <v>-0.29674130199999998</v>
      </c>
      <c r="P158">
        <v>2.3815559180000001</v>
      </c>
      <c r="S158">
        <v>0.43515725999999999</v>
      </c>
      <c r="T158">
        <v>1.109930297</v>
      </c>
      <c r="U158">
        <v>0.50173699999999999</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0.641536463</v>
      </c>
      <c r="AN158">
        <v>1.128379966</v>
      </c>
      <c r="AR158">
        <v>0.50052435299999998</v>
      </c>
      <c r="AT158">
        <v>0.45037736299999998</v>
      </c>
      <c r="AU158">
        <v>0.69041002600000001</v>
      </c>
    </row>
    <row r="159" spans="1:47" x14ac:dyDescent="0.2">
      <c r="A159" t="s">
        <v>223</v>
      </c>
      <c r="B159" s="74">
        <v>31686</v>
      </c>
      <c r="D159">
        <v>0.281439457</v>
      </c>
      <c r="E159">
        <v>8.1471991999999993E-2</v>
      </c>
      <c r="F159">
        <v>1.2309365290000001</v>
      </c>
      <c r="H159">
        <v>0.12621459900000001</v>
      </c>
      <c r="I159">
        <v>3.5565251999999999E-2</v>
      </c>
      <c r="M159">
        <v>0.738239227</v>
      </c>
      <c r="N159">
        <v>-3.9017767000000002E-2</v>
      </c>
      <c r="P159">
        <v>-0.70503902500000004</v>
      </c>
      <c r="S159">
        <v>4.358457381</v>
      </c>
      <c r="T159">
        <v>0.48203230699999999</v>
      </c>
      <c r="U159">
        <v>0.76221700000000003</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0.68509067099999998</v>
      </c>
      <c r="AN159">
        <v>0.53523350700000005</v>
      </c>
      <c r="AR159">
        <v>0.48903576300000001</v>
      </c>
      <c r="AT159">
        <v>0.95699288599999999</v>
      </c>
      <c r="AU159">
        <v>0.22503509099999999</v>
      </c>
    </row>
    <row r="160" spans="1:47" x14ac:dyDescent="0.2">
      <c r="A160" t="s">
        <v>224</v>
      </c>
      <c r="B160" s="74">
        <v>31778</v>
      </c>
      <c r="D160">
        <v>1.6406354000000001</v>
      </c>
      <c r="E160">
        <v>7.4006432999999996E-2</v>
      </c>
      <c r="F160">
        <v>-1.156201418</v>
      </c>
      <c r="H160">
        <v>-0.72210196800000004</v>
      </c>
      <c r="I160">
        <v>-7.7682127000000004E-2</v>
      </c>
      <c r="M160">
        <v>0.99710821800000005</v>
      </c>
      <c r="N160">
        <v>0.36763258399999998</v>
      </c>
      <c r="P160">
        <v>0.63880313499999997</v>
      </c>
      <c r="S160">
        <v>-1.8744604760000001</v>
      </c>
      <c r="T160">
        <v>0.105656843</v>
      </c>
      <c r="U160">
        <v>0.63266</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0.59945059499999997</v>
      </c>
      <c r="AN160">
        <v>1.600706368</v>
      </c>
      <c r="AR160">
        <v>0.30368230099999999</v>
      </c>
      <c r="AT160">
        <v>0.53698571799999995</v>
      </c>
      <c r="AU160">
        <v>0.41988258499999997</v>
      </c>
    </row>
    <row r="161" spans="1:47" x14ac:dyDescent="0.2">
      <c r="A161" t="s">
        <v>225</v>
      </c>
      <c r="B161" s="74">
        <v>31868</v>
      </c>
      <c r="D161">
        <v>0.96805526799999997</v>
      </c>
      <c r="E161">
        <v>-0.85282705700000005</v>
      </c>
      <c r="F161">
        <v>0.706357821</v>
      </c>
      <c r="H161">
        <v>2.3071933269999998</v>
      </c>
      <c r="I161">
        <v>2.9011769E-2</v>
      </c>
      <c r="M161">
        <v>-2.509804892</v>
      </c>
      <c r="N161">
        <v>-1.5691744940000001</v>
      </c>
      <c r="P161">
        <v>2.048184242</v>
      </c>
      <c r="S161">
        <v>0.76662058600000005</v>
      </c>
      <c r="T161">
        <v>0.14910174900000001</v>
      </c>
      <c r="U161">
        <v>0.24346599999999999</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0.317459718</v>
      </c>
      <c r="AN161">
        <v>1.8053965080000001</v>
      </c>
      <c r="AR161">
        <v>0.45626201</v>
      </c>
      <c r="AT161">
        <v>0.74501963000000004</v>
      </c>
      <c r="AU161">
        <v>0.72728254000000003</v>
      </c>
    </row>
    <row r="162" spans="1:47" x14ac:dyDescent="0.2">
      <c r="A162" t="s">
        <v>226</v>
      </c>
      <c r="B162" s="74">
        <v>31959</v>
      </c>
      <c r="D162">
        <v>1.576518149</v>
      </c>
      <c r="E162">
        <v>1.764855166</v>
      </c>
      <c r="F162">
        <v>1.1111891780000001</v>
      </c>
      <c r="H162">
        <v>1.291592995</v>
      </c>
      <c r="I162">
        <v>0.78229713999999995</v>
      </c>
      <c r="M162">
        <v>2.2449939579999998</v>
      </c>
      <c r="N162">
        <v>3.0248369030000002</v>
      </c>
      <c r="P162">
        <v>1.4960575300000001</v>
      </c>
      <c r="S162">
        <v>1.741914027</v>
      </c>
      <c r="T162">
        <v>1.4575555010000001</v>
      </c>
      <c r="U162">
        <v>1.4837039999999999</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1.6525019329999999</v>
      </c>
      <c r="AN162">
        <v>1.60081077</v>
      </c>
      <c r="AR162">
        <v>2.212031342</v>
      </c>
      <c r="AT162">
        <v>1.078842316</v>
      </c>
      <c r="AU162">
        <v>0.35660318699999999</v>
      </c>
    </row>
    <row r="163" spans="1:47" x14ac:dyDescent="0.2">
      <c r="A163" t="s">
        <v>227</v>
      </c>
      <c r="B163" s="74">
        <v>32051</v>
      </c>
      <c r="D163">
        <v>1.8111681610000001</v>
      </c>
      <c r="E163">
        <v>1.214960389</v>
      </c>
      <c r="F163">
        <v>1.3975127519999999</v>
      </c>
      <c r="H163">
        <v>1.5220522830000001</v>
      </c>
      <c r="I163">
        <v>1.160588291</v>
      </c>
      <c r="M163">
        <v>0.69212070999999997</v>
      </c>
      <c r="N163">
        <v>-1.3814957349999999</v>
      </c>
      <c r="P163">
        <v>2.0652025329999999</v>
      </c>
      <c r="S163">
        <v>0.38818289499999997</v>
      </c>
      <c r="T163">
        <v>0.70617360699999998</v>
      </c>
      <c r="U163">
        <v>1.1341110000000001</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0.54270208499999995</v>
      </c>
      <c r="AL163">
        <v>1.106685154</v>
      </c>
      <c r="AN163">
        <v>1.547363343</v>
      </c>
      <c r="AR163">
        <v>1.1365519340000001</v>
      </c>
      <c r="AT163">
        <v>0.86756685600000005</v>
      </c>
      <c r="AU163">
        <v>0.36492787599999998</v>
      </c>
    </row>
    <row r="164" spans="1:47" x14ac:dyDescent="0.2">
      <c r="A164" t="s">
        <v>228</v>
      </c>
      <c r="B164" s="74">
        <v>32143</v>
      </c>
      <c r="D164">
        <v>2.018301637</v>
      </c>
      <c r="E164">
        <v>0.81018481099999995</v>
      </c>
      <c r="F164">
        <v>1.290633452</v>
      </c>
      <c r="H164">
        <v>1.2918924119999999</v>
      </c>
      <c r="I164">
        <v>0.79822656400000003</v>
      </c>
      <c r="M164">
        <v>1.599900168</v>
      </c>
      <c r="N164">
        <v>0.59597164400000002</v>
      </c>
      <c r="P164">
        <v>2.0457360969999998</v>
      </c>
      <c r="S164">
        <v>1.9700423309999999</v>
      </c>
      <c r="T164">
        <v>1.4370474689999999</v>
      </c>
      <c r="U164">
        <v>1.71529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0.46164772700000001</v>
      </c>
      <c r="AL164">
        <v>1.808213447</v>
      </c>
      <c r="AN164">
        <v>1.1974914400000001</v>
      </c>
      <c r="AR164">
        <v>0.31107987199999998</v>
      </c>
      <c r="AT164">
        <v>1.717036096</v>
      </c>
      <c r="AU164">
        <v>1.2276316940000001</v>
      </c>
    </row>
    <row r="165" spans="1:47" x14ac:dyDescent="0.2">
      <c r="A165" t="s">
        <v>229</v>
      </c>
      <c r="B165" s="74">
        <v>32234</v>
      </c>
      <c r="D165">
        <v>0.43440174999999998</v>
      </c>
      <c r="E165">
        <v>-1.010978113</v>
      </c>
      <c r="F165">
        <v>0.99036001399999996</v>
      </c>
      <c r="H165">
        <v>1.4579330859999999</v>
      </c>
      <c r="I165">
        <v>0.43527413100000001</v>
      </c>
      <c r="M165">
        <v>-0.90697272200000001</v>
      </c>
      <c r="N165">
        <v>0.98007253999999999</v>
      </c>
      <c r="P165">
        <v>0.32154340799999998</v>
      </c>
      <c r="S165">
        <v>1.2733514290000001</v>
      </c>
      <c r="T165">
        <v>1.2201247609999999</v>
      </c>
      <c r="U165">
        <v>0.94855900000000004</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-0.385295157</v>
      </c>
      <c r="AL165">
        <v>0.83683196999999998</v>
      </c>
      <c r="AN165">
        <v>4.5566320009999997</v>
      </c>
      <c r="AR165">
        <v>0.47846825999999998</v>
      </c>
      <c r="AT165">
        <v>0.516654167</v>
      </c>
      <c r="AU165">
        <v>1.5029433089999999</v>
      </c>
    </row>
    <row r="166" spans="1:47" x14ac:dyDescent="0.2">
      <c r="A166" t="s">
        <v>230</v>
      </c>
      <c r="B166" s="74">
        <v>32325</v>
      </c>
      <c r="D166">
        <v>7.2937228000000007E-2</v>
      </c>
      <c r="E166">
        <v>1.835161278</v>
      </c>
      <c r="F166">
        <v>0.93207988600000002</v>
      </c>
      <c r="H166">
        <v>0.88565837199999997</v>
      </c>
      <c r="I166">
        <v>0.55355212600000003</v>
      </c>
      <c r="M166">
        <v>1.812832048</v>
      </c>
      <c r="N166">
        <v>5.5030685000000003E-2</v>
      </c>
      <c r="P166">
        <v>1.2231815800000001</v>
      </c>
      <c r="S166">
        <v>0.80406763599999997</v>
      </c>
      <c r="T166">
        <v>0.84913782900000001</v>
      </c>
      <c r="U166">
        <v>0.94245000000000001</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-0.47549767599999998</v>
      </c>
      <c r="AL166">
        <v>0.71335743699999998</v>
      </c>
      <c r="AN166">
        <v>0.45499446399999999</v>
      </c>
      <c r="AR166">
        <v>0.193406783</v>
      </c>
      <c r="AT166">
        <v>1.313900617</v>
      </c>
      <c r="AU166">
        <v>0.71005532699999996</v>
      </c>
    </row>
    <row r="167" spans="1:47" x14ac:dyDescent="0.2">
      <c r="A167" t="s">
        <v>231</v>
      </c>
      <c r="B167" s="74">
        <v>32417</v>
      </c>
      <c r="D167">
        <v>0.81395704400000002</v>
      </c>
      <c r="E167">
        <v>1.6612643419999999</v>
      </c>
      <c r="F167">
        <v>1.2289064649999999</v>
      </c>
      <c r="H167">
        <v>9.0986950000000004E-3</v>
      </c>
      <c r="I167">
        <v>1.0764677659999999</v>
      </c>
      <c r="M167">
        <v>1.1330757039999999</v>
      </c>
      <c r="N167">
        <v>-1.9012544499999999</v>
      </c>
      <c r="P167">
        <v>1.8029079160000001</v>
      </c>
      <c r="S167">
        <v>1.2316715540000001</v>
      </c>
      <c r="T167">
        <v>1.289559382</v>
      </c>
      <c r="U167">
        <v>1.0902670000000001</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0.22818839799999999</v>
      </c>
      <c r="AL167">
        <v>1.0616463380000001</v>
      </c>
      <c r="AN167">
        <v>0.762612717</v>
      </c>
      <c r="AR167">
        <v>0.165338555</v>
      </c>
      <c r="AT167">
        <v>0.58592831400000001</v>
      </c>
      <c r="AU167">
        <v>1.34491922</v>
      </c>
    </row>
    <row r="168" spans="1:47" x14ac:dyDescent="0.2">
      <c r="A168" t="s">
        <v>232</v>
      </c>
      <c r="B168" s="74">
        <v>32509</v>
      </c>
      <c r="D168">
        <v>1.575336579</v>
      </c>
      <c r="E168">
        <v>1.1832997249999999</v>
      </c>
      <c r="F168">
        <v>0.97988492100000002</v>
      </c>
      <c r="H168">
        <v>0.69744059199999997</v>
      </c>
      <c r="I168">
        <v>1.9174494580000001</v>
      </c>
      <c r="M168">
        <v>1.1775465940000001</v>
      </c>
      <c r="N168">
        <v>2.460192868</v>
      </c>
      <c r="P168">
        <v>-0.22428166399999999</v>
      </c>
      <c r="S168">
        <v>1.850135187</v>
      </c>
      <c r="T168">
        <v>0.87121833199999998</v>
      </c>
      <c r="U168">
        <v>1.1542570000000001</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-0.87510227299999999</v>
      </c>
      <c r="AL168">
        <v>1.16349904</v>
      </c>
      <c r="AN168">
        <v>1.319190173</v>
      </c>
      <c r="AR168">
        <v>2.1167567940000001</v>
      </c>
      <c r="AT168">
        <v>1.332500553</v>
      </c>
      <c r="AU168">
        <v>0.93898047399999995</v>
      </c>
    </row>
    <row r="169" spans="1:47" x14ac:dyDescent="0.2">
      <c r="A169" t="s">
        <v>233</v>
      </c>
      <c r="B169" s="74">
        <v>32599</v>
      </c>
      <c r="D169">
        <v>1.0233183189999999</v>
      </c>
      <c r="E169">
        <v>0.82313969799999998</v>
      </c>
      <c r="F169">
        <v>0.76019038999999999</v>
      </c>
      <c r="H169">
        <v>1.14072018</v>
      </c>
      <c r="I169">
        <v>0.45875639600000001</v>
      </c>
      <c r="M169">
        <v>1.045142904</v>
      </c>
      <c r="N169">
        <v>1.130299648</v>
      </c>
      <c r="P169">
        <v>2.358130461</v>
      </c>
      <c r="S169">
        <v>1.1945845500000001</v>
      </c>
      <c r="T169">
        <v>1.18350815</v>
      </c>
      <c r="U169">
        <v>1.255323</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1.2775883729999999</v>
      </c>
      <c r="AL169">
        <v>1.2239899999999999</v>
      </c>
      <c r="AN169">
        <v>3.7660291749999999</v>
      </c>
      <c r="AR169">
        <v>0.16471154700000001</v>
      </c>
      <c r="AT169">
        <v>1.016597674</v>
      </c>
      <c r="AU169">
        <v>0.61931594700000003</v>
      </c>
    </row>
    <row r="170" spans="1:47" x14ac:dyDescent="0.2">
      <c r="A170" t="s">
        <v>234</v>
      </c>
      <c r="B170" s="74">
        <v>32690</v>
      </c>
      <c r="D170">
        <v>2.108182942</v>
      </c>
      <c r="E170">
        <v>0.47564930100000002</v>
      </c>
      <c r="F170">
        <v>0.96112367899999995</v>
      </c>
      <c r="H170">
        <v>0.38218308499999998</v>
      </c>
      <c r="I170">
        <v>1.573872972</v>
      </c>
      <c r="M170">
        <v>0.402547977</v>
      </c>
      <c r="N170">
        <v>-2.0015842990000001</v>
      </c>
      <c r="P170">
        <v>0.98408883700000005</v>
      </c>
      <c r="S170">
        <v>1.7576075550000001</v>
      </c>
      <c r="T170">
        <v>1.1806665599999999</v>
      </c>
      <c r="U170">
        <v>0.33099499999999998</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0.57758406900000003</v>
      </c>
      <c r="AL170">
        <v>0.40757779300000002</v>
      </c>
      <c r="AN170">
        <v>-1.41413539</v>
      </c>
      <c r="AR170">
        <v>0.67541214900000002</v>
      </c>
      <c r="AT170">
        <v>0.76326565700000004</v>
      </c>
      <c r="AU170">
        <v>0.433857416</v>
      </c>
    </row>
    <row r="171" spans="1:47" x14ac:dyDescent="0.2">
      <c r="A171" t="s">
        <v>235</v>
      </c>
      <c r="B171" s="74">
        <v>32782</v>
      </c>
      <c r="D171">
        <v>0.84004825100000002</v>
      </c>
      <c r="E171">
        <v>0.829097953</v>
      </c>
      <c r="F171">
        <v>0.37144843</v>
      </c>
      <c r="H171">
        <v>0.357792585</v>
      </c>
      <c r="I171">
        <v>0.60130353400000003</v>
      </c>
      <c r="M171">
        <v>0.91324525599999995</v>
      </c>
      <c r="N171">
        <v>-1.4863533769999999</v>
      </c>
      <c r="P171">
        <v>1.339679544</v>
      </c>
      <c r="S171">
        <v>1.178506979</v>
      </c>
      <c r="T171">
        <v>1.0845444930000001</v>
      </c>
      <c r="U171">
        <v>0.91788099999999995</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-1.123872604</v>
      </c>
      <c r="AL171">
        <v>0.98592663300000005</v>
      </c>
      <c r="AN171">
        <v>1.9729542149999999</v>
      </c>
      <c r="AR171">
        <v>3.0821688999999999E-2</v>
      </c>
      <c r="AT171">
        <v>0.74087699399999996</v>
      </c>
      <c r="AU171">
        <v>8.0345161999999998E-2</v>
      </c>
    </row>
    <row r="172" spans="1:47" x14ac:dyDescent="0.2">
      <c r="A172" t="s">
        <v>236</v>
      </c>
      <c r="B172" s="74">
        <v>32874</v>
      </c>
      <c r="D172">
        <v>-0.274174486</v>
      </c>
      <c r="E172">
        <v>1.3003958980000001</v>
      </c>
      <c r="F172">
        <v>1.2986382889999999</v>
      </c>
      <c r="H172">
        <v>-0.21345312299999999</v>
      </c>
      <c r="I172">
        <v>1.250615356</v>
      </c>
      <c r="M172">
        <v>1.158805549</v>
      </c>
      <c r="N172">
        <v>1.6576394000000001</v>
      </c>
      <c r="P172">
        <v>-0.166005345</v>
      </c>
      <c r="S172">
        <v>4.7319185999999999E-2</v>
      </c>
      <c r="T172">
        <v>1.3134216270000001</v>
      </c>
      <c r="U172">
        <v>0.94020099999999995</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-0.192410476</v>
      </c>
      <c r="AL172">
        <v>0.95925638199999996</v>
      </c>
      <c r="AN172">
        <v>0.83261330099999997</v>
      </c>
      <c r="AR172">
        <v>1.307210199</v>
      </c>
      <c r="AT172">
        <v>0.19705097399999999</v>
      </c>
      <c r="AU172">
        <v>-0.61883212300000001</v>
      </c>
    </row>
    <row r="173" spans="1:47" x14ac:dyDescent="0.2">
      <c r="A173" t="s">
        <v>237</v>
      </c>
      <c r="B173" s="74">
        <v>32964</v>
      </c>
      <c r="D173">
        <v>0.80079455700000002</v>
      </c>
      <c r="E173">
        <v>1.2323553650000001</v>
      </c>
      <c r="F173">
        <v>1.5632463169999999</v>
      </c>
      <c r="H173">
        <v>0.94276014100000005</v>
      </c>
      <c r="I173">
        <v>2.1169404009999999</v>
      </c>
      <c r="M173">
        <v>2.0757065539999999</v>
      </c>
      <c r="N173">
        <v>-0.55573933200000003</v>
      </c>
      <c r="P173">
        <v>0.87601898</v>
      </c>
      <c r="S173">
        <v>1.354072902</v>
      </c>
      <c r="T173">
        <v>0.42309748699999999</v>
      </c>
      <c r="U173">
        <v>0.77076</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-0.17136125099999999</v>
      </c>
      <c r="AL173">
        <v>0.95079444899999999</v>
      </c>
      <c r="AN173">
        <v>1.017439357</v>
      </c>
      <c r="AR173">
        <v>0.212357079</v>
      </c>
      <c r="AT173">
        <v>1.092795416</v>
      </c>
      <c r="AU173">
        <v>8.0051423999999996E-2</v>
      </c>
    </row>
    <row r="174" spans="1:47" x14ac:dyDescent="0.2">
      <c r="A174" t="s">
        <v>238</v>
      </c>
      <c r="B174" s="74">
        <v>33055</v>
      </c>
      <c r="D174">
        <v>0.12566222599999999</v>
      </c>
      <c r="E174">
        <v>1.078142771</v>
      </c>
      <c r="F174">
        <v>-0.353727874</v>
      </c>
      <c r="H174">
        <v>-0.41411305999999998</v>
      </c>
      <c r="I174">
        <v>0.30052948000000002</v>
      </c>
      <c r="M174">
        <v>0.491660084</v>
      </c>
      <c r="N174">
        <v>2.2486860489999998</v>
      </c>
      <c r="P174">
        <v>1.699634141</v>
      </c>
      <c r="S174">
        <v>-1.3762998390000001</v>
      </c>
      <c r="T174">
        <v>0.509480673</v>
      </c>
      <c r="U174">
        <v>0.86260400000000004</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-1.4304617E-2</v>
      </c>
      <c r="AL174">
        <v>0.92408997500000001</v>
      </c>
      <c r="AN174">
        <v>1.8702967779999999</v>
      </c>
      <c r="AR174">
        <v>-0.30510945900000003</v>
      </c>
      <c r="AT174">
        <v>0.36291179000000001</v>
      </c>
      <c r="AU174">
        <v>-8.2522011000000006E-2</v>
      </c>
    </row>
    <row r="175" spans="1:47" x14ac:dyDescent="0.2">
      <c r="A175" t="s">
        <v>239</v>
      </c>
      <c r="B175" s="74">
        <v>33147</v>
      </c>
      <c r="D175">
        <v>-0.57380283399999998</v>
      </c>
      <c r="E175">
        <v>0.82636261600000005</v>
      </c>
      <c r="F175">
        <v>0.13286498899999999</v>
      </c>
      <c r="H175">
        <v>-0.70754845899999996</v>
      </c>
      <c r="I175">
        <v>-0.41579145899999997</v>
      </c>
      <c r="M175">
        <v>2.1059349709999999</v>
      </c>
      <c r="N175">
        <v>0.28845945299999998</v>
      </c>
      <c r="P175">
        <v>-0.29846910999999998</v>
      </c>
      <c r="S175">
        <v>-2.1425953600000001</v>
      </c>
      <c r="T175">
        <v>0.50489713999999997</v>
      </c>
      <c r="U175">
        <v>0.51043899999999998</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0.91204978699999995</v>
      </c>
      <c r="AL175">
        <v>0.37407146600000002</v>
      </c>
      <c r="AN175">
        <v>0.698606862</v>
      </c>
      <c r="AR175">
        <v>-0.79288496600000002</v>
      </c>
      <c r="AT175">
        <v>6.6512431999999996E-2</v>
      </c>
      <c r="AU175">
        <v>-8.4042341000000007E-2</v>
      </c>
    </row>
    <row r="176" spans="1:47" x14ac:dyDescent="0.2">
      <c r="A176" t="s">
        <v>240</v>
      </c>
      <c r="B176" s="74">
        <v>33239</v>
      </c>
      <c r="D176">
        <v>0.59241479600000002</v>
      </c>
      <c r="E176">
        <v>0.68375120199999995</v>
      </c>
      <c r="F176">
        <v>1.2133539419999999</v>
      </c>
      <c r="H176">
        <v>-0.89119688399999997</v>
      </c>
      <c r="I176">
        <v>-0.32493353200000002</v>
      </c>
      <c r="M176">
        <v>1.7604211329999999</v>
      </c>
      <c r="N176">
        <v>-1.0739619380000001</v>
      </c>
      <c r="P176">
        <v>3.7816833700000001</v>
      </c>
      <c r="S176">
        <v>-0.57330529200000002</v>
      </c>
      <c r="T176">
        <v>-9.8470450000000005E-3</v>
      </c>
      <c r="U176">
        <v>-0.345163</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1.1696320979999999</v>
      </c>
      <c r="AL176">
        <v>0.23180651699999999</v>
      </c>
      <c r="AN176">
        <v>2.6589812319999999</v>
      </c>
      <c r="AR176">
        <v>1.13594325</v>
      </c>
      <c r="AT176">
        <v>-0.91039454099999995</v>
      </c>
      <c r="AU176">
        <v>9.2815014000000001E-2</v>
      </c>
    </row>
    <row r="177" spans="1:47" x14ac:dyDescent="0.2">
      <c r="A177" t="s">
        <v>241</v>
      </c>
      <c r="B177" s="74">
        <v>33329</v>
      </c>
      <c r="D177">
        <v>-1.2876515690000001</v>
      </c>
      <c r="E177">
        <v>0.692705087</v>
      </c>
      <c r="F177">
        <v>-0.43152541300000002</v>
      </c>
      <c r="H177">
        <v>-1.427068555</v>
      </c>
      <c r="I177">
        <v>0.27463353600000001</v>
      </c>
      <c r="M177">
        <v>2.8380142990000001</v>
      </c>
      <c r="N177">
        <v>0.29559123399999998</v>
      </c>
      <c r="P177">
        <v>-1.9217544129999999</v>
      </c>
      <c r="S177">
        <v>-1.9500463610000001</v>
      </c>
      <c r="T177">
        <v>0.13060728099999999</v>
      </c>
      <c r="U177">
        <v>0.29154600000000003</v>
      </c>
      <c r="V177">
        <v>-0.31503107800000002</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0.84866048900000002</v>
      </c>
      <c r="AK177">
        <v>-2.4243273539999999</v>
      </c>
      <c r="AL177">
        <v>7.8539280000000003E-2</v>
      </c>
      <c r="AN177">
        <v>-2.3305769060000001</v>
      </c>
      <c r="AR177">
        <v>-0.31136663999999997</v>
      </c>
      <c r="AT177">
        <v>-0.467867584</v>
      </c>
      <c r="AU177">
        <v>-0.79542260300000001</v>
      </c>
    </row>
    <row r="178" spans="1:47" x14ac:dyDescent="0.2">
      <c r="A178" t="s">
        <v>242</v>
      </c>
      <c r="B178" s="74">
        <v>33420</v>
      </c>
      <c r="D178">
        <v>-0.165644231</v>
      </c>
      <c r="E178">
        <v>0.91216430000000004</v>
      </c>
      <c r="F178">
        <v>1.1675329860000001</v>
      </c>
      <c r="H178">
        <v>0.46626068900000001</v>
      </c>
      <c r="I178">
        <v>-1.1077342670000001</v>
      </c>
      <c r="M178">
        <v>-0.52924492899999998</v>
      </c>
      <c r="N178">
        <v>1.0787054119999999</v>
      </c>
      <c r="P178">
        <v>1.219274668</v>
      </c>
      <c r="S178">
        <v>-1.1968438779999999</v>
      </c>
      <c r="T178">
        <v>0.39947986499999999</v>
      </c>
      <c r="U178">
        <v>0.57132099999999997</v>
      </c>
      <c r="V178">
        <v>-0.14884855699999999</v>
      </c>
      <c r="W178">
        <v>-1.7180264569999999</v>
      </c>
      <c r="Z178">
        <v>2.2640761999999998E-2</v>
      </c>
      <c r="AA178">
        <v>-0.147785638</v>
      </c>
      <c r="AC178">
        <v>0.54216827599999995</v>
      </c>
      <c r="AD178">
        <v>1.186411273</v>
      </c>
      <c r="AE178">
        <v>1.661478045</v>
      </c>
      <c r="AF178">
        <v>2.2458888290000001</v>
      </c>
      <c r="AH178">
        <v>1.5302257990000001</v>
      </c>
      <c r="AI178">
        <v>1.172009654</v>
      </c>
      <c r="AJ178">
        <v>0.52285082900000002</v>
      </c>
      <c r="AK178">
        <v>-0.67858681600000004</v>
      </c>
      <c r="AL178">
        <v>0.650277145</v>
      </c>
      <c r="AN178">
        <v>1.962589301</v>
      </c>
      <c r="AR178">
        <v>-1.1471894659999999</v>
      </c>
      <c r="AT178">
        <v>0.77971803799999995</v>
      </c>
      <c r="AU178">
        <v>-0.225649346</v>
      </c>
    </row>
    <row r="179" spans="1:47" x14ac:dyDescent="0.2">
      <c r="A179" t="s">
        <v>243</v>
      </c>
      <c r="B179" s="74">
        <v>33512</v>
      </c>
      <c r="D179">
        <v>0.43312593500000002</v>
      </c>
      <c r="E179">
        <v>1.1090972880000001</v>
      </c>
      <c r="F179">
        <v>0.67473200700000002</v>
      </c>
      <c r="H179">
        <v>0.13390824100000001</v>
      </c>
      <c r="I179">
        <v>-0.12941412399999999</v>
      </c>
      <c r="M179">
        <v>-0.218282477</v>
      </c>
      <c r="N179">
        <v>0.74082392500000005</v>
      </c>
      <c r="P179">
        <v>0.75527247500000005</v>
      </c>
      <c r="S179">
        <v>-2.0577854879999999</v>
      </c>
      <c r="T179">
        <v>0.21773430499999999</v>
      </c>
      <c r="U179">
        <v>0.20335400000000001</v>
      </c>
      <c r="V179">
        <v>-0.242120788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-0.244288273</v>
      </c>
      <c r="AK179">
        <v>0.31811444900000002</v>
      </c>
      <c r="AL179">
        <v>0.32091233200000002</v>
      </c>
      <c r="AN179">
        <v>1.073590737</v>
      </c>
      <c r="AR179">
        <v>-0.48588832700000001</v>
      </c>
      <c r="AT179">
        <v>0.50533843099999998</v>
      </c>
      <c r="AU179">
        <v>-3.8785792999999999E-2</v>
      </c>
    </row>
    <row r="180" spans="1:47" x14ac:dyDescent="0.2">
      <c r="A180" t="s">
        <v>244</v>
      </c>
      <c r="B180" s="74">
        <v>33604</v>
      </c>
      <c r="D180">
        <v>6.1951323000000003E-2</v>
      </c>
      <c r="E180">
        <v>0.61183127699999995</v>
      </c>
      <c r="F180">
        <v>0.50590435600000006</v>
      </c>
      <c r="H180">
        <v>0.184531308</v>
      </c>
      <c r="I180">
        <v>0.27665767299999999</v>
      </c>
      <c r="M180">
        <v>1.28521134</v>
      </c>
      <c r="N180">
        <v>-0.98514616899999996</v>
      </c>
      <c r="P180">
        <v>0.497512438</v>
      </c>
      <c r="S180">
        <v>-1.17266231</v>
      </c>
      <c r="T180">
        <v>0.69090947899999999</v>
      </c>
      <c r="U180">
        <v>0.54003999999999996</v>
      </c>
      <c r="V180">
        <v>0.15101858200000001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0.73319311899999995</v>
      </c>
      <c r="AK180">
        <v>0.648625275</v>
      </c>
      <c r="AL180">
        <v>0.60751561399999998</v>
      </c>
      <c r="AN180">
        <v>2.3666545000000001E-2</v>
      </c>
      <c r="AR180">
        <v>-0.15493615799999999</v>
      </c>
      <c r="AT180">
        <v>0.34856390199999998</v>
      </c>
      <c r="AU180">
        <v>-0.17206495399999999</v>
      </c>
    </row>
    <row r="181" spans="1:47" x14ac:dyDescent="0.2">
      <c r="A181" t="s">
        <v>245</v>
      </c>
      <c r="B181" s="74">
        <v>33695</v>
      </c>
      <c r="D181">
        <v>0.76455314699999999</v>
      </c>
      <c r="E181">
        <v>0.38370380500000001</v>
      </c>
      <c r="F181">
        <v>1.4019393389999999</v>
      </c>
      <c r="H181">
        <v>7.2893567000000006E-2</v>
      </c>
      <c r="I181">
        <v>0.82534659099999996</v>
      </c>
      <c r="M181">
        <v>1.5219755399999999</v>
      </c>
      <c r="N181">
        <v>1.4410560240000001</v>
      </c>
      <c r="P181">
        <v>0.99770053800000003</v>
      </c>
      <c r="S181">
        <v>0.32136456299999999</v>
      </c>
      <c r="T181">
        <v>0.77650847000000001</v>
      </c>
      <c r="U181">
        <v>0.79273099999999996</v>
      </c>
      <c r="V181">
        <v>-1.2037925999999999E-2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2.1265888070000001</v>
      </c>
      <c r="AK181">
        <v>0.297160861</v>
      </c>
      <c r="AL181">
        <v>0.87195976100000006</v>
      </c>
      <c r="AN181">
        <v>1.768950341</v>
      </c>
      <c r="AR181">
        <v>0.91757323999999996</v>
      </c>
      <c r="AT181">
        <v>1.197157574</v>
      </c>
      <c r="AU181">
        <v>-0.70074789699999995</v>
      </c>
    </row>
    <row r="182" spans="1:47" x14ac:dyDescent="0.2">
      <c r="A182" t="s">
        <v>246</v>
      </c>
      <c r="B182" s="74">
        <v>33786</v>
      </c>
      <c r="D182">
        <v>0.71588473399999997</v>
      </c>
      <c r="E182">
        <v>0.47917018900000002</v>
      </c>
      <c r="F182">
        <v>-1.2157340139999999</v>
      </c>
      <c r="H182">
        <v>0.12211490699999999</v>
      </c>
      <c r="I182">
        <v>-0.189203862</v>
      </c>
      <c r="M182">
        <v>-0.75788283400000001</v>
      </c>
      <c r="N182">
        <v>-0.79803837200000005</v>
      </c>
      <c r="P182">
        <v>-1.303955142</v>
      </c>
      <c r="S182">
        <v>-1.124253065</v>
      </c>
      <c r="T182">
        <v>7.6536668000000002E-2</v>
      </c>
      <c r="U182">
        <v>0.40976499999999999</v>
      </c>
      <c r="V182">
        <v>-0.137819162</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0.52149300499999995</v>
      </c>
      <c r="AK182">
        <v>7.1392870000000002E-3</v>
      </c>
      <c r="AL182">
        <v>0.28651320800000002</v>
      </c>
      <c r="AN182">
        <v>-0.91937203599999995</v>
      </c>
      <c r="AR182">
        <v>-0.51364764900000004</v>
      </c>
      <c r="AT182">
        <v>1.084320604</v>
      </c>
      <c r="AU182">
        <v>-0.61337261099999996</v>
      </c>
    </row>
    <row r="183" spans="1:47" x14ac:dyDescent="0.2">
      <c r="A183" t="s">
        <v>247</v>
      </c>
      <c r="B183" s="74">
        <v>33878</v>
      </c>
      <c r="D183">
        <v>0.98650764000000002</v>
      </c>
      <c r="E183">
        <v>7.9118778000000001E-2</v>
      </c>
      <c r="F183">
        <v>0.30894123299999998</v>
      </c>
      <c r="H183">
        <v>0.53698517999999995</v>
      </c>
      <c r="I183">
        <v>-1.00966103</v>
      </c>
      <c r="M183">
        <v>-0.17416305300000001</v>
      </c>
      <c r="N183">
        <v>2.7126430350000001</v>
      </c>
      <c r="P183">
        <v>6.3866699999999998E-2</v>
      </c>
      <c r="S183">
        <v>-0.81617395100000001</v>
      </c>
      <c r="T183">
        <v>-4.5155762000000002E-2</v>
      </c>
      <c r="U183">
        <v>0.46022000000000002</v>
      </c>
      <c r="V183">
        <v>0.61390372999999998</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1.310034822</v>
      </c>
      <c r="AK183">
        <v>-0.77098800700000003</v>
      </c>
      <c r="AL183">
        <v>0.49018096799999999</v>
      </c>
      <c r="AN183">
        <v>-0.345960037</v>
      </c>
      <c r="AR183">
        <v>-1.4474356420000001</v>
      </c>
      <c r="AT183">
        <v>0.98810718900000005</v>
      </c>
      <c r="AU183">
        <v>-1.157736308</v>
      </c>
    </row>
    <row r="184" spans="1:47" x14ac:dyDescent="0.2">
      <c r="A184" t="s">
        <v>248</v>
      </c>
      <c r="B184" s="74">
        <v>33970</v>
      </c>
      <c r="D184">
        <v>2.0726892979999998</v>
      </c>
      <c r="E184">
        <v>-0.302467443</v>
      </c>
      <c r="F184">
        <v>-1.232574249</v>
      </c>
      <c r="H184">
        <v>0.56891053800000002</v>
      </c>
      <c r="I184">
        <v>-0.73104592899999998</v>
      </c>
      <c r="M184">
        <v>-0.32210667700000001</v>
      </c>
      <c r="N184">
        <v>-0.44045066199999999</v>
      </c>
      <c r="P184">
        <v>-0.65159612499999997</v>
      </c>
      <c r="S184">
        <v>-0.706680486</v>
      </c>
      <c r="T184">
        <v>-0.19230784400000001</v>
      </c>
      <c r="U184">
        <v>0.32655200000000001</v>
      </c>
      <c r="V184">
        <v>0.66754747999999997</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-0.71583106399999996</v>
      </c>
      <c r="AK184">
        <v>1.2625899279999999</v>
      </c>
      <c r="AL184">
        <v>0.28138547000000003</v>
      </c>
      <c r="AN184">
        <v>-0.159542129</v>
      </c>
      <c r="AR184">
        <v>-1.3722997889999999</v>
      </c>
      <c r="AT184">
        <v>1.042879871</v>
      </c>
      <c r="AU184">
        <v>-0.84971449799999998</v>
      </c>
    </row>
    <row r="185" spans="1:47" x14ac:dyDescent="0.2">
      <c r="A185" t="s">
        <v>249</v>
      </c>
      <c r="B185" s="74">
        <v>34060</v>
      </c>
      <c r="D185">
        <v>0.70745303100000001</v>
      </c>
      <c r="E185">
        <v>-0.23948065399999999</v>
      </c>
      <c r="F185">
        <v>-0.759719272</v>
      </c>
      <c r="H185">
        <v>0.63994626499999996</v>
      </c>
      <c r="I185">
        <v>-0.13612875599999999</v>
      </c>
      <c r="M185">
        <v>-0.737216961</v>
      </c>
      <c r="N185">
        <v>-1.2010420660000001</v>
      </c>
      <c r="P185">
        <v>-0.93298430300000001</v>
      </c>
      <c r="S185">
        <v>0.23407351200000001</v>
      </c>
      <c r="T185">
        <v>-0.65493250300000005</v>
      </c>
      <c r="U185">
        <v>0.20618800000000001</v>
      </c>
      <c r="V185">
        <v>0.69005913900000004</v>
      </c>
      <c r="W185">
        <v>-2.6539310220000001</v>
      </c>
      <c r="Z185">
        <v>0.50061214799999998</v>
      </c>
      <c r="AA185">
        <v>0.53090806099999999</v>
      </c>
      <c r="AC185">
        <v>-0.210920618</v>
      </c>
      <c r="AD185">
        <v>1.1268584660000001</v>
      </c>
      <c r="AE185">
        <v>1.9906578290000001</v>
      </c>
      <c r="AF185">
        <v>1.2771087809999999</v>
      </c>
      <c r="AH185">
        <v>-2.9684894E-2</v>
      </c>
      <c r="AI185">
        <v>0.61591251700000005</v>
      </c>
      <c r="AJ185">
        <v>-0.65795568500000001</v>
      </c>
      <c r="AK185">
        <v>1.644701787</v>
      </c>
      <c r="AL185">
        <v>0.207505153</v>
      </c>
      <c r="AN185">
        <v>-1.318634595</v>
      </c>
      <c r="AR185">
        <v>-1.657244803</v>
      </c>
      <c r="AT185">
        <v>0.166979092</v>
      </c>
      <c r="AU185">
        <v>1.2857332889999999</v>
      </c>
    </row>
    <row r="186" spans="1:47" x14ac:dyDescent="0.2">
      <c r="A186" t="s">
        <v>250</v>
      </c>
      <c r="B186" s="74">
        <v>34151</v>
      </c>
      <c r="C186">
        <v>2.8529592959999999</v>
      </c>
      <c r="D186">
        <v>0.58403604399999998</v>
      </c>
      <c r="E186">
        <v>0.57054866100000001</v>
      </c>
      <c r="F186">
        <v>1.0102583119999999</v>
      </c>
      <c r="H186">
        <v>0.91043322800000004</v>
      </c>
      <c r="I186">
        <v>1.1075950130000001</v>
      </c>
      <c r="M186">
        <v>-2.7128065999999999E-2</v>
      </c>
      <c r="N186">
        <v>-0.41351913400000001</v>
      </c>
      <c r="P186">
        <v>-6.7753300000000004E-3</v>
      </c>
      <c r="S186">
        <v>-0.19250189300000001</v>
      </c>
      <c r="T186">
        <v>-3.1975383000000003E-2</v>
      </c>
      <c r="U186">
        <v>0.19184499999999999</v>
      </c>
      <c r="V186">
        <v>0.47472242999999997</v>
      </c>
      <c r="W186">
        <v>1.7093619</v>
      </c>
      <c r="Z186">
        <v>0.53079156699999996</v>
      </c>
      <c r="AA186">
        <v>0.90494383300000003</v>
      </c>
      <c r="AC186">
        <v>-0.16877872499999999</v>
      </c>
      <c r="AD186">
        <v>-0.63314586299999998</v>
      </c>
      <c r="AE186">
        <v>2.5653316730000002</v>
      </c>
      <c r="AF186">
        <v>1.3923682449999999</v>
      </c>
      <c r="AH186">
        <v>0.26392413199999998</v>
      </c>
      <c r="AI186">
        <v>0.249895847</v>
      </c>
      <c r="AJ186">
        <v>1.7361653130000001</v>
      </c>
      <c r="AK186">
        <v>2.2122038160000002</v>
      </c>
      <c r="AL186">
        <v>0.42557761100000002</v>
      </c>
      <c r="AN186">
        <v>5.0113557000000003E-2</v>
      </c>
      <c r="AP186">
        <v>1.3909376</v>
      </c>
      <c r="AR186">
        <v>1.292032319</v>
      </c>
      <c r="AT186">
        <v>0.58211345299999995</v>
      </c>
      <c r="AU186">
        <v>0.68276386200000005</v>
      </c>
    </row>
    <row r="187" spans="1:47" x14ac:dyDescent="0.2">
      <c r="A187" t="s">
        <v>251</v>
      </c>
      <c r="B187" s="74">
        <v>34243</v>
      </c>
      <c r="C187">
        <v>2.010235835</v>
      </c>
      <c r="D187">
        <v>0.12183578</v>
      </c>
      <c r="E187">
        <v>1.0195569790000001</v>
      </c>
      <c r="F187">
        <v>0.31644803999999999</v>
      </c>
      <c r="H187">
        <v>0.95304709600000004</v>
      </c>
      <c r="I187">
        <v>0.33713984699999999</v>
      </c>
      <c r="M187">
        <v>0.61058118800000005</v>
      </c>
      <c r="N187">
        <v>0.165747008</v>
      </c>
      <c r="P187">
        <v>1.203186557</v>
      </c>
      <c r="S187">
        <v>0.57229582300000004</v>
      </c>
      <c r="T187">
        <v>0.17951758300000001</v>
      </c>
      <c r="U187">
        <v>0.240282</v>
      </c>
      <c r="V187">
        <v>0.78488561099999998</v>
      </c>
      <c r="W187">
        <v>0.34040084900000001</v>
      </c>
      <c r="Z187">
        <v>0.71341299700000005</v>
      </c>
      <c r="AA187">
        <v>1.2106989290000001</v>
      </c>
      <c r="AC187">
        <v>-0.23859112499999999</v>
      </c>
      <c r="AD187">
        <v>-0.71786239100000004</v>
      </c>
      <c r="AE187">
        <v>1.843683328</v>
      </c>
      <c r="AF187">
        <v>1.336455741</v>
      </c>
      <c r="AH187">
        <v>1.0162637400000001</v>
      </c>
      <c r="AI187">
        <v>0.81725829900000002</v>
      </c>
      <c r="AJ187">
        <v>1.9924875710000001</v>
      </c>
      <c r="AK187">
        <v>2.027558382</v>
      </c>
      <c r="AL187">
        <v>0.38557834899999999</v>
      </c>
      <c r="AN187">
        <v>0.69552905099999995</v>
      </c>
      <c r="AP187">
        <v>1.1598247989999999</v>
      </c>
      <c r="AR187">
        <v>0.81116753799999997</v>
      </c>
      <c r="AT187">
        <v>0.47715658700000002</v>
      </c>
      <c r="AU187">
        <v>1.2823864279999999</v>
      </c>
    </row>
    <row r="188" spans="1:47" x14ac:dyDescent="0.2">
      <c r="A188" t="s">
        <v>252</v>
      </c>
      <c r="B188" s="74">
        <v>34335</v>
      </c>
      <c r="C188">
        <v>0.80545480000000003</v>
      </c>
      <c r="D188">
        <v>1.8388839130000001</v>
      </c>
      <c r="E188">
        <v>0.70270054000000004</v>
      </c>
      <c r="F188">
        <v>0.95239690899999996</v>
      </c>
      <c r="H188">
        <v>0.431683602</v>
      </c>
      <c r="I188">
        <v>0.41319703000000002</v>
      </c>
      <c r="M188">
        <v>-8.0910464000000001E-2</v>
      </c>
      <c r="N188">
        <v>2.188264271</v>
      </c>
      <c r="P188">
        <v>0.376845971</v>
      </c>
      <c r="S188">
        <v>0.754527163</v>
      </c>
      <c r="T188">
        <v>0.22646566800000001</v>
      </c>
      <c r="U188">
        <v>0.84528099999999995</v>
      </c>
      <c r="V188">
        <v>0.66848534000000004</v>
      </c>
      <c r="W188">
        <v>0.19928804</v>
      </c>
      <c r="Z188">
        <v>1.002046454</v>
      </c>
      <c r="AA188">
        <v>1.34170469</v>
      </c>
      <c r="AC188">
        <v>0.74491651199999998</v>
      </c>
      <c r="AD188">
        <v>0.63000248400000003</v>
      </c>
      <c r="AE188">
        <v>1.9136639879999999</v>
      </c>
      <c r="AF188">
        <v>1.1626443870000001</v>
      </c>
      <c r="AH188">
        <v>1.314129474</v>
      </c>
      <c r="AI188">
        <v>-0.62038722899999998</v>
      </c>
      <c r="AJ188">
        <v>3.557989504</v>
      </c>
      <c r="AK188">
        <v>0.93163538899999998</v>
      </c>
      <c r="AL188">
        <v>0.872081353</v>
      </c>
      <c r="AN188">
        <v>0.335461909</v>
      </c>
      <c r="AP188">
        <v>1.5065066359999999</v>
      </c>
      <c r="AR188">
        <v>0.28442769299999998</v>
      </c>
      <c r="AT188">
        <v>1.3600755600000001</v>
      </c>
      <c r="AU188">
        <v>0.853492158</v>
      </c>
    </row>
    <row r="189" spans="1:47" x14ac:dyDescent="0.2">
      <c r="A189" t="s">
        <v>253</v>
      </c>
      <c r="B189" s="74">
        <v>34425</v>
      </c>
      <c r="C189">
        <v>1.4213392140000001</v>
      </c>
      <c r="D189">
        <v>1.631108327</v>
      </c>
      <c r="E189">
        <v>0.321515999</v>
      </c>
      <c r="F189">
        <v>0.70359508999999998</v>
      </c>
      <c r="H189">
        <v>1.4735686990000001</v>
      </c>
      <c r="I189">
        <v>0.63575106999999997</v>
      </c>
      <c r="M189">
        <v>1.376698738</v>
      </c>
      <c r="N189">
        <v>1.222447407</v>
      </c>
      <c r="P189">
        <v>0.82709202800000003</v>
      </c>
      <c r="S189">
        <v>0.66462805800000002</v>
      </c>
      <c r="T189">
        <v>0.668238942</v>
      </c>
      <c r="U189">
        <v>0.98753999999999997</v>
      </c>
      <c r="V189">
        <v>1.1651326870000001</v>
      </c>
      <c r="W189">
        <v>-0.792530175</v>
      </c>
      <c r="Z189">
        <v>1.3507575359999999</v>
      </c>
      <c r="AA189">
        <v>1.2024590740000001</v>
      </c>
      <c r="AC189">
        <v>0.57915478099999995</v>
      </c>
      <c r="AD189">
        <v>0.90074921100000005</v>
      </c>
      <c r="AE189">
        <v>2.916855703</v>
      </c>
      <c r="AF189">
        <v>0.94974912300000003</v>
      </c>
      <c r="AH189">
        <v>1.034255699</v>
      </c>
      <c r="AI189">
        <v>1.4965316099999999</v>
      </c>
      <c r="AJ189">
        <v>-1.1400918790000001</v>
      </c>
      <c r="AK189">
        <v>1.517365031</v>
      </c>
      <c r="AL189">
        <v>0.93211083299999997</v>
      </c>
      <c r="AN189">
        <v>0.33869413999999998</v>
      </c>
      <c r="AP189">
        <v>1.7882290869999999</v>
      </c>
      <c r="AR189">
        <v>1.150458542</v>
      </c>
      <c r="AT189">
        <v>0.97031283999999995</v>
      </c>
      <c r="AU189">
        <v>-4.7133474000000002E-2</v>
      </c>
    </row>
    <row r="190" spans="1:47" x14ac:dyDescent="0.2">
      <c r="A190" t="s">
        <v>254</v>
      </c>
      <c r="B190" s="74">
        <v>34516</v>
      </c>
      <c r="C190">
        <v>2.0682595699999999</v>
      </c>
      <c r="D190">
        <v>1.199326908</v>
      </c>
      <c r="E190">
        <v>0.172232155</v>
      </c>
      <c r="F190">
        <v>1.149795769</v>
      </c>
      <c r="H190">
        <v>1.461328599</v>
      </c>
      <c r="I190">
        <v>-0.97681247500000001</v>
      </c>
      <c r="L190">
        <v>0.96711012100000004</v>
      </c>
      <c r="M190">
        <v>0.23964833499999999</v>
      </c>
      <c r="N190">
        <v>2.9288267920000002</v>
      </c>
      <c r="P190">
        <v>0.21925265099999999</v>
      </c>
      <c r="S190">
        <v>0.86792101899999996</v>
      </c>
      <c r="T190">
        <v>1.014048141</v>
      </c>
      <c r="U190">
        <v>0.80476599999999998</v>
      </c>
      <c r="V190">
        <v>1.1426640850000001</v>
      </c>
      <c r="W190">
        <v>1.2181871049999999</v>
      </c>
      <c r="Z190">
        <v>1.7295238639999999</v>
      </c>
      <c r="AA190">
        <v>0.85341513400000002</v>
      </c>
      <c r="AC190">
        <v>0.83245556499999995</v>
      </c>
      <c r="AD190">
        <v>-0.57449450499999999</v>
      </c>
      <c r="AE190">
        <v>1.6315920960000001</v>
      </c>
      <c r="AF190">
        <v>0.75336469900000003</v>
      </c>
      <c r="AH190">
        <v>2.1051171910000002</v>
      </c>
      <c r="AI190">
        <v>1.150384582</v>
      </c>
      <c r="AJ190">
        <v>2.3288079050000001</v>
      </c>
      <c r="AK190">
        <v>0.66394112800000005</v>
      </c>
      <c r="AL190">
        <v>0.55359465600000002</v>
      </c>
      <c r="AN190">
        <v>1.295817808</v>
      </c>
      <c r="AP190">
        <v>1.2185340520000001</v>
      </c>
      <c r="AR190">
        <v>1.024095607</v>
      </c>
      <c r="AT190">
        <v>1.3550997520000001</v>
      </c>
      <c r="AU190">
        <v>0.97566196199999999</v>
      </c>
    </row>
    <row r="191" spans="1:47" x14ac:dyDescent="0.2">
      <c r="A191" t="s">
        <v>255</v>
      </c>
      <c r="B191" s="74">
        <v>34608</v>
      </c>
      <c r="C191">
        <v>0.25239057599999998</v>
      </c>
      <c r="D191">
        <v>0.77049654700000003</v>
      </c>
      <c r="E191">
        <v>0.906741452</v>
      </c>
      <c r="F191">
        <v>0.27973114799999999</v>
      </c>
      <c r="H191">
        <v>1.278408105</v>
      </c>
      <c r="I191">
        <v>1.0086179230000001</v>
      </c>
      <c r="L191">
        <v>1.3591444770000001</v>
      </c>
      <c r="M191">
        <v>0.70394675399999995</v>
      </c>
      <c r="N191">
        <v>-0.46887167800000001</v>
      </c>
      <c r="P191">
        <v>0.793995059</v>
      </c>
      <c r="S191">
        <v>2.283273409</v>
      </c>
      <c r="T191">
        <v>0.85274481899999999</v>
      </c>
      <c r="U191">
        <v>0.80657299999999998</v>
      </c>
      <c r="V191">
        <v>1.0882986269999999</v>
      </c>
      <c r="W191">
        <v>2.6822298490000001</v>
      </c>
      <c r="Z191">
        <v>2.1888918780000002</v>
      </c>
      <c r="AA191">
        <v>0.30634947600000001</v>
      </c>
      <c r="AC191">
        <v>0.83659070499999999</v>
      </c>
      <c r="AD191">
        <v>1.1719438390000001</v>
      </c>
      <c r="AE191">
        <v>1.6821991110000001</v>
      </c>
      <c r="AF191">
        <v>0.55705723299999998</v>
      </c>
      <c r="AH191">
        <v>0.76318414199999995</v>
      </c>
      <c r="AI191">
        <v>0.75816823300000002</v>
      </c>
      <c r="AJ191">
        <v>-1.358435673</v>
      </c>
      <c r="AK191">
        <v>1.7122620049999999</v>
      </c>
      <c r="AL191">
        <v>0.92398592099999999</v>
      </c>
      <c r="AN191">
        <v>0.45218991800000002</v>
      </c>
      <c r="AP191">
        <v>1.899671272</v>
      </c>
      <c r="AR191">
        <v>0.88225680399999995</v>
      </c>
      <c r="AT191">
        <v>0.58453601600000005</v>
      </c>
      <c r="AU191">
        <v>1.1245152570000001</v>
      </c>
    </row>
    <row r="192" spans="1:47" x14ac:dyDescent="0.2">
      <c r="A192" t="s">
        <v>256</v>
      </c>
      <c r="B192" s="74">
        <v>34700</v>
      </c>
      <c r="C192">
        <v>1.2409345759999999</v>
      </c>
      <c r="D192">
        <v>1.047046369</v>
      </c>
      <c r="E192">
        <v>1.350074333</v>
      </c>
      <c r="F192">
        <v>1.682112024</v>
      </c>
      <c r="H192">
        <v>0.72964738900000004</v>
      </c>
      <c r="I192">
        <v>0.566913467</v>
      </c>
      <c r="L192">
        <v>2.186255117</v>
      </c>
      <c r="M192">
        <v>1.187024466</v>
      </c>
      <c r="N192">
        <v>2.5089371059999999</v>
      </c>
      <c r="P192">
        <v>0.37422348599999999</v>
      </c>
      <c r="S192">
        <v>2.517726235</v>
      </c>
      <c r="T192">
        <v>0.92678589899999997</v>
      </c>
      <c r="U192">
        <v>0.78255699999999995</v>
      </c>
      <c r="V192">
        <v>0.54227407000000005</v>
      </c>
      <c r="W192">
        <v>-0.82163945000000005</v>
      </c>
      <c r="Z192">
        <v>2.5322760720000002</v>
      </c>
      <c r="AA192">
        <v>-0.18225076300000001</v>
      </c>
      <c r="AC192">
        <v>0.95388393299999996</v>
      </c>
      <c r="AD192">
        <v>-0.39532963999999998</v>
      </c>
      <c r="AE192">
        <v>3.930438208</v>
      </c>
      <c r="AF192">
        <v>0.383915746</v>
      </c>
      <c r="AH192">
        <v>1.1562017520000001</v>
      </c>
      <c r="AI192">
        <v>0.94689765800000003</v>
      </c>
      <c r="AJ192">
        <v>3.9520079560000001</v>
      </c>
      <c r="AK192">
        <v>1.3288612040000001</v>
      </c>
      <c r="AL192">
        <v>0.97455401500000005</v>
      </c>
      <c r="AN192">
        <v>1.201951322</v>
      </c>
      <c r="AP192">
        <v>1.4163547649999999</v>
      </c>
      <c r="AR192">
        <v>1.7344313929999999</v>
      </c>
      <c r="AT192">
        <v>1.145518265</v>
      </c>
      <c r="AU192">
        <v>1.858295375</v>
      </c>
    </row>
    <row r="193" spans="1:47" x14ac:dyDescent="0.2">
      <c r="A193" t="s">
        <v>257</v>
      </c>
      <c r="B193" s="74">
        <v>34790</v>
      </c>
      <c r="C193">
        <v>-1.543121762</v>
      </c>
      <c r="D193">
        <v>3.7749294000000003E-2</v>
      </c>
      <c r="E193">
        <v>0.83618019099999996</v>
      </c>
      <c r="F193">
        <v>-5.5348256999999998E-2</v>
      </c>
      <c r="H193">
        <v>0.92948742500000003</v>
      </c>
      <c r="I193">
        <v>-0.480529333</v>
      </c>
      <c r="L193">
        <v>1.7080415879999999</v>
      </c>
      <c r="M193">
        <v>-0.33890034600000002</v>
      </c>
      <c r="N193">
        <v>0.51421894800000001</v>
      </c>
      <c r="P193">
        <v>1.1398878180000001</v>
      </c>
      <c r="S193">
        <v>-0.82644628099999995</v>
      </c>
      <c r="T193">
        <v>0.32271049200000002</v>
      </c>
      <c r="U193">
        <v>0.50205699999999998</v>
      </c>
      <c r="V193">
        <v>0.64000047000000004</v>
      </c>
      <c r="W193">
        <v>-4.0633383000000002E-2</v>
      </c>
      <c r="Z193">
        <v>5.1668089970000004</v>
      </c>
      <c r="AA193">
        <v>-2.8668305959999998</v>
      </c>
      <c r="AC193">
        <v>1.0279599699999999</v>
      </c>
      <c r="AD193">
        <v>1.105515389</v>
      </c>
      <c r="AE193">
        <v>2.0904894180000002</v>
      </c>
      <c r="AF193">
        <v>1.175591279</v>
      </c>
      <c r="AH193">
        <v>-5.7416330149999997</v>
      </c>
      <c r="AI193">
        <v>0.68030274700000004</v>
      </c>
      <c r="AJ193">
        <v>-0.78115906199999996</v>
      </c>
      <c r="AK193">
        <v>1.2137070080000001</v>
      </c>
      <c r="AL193">
        <v>0.36831638900000002</v>
      </c>
      <c r="AN193">
        <v>0.17483652899999999</v>
      </c>
      <c r="AP193">
        <v>1.5160799</v>
      </c>
      <c r="AR193">
        <v>1.282385034</v>
      </c>
      <c r="AT193">
        <v>0.35469547000000001</v>
      </c>
      <c r="AU193">
        <v>0.24994674</v>
      </c>
    </row>
    <row r="194" spans="1:47" x14ac:dyDescent="0.2">
      <c r="A194" t="s">
        <v>258</v>
      </c>
      <c r="B194" s="74">
        <v>34881</v>
      </c>
      <c r="C194">
        <v>-3.790303996</v>
      </c>
      <c r="D194">
        <v>0.40278985</v>
      </c>
      <c r="E194">
        <v>0.42404422600000002</v>
      </c>
      <c r="F194">
        <v>0.42061727999999998</v>
      </c>
      <c r="H194">
        <v>4.0377508999999999E-2</v>
      </c>
      <c r="I194">
        <v>0.17928470299999999</v>
      </c>
      <c r="J194">
        <v>2.757814856</v>
      </c>
      <c r="L194">
        <v>0.395624855</v>
      </c>
      <c r="M194">
        <v>0.73241048200000003</v>
      </c>
      <c r="N194">
        <v>-0.28609833200000001</v>
      </c>
      <c r="O194">
        <v>0.59462599999999999</v>
      </c>
      <c r="P194">
        <v>0.62647534400000005</v>
      </c>
      <c r="Q194">
        <v>-0.98834674600000005</v>
      </c>
      <c r="R194">
        <v>1.1223650000000001</v>
      </c>
      <c r="S194">
        <v>2.686170213</v>
      </c>
      <c r="T194">
        <v>0.62628742199999998</v>
      </c>
      <c r="U194">
        <v>0.43790800000000002</v>
      </c>
      <c r="V194">
        <v>0.18281908799999999</v>
      </c>
      <c r="W194">
        <v>0.94753337699999995</v>
      </c>
      <c r="X194">
        <v>-0.223510351</v>
      </c>
      <c r="Z194">
        <v>2.1006770449999999</v>
      </c>
      <c r="AA194">
        <v>2.3880795620000002</v>
      </c>
      <c r="AB194">
        <v>2.3555220619999999</v>
      </c>
      <c r="AC194">
        <v>-6.4177360000000003E-3</v>
      </c>
      <c r="AD194">
        <v>0.92088106800000002</v>
      </c>
      <c r="AE194">
        <v>2.0218245910000001</v>
      </c>
      <c r="AF194">
        <v>1.049264784</v>
      </c>
      <c r="AG194">
        <v>0.54041350899999996</v>
      </c>
      <c r="AH194">
        <v>-4.8944568530000003</v>
      </c>
      <c r="AI194">
        <v>0.78455015500000003</v>
      </c>
      <c r="AJ194">
        <v>0.872547564</v>
      </c>
      <c r="AK194">
        <v>1.2770198719999999</v>
      </c>
      <c r="AL194">
        <v>0.36206179399999999</v>
      </c>
      <c r="AM194">
        <v>1.807767592</v>
      </c>
      <c r="AN194">
        <v>1.1791211070000001</v>
      </c>
      <c r="AP194">
        <v>1.665206381</v>
      </c>
      <c r="AQ194">
        <v>0.22473611299999999</v>
      </c>
      <c r="AR194">
        <v>0.47495936</v>
      </c>
      <c r="AT194">
        <v>0.29830569899999998</v>
      </c>
      <c r="AU194">
        <v>0.28748407500000001</v>
      </c>
    </row>
    <row r="195" spans="1:47" x14ac:dyDescent="0.2">
      <c r="A195" t="s">
        <v>259</v>
      </c>
      <c r="B195" s="74">
        <v>34973</v>
      </c>
      <c r="C195">
        <v>-0.38629951299999998</v>
      </c>
      <c r="D195">
        <v>2.2550199530000001</v>
      </c>
      <c r="E195">
        <v>0.22681268900000001</v>
      </c>
      <c r="F195">
        <v>0.59956573499999999</v>
      </c>
      <c r="H195">
        <v>0.13178483299999999</v>
      </c>
      <c r="I195">
        <v>0.50291293299999995</v>
      </c>
      <c r="J195">
        <v>0.48926067099999998</v>
      </c>
      <c r="L195">
        <v>2.919067488</v>
      </c>
      <c r="M195">
        <v>0.16878414999999999</v>
      </c>
      <c r="N195">
        <v>0.41705150000000002</v>
      </c>
      <c r="O195">
        <v>0.24154100000000001</v>
      </c>
      <c r="P195">
        <v>0.40478576599999999</v>
      </c>
      <c r="Q195">
        <v>-0.33769277399999997</v>
      </c>
      <c r="R195">
        <v>0.41102699999999998</v>
      </c>
      <c r="S195">
        <v>-0.45181156300000003</v>
      </c>
      <c r="T195">
        <v>0.16647653400000001</v>
      </c>
      <c r="U195">
        <v>0.75228300000000004</v>
      </c>
      <c r="V195">
        <v>1.001778287</v>
      </c>
      <c r="W195">
        <v>0.537860114</v>
      </c>
      <c r="X195">
        <v>-1.8944233000000001E-2</v>
      </c>
      <c r="Z195">
        <v>1.0868055249999999</v>
      </c>
      <c r="AA195">
        <v>-0.89355681600000003</v>
      </c>
      <c r="AB195">
        <v>1.182092004</v>
      </c>
      <c r="AC195">
        <v>0.67419038899999995</v>
      </c>
      <c r="AD195">
        <v>1.1904472290000001</v>
      </c>
      <c r="AE195">
        <v>2.0758731149999998</v>
      </c>
      <c r="AF195">
        <v>1.0396086950000001</v>
      </c>
      <c r="AG195">
        <v>-1.0337723759999999</v>
      </c>
      <c r="AH195">
        <v>1.891182758</v>
      </c>
      <c r="AI195">
        <v>0.78569619400000001</v>
      </c>
      <c r="AJ195">
        <v>2.356398183</v>
      </c>
      <c r="AK195">
        <v>0.92262270899999999</v>
      </c>
      <c r="AL195">
        <v>0.86845959500000003</v>
      </c>
      <c r="AM195">
        <v>3.5603754169999999</v>
      </c>
      <c r="AN195">
        <v>0.43383271699999998</v>
      </c>
      <c r="AP195">
        <v>0.584613414</v>
      </c>
      <c r="AQ195">
        <v>0.193077103</v>
      </c>
      <c r="AR195">
        <v>0.36018260899999999</v>
      </c>
      <c r="AT195">
        <v>0.85066486799999996</v>
      </c>
      <c r="AU195">
        <v>0.66346294900000002</v>
      </c>
    </row>
    <row r="196" spans="1:47" x14ac:dyDescent="0.2">
      <c r="A196" t="s">
        <v>260</v>
      </c>
      <c r="B196" s="74">
        <v>35065</v>
      </c>
      <c r="C196">
        <v>0.76678466499999998</v>
      </c>
      <c r="D196">
        <v>-2.3539615E-2</v>
      </c>
      <c r="E196">
        <v>0.34477217599999999</v>
      </c>
      <c r="F196">
        <v>0.20609081900000001</v>
      </c>
      <c r="H196">
        <v>0.40981295899999998</v>
      </c>
      <c r="I196">
        <v>-9.0384746000000002E-2</v>
      </c>
      <c r="J196">
        <v>1.839741522</v>
      </c>
      <c r="L196">
        <v>-0.77060441800000001</v>
      </c>
      <c r="M196">
        <v>5.1847394999999998E-2</v>
      </c>
      <c r="N196">
        <v>0.73168733399999997</v>
      </c>
      <c r="O196">
        <v>0.33082600000000001</v>
      </c>
      <c r="P196">
        <v>0.74775839799999999</v>
      </c>
      <c r="Q196">
        <v>1.1700026880000001</v>
      </c>
      <c r="R196">
        <v>0.52565799999999996</v>
      </c>
      <c r="S196">
        <v>4.9144311000000003E-2</v>
      </c>
      <c r="T196">
        <v>3.1320340000000001E-3</v>
      </c>
      <c r="U196">
        <v>0.43629299999999999</v>
      </c>
      <c r="V196">
        <v>0.178658391</v>
      </c>
      <c r="W196">
        <v>0.57916797399999997</v>
      </c>
      <c r="X196">
        <v>-0.40936318399999999</v>
      </c>
      <c r="Z196">
        <v>1.4441622709999999</v>
      </c>
      <c r="AA196">
        <v>5.8323831E-2</v>
      </c>
      <c r="AB196">
        <v>0.79481288400000005</v>
      </c>
      <c r="AC196">
        <v>0.69871523499999999</v>
      </c>
      <c r="AD196">
        <v>0.24944466800000001</v>
      </c>
      <c r="AE196">
        <v>1.8705523159999999</v>
      </c>
      <c r="AF196">
        <v>1.070725294</v>
      </c>
      <c r="AG196">
        <v>0.30780242899999999</v>
      </c>
      <c r="AH196">
        <v>1.911607584</v>
      </c>
      <c r="AI196">
        <v>0.71237600300000004</v>
      </c>
      <c r="AJ196">
        <v>1.2337196589999999</v>
      </c>
      <c r="AK196">
        <v>0.67040468099999995</v>
      </c>
      <c r="AL196">
        <v>0.54586205399999999</v>
      </c>
      <c r="AM196">
        <v>-0.14773070899999999</v>
      </c>
      <c r="AN196">
        <v>0.67752244100000003</v>
      </c>
      <c r="AP196">
        <v>1.9026571489999999</v>
      </c>
      <c r="AQ196">
        <v>0.22615178</v>
      </c>
      <c r="AR196">
        <v>1.111243682</v>
      </c>
      <c r="AT196">
        <v>0.67903653600000002</v>
      </c>
      <c r="AU196">
        <v>0.33636665500000001</v>
      </c>
    </row>
    <row r="197" spans="1:47" x14ac:dyDescent="0.2">
      <c r="A197" t="s">
        <v>261</v>
      </c>
      <c r="B197" s="74">
        <v>35156</v>
      </c>
      <c r="C197">
        <v>2.7496599580000001</v>
      </c>
      <c r="D197">
        <v>1.641964905</v>
      </c>
      <c r="E197">
        <v>0.77048545999999996</v>
      </c>
      <c r="F197">
        <v>-0.20149803399999999</v>
      </c>
      <c r="H197">
        <v>6.880559E-2</v>
      </c>
      <c r="I197">
        <v>0.41454206399999999</v>
      </c>
      <c r="J197">
        <v>3.0792518950000001</v>
      </c>
      <c r="L197">
        <v>2.390120762</v>
      </c>
      <c r="M197">
        <v>-0.81617073100000004</v>
      </c>
      <c r="N197">
        <v>1.5030293E-2</v>
      </c>
      <c r="O197">
        <v>0.19089500000000001</v>
      </c>
      <c r="P197">
        <v>0.59609136699999998</v>
      </c>
      <c r="Q197">
        <v>0.89931071699999998</v>
      </c>
      <c r="R197">
        <v>-7.1009999999999997E-3</v>
      </c>
      <c r="S197">
        <v>1.80299922</v>
      </c>
      <c r="T197">
        <v>0.70291747400000004</v>
      </c>
      <c r="U197">
        <v>0.49887700000000001</v>
      </c>
      <c r="V197">
        <v>0.40414093400000001</v>
      </c>
      <c r="W197">
        <v>0.542957052</v>
      </c>
      <c r="X197">
        <v>0.659195423</v>
      </c>
      <c r="Z197">
        <v>2.9862833200000001</v>
      </c>
      <c r="AA197">
        <v>4.5000166159999999</v>
      </c>
      <c r="AB197">
        <v>1.763555835</v>
      </c>
      <c r="AC197">
        <v>0.26655667500000002</v>
      </c>
      <c r="AD197">
        <v>0.81366330399999998</v>
      </c>
      <c r="AE197">
        <v>1.9081351989999999</v>
      </c>
      <c r="AF197">
        <v>1.1867050889999999</v>
      </c>
      <c r="AG197">
        <v>-0.264013736</v>
      </c>
      <c r="AH197">
        <v>2.7016424259999998</v>
      </c>
      <c r="AI197">
        <v>0.41082790899999999</v>
      </c>
      <c r="AJ197">
        <v>1.5103340030000001</v>
      </c>
      <c r="AK197">
        <v>1.4045283930000001</v>
      </c>
      <c r="AL197">
        <v>0.72362280199999995</v>
      </c>
      <c r="AM197">
        <v>2.9581256260000002</v>
      </c>
      <c r="AN197">
        <v>0.78990095000000005</v>
      </c>
      <c r="AP197">
        <v>1.6899191170000001</v>
      </c>
      <c r="AQ197">
        <v>0.65611327900000005</v>
      </c>
      <c r="AR197">
        <v>0.66564040400000002</v>
      </c>
      <c r="AT197">
        <v>0.74897132899999996</v>
      </c>
      <c r="AU197">
        <v>1.8524983070000001</v>
      </c>
    </row>
    <row r="198" spans="1:47" x14ac:dyDescent="0.2">
      <c r="A198" t="s">
        <v>262</v>
      </c>
      <c r="B198" s="74">
        <v>35247</v>
      </c>
      <c r="C198">
        <v>2.2287660229999999</v>
      </c>
      <c r="D198">
        <v>0.68681597800000005</v>
      </c>
      <c r="E198">
        <v>0.74958469999999999</v>
      </c>
      <c r="F198">
        <v>0.70179347199999997</v>
      </c>
      <c r="G198">
        <v>1.1249418229999999</v>
      </c>
      <c r="H198">
        <v>0.69629274799999996</v>
      </c>
      <c r="I198">
        <v>-0.36016712400000001</v>
      </c>
      <c r="J198">
        <v>0.994936771</v>
      </c>
      <c r="L198">
        <v>0.66402883099999999</v>
      </c>
      <c r="M198">
        <v>1.345352952</v>
      </c>
      <c r="N198">
        <v>2.708013266</v>
      </c>
      <c r="O198">
        <v>0.70237700000000003</v>
      </c>
      <c r="P198">
        <v>0.74441277800000005</v>
      </c>
      <c r="Q198">
        <v>1.702641332</v>
      </c>
      <c r="R198">
        <v>0.71827700000000005</v>
      </c>
      <c r="S198">
        <v>0.78903300899999995</v>
      </c>
      <c r="T198">
        <v>0.110006338</v>
      </c>
      <c r="U198">
        <v>1.1579919999999999</v>
      </c>
      <c r="V198">
        <v>3.9821690999999999E-2</v>
      </c>
      <c r="W198">
        <v>0.57388104200000001</v>
      </c>
      <c r="X198">
        <v>-0.63739946599999997</v>
      </c>
      <c r="Z198">
        <v>2.2300166469999998</v>
      </c>
      <c r="AA198">
        <v>0.27026765600000002</v>
      </c>
      <c r="AB198">
        <v>1.332242328</v>
      </c>
      <c r="AC198">
        <v>-0.12978272800000001</v>
      </c>
      <c r="AD198">
        <v>1.257523733</v>
      </c>
      <c r="AE198">
        <v>2.020152462</v>
      </c>
      <c r="AF198">
        <v>-7.017608955</v>
      </c>
      <c r="AG198">
        <v>-9.8549765999999997E-2</v>
      </c>
      <c r="AH198">
        <v>1.306015787</v>
      </c>
      <c r="AI198">
        <v>1.1149671569999999</v>
      </c>
      <c r="AJ198">
        <v>-0.13700357799999999</v>
      </c>
      <c r="AK198">
        <v>0.88955223900000002</v>
      </c>
      <c r="AL198">
        <v>1.124481303</v>
      </c>
      <c r="AM198">
        <v>2.194499183</v>
      </c>
      <c r="AN198">
        <v>1.1994918969999999</v>
      </c>
      <c r="AP198">
        <v>1.18129956</v>
      </c>
      <c r="AQ198">
        <v>1.175785351</v>
      </c>
      <c r="AR198">
        <v>-0.78232398000000003</v>
      </c>
      <c r="AT198">
        <v>1.667883947</v>
      </c>
      <c r="AU198">
        <v>1.19135893</v>
      </c>
    </row>
    <row r="199" spans="1:47" x14ac:dyDescent="0.2">
      <c r="A199" t="s">
        <v>263</v>
      </c>
      <c r="B199" s="74">
        <v>35339</v>
      </c>
      <c r="C199">
        <v>2.2966779590000002</v>
      </c>
      <c r="D199">
        <v>0.77375450499999998</v>
      </c>
      <c r="E199">
        <v>0.34048155099999999</v>
      </c>
      <c r="F199">
        <v>0.46045353999999999</v>
      </c>
      <c r="G199">
        <v>3.7329509060000001</v>
      </c>
      <c r="H199">
        <v>0.86397327899999998</v>
      </c>
      <c r="I199">
        <v>-5.9233225E-2</v>
      </c>
      <c r="J199">
        <v>0.99691423899999998</v>
      </c>
      <c r="L199">
        <v>0.52237910399999998</v>
      </c>
      <c r="M199">
        <v>0.33509524299999999</v>
      </c>
      <c r="N199">
        <v>0.28281910700000001</v>
      </c>
      <c r="O199">
        <v>0.51753800000000005</v>
      </c>
      <c r="P199">
        <v>0.85796829200000002</v>
      </c>
      <c r="Q199">
        <v>3.1805409889999998</v>
      </c>
      <c r="R199">
        <v>0.50077000000000005</v>
      </c>
      <c r="S199">
        <v>0.58010194000000004</v>
      </c>
      <c r="T199">
        <v>0.51377589300000004</v>
      </c>
      <c r="U199">
        <v>0.62440099999999998</v>
      </c>
      <c r="V199">
        <v>1.0635891120000001</v>
      </c>
      <c r="W199">
        <v>1.360099317</v>
      </c>
      <c r="X199">
        <v>-0.172723024</v>
      </c>
      <c r="Y199">
        <v>0.48898000000000003</v>
      </c>
      <c r="Z199">
        <v>-0.55423627399999997</v>
      </c>
      <c r="AA199">
        <v>-1.734481027</v>
      </c>
      <c r="AB199">
        <v>1.2043598090000001</v>
      </c>
      <c r="AC199">
        <v>0.123362892</v>
      </c>
      <c r="AD199">
        <v>0.13725120399999999</v>
      </c>
      <c r="AE199">
        <v>1.758931416</v>
      </c>
      <c r="AF199">
        <v>7.7576161450000001</v>
      </c>
      <c r="AG199">
        <v>3.532465336</v>
      </c>
      <c r="AH199">
        <v>1.683802716</v>
      </c>
      <c r="AI199">
        <v>1.4000731120000001</v>
      </c>
      <c r="AJ199">
        <v>3.332387583</v>
      </c>
      <c r="AK199">
        <v>0.65684359999999997</v>
      </c>
      <c r="AL199">
        <v>0.73383917200000004</v>
      </c>
      <c r="AM199">
        <v>0.87001016600000003</v>
      </c>
      <c r="AN199">
        <v>1.3568094740000001</v>
      </c>
      <c r="AP199">
        <v>2.5021132970000002</v>
      </c>
      <c r="AQ199">
        <v>1.2989593100000001</v>
      </c>
      <c r="AR199">
        <v>0.38719777</v>
      </c>
      <c r="AT199">
        <v>0.89701093600000004</v>
      </c>
      <c r="AU199">
        <v>1.191484164</v>
      </c>
    </row>
    <row r="200" spans="1:47" x14ac:dyDescent="0.2">
      <c r="A200" t="s">
        <v>264</v>
      </c>
      <c r="B200" s="74">
        <v>35431</v>
      </c>
      <c r="C200">
        <v>1.8222659830000001</v>
      </c>
      <c r="D200">
        <v>0.92602234999999999</v>
      </c>
      <c r="E200">
        <v>0.157053953</v>
      </c>
      <c r="F200">
        <v>0.78868044000000004</v>
      </c>
      <c r="G200">
        <v>-0.96180445400000003</v>
      </c>
      <c r="H200">
        <v>0.80536635999999995</v>
      </c>
      <c r="I200">
        <v>0.50877844299999997</v>
      </c>
      <c r="J200">
        <v>1.4332506970000001</v>
      </c>
      <c r="L200">
        <v>3.648651E-2</v>
      </c>
      <c r="M200">
        <v>0.75786846200000002</v>
      </c>
      <c r="N200">
        <v>3.4009023999999999E-2</v>
      </c>
      <c r="O200">
        <v>0.47959499999999999</v>
      </c>
      <c r="P200">
        <v>0.521448142</v>
      </c>
      <c r="Q200">
        <v>2.032042079</v>
      </c>
      <c r="R200">
        <v>0.39409100000000002</v>
      </c>
      <c r="S200">
        <v>1.8730576480000001</v>
      </c>
      <c r="T200">
        <v>0.25882765800000002</v>
      </c>
      <c r="U200">
        <v>0.85297900000000004</v>
      </c>
      <c r="V200">
        <v>0.99572411000000005</v>
      </c>
      <c r="W200">
        <v>1.0594108179999999</v>
      </c>
      <c r="X200">
        <v>1.264235649</v>
      </c>
      <c r="Y200">
        <v>1.5855699999999999</v>
      </c>
      <c r="Z200">
        <v>1.2202072559999999</v>
      </c>
      <c r="AA200">
        <v>2.2319916860000002</v>
      </c>
      <c r="AB200">
        <v>1.6577531839999999</v>
      </c>
      <c r="AC200">
        <v>-0.33328270799999998</v>
      </c>
      <c r="AD200">
        <v>1.1253122229999999</v>
      </c>
      <c r="AE200">
        <v>1.6915792140000001</v>
      </c>
      <c r="AF200">
        <v>1.3479404450000001</v>
      </c>
      <c r="AG200">
        <v>5.2497501919999996</v>
      </c>
      <c r="AH200">
        <v>3.0181530150000002</v>
      </c>
      <c r="AI200">
        <v>0.71094114600000002</v>
      </c>
      <c r="AJ200">
        <v>-1.6042565870000001</v>
      </c>
      <c r="AK200">
        <v>1.3080540860000001</v>
      </c>
      <c r="AL200">
        <v>0.95331054699999995</v>
      </c>
      <c r="AM200">
        <v>-4.0578575079999997</v>
      </c>
      <c r="AN200">
        <v>0.282339693</v>
      </c>
      <c r="AP200">
        <v>1.9674426089999999</v>
      </c>
      <c r="AQ200">
        <v>1.7388979309999999</v>
      </c>
      <c r="AR200">
        <v>0.72861206599999995</v>
      </c>
      <c r="AT200">
        <v>1.038397649</v>
      </c>
      <c r="AU200">
        <v>0.93817146600000001</v>
      </c>
    </row>
    <row r="201" spans="1:47" x14ac:dyDescent="0.2">
      <c r="A201" t="s">
        <v>265</v>
      </c>
      <c r="B201" s="74">
        <v>35521</v>
      </c>
      <c r="C201">
        <v>2.1002052839999998</v>
      </c>
      <c r="D201">
        <v>0.61909183999999995</v>
      </c>
      <c r="E201">
        <v>0.62043596099999998</v>
      </c>
      <c r="F201">
        <v>1.002376205</v>
      </c>
      <c r="G201">
        <v>1.0368819970000001</v>
      </c>
      <c r="H201">
        <v>1.3191744510000001</v>
      </c>
      <c r="I201">
        <v>1.0262317030000001</v>
      </c>
      <c r="J201">
        <v>2.2677075790000001</v>
      </c>
      <c r="L201">
        <v>-0.45135587799999999</v>
      </c>
      <c r="M201">
        <v>-0.52268668799999995</v>
      </c>
      <c r="N201">
        <v>1.2551062850000001</v>
      </c>
      <c r="O201">
        <v>0.249942</v>
      </c>
      <c r="P201">
        <v>1.0202487600000001</v>
      </c>
      <c r="Q201">
        <v>3.6257216749999999</v>
      </c>
      <c r="R201">
        <v>0.39862300000000001</v>
      </c>
      <c r="S201">
        <v>1.1790248999999999</v>
      </c>
      <c r="T201">
        <v>0.34746116700000002</v>
      </c>
      <c r="U201">
        <v>0.49280299999999999</v>
      </c>
      <c r="V201">
        <v>1.5324488039999999</v>
      </c>
      <c r="W201">
        <v>0.57090113099999995</v>
      </c>
      <c r="X201">
        <v>1.0347585610000001</v>
      </c>
      <c r="Y201">
        <v>0.75236000000000003</v>
      </c>
      <c r="Z201">
        <v>4.2773709560000004</v>
      </c>
      <c r="AA201">
        <v>4.161234672</v>
      </c>
      <c r="AB201">
        <v>0.89688288900000002</v>
      </c>
      <c r="AC201">
        <v>0.35497020299999998</v>
      </c>
      <c r="AD201">
        <v>0.25425104999999998</v>
      </c>
      <c r="AE201">
        <v>0.46806386999999999</v>
      </c>
      <c r="AF201">
        <v>0.63123884100000005</v>
      </c>
      <c r="AG201">
        <v>-0.82792289100000005</v>
      </c>
      <c r="AH201">
        <v>0.17428084199999999</v>
      </c>
      <c r="AI201">
        <v>1.0909732759999999</v>
      </c>
      <c r="AJ201">
        <v>2.6850251150000002</v>
      </c>
      <c r="AK201">
        <v>-0.37719425499999998</v>
      </c>
      <c r="AL201">
        <v>0.60626964900000002</v>
      </c>
      <c r="AM201">
        <v>7.2097144139999996</v>
      </c>
      <c r="AN201">
        <v>1.644745127</v>
      </c>
      <c r="AP201">
        <v>0.99105549199999998</v>
      </c>
      <c r="AQ201">
        <v>0.50970464999999998</v>
      </c>
      <c r="AR201">
        <v>0.90975356200000002</v>
      </c>
      <c r="AT201">
        <v>0.64556077700000003</v>
      </c>
      <c r="AU201">
        <v>0.46421678</v>
      </c>
    </row>
    <row r="202" spans="1:47" x14ac:dyDescent="0.2">
      <c r="A202" t="s">
        <v>266</v>
      </c>
      <c r="B202" s="74">
        <v>35612</v>
      </c>
      <c r="C202">
        <v>1.4875138809999999</v>
      </c>
      <c r="D202">
        <v>2.9734718510000002</v>
      </c>
      <c r="E202">
        <v>0.28770377699999999</v>
      </c>
      <c r="F202">
        <v>1.546782044</v>
      </c>
      <c r="G202">
        <v>0.55612908400000005</v>
      </c>
      <c r="H202">
        <v>1.1296315130000001</v>
      </c>
      <c r="I202">
        <v>0.26259522600000001</v>
      </c>
      <c r="J202">
        <v>2.0812338549999998</v>
      </c>
      <c r="L202">
        <v>-0.226835869</v>
      </c>
      <c r="M202">
        <v>1.294373116</v>
      </c>
      <c r="N202">
        <v>1.7174871949999999</v>
      </c>
      <c r="O202">
        <v>1.2141759999999999</v>
      </c>
      <c r="P202">
        <v>0.91289625900000004</v>
      </c>
      <c r="Q202">
        <v>4.2028330900000004</v>
      </c>
      <c r="R202">
        <v>1.2007080000000001</v>
      </c>
      <c r="S202">
        <v>1.5184028249999999</v>
      </c>
      <c r="T202">
        <v>0.99992666500000005</v>
      </c>
      <c r="U202">
        <v>1.058236</v>
      </c>
      <c r="V202">
        <v>1.061110574</v>
      </c>
      <c r="W202">
        <v>1.714354301</v>
      </c>
      <c r="X202">
        <v>1.006050707</v>
      </c>
      <c r="Y202">
        <v>0.40984999999999999</v>
      </c>
      <c r="Z202">
        <v>4.5438161729999997</v>
      </c>
      <c r="AA202">
        <v>0.659648495</v>
      </c>
      <c r="AB202">
        <v>0.60896285800000005</v>
      </c>
      <c r="AC202">
        <v>1.347884028</v>
      </c>
      <c r="AD202">
        <v>-0.76423770300000005</v>
      </c>
      <c r="AE202">
        <v>3.5505527730000002</v>
      </c>
      <c r="AF202">
        <v>1.2107655390000001</v>
      </c>
      <c r="AG202">
        <v>4.1270933559999996</v>
      </c>
      <c r="AH202">
        <v>2.3027390329999999</v>
      </c>
      <c r="AI202">
        <v>1.041229521</v>
      </c>
      <c r="AJ202">
        <v>2.4121600569999999</v>
      </c>
      <c r="AK202">
        <v>1.960099024</v>
      </c>
      <c r="AL202">
        <v>1.282166825</v>
      </c>
      <c r="AM202">
        <v>1.3724466550000001</v>
      </c>
      <c r="AN202">
        <v>0.90861801399999997</v>
      </c>
      <c r="AP202">
        <v>1.4857962739999999</v>
      </c>
      <c r="AQ202">
        <v>2.3026533570000001</v>
      </c>
      <c r="AR202">
        <v>1.1707540430000001</v>
      </c>
      <c r="AT202">
        <v>1.661978105</v>
      </c>
      <c r="AU202">
        <v>0.62741087299999998</v>
      </c>
    </row>
    <row r="203" spans="1:47" x14ac:dyDescent="0.2">
      <c r="A203" t="s">
        <v>267</v>
      </c>
      <c r="B203" s="74">
        <v>35704</v>
      </c>
      <c r="C203">
        <v>2.5172173440000001</v>
      </c>
      <c r="D203">
        <v>0.14095242499999999</v>
      </c>
      <c r="E203">
        <v>1.2325822980000001</v>
      </c>
      <c r="F203">
        <v>0.88144439699999999</v>
      </c>
      <c r="G203">
        <v>1.249237213</v>
      </c>
      <c r="H203">
        <v>1.1834338419999999</v>
      </c>
      <c r="I203">
        <v>1.063602186</v>
      </c>
      <c r="J203">
        <v>2.2589836050000001</v>
      </c>
      <c r="L203">
        <v>-0.58160963300000001</v>
      </c>
      <c r="M203">
        <v>0.30364237100000002</v>
      </c>
      <c r="N203">
        <v>-0.28229916399999999</v>
      </c>
      <c r="O203">
        <v>0.81212200000000001</v>
      </c>
      <c r="P203">
        <v>1.1910360529999999</v>
      </c>
      <c r="Q203">
        <v>2.693309062</v>
      </c>
      <c r="R203">
        <v>0.74416199999999999</v>
      </c>
      <c r="S203">
        <v>2.3572537059999998</v>
      </c>
      <c r="T203">
        <v>0.97830182399999999</v>
      </c>
      <c r="U203">
        <v>0.87981900000000002</v>
      </c>
      <c r="V203">
        <v>0.93403513599999999</v>
      </c>
      <c r="W203">
        <v>1.595103859</v>
      </c>
      <c r="X203">
        <v>0.89328017699999995</v>
      </c>
      <c r="Y203">
        <v>1.1928300000000001</v>
      </c>
      <c r="Z203">
        <v>1.6768277810000001</v>
      </c>
      <c r="AA203">
        <v>-1.0477164859999999</v>
      </c>
      <c r="AB203">
        <v>-8.5453790000000005E-3</v>
      </c>
      <c r="AC203">
        <v>0.69189273399999995</v>
      </c>
      <c r="AD203">
        <v>0.20703142199999999</v>
      </c>
      <c r="AE203">
        <v>0.79174437600000003</v>
      </c>
      <c r="AF203">
        <v>1.135210979</v>
      </c>
      <c r="AG203">
        <v>1.7698651830000001</v>
      </c>
      <c r="AH203">
        <v>1.8991769650000001</v>
      </c>
      <c r="AI203">
        <v>1.45275968</v>
      </c>
      <c r="AJ203">
        <v>-0.107436238</v>
      </c>
      <c r="AK203">
        <v>-0.245658135</v>
      </c>
      <c r="AL203">
        <v>0.92593148000000003</v>
      </c>
      <c r="AM203">
        <v>-0.25796960299999999</v>
      </c>
      <c r="AN203">
        <v>1.3009623269999999</v>
      </c>
      <c r="AP203">
        <v>1.658807441</v>
      </c>
      <c r="AQ203">
        <v>0.87606601799999995</v>
      </c>
      <c r="AR203">
        <v>0.75833538199999995</v>
      </c>
      <c r="AT203">
        <v>1.2507785730000001</v>
      </c>
      <c r="AU203">
        <v>9.9423794999999995E-2</v>
      </c>
    </row>
    <row r="204" spans="1:47" x14ac:dyDescent="0.2">
      <c r="A204" t="s">
        <v>268</v>
      </c>
      <c r="B204" s="74">
        <v>35796</v>
      </c>
      <c r="C204">
        <v>1.3514575719999999</v>
      </c>
      <c r="D204">
        <v>1.4473185980000001</v>
      </c>
      <c r="E204">
        <v>0.99266090799999995</v>
      </c>
      <c r="F204">
        <v>0.55697806400000005</v>
      </c>
      <c r="G204">
        <v>0.83303407600000001</v>
      </c>
      <c r="H204">
        <v>0.96832222199999995</v>
      </c>
      <c r="I204">
        <v>0.76166960299999997</v>
      </c>
      <c r="J204">
        <v>2.128630587</v>
      </c>
      <c r="L204">
        <v>-0.30988803599999998</v>
      </c>
      <c r="M204">
        <v>0.75680293499999995</v>
      </c>
      <c r="N204">
        <v>-1.3656432E-2</v>
      </c>
      <c r="O204">
        <v>1.121648</v>
      </c>
      <c r="P204">
        <v>1.3660503079999999</v>
      </c>
      <c r="Q204">
        <v>3.131920579</v>
      </c>
      <c r="R204">
        <v>1.1129450000000001</v>
      </c>
      <c r="S204">
        <v>2.9460201279999998</v>
      </c>
      <c r="T204">
        <v>0.99292172199999995</v>
      </c>
      <c r="U204">
        <v>0.83221400000000001</v>
      </c>
      <c r="V204">
        <v>1.45499958</v>
      </c>
      <c r="W204">
        <v>0.95343378199999995</v>
      </c>
      <c r="X204">
        <v>0.84333677399999996</v>
      </c>
      <c r="Y204">
        <v>1.6008599999999999</v>
      </c>
      <c r="Z204">
        <v>1.627774888</v>
      </c>
      <c r="AA204">
        <v>2.9089756200000001</v>
      </c>
      <c r="AB204">
        <v>1.776445064</v>
      </c>
      <c r="AC204">
        <v>1.7979169230000001</v>
      </c>
      <c r="AD204">
        <v>4.2327025999999997E-2</v>
      </c>
      <c r="AE204">
        <v>-0.45599433099999997</v>
      </c>
      <c r="AF204">
        <v>1.1201756650000001</v>
      </c>
      <c r="AG204">
        <v>0.28805431300000001</v>
      </c>
      <c r="AH204">
        <v>2.4798419869999999</v>
      </c>
      <c r="AI204">
        <v>1.282980368</v>
      </c>
      <c r="AJ204">
        <v>1.412751042</v>
      </c>
      <c r="AK204">
        <v>-0.19471966099999999</v>
      </c>
      <c r="AL204">
        <v>0.943929829</v>
      </c>
      <c r="AM204">
        <v>1.6760755759999999</v>
      </c>
      <c r="AN204">
        <v>0.67232428600000005</v>
      </c>
      <c r="AP204">
        <v>-0.52689999099999996</v>
      </c>
      <c r="AQ204">
        <v>0.37333004400000003</v>
      </c>
      <c r="AR204">
        <v>2.0122568250000001</v>
      </c>
      <c r="AT204">
        <v>0.85874356299999999</v>
      </c>
      <c r="AU204">
        <v>1.3815328999999999E-2</v>
      </c>
    </row>
    <row r="205" spans="1:47" x14ac:dyDescent="0.2">
      <c r="A205" t="s">
        <v>269</v>
      </c>
      <c r="B205" s="74">
        <v>35886</v>
      </c>
      <c r="C205">
        <v>0.51742156399999994</v>
      </c>
      <c r="D205">
        <v>0.67223912600000002</v>
      </c>
      <c r="E205">
        <v>0.84608513600000002</v>
      </c>
      <c r="F205">
        <v>0.25988344600000002</v>
      </c>
      <c r="G205">
        <v>-1.9684916880000001</v>
      </c>
      <c r="H205">
        <v>1.41241503</v>
      </c>
      <c r="I205">
        <v>0.94618185700000002</v>
      </c>
      <c r="J205">
        <v>0.80332668600000001</v>
      </c>
      <c r="L205">
        <v>-5.7211900000000001E-3</v>
      </c>
      <c r="M205">
        <v>0.93891543600000005</v>
      </c>
      <c r="N205">
        <v>1.5077876960000001</v>
      </c>
      <c r="O205">
        <v>0.64751300000000001</v>
      </c>
      <c r="P205">
        <v>0.88142718099999995</v>
      </c>
      <c r="Q205">
        <v>0.81874802599999996</v>
      </c>
      <c r="R205">
        <v>0.70918800000000004</v>
      </c>
      <c r="S205">
        <v>-0.72875933199999998</v>
      </c>
      <c r="T205">
        <v>0.93495665100000003</v>
      </c>
      <c r="U205">
        <v>0.46713300000000002</v>
      </c>
      <c r="V205">
        <v>0.60051480300000004</v>
      </c>
      <c r="W205">
        <v>1.2009036099999999</v>
      </c>
      <c r="X205">
        <v>0.855183841</v>
      </c>
      <c r="Y205">
        <v>1.6300699999999999</v>
      </c>
      <c r="Z205">
        <v>2.2931632780000002</v>
      </c>
      <c r="AA205">
        <v>-2.578806895</v>
      </c>
      <c r="AB205">
        <v>1.4373874740000001</v>
      </c>
      <c r="AC205">
        <v>-0.75601494700000005</v>
      </c>
      <c r="AD205">
        <v>-1.2230038379999999</v>
      </c>
      <c r="AE205">
        <v>-6.8180219849999997</v>
      </c>
      <c r="AF205">
        <v>1.0722199189999999</v>
      </c>
      <c r="AG205">
        <v>5.7421476670000002</v>
      </c>
      <c r="AH205">
        <v>0.92084482999999995</v>
      </c>
      <c r="AI205">
        <v>1.3490372850000001</v>
      </c>
      <c r="AJ205">
        <v>0.96486338400000005</v>
      </c>
      <c r="AK205">
        <v>-0.56234578499999999</v>
      </c>
      <c r="AL205">
        <v>0.41176615</v>
      </c>
      <c r="AM205">
        <v>2.7752912250000001</v>
      </c>
      <c r="AN205">
        <v>1.4476665689999999</v>
      </c>
      <c r="AP205">
        <v>1.7637956100000001</v>
      </c>
      <c r="AQ205">
        <v>0.62190857899999996</v>
      </c>
      <c r="AR205">
        <v>0.42829559900000003</v>
      </c>
      <c r="AT205">
        <v>0.999375401</v>
      </c>
      <c r="AU205">
        <v>0.26270384400000002</v>
      </c>
    </row>
    <row r="206" spans="1:47" x14ac:dyDescent="0.2">
      <c r="A206" t="s">
        <v>270</v>
      </c>
      <c r="B206" s="74">
        <v>35977</v>
      </c>
      <c r="C206">
        <v>1.9595053579999999</v>
      </c>
      <c r="D206">
        <v>0.91792252100000005</v>
      </c>
      <c r="E206">
        <v>1.0006947530000001</v>
      </c>
      <c r="F206">
        <v>0.33252166599999999</v>
      </c>
      <c r="G206">
        <v>1.67838296</v>
      </c>
      <c r="H206">
        <v>5.3398141000000003E-2</v>
      </c>
      <c r="I206">
        <v>1.1068799439999999</v>
      </c>
      <c r="J206">
        <v>1.696357568</v>
      </c>
      <c r="L206">
        <v>0.27408792900000001</v>
      </c>
      <c r="M206">
        <v>-0.43408364500000002</v>
      </c>
      <c r="N206">
        <v>-0.75521729999999998</v>
      </c>
      <c r="O206">
        <v>0.435919</v>
      </c>
      <c r="P206">
        <v>1.134158547</v>
      </c>
      <c r="Q206">
        <v>-0.56528336499999998</v>
      </c>
      <c r="R206">
        <v>0.41298400000000002</v>
      </c>
      <c r="S206">
        <v>2.0181608899999999</v>
      </c>
      <c r="T206">
        <v>0.80163821199999996</v>
      </c>
      <c r="U206">
        <v>0.449855</v>
      </c>
      <c r="V206">
        <v>0.53216760799999996</v>
      </c>
      <c r="W206">
        <v>0.44231389199999999</v>
      </c>
      <c r="X206">
        <v>1.5223491220000001</v>
      </c>
      <c r="Y206">
        <v>1.31074</v>
      </c>
      <c r="Z206">
        <v>2.5941457749999999</v>
      </c>
      <c r="AA206">
        <v>10.067048432</v>
      </c>
      <c r="AB206">
        <v>1.0618837000000001E-2</v>
      </c>
      <c r="AC206">
        <v>0.58450155800000003</v>
      </c>
      <c r="AD206">
        <v>-0.44144050299999998</v>
      </c>
      <c r="AE206">
        <v>-0.80793206900000003</v>
      </c>
      <c r="AF206">
        <v>3.5119039920000001</v>
      </c>
      <c r="AG206">
        <v>-0.48133986099999998</v>
      </c>
      <c r="AH206">
        <v>0.716764807</v>
      </c>
      <c r="AI206">
        <v>0.715690359</v>
      </c>
      <c r="AJ206">
        <v>1.1331350650000001</v>
      </c>
      <c r="AK206">
        <v>0.493392579</v>
      </c>
      <c r="AL206">
        <v>0.45241204800000001</v>
      </c>
      <c r="AM206">
        <v>-0.26705288799999999</v>
      </c>
      <c r="AN206">
        <v>1.535719128</v>
      </c>
      <c r="AP206">
        <v>1.5806818E-2</v>
      </c>
      <c r="AQ206">
        <v>0.711566594</v>
      </c>
      <c r="AR206">
        <v>1.3413931990000001</v>
      </c>
      <c r="AS206">
        <v>-0.79654295600000002</v>
      </c>
      <c r="AT206">
        <v>0.92582050699999996</v>
      </c>
      <c r="AU206">
        <v>0.14142531699999999</v>
      </c>
    </row>
    <row r="207" spans="1:47" x14ac:dyDescent="0.2">
      <c r="A207" t="s">
        <v>271</v>
      </c>
      <c r="B207" s="74">
        <v>36069</v>
      </c>
      <c r="C207">
        <v>-0.30461429800000001</v>
      </c>
      <c r="D207">
        <v>1.888914041</v>
      </c>
      <c r="E207">
        <v>0.716556372</v>
      </c>
      <c r="F207">
        <v>0.29227557399999998</v>
      </c>
      <c r="G207">
        <v>4.2385979999999997E-3</v>
      </c>
      <c r="H207">
        <v>0.91021039000000004</v>
      </c>
      <c r="I207">
        <v>-1.7171821E-2</v>
      </c>
      <c r="J207">
        <v>-0.67169375099999995</v>
      </c>
      <c r="L207">
        <v>3.4371124000000003E-2</v>
      </c>
      <c r="M207">
        <v>0.47333819100000002</v>
      </c>
      <c r="N207">
        <v>1.837315059</v>
      </c>
      <c r="O207">
        <v>0.60423199999999999</v>
      </c>
      <c r="P207">
        <v>0.94572555300000005</v>
      </c>
      <c r="Q207">
        <v>-0.101683574</v>
      </c>
      <c r="R207">
        <v>0.62850099999999998</v>
      </c>
      <c r="S207">
        <v>1.2561428139999999</v>
      </c>
      <c r="T207">
        <v>0.74353634499999999</v>
      </c>
      <c r="U207">
        <v>0.78947999999999996</v>
      </c>
      <c r="V207">
        <v>0.30097738400000001</v>
      </c>
      <c r="W207">
        <v>0.34917263199999998</v>
      </c>
      <c r="X207">
        <v>0.91801948899999997</v>
      </c>
      <c r="Y207">
        <v>1.8147500000000001</v>
      </c>
      <c r="Z207">
        <v>3.730053378</v>
      </c>
      <c r="AA207">
        <v>-0.34242207200000002</v>
      </c>
      <c r="AB207">
        <v>0.93321600500000002</v>
      </c>
      <c r="AC207">
        <v>0.137618776</v>
      </c>
      <c r="AD207">
        <v>0.18234118199999999</v>
      </c>
      <c r="AE207">
        <v>1.7471518049999999</v>
      </c>
      <c r="AF207">
        <v>1.8494432059999999</v>
      </c>
      <c r="AG207">
        <v>-0.95110101199999997</v>
      </c>
      <c r="AH207">
        <v>0.51758897599999998</v>
      </c>
      <c r="AI207">
        <v>0.85358416100000001</v>
      </c>
      <c r="AJ207">
        <v>-1.7936721710000001</v>
      </c>
      <c r="AK207">
        <v>9.4748629000000001E-2</v>
      </c>
      <c r="AL207">
        <v>0.70530252199999999</v>
      </c>
      <c r="AM207">
        <v>0.84370996499999995</v>
      </c>
      <c r="AN207">
        <v>1.1085038810000001</v>
      </c>
      <c r="AP207">
        <v>-0.81640272899999999</v>
      </c>
      <c r="AQ207">
        <v>0.86823729199999999</v>
      </c>
      <c r="AR207">
        <v>0.53780952599999998</v>
      </c>
      <c r="AS207">
        <v>-1.4070748980000001</v>
      </c>
      <c r="AT207">
        <v>1.252764553</v>
      </c>
      <c r="AU207">
        <v>-0.219033432</v>
      </c>
    </row>
    <row r="208" spans="1:47" x14ac:dyDescent="0.2">
      <c r="A208" t="s">
        <v>272</v>
      </c>
      <c r="B208" s="74">
        <v>36161</v>
      </c>
      <c r="C208">
        <v>-2.5492660520000001</v>
      </c>
      <c r="D208">
        <v>1.502420262</v>
      </c>
      <c r="E208">
        <v>0.37514019700000001</v>
      </c>
      <c r="F208">
        <v>0.22377185699999999</v>
      </c>
      <c r="G208">
        <v>-1.152290467</v>
      </c>
      <c r="H208">
        <v>1.3606703760000001</v>
      </c>
      <c r="I208">
        <v>-0.12693084700000001</v>
      </c>
      <c r="J208">
        <v>-3.2367408499999999</v>
      </c>
      <c r="L208">
        <v>6.5187631999999995E-2</v>
      </c>
      <c r="M208">
        <v>-0.40911842999999998</v>
      </c>
      <c r="N208">
        <v>0.320757081</v>
      </c>
      <c r="O208">
        <v>0.13645599999999999</v>
      </c>
      <c r="P208">
        <v>1.0864237050000001</v>
      </c>
      <c r="Q208">
        <v>-1.820651577</v>
      </c>
      <c r="R208">
        <v>0.17970700000000001</v>
      </c>
      <c r="S208">
        <v>0.88646774800000006</v>
      </c>
      <c r="T208">
        <v>0.65645524499999997</v>
      </c>
      <c r="U208">
        <v>0.95703300000000002</v>
      </c>
      <c r="V208">
        <v>0.62541786700000002</v>
      </c>
      <c r="W208">
        <v>0.78799276399999996</v>
      </c>
      <c r="X208">
        <v>3.6096765000000003E-2</v>
      </c>
      <c r="Y208">
        <v>1.31071</v>
      </c>
      <c r="Z208">
        <v>-2.4134667759999999</v>
      </c>
      <c r="AA208">
        <v>3.2679551409999998</v>
      </c>
      <c r="AB208">
        <v>0.69499234600000004</v>
      </c>
      <c r="AC208">
        <v>-0.54865422600000002</v>
      </c>
      <c r="AD208">
        <v>0.80760912500000004</v>
      </c>
      <c r="AE208">
        <v>2.4960498219999998</v>
      </c>
      <c r="AF208">
        <v>0.61630633800000001</v>
      </c>
      <c r="AG208">
        <v>-2.5812301780000002</v>
      </c>
      <c r="AH208">
        <v>0.13503088699999999</v>
      </c>
      <c r="AI208">
        <v>0.91511237599999995</v>
      </c>
      <c r="AJ208">
        <v>0.51143929300000002</v>
      </c>
      <c r="AK208">
        <v>1.012563823</v>
      </c>
      <c r="AL208">
        <v>0.84096314800000005</v>
      </c>
      <c r="AM208">
        <v>0.21187033899999999</v>
      </c>
      <c r="AN208">
        <v>0.75321015199999997</v>
      </c>
      <c r="AP208">
        <v>7.5239779860000002</v>
      </c>
      <c r="AQ208">
        <v>0.76368718599999996</v>
      </c>
      <c r="AR208">
        <v>1.164461481</v>
      </c>
      <c r="AS208">
        <v>-0.25868815899999997</v>
      </c>
      <c r="AT208">
        <v>1.6161907019999999</v>
      </c>
      <c r="AU208">
        <v>9.6284365999999996E-2</v>
      </c>
    </row>
    <row r="209" spans="1:47" x14ac:dyDescent="0.2">
      <c r="A209" t="s">
        <v>273</v>
      </c>
      <c r="B209" s="74">
        <v>36251</v>
      </c>
      <c r="C209">
        <v>-1.245853391</v>
      </c>
      <c r="D209">
        <v>0.74349975999999995</v>
      </c>
      <c r="E209">
        <v>0.64844888000000001</v>
      </c>
      <c r="F209">
        <v>1.0449659899999999</v>
      </c>
      <c r="G209">
        <v>0.18170636900000001</v>
      </c>
      <c r="H209">
        <v>1.8138161740000001</v>
      </c>
      <c r="I209">
        <v>0.12185161899999999</v>
      </c>
      <c r="J209">
        <v>1.9194374E-2</v>
      </c>
      <c r="L209">
        <v>2.0765021000000002E-2</v>
      </c>
      <c r="M209">
        <v>1.1546311460000001</v>
      </c>
      <c r="N209">
        <v>0.90603632300000003</v>
      </c>
      <c r="O209">
        <v>1.095755</v>
      </c>
      <c r="P209">
        <v>1.003493424</v>
      </c>
      <c r="Q209">
        <v>-0.75795058000000004</v>
      </c>
      <c r="R209">
        <v>1.0349379999999999</v>
      </c>
      <c r="S209">
        <v>1.649363081</v>
      </c>
      <c r="T209">
        <v>1.0709324920000001</v>
      </c>
      <c r="U209">
        <v>0.59179499999999996</v>
      </c>
      <c r="V209">
        <v>0.71753312999999996</v>
      </c>
      <c r="W209">
        <v>0.76233132400000003</v>
      </c>
      <c r="X209">
        <v>5.0727627999999997E-2</v>
      </c>
      <c r="Y209">
        <v>1.62415</v>
      </c>
      <c r="Z209">
        <v>5.6513449360000001</v>
      </c>
      <c r="AA209">
        <v>-0.31018611200000001</v>
      </c>
      <c r="AB209">
        <v>-0.79130324600000002</v>
      </c>
      <c r="AC209">
        <v>0.68951212299999998</v>
      </c>
      <c r="AD209">
        <v>-1.37830352</v>
      </c>
      <c r="AE209">
        <v>3.03463255</v>
      </c>
      <c r="AF209">
        <v>2.745075645</v>
      </c>
      <c r="AG209">
        <v>3.4765922389999999</v>
      </c>
      <c r="AH209">
        <v>1.0109575449999999</v>
      </c>
      <c r="AI209">
        <v>1.6667538310000001</v>
      </c>
      <c r="AJ209">
        <v>0.723084018</v>
      </c>
      <c r="AK209">
        <v>1.186994179</v>
      </c>
      <c r="AL209">
        <v>0.66944103799999999</v>
      </c>
      <c r="AM209">
        <v>0.58910622000000001</v>
      </c>
      <c r="AN209">
        <v>1.3291963899999999</v>
      </c>
      <c r="AP209">
        <v>-3.3363120660000001</v>
      </c>
      <c r="AQ209">
        <v>1.6542279740000001</v>
      </c>
      <c r="AR209">
        <v>1.1315007509999999</v>
      </c>
      <c r="AS209">
        <v>-1.6858202179999999</v>
      </c>
      <c r="AT209">
        <v>0.94382661499999998</v>
      </c>
      <c r="AU209">
        <v>0.96106894399999998</v>
      </c>
    </row>
    <row r="210" spans="1:47" x14ac:dyDescent="0.2">
      <c r="A210" t="s">
        <v>274</v>
      </c>
      <c r="B210" s="74">
        <v>36342</v>
      </c>
      <c r="C210">
        <v>-1.1299073589999999</v>
      </c>
      <c r="D210">
        <v>0.32199007000000002</v>
      </c>
      <c r="E210">
        <v>1.3017801929999999</v>
      </c>
      <c r="F210">
        <v>1.3681735850000001</v>
      </c>
      <c r="G210">
        <v>0.51008071300000002</v>
      </c>
      <c r="H210">
        <v>0.83654469799999998</v>
      </c>
      <c r="I210">
        <v>0.56965543100000005</v>
      </c>
      <c r="J210">
        <v>0.27283652800000002</v>
      </c>
      <c r="L210">
        <v>0.46067066600000001</v>
      </c>
      <c r="M210">
        <v>4.8799999999999999E-6</v>
      </c>
      <c r="N210">
        <v>0.51638309299999996</v>
      </c>
      <c r="O210">
        <v>0.45242900000000003</v>
      </c>
      <c r="P210">
        <v>1.1924241390000001</v>
      </c>
      <c r="Q210">
        <v>0.87741016999999999</v>
      </c>
      <c r="R210">
        <v>0.49741999999999997</v>
      </c>
      <c r="S210">
        <v>0.531208499</v>
      </c>
      <c r="T210">
        <v>0.27922058999999999</v>
      </c>
      <c r="U210">
        <v>0.56572699999999998</v>
      </c>
      <c r="V210">
        <v>0.40412960199999998</v>
      </c>
      <c r="W210">
        <v>0.93320508999999996</v>
      </c>
      <c r="X210">
        <v>1.0366020039999999</v>
      </c>
      <c r="Y210">
        <v>2.58223</v>
      </c>
      <c r="Z210">
        <v>1.1385625399999999</v>
      </c>
      <c r="AA210">
        <v>-2.2619454870000002</v>
      </c>
      <c r="AB210">
        <v>4.0753471489999997</v>
      </c>
      <c r="AC210">
        <v>0.34668479299999999</v>
      </c>
      <c r="AD210">
        <v>0.378279755</v>
      </c>
      <c r="AE210">
        <v>4.3831648489999999</v>
      </c>
      <c r="AF210">
        <v>2.1591418889999998</v>
      </c>
      <c r="AG210">
        <v>-1.5444697570000001</v>
      </c>
      <c r="AH210">
        <v>0.59198859299999995</v>
      </c>
      <c r="AI210">
        <v>1.1129019090000001</v>
      </c>
      <c r="AJ210">
        <v>4.5625461999999999E-2</v>
      </c>
      <c r="AK210">
        <v>0.82788426500000001</v>
      </c>
      <c r="AL210">
        <v>0.71462719900000005</v>
      </c>
      <c r="AM210">
        <v>2.3212586700000002</v>
      </c>
      <c r="AN210">
        <v>0.52210511000000004</v>
      </c>
      <c r="AP210">
        <v>-1.69710636</v>
      </c>
      <c r="AQ210">
        <v>4.2576750849999998</v>
      </c>
      <c r="AR210">
        <v>0.64444858100000002</v>
      </c>
      <c r="AS210">
        <v>-0.563715666</v>
      </c>
      <c r="AT210">
        <v>0.83500003</v>
      </c>
      <c r="AU210">
        <v>0.79589022200000004</v>
      </c>
    </row>
    <row r="211" spans="1:47" x14ac:dyDescent="0.2">
      <c r="A211" t="s">
        <v>275</v>
      </c>
      <c r="B211" s="74">
        <v>36434</v>
      </c>
      <c r="C211">
        <v>-0.28815049799999998</v>
      </c>
      <c r="D211">
        <v>1.1567219820000001</v>
      </c>
      <c r="E211">
        <v>1.6816160630000001</v>
      </c>
      <c r="F211">
        <v>1.452361037</v>
      </c>
      <c r="G211">
        <v>2.2058379999999999E-2</v>
      </c>
      <c r="H211">
        <v>1.5646760900000001</v>
      </c>
      <c r="I211">
        <v>0.61184505700000003</v>
      </c>
      <c r="J211">
        <v>2.1095231920000002</v>
      </c>
      <c r="L211">
        <v>0.91846713199999996</v>
      </c>
      <c r="M211">
        <v>1.119865514</v>
      </c>
      <c r="N211">
        <v>0.61805336700000002</v>
      </c>
      <c r="O211">
        <v>1.1277569999999999</v>
      </c>
      <c r="P211">
        <v>1.3303898220000001</v>
      </c>
      <c r="Q211">
        <v>1.0313858970000001</v>
      </c>
      <c r="R211">
        <v>1.121631</v>
      </c>
      <c r="S211">
        <v>0.53320523600000003</v>
      </c>
      <c r="T211">
        <v>1.0935074330000001</v>
      </c>
      <c r="U211">
        <v>1.1603270000000001</v>
      </c>
      <c r="V211">
        <v>1.6806309669999999</v>
      </c>
      <c r="W211">
        <v>0.38279775599999999</v>
      </c>
      <c r="X211">
        <v>1.8911472869999999</v>
      </c>
      <c r="Y211">
        <v>1.24533</v>
      </c>
      <c r="Z211">
        <v>4.0528138550000001</v>
      </c>
      <c r="AA211">
        <v>0.73977839599999995</v>
      </c>
      <c r="AB211">
        <v>0.322171816</v>
      </c>
      <c r="AC211">
        <v>0.88251902100000001</v>
      </c>
      <c r="AD211">
        <v>0.53280929099999996</v>
      </c>
      <c r="AE211">
        <v>2.7811709840000001</v>
      </c>
      <c r="AF211">
        <v>2.875859911</v>
      </c>
      <c r="AG211">
        <v>3.5672987730000001</v>
      </c>
      <c r="AH211">
        <v>0.97673585900000004</v>
      </c>
      <c r="AI211">
        <v>1.37722889</v>
      </c>
      <c r="AJ211">
        <v>2.054725586</v>
      </c>
      <c r="AK211">
        <v>2.802827878</v>
      </c>
      <c r="AL211">
        <v>1.1635436619999999</v>
      </c>
      <c r="AM211">
        <v>2.2126632050000001</v>
      </c>
      <c r="AN211">
        <v>0.98039887299999995</v>
      </c>
      <c r="AP211">
        <v>-0.623610887</v>
      </c>
      <c r="AQ211">
        <v>-2.594146614</v>
      </c>
      <c r="AR211">
        <v>0.78310952499999997</v>
      </c>
      <c r="AS211">
        <v>-1.6866180550000001</v>
      </c>
      <c r="AT211">
        <v>1.3230270260000001</v>
      </c>
      <c r="AU211">
        <v>1.0918972440000001</v>
      </c>
    </row>
    <row r="212" spans="1:47" x14ac:dyDescent="0.2">
      <c r="A212" t="s">
        <v>276</v>
      </c>
      <c r="B212" s="74">
        <v>36526</v>
      </c>
      <c r="C212">
        <v>1.6728210139999999</v>
      </c>
      <c r="D212">
        <v>1.70576591</v>
      </c>
      <c r="E212">
        <v>0.27862545100000002</v>
      </c>
      <c r="F212">
        <v>1.1842302499999999</v>
      </c>
      <c r="G212">
        <v>1.4136019740000001</v>
      </c>
      <c r="H212">
        <v>1.4066963400000001</v>
      </c>
      <c r="I212">
        <v>2.4491249960000001</v>
      </c>
      <c r="J212">
        <v>2.6340632670000002</v>
      </c>
      <c r="L212">
        <v>1.1251880439999999</v>
      </c>
      <c r="M212">
        <v>0.81538161499999995</v>
      </c>
      <c r="N212">
        <v>1.3987960589999999</v>
      </c>
      <c r="O212">
        <v>1.179629</v>
      </c>
      <c r="P212">
        <v>1.121813248</v>
      </c>
      <c r="Q212">
        <v>2.5899807670000001</v>
      </c>
      <c r="R212">
        <v>1.224178</v>
      </c>
      <c r="S212">
        <v>0.85290393499999995</v>
      </c>
      <c r="T212">
        <v>1.4319012419999999</v>
      </c>
      <c r="U212">
        <v>1.244802</v>
      </c>
      <c r="V212">
        <v>1.4495850699999999</v>
      </c>
      <c r="W212">
        <v>1.5989245139999999</v>
      </c>
      <c r="X212">
        <v>1.121117707</v>
      </c>
      <c r="Y212">
        <v>1.65076</v>
      </c>
      <c r="Z212">
        <v>2.2965534669999998</v>
      </c>
      <c r="AA212">
        <v>4.3536632150000001</v>
      </c>
      <c r="AB212">
        <v>1.737235096</v>
      </c>
      <c r="AC212">
        <v>1.462181135</v>
      </c>
      <c r="AD212">
        <v>3.6423516000000003E-2</v>
      </c>
      <c r="AE212">
        <v>2.8862553750000002</v>
      </c>
      <c r="AF212">
        <v>-0.40823526199999999</v>
      </c>
      <c r="AG212">
        <v>3.318502273</v>
      </c>
      <c r="AH212">
        <v>0.91976865600000002</v>
      </c>
      <c r="AI212">
        <v>1.406875109</v>
      </c>
      <c r="AJ212">
        <v>1.720275022</v>
      </c>
      <c r="AK212">
        <v>1.2237714900000001</v>
      </c>
      <c r="AL212">
        <v>1.3347608870000001</v>
      </c>
      <c r="AM212">
        <v>1.9536001409999999</v>
      </c>
      <c r="AN212">
        <v>0.57433716000000001</v>
      </c>
      <c r="AP212">
        <v>-0.45262930499999998</v>
      </c>
      <c r="AQ212">
        <v>1.7651214660000001</v>
      </c>
      <c r="AR212">
        <v>1.855159569</v>
      </c>
      <c r="AS212">
        <v>2.9874202940000001</v>
      </c>
      <c r="AT212">
        <v>1.642779005</v>
      </c>
      <c r="AU212">
        <v>1.0999821620000001</v>
      </c>
    </row>
    <row r="213" spans="1:47" x14ac:dyDescent="0.2">
      <c r="A213" t="s">
        <v>277</v>
      </c>
      <c r="B213" s="74">
        <v>36617</v>
      </c>
      <c r="C213">
        <v>-0.34000240700000001</v>
      </c>
      <c r="D213">
        <v>0.39996410999999998</v>
      </c>
      <c r="E213">
        <v>0.90524054399999998</v>
      </c>
      <c r="F213">
        <v>0.71111111100000002</v>
      </c>
      <c r="G213">
        <v>1.0578220199999999</v>
      </c>
      <c r="H213">
        <v>1.59973568</v>
      </c>
      <c r="I213">
        <v>0.61821770099999995</v>
      </c>
      <c r="J213">
        <v>0.94478038499999994</v>
      </c>
      <c r="L213">
        <v>1.3260170120000001</v>
      </c>
      <c r="M213">
        <v>1.430528223</v>
      </c>
      <c r="N213">
        <v>0.97509966800000003</v>
      </c>
      <c r="O213">
        <v>1.2311380000000001</v>
      </c>
      <c r="P213">
        <v>1.6049931019999999</v>
      </c>
      <c r="Q213">
        <v>3.798032869</v>
      </c>
      <c r="R213">
        <v>1.1708050000000001</v>
      </c>
      <c r="S213">
        <v>2.9824228929999999</v>
      </c>
      <c r="T213">
        <v>1.049786927</v>
      </c>
      <c r="U213">
        <v>0.90131099999999997</v>
      </c>
      <c r="V213">
        <v>1.1613035890000001</v>
      </c>
      <c r="W213">
        <v>0.37966255999999998</v>
      </c>
      <c r="X213">
        <v>0.81376891900000003</v>
      </c>
      <c r="Y213">
        <v>2.0995300000000001</v>
      </c>
      <c r="Z213">
        <v>0.96555506000000002</v>
      </c>
      <c r="AA213">
        <v>-7.2197056999999995E-2</v>
      </c>
      <c r="AB213">
        <v>2.1876553890000001</v>
      </c>
      <c r="AC213">
        <v>1.112893605</v>
      </c>
      <c r="AD213">
        <v>1.6986506800000001</v>
      </c>
      <c r="AE213">
        <v>1.895051738</v>
      </c>
      <c r="AF213">
        <v>5.1756448109999997</v>
      </c>
      <c r="AG213">
        <v>0.84837777000000003</v>
      </c>
      <c r="AH213">
        <v>1.880614011</v>
      </c>
      <c r="AI213">
        <v>0.62271010999999998</v>
      </c>
      <c r="AJ213">
        <v>1.478193689</v>
      </c>
      <c r="AK213">
        <v>1.455051221</v>
      </c>
      <c r="AL213">
        <v>1.0117795190000001</v>
      </c>
      <c r="AM213">
        <v>-0.340982059</v>
      </c>
      <c r="AN213">
        <v>2.2254685850000002</v>
      </c>
      <c r="AP213">
        <v>1.0642066809999999</v>
      </c>
      <c r="AQ213">
        <v>1.0626613250000001</v>
      </c>
      <c r="AR213">
        <v>0.71128082000000004</v>
      </c>
      <c r="AS213">
        <v>1.5748513790000001</v>
      </c>
      <c r="AT213">
        <v>0.36444736100000003</v>
      </c>
      <c r="AU213">
        <v>1.168839972</v>
      </c>
    </row>
    <row r="214" spans="1:47" x14ac:dyDescent="0.2">
      <c r="A214" t="s">
        <v>278</v>
      </c>
      <c r="B214" s="74">
        <v>36708</v>
      </c>
      <c r="C214">
        <v>-1.6088924600000001</v>
      </c>
      <c r="D214">
        <v>0.94075996399999995</v>
      </c>
      <c r="E214">
        <v>0.79697314600000002</v>
      </c>
      <c r="F214">
        <v>0.71957438500000004</v>
      </c>
      <c r="G214">
        <v>1.395147664</v>
      </c>
      <c r="H214">
        <v>1.1885847089999999</v>
      </c>
      <c r="I214">
        <v>0.44213536199999998</v>
      </c>
      <c r="J214">
        <v>0.221694277</v>
      </c>
      <c r="L214">
        <v>0.95429668599999995</v>
      </c>
      <c r="M214">
        <v>0.809332948</v>
      </c>
      <c r="N214">
        <v>1.1384173420000001</v>
      </c>
      <c r="O214">
        <v>0.91153399999999996</v>
      </c>
      <c r="P214">
        <v>1.2583178719999999</v>
      </c>
      <c r="Q214">
        <v>2.5042493389999998</v>
      </c>
      <c r="R214">
        <v>0.97214199999999995</v>
      </c>
      <c r="S214">
        <v>0.77059324200000001</v>
      </c>
      <c r="T214">
        <v>1.026471506</v>
      </c>
      <c r="U214">
        <v>1.2574609999999999</v>
      </c>
      <c r="V214">
        <v>0.65492170400000005</v>
      </c>
      <c r="W214">
        <v>0.92199407799999999</v>
      </c>
      <c r="X214">
        <v>1.094141072</v>
      </c>
      <c r="Y214">
        <v>0.13491</v>
      </c>
      <c r="Z214">
        <v>2.624052372</v>
      </c>
      <c r="AA214">
        <v>1.0182608900000001</v>
      </c>
      <c r="AB214">
        <v>3.0744140870000001</v>
      </c>
      <c r="AC214">
        <v>0.816881619</v>
      </c>
      <c r="AD214">
        <v>0.47276279100000002</v>
      </c>
      <c r="AE214">
        <v>1.3325102150000001</v>
      </c>
      <c r="AF214">
        <v>-1.308913481</v>
      </c>
      <c r="AG214">
        <v>-0.25264282900000001</v>
      </c>
      <c r="AH214">
        <v>1.506734641</v>
      </c>
      <c r="AI214">
        <v>1.1168028889999999</v>
      </c>
      <c r="AJ214">
        <v>-1.4441220020000001</v>
      </c>
      <c r="AK214">
        <v>4.7454588999999998E-2</v>
      </c>
      <c r="AL214">
        <v>1.2611729149999999</v>
      </c>
      <c r="AM214">
        <v>1.204555729</v>
      </c>
      <c r="AN214">
        <v>-0.52848783099999996</v>
      </c>
      <c r="AP214">
        <v>0.99065582600000002</v>
      </c>
      <c r="AQ214">
        <v>1.398578586</v>
      </c>
      <c r="AR214">
        <v>2.480264289</v>
      </c>
      <c r="AS214">
        <v>3.8933703569999998</v>
      </c>
      <c r="AT214">
        <v>1.8205830080000001</v>
      </c>
      <c r="AU214">
        <v>0.91999078599999995</v>
      </c>
    </row>
    <row r="215" spans="1:47" x14ac:dyDescent="0.2">
      <c r="A215" t="s">
        <v>279</v>
      </c>
      <c r="B215" s="74">
        <v>36800</v>
      </c>
      <c r="C215">
        <v>-0.25518508200000001</v>
      </c>
      <c r="D215">
        <v>0.248236127</v>
      </c>
      <c r="E215">
        <v>0.56514290499999997</v>
      </c>
      <c r="F215">
        <v>0.46371237700000001</v>
      </c>
      <c r="G215">
        <v>1.168724404</v>
      </c>
      <c r="H215">
        <v>1.0169817880000001</v>
      </c>
      <c r="I215">
        <v>0.93749210199999999</v>
      </c>
      <c r="J215">
        <v>1.55589961</v>
      </c>
      <c r="L215">
        <v>1.2986223240000001</v>
      </c>
      <c r="M215">
        <v>-4.7224414999999999E-2</v>
      </c>
      <c r="N215">
        <v>0.27623821399999998</v>
      </c>
      <c r="O215">
        <v>0.55191999999999997</v>
      </c>
      <c r="P215">
        <v>1.0801129709999999</v>
      </c>
      <c r="Q215">
        <v>1.2338408649999999</v>
      </c>
      <c r="R215">
        <v>0.55166499999999996</v>
      </c>
      <c r="S215">
        <v>1.5659240320000001</v>
      </c>
      <c r="T215">
        <v>0.68155839299999998</v>
      </c>
      <c r="U215">
        <v>0.21914700000000001</v>
      </c>
      <c r="V215">
        <v>0.51003696600000004</v>
      </c>
      <c r="W215">
        <v>1.8684096670000001</v>
      </c>
      <c r="X215">
        <v>0.88674161500000004</v>
      </c>
      <c r="Y215">
        <v>1.32769</v>
      </c>
      <c r="Z215">
        <v>2.182679152</v>
      </c>
      <c r="AA215">
        <v>2.9852937439999998</v>
      </c>
      <c r="AB215">
        <v>3.067003573</v>
      </c>
      <c r="AC215">
        <v>0.61460372699999999</v>
      </c>
      <c r="AD215">
        <v>2.5594826000000001E-2</v>
      </c>
      <c r="AE215">
        <v>2.754591172</v>
      </c>
      <c r="AF215">
        <v>1.7424555669999999</v>
      </c>
      <c r="AG215">
        <v>3.1059910799999999</v>
      </c>
      <c r="AH215">
        <v>1.020507802</v>
      </c>
      <c r="AI215">
        <v>0.82516336300000004</v>
      </c>
      <c r="AJ215">
        <v>0.970594383</v>
      </c>
      <c r="AK215">
        <v>0.39263221700000001</v>
      </c>
      <c r="AL215">
        <v>0.48412070299999999</v>
      </c>
      <c r="AM215">
        <v>0.387268422</v>
      </c>
      <c r="AN215">
        <v>1.4648645250000001</v>
      </c>
      <c r="AP215">
        <v>0.60866808699999997</v>
      </c>
      <c r="AQ215">
        <v>1.160563273</v>
      </c>
      <c r="AR215">
        <v>0.799453203</v>
      </c>
      <c r="AS215">
        <v>1.4893164219999999</v>
      </c>
      <c r="AT215">
        <v>9.9774128000000004E-2</v>
      </c>
      <c r="AU215">
        <v>0.99039428299999999</v>
      </c>
    </row>
    <row r="216" spans="1:47" x14ac:dyDescent="0.2">
      <c r="A216" t="s">
        <v>280</v>
      </c>
      <c r="B216" s="74">
        <v>36892</v>
      </c>
      <c r="C216">
        <v>0.30685813499999998</v>
      </c>
      <c r="D216">
        <v>-0.36277050700000002</v>
      </c>
      <c r="E216">
        <v>1.2821222409999999</v>
      </c>
      <c r="F216">
        <v>0.97766039900000001</v>
      </c>
      <c r="G216">
        <v>1.220764124</v>
      </c>
      <c r="H216">
        <v>0.17120740000000001</v>
      </c>
      <c r="I216">
        <v>1.3363862040000001</v>
      </c>
      <c r="J216">
        <v>1.173626284</v>
      </c>
      <c r="L216">
        <v>0.475647341</v>
      </c>
      <c r="M216">
        <v>-0.29530531300000001</v>
      </c>
      <c r="N216">
        <v>0.97780016700000005</v>
      </c>
      <c r="O216">
        <v>0.68252000000000002</v>
      </c>
      <c r="P216">
        <v>1.0185955010000001</v>
      </c>
      <c r="Q216">
        <v>2.249923978</v>
      </c>
      <c r="R216">
        <v>0.70877400000000002</v>
      </c>
      <c r="S216">
        <v>1.0630646829999999</v>
      </c>
      <c r="T216">
        <v>0.82507058700000002</v>
      </c>
      <c r="U216">
        <v>0.61271500000000001</v>
      </c>
      <c r="V216">
        <v>0.429040478</v>
      </c>
      <c r="W216">
        <v>1.418925598</v>
      </c>
      <c r="X216">
        <v>1.918133385</v>
      </c>
      <c r="Y216">
        <v>4.1889999999999997E-2</v>
      </c>
      <c r="Z216">
        <v>1.042830205</v>
      </c>
      <c r="AA216">
        <v>-1.1129793290000001</v>
      </c>
      <c r="AB216">
        <v>-2.4754254999999999E-2</v>
      </c>
      <c r="AC216">
        <v>1.5011550119999999</v>
      </c>
      <c r="AD216">
        <v>0.97198125199999996</v>
      </c>
      <c r="AE216">
        <v>-0.32445797199999998</v>
      </c>
      <c r="AF216">
        <v>0.58756566499999996</v>
      </c>
      <c r="AG216">
        <v>-1.212013089</v>
      </c>
      <c r="AH216">
        <v>-0.86249240299999996</v>
      </c>
      <c r="AI216">
        <v>1.299729479</v>
      </c>
      <c r="AJ216">
        <v>3.9302632999999997E-2</v>
      </c>
      <c r="AK216">
        <v>0.19686072800000001</v>
      </c>
      <c r="AL216">
        <v>0.598965521</v>
      </c>
      <c r="AM216">
        <v>2.9320749410000002</v>
      </c>
      <c r="AN216">
        <v>0.66940159099999996</v>
      </c>
      <c r="AP216">
        <v>0.56886347900000001</v>
      </c>
      <c r="AQ216">
        <v>0.69520470599999995</v>
      </c>
      <c r="AR216">
        <v>-0.28427459900000002</v>
      </c>
      <c r="AS216">
        <v>1.436633405</v>
      </c>
      <c r="AT216">
        <v>0.59436175499999999</v>
      </c>
      <c r="AU216">
        <v>0.85095468600000002</v>
      </c>
    </row>
    <row r="217" spans="1:47" x14ac:dyDescent="0.2">
      <c r="A217" t="s">
        <v>281</v>
      </c>
      <c r="B217" s="74">
        <v>36982</v>
      </c>
      <c r="C217">
        <v>0.16364615900000001</v>
      </c>
      <c r="D217">
        <v>1.0411375469999999</v>
      </c>
      <c r="E217">
        <v>-0.23353779699999999</v>
      </c>
      <c r="F217">
        <v>5.6388045999999997E-2</v>
      </c>
      <c r="G217">
        <v>0.41595031500000001</v>
      </c>
      <c r="H217">
        <v>0.529651011</v>
      </c>
      <c r="I217">
        <v>-0.178799865</v>
      </c>
      <c r="J217">
        <v>0.69672656200000005</v>
      </c>
      <c r="L217">
        <v>1.186158643</v>
      </c>
      <c r="M217">
        <v>2.0228069799999999</v>
      </c>
      <c r="N217">
        <v>-1.085721803</v>
      </c>
      <c r="O217">
        <v>1.007034</v>
      </c>
      <c r="P217">
        <v>1.0667913959999999</v>
      </c>
      <c r="Q217">
        <v>1.4428002280000001</v>
      </c>
      <c r="R217">
        <v>0.89018799999999998</v>
      </c>
      <c r="S217">
        <v>0.489247671</v>
      </c>
      <c r="T217">
        <v>0.51122201300000003</v>
      </c>
      <c r="U217">
        <v>0.33787200000000001</v>
      </c>
      <c r="V217">
        <v>0.85636700300000002</v>
      </c>
      <c r="W217">
        <v>1.237878102</v>
      </c>
      <c r="X217">
        <v>0.69139919800000005</v>
      </c>
      <c r="Y217">
        <v>0.54066000000000003</v>
      </c>
      <c r="Z217">
        <v>1.5772180499999999</v>
      </c>
      <c r="AA217">
        <v>0.50276186199999995</v>
      </c>
      <c r="AB217">
        <v>-1.1869114940000001</v>
      </c>
      <c r="AC217">
        <v>0.59575638399999997</v>
      </c>
      <c r="AD217">
        <v>0.74187861099999997</v>
      </c>
      <c r="AE217">
        <v>1.2255548009999999</v>
      </c>
      <c r="AF217">
        <v>1.6312568810000001</v>
      </c>
      <c r="AG217">
        <v>2.2756992989999998</v>
      </c>
      <c r="AH217">
        <v>2.6937256999999999E-2</v>
      </c>
      <c r="AI217">
        <v>0.10852068400000001</v>
      </c>
      <c r="AJ217">
        <v>1.1699186070000001</v>
      </c>
      <c r="AK217">
        <v>0.3484138</v>
      </c>
      <c r="AL217">
        <v>0.246768872</v>
      </c>
      <c r="AM217">
        <v>-1.348308576</v>
      </c>
      <c r="AN217">
        <v>-0.31268365599999998</v>
      </c>
      <c r="AP217">
        <v>0.70957844800000003</v>
      </c>
      <c r="AQ217">
        <v>1.280490565</v>
      </c>
      <c r="AR217">
        <v>0.351507128</v>
      </c>
      <c r="AS217">
        <v>-5.1251296079999999</v>
      </c>
      <c r="AT217">
        <v>-0.32422100300000001</v>
      </c>
      <c r="AU217">
        <v>0.61451183300000001</v>
      </c>
    </row>
    <row r="218" spans="1:47" x14ac:dyDescent="0.2">
      <c r="A218" t="s">
        <v>282</v>
      </c>
      <c r="B218" s="74">
        <v>37073</v>
      </c>
      <c r="C218">
        <v>-0.82981777400000001</v>
      </c>
      <c r="D218">
        <v>0.81683744599999997</v>
      </c>
      <c r="E218">
        <v>-7.0824071000000002E-2</v>
      </c>
      <c r="F218">
        <v>1.7986043E-2</v>
      </c>
      <c r="G218">
        <v>-0.51583572899999997</v>
      </c>
      <c r="H218">
        <v>0.26949002500000002</v>
      </c>
      <c r="I218">
        <v>0.44423265299999998</v>
      </c>
      <c r="J218">
        <v>0.96873871600000006</v>
      </c>
      <c r="L218">
        <v>0.23166178400000001</v>
      </c>
      <c r="M218">
        <v>-4.6445592000000001E-2</v>
      </c>
      <c r="N218">
        <v>0.48818125099999998</v>
      </c>
      <c r="O218">
        <v>7.5332999999999997E-2</v>
      </c>
      <c r="P218">
        <v>0.74536870200000005</v>
      </c>
      <c r="Q218">
        <v>0.12426195399999999</v>
      </c>
      <c r="R218">
        <v>8.337E-2</v>
      </c>
      <c r="S218">
        <v>0.119503397</v>
      </c>
      <c r="T218">
        <v>0.115154376</v>
      </c>
      <c r="U218">
        <v>0.188971</v>
      </c>
      <c r="V218">
        <v>0.36600617800000002</v>
      </c>
      <c r="W218">
        <v>-0.26357386700000002</v>
      </c>
      <c r="X218">
        <v>0.78574321800000002</v>
      </c>
      <c r="Y218">
        <v>2.0813700000000002</v>
      </c>
      <c r="Z218">
        <v>1.159099732</v>
      </c>
      <c r="AA218">
        <v>3.1529165369999999</v>
      </c>
      <c r="AB218">
        <v>-0.335507102</v>
      </c>
      <c r="AC218">
        <v>-0.35015618599999998</v>
      </c>
      <c r="AD218">
        <v>-0.75039955000000003</v>
      </c>
      <c r="AE218">
        <v>1.2988810260000001</v>
      </c>
      <c r="AF218">
        <v>-1.245687013</v>
      </c>
      <c r="AG218">
        <v>4.5665404799999996</v>
      </c>
      <c r="AH218">
        <v>-0.53798702700000001</v>
      </c>
      <c r="AI218">
        <v>0.50566903500000004</v>
      </c>
      <c r="AJ218">
        <v>-0.17771229899999999</v>
      </c>
      <c r="AK218">
        <v>1.4227536160000001</v>
      </c>
      <c r="AL218">
        <v>0.139093103</v>
      </c>
      <c r="AM218">
        <v>-0.45309452500000003</v>
      </c>
      <c r="AN218">
        <v>0.96744614500000004</v>
      </c>
      <c r="AP218">
        <v>1.0534156569999999</v>
      </c>
      <c r="AQ218">
        <v>0.23060081499999999</v>
      </c>
      <c r="AR218">
        <v>2.1463809E-2</v>
      </c>
      <c r="AS218">
        <v>-4.8440387170000001</v>
      </c>
      <c r="AT218">
        <v>0.62138921499999999</v>
      </c>
      <c r="AU218">
        <v>0.49970441599999998</v>
      </c>
    </row>
    <row r="219" spans="1:47" x14ac:dyDescent="0.2">
      <c r="A219" t="s">
        <v>283</v>
      </c>
      <c r="B219" s="74">
        <v>37165</v>
      </c>
      <c r="C219">
        <v>-4.6458788760000003</v>
      </c>
      <c r="D219">
        <v>1.193073813</v>
      </c>
      <c r="E219">
        <v>4.0774236999999998E-2</v>
      </c>
      <c r="F219">
        <v>-0.19061776899999999</v>
      </c>
      <c r="G219">
        <v>-0.534132728</v>
      </c>
      <c r="H219">
        <v>-6.6614244000000003E-2</v>
      </c>
      <c r="I219">
        <v>-3.8773652999999998E-2</v>
      </c>
      <c r="J219">
        <v>-0.23509537999999999</v>
      </c>
      <c r="L219">
        <v>0.43192050500000001</v>
      </c>
      <c r="M219">
        <v>-0.209109191</v>
      </c>
      <c r="N219">
        <v>0.89782627400000004</v>
      </c>
      <c r="O219">
        <v>8.8467000000000004E-2</v>
      </c>
      <c r="P219">
        <v>0.93199526499999996</v>
      </c>
      <c r="Q219">
        <v>2.0651203429999998</v>
      </c>
      <c r="R219">
        <v>0.156358</v>
      </c>
      <c r="S219">
        <v>0.63216993399999999</v>
      </c>
      <c r="T219">
        <v>0.25867563700000001</v>
      </c>
      <c r="U219">
        <v>-0.35940299999999997</v>
      </c>
      <c r="V219">
        <v>0.460117524</v>
      </c>
      <c r="W219">
        <v>1.621616296</v>
      </c>
      <c r="X219">
        <v>0.90277997600000004</v>
      </c>
      <c r="Y219">
        <v>1.2368600000000001</v>
      </c>
      <c r="Z219">
        <v>-0.50008184899999997</v>
      </c>
      <c r="AA219">
        <v>-2.4384862190000001</v>
      </c>
      <c r="AB219">
        <v>-1.0417425220000001</v>
      </c>
      <c r="AC219">
        <v>-0.31675081999999999</v>
      </c>
      <c r="AD219">
        <v>-1.0892209820000001</v>
      </c>
      <c r="AE219">
        <v>1.3501936240000001</v>
      </c>
      <c r="AF219">
        <v>1.4386347960000001</v>
      </c>
      <c r="AG219">
        <v>-2.1138854999999999</v>
      </c>
      <c r="AH219">
        <v>0.219593551</v>
      </c>
      <c r="AI219">
        <v>0.17378780599999999</v>
      </c>
      <c r="AJ219">
        <v>1.2310556850000001</v>
      </c>
      <c r="AK219">
        <v>0.76188515099999998</v>
      </c>
      <c r="AL219">
        <v>-8.7080121999999996E-2</v>
      </c>
      <c r="AM219">
        <v>0.78292662199999996</v>
      </c>
      <c r="AN219">
        <v>0.14634139500000001</v>
      </c>
      <c r="AP219">
        <v>0.38870195299999999</v>
      </c>
      <c r="AQ219">
        <v>0.59983493899999996</v>
      </c>
      <c r="AR219">
        <v>0.38222099399999998</v>
      </c>
      <c r="AS219">
        <v>1.2517857720000001</v>
      </c>
      <c r="AT219">
        <v>-0.400349016</v>
      </c>
      <c r="AU219">
        <v>0.26574794299999999</v>
      </c>
    </row>
    <row r="220" spans="1:47" x14ac:dyDescent="0.2">
      <c r="A220" t="s">
        <v>284</v>
      </c>
      <c r="B220" s="74">
        <v>37257</v>
      </c>
      <c r="C220">
        <v>-5.6948729309999999</v>
      </c>
      <c r="D220">
        <v>1.209764099</v>
      </c>
      <c r="E220">
        <v>0.36874057300000002</v>
      </c>
      <c r="F220">
        <v>-9.9694909999999998E-2</v>
      </c>
      <c r="G220">
        <v>-0.26248648099999999</v>
      </c>
      <c r="H220">
        <v>0.60882924699999996</v>
      </c>
      <c r="I220">
        <v>-0.313937087</v>
      </c>
      <c r="J220">
        <v>0.62460033699999995</v>
      </c>
      <c r="L220">
        <v>0.74081654600000002</v>
      </c>
      <c r="M220">
        <v>-8.1492953000000007E-2</v>
      </c>
      <c r="N220">
        <v>-0.197216541</v>
      </c>
      <c r="O220">
        <v>0.113341</v>
      </c>
      <c r="P220">
        <v>0.68050729499999996</v>
      </c>
      <c r="Q220">
        <v>1.467100305</v>
      </c>
      <c r="R220">
        <v>0.154553</v>
      </c>
      <c r="S220">
        <v>-0.28115184399999998</v>
      </c>
      <c r="T220">
        <v>-6.3638454999999997E-2</v>
      </c>
      <c r="U220">
        <v>8.7451000000000001E-2</v>
      </c>
      <c r="V220">
        <v>0.16242685400000001</v>
      </c>
      <c r="W220">
        <v>0.26489864099999999</v>
      </c>
      <c r="X220">
        <v>0.74324005299999996</v>
      </c>
      <c r="Y220">
        <v>2.2958799999999999</v>
      </c>
      <c r="Z220">
        <v>1.8951329139999999</v>
      </c>
      <c r="AA220">
        <v>5.9095411479999997</v>
      </c>
      <c r="AB220">
        <v>-0.415621568</v>
      </c>
      <c r="AC220">
        <v>-0.199735202</v>
      </c>
      <c r="AD220">
        <v>-0.340803517</v>
      </c>
      <c r="AE220">
        <v>1.762585517</v>
      </c>
      <c r="AF220">
        <v>2.6165375960000001</v>
      </c>
      <c r="AG220">
        <v>3.2781906909999998</v>
      </c>
      <c r="AH220">
        <v>-0.63512045900000003</v>
      </c>
      <c r="AI220">
        <v>0.32251530099999998</v>
      </c>
      <c r="AJ220">
        <v>0.86905121600000002</v>
      </c>
      <c r="AK220">
        <v>1.4841494879999999</v>
      </c>
      <c r="AL220">
        <v>0.175662393</v>
      </c>
      <c r="AM220">
        <v>0.295694911</v>
      </c>
      <c r="AN220">
        <v>1.3990396789999999</v>
      </c>
      <c r="AP220">
        <v>2.16072292</v>
      </c>
      <c r="AQ220">
        <v>1.0001849350000001</v>
      </c>
      <c r="AR220">
        <v>0.841556953</v>
      </c>
      <c r="AS220">
        <v>-1.6828962709999999</v>
      </c>
      <c r="AT220">
        <v>0.27731435799999998</v>
      </c>
      <c r="AU220">
        <v>0.76932292499999999</v>
      </c>
    </row>
    <row r="221" spans="1:47" x14ac:dyDescent="0.2">
      <c r="A221" t="s">
        <v>285</v>
      </c>
      <c r="B221" s="74">
        <v>37347</v>
      </c>
      <c r="C221">
        <v>-4.9310185359999998</v>
      </c>
      <c r="D221">
        <v>0.76201430599999997</v>
      </c>
      <c r="E221">
        <v>1.0019814650000001</v>
      </c>
      <c r="F221">
        <v>0.85967464599999999</v>
      </c>
      <c r="G221">
        <v>2.4121098569999999</v>
      </c>
      <c r="H221">
        <v>1.4842260460000001</v>
      </c>
      <c r="I221">
        <v>1.8022269E-2</v>
      </c>
      <c r="J221">
        <v>0.83743443399999995</v>
      </c>
      <c r="L221">
        <v>-0.196354374</v>
      </c>
      <c r="M221">
        <v>-0.51264006200000001</v>
      </c>
      <c r="N221">
        <v>-3.3566445E-2</v>
      </c>
      <c r="O221">
        <v>0.12773300000000001</v>
      </c>
      <c r="P221">
        <v>0.43075532100000002</v>
      </c>
      <c r="Q221">
        <v>0.69699751600000004</v>
      </c>
      <c r="R221">
        <v>0.15353</v>
      </c>
      <c r="S221">
        <v>0.65419943199999997</v>
      </c>
      <c r="T221">
        <v>0.57302493200000004</v>
      </c>
      <c r="U221">
        <v>0.50991299999999995</v>
      </c>
      <c r="V221">
        <v>0.34732202699999998</v>
      </c>
      <c r="W221">
        <v>0.81704766799999995</v>
      </c>
      <c r="X221">
        <v>2.307410312</v>
      </c>
      <c r="Y221">
        <v>0.80710000000000004</v>
      </c>
      <c r="Z221">
        <v>1.957009869</v>
      </c>
      <c r="AA221">
        <v>-5.7655402689999997</v>
      </c>
      <c r="AB221">
        <v>0.279672056</v>
      </c>
      <c r="AC221">
        <v>0.16591288800000001</v>
      </c>
      <c r="AD221">
        <v>0.16808820299999999</v>
      </c>
      <c r="AE221">
        <v>2.5444815919999999</v>
      </c>
      <c r="AF221">
        <v>0.41817015800000001</v>
      </c>
      <c r="AG221">
        <v>-1.9166437000000001E-2</v>
      </c>
      <c r="AH221">
        <v>-0.68113655299999998</v>
      </c>
      <c r="AI221">
        <v>-0.61017998900000003</v>
      </c>
      <c r="AJ221">
        <v>-1.0279146669999999</v>
      </c>
      <c r="AK221">
        <v>0.89105920299999997</v>
      </c>
      <c r="AL221">
        <v>0.55447377399999997</v>
      </c>
      <c r="AM221">
        <v>0.21149791700000001</v>
      </c>
      <c r="AN221">
        <v>0.17780853799999999</v>
      </c>
      <c r="AP221">
        <v>0.32254941999999998</v>
      </c>
      <c r="AQ221">
        <v>1.3532291809999999</v>
      </c>
      <c r="AR221">
        <v>-0.116650499</v>
      </c>
      <c r="AS221">
        <v>3.7775825539999999</v>
      </c>
      <c r="AT221">
        <v>0.82822721600000004</v>
      </c>
      <c r="AU221">
        <v>1.0860090200000001</v>
      </c>
    </row>
    <row r="222" spans="1:47" x14ac:dyDescent="0.2">
      <c r="A222" t="s">
        <v>286</v>
      </c>
      <c r="B222" s="74">
        <v>37438</v>
      </c>
      <c r="C222">
        <v>0.42398614800000001</v>
      </c>
      <c r="D222">
        <v>1.714537736</v>
      </c>
      <c r="E222">
        <v>0.51775148900000001</v>
      </c>
      <c r="F222">
        <v>0.85592351499999997</v>
      </c>
      <c r="G222">
        <v>0.34861546399999999</v>
      </c>
      <c r="H222">
        <v>0.58937331199999998</v>
      </c>
      <c r="I222">
        <v>0.24866556500000001</v>
      </c>
      <c r="J222">
        <v>0.81345839499999995</v>
      </c>
      <c r="L222">
        <v>0.50147152100000003</v>
      </c>
      <c r="M222">
        <v>0.433303471</v>
      </c>
      <c r="N222">
        <v>-9.9201529999999993E-3</v>
      </c>
      <c r="O222">
        <v>0.52427400000000002</v>
      </c>
      <c r="P222">
        <v>0.82102730099999999</v>
      </c>
      <c r="Q222">
        <v>3.4970395929999998</v>
      </c>
      <c r="R222">
        <v>0.56314699999999995</v>
      </c>
      <c r="S222">
        <v>0.98914565799999998</v>
      </c>
      <c r="T222">
        <v>0.41520544199999998</v>
      </c>
      <c r="U222">
        <v>0.586395</v>
      </c>
      <c r="V222">
        <v>0.52586350900000001</v>
      </c>
      <c r="W222">
        <v>2.238306787</v>
      </c>
      <c r="X222">
        <v>0.51251417700000002</v>
      </c>
      <c r="Y222">
        <v>0.62375999999999998</v>
      </c>
      <c r="Z222">
        <v>0.46255972499999998</v>
      </c>
      <c r="AA222">
        <v>3.554913161</v>
      </c>
      <c r="AB222">
        <v>0.54726599899999995</v>
      </c>
      <c r="AC222">
        <v>0.36217187499999998</v>
      </c>
      <c r="AD222">
        <v>0.81032455999999997</v>
      </c>
      <c r="AE222">
        <v>1.8121354160000001</v>
      </c>
      <c r="AF222">
        <v>1.758029925</v>
      </c>
      <c r="AG222">
        <v>3.8228845960000002</v>
      </c>
      <c r="AH222">
        <v>0.92430933699999995</v>
      </c>
      <c r="AI222">
        <v>0.34826357800000002</v>
      </c>
      <c r="AJ222">
        <v>2.0777686690000001</v>
      </c>
      <c r="AK222">
        <v>1.3172995359999999</v>
      </c>
      <c r="AL222">
        <v>0.79503772500000003</v>
      </c>
      <c r="AM222">
        <v>0.90444327999999996</v>
      </c>
      <c r="AN222">
        <v>-0.46398581300000002</v>
      </c>
      <c r="AP222">
        <v>1.006558246</v>
      </c>
      <c r="AQ222">
        <v>-0.14444825999999999</v>
      </c>
      <c r="AR222">
        <v>1.542451588</v>
      </c>
      <c r="AS222">
        <v>4.3164154459999997</v>
      </c>
      <c r="AT222">
        <v>0.61550245599999998</v>
      </c>
      <c r="AU222">
        <v>1.2688591810000001</v>
      </c>
    </row>
    <row r="223" spans="1:47" x14ac:dyDescent="0.2">
      <c r="A223" t="s">
        <v>287</v>
      </c>
      <c r="B223" s="74">
        <v>37530</v>
      </c>
      <c r="C223">
        <v>7.4497308999999998E-2</v>
      </c>
      <c r="D223">
        <v>0.30161007499999998</v>
      </c>
      <c r="E223">
        <v>0.23415503800000001</v>
      </c>
      <c r="F223">
        <v>0.53543567700000005</v>
      </c>
      <c r="G223">
        <v>1.3477487189999999</v>
      </c>
      <c r="H223">
        <v>0.86544944000000001</v>
      </c>
      <c r="I223">
        <v>-4.1243159000000001E-2</v>
      </c>
      <c r="J223">
        <v>1.0893371650000001</v>
      </c>
      <c r="L223">
        <v>0.63705044899999996</v>
      </c>
      <c r="M223">
        <v>0.46642256399999998</v>
      </c>
      <c r="N223">
        <v>0.34005229199999998</v>
      </c>
      <c r="O223">
        <v>0.367925</v>
      </c>
      <c r="P223">
        <v>0.61687322099999997</v>
      </c>
      <c r="Q223">
        <v>2.0044689629999999</v>
      </c>
      <c r="R223">
        <v>0.411914</v>
      </c>
      <c r="S223">
        <v>-0.23402964400000001</v>
      </c>
      <c r="T223">
        <v>0.23268035400000001</v>
      </c>
      <c r="U223">
        <v>0.41236699999999998</v>
      </c>
      <c r="V223">
        <v>0.72589894399999999</v>
      </c>
      <c r="W223">
        <v>0.57704490600000002</v>
      </c>
      <c r="X223">
        <v>0.91625537800000001</v>
      </c>
      <c r="Y223">
        <v>0.59355999999999998</v>
      </c>
      <c r="Z223">
        <v>1.9699272990000001</v>
      </c>
      <c r="AA223">
        <v>-0.85355983099999999</v>
      </c>
      <c r="AB223">
        <v>4.8287699000000003E-2</v>
      </c>
      <c r="AC223">
        <v>0.204819055</v>
      </c>
      <c r="AD223">
        <v>0.31463256000000001</v>
      </c>
      <c r="AE223">
        <v>2.0218129560000002</v>
      </c>
      <c r="AF223">
        <v>-1.554092716</v>
      </c>
      <c r="AG223">
        <v>1.2283295400000001</v>
      </c>
      <c r="AH223">
        <v>0.77800704600000004</v>
      </c>
      <c r="AI223">
        <v>0.15526388299999999</v>
      </c>
      <c r="AJ223">
        <v>-1.484075443</v>
      </c>
      <c r="AK223">
        <v>1.1721250919999999</v>
      </c>
      <c r="AL223">
        <v>0.50123221500000004</v>
      </c>
      <c r="AM223">
        <v>1.2326548610000001</v>
      </c>
      <c r="AN223">
        <v>-0.45360012799999999</v>
      </c>
      <c r="AP223">
        <v>2.2398175419999999</v>
      </c>
      <c r="AQ223">
        <v>1.180127503</v>
      </c>
      <c r="AR223">
        <v>0.59465185399999998</v>
      </c>
      <c r="AS223">
        <v>1.366468032</v>
      </c>
      <c r="AT223">
        <v>0.40352870400000002</v>
      </c>
      <c r="AU223">
        <v>1.131829481</v>
      </c>
    </row>
    <row r="224" spans="1:47" x14ac:dyDescent="0.2">
      <c r="A224" t="s">
        <v>288</v>
      </c>
      <c r="B224" s="74">
        <v>37622</v>
      </c>
      <c r="C224">
        <v>1.019056942</v>
      </c>
      <c r="D224">
        <v>0.816602881</v>
      </c>
      <c r="E224">
        <v>-0.33317107699999998</v>
      </c>
      <c r="F224">
        <v>0.37386693599999998</v>
      </c>
      <c r="G224">
        <v>1.010163886</v>
      </c>
      <c r="H224">
        <v>0.54862090500000005</v>
      </c>
      <c r="I224">
        <v>-0.40696981799999998</v>
      </c>
      <c r="J224">
        <v>1.4532851529999999</v>
      </c>
      <c r="L224">
        <v>0.66296281300000004</v>
      </c>
      <c r="M224">
        <v>-0.12766492900000001</v>
      </c>
      <c r="N224">
        <v>-0.330022229</v>
      </c>
      <c r="O224">
        <v>0.23078000000000001</v>
      </c>
      <c r="P224">
        <v>0.74833821099999998</v>
      </c>
      <c r="Q224">
        <v>0.732020475</v>
      </c>
      <c r="R224">
        <v>0.23819799999999999</v>
      </c>
      <c r="S224">
        <v>1.138140747</v>
      </c>
      <c r="T224">
        <v>0.234409648</v>
      </c>
      <c r="U224">
        <v>0.22572900000000001</v>
      </c>
      <c r="V224">
        <v>0.83806784700000003</v>
      </c>
      <c r="W224">
        <v>0.77102046599999996</v>
      </c>
      <c r="X224">
        <v>1.225315382</v>
      </c>
      <c r="Y224">
        <v>7.8240000000000004E-2</v>
      </c>
      <c r="Z224">
        <v>1.550262724</v>
      </c>
      <c r="AA224">
        <v>1.9171470479999999</v>
      </c>
      <c r="AB224">
        <v>-0.210825281</v>
      </c>
      <c r="AC224">
        <v>0.42418502499999999</v>
      </c>
      <c r="AD224">
        <v>0.27847166000000001</v>
      </c>
      <c r="AE224">
        <v>1.0973539919999999</v>
      </c>
      <c r="AF224">
        <v>-0.35045346500000002</v>
      </c>
      <c r="AG224">
        <v>4.0184101439999997</v>
      </c>
      <c r="AH224">
        <v>0.23594063300000001</v>
      </c>
      <c r="AI224">
        <v>0.14965119700000001</v>
      </c>
      <c r="AJ224">
        <v>1.1292031</v>
      </c>
      <c r="AK224">
        <v>1.331353746</v>
      </c>
      <c r="AL224">
        <v>0.34287143599999997</v>
      </c>
      <c r="AM224">
        <v>9.4280064999999996E-2</v>
      </c>
      <c r="AN224">
        <v>-0.74644120800000002</v>
      </c>
      <c r="AP224">
        <v>0.66907271400000001</v>
      </c>
      <c r="AQ224">
        <v>1.7061440750000001</v>
      </c>
      <c r="AR224">
        <v>0.17840708599999999</v>
      </c>
      <c r="AS224">
        <v>2.13363529</v>
      </c>
      <c r="AT224">
        <v>0.13065576700000001</v>
      </c>
      <c r="AU224">
        <v>0.83198865899999996</v>
      </c>
    </row>
    <row r="225" spans="1:47" x14ac:dyDescent="0.2">
      <c r="A225" t="s">
        <v>289</v>
      </c>
      <c r="B225" s="74">
        <v>37712</v>
      </c>
      <c r="C225">
        <v>3.695017177</v>
      </c>
      <c r="D225">
        <v>0.19674301999999999</v>
      </c>
      <c r="E225">
        <v>0.65366098500000003</v>
      </c>
      <c r="F225">
        <v>-0.26354319199999998</v>
      </c>
      <c r="G225">
        <v>-0.44797816099999999</v>
      </c>
      <c r="H225">
        <v>0.55332523499999997</v>
      </c>
      <c r="I225">
        <v>-0.48105539400000003</v>
      </c>
      <c r="J225">
        <v>1.421052776</v>
      </c>
      <c r="L225">
        <v>1.055680792</v>
      </c>
      <c r="M225">
        <v>-1.478778285</v>
      </c>
      <c r="N225">
        <v>0.53590578200000005</v>
      </c>
      <c r="O225">
        <v>-0.315388</v>
      </c>
      <c r="P225">
        <v>0.93673244700000002</v>
      </c>
      <c r="Q225">
        <v>2.2938070289999999</v>
      </c>
      <c r="R225">
        <v>-0.20577799999999999</v>
      </c>
      <c r="S225">
        <v>-0.70655442000000002</v>
      </c>
      <c r="T225">
        <v>0.106668077</v>
      </c>
      <c r="U225">
        <v>0.15340000000000001</v>
      </c>
      <c r="V225">
        <v>0.63332125399999994</v>
      </c>
      <c r="W225">
        <v>2.0819525830000001</v>
      </c>
      <c r="X225">
        <v>0.775901866</v>
      </c>
      <c r="Y225">
        <v>2.25109</v>
      </c>
      <c r="Z225">
        <v>-0.25258354900000002</v>
      </c>
      <c r="AA225">
        <v>1.6032474489999999</v>
      </c>
      <c r="AB225">
        <v>1.1281253899999999</v>
      </c>
      <c r="AC225">
        <v>-0.35457107900000001</v>
      </c>
      <c r="AD225">
        <v>6.1599065000000001E-2</v>
      </c>
      <c r="AE225">
        <v>-0.65915983499999997</v>
      </c>
      <c r="AF225">
        <v>-0.12787351499999999</v>
      </c>
      <c r="AG225">
        <v>0.64782921900000001</v>
      </c>
      <c r="AH225">
        <v>0.237213801</v>
      </c>
      <c r="AI225">
        <v>1.7344153000000001E-2</v>
      </c>
      <c r="AJ225">
        <v>2.3837247999999998E-2</v>
      </c>
      <c r="AK225">
        <v>0.55244637699999999</v>
      </c>
      <c r="AL225">
        <v>0.20341462499999999</v>
      </c>
      <c r="AM225">
        <v>0.34951247200000002</v>
      </c>
      <c r="AN225">
        <v>0.105061371</v>
      </c>
      <c r="AP225">
        <v>1.7758830370000001</v>
      </c>
      <c r="AQ225">
        <v>-3.0026665000000001E-2</v>
      </c>
      <c r="AR225">
        <v>1.140423462</v>
      </c>
      <c r="AS225">
        <v>8.3600699000000001E-2</v>
      </c>
      <c r="AT225">
        <v>0.51672318699999997</v>
      </c>
      <c r="AU225">
        <v>0.63476228000000001</v>
      </c>
    </row>
    <row r="226" spans="1:47" x14ac:dyDescent="0.2">
      <c r="A226" t="s">
        <v>290</v>
      </c>
      <c r="B226" s="74">
        <v>37803</v>
      </c>
      <c r="C226">
        <v>3.1643250489999999</v>
      </c>
      <c r="D226">
        <v>0.424495499</v>
      </c>
      <c r="E226">
        <v>0.19356018699999999</v>
      </c>
      <c r="F226">
        <v>0.21374045799999999</v>
      </c>
      <c r="G226">
        <v>-0.83031463599999999</v>
      </c>
      <c r="H226">
        <v>-0.14746372799999999</v>
      </c>
      <c r="I226">
        <v>-0.207537414</v>
      </c>
      <c r="J226">
        <v>1.058676682</v>
      </c>
      <c r="L226">
        <v>1.051891208</v>
      </c>
      <c r="M226">
        <v>0.10615703</v>
      </c>
      <c r="N226">
        <v>-0.93001758300000004</v>
      </c>
      <c r="O226">
        <v>8.1633999999999998E-2</v>
      </c>
      <c r="P226">
        <v>0.52695173500000003</v>
      </c>
      <c r="Q226">
        <v>2.3157530730000002</v>
      </c>
      <c r="R226">
        <v>0.12124600000000001</v>
      </c>
      <c r="S226">
        <v>1.4383043150000001</v>
      </c>
      <c r="T226">
        <v>-0.21909076399999999</v>
      </c>
      <c r="U226">
        <v>0.57571099999999997</v>
      </c>
      <c r="V226">
        <v>0.85630520300000001</v>
      </c>
      <c r="W226">
        <v>1.771173645</v>
      </c>
      <c r="X226">
        <v>1.0363488380000001</v>
      </c>
      <c r="Y226">
        <v>2.5331999999999999</v>
      </c>
      <c r="Z226">
        <v>0.632379625</v>
      </c>
      <c r="AA226">
        <v>-2.9054469649999999</v>
      </c>
      <c r="AB226">
        <v>-0.19978744500000001</v>
      </c>
      <c r="AC226">
        <v>-0.13297230500000001</v>
      </c>
      <c r="AD226">
        <v>0.68738152299999999</v>
      </c>
      <c r="AE226">
        <v>-0.154146863</v>
      </c>
      <c r="AF226">
        <v>2.5099130729999999</v>
      </c>
      <c r="AG226">
        <v>2.3941135149999999</v>
      </c>
      <c r="AH226">
        <v>0.22895806399999999</v>
      </c>
      <c r="AI226">
        <v>-0.34532982099999998</v>
      </c>
      <c r="AJ226">
        <v>-0.47619804199999999</v>
      </c>
      <c r="AK226">
        <v>0.43714019500000001</v>
      </c>
      <c r="AL226">
        <v>0.52425255000000004</v>
      </c>
      <c r="AM226">
        <v>2.096758334</v>
      </c>
      <c r="AN226">
        <v>-0.88876152200000003</v>
      </c>
      <c r="AO226">
        <v>1.1154365420000001</v>
      </c>
      <c r="AP226">
        <v>1.508149688</v>
      </c>
      <c r="AQ226">
        <v>0.167533352</v>
      </c>
      <c r="AR226">
        <v>-0.543919398</v>
      </c>
      <c r="AS226">
        <v>0.336326982</v>
      </c>
      <c r="AT226">
        <v>0.89337780099999997</v>
      </c>
      <c r="AU226">
        <v>0.48836950400000001</v>
      </c>
    </row>
    <row r="227" spans="1:47" x14ac:dyDescent="0.2">
      <c r="A227" t="s">
        <v>291</v>
      </c>
      <c r="B227" s="74">
        <v>37895</v>
      </c>
      <c r="C227">
        <v>2.4436381310000002</v>
      </c>
      <c r="D227">
        <v>1.7343594309999999</v>
      </c>
      <c r="E227">
        <v>0.25481385299999998</v>
      </c>
      <c r="F227">
        <v>0.40899076499999998</v>
      </c>
      <c r="G227">
        <v>0.93498638099999998</v>
      </c>
      <c r="H227">
        <v>0.373654347</v>
      </c>
      <c r="I227">
        <v>1.039983393</v>
      </c>
      <c r="J227">
        <v>0.65922470399999999</v>
      </c>
      <c r="L227">
        <v>1.075444689</v>
      </c>
      <c r="M227">
        <v>0.76587593499999995</v>
      </c>
      <c r="N227">
        <v>0.34346635599999997</v>
      </c>
      <c r="O227">
        <v>0.52038799999999996</v>
      </c>
      <c r="P227">
        <v>0.65982771900000003</v>
      </c>
      <c r="Q227">
        <v>0.98363841399999996</v>
      </c>
      <c r="R227">
        <v>0.58605700000000005</v>
      </c>
      <c r="S227">
        <v>1.1961620470000001</v>
      </c>
      <c r="T227">
        <v>0.66341831699999998</v>
      </c>
      <c r="U227">
        <v>1.0534190000000001</v>
      </c>
      <c r="V227">
        <v>0.98562675600000005</v>
      </c>
      <c r="W227">
        <v>0.62731859400000001</v>
      </c>
      <c r="X227">
        <v>1.1930854870000001</v>
      </c>
      <c r="Y227">
        <v>2.6321099999999999</v>
      </c>
      <c r="Z227">
        <v>-9.1815679999999997E-2</v>
      </c>
      <c r="AA227">
        <v>0.191515198</v>
      </c>
      <c r="AB227">
        <v>0.91374371499999996</v>
      </c>
      <c r="AC227">
        <v>-8.3619115999999993E-2</v>
      </c>
      <c r="AD227">
        <v>0.29532079900000002</v>
      </c>
      <c r="AE227">
        <v>1.9326695089999999</v>
      </c>
      <c r="AF227">
        <v>1.0593181819999999</v>
      </c>
      <c r="AG227">
        <v>2.1655455240000001</v>
      </c>
      <c r="AH227">
        <v>-3.7698450000000001E-2</v>
      </c>
      <c r="AI227">
        <v>8.8712713999999998E-2</v>
      </c>
      <c r="AJ227">
        <v>1.4050985250000001</v>
      </c>
      <c r="AK227">
        <v>2.107215906</v>
      </c>
      <c r="AL227">
        <v>1.0436917299999999</v>
      </c>
      <c r="AM227">
        <v>1.1135982390000001</v>
      </c>
      <c r="AN227">
        <v>0.88737015500000005</v>
      </c>
      <c r="AO227">
        <v>1.6881671840000001</v>
      </c>
      <c r="AP227">
        <v>0.40042030099999998</v>
      </c>
      <c r="AQ227">
        <v>1.4593381320000001</v>
      </c>
      <c r="AR227">
        <v>1.414734833</v>
      </c>
      <c r="AS227">
        <v>2.8512124029999999</v>
      </c>
      <c r="AT227">
        <v>1.6668962700000001</v>
      </c>
      <c r="AU227">
        <v>0.54269058199999998</v>
      </c>
    </row>
    <row r="228" spans="1:47" x14ac:dyDescent="0.2">
      <c r="A228" t="s">
        <v>292</v>
      </c>
      <c r="B228" s="74">
        <v>37987</v>
      </c>
      <c r="C228">
        <v>1.8764988899999999</v>
      </c>
      <c r="D228">
        <v>1.6388797340000001</v>
      </c>
      <c r="E228">
        <v>0.15938706999999999</v>
      </c>
      <c r="F228">
        <v>0.69560345899999998</v>
      </c>
      <c r="G228">
        <v>1.0386058300000001</v>
      </c>
      <c r="H228">
        <v>0.68995918099999998</v>
      </c>
      <c r="I228">
        <v>1.1922539720000001</v>
      </c>
      <c r="J228">
        <v>0.54262299400000003</v>
      </c>
      <c r="L228">
        <v>0.81300236800000003</v>
      </c>
      <c r="M228">
        <v>0.28063537799999999</v>
      </c>
      <c r="N228">
        <v>1.8629828100000001</v>
      </c>
      <c r="O228">
        <v>0.74763000000000002</v>
      </c>
      <c r="P228">
        <v>0.85244351900000004</v>
      </c>
      <c r="Q228">
        <v>2.6111197740000001</v>
      </c>
      <c r="R228">
        <v>0.761656</v>
      </c>
      <c r="S228">
        <v>0.18330840100000001</v>
      </c>
      <c r="T228">
        <v>0.68326813799999997</v>
      </c>
      <c r="U228">
        <v>0.95274099999999995</v>
      </c>
      <c r="V228">
        <v>0.77733857299999998</v>
      </c>
      <c r="W228">
        <v>2.1371795480000002</v>
      </c>
      <c r="X228">
        <v>1.0164753520000001</v>
      </c>
      <c r="Y228">
        <v>3.28321</v>
      </c>
      <c r="Z228">
        <v>6.3088742340000001</v>
      </c>
      <c r="AA228">
        <v>3.1640473330000001</v>
      </c>
      <c r="AB228">
        <v>0.41911874999999998</v>
      </c>
      <c r="AC228">
        <v>0.88070563999999996</v>
      </c>
      <c r="AD228">
        <v>1.0887691779999999</v>
      </c>
      <c r="AE228">
        <v>2.6394795860000002</v>
      </c>
      <c r="AF228">
        <v>3.7622261340000001</v>
      </c>
      <c r="AG228">
        <v>1.2660875069999999</v>
      </c>
      <c r="AH228">
        <v>1.1002611529999999</v>
      </c>
      <c r="AI228">
        <v>0.53539578399999999</v>
      </c>
      <c r="AJ228">
        <v>3.2057519999999999E-2</v>
      </c>
      <c r="AK228">
        <v>1.3043883350000001</v>
      </c>
      <c r="AL228">
        <v>1.068033129</v>
      </c>
      <c r="AM228">
        <v>0.28006102900000002</v>
      </c>
      <c r="AN228">
        <v>0.37779749600000001</v>
      </c>
      <c r="AO228">
        <v>1.8238187690000001</v>
      </c>
      <c r="AP228">
        <v>1.6813282890000001</v>
      </c>
      <c r="AQ228">
        <v>0.64086150600000003</v>
      </c>
      <c r="AR228">
        <v>0.65657044099999995</v>
      </c>
      <c r="AS228">
        <v>3.0230130769999999</v>
      </c>
      <c r="AT228">
        <v>1.154045728</v>
      </c>
      <c r="AU228">
        <v>0.57693127200000005</v>
      </c>
    </row>
    <row r="229" spans="1:47" x14ac:dyDescent="0.2">
      <c r="A229" t="s">
        <v>293</v>
      </c>
      <c r="B229" s="74">
        <v>38078</v>
      </c>
      <c r="C229">
        <v>3.215660867</v>
      </c>
      <c r="D229">
        <v>0.77971114600000002</v>
      </c>
      <c r="E229">
        <v>0.97998176400000003</v>
      </c>
      <c r="F229">
        <v>1.498661289</v>
      </c>
      <c r="G229">
        <v>1.385159196</v>
      </c>
      <c r="H229">
        <v>0.72026758700000004</v>
      </c>
      <c r="I229">
        <v>0.52815797600000003</v>
      </c>
      <c r="J229">
        <v>2.1062652650000002</v>
      </c>
      <c r="L229">
        <v>1.0657318469999999</v>
      </c>
      <c r="M229">
        <v>-0.17488757399999999</v>
      </c>
      <c r="N229">
        <v>0.48161750199999998</v>
      </c>
      <c r="O229">
        <v>0.497193</v>
      </c>
      <c r="P229">
        <v>0.60844005000000001</v>
      </c>
      <c r="Q229">
        <v>2.319076661</v>
      </c>
      <c r="R229">
        <v>0.64097599999999999</v>
      </c>
      <c r="S229">
        <v>1.276604694</v>
      </c>
      <c r="T229">
        <v>0.98178723199999995</v>
      </c>
      <c r="U229">
        <v>0.52695199999999998</v>
      </c>
      <c r="V229">
        <v>0.44474420999999997</v>
      </c>
      <c r="W229">
        <v>1.8285645370000001</v>
      </c>
      <c r="X229">
        <v>1.5397807779999999</v>
      </c>
      <c r="Y229">
        <v>0.36448999999999998</v>
      </c>
      <c r="Z229">
        <v>-0.56456397700000005</v>
      </c>
      <c r="AA229">
        <v>3.9220156199999998</v>
      </c>
      <c r="AB229">
        <v>2.2918998020000001</v>
      </c>
      <c r="AC229">
        <v>0.26344637199999998</v>
      </c>
      <c r="AD229">
        <v>0.73499718000000003</v>
      </c>
      <c r="AE229">
        <v>1.254800591</v>
      </c>
      <c r="AF229">
        <v>-0.64223704299999995</v>
      </c>
      <c r="AG229">
        <v>3.395448107</v>
      </c>
      <c r="AH229">
        <v>1.4083124499999999</v>
      </c>
      <c r="AI229">
        <v>0.90523695299999996</v>
      </c>
      <c r="AJ229">
        <v>3.5426514519999999</v>
      </c>
      <c r="AK229">
        <v>1.7060608850000001</v>
      </c>
      <c r="AL229">
        <v>0.77311469700000002</v>
      </c>
      <c r="AM229">
        <v>2.9871741169999999</v>
      </c>
      <c r="AN229">
        <v>0.90289461599999998</v>
      </c>
      <c r="AO229">
        <v>1.8786669309999999</v>
      </c>
      <c r="AP229">
        <v>1.297951944</v>
      </c>
      <c r="AQ229">
        <v>0.98525494400000002</v>
      </c>
      <c r="AR229">
        <v>1.808067936</v>
      </c>
      <c r="AS229">
        <v>2.7542829950000001</v>
      </c>
      <c r="AT229">
        <v>0.572916486</v>
      </c>
      <c r="AU229">
        <v>1.513781636</v>
      </c>
    </row>
    <row r="230" spans="1:47" x14ac:dyDescent="0.2">
      <c r="A230" t="s">
        <v>294</v>
      </c>
      <c r="B230" s="74">
        <v>38169</v>
      </c>
      <c r="C230">
        <v>-1.0561061490000001</v>
      </c>
      <c r="D230">
        <v>0.67414987100000001</v>
      </c>
      <c r="E230">
        <v>0.76978096600000001</v>
      </c>
      <c r="F230">
        <v>0.96151650099999997</v>
      </c>
      <c r="G230">
        <v>2.7706686409999999</v>
      </c>
      <c r="H230">
        <v>1.1878190150000001</v>
      </c>
      <c r="I230">
        <v>0.81511407300000005</v>
      </c>
      <c r="J230">
        <v>1.922414893</v>
      </c>
      <c r="L230">
        <v>1.234532121</v>
      </c>
      <c r="M230">
        <v>0.51396004799999995</v>
      </c>
      <c r="N230">
        <v>0.59538165200000004</v>
      </c>
      <c r="O230">
        <v>0.619564</v>
      </c>
      <c r="P230">
        <v>0.983144346</v>
      </c>
      <c r="Q230">
        <v>-0.67963322800000003</v>
      </c>
      <c r="R230">
        <v>0.63900400000000002</v>
      </c>
      <c r="S230">
        <v>0.85972380900000001</v>
      </c>
      <c r="T230">
        <v>0.58363076800000002</v>
      </c>
      <c r="U230">
        <v>0.58985100000000001</v>
      </c>
      <c r="V230">
        <v>0.52907668500000005</v>
      </c>
      <c r="W230">
        <v>-1.8592187999999999E-2</v>
      </c>
      <c r="X230">
        <v>1.1916008199999999</v>
      </c>
      <c r="Y230">
        <v>2.3781699999999999</v>
      </c>
      <c r="Z230">
        <v>2.1405485350000002</v>
      </c>
      <c r="AA230">
        <v>-0.91849024499999998</v>
      </c>
      <c r="AB230">
        <v>0.72983578800000004</v>
      </c>
      <c r="AC230">
        <v>0.39648724899999999</v>
      </c>
      <c r="AD230">
        <v>1.4432810000000001E-2</v>
      </c>
      <c r="AE230">
        <v>0.76349936900000004</v>
      </c>
      <c r="AF230">
        <v>0.117532252</v>
      </c>
      <c r="AG230">
        <v>1.3015507710000001</v>
      </c>
      <c r="AH230">
        <v>1.542205045</v>
      </c>
      <c r="AI230">
        <v>0.47679610300000003</v>
      </c>
      <c r="AJ230">
        <v>0.20587788300000001</v>
      </c>
      <c r="AK230">
        <v>0.86358909399999995</v>
      </c>
      <c r="AL230">
        <v>0.69612744199999999</v>
      </c>
      <c r="AM230">
        <v>0.809345804</v>
      </c>
      <c r="AN230">
        <v>0.57209478999999996</v>
      </c>
      <c r="AO230">
        <v>1.9271840410000001</v>
      </c>
      <c r="AP230">
        <v>0.66694926700000001</v>
      </c>
      <c r="AQ230">
        <v>1.253548638</v>
      </c>
      <c r="AR230">
        <v>0.43087508800000002</v>
      </c>
      <c r="AS230">
        <v>2.328300885</v>
      </c>
      <c r="AT230">
        <v>0.77873875800000003</v>
      </c>
      <c r="AU230">
        <v>1.397449924</v>
      </c>
    </row>
    <row r="231" spans="1:47" x14ac:dyDescent="0.2">
      <c r="A231" t="s">
        <v>295</v>
      </c>
      <c r="B231" s="74">
        <v>38261</v>
      </c>
      <c r="C231">
        <v>5.0429036299999996</v>
      </c>
      <c r="D231">
        <v>0.76849785999999998</v>
      </c>
      <c r="E231">
        <v>1.1657024739999999</v>
      </c>
      <c r="F231">
        <v>0.87205356700000003</v>
      </c>
      <c r="G231">
        <v>1.2492307</v>
      </c>
      <c r="H231">
        <v>1.1804355769999999</v>
      </c>
      <c r="I231">
        <v>-6.4730702000000001E-2</v>
      </c>
      <c r="J231">
        <v>2.6181715479999998</v>
      </c>
      <c r="L231">
        <v>1.4518295590000001</v>
      </c>
      <c r="M231">
        <v>-0.209174363</v>
      </c>
      <c r="N231">
        <v>0.235625688</v>
      </c>
      <c r="O231">
        <v>0.22869400000000001</v>
      </c>
      <c r="P231">
        <v>0.94120122500000003</v>
      </c>
      <c r="Q231">
        <v>2.2613462700000002</v>
      </c>
      <c r="R231">
        <v>0.27909800000000001</v>
      </c>
      <c r="S231">
        <v>1.085054253</v>
      </c>
      <c r="T231">
        <v>0.27089178800000002</v>
      </c>
      <c r="U231">
        <v>0.61270400000000003</v>
      </c>
      <c r="V231">
        <v>0.23871430499999999</v>
      </c>
      <c r="W231">
        <v>1.334459386</v>
      </c>
      <c r="X231">
        <v>1.2072576180000001</v>
      </c>
      <c r="Y231">
        <v>2.39764</v>
      </c>
      <c r="Z231">
        <v>-1.053925395</v>
      </c>
      <c r="AA231">
        <v>4.8281812369999999</v>
      </c>
      <c r="AB231">
        <v>1.232696131</v>
      </c>
      <c r="AC231">
        <v>-5.3439977999999999E-2</v>
      </c>
      <c r="AD231">
        <v>0.61179110000000003</v>
      </c>
      <c r="AE231">
        <v>0.40558612900000002</v>
      </c>
      <c r="AF231">
        <v>2.3377391240000001</v>
      </c>
      <c r="AG231">
        <v>0.51240517900000004</v>
      </c>
      <c r="AH231">
        <v>-0.213015965</v>
      </c>
      <c r="AI231">
        <v>0.14938823900000001</v>
      </c>
      <c r="AJ231">
        <v>-1.154684096</v>
      </c>
      <c r="AK231">
        <v>0.28689259499999997</v>
      </c>
      <c r="AL231">
        <v>0.59754467300000003</v>
      </c>
      <c r="AM231">
        <v>-0.50365247700000004</v>
      </c>
      <c r="AN231">
        <v>3.9396611999999998E-2</v>
      </c>
      <c r="AO231">
        <v>1.514535194</v>
      </c>
      <c r="AP231">
        <v>2.3122218650000002</v>
      </c>
      <c r="AQ231">
        <v>0.99209502699999996</v>
      </c>
      <c r="AR231">
        <v>0.78223904700000002</v>
      </c>
      <c r="AS231">
        <v>1.1277305360000001</v>
      </c>
      <c r="AT231">
        <v>0.94124722500000002</v>
      </c>
      <c r="AU231">
        <v>1.6351179389999999</v>
      </c>
    </row>
    <row r="232" spans="1:47" x14ac:dyDescent="0.2">
      <c r="A232" t="s">
        <v>296</v>
      </c>
      <c r="B232" s="74">
        <v>38353</v>
      </c>
      <c r="C232">
        <v>1.3356787649999999</v>
      </c>
      <c r="D232">
        <v>0.74959541399999996</v>
      </c>
      <c r="E232">
        <v>0.33276519500000001</v>
      </c>
      <c r="F232">
        <v>0.356570198</v>
      </c>
      <c r="G232">
        <v>0.76905346900000005</v>
      </c>
      <c r="H232">
        <v>0.71842654399999994</v>
      </c>
      <c r="I232">
        <v>0.26393471099999999</v>
      </c>
      <c r="J232">
        <v>1.6222611739999999</v>
      </c>
      <c r="L232">
        <v>1.8685639009999999</v>
      </c>
      <c r="M232">
        <v>-9.3170488999999995E-2</v>
      </c>
      <c r="N232">
        <v>1.0808733800000001</v>
      </c>
      <c r="O232">
        <v>0.38681599999999999</v>
      </c>
      <c r="P232">
        <v>0.671859278</v>
      </c>
      <c r="Q232">
        <v>2.0785032349999999</v>
      </c>
      <c r="R232">
        <v>0.46307199999999998</v>
      </c>
      <c r="S232">
        <v>1.5052142740000001</v>
      </c>
      <c r="T232">
        <v>0.74936343900000002</v>
      </c>
      <c r="U232">
        <v>0.58633000000000002</v>
      </c>
      <c r="V232">
        <v>0.316186089</v>
      </c>
      <c r="W232">
        <v>-0.381337288</v>
      </c>
      <c r="X232">
        <v>0.367393048</v>
      </c>
      <c r="Y232">
        <v>1.9366099999999999</v>
      </c>
      <c r="Z232">
        <v>3.5362478589999999</v>
      </c>
      <c r="AA232">
        <v>1.1531604129999999</v>
      </c>
      <c r="AB232">
        <v>1.3143103350000001</v>
      </c>
      <c r="AC232">
        <v>0.32013713999999999</v>
      </c>
      <c r="AD232">
        <v>-0.19250099900000001</v>
      </c>
      <c r="AE232">
        <v>0.75793377399999995</v>
      </c>
      <c r="AF232">
        <v>-1.079093839</v>
      </c>
      <c r="AG232">
        <v>2.3082159340000001</v>
      </c>
      <c r="AH232">
        <v>1.3261562689999999</v>
      </c>
      <c r="AI232">
        <v>0.21801400900000001</v>
      </c>
      <c r="AJ232">
        <v>0.982498333</v>
      </c>
      <c r="AK232">
        <v>0.35088503500000001</v>
      </c>
      <c r="AL232">
        <v>0.695225447</v>
      </c>
      <c r="AM232">
        <v>1.0601645749999999</v>
      </c>
      <c r="AN232">
        <v>-0.295723234</v>
      </c>
      <c r="AO232">
        <v>1.1181707839999999</v>
      </c>
      <c r="AP232">
        <v>1.534242291</v>
      </c>
      <c r="AQ232">
        <v>0.39775948</v>
      </c>
      <c r="AR232">
        <v>0.83333076800000006</v>
      </c>
      <c r="AS232">
        <v>1.622484668</v>
      </c>
      <c r="AT232">
        <v>1.0220273689999999</v>
      </c>
      <c r="AU232">
        <v>1.067930101</v>
      </c>
    </row>
    <row r="233" spans="1:47" x14ac:dyDescent="0.2">
      <c r="A233" t="s">
        <v>297</v>
      </c>
      <c r="B233" s="74">
        <v>38443</v>
      </c>
      <c r="C233">
        <v>2.9138186890000002</v>
      </c>
      <c r="D233">
        <v>0.759022215</v>
      </c>
      <c r="E233">
        <v>-0.18587172099999999</v>
      </c>
      <c r="F233">
        <v>0.526251103</v>
      </c>
      <c r="G233">
        <v>0.82399132799999997</v>
      </c>
      <c r="H233">
        <v>0.34606659499999998</v>
      </c>
      <c r="I233">
        <v>0.79384364600000001</v>
      </c>
      <c r="J233">
        <v>0.113133549</v>
      </c>
      <c r="L233">
        <v>1.718163938</v>
      </c>
      <c r="M233">
        <v>2.9167009999999998E-3</v>
      </c>
      <c r="N233">
        <v>-0.362985061</v>
      </c>
      <c r="O233">
        <v>0.22161400000000001</v>
      </c>
      <c r="P233">
        <v>0.98155160799999996</v>
      </c>
      <c r="Q233">
        <v>1.7562589829999999</v>
      </c>
      <c r="R233">
        <v>0.25926900000000003</v>
      </c>
      <c r="S233">
        <v>0.98926457300000004</v>
      </c>
      <c r="T233">
        <v>0.23631223400000001</v>
      </c>
      <c r="U233">
        <v>0.69068099999999999</v>
      </c>
      <c r="V233">
        <v>0.75030259499999996</v>
      </c>
      <c r="W233">
        <v>-0.588090483</v>
      </c>
      <c r="X233">
        <v>1.0085656869999999</v>
      </c>
      <c r="Y233">
        <v>1.7509699999999999</v>
      </c>
      <c r="Z233">
        <v>1.479469844</v>
      </c>
      <c r="AA233">
        <v>-2.8023836110000002</v>
      </c>
      <c r="AB233">
        <v>0.77781869299999995</v>
      </c>
      <c r="AC233">
        <v>-0.25735945900000001</v>
      </c>
      <c r="AD233">
        <v>0.51488185200000003</v>
      </c>
      <c r="AE233">
        <v>0.85090336899999997</v>
      </c>
      <c r="AF233">
        <v>-0.82779179700000005</v>
      </c>
      <c r="AG233">
        <v>2.6315391410000002</v>
      </c>
      <c r="AH233">
        <v>0.159291932</v>
      </c>
      <c r="AI233">
        <v>0.322858268</v>
      </c>
      <c r="AJ233">
        <v>1.6300841699999999</v>
      </c>
      <c r="AK233">
        <v>1.1670118709999999</v>
      </c>
      <c r="AL233">
        <v>0.75298465299999995</v>
      </c>
      <c r="AM233">
        <v>1.10186842</v>
      </c>
      <c r="AN233">
        <v>0.76901277800000001</v>
      </c>
      <c r="AO233">
        <v>1.7480820589999999</v>
      </c>
      <c r="AP233">
        <v>1.2397443299999999</v>
      </c>
      <c r="AQ233">
        <v>0.90032477099999997</v>
      </c>
      <c r="AR233">
        <v>0.43937902699999998</v>
      </c>
      <c r="AS233">
        <v>4.6099516109999996</v>
      </c>
      <c r="AT233">
        <v>1.110882508</v>
      </c>
      <c r="AU233">
        <v>1.0165997529999999</v>
      </c>
    </row>
    <row r="234" spans="1:47" x14ac:dyDescent="0.2">
      <c r="A234" t="s">
        <v>298</v>
      </c>
      <c r="B234" s="74">
        <v>38534</v>
      </c>
      <c r="C234">
        <v>2.1763085590000002</v>
      </c>
      <c r="D234">
        <v>0.45198268000000003</v>
      </c>
      <c r="E234">
        <v>1.2679615719999999</v>
      </c>
      <c r="F234">
        <v>0.59907526799999999</v>
      </c>
      <c r="G234">
        <v>1.1863059979999999</v>
      </c>
      <c r="H234">
        <v>0.72552270699999999</v>
      </c>
      <c r="I234">
        <v>1.087821055</v>
      </c>
      <c r="J234">
        <v>1.660761948</v>
      </c>
      <c r="L234">
        <v>1.5272647260000001</v>
      </c>
      <c r="M234">
        <v>0.53619039800000001</v>
      </c>
      <c r="N234">
        <v>1.968906957</v>
      </c>
      <c r="O234">
        <v>0.59879700000000002</v>
      </c>
      <c r="P234">
        <v>0.88880827100000004</v>
      </c>
      <c r="Q234">
        <v>3.9599289550000001</v>
      </c>
      <c r="R234">
        <v>0.64929599999999998</v>
      </c>
      <c r="S234">
        <v>-1.1961532349999999</v>
      </c>
      <c r="T234">
        <v>0.276094216</v>
      </c>
      <c r="U234">
        <v>0.58804000000000001</v>
      </c>
      <c r="V234">
        <v>0.94649158700000002</v>
      </c>
      <c r="W234">
        <v>0.23781521799999999</v>
      </c>
      <c r="X234">
        <v>1.931914793</v>
      </c>
      <c r="Y234">
        <v>3.1669</v>
      </c>
      <c r="Z234">
        <v>2.3771145599999999</v>
      </c>
      <c r="AA234">
        <v>7.1442540110000001</v>
      </c>
      <c r="AB234">
        <v>1.1517857760000001</v>
      </c>
      <c r="AC234">
        <v>0.80963993999999995</v>
      </c>
      <c r="AD234">
        <v>0.77903012800000004</v>
      </c>
      <c r="AE234">
        <v>1.8870628620000001</v>
      </c>
      <c r="AF234">
        <v>0.81425576099999997</v>
      </c>
      <c r="AG234">
        <v>2.2849888539999998</v>
      </c>
      <c r="AH234">
        <v>0.29375574799999998</v>
      </c>
      <c r="AI234">
        <v>0.703469864</v>
      </c>
      <c r="AJ234">
        <v>0.52440637300000004</v>
      </c>
      <c r="AK234">
        <v>1.598238855</v>
      </c>
      <c r="AL234">
        <v>0.68086119099999998</v>
      </c>
      <c r="AM234">
        <v>0.14735405500000001</v>
      </c>
      <c r="AN234">
        <v>0.368647118</v>
      </c>
      <c r="AO234">
        <v>1.522295172</v>
      </c>
      <c r="AP234">
        <v>2.0936779080000001</v>
      </c>
      <c r="AQ234">
        <v>1.756477667</v>
      </c>
      <c r="AR234">
        <v>0.66170807799999998</v>
      </c>
      <c r="AS234">
        <v>0.42215947599999998</v>
      </c>
      <c r="AT234">
        <v>0.48660447800000001</v>
      </c>
      <c r="AU234">
        <v>1.794553973</v>
      </c>
    </row>
    <row r="235" spans="1:47" x14ac:dyDescent="0.2">
      <c r="A235" t="s">
        <v>299</v>
      </c>
      <c r="B235" s="74">
        <v>38626</v>
      </c>
      <c r="C235">
        <v>0.73796941100000002</v>
      </c>
      <c r="D235">
        <v>1.1199311709999999</v>
      </c>
      <c r="E235">
        <v>0.673901686</v>
      </c>
      <c r="F235">
        <v>0.395532035</v>
      </c>
      <c r="G235">
        <v>-0.654208224</v>
      </c>
      <c r="H235">
        <v>1.211374835</v>
      </c>
      <c r="I235">
        <v>1.1010817799999999</v>
      </c>
      <c r="J235">
        <v>2.4313185480000001</v>
      </c>
      <c r="L235">
        <v>1.493346037</v>
      </c>
      <c r="M235">
        <v>0.84637551200000005</v>
      </c>
      <c r="N235">
        <v>0.11133501699999999</v>
      </c>
      <c r="O235">
        <v>0.73130200000000001</v>
      </c>
      <c r="P235">
        <v>0.96735612800000004</v>
      </c>
      <c r="Q235">
        <v>2.394842702</v>
      </c>
      <c r="R235">
        <v>0.77849299999999999</v>
      </c>
      <c r="S235">
        <v>1.4479346820000001</v>
      </c>
      <c r="T235">
        <v>0.53670478700000002</v>
      </c>
      <c r="U235">
        <v>0.82289599999999996</v>
      </c>
      <c r="V235">
        <v>0.85783857100000005</v>
      </c>
      <c r="W235">
        <v>1.3908431649999999</v>
      </c>
      <c r="X235">
        <v>0.73872972400000003</v>
      </c>
      <c r="Y235">
        <v>1.3914200000000001</v>
      </c>
      <c r="Z235">
        <v>-1.8900381049999999</v>
      </c>
      <c r="AA235">
        <v>0.35979015399999997</v>
      </c>
      <c r="AB235">
        <v>1.238779311</v>
      </c>
      <c r="AC235">
        <v>0.63499226099999995</v>
      </c>
      <c r="AD235">
        <v>1.012846436</v>
      </c>
      <c r="AE235">
        <v>1.5053308940000001</v>
      </c>
      <c r="AF235">
        <v>2.0172064760000001</v>
      </c>
      <c r="AG235">
        <v>4.989716842</v>
      </c>
      <c r="AH235">
        <v>0.83930148400000004</v>
      </c>
      <c r="AI235">
        <v>1.342952261</v>
      </c>
      <c r="AJ235">
        <v>0.82956187999999997</v>
      </c>
      <c r="AK235">
        <v>0.48753006399999999</v>
      </c>
      <c r="AL235">
        <v>0.896090893</v>
      </c>
      <c r="AM235">
        <v>1.932599951</v>
      </c>
      <c r="AN235">
        <v>-0.47193728299999999</v>
      </c>
      <c r="AO235">
        <v>1.762204946</v>
      </c>
      <c r="AP235">
        <v>1.6354089629999999</v>
      </c>
      <c r="AQ235">
        <v>0.82187293500000003</v>
      </c>
      <c r="AR235">
        <v>1.1846542579999999</v>
      </c>
      <c r="AS235">
        <v>1.4119712600000001</v>
      </c>
      <c r="AT235">
        <v>0.78562198000000005</v>
      </c>
      <c r="AU235">
        <v>1.3636185510000001</v>
      </c>
    </row>
    <row r="236" spans="1:47" x14ac:dyDescent="0.2">
      <c r="A236" t="s">
        <v>300</v>
      </c>
      <c r="B236" s="74">
        <v>38718</v>
      </c>
      <c r="C236">
        <v>1.8443513979999999</v>
      </c>
      <c r="D236">
        <v>0.76144320700000001</v>
      </c>
      <c r="E236">
        <v>0.88994609899999999</v>
      </c>
      <c r="F236">
        <v>0.76703826399999997</v>
      </c>
      <c r="G236">
        <v>1.24381863</v>
      </c>
      <c r="H236">
        <v>0.988734322</v>
      </c>
      <c r="I236">
        <v>1.0716254110000001</v>
      </c>
      <c r="J236">
        <v>1.202331316</v>
      </c>
      <c r="L236">
        <v>1.8493126790000001</v>
      </c>
      <c r="M236">
        <v>0.47137357299999999</v>
      </c>
      <c r="N236">
        <v>0.32472337200000001</v>
      </c>
      <c r="O236">
        <v>0.64248099999999997</v>
      </c>
      <c r="P236">
        <v>1.001443906</v>
      </c>
      <c r="Q236">
        <v>2.30923721</v>
      </c>
      <c r="R236">
        <v>0.69825499999999996</v>
      </c>
      <c r="S236">
        <v>0.28743606999999999</v>
      </c>
      <c r="T236">
        <v>0.67272704900000002</v>
      </c>
      <c r="U236">
        <v>0.53152900000000003</v>
      </c>
      <c r="V236">
        <v>1.043946134</v>
      </c>
      <c r="W236">
        <v>0.50101551600000005</v>
      </c>
      <c r="X236">
        <v>1.130171086</v>
      </c>
      <c r="Y236">
        <v>2.5279099999999999</v>
      </c>
      <c r="Z236">
        <v>3.9335204909999999</v>
      </c>
      <c r="AA236">
        <v>1.683677313</v>
      </c>
      <c r="AB236">
        <v>1.7557796429999999</v>
      </c>
      <c r="AC236">
        <v>0.15352691700000001</v>
      </c>
      <c r="AD236">
        <v>0.176348642</v>
      </c>
      <c r="AE236">
        <v>1.0124646660000001</v>
      </c>
      <c r="AF236">
        <v>5.1834518599999999</v>
      </c>
      <c r="AG236">
        <v>3.766863699</v>
      </c>
      <c r="AH236">
        <v>1.6706475949999999</v>
      </c>
      <c r="AI236">
        <v>0.63055092499999998</v>
      </c>
      <c r="AJ236">
        <v>0.2250289</v>
      </c>
      <c r="AK236">
        <v>-0.40322580600000002</v>
      </c>
      <c r="AL236">
        <v>0.75471971599999998</v>
      </c>
      <c r="AM236">
        <v>1.8394144459999999</v>
      </c>
      <c r="AN236">
        <v>0.13303493999999999</v>
      </c>
      <c r="AO236">
        <v>2.0628404740000001</v>
      </c>
      <c r="AP236">
        <v>1.4615373599999999</v>
      </c>
      <c r="AQ236">
        <v>1.7549777449999999</v>
      </c>
      <c r="AR236">
        <v>0.69303916499999996</v>
      </c>
      <c r="AS236">
        <v>3.3068041410000002</v>
      </c>
      <c r="AT236">
        <v>0.56792823800000003</v>
      </c>
      <c r="AU236">
        <v>0.66935607399999997</v>
      </c>
    </row>
    <row r="237" spans="1:47" x14ac:dyDescent="0.2">
      <c r="A237" t="s">
        <v>301</v>
      </c>
      <c r="B237" s="74">
        <v>38808</v>
      </c>
      <c r="C237">
        <v>2.625726454</v>
      </c>
      <c r="D237">
        <v>9.9275119999999994E-2</v>
      </c>
      <c r="E237">
        <v>1.1738193750000001</v>
      </c>
      <c r="F237">
        <v>0.61485704299999999</v>
      </c>
      <c r="G237">
        <v>1.7016735869999999</v>
      </c>
      <c r="H237">
        <v>0.81099541100000005</v>
      </c>
      <c r="I237">
        <v>1.207674371</v>
      </c>
      <c r="J237">
        <v>0.90437113099999999</v>
      </c>
      <c r="L237">
        <v>1.839711359</v>
      </c>
      <c r="M237">
        <v>0.961211712</v>
      </c>
      <c r="N237">
        <v>1.2566610410000001</v>
      </c>
      <c r="O237">
        <v>0.88203699999999996</v>
      </c>
      <c r="P237">
        <v>1.150570686</v>
      </c>
      <c r="Q237">
        <v>2.29725709</v>
      </c>
      <c r="R237">
        <v>0.951075</v>
      </c>
      <c r="S237">
        <v>2.4945148349999999</v>
      </c>
      <c r="T237">
        <v>0.78292412099999997</v>
      </c>
      <c r="U237">
        <v>0.91052900000000003</v>
      </c>
      <c r="V237">
        <v>0.34474526900000002</v>
      </c>
      <c r="W237">
        <v>3.2582208709999998</v>
      </c>
      <c r="X237">
        <v>0.79221872999999998</v>
      </c>
      <c r="Y237">
        <v>2.5055700000000001</v>
      </c>
      <c r="Z237">
        <v>1.9595168890000001</v>
      </c>
      <c r="AA237">
        <v>-0.51044919</v>
      </c>
      <c r="AB237">
        <v>1.290474543</v>
      </c>
      <c r="AC237">
        <v>0.149610197</v>
      </c>
      <c r="AD237">
        <v>0.15878486999999999</v>
      </c>
      <c r="AE237">
        <v>1.639117138</v>
      </c>
      <c r="AF237">
        <v>8.4699513000000004E-2</v>
      </c>
      <c r="AG237">
        <v>-0.80599670800000001</v>
      </c>
      <c r="AH237">
        <v>1.757056817</v>
      </c>
      <c r="AI237">
        <v>0.62393787499999998</v>
      </c>
      <c r="AJ237">
        <v>0.63998608400000001</v>
      </c>
      <c r="AK237">
        <v>1.64541341</v>
      </c>
      <c r="AL237">
        <v>1.021967286</v>
      </c>
      <c r="AM237">
        <v>1.503304263</v>
      </c>
      <c r="AN237">
        <v>0.81739264499999997</v>
      </c>
      <c r="AO237">
        <v>1.930605205</v>
      </c>
      <c r="AP237">
        <v>2.3755848689999999</v>
      </c>
      <c r="AQ237">
        <v>0.742163715</v>
      </c>
      <c r="AR237">
        <v>1.538280651</v>
      </c>
      <c r="AS237">
        <v>1.1451332700000001</v>
      </c>
      <c r="AT237">
        <v>1.3486661200000001</v>
      </c>
      <c r="AU237">
        <v>1.757168426</v>
      </c>
    </row>
    <row r="238" spans="1:47" x14ac:dyDescent="0.2">
      <c r="A238" t="s">
        <v>302</v>
      </c>
      <c r="B238" s="74">
        <v>38899</v>
      </c>
      <c r="C238">
        <v>1.289231891</v>
      </c>
      <c r="D238">
        <v>0.228847299</v>
      </c>
      <c r="E238">
        <v>0.158938038</v>
      </c>
      <c r="F238">
        <v>0.35493709899999998</v>
      </c>
      <c r="G238">
        <v>0.27272321300000002</v>
      </c>
      <c r="H238">
        <v>5.1646385000000003E-2</v>
      </c>
      <c r="I238">
        <v>0.81476508199999997</v>
      </c>
      <c r="J238">
        <v>2.0757931219999999</v>
      </c>
      <c r="L238">
        <v>1.944582606</v>
      </c>
      <c r="M238">
        <v>1.7227678930000001</v>
      </c>
      <c r="N238">
        <v>2.982414581</v>
      </c>
      <c r="O238">
        <v>1.102565</v>
      </c>
      <c r="P238">
        <v>0.97568923399999996</v>
      </c>
      <c r="Q238">
        <v>2.0947844799999999</v>
      </c>
      <c r="R238">
        <v>1.2292989999999999</v>
      </c>
      <c r="S238">
        <v>0.24492314800000001</v>
      </c>
      <c r="T238">
        <v>1.034762891</v>
      </c>
      <c r="U238">
        <v>0.45508700000000002</v>
      </c>
      <c r="V238">
        <v>0.235756048</v>
      </c>
      <c r="W238">
        <v>0.30705051100000003</v>
      </c>
      <c r="X238">
        <v>1.420127653</v>
      </c>
      <c r="Y238">
        <v>1.43638</v>
      </c>
      <c r="Z238">
        <v>0.16254552</v>
      </c>
      <c r="AA238">
        <v>4.4430680540000003</v>
      </c>
      <c r="AB238">
        <v>2.2008745709999999</v>
      </c>
      <c r="AC238">
        <v>0.70757194000000001</v>
      </c>
      <c r="AD238">
        <v>0.15540114699999999</v>
      </c>
      <c r="AE238">
        <v>0.73060202799999996</v>
      </c>
      <c r="AF238">
        <v>0.28322150800000001</v>
      </c>
      <c r="AG238">
        <v>5.0003955070000004</v>
      </c>
      <c r="AH238">
        <v>0.97157541300000005</v>
      </c>
      <c r="AI238">
        <v>1.497031303</v>
      </c>
      <c r="AJ238">
        <v>0.124976235</v>
      </c>
      <c r="AK238">
        <v>0.45581375499999999</v>
      </c>
      <c r="AL238">
        <v>0.67535869599999998</v>
      </c>
      <c r="AM238">
        <v>2.2997680140000001</v>
      </c>
      <c r="AN238">
        <v>0.96512187999999999</v>
      </c>
      <c r="AO238">
        <v>1.9251039539999999</v>
      </c>
      <c r="AP238">
        <v>2.3356265490000001</v>
      </c>
      <c r="AQ238">
        <v>2.136454053</v>
      </c>
      <c r="AR238">
        <v>1.647119268</v>
      </c>
      <c r="AS238">
        <v>3.0461220990000002</v>
      </c>
      <c r="AT238">
        <v>0.245583731</v>
      </c>
      <c r="AU238">
        <v>1.4202436039999999</v>
      </c>
    </row>
    <row r="239" spans="1:47" x14ac:dyDescent="0.2">
      <c r="A239" t="s">
        <v>303</v>
      </c>
      <c r="B239" s="74">
        <v>38991</v>
      </c>
      <c r="C239">
        <v>2.791000082</v>
      </c>
      <c r="D239">
        <v>1.4851062859999999</v>
      </c>
      <c r="E239">
        <v>1.3464259329999999</v>
      </c>
      <c r="F239">
        <v>0.880418794</v>
      </c>
      <c r="G239">
        <v>1.603146403</v>
      </c>
      <c r="H239">
        <v>0.27924548500000002</v>
      </c>
      <c r="I239">
        <v>0.65707740599999997</v>
      </c>
      <c r="J239">
        <v>1.3613509660000001</v>
      </c>
      <c r="L239">
        <v>1.211839455</v>
      </c>
      <c r="M239">
        <v>0.77994355000000004</v>
      </c>
      <c r="N239">
        <v>-0.66682256699999998</v>
      </c>
      <c r="O239">
        <v>0.58138100000000004</v>
      </c>
      <c r="P239">
        <v>0.92986254700000004</v>
      </c>
      <c r="Q239">
        <v>2.2902248510000001</v>
      </c>
      <c r="R239">
        <v>0.61673999999999995</v>
      </c>
      <c r="S239">
        <v>0.95036552500000004</v>
      </c>
      <c r="T239">
        <v>6.0447437E-2</v>
      </c>
      <c r="U239">
        <v>0.17884</v>
      </c>
      <c r="V239">
        <v>0.142617665</v>
      </c>
      <c r="W239">
        <v>0.47743896299999999</v>
      </c>
      <c r="X239">
        <v>0.54218610300000003</v>
      </c>
      <c r="Y239">
        <v>3.3029999999999999</v>
      </c>
      <c r="Z239">
        <v>0.62563652800000003</v>
      </c>
      <c r="AA239">
        <v>4.2242638999999998E-2</v>
      </c>
      <c r="AB239">
        <v>-0.65346495000000004</v>
      </c>
      <c r="AC239">
        <v>0.479358063</v>
      </c>
      <c r="AD239">
        <v>-0.20544515599999999</v>
      </c>
      <c r="AE239">
        <v>1.613954951</v>
      </c>
      <c r="AF239">
        <v>0.49382693999999999</v>
      </c>
      <c r="AG239">
        <v>3.3719586330000002</v>
      </c>
      <c r="AH239">
        <v>0.28003435500000001</v>
      </c>
      <c r="AI239">
        <v>0.59815274699999998</v>
      </c>
      <c r="AJ239">
        <v>1.0261817090000001</v>
      </c>
      <c r="AK239">
        <v>0.64033246399999999</v>
      </c>
      <c r="AL239">
        <v>0.37093637699999998</v>
      </c>
      <c r="AM239">
        <v>1.6510320549999999</v>
      </c>
      <c r="AN239">
        <v>-0.112732238</v>
      </c>
      <c r="AO239">
        <v>2.2961291660000001</v>
      </c>
      <c r="AP239">
        <v>1.9140766119999999</v>
      </c>
      <c r="AQ239">
        <v>1.679625098</v>
      </c>
      <c r="AR239">
        <v>1.1748994829999999</v>
      </c>
      <c r="AS239">
        <v>-0.75348610900000002</v>
      </c>
      <c r="AT239">
        <v>0.15045618799999999</v>
      </c>
      <c r="AU239">
        <v>1.3811529840000001</v>
      </c>
    </row>
    <row r="240" spans="1:47" x14ac:dyDescent="0.2">
      <c r="A240" t="s">
        <v>304</v>
      </c>
      <c r="B240" s="74">
        <v>39083</v>
      </c>
      <c r="C240">
        <v>2.1024786560000002</v>
      </c>
      <c r="D240">
        <v>1.2851799450000001</v>
      </c>
      <c r="E240">
        <v>0.85121921199999995</v>
      </c>
      <c r="F240">
        <v>1.135413316</v>
      </c>
      <c r="G240">
        <v>1.1947315999999999</v>
      </c>
      <c r="H240">
        <v>0.39859824199999999</v>
      </c>
      <c r="I240">
        <v>1.286994505</v>
      </c>
      <c r="J240">
        <v>2.1348312370000002</v>
      </c>
      <c r="L240">
        <v>1.34905802</v>
      </c>
      <c r="M240">
        <v>1.514652417</v>
      </c>
      <c r="N240">
        <v>-0.27102131099999999</v>
      </c>
      <c r="O240">
        <v>1.175613</v>
      </c>
      <c r="P240">
        <v>0.948808227</v>
      </c>
      <c r="Q240">
        <v>2.4809627839999999</v>
      </c>
      <c r="R240">
        <v>1.057183</v>
      </c>
      <c r="S240">
        <v>0.78515074100000004</v>
      </c>
      <c r="T240">
        <v>0.73845176700000004</v>
      </c>
      <c r="U240">
        <v>0.96074700000000002</v>
      </c>
      <c r="V240">
        <v>0.43663833299999999</v>
      </c>
      <c r="W240">
        <v>2.5429404259999999</v>
      </c>
      <c r="X240">
        <v>0.97295045400000002</v>
      </c>
      <c r="Y240">
        <v>1.71129</v>
      </c>
      <c r="Z240">
        <v>0.90185918399999998</v>
      </c>
      <c r="AA240">
        <v>0.94584100500000001</v>
      </c>
      <c r="AB240">
        <v>1.453156611</v>
      </c>
      <c r="AC240">
        <v>1.2966255069999999</v>
      </c>
      <c r="AD240">
        <v>1.350880061</v>
      </c>
      <c r="AE240">
        <v>0.779357615</v>
      </c>
      <c r="AF240">
        <v>1.4587428929999999</v>
      </c>
      <c r="AG240">
        <v>4.4736996319999998</v>
      </c>
      <c r="AH240">
        <v>0.24868928500000001</v>
      </c>
      <c r="AI240">
        <v>0.82450046799999999</v>
      </c>
      <c r="AJ240">
        <v>1.830283737</v>
      </c>
      <c r="AK240">
        <v>0.88275571500000005</v>
      </c>
      <c r="AL240">
        <v>0.96629149999999997</v>
      </c>
      <c r="AM240">
        <v>-1.498642882</v>
      </c>
      <c r="AN240">
        <v>0.71199907699999998</v>
      </c>
      <c r="AO240">
        <v>1.8992405130000001</v>
      </c>
      <c r="AP240">
        <v>2.808902593</v>
      </c>
      <c r="AQ240">
        <v>2.1742728179999999</v>
      </c>
      <c r="AR240">
        <v>0.66110119199999995</v>
      </c>
      <c r="AS240">
        <v>2.2587130449999999</v>
      </c>
      <c r="AT240">
        <v>0.84371169599999996</v>
      </c>
      <c r="AU240">
        <v>1.382817924</v>
      </c>
    </row>
    <row r="241" spans="1:47" x14ac:dyDescent="0.2">
      <c r="A241" t="s">
        <v>305</v>
      </c>
      <c r="B241" s="74">
        <v>39173</v>
      </c>
      <c r="C241">
        <v>2.358168322</v>
      </c>
      <c r="D241">
        <v>1.3853312010000001</v>
      </c>
      <c r="E241">
        <v>1.139578609</v>
      </c>
      <c r="F241">
        <v>1.417379597</v>
      </c>
      <c r="G241">
        <v>1.965644194</v>
      </c>
      <c r="H241">
        <v>0.63962664400000002</v>
      </c>
      <c r="I241">
        <v>0.56849388000000001</v>
      </c>
      <c r="J241">
        <v>1.026061307</v>
      </c>
      <c r="L241">
        <v>1.7111227849999999</v>
      </c>
      <c r="M241">
        <v>6.2645066999999999E-2</v>
      </c>
      <c r="N241">
        <v>0.33129798999999999</v>
      </c>
      <c r="O241">
        <v>0.61285199999999995</v>
      </c>
      <c r="P241">
        <v>0.92037080000000004</v>
      </c>
      <c r="Q241">
        <v>3.3156817740000002</v>
      </c>
      <c r="R241">
        <v>0.74252399999999996</v>
      </c>
      <c r="S241">
        <v>1.932458496</v>
      </c>
      <c r="T241">
        <v>0.73321420400000004</v>
      </c>
      <c r="U241">
        <v>0.392405</v>
      </c>
      <c r="V241">
        <v>1.0408251770000001</v>
      </c>
      <c r="W241">
        <v>-0.78528566200000005</v>
      </c>
      <c r="X241">
        <v>-1.2610693209999999</v>
      </c>
      <c r="Y241">
        <v>2.7934000000000001</v>
      </c>
      <c r="Z241">
        <v>5.5160138879999998</v>
      </c>
      <c r="AA241">
        <v>1.3869539280000001</v>
      </c>
      <c r="AB241">
        <v>2.0360117419999999</v>
      </c>
      <c r="AC241">
        <v>-0.27426155600000002</v>
      </c>
      <c r="AD241">
        <v>0.67172387200000006</v>
      </c>
      <c r="AE241">
        <v>1.674043596</v>
      </c>
      <c r="AF241">
        <v>5.0193538650000002</v>
      </c>
      <c r="AG241">
        <v>1.6309940350000001</v>
      </c>
      <c r="AH241">
        <v>0.70034732300000002</v>
      </c>
      <c r="AI241">
        <v>1.1456973779999999</v>
      </c>
      <c r="AJ241">
        <v>7.5251440000000003E-2</v>
      </c>
      <c r="AK241">
        <v>1.2300559689999999</v>
      </c>
      <c r="AL241">
        <v>0.68440146899999998</v>
      </c>
      <c r="AM241">
        <v>4.5899808440000003</v>
      </c>
      <c r="AN241">
        <v>1.0522705670000001</v>
      </c>
      <c r="AO241">
        <v>1.8136509329999999</v>
      </c>
      <c r="AP241">
        <v>2.107451003</v>
      </c>
      <c r="AQ241">
        <v>1.8998914</v>
      </c>
      <c r="AR241">
        <v>0.95999473599999996</v>
      </c>
      <c r="AS241">
        <v>1.8230804439999999</v>
      </c>
      <c r="AT241">
        <v>0.29359886099999999</v>
      </c>
      <c r="AU241">
        <v>1.623672013</v>
      </c>
    </row>
    <row r="242" spans="1:47" x14ac:dyDescent="0.2">
      <c r="A242" t="s">
        <v>306</v>
      </c>
      <c r="B242" s="74">
        <v>39264</v>
      </c>
      <c r="C242">
        <v>2.1797396259999999</v>
      </c>
      <c r="D242">
        <v>0.64718561600000002</v>
      </c>
      <c r="E242">
        <v>1.0185452230000001</v>
      </c>
      <c r="F242">
        <v>0.45679760800000002</v>
      </c>
      <c r="G242">
        <v>1.6252960380000001</v>
      </c>
      <c r="H242">
        <v>0.96890726299999996</v>
      </c>
      <c r="I242">
        <v>1.545926417</v>
      </c>
      <c r="J242">
        <v>1.0167009920000001</v>
      </c>
      <c r="L242">
        <v>0.81155748299999997</v>
      </c>
      <c r="M242">
        <v>0.83805258199999999</v>
      </c>
      <c r="N242">
        <v>-0.44788676500000002</v>
      </c>
      <c r="O242">
        <v>0.71019299999999996</v>
      </c>
      <c r="P242">
        <v>0.90248886900000003</v>
      </c>
      <c r="Q242">
        <v>0.39030900499999999</v>
      </c>
      <c r="R242">
        <v>0.70245299999999999</v>
      </c>
      <c r="S242">
        <v>1.797506864</v>
      </c>
      <c r="T242">
        <v>0.67636330499999997</v>
      </c>
      <c r="U242">
        <v>0.55969199999999997</v>
      </c>
      <c r="V242">
        <v>0.65896333200000001</v>
      </c>
      <c r="W242">
        <v>2.9117218239999998</v>
      </c>
      <c r="X242">
        <v>-0.122505146</v>
      </c>
      <c r="Y242">
        <v>2.5201500000000001</v>
      </c>
      <c r="Z242">
        <v>-1.1171500919999999</v>
      </c>
      <c r="AA242">
        <v>6.130305399</v>
      </c>
      <c r="AB242">
        <v>1.6676226359999999</v>
      </c>
      <c r="AC242">
        <v>0.271710179</v>
      </c>
      <c r="AD242">
        <v>2.9270979999999999E-2</v>
      </c>
      <c r="AE242">
        <v>1.730290857</v>
      </c>
      <c r="AF242">
        <v>2.2097024520000002</v>
      </c>
      <c r="AG242">
        <v>2.0547581109999999</v>
      </c>
      <c r="AH242">
        <v>0.77213515899999996</v>
      </c>
      <c r="AI242">
        <v>0.51164677300000005</v>
      </c>
      <c r="AJ242">
        <v>-1.6767290000000001E-3</v>
      </c>
      <c r="AK242">
        <v>0.90978482900000002</v>
      </c>
      <c r="AL242">
        <v>0.66724562099999996</v>
      </c>
      <c r="AM242">
        <v>1.1397468559999999</v>
      </c>
      <c r="AN242">
        <v>0.44312117400000001</v>
      </c>
      <c r="AO242">
        <v>2.5237981899999999</v>
      </c>
      <c r="AP242">
        <v>2.4762461849999999</v>
      </c>
      <c r="AQ242">
        <v>1.253075494</v>
      </c>
      <c r="AR242">
        <v>0.52975914999999996</v>
      </c>
      <c r="AS242">
        <v>3.0535506E-2</v>
      </c>
      <c r="AT242">
        <v>0.63843452999999994</v>
      </c>
      <c r="AU242">
        <v>0.81955799100000004</v>
      </c>
    </row>
    <row r="243" spans="1:47" x14ac:dyDescent="0.2">
      <c r="A243" t="s">
        <v>307</v>
      </c>
      <c r="B243" s="74">
        <v>39356</v>
      </c>
      <c r="C243">
        <v>1.338005452</v>
      </c>
      <c r="D243">
        <v>1.139659837</v>
      </c>
      <c r="E243">
        <v>0.32228949099999998</v>
      </c>
      <c r="F243">
        <v>0.77208827999999996</v>
      </c>
      <c r="G243">
        <v>0.97813232000000006</v>
      </c>
      <c r="H243">
        <v>0.41985457500000001</v>
      </c>
      <c r="I243">
        <v>0.84548886199999995</v>
      </c>
      <c r="J243">
        <v>0.27492516900000002</v>
      </c>
      <c r="L243">
        <v>1.4058694810000001</v>
      </c>
      <c r="M243">
        <v>0.51807904400000004</v>
      </c>
      <c r="N243">
        <v>0.93951537100000004</v>
      </c>
      <c r="O243">
        <v>0.457924</v>
      </c>
      <c r="P243">
        <v>0.767469701</v>
      </c>
      <c r="Q243">
        <v>0.20106607100000001</v>
      </c>
      <c r="R243">
        <v>0.53384200000000004</v>
      </c>
      <c r="S243">
        <v>0.91841755199999997</v>
      </c>
      <c r="T243">
        <v>0.46079979700000001</v>
      </c>
      <c r="U243">
        <v>0.385353</v>
      </c>
      <c r="V243">
        <v>0.76083139600000005</v>
      </c>
      <c r="W243">
        <v>-0.62311345799999995</v>
      </c>
      <c r="X243">
        <v>0.51394938899999998</v>
      </c>
      <c r="Y243">
        <v>1.7944800000000001</v>
      </c>
      <c r="Z243">
        <v>-2.6280302500000001</v>
      </c>
      <c r="AA243">
        <v>-1.1284557980000001</v>
      </c>
      <c r="AB243">
        <v>1.8948149990000001</v>
      </c>
      <c r="AC243">
        <v>0.20851515200000001</v>
      </c>
      <c r="AD243">
        <v>-0.55265026699999997</v>
      </c>
      <c r="AE243">
        <v>1.173831453</v>
      </c>
      <c r="AF243">
        <v>-0.734537985</v>
      </c>
      <c r="AG243">
        <v>1.8551473590000001</v>
      </c>
      <c r="AH243">
        <v>0.62939978799999996</v>
      </c>
      <c r="AI243">
        <v>1.1175019079999999</v>
      </c>
      <c r="AJ243">
        <v>1.2832352650000001</v>
      </c>
      <c r="AK243">
        <v>0.74416322499999998</v>
      </c>
      <c r="AL243">
        <v>0.52623135700000001</v>
      </c>
      <c r="AM243">
        <v>1.6971587260000001</v>
      </c>
      <c r="AN243">
        <v>0.205999342</v>
      </c>
      <c r="AO243">
        <v>2.2051103799999998</v>
      </c>
      <c r="AP243">
        <v>2.368467892</v>
      </c>
      <c r="AQ243">
        <v>2.0222406180000001</v>
      </c>
      <c r="AR243">
        <v>0.77943030099999999</v>
      </c>
      <c r="AS243">
        <v>0.58639459900000002</v>
      </c>
      <c r="AT243">
        <v>0.60230665699999997</v>
      </c>
      <c r="AU243">
        <v>1.1719351929999999</v>
      </c>
    </row>
    <row r="244" spans="1:47" x14ac:dyDescent="0.2">
      <c r="A244" t="s">
        <v>308</v>
      </c>
      <c r="B244" s="74">
        <v>39448</v>
      </c>
      <c r="C244">
        <v>3.0682279430000001</v>
      </c>
      <c r="D244">
        <v>0.40258814300000001</v>
      </c>
      <c r="E244">
        <v>0.84582621099999999</v>
      </c>
      <c r="F244">
        <v>0.40580308700000001</v>
      </c>
      <c r="G244">
        <v>1.579871453</v>
      </c>
      <c r="H244">
        <v>0.113617046</v>
      </c>
      <c r="I244">
        <v>0.89152506600000003</v>
      </c>
      <c r="J244">
        <v>1.879740207</v>
      </c>
      <c r="L244">
        <v>1.303889735</v>
      </c>
      <c r="M244">
        <v>0.64426386300000005</v>
      </c>
      <c r="N244">
        <v>1.0059885079999999</v>
      </c>
      <c r="O244">
        <v>0.51134400000000002</v>
      </c>
      <c r="P244">
        <v>0.63026039499999997</v>
      </c>
      <c r="Q244">
        <v>-0.60033829800000005</v>
      </c>
      <c r="R244">
        <v>0.604989</v>
      </c>
      <c r="S244">
        <v>1.319947274</v>
      </c>
      <c r="T244">
        <v>0.19224417299999999</v>
      </c>
      <c r="U244">
        <v>0.47510599999999997</v>
      </c>
      <c r="V244">
        <v>0.660700654</v>
      </c>
      <c r="W244">
        <v>-0.49587677200000002</v>
      </c>
      <c r="X244">
        <v>0.32394330900000001</v>
      </c>
      <c r="Y244">
        <v>3.3768799999999999</v>
      </c>
      <c r="Z244">
        <v>3.7226341399999998</v>
      </c>
      <c r="AA244">
        <v>4.0852550430000001</v>
      </c>
      <c r="AB244">
        <v>1.365338986</v>
      </c>
      <c r="AC244">
        <v>-0.359101905</v>
      </c>
      <c r="AD244">
        <v>0.44474868899999997</v>
      </c>
      <c r="AE244">
        <v>2.156948555</v>
      </c>
      <c r="AF244">
        <v>0.79324678299999996</v>
      </c>
      <c r="AG244">
        <v>-1.130240074</v>
      </c>
      <c r="AH244">
        <v>0.39280005600000001</v>
      </c>
      <c r="AI244">
        <v>1.3530236470000001</v>
      </c>
      <c r="AJ244">
        <v>1.0881815459999999</v>
      </c>
      <c r="AK244">
        <v>0.16437355400000001</v>
      </c>
      <c r="AL244">
        <v>0.70905626399999999</v>
      </c>
      <c r="AM244">
        <v>1.343488762</v>
      </c>
      <c r="AN244">
        <v>1.118249303</v>
      </c>
      <c r="AO244">
        <v>3.193832161</v>
      </c>
      <c r="AP244">
        <v>6.3563485990000004</v>
      </c>
      <c r="AQ244">
        <v>0.183665992</v>
      </c>
      <c r="AR244">
        <v>1.1051490610000001</v>
      </c>
      <c r="AS244">
        <v>3.432599138</v>
      </c>
      <c r="AT244">
        <v>0.60964400299999999</v>
      </c>
      <c r="AU244">
        <v>1.417079709</v>
      </c>
    </row>
    <row r="245" spans="1:47" x14ac:dyDescent="0.2">
      <c r="A245" t="s">
        <v>309</v>
      </c>
      <c r="B245" s="74">
        <v>39539</v>
      </c>
      <c r="C245">
        <v>0.94463542700000003</v>
      </c>
      <c r="D245">
        <v>1.0502205090000001</v>
      </c>
      <c r="E245">
        <v>0.82104082700000003</v>
      </c>
      <c r="F245">
        <v>0.43192990399999998</v>
      </c>
      <c r="G245">
        <v>1.2308205860000001</v>
      </c>
      <c r="H245">
        <v>7.6640567000000007E-2</v>
      </c>
      <c r="I245">
        <v>0.84606837499999998</v>
      </c>
      <c r="J245">
        <v>2.1072858989999999</v>
      </c>
      <c r="L245">
        <v>0.47042799299999999</v>
      </c>
      <c r="M245">
        <v>0.64015377699999998</v>
      </c>
      <c r="N245">
        <v>-4.1561001E-2</v>
      </c>
      <c r="O245">
        <v>0.50343199999999999</v>
      </c>
      <c r="P245">
        <v>0.22113556700000001</v>
      </c>
      <c r="Q245">
        <v>-2.2201615860000001</v>
      </c>
      <c r="R245">
        <v>0.56552899999999995</v>
      </c>
      <c r="S245">
        <v>-0.122968349</v>
      </c>
      <c r="T245">
        <v>0.499162457</v>
      </c>
      <c r="U245">
        <v>7.4587000000000001E-2</v>
      </c>
      <c r="V245">
        <v>0.484699608</v>
      </c>
      <c r="W245">
        <v>0.61159760600000002</v>
      </c>
      <c r="X245">
        <v>0.88864286699999995</v>
      </c>
      <c r="Y245">
        <v>0.60589999999999999</v>
      </c>
      <c r="Z245">
        <v>-2.5107349970000001</v>
      </c>
      <c r="AA245">
        <v>-3.039920478</v>
      </c>
      <c r="AB245">
        <v>0.94428707599999995</v>
      </c>
      <c r="AC245">
        <v>1.1653364770000001</v>
      </c>
      <c r="AD245">
        <v>0.369182081</v>
      </c>
      <c r="AE245">
        <v>0.40239485800000002</v>
      </c>
      <c r="AF245">
        <v>1.072631667</v>
      </c>
      <c r="AG245">
        <v>1.981727748</v>
      </c>
      <c r="AH245">
        <v>-0.20279578000000001</v>
      </c>
      <c r="AI245">
        <v>0.327531403</v>
      </c>
      <c r="AJ245">
        <v>-1.256361804</v>
      </c>
      <c r="AK245">
        <v>-0.31402581099999999</v>
      </c>
      <c r="AL245">
        <v>0.193556219</v>
      </c>
      <c r="AM245">
        <v>1.9177004600000001</v>
      </c>
      <c r="AN245">
        <v>7.6731840000000004E-3</v>
      </c>
      <c r="AO245">
        <v>2.653171822</v>
      </c>
      <c r="AP245">
        <v>-2.8018733039999999</v>
      </c>
      <c r="AQ245">
        <v>1.6037763140000001</v>
      </c>
      <c r="AR245">
        <v>-0.75449575300000005</v>
      </c>
      <c r="AS245">
        <v>2.1064921079999999</v>
      </c>
      <c r="AT245">
        <v>-0.40742947400000001</v>
      </c>
      <c r="AU245">
        <v>0.42000527500000001</v>
      </c>
    </row>
    <row r="246" spans="1:47" x14ac:dyDescent="0.2">
      <c r="A246" t="s">
        <v>310</v>
      </c>
      <c r="B246" s="74">
        <v>39630</v>
      </c>
      <c r="C246">
        <v>0.51202974400000001</v>
      </c>
      <c r="D246">
        <v>0.28901886799999998</v>
      </c>
      <c r="E246">
        <v>0.79864358499999999</v>
      </c>
      <c r="F246">
        <v>6.3486862000000005E-2</v>
      </c>
      <c r="G246">
        <v>2.0952152580000001</v>
      </c>
      <c r="H246">
        <v>0.36167189700000002</v>
      </c>
      <c r="I246">
        <v>1.1745612649999999</v>
      </c>
      <c r="J246">
        <v>9.8720545000000007E-2</v>
      </c>
      <c r="L246">
        <v>0.72075756000000002</v>
      </c>
      <c r="M246">
        <v>-0.243822487</v>
      </c>
      <c r="N246">
        <v>-0.92268398500000004</v>
      </c>
      <c r="O246">
        <v>-0.33488899999999999</v>
      </c>
      <c r="P246">
        <v>0.11566206699999999</v>
      </c>
      <c r="Q246">
        <v>1.0158781429999999</v>
      </c>
      <c r="R246">
        <v>-0.26381900000000003</v>
      </c>
      <c r="S246">
        <v>-0.80295487399999999</v>
      </c>
      <c r="T246">
        <v>-0.54580195300000001</v>
      </c>
      <c r="U246">
        <v>4.0682000000000003E-2</v>
      </c>
      <c r="V246">
        <v>-0.47641411700000003</v>
      </c>
      <c r="W246">
        <v>-0.63973648299999997</v>
      </c>
      <c r="X246">
        <v>0.62111520399999998</v>
      </c>
      <c r="Y246">
        <v>1.04386</v>
      </c>
      <c r="Z246">
        <v>-1.6385712699999999</v>
      </c>
      <c r="AA246">
        <v>4.1713414919999998</v>
      </c>
      <c r="AB246">
        <v>-8.0189582999999995E-2</v>
      </c>
      <c r="AC246">
        <v>-0.94972110200000004</v>
      </c>
      <c r="AD246">
        <v>-0.59561121400000006</v>
      </c>
      <c r="AE246">
        <v>0.52347300299999999</v>
      </c>
      <c r="AF246">
        <v>-1.1023872320000001</v>
      </c>
      <c r="AG246">
        <v>-3.6271591129999998</v>
      </c>
      <c r="AH246">
        <v>0.77265633700000003</v>
      </c>
      <c r="AI246">
        <v>0.492586831</v>
      </c>
      <c r="AJ246">
        <v>4.9883456E-2</v>
      </c>
      <c r="AK246">
        <v>-0.30078855399999999</v>
      </c>
      <c r="AL246">
        <v>1.5110676E-2</v>
      </c>
      <c r="AM246">
        <v>0.243079668</v>
      </c>
      <c r="AN246">
        <v>-0.49260607499999998</v>
      </c>
      <c r="AO246">
        <v>0.62160239399999995</v>
      </c>
      <c r="AP246">
        <v>1.2512289670000001</v>
      </c>
      <c r="AQ246">
        <v>1.71040177</v>
      </c>
      <c r="AR246">
        <v>-6.9511605000000004E-2</v>
      </c>
      <c r="AS246">
        <v>-3.5485985709999999</v>
      </c>
      <c r="AT246">
        <v>0.57229534500000001</v>
      </c>
      <c r="AU246">
        <v>1.220887141</v>
      </c>
    </row>
    <row r="247" spans="1:47" x14ac:dyDescent="0.2">
      <c r="A247" t="s">
        <v>311</v>
      </c>
      <c r="B247" s="74">
        <v>39722</v>
      </c>
      <c r="C247">
        <v>0.77832267600000005</v>
      </c>
      <c r="D247">
        <v>0.72309913199999998</v>
      </c>
      <c r="E247">
        <v>-0.64104608500000004</v>
      </c>
      <c r="F247">
        <v>-0.58432255399999999</v>
      </c>
      <c r="G247">
        <v>1.5759908789999999</v>
      </c>
      <c r="H247">
        <v>0.82004401199999999</v>
      </c>
      <c r="I247">
        <v>0.48067600399999999</v>
      </c>
      <c r="J247">
        <v>-0.81489341500000001</v>
      </c>
      <c r="L247">
        <v>0.24770763000000001</v>
      </c>
      <c r="M247">
        <v>-0.63762393399999995</v>
      </c>
      <c r="N247">
        <v>-0.58413666200000003</v>
      </c>
      <c r="O247">
        <v>-0.52366000000000001</v>
      </c>
      <c r="P247">
        <v>-0.18271267899999999</v>
      </c>
      <c r="Q247">
        <v>4.7698085000000001E-2</v>
      </c>
      <c r="R247">
        <v>-0.494537</v>
      </c>
      <c r="S247">
        <v>0.34536722199999997</v>
      </c>
      <c r="T247">
        <v>-0.19585153399999999</v>
      </c>
      <c r="U247">
        <v>-0.68631399999999998</v>
      </c>
      <c r="V247">
        <v>-1.513153285</v>
      </c>
      <c r="W247">
        <v>-9.7483140999999995E-2</v>
      </c>
      <c r="X247">
        <v>-0.21032119499999999</v>
      </c>
      <c r="Y247">
        <v>0.87024000000000001</v>
      </c>
      <c r="Z247">
        <v>-1.2200550889999999</v>
      </c>
      <c r="AA247">
        <v>-5.8047921679999996</v>
      </c>
      <c r="AB247">
        <v>0.25558182699999998</v>
      </c>
      <c r="AC247">
        <v>-1.26543473</v>
      </c>
      <c r="AD247">
        <v>-1.2621231829999999</v>
      </c>
      <c r="AE247">
        <v>0.81588104299999997</v>
      </c>
      <c r="AF247">
        <v>-0.82284862700000005</v>
      </c>
      <c r="AG247">
        <v>-4.054333508</v>
      </c>
      <c r="AH247">
        <v>0.31633898900000001</v>
      </c>
      <c r="AI247">
        <v>-0.122148031</v>
      </c>
      <c r="AJ247">
        <v>-0.182729802</v>
      </c>
      <c r="AK247">
        <v>-0.34042726699999998</v>
      </c>
      <c r="AL247">
        <v>-0.50163369099999999</v>
      </c>
      <c r="AM247">
        <v>-0.33657292500000002</v>
      </c>
      <c r="AN247">
        <v>-8.2530827000000001E-2</v>
      </c>
      <c r="AO247">
        <v>-1.490668597</v>
      </c>
      <c r="AP247">
        <v>1.4194656569999999</v>
      </c>
      <c r="AQ247">
        <v>-0.58631846700000001</v>
      </c>
      <c r="AR247">
        <v>-0.48261230199999999</v>
      </c>
      <c r="AS247">
        <v>-1.8168699740000001</v>
      </c>
      <c r="AT247">
        <v>-0.52689290200000005</v>
      </c>
      <c r="AU247">
        <v>0.23893335099999999</v>
      </c>
    </row>
    <row r="248" spans="1:47" x14ac:dyDescent="0.2">
      <c r="A248" t="s">
        <v>312</v>
      </c>
      <c r="B248" s="74">
        <v>39814</v>
      </c>
      <c r="C248">
        <v>-4.6590209930000004</v>
      </c>
      <c r="D248">
        <v>-0.46997471000000002</v>
      </c>
      <c r="E248">
        <v>-2.2716469670000001</v>
      </c>
      <c r="F248">
        <v>-2.1688334409999999</v>
      </c>
      <c r="G248">
        <v>-3.7670301849999999</v>
      </c>
      <c r="H248">
        <v>-1.1595184890000001</v>
      </c>
      <c r="I248">
        <v>-3.0421486299999998</v>
      </c>
      <c r="J248">
        <v>-0.80304418799999999</v>
      </c>
      <c r="L248">
        <v>-1.975761103</v>
      </c>
      <c r="M248">
        <v>-1.5935872600000001</v>
      </c>
      <c r="N248">
        <v>-2.3614806979999998</v>
      </c>
      <c r="O248">
        <v>-1.8015369999999999</v>
      </c>
      <c r="P248">
        <v>-1.6271251630000001</v>
      </c>
      <c r="Q248">
        <v>-11.798106598</v>
      </c>
      <c r="R248">
        <v>-1.818886</v>
      </c>
      <c r="S248">
        <v>-2.1457381020000001</v>
      </c>
      <c r="T248">
        <v>-1.4978335119999999</v>
      </c>
      <c r="U248">
        <v>-2.106176</v>
      </c>
      <c r="V248">
        <v>-2.2356596610000001</v>
      </c>
      <c r="W248">
        <v>-1.397015176</v>
      </c>
      <c r="X248">
        <v>-3.496308333</v>
      </c>
      <c r="Y248">
        <v>0.12257</v>
      </c>
      <c r="Z248">
        <v>-4.6054847170000004</v>
      </c>
      <c r="AA248">
        <v>5.3184575059999997</v>
      </c>
      <c r="AB248">
        <v>-0.87345721300000001</v>
      </c>
      <c r="AC248">
        <v>-2.7382372130000001</v>
      </c>
      <c r="AD248">
        <v>-2.4427255680000002</v>
      </c>
      <c r="AE248">
        <v>-3.2838893470000001</v>
      </c>
      <c r="AF248">
        <v>-3.6845002689999999</v>
      </c>
      <c r="AG248">
        <v>-2.4041625280000001</v>
      </c>
      <c r="AH248">
        <v>-1.632364902</v>
      </c>
      <c r="AI248">
        <v>-0.65994078300000003</v>
      </c>
      <c r="AJ248">
        <v>0.31324054499999998</v>
      </c>
      <c r="AK248">
        <v>-0.67090756600000001</v>
      </c>
      <c r="AL248">
        <v>-2.0156334760000001</v>
      </c>
      <c r="AM248">
        <v>0.40488332599999999</v>
      </c>
      <c r="AN248">
        <v>-1.2917566469999999</v>
      </c>
      <c r="AO248">
        <v>-3.252211484</v>
      </c>
      <c r="AP248">
        <v>1.2014505049999999</v>
      </c>
      <c r="AQ248">
        <v>-3.757173656</v>
      </c>
      <c r="AR248">
        <v>-3.582443348</v>
      </c>
      <c r="AS248">
        <v>-2.5400315510000002</v>
      </c>
      <c r="AT248">
        <v>-2.1830971479999999</v>
      </c>
      <c r="AU248">
        <v>-0.56924852800000003</v>
      </c>
    </row>
    <row r="249" spans="1:47" x14ac:dyDescent="0.2">
      <c r="A249" t="s">
        <v>313</v>
      </c>
      <c r="B249" s="74">
        <v>39904</v>
      </c>
      <c r="C249">
        <v>-3.6752578250000001</v>
      </c>
      <c r="D249">
        <v>0.92257806799999997</v>
      </c>
      <c r="E249">
        <v>-1.7789008740000001</v>
      </c>
      <c r="F249">
        <v>-0.97325393000000004</v>
      </c>
      <c r="G249">
        <v>-1.3952588459999999</v>
      </c>
      <c r="H249">
        <v>-2.2596861829999999</v>
      </c>
      <c r="I249">
        <v>-1.795521538</v>
      </c>
      <c r="J249">
        <v>-0.48636471399999998</v>
      </c>
      <c r="L249">
        <v>-3.3489163249999998</v>
      </c>
      <c r="M249">
        <v>-4.6844176649999998</v>
      </c>
      <c r="N249">
        <v>-1.423447795</v>
      </c>
      <c r="O249">
        <v>-3.1257000000000001</v>
      </c>
      <c r="P249">
        <v>-2.6003410159999998</v>
      </c>
      <c r="Q249">
        <v>-2.6519671389999999</v>
      </c>
      <c r="R249">
        <v>-2.9080539999999999</v>
      </c>
      <c r="S249">
        <v>-6.4776141279999999</v>
      </c>
      <c r="T249">
        <v>-1.6909278050000001</v>
      </c>
      <c r="U249">
        <v>-2.3039499999999999</v>
      </c>
      <c r="V249">
        <v>-1.940930979</v>
      </c>
      <c r="W249">
        <v>-4.7477806170000001</v>
      </c>
      <c r="X249">
        <v>-4.1183677520000002</v>
      </c>
      <c r="Y249">
        <v>-1.8461399999999999</v>
      </c>
      <c r="Z249">
        <v>0.108674364</v>
      </c>
      <c r="AA249">
        <v>-9.8398343639999997</v>
      </c>
      <c r="AB249">
        <v>-0.22732619800000001</v>
      </c>
      <c r="AC249">
        <v>-2.494448191</v>
      </c>
      <c r="AD249">
        <v>-4.7969516639999998</v>
      </c>
      <c r="AE249">
        <v>8.9986722000000005E-2</v>
      </c>
      <c r="AF249">
        <v>-1.888071745</v>
      </c>
      <c r="AG249">
        <v>-3.605708752</v>
      </c>
      <c r="AH249">
        <v>-5.1241096629999996</v>
      </c>
      <c r="AI249">
        <v>-3.5936407930000001</v>
      </c>
      <c r="AJ249">
        <v>-0.82573796200000005</v>
      </c>
      <c r="AK249">
        <v>-1.0069809110000001</v>
      </c>
      <c r="AL249">
        <v>-2.3168650730000002</v>
      </c>
      <c r="AM249">
        <v>1.5787712359999999</v>
      </c>
      <c r="AN249">
        <v>-2.5166704719999999</v>
      </c>
      <c r="AO249">
        <v>-3.5269817579999998</v>
      </c>
      <c r="AP249">
        <v>-9.6002372779999998</v>
      </c>
      <c r="AQ249">
        <v>-4.3528422859999996</v>
      </c>
      <c r="AR249">
        <v>-1.4389032049999999</v>
      </c>
      <c r="AS249">
        <v>-5.6640195660000003</v>
      </c>
      <c r="AT249">
        <v>-1.1657225309999999</v>
      </c>
      <c r="AU249">
        <v>-1.5555425949999999</v>
      </c>
    </row>
    <row r="250" spans="1:47" x14ac:dyDescent="0.2">
      <c r="A250" t="s">
        <v>314</v>
      </c>
      <c r="B250" s="74">
        <v>39995</v>
      </c>
      <c r="C250">
        <v>-2.2563163390000001</v>
      </c>
      <c r="D250">
        <v>0.74178220399999995</v>
      </c>
      <c r="E250">
        <v>-0.78968287500000001</v>
      </c>
      <c r="F250">
        <v>4.7812829000000001E-2</v>
      </c>
      <c r="G250">
        <v>1.790765476</v>
      </c>
      <c r="H250">
        <v>-1.0912585960000001</v>
      </c>
      <c r="I250">
        <v>0.58818249899999997</v>
      </c>
      <c r="J250">
        <v>-0.58235863600000004</v>
      </c>
      <c r="L250">
        <v>-0.38163602899999999</v>
      </c>
      <c r="M250">
        <v>0.15963164899999999</v>
      </c>
      <c r="N250">
        <v>-1.938341181</v>
      </c>
      <c r="O250">
        <v>8.1460000000000005E-3</v>
      </c>
      <c r="P250">
        <v>-4.4601379999999998E-3</v>
      </c>
      <c r="Q250">
        <v>-3.3744387150000001</v>
      </c>
      <c r="R250">
        <v>-4.4664000000000002E-2</v>
      </c>
      <c r="S250">
        <v>-0.436809528</v>
      </c>
      <c r="T250">
        <v>-1.2958452000000001E-2</v>
      </c>
      <c r="U250">
        <v>0.106168</v>
      </c>
      <c r="V250">
        <v>-0.28678622599999998</v>
      </c>
      <c r="W250">
        <v>2.7768419029999998</v>
      </c>
      <c r="X250">
        <v>4.5645913000000003E-2</v>
      </c>
      <c r="Y250">
        <v>5.8036599999999998</v>
      </c>
      <c r="Z250">
        <v>4.0076638999999997E-2</v>
      </c>
      <c r="AA250">
        <v>4.0418968999999999E-2</v>
      </c>
      <c r="AB250">
        <v>1.1870613720000001</v>
      </c>
      <c r="AC250">
        <v>-0.49823318</v>
      </c>
      <c r="AD250">
        <v>1.9355955819999999</v>
      </c>
      <c r="AE250">
        <v>1.332777638</v>
      </c>
      <c r="AF250">
        <v>1.23940271</v>
      </c>
      <c r="AG250">
        <v>-5.729594488</v>
      </c>
      <c r="AH250">
        <v>-1.476238894</v>
      </c>
      <c r="AI250">
        <v>2.5085789999999999E-3</v>
      </c>
      <c r="AJ250">
        <v>-0.87961137899999997</v>
      </c>
      <c r="AK250">
        <v>-5.4085538000000002E-2</v>
      </c>
      <c r="AL250">
        <v>0.193474065</v>
      </c>
      <c r="AM250">
        <v>4.6144546000000002E-2</v>
      </c>
      <c r="AN250">
        <v>8.9438207000000006E-2</v>
      </c>
      <c r="AO250">
        <v>-1.4588607810000001</v>
      </c>
      <c r="AP250">
        <v>1.6512467749999999</v>
      </c>
      <c r="AQ250">
        <v>-1.102107087</v>
      </c>
      <c r="AR250">
        <v>4.3123790000000002E-2</v>
      </c>
      <c r="AS250">
        <v>4.0069981370000001</v>
      </c>
      <c r="AT250">
        <v>-0.16923813900000001</v>
      </c>
      <c r="AU250">
        <v>-0.34321136899999999</v>
      </c>
    </row>
    <row r="251" spans="1:47" x14ac:dyDescent="0.2">
      <c r="A251" t="s">
        <v>315</v>
      </c>
      <c r="B251" s="74">
        <v>40087</v>
      </c>
      <c r="C251">
        <v>3.9523638679999999</v>
      </c>
      <c r="D251">
        <v>0.30471100299999998</v>
      </c>
      <c r="E251">
        <v>0.38499908700000002</v>
      </c>
      <c r="F251">
        <v>1.2637794440000001</v>
      </c>
      <c r="G251">
        <v>2.3513655880000002</v>
      </c>
      <c r="H251">
        <v>0.44993852000000001</v>
      </c>
      <c r="I251">
        <v>1.3838384640000001</v>
      </c>
      <c r="J251">
        <v>1.1963927089999999</v>
      </c>
      <c r="L251">
        <v>0.47858265300000002</v>
      </c>
      <c r="M251">
        <v>0.55783460900000004</v>
      </c>
      <c r="N251">
        <v>0.345762915</v>
      </c>
      <c r="O251">
        <v>0.39462799999999998</v>
      </c>
      <c r="P251">
        <v>0.21372445500000001</v>
      </c>
      <c r="Q251">
        <v>-1.9671379609999999</v>
      </c>
      <c r="R251">
        <v>0.37458399999999997</v>
      </c>
      <c r="S251">
        <v>0.92466898799999997</v>
      </c>
      <c r="T251">
        <v>0.16482121599999999</v>
      </c>
      <c r="U251">
        <v>0.30994300000000002</v>
      </c>
      <c r="V251">
        <v>0.132204777</v>
      </c>
      <c r="W251">
        <v>-0.72543689099999997</v>
      </c>
      <c r="X251">
        <v>-1.8818428000000002E-2</v>
      </c>
      <c r="Y251">
        <v>2.5538799999999999</v>
      </c>
      <c r="Z251">
        <v>-1.095576841</v>
      </c>
      <c r="AA251">
        <v>1.001833596</v>
      </c>
      <c r="AB251">
        <v>0.86315130200000001</v>
      </c>
      <c r="AC251">
        <v>0.63425543299999998</v>
      </c>
      <c r="AD251">
        <v>-6.1700505000000003E-2</v>
      </c>
      <c r="AE251">
        <v>2.9926747850000002</v>
      </c>
      <c r="AF251">
        <v>2.1397869109999998</v>
      </c>
      <c r="AG251">
        <v>-5.0890304740000003</v>
      </c>
      <c r="AH251">
        <v>3.296504879</v>
      </c>
      <c r="AI251">
        <v>0.400707908</v>
      </c>
      <c r="AJ251">
        <v>6.4386328000000007E-2</v>
      </c>
      <c r="AK251">
        <v>0.495358615</v>
      </c>
      <c r="AL251">
        <v>0.59238592000000001</v>
      </c>
      <c r="AM251">
        <v>0.57827747799999996</v>
      </c>
      <c r="AN251">
        <v>0.88222418300000005</v>
      </c>
      <c r="AO251">
        <v>0.41042516099999998</v>
      </c>
      <c r="AP251">
        <v>1.722778028</v>
      </c>
      <c r="AQ251">
        <v>0.24713911899999999</v>
      </c>
      <c r="AR251">
        <v>-4.5526841999999998E-2</v>
      </c>
      <c r="AS251">
        <v>2.3957610740000002</v>
      </c>
      <c r="AT251">
        <v>0.36192999100000001</v>
      </c>
      <c r="AU251">
        <v>0.23190718799999999</v>
      </c>
    </row>
    <row r="252" spans="1:47" x14ac:dyDescent="0.2">
      <c r="A252" t="s">
        <v>316</v>
      </c>
      <c r="B252" s="74">
        <v>40179</v>
      </c>
      <c r="C252">
        <v>1.9148239840000001</v>
      </c>
      <c r="D252">
        <v>0.75392357200000004</v>
      </c>
      <c r="E252">
        <v>0.66281153800000003</v>
      </c>
      <c r="F252">
        <v>0.80229046100000001</v>
      </c>
      <c r="G252">
        <v>2.5581032970000002</v>
      </c>
      <c r="H252">
        <v>1.1661570240000001</v>
      </c>
      <c r="I252">
        <v>0.55008538500000004</v>
      </c>
      <c r="J252">
        <v>1.2300245110000001</v>
      </c>
      <c r="L252">
        <v>6.8675372999999998E-2</v>
      </c>
      <c r="M252">
        <v>0.73587633399999997</v>
      </c>
      <c r="N252">
        <v>9.0743262000000005E-2</v>
      </c>
      <c r="O252">
        <v>0.41628300000000001</v>
      </c>
      <c r="P252">
        <v>-3.523569E-2</v>
      </c>
      <c r="Q252">
        <v>0.46882589699999999</v>
      </c>
      <c r="R252">
        <v>0.45448499999999997</v>
      </c>
      <c r="S252">
        <v>-0.77194487199999995</v>
      </c>
      <c r="T252">
        <v>0.70713042800000003</v>
      </c>
      <c r="U252">
        <v>0.93703899999999996</v>
      </c>
      <c r="V252">
        <v>0.341005222</v>
      </c>
      <c r="W252">
        <v>0.128217041</v>
      </c>
      <c r="X252">
        <v>-4.0998604000000001E-2</v>
      </c>
      <c r="Y252">
        <v>2.1267299999999998</v>
      </c>
      <c r="Z252">
        <v>-3.5476147889999998</v>
      </c>
      <c r="AA252">
        <v>-0.134323259</v>
      </c>
      <c r="AB252">
        <v>1.4078477890000001</v>
      </c>
      <c r="AC252">
        <v>0.32998136</v>
      </c>
      <c r="AD252">
        <v>1.2645522330000001</v>
      </c>
      <c r="AE252">
        <v>0.74686754499999997</v>
      </c>
      <c r="AF252">
        <v>0.46748151999999998</v>
      </c>
      <c r="AG252">
        <v>0.35886802099999998</v>
      </c>
      <c r="AH252">
        <v>1.658656543</v>
      </c>
      <c r="AI252">
        <v>0.60232846100000004</v>
      </c>
      <c r="AJ252">
        <v>5.3340237999999998E-2</v>
      </c>
      <c r="AK252">
        <v>1.2695717010000001</v>
      </c>
      <c r="AL252">
        <v>0.89403664599999999</v>
      </c>
      <c r="AM252">
        <v>2.3966667359999998</v>
      </c>
      <c r="AN252">
        <v>4.7782666000000001E-2</v>
      </c>
      <c r="AO252">
        <v>1.0817084560000001</v>
      </c>
      <c r="AP252">
        <v>1.940389414</v>
      </c>
      <c r="AQ252">
        <v>-0.13074386399999999</v>
      </c>
      <c r="AR252">
        <v>0.47456700699999999</v>
      </c>
      <c r="AS252">
        <v>1.9523571850000001</v>
      </c>
      <c r="AT252">
        <v>1.0679619499999999</v>
      </c>
      <c r="AU252">
        <v>0.66697168900000003</v>
      </c>
    </row>
    <row r="253" spans="1:47" x14ac:dyDescent="0.2">
      <c r="A253" t="s">
        <v>317</v>
      </c>
      <c r="B253" s="74">
        <v>40269</v>
      </c>
      <c r="C253">
        <v>3.002989388</v>
      </c>
      <c r="D253">
        <v>0.43654051199999999</v>
      </c>
      <c r="E253">
        <v>-0.45214800500000002</v>
      </c>
      <c r="F253">
        <v>0.51811854300000004</v>
      </c>
      <c r="G253">
        <v>2.135050568</v>
      </c>
      <c r="H253">
        <v>1.206341487</v>
      </c>
      <c r="I253">
        <v>0.99411558499999997</v>
      </c>
      <c r="J253">
        <v>0.323498697</v>
      </c>
      <c r="L253">
        <v>0.68762807699999995</v>
      </c>
      <c r="M253">
        <v>0.81202584799999999</v>
      </c>
      <c r="N253">
        <v>0.86356907900000002</v>
      </c>
      <c r="O253">
        <v>0.429761</v>
      </c>
      <c r="P253">
        <v>-2.2261963999999999E-2</v>
      </c>
      <c r="Q253">
        <v>1.378155376</v>
      </c>
      <c r="R253">
        <v>0.43071700000000002</v>
      </c>
      <c r="S253">
        <v>1.001905585</v>
      </c>
      <c r="T253">
        <v>0.36070385599999999</v>
      </c>
      <c r="U253">
        <v>0.65559500000000004</v>
      </c>
      <c r="V253">
        <v>0.94982691799999996</v>
      </c>
      <c r="W253">
        <v>-5.612631543</v>
      </c>
      <c r="X253">
        <v>4.2629393000000002E-2</v>
      </c>
      <c r="Y253">
        <v>2.6001799999999999</v>
      </c>
      <c r="Z253">
        <v>4.351500562</v>
      </c>
      <c r="AA253">
        <v>-5.8910988309999999</v>
      </c>
      <c r="AB253">
        <v>1.5755483269999999</v>
      </c>
      <c r="AC253">
        <v>0.34068207900000003</v>
      </c>
      <c r="AD253">
        <v>1.062481067</v>
      </c>
      <c r="AE253">
        <v>1.9590767389999999</v>
      </c>
      <c r="AF253">
        <v>1.5275092480000001</v>
      </c>
      <c r="AG253">
        <v>-0.58043546899999998</v>
      </c>
      <c r="AH253">
        <v>1.0468267120000001</v>
      </c>
      <c r="AI253">
        <v>-0.18885859399999999</v>
      </c>
      <c r="AJ253">
        <v>1.951186058</v>
      </c>
      <c r="AK253">
        <v>0.32926355400000001</v>
      </c>
      <c r="AL253">
        <v>0.62562963500000002</v>
      </c>
      <c r="AM253">
        <v>-0.422487636</v>
      </c>
      <c r="AN253">
        <v>0.82301842700000005</v>
      </c>
      <c r="AO253">
        <v>2.138462021</v>
      </c>
      <c r="AP253">
        <v>1.8459542870000001</v>
      </c>
      <c r="AQ253">
        <v>-0.130012347</v>
      </c>
      <c r="AR253">
        <v>2.6502119529999999</v>
      </c>
      <c r="AS253">
        <v>-0.29499498200000002</v>
      </c>
      <c r="AT253">
        <v>0.50005348100000002</v>
      </c>
      <c r="AU253">
        <v>1.166724893</v>
      </c>
    </row>
    <row r="254" spans="1:47" x14ac:dyDescent="0.2">
      <c r="A254" t="s">
        <v>318</v>
      </c>
      <c r="B254" s="74">
        <v>40360</v>
      </c>
      <c r="C254">
        <v>4.436837487</v>
      </c>
      <c r="D254">
        <v>0.67246190800000005</v>
      </c>
      <c r="E254">
        <v>1.2818850449999999</v>
      </c>
      <c r="F254">
        <v>0.98535424100000002</v>
      </c>
      <c r="G254">
        <v>1.2096576530000001</v>
      </c>
      <c r="H254">
        <v>0.523260909</v>
      </c>
      <c r="I254">
        <v>0.62681010299999995</v>
      </c>
      <c r="J254">
        <v>3.3934173689999998</v>
      </c>
      <c r="L254">
        <v>1.2204761239999999</v>
      </c>
      <c r="M254">
        <v>2.2519437099999999</v>
      </c>
      <c r="N254">
        <v>0.68351791900000003</v>
      </c>
      <c r="O254">
        <v>0.97653699999999999</v>
      </c>
      <c r="P254">
        <v>0.156239562</v>
      </c>
      <c r="Q254">
        <v>1.2675299520000001</v>
      </c>
      <c r="R254">
        <v>1.0003519999999999</v>
      </c>
      <c r="S254">
        <v>2.7619473669999999</v>
      </c>
      <c r="T254">
        <v>0.48054550000000001</v>
      </c>
      <c r="U254">
        <v>1.067779</v>
      </c>
      <c r="V254">
        <v>1.1437425409999999</v>
      </c>
      <c r="W254">
        <v>-3.7015732149999998</v>
      </c>
      <c r="X254">
        <v>0.79616929199999997</v>
      </c>
      <c r="Y254">
        <v>2.4025599999999998</v>
      </c>
      <c r="Z254">
        <v>0.68354005100000004</v>
      </c>
      <c r="AA254">
        <v>3.956119503</v>
      </c>
      <c r="AB254">
        <v>1.4494099119999999</v>
      </c>
      <c r="AC254">
        <v>0.69666974999999998</v>
      </c>
      <c r="AD254">
        <v>1.1806762909999999</v>
      </c>
      <c r="AE254">
        <v>1.899801372</v>
      </c>
      <c r="AF254">
        <v>1.380704352</v>
      </c>
      <c r="AG254">
        <v>-0.74164670200000005</v>
      </c>
      <c r="AH254">
        <v>1.1066775339999999</v>
      </c>
      <c r="AI254">
        <v>0.43895060899999999</v>
      </c>
      <c r="AJ254">
        <v>-1.0629642930000001</v>
      </c>
      <c r="AK254">
        <v>0.70732602200000005</v>
      </c>
      <c r="AL254">
        <v>1.106204532</v>
      </c>
      <c r="AM254">
        <v>1.5260696010000001</v>
      </c>
      <c r="AN254">
        <v>0.55242860400000005</v>
      </c>
      <c r="AO254">
        <v>0.95009906200000005</v>
      </c>
      <c r="AP254">
        <v>1.1677136749999999</v>
      </c>
      <c r="AQ254">
        <v>1.787399443</v>
      </c>
      <c r="AR254">
        <v>2.0598311319999998</v>
      </c>
      <c r="AS254">
        <v>3.8007093269999999</v>
      </c>
      <c r="AT254">
        <v>0.96770463900000003</v>
      </c>
      <c r="AU254">
        <v>0.83941199600000005</v>
      </c>
    </row>
    <row r="255" spans="1:47" x14ac:dyDescent="0.2">
      <c r="A255" t="s">
        <v>319</v>
      </c>
      <c r="B255" s="74">
        <v>40452</v>
      </c>
      <c r="C255">
        <v>0.59966786699999997</v>
      </c>
      <c r="D255">
        <v>0.704138076</v>
      </c>
      <c r="E255">
        <v>0.98644316600000004</v>
      </c>
      <c r="F255">
        <v>0.417149241</v>
      </c>
      <c r="G255">
        <v>0.90096897300000001</v>
      </c>
      <c r="H255">
        <v>0.70869492199999995</v>
      </c>
      <c r="I255">
        <v>0.52600978899999995</v>
      </c>
      <c r="J255">
        <v>2.3473820409999999</v>
      </c>
      <c r="L255">
        <v>0.73307573999999998</v>
      </c>
      <c r="M255">
        <v>0.81771223900000001</v>
      </c>
      <c r="N255">
        <v>1.5853732760000001</v>
      </c>
      <c r="O255">
        <v>0.42265399999999997</v>
      </c>
      <c r="P255">
        <v>-4.8540272000000002E-2</v>
      </c>
      <c r="Q255">
        <v>1.4657333260000001</v>
      </c>
      <c r="R255">
        <v>0.49314400000000003</v>
      </c>
      <c r="S255">
        <v>-0.41072814299999999</v>
      </c>
      <c r="T255">
        <v>0.61710960999999998</v>
      </c>
      <c r="U255">
        <v>0.88117199999999996</v>
      </c>
      <c r="V255">
        <v>0.63431983999999997</v>
      </c>
      <c r="W255">
        <v>-3.3031517180000001</v>
      </c>
      <c r="X255">
        <v>0.81896973299999998</v>
      </c>
      <c r="Y255">
        <v>2.9559799999999998</v>
      </c>
      <c r="Z255">
        <v>0.14018241000000001</v>
      </c>
      <c r="AA255">
        <v>-2.1362177369999999</v>
      </c>
      <c r="AB255">
        <v>1.2038928040000001</v>
      </c>
      <c r="AC255">
        <v>0.44576613500000001</v>
      </c>
      <c r="AD255">
        <v>1.7979798259999999</v>
      </c>
      <c r="AE255">
        <v>1.1552150800000001</v>
      </c>
      <c r="AF255">
        <v>-1.215056291</v>
      </c>
      <c r="AG255">
        <v>-0.384131642</v>
      </c>
      <c r="AH255">
        <v>0.93904324100000003</v>
      </c>
      <c r="AI255">
        <v>0.441811764</v>
      </c>
      <c r="AJ255">
        <v>-2.4815398270000002</v>
      </c>
      <c r="AK255">
        <v>-0.248962656</v>
      </c>
      <c r="AL255">
        <v>0.84100839000000005</v>
      </c>
      <c r="AM255">
        <v>1.3185657150000001</v>
      </c>
      <c r="AN255">
        <v>8.3833036E-2</v>
      </c>
      <c r="AO255">
        <v>0.52351252500000001</v>
      </c>
      <c r="AP255">
        <v>1.1002429899999999</v>
      </c>
      <c r="AQ255">
        <v>0.265219916</v>
      </c>
      <c r="AR255">
        <v>1.235610173</v>
      </c>
      <c r="AS255">
        <v>2.7707017839999999</v>
      </c>
      <c r="AT255">
        <v>0.77314415000000003</v>
      </c>
      <c r="AU255">
        <v>0.89024629399999999</v>
      </c>
    </row>
    <row r="256" spans="1:47" x14ac:dyDescent="0.2">
      <c r="A256" t="s">
        <v>320</v>
      </c>
      <c r="B256" s="74">
        <v>40544</v>
      </c>
      <c r="C256">
        <v>1.3534866940000001</v>
      </c>
      <c r="D256">
        <v>0.88004601199999999</v>
      </c>
      <c r="E256">
        <v>1.1320666880000001</v>
      </c>
      <c r="F256">
        <v>0.505236083</v>
      </c>
      <c r="G256">
        <v>1.3897910609999999</v>
      </c>
      <c r="H256">
        <v>1.1175051540000001</v>
      </c>
      <c r="I256">
        <v>0.82580674600000004</v>
      </c>
      <c r="J256">
        <v>1.189865358</v>
      </c>
      <c r="L256">
        <v>0.448272634</v>
      </c>
      <c r="M256">
        <v>0.81107565000000004</v>
      </c>
      <c r="N256">
        <v>-0.22504965299999999</v>
      </c>
      <c r="O256">
        <v>0.594634</v>
      </c>
      <c r="P256">
        <v>5.2271008000000001E-2</v>
      </c>
      <c r="Q256">
        <v>2.1011264829999998</v>
      </c>
      <c r="R256">
        <v>0.61102199999999995</v>
      </c>
      <c r="S256">
        <v>2.1001216359999999</v>
      </c>
      <c r="T256">
        <v>0.675902173</v>
      </c>
      <c r="U256">
        <v>0.36625999999999997</v>
      </c>
      <c r="V256">
        <v>0.13738593599999999</v>
      </c>
      <c r="W256">
        <v>-0.76440787700000001</v>
      </c>
      <c r="X256">
        <v>-3.3237568000000002E-2</v>
      </c>
      <c r="Y256">
        <v>2.3210700000000002</v>
      </c>
      <c r="Z256">
        <v>-1.8373648339999999</v>
      </c>
      <c r="AA256">
        <v>3.8299701860000002</v>
      </c>
      <c r="AB256">
        <v>1.579826779</v>
      </c>
      <c r="AC256">
        <v>0.53578216099999998</v>
      </c>
      <c r="AD256">
        <v>-0.79450414700000005</v>
      </c>
      <c r="AE256">
        <v>1.2193187110000001</v>
      </c>
      <c r="AF256">
        <v>0.11134767800000001</v>
      </c>
      <c r="AG256">
        <v>0.93103495199999997</v>
      </c>
      <c r="AH256">
        <v>0.77312741299999999</v>
      </c>
      <c r="AI256">
        <v>1.1281526820000001</v>
      </c>
      <c r="AJ256">
        <v>2.8072594099999999</v>
      </c>
      <c r="AK256">
        <v>-0.51945943800000005</v>
      </c>
      <c r="AL256">
        <v>0.56279246000000005</v>
      </c>
      <c r="AM256">
        <v>0.97761131700000004</v>
      </c>
      <c r="AN256">
        <v>-0.194037196</v>
      </c>
      <c r="AO256">
        <v>1.25698003</v>
      </c>
      <c r="AP256">
        <v>0.66005430799999998</v>
      </c>
      <c r="AQ256">
        <v>0.53846032399999999</v>
      </c>
      <c r="AR256">
        <v>1.592117169</v>
      </c>
      <c r="AS256">
        <v>3.0231894029999999</v>
      </c>
      <c r="AT256">
        <v>0.51959515899999997</v>
      </c>
      <c r="AU256">
        <v>0.93078135500000003</v>
      </c>
    </row>
    <row r="257" spans="1:47" x14ac:dyDescent="0.2">
      <c r="A257" t="s">
        <v>321</v>
      </c>
      <c r="B257" s="74">
        <v>40634</v>
      </c>
      <c r="C257">
        <v>2.3419471039999999</v>
      </c>
      <c r="D257">
        <v>-0.29800953499999999</v>
      </c>
      <c r="E257">
        <v>0.78679328900000001</v>
      </c>
      <c r="F257">
        <v>0.481369771</v>
      </c>
      <c r="G257">
        <v>1.432717864</v>
      </c>
      <c r="H257">
        <v>0.75534704399999997</v>
      </c>
      <c r="I257">
        <v>0.516323635</v>
      </c>
      <c r="J257">
        <v>1.165655654</v>
      </c>
      <c r="K257">
        <v>2.4</v>
      </c>
      <c r="L257">
        <v>0.57303278599999996</v>
      </c>
      <c r="M257">
        <v>1.9389699499999999</v>
      </c>
      <c r="N257">
        <v>0.217842912</v>
      </c>
      <c r="O257">
        <v>0.90257699999999996</v>
      </c>
      <c r="P257">
        <v>-0.150061692</v>
      </c>
      <c r="Q257">
        <v>2.0274675860000002</v>
      </c>
      <c r="R257">
        <v>0.87538000000000005</v>
      </c>
      <c r="S257">
        <v>0.55844083300000003</v>
      </c>
      <c r="T257">
        <v>1.0446347970000001</v>
      </c>
      <c r="U257">
        <v>9.5751000000000003E-2</v>
      </c>
      <c r="V257">
        <v>0.25364589500000001</v>
      </c>
      <c r="W257">
        <v>-3.8776585739999998</v>
      </c>
      <c r="X257">
        <v>0.92324786800000003</v>
      </c>
      <c r="Y257">
        <v>1.83064</v>
      </c>
      <c r="Z257">
        <v>3.3726533820000002</v>
      </c>
      <c r="AA257">
        <v>-3.9154607559999999</v>
      </c>
      <c r="AB257">
        <v>1.3065743599999999</v>
      </c>
      <c r="AC257">
        <v>0.51836041499999996</v>
      </c>
      <c r="AD257">
        <v>-1.046482135</v>
      </c>
      <c r="AE257">
        <v>0.933130719</v>
      </c>
      <c r="AF257">
        <v>1.3940734420000001</v>
      </c>
      <c r="AG257">
        <v>-1.3297560070000001</v>
      </c>
      <c r="AH257">
        <v>0.75966126599999995</v>
      </c>
      <c r="AI257">
        <v>0.57715258300000005</v>
      </c>
      <c r="AJ257">
        <v>9.3536631999999995E-2</v>
      </c>
      <c r="AK257">
        <v>1.0912577000000001</v>
      </c>
      <c r="AL257">
        <v>0.28489311</v>
      </c>
      <c r="AM257">
        <v>1.1280214770000001</v>
      </c>
      <c r="AN257">
        <v>-0.66076831199999997</v>
      </c>
      <c r="AO257">
        <v>1.155158313</v>
      </c>
      <c r="AP257">
        <v>0.338347434</v>
      </c>
      <c r="AQ257">
        <v>0.64104939400000005</v>
      </c>
      <c r="AR257">
        <v>0.37543236499999999</v>
      </c>
      <c r="AS257">
        <v>2.2538581770000001</v>
      </c>
      <c r="AT257">
        <v>-0.24091606800000001</v>
      </c>
      <c r="AU257">
        <v>0.98480143200000003</v>
      </c>
    </row>
    <row r="258" spans="1:47" x14ac:dyDescent="0.2">
      <c r="A258" t="s">
        <v>322</v>
      </c>
      <c r="B258" s="74">
        <v>40725</v>
      </c>
      <c r="C258">
        <v>0.98135266200000004</v>
      </c>
      <c r="D258">
        <v>1.296483115</v>
      </c>
      <c r="E258">
        <v>0.42411635199999997</v>
      </c>
      <c r="F258">
        <v>0.20718999799999999</v>
      </c>
      <c r="G258">
        <v>0.94131499500000004</v>
      </c>
      <c r="H258">
        <v>0.19480650999999999</v>
      </c>
      <c r="I258">
        <v>0.63317794900000002</v>
      </c>
      <c r="J258">
        <v>1.4368042000000001</v>
      </c>
      <c r="K258">
        <v>2.2999999999999998</v>
      </c>
      <c r="L258">
        <v>0.31880308000000002</v>
      </c>
      <c r="M258">
        <v>9.4706566000000006E-2</v>
      </c>
      <c r="N258">
        <v>1.002326552</v>
      </c>
      <c r="O258">
        <v>-2.6318000000000001E-2</v>
      </c>
      <c r="P258">
        <v>-0.31022249899999998</v>
      </c>
      <c r="Q258">
        <v>1.9091795549999999</v>
      </c>
      <c r="R258">
        <v>6.4518000000000006E-2</v>
      </c>
      <c r="S258">
        <v>-0.174006405</v>
      </c>
      <c r="T258">
        <v>-9.5778250999999995E-2</v>
      </c>
      <c r="U258">
        <v>0.22220500000000001</v>
      </c>
      <c r="V258">
        <v>5.5542649999999999E-2</v>
      </c>
      <c r="W258">
        <v>-1.7825298089999999</v>
      </c>
      <c r="X258">
        <v>-9.2164563000000005E-2</v>
      </c>
      <c r="Y258">
        <v>1.2116499999999999</v>
      </c>
      <c r="Z258">
        <v>1.1896815220000001</v>
      </c>
      <c r="AA258">
        <v>2.5844824489999998</v>
      </c>
      <c r="AB258">
        <v>1.14723481</v>
      </c>
      <c r="AC258">
        <v>4.4927651999999998E-2</v>
      </c>
      <c r="AD258">
        <v>-0.87494044500000001</v>
      </c>
      <c r="AE258">
        <v>0.49079106099999997</v>
      </c>
      <c r="AF258">
        <v>-0.88130892199999999</v>
      </c>
      <c r="AG258">
        <v>3.4492996699999998</v>
      </c>
      <c r="AH258">
        <v>0.53611136199999998</v>
      </c>
      <c r="AI258">
        <v>-8.9404209999999998E-2</v>
      </c>
      <c r="AJ258">
        <v>-0.41342651800000002</v>
      </c>
      <c r="AK258">
        <v>0.50644660100000005</v>
      </c>
      <c r="AL258">
        <v>0.36687905300000001</v>
      </c>
      <c r="AM258">
        <v>1.335067633</v>
      </c>
      <c r="AN258">
        <v>-0.42891552799999999</v>
      </c>
      <c r="AO258">
        <v>0.94769094300000001</v>
      </c>
      <c r="AP258">
        <v>0.69049379899999996</v>
      </c>
      <c r="AQ258">
        <v>-0.53185731700000005</v>
      </c>
      <c r="AR258">
        <v>0.33353964000000003</v>
      </c>
      <c r="AS258">
        <v>2.7476908170000001</v>
      </c>
      <c r="AT258">
        <v>0.67805075100000001</v>
      </c>
      <c r="AU258">
        <v>0.55967177899999998</v>
      </c>
    </row>
    <row r="259" spans="1:47" x14ac:dyDescent="0.2">
      <c r="A259" t="s">
        <v>323</v>
      </c>
      <c r="B259" s="74">
        <v>40817</v>
      </c>
      <c r="C259">
        <v>0.82836771499999995</v>
      </c>
      <c r="D259">
        <v>1.3471873000000001</v>
      </c>
      <c r="E259">
        <v>0.48992349000000002</v>
      </c>
      <c r="F259">
        <v>0.28644047299999997</v>
      </c>
      <c r="G259">
        <v>-0.20088599600000001</v>
      </c>
      <c r="H259">
        <v>1.3796395619999999</v>
      </c>
      <c r="I259">
        <v>-0.31037316399999998</v>
      </c>
      <c r="J259">
        <v>0.64138886399999995</v>
      </c>
      <c r="K259">
        <v>1.8</v>
      </c>
      <c r="L259">
        <v>-0.18540826799999999</v>
      </c>
      <c r="M259">
        <v>0.88310040000000001</v>
      </c>
      <c r="N259">
        <v>-1.243706016</v>
      </c>
      <c r="O259">
        <v>0.15035399999999999</v>
      </c>
      <c r="P259">
        <v>-0.64582650900000005</v>
      </c>
      <c r="Q259">
        <v>1.6704934650000001</v>
      </c>
      <c r="R259">
        <v>0.20852100000000001</v>
      </c>
      <c r="S259">
        <v>0.122387672</v>
      </c>
      <c r="T259">
        <v>0.484334088</v>
      </c>
      <c r="U259">
        <v>0.496589</v>
      </c>
      <c r="V259">
        <v>0.153660086</v>
      </c>
      <c r="W259">
        <v>-2.0284864319999998</v>
      </c>
      <c r="X259">
        <v>0.229723966</v>
      </c>
      <c r="Y259">
        <v>-3.8500000000000001E-3</v>
      </c>
      <c r="Z259">
        <v>-1.3961307940000001</v>
      </c>
      <c r="AA259">
        <v>1.705437874</v>
      </c>
      <c r="AB259">
        <v>2.0386305710000001</v>
      </c>
      <c r="AC259">
        <v>-0.48821599700000001</v>
      </c>
      <c r="AD259">
        <v>2.4146330229999999</v>
      </c>
      <c r="AE259">
        <v>0.52632363800000004</v>
      </c>
      <c r="AF259">
        <v>1.2314459659999999</v>
      </c>
      <c r="AG259">
        <v>1.526329764</v>
      </c>
      <c r="AH259">
        <v>1.9429750059999999</v>
      </c>
      <c r="AI259">
        <v>3.8478900000000002E-4</v>
      </c>
      <c r="AJ259">
        <v>1.6112779180000001</v>
      </c>
      <c r="AK259">
        <v>1.02987232</v>
      </c>
      <c r="AL259">
        <v>0.59443861200000003</v>
      </c>
      <c r="AM259">
        <v>1.2881018980000001</v>
      </c>
      <c r="AN259">
        <v>-0.78083623800000002</v>
      </c>
      <c r="AO259">
        <v>1.151337174</v>
      </c>
      <c r="AP259">
        <v>0.46410827500000001</v>
      </c>
      <c r="AQ259">
        <v>-0.18311111999999999</v>
      </c>
      <c r="AR259">
        <v>1.2657260239999999</v>
      </c>
      <c r="AS259">
        <v>2.6588431219999999</v>
      </c>
      <c r="AT259">
        <v>-3.8767163E-2</v>
      </c>
      <c r="AU259">
        <v>0.413771114</v>
      </c>
    </row>
    <row r="260" spans="1:47" x14ac:dyDescent="0.2">
      <c r="A260" t="s">
        <v>324</v>
      </c>
      <c r="B260" s="74">
        <v>40909</v>
      </c>
      <c r="C260">
        <v>1.1892041000000001E-2</v>
      </c>
      <c r="D260">
        <v>1.081422925</v>
      </c>
      <c r="E260">
        <v>-3.3282330999999998E-2</v>
      </c>
      <c r="F260">
        <v>0.29165660999999998</v>
      </c>
      <c r="G260">
        <v>0.82931524499999998</v>
      </c>
      <c r="H260">
        <v>0.78751324</v>
      </c>
      <c r="I260">
        <v>3.8418842000000002E-2</v>
      </c>
      <c r="J260">
        <v>2.1748584110000002</v>
      </c>
      <c r="K260">
        <v>1.6</v>
      </c>
      <c r="L260">
        <v>0.103381032</v>
      </c>
      <c r="M260">
        <v>-0.32305014900000001</v>
      </c>
      <c r="N260">
        <v>0.81718773300000003</v>
      </c>
      <c r="O260">
        <v>-0.41825499999999999</v>
      </c>
      <c r="P260">
        <v>-0.663137427</v>
      </c>
      <c r="Q260">
        <v>-3.2903122999999999E-2</v>
      </c>
      <c r="R260">
        <v>-0.373305</v>
      </c>
      <c r="S260">
        <v>2.7781378999999998E-2</v>
      </c>
      <c r="T260">
        <v>0.192595394</v>
      </c>
      <c r="U260">
        <v>0.47540300000000002</v>
      </c>
      <c r="V260">
        <v>-4.1728046999999997E-2</v>
      </c>
      <c r="W260">
        <v>-4.4905177759999999</v>
      </c>
      <c r="X260">
        <v>1.2683929759999999</v>
      </c>
      <c r="Y260">
        <v>1.6288899999999999</v>
      </c>
      <c r="Z260">
        <v>-0.19658619499999999</v>
      </c>
      <c r="AA260">
        <v>1.4271230290000001</v>
      </c>
      <c r="AB260">
        <v>0.69405586799999996</v>
      </c>
      <c r="AC260">
        <v>-0.96685204499999999</v>
      </c>
      <c r="AD260">
        <v>-0.12755915200000001</v>
      </c>
      <c r="AE260">
        <v>0.47229806800000002</v>
      </c>
      <c r="AF260">
        <v>-0.491693561</v>
      </c>
      <c r="AG260">
        <v>0.18402708800000001</v>
      </c>
      <c r="AH260">
        <v>0.65510707599999995</v>
      </c>
      <c r="AI260">
        <v>-0.60334716899999996</v>
      </c>
      <c r="AJ260">
        <v>5.1543722E-2</v>
      </c>
      <c r="AK260">
        <v>0.57426726299999997</v>
      </c>
      <c r="AL260">
        <v>0.41917808000000001</v>
      </c>
      <c r="AM260">
        <v>0.63377834499999997</v>
      </c>
      <c r="AN260">
        <v>-1.478454706</v>
      </c>
      <c r="AO260">
        <v>1.2076822229999999</v>
      </c>
      <c r="AP260">
        <v>0.76597926999999999</v>
      </c>
      <c r="AQ260">
        <v>2.9868005E-2</v>
      </c>
      <c r="AR260">
        <v>-1.35646361</v>
      </c>
      <c r="AS260">
        <v>1.357311969</v>
      </c>
      <c r="AT260">
        <v>1.121678183</v>
      </c>
      <c r="AU260">
        <v>0.68408709199999995</v>
      </c>
    </row>
    <row r="261" spans="1:47" x14ac:dyDescent="0.2">
      <c r="A261" t="s">
        <v>325</v>
      </c>
      <c r="B261" s="74">
        <v>41000</v>
      </c>
      <c r="C261">
        <v>-1.084249799</v>
      </c>
      <c r="D261">
        <v>0.95699651799999996</v>
      </c>
      <c r="E261">
        <v>0.85940113699999998</v>
      </c>
      <c r="F261">
        <v>0.21459657800000001</v>
      </c>
      <c r="G261">
        <v>-1.298996136</v>
      </c>
      <c r="H261">
        <v>6.4087343000000005E-2</v>
      </c>
      <c r="I261">
        <v>0.55827900900000005</v>
      </c>
      <c r="J261">
        <v>2.0553139800000002</v>
      </c>
      <c r="K261">
        <v>1.6</v>
      </c>
      <c r="L261">
        <v>-0.169658261</v>
      </c>
      <c r="M261">
        <v>0.20910942099999999</v>
      </c>
      <c r="N261">
        <v>-6.9457024000000006E-2</v>
      </c>
      <c r="O261">
        <v>-0.208755</v>
      </c>
      <c r="P261">
        <v>-0.93119561900000003</v>
      </c>
      <c r="Q261">
        <v>0.59375567799999995</v>
      </c>
      <c r="R261">
        <v>-0.183174</v>
      </c>
      <c r="S261">
        <v>-0.43697229999999998</v>
      </c>
      <c r="T261">
        <v>2.8151711999999999E-2</v>
      </c>
      <c r="U261">
        <v>0.61164600000000002</v>
      </c>
      <c r="V261">
        <v>0.83048178100000003</v>
      </c>
      <c r="W261">
        <v>-0.285873249</v>
      </c>
      <c r="X261">
        <v>-1.7742966570000001</v>
      </c>
      <c r="Y261">
        <v>1.3807799999999999</v>
      </c>
      <c r="Z261">
        <v>-1.5094239000000001E-2</v>
      </c>
      <c r="AA261">
        <v>-3.053491615</v>
      </c>
      <c r="AB261">
        <v>0.36489729599999998</v>
      </c>
      <c r="AC261">
        <v>-1.1351370329999999</v>
      </c>
      <c r="AD261">
        <v>1.3936703560000001</v>
      </c>
      <c r="AE261">
        <v>0.86566595300000004</v>
      </c>
      <c r="AF261">
        <v>0.51507592499999999</v>
      </c>
      <c r="AG261">
        <v>5.1029515200000004</v>
      </c>
      <c r="AH261">
        <v>0.65332315600000002</v>
      </c>
      <c r="AI261">
        <v>-0.20815329299999999</v>
      </c>
      <c r="AJ261">
        <v>2.1696556299999998</v>
      </c>
      <c r="AK261">
        <v>0.61643023699999999</v>
      </c>
      <c r="AL261">
        <v>0.48660682</v>
      </c>
      <c r="AM261">
        <v>6.9013764000000005E-2</v>
      </c>
      <c r="AN261">
        <v>-0.54580160799999999</v>
      </c>
      <c r="AO261">
        <v>1.570296481</v>
      </c>
      <c r="AP261">
        <v>0.23793882199999999</v>
      </c>
      <c r="AQ261">
        <v>-0.61576172699999998</v>
      </c>
      <c r="AR261">
        <v>0.158653607</v>
      </c>
      <c r="AS261">
        <v>-0.88977375700000005</v>
      </c>
      <c r="AT261">
        <v>0.81792284500000001</v>
      </c>
      <c r="AU261">
        <v>0.56684188599999996</v>
      </c>
    </row>
    <row r="262" spans="1:47" x14ac:dyDescent="0.2">
      <c r="A262" t="s">
        <v>326</v>
      </c>
      <c r="B262" s="74">
        <v>41091</v>
      </c>
      <c r="C262">
        <v>-3.3586182299999998</v>
      </c>
      <c r="D262">
        <v>0.73221657600000001</v>
      </c>
      <c r="E262">
        <v>-0.42207826300000001</v>
      </c>
      <c r="F262">
        <v>-1.0006399999999999E-3</v>
      </c>
      <c r="G262">
        <v>1.7367108200000001</v>
      </c>
      <c r="H262">
        <v>0.32616373700000001</v>
      </c>
      <c r="I262">
        <v>0.22929918499999999</v>
      </c>
      <c r="J262">
        <v>1.853532999</v>
      </c>
      <c r="K262">
        <v>2.2999999999999998</v>
      </c>
      <c r="L262">
        <v>-0.53614212900000002</v>
      </c>
      <c r="M262">
        <v>0.20864962200000001</v>
      </c>
      <c r="N262">
        <v>7.5250259E-2</v>
      </c>
      <c r="O262">
        <v>-0.27380399999999999</v>
      </c>
      <c r="P262">
        <v>-0.95860267899999996</v>
      </c>
      <c r="Q262">
        <v>1.2261690489999999</v>
      </c>
      <c r="R262">
        <v>-0.25047599999999998</v>
      </c>
      <c r="S262">
        <v>-1.0581715389999999</v>
      </c>
      <c r="T262">
        <v>-0.15071093299999999</v>
      </c>
      <c r="U262">
        <v>6.6415000000000002E-2</v>
      </c>
      <c r="V262">
        <v>-5.6038575E-2</v>
      </c>
      <c r="W262">
        <v>-1.7449891239999999</v>
      </c>
      <c r="X262">
        <v>-0.64864235999999997</v>
      </c>
      <c r="Y262">
        <v>1.15795</v>
      </c>
      <c r="Z262">
        <v>1.298680308</v>
      </c>
      <c r="AA262">
        <v>1.235637366</v>
      </c>
      <c r="AB262">
        <v>-5.1463362999999998E-2</v>
      </c>
      <c r="AC262">
        <v>-0.68827249899999998</v>
      </c>
      <c r="AD262">
        <v>-0.90939672299999996</v>
      </c>
      <c r="AE262">
        <v>0.56597461800000004</v>
      </c>
      <c r="AF262">
        <v>0.15707705699999999</v>
      </c>
      <c r="AG262">
        <v>-0.54073400100000002</v>
      </c>
      <c r="AH262">
        <v>0.86902611600000002</v>
      </c>
      <c r="AI262">
        <v>5.0938314999999998E-2</v>
      </c>
      <c r="AJ262">
        <v>0.23580242000000001</v>
      </c>
      <c r="AK262">
        <v>0.33774496300000001</v>
      </c>
      <c r="AL262">
        <v>0.14712397299999999</v>
      </c>
      <c r="AM262">
        <v>-0.24515392999999999</v>
      </c>
      <c r="AN262">
        <v>-1.3479545129999999</v>
      </c>
      <c r="AO262">
        <v>0.38707392299999999</v>
      </c>
      <c r="AP262">
        <v>0.161976275</v>
      </c>
      <c r="AQ262">
        <v>-1.798775375</v>
      </c>
      <c r="AR262">
        <v>0.14640885200000001</v>
      </c>
      <c r="AS262">
        <v>1.727526866</v>
      </c>
      <c r="AT262">
        <v>0.45585998700000002</v>
      </c>
      <c r="AU262">
        <v>0.83473463000000003</v>
      </c>
    </row>
    <row r="263" spans="1:47" x14ac:dyDescent="0.2">
      <c r="A263" t="s">
        <v>327</v>
      </c>
      <c r="B263" s="74">
        <v>41183</v>
      </c>
      <c r="C263">
        <v>3.0843932760000001</v>
      </c>
      <c r="D263">
        <v>0.59296767800000005</v>
      </c>
      <c r="E263">
        <v>-0.223058701</v>
      </c>
      <c r="F263">
        <v>0.24315805300000001</v>
      </c>
      <c r="G263">
        <v>1.708277628</v>
      </c>
      <c r="H263">
        <v>0.136217106</v>
      </c>
      <c r="I263">
        <v>0.87992659699999998</v>
      </c>
      <c r="J263">
        <v>0.77713444399999998</v>
      </c>
      <c r="K263">
        <v>1.9</v>
      </c>
      <c r="L263">
        <v>-0.36099973699999999</v>
      </c>
      <c r="M263">
        <v>0.28111072500000001</v>
      </c>
      <c r="N263">
        <v>9.3894243000000002E-2</v>
      </c>
      <c r="O263">
        <v>-9.5765000000000003E-2</v>
      </c>
      <c r="P263">
        <v>-0.51968818699999997</v>
      </c>
      <c r="Q263">
        <v>0.49992797900000002</v>
      </c>
      <c r="R263">
        <v>-7.0804000000000006E-2</v>
      </c>
      <c r="S263">
        <v>-0.38531661699999997</v>
      </c>
      <c r="T263">
        <v>0.22550906500000001</v>
      </c>
      <c r="U263">
        <v>0.13875599999999999</v>
      </c>
      <c r="V263">
        <v>1.2425362049999999</v>
      </c>
      <c r="W263">
        <v>-1.4537351949999999</v>
      </c>
      <c r="X263">
        <v>0.35114738099999998</v>
      </c>
      <c r="Y263">
        <v>1.794</v>
      </c>
      <c r="Z263">
        <v>-0.96029231900000001</v>
      </c>
      <c r="AA263">
        <v>0.69574877300000004</v>
      </c>
      <c r="AB263">
        <v>0.94243239199999995</v>
      </c>
      <c r="AC263">
        <v>-0.51185602299999999</v>
      </c>
      <c r="AD263">
        <v>-0.39334034600000001</v>
      </c>
      <c r="AE263">
        <v>0.45177694000000002</v>
      </c>
      <c r="AF263">
        <v>1.105506648</v>
      </c>
      <c r="AG263">
        <v>1.2764940119999999</v>
      </c>
      <c r="AH263">
        <v>0.56559060900000002</v>
      </c>
      <c r="AI263">
        <v>-0.42922686100000002</v>
      </c>
      <c r="AJ263">
        <v>-1.449584494</v>
      </c>
      <c r="AK263">
        <v>0.25245606500000001</v>
      </c>
      <c r="AL263">
        <v>0.18418535</v>
      </c>
      <c r="AM263">
        <v>0.43764906799999997</v>
      </c>
      <c r="AN263">
        <v>-1.129418955</v>
      </c>
      <c r="AO263">
        <v>0.51614756399999995</v>
      </c>
      <c r="AP263">
        <v>9.1091120999999997E-2</v>
      </c>
      <c r="AQ263">
        <v>0.22082652799999999</v>
      </c>
      <c r="AR263">
        <v>-0.13758989699999999</v>
      </c>
      <c r="AS263">
        <v>1.7647938809999999</v>
      </c>
      <c r="AT263">
        <v>0.17488297799999999</v>
      </c>
      <c r="AU263">
        <v>0.40655783099999998</v>
      </c>
    </row>
    <row r="264" spans="1:47" x14ac:dyDescent="0.2">
      <c r="A264" t="s">
        <v>328</v>
      </c>
      <c r="B264" s="74">
        <v>41275</v>
      </c>
      <c r="C264">
        <v>1.7107077209999999</v>
      </c>
      <c r="D264">
        <v>0.48832581400000002</v>
      </c>
      <c r="E264">
        <v>-7.7311832999999996E-2</v>
      </c>
      <c r="F264">
        <v>-4.5918265E-2</v>
      </c>
      <c r="G264">
        <v>2.0739090000000002E-2</v>
      </c>
      <c r="H264">
        <v>0.20678147</v>
      </c>
      <c r="I264">
        <v>-1.8371371000000001E-2</v>
      </c>
      <c r="J264">
        <v>0.59363633599999999</v>
      </c>
      <c r="K264">
        <v>2</v>
      </c>
      <c r="L264">
        <v>-0.122513632</v>
      </c>
      <c r="M264">
        <v>-0.44642873700000002</v>
      </c>
      <c r="N264">
        <v>-0.16162989</v>
      </c>
      <c r="O264">
        <v>-0.44678899999999999</v>
      </c>
      <c r="P264">
        <v>-0.74071498099999999</v>
      </c>
      <c r="Q264">
        <v>0.88818228899999996</v>
      </c>
      <c r="R264">
        <v>-0.43211699999999997</v>
      </c>
      <c r="S264">
        <v>-7.7361410000000005E-2</v>
      </c>
      <c r="T264">
        <v>-0.106319468</v>
      </c>
      <c r="U264">
        <v>-5.7327000000000003E-2</v>
      </c>
      <c r="V264">
        <v>-0.101464519</v>
      </c>
      <c r="W264">
        <v>-0.79992615600000005</v>
      </c>
      <c r="X264">
        <v>-0.132253808</v>
      </c>
      <c r="Y264">
        <v>1.1868700000000001</v>
      </c>
      <c r="Z264">
        <v>-1.07899E-2</v>
      </c>
      <c r="AA264">
        <v>1.450186091</v>
      </c>
      <c r="AB264">
        <v>0.52342361400000004</v>
      </c>
      <c r="AC264">
        <v>-0.74107759799999995</v>
      </c>
      <c r="AD264">
        <v>-6.8862592E-2</v>
      </c>
      <c r="AE264">
        <v>0.50224872499999995</v>
      </c>
      <c r="AF264">
        <v>1.6608532499999999</v>
      </c>
      <c r="AG264">
        <v>0.49738497700000001</v>
      </c>
      <c r="AH264">
        <v>0.85453918100000004</v>
      </c>
      <c r="AI264">
        <v>-0.69974853400000003</v>
      </c>
      <c r="AJ264">
        <v>0.81733710500000001</v>
      </c>
      <c r="AK264">
        <v>1.5362992170000001</v>
      </c>
      <c r="AL264">
        <v>4.1414495000000003E-2</v>
      </c>
      <c r="AM264">
        <v>-0.52639492799999998</v>
      </c>
      <c r="AN264">
        <v>-1.5804573770000001</v>
      </c>
      <c r="AO264">
        <v>6.7384631E-2</v>
      </c>
      <c r="AP264">
        <v>-0.11568107399999999</v>
      </c>
      <c r="AQ264">
        <v>-2.0039039920000001</v>
      </c>
      <c r="AR264">
        <v>-0.67637193200000001</v>
      </c>
      <c r="AS264">
        <v>1.602891829</v>
      </c>
      <c r="AT264">
        <v>0.109838067</v>
      </c>
      <c r="AU264">
        <v>0.47694278299999998</v>
      </c>
    </row>
    <row r="265" spans="1:47" x14ac:dyDescent="0.2">
      <c r="A265" t="s">
        <v>329</v>
      </c>
      <c r="B265" s="74">
        <v>41365</v>
      </c>
      <c r="C265">
        <v>-2.7687251999999999E-2</v>
      </c>
      <c r="D265">
        <v>0.43843427699999998</v>
      </c>
      <c r="E265">
        <v>-9.6385710999999999E-2</v>
      </c>
      <c r="F265">
        <v>-0.27463747900000002</v>
      </c>
      <c r="G265">
        <v>0.54901200500000003</v>
      </c>
      <c r="H265">
        <v>0.89700485500000005</v>
      </c>
      <c r="I265">
        <v>0.382360796</v>
      </c>
      <c r="J265">
        <v>0.88278365599999997</v>
      </c>
      <c r="K265">
        <v>1.8</v>
      </c>
      <c r="L265">
        <v>-0.42478578299999997</v>
      </c>
      <c r="M265">
        <v>-0.45626323299999999</v>
      </c>
      <c r="N265">
        <v>0.563835211</v>
      </c>
      <c r="O265">
        <v>-0.33293699999999998</v>
      </c>
      <c r="P265">
        <v>-0.30752821299999999</v>
      </c>
      <c r="Q265">
        <v>0.47925484000000002</v>
      </c>
      <c r="R265">
        <v>-0.212618</v>
      </c>
      <c r="S265">
        <v>-0.85729931800000003</v>
      </c>
      <c r="T265">
        <v>6.9928483999999999E-2</v>
      </c>
      <c r="U265">
        <v>0.57924799999999999</v>
      </c>
      <c r="V265">
        <v>0.23437079799999999</v>
      </c>
      <c r="W265">
        <v>-0.99279602</v>
      </c>
      <c r="X265">
        <v>0.19387739300000001</v>
      </c>
      <c r="Y265">
        <v>1.59873</v>
      </c>
      <c r="Z265">
        <v>-0.79473962499999995</v>
      </c>
      <c r="AA265">
        <v>0.85445554800000001</v>
      </c>
      <c r="AB265">
        <v>1.3260361679999999</v>
      </c>
      <c r="AC265">
        <v>-0.97126961499999998</v>
      </c>
      <c r="AD265">
        <v>1.3975818630000001</v>
      </c>
      <c r="AE265">
        <v>0.85942490599999999</v>
      </c>
      <c r="AF265">
        <v>3.7243432999999999E-2</v>
      </c>
      <c r="AG265">
        <v>0.34057233199999998</v>
      </c>
      <c r="AH265">
        <v>0.24457404799999999</v>
      </c>
      <c r="AI265">
        <v>0.32290144300000001</v>
      </c>
      <c r="AJ265">
        <v>0.15065100100000001</v>
      </c>
      <c r="AK265">
        <v>-0.31337716799999998</v>
      </c>
      <c r="AL265">
        <v>0.57751146099999995</v>
      </c>
      <c r="AM265">
        <v>6.3739439999999994E-2</v>
      </c>
      <c r="AN265">
        <v>0.41614735800000002</v>
      </c>
      <c r="AO265">
        <v>0.74066342200000002</v>
      </c>
      <c r="AP265">
        <v>3.7233415999999998E-2</v>
      </c>
      <c r="AQ265">
        <v>0.19285753899999999</v>
      </c>
      <c r="AR265">
        <v>1.3518493009999999</v>
      </c>
      <c r="AS265">
        <v>2.9298856400000002</v>
      </c>
      <c r="AT265">
        <v>0.86778954799999997</v>
      </c>
      <c r="AU265">
        <v>0.77602407399999995</v>
      </c>
    </row>
    <row r="266" spans="1:47" x14ac:dyDescent="0.2">
      <c r="A266" t="s">
        <v>330</v>
      </c>
      <c r="B266" s="74">
        <v>41456</v>
      </c>
      <c r="C266">
        <v>0.60396878899999995</v>
      </c>
      <c r="D266">
        <v>0.41484588900000002</v>
      </c>
      <c r="E266">
        <v>3.5761296999999997E-2</v>
      </c>
      <c r="F266">
        <v>0.58383488400000005</v>
      </c>
      <c r="G266">
        <v>1.4484598580000001</v>
      </c>
      <c r="H266">
        <v>0.58035719100000005</v>
      </c>
      <c r="I266">
        <v>0.71618075800000003</v>
      </c>
      <c r="J266">
        <v>0.78682774799999999</v>
      </c>
      <c r="K266">
        <v>1.7</v>
      </c>
      <c r="L266">
        <v>0.36711851000000001</v>
      </c>
      <c r="M266">
        <v>1.0686154889999999</v>
      </c>
      <c r="N266">
        <v>7.4281939000000005E-2</v>
      </c>
      <c r="O266">
        <v>0.51730600000000004</v>
      </c>
      <c r="P266">
        <v>-8.8247811999999995E-2</v>
      </c>
      <c r="Q266">
        <v>-0.25654875700000002</v>
      </c>
      <c r="R266">
        <v>0.52071800000000001</v>
      </c>
      <c r="S266">
        <v>0.46092604199999998</v>
      </c>
      <c r="T266">
        <v>0.67168266799999998</v>
      </c>
      <c r="U266">
        <v>0.43932500000000002</v>
      </c>
      <c r="V266">
        <v>0.67897349100000004</v>
      </c>
      <c r="W266">
        <v>0.15844214200000001</v>
      </c>
      <c r="X266">
        <v>0.96979846999999997</v>
      </c>
      <c r="Y266">
        <v>1.40381</v>
      </c>
      <c r="Z266">
        <v>1.676549152</v>
      </c>
      <c r="AA266">
        <v>1.4346802949999999</v>
      </c>
      <c r="AB266">
        <v>1.9752057199999999</v>
      </c>
      <c r="AC266">
        <v>3.7708852000000001E-2</v>
      </c>
      <c r="AD266">
        <v>0.90089417900000002</v>
      </c>
      <c r="AE266">
        <v>1.1661529509999999</v>
      </c>
      <c r="AF266">
        <v>1.8620283879999999</v>
      </c>
      <c r="AG266">
        <v>-6.2169896000000002E-2</v>
      </c>
      <c r="AH266">
        <v>-0.55010685299999995</v>
      </c>
      <c r="AI266">
        <v>-0.18070392699999999</v>
      </c>
      <c r="AJ266">
        <v>0.72238399099999995</v>
      </c>
      <c r="AK266">
        <v>1.1745192959999999</v>
      </c>
      <c r="AL266">
        <v>0.52894757699999995</v>
      </c>
      <c r="AM266">
        <v>1.0770850519999999</v>
      </c>
      <c r="AN266">
        <v>0.75837043999999998</v>
      </c>
      <c r="AO266">
        <v>0.34051066600000002</v>
      </c>
      <c r="AP266">
        <v>0.32164866600000003</v>
      </c>
      <c r="AQ266">
        <v>0.29947216599999998</v>
      </c>
      <c r="AR266">
        <v>-8.1361580000000003E-2</v>
      </c>
      <c r="AS266">
        <v>2.9357761130000002</v>
      </c>
      <c r="AT266">
        <v>0.13938522</v>
      </c>
      <c r="AU266">
        <v>0.72737922200000005</v>
      </c>
    </row>
    <row r="267" spans="1:47" x14ac:dyDescent="0.2">
      <c r="A267" t="s">
        <v>331</v>
      </c>
      <c r="B267" s="74">
        <v>41548</v>
      </c>
      <c r="C267">
        <v>0.539067517</v>
      </c>
      <c r="D267">
        <v>0.78100521099999998</v>
      </c>
      <c r="E267">
        <v>0.43812563599999998</v>
      </c>
      <c r="F267">
        <v>0.30963759499999999</v>
      </c>
      <c r="G267">
        <v>0.44344361599999998</v>
      </c>
      <c r="H267">
        <v>0.81497340200000001</v>
      </c>
      <c r="I267">
        <v>0.75092904299999996</v>
      </c>
      <c r="J267">
        <v>0.55390350099999996</v>
      </c>
      <c r="K267">
        <v>2.1</v>
      </c>
      <c r="L267">
        <v>0.42962492800000002</v>
      </c>
      <c r="M267">
        <v>0.55975774599999994</v>
      </c>
      <c r="N267">
        <v>0.63338186699999999</v>
      </c>
      <c r="O267">
        <v>0.30234299999999997</v>
      </c>
      <c r="P267">
        <v>-3.6737262E-2</v>
      </c>
      <c r="Q267">
        <v>-0.248682449</v>
      </c>
      <c r="R267">
        <v>0.336621</v>
      </c>
      <c r="S267">
        <v>0.34884823199999998</v>
      </c>
      <c r="T267">
        <v>-0.108893296</v>
      </c>
      <c r="U267">
        <v>0.68380099999999999</v>
      </c>
      <c r="V267">
        <v>0.74900839399999997</v>
      </c>
      <c r="W267">
        <v>9.3168580000000008E-3</v>
      </c>
      <c r="X267">
        <v>1.5674528619999999</v>
      </c>
      <c r="Y267">
        <v>1.6011200000000001</v>
      </c>
      <c r="Z267">
        <v>3.1662157479999999</v>
      </c>
      <c r="AA267">
        <v>9.1937189999999995E-3</v>
      </c>
      <c r="AB267">
        <v>1.010436332</v>
      </c>
      <c r="AC267">
        <v>0.216738076</v>
      </c>
      <c r="AD267">
        <v>0.944427515</v>
      </c>
      <c r="AE267">
        <v>0.85615175899999996</v>
      </c>
      <c r="AF267">
        <v>0.22236426300000001</v>
      </c>
      <c r="AG267">
        <v>1.3718032529999999</v>
      </c>
      <c r="AH267">
        <v>0.93304836899999999</v>
      </c>
      <c r="AI267">
        <v>0.60303723099999995</v>
      </c>
      <c r="AJ267">
        <v>0.98083357900000001</v>
      </c>
      <c r="AK267">
        <v>0.57377049199999997</v>
      </c>
      <c r="AL267">
        <v>0.70779197299999996</v>
      </c>
      <c r="AM267">
        <v>0.75561699000000004</v>
      </c>
      <c r="AN267">
        <v>-0.13929644699999999</v>
      </c>
      <c r="AO267">
        <v>4.0528552000000002E-2</v>
      </c>
      <c r="AP267">
        <v>0.46063853700000001</v>
      </c>
      <c r="AQ267">
        <v>2.3190514999999998E-2</v>
      </c>
      <c r="AR267">
        <v>0.44785307000000002</v>
      </c>
      <c r="AS267">
        <v>1.4659761549999999</v>
      </c>
      <c r="AT267">
        <v>0.79165341099999997</v>
      </c>
      <c r="AU267">
        <v>0.474459609</v>
      </c>
    </row>
    <row r="268" spans="1:47" x14ac:dyDescent="0.2">
      <c r="A268" t="s">
        <v>332</v>
      </c>
      <c r="B268" s="74">
        <v>41640</v>
      </c>
      <c r="C268">
        <v>-0.95094292700000005</v>
      </c>
      <c r="D268">
        <v>0.81226106600000003</v>
      </c>
      <c r="E268">
        <v>0.43631692500000002</v>
      </c>
      <c r="F268">
        <v>0.21836011599999999</v>
      </c>
      <c r="G268">
        <v>0.12833346300000001</v>
      </c>
      <c r="H268">
        <v>1.050559545</v>
      </c>
      <c r="I268">
        <v>0.20555256999999999</v>
      </c>
      <c r="J268">
        <v>0.424300703</v>
      </c>
      <c r="K268">
        <v>1.6</v>
      </c>
      <c r="L268">
        <v>1.2076664210000001</v>
      </c>
      <c r="M268">
        <v>0.28863740900000001</v>
      </c>
      <c r="N268">
        <v>0.201104009</v>
      </c>
      <c r="O268">
        <v>0.284611</v>
      </c>
      <c r="P268">
        <v>0.166160366</v>
      </c>
      <c r="Q268">
        <v>-4.9912669999999999E-2</v>
      </c>
      <c r="R268">
        <v>0.33515899999999998</v>
      </c>
      <c r="S268">
        <v>-0.17948572600000001</v>
      </c>
      <c r="T268">
        <v>0.66595706799999999</v>
      </c>
      <c r="U268">
        <v>0.49357699999999999</v>
      </c>
      <c r="V268">
        <v>0.64272765600000004</v>
      </c>
      <c r="W268">
        <v>0.63358375600000005</v>
      </c>
      <c r="X268">
        <v>0.87314967300000002</v>
      </c>
      <c r="Y268">
        <v>2.20112</v>
      </c>
      <c r="Z268">
        <v>-1.2225868150000001</v>
      </c>
      <c r="AA268">
        <v>3.2014879070000002</v>
      </c>
      <c r="AB268">
        <v>0.75089405399999998</v>
      </c>
      <c r="AC268">
        <v>-0.20437999500000001</v>
      </c>
      <c r="AD268">
        <v>-0.121555893</v>
      </c>
      <c r="AE268">
        <v>0.87491575300000002</v>
      </c>
      <c r="AF268">
        <v>-0.94938979000000001</v>
      </c>
      <c r="AG268">
        <v>0.86340260700000004</v>
      </c>
      <c r="AH268">
        <v>0.55846097299999997</v>
      </c>
      <c r="AI268">
        <v>0.63473019200000003</v>
      </c>
      <c r="AJ268">
        <v>-0.17725463599999999</v>
      </c>
      <c r="AK268">
        <v>0.24070809900000001</v>
      </c>
      <c r="AL268">
        <v>0.49727864100000002</v>
      </c>
      <c r="AM268">
        <v>0.26459448200000002</v>
      </c>
      <c r="AN268">
        <v>1.0949673310000001</v>
      </c>
      <c r="AO268">
        <v>0.57735481700000002</v>
      </c>
      <c r="AP268">
        <v>0.578969022</v>
      </c>
      <c r="AQ268">
        <v>1.9343945979999999</v>
      </c>
      <c r="AR268">
        <v>0.70645933299999997</v>
      </c>
      <c r="AS268">
        <v>0.19382951800000001</v>
      </c>
      <c r="AT268">
        <v>0.71117100200000005</v>
      </c>
      <c r="AU268">
        <v>0.53835203600000003</v>
      </c>
    </row>
    <row r="269" spans="1:47" x14ac:dyDescent="0.2">
      <c r="A269" t="s">
        <v>333</v>
      </c>
      <c r="B269" s="74">
        <v>41730</v>
      </c>
      <c r="C269">
        <v>-1.4919004410000001</v>
      </c>
      <c r="D269">
        <v>0.77007952099999999</v>
      </c>
      <c r="E269">
        <v>-0.188151121</v>
      </c>
      <c r="F269">
        <v>0.429826386</v>
      </c>
      <c r="G269">
        <v>0.87579861299999995</v>
      </c>
      <c r="H269">
        <v>0.163447761</v>
      </c>
      <c r="I269">
        <v>0.51457693500000001</v>
      </c>
      <c r="J269">
        <v>0.39247516199999999</v>
      </c>
      <c r="K269">
        <v>1.8</v>
      </c>
      <c r="L269">
        <v>-0.54767266699999995</v>
      </c>
      <c r="M269">
        <v>0.973900086</v>
      </c>
      <c r="N269">
        <v>0.25325559199999997</v>
      </c>
      <c r="O269">
        <v>0.411298</v>
      </c>
      <c r="P269">
        <v>0.36728831200000001</v>
      </c>
      <c r="Q269">
        <v>1.6416120059999999</v>
      </c>
      <c r="R269">
        <v>0.43325900000000001</v>
      </c>
      <c r="S269">
        <v>-0.772230003</v>
      </c>
      <c r="T269">
        <v>7.7776920000000001E-3</v>
      </c>
      <c r="U269">
        <v>0.140902</v>
      </c>
      <c r="V269">
        <v>0.93721318600000003</v>
      </c>
      <c r="W269">
        <v>-3.0729065999999999E-2</v>
      </c>
      <c r="X269">
        <v>0.77927555900000001</v>
      </c>
      <c r="Y269">
        <v>1.1590199999999999</v>
      </c>
      <c r="Z269">
        <v>3.8078778089999998</v>
      </c>
      <c r="AA269">
        <v>-2.5874542119999999</v>
      </c>
      <c r="AB269">
        <v>1.097096734</v>
      </c>
      <c r="AC269">
        <v>0.17137200699999999</v>
      </c>
      <c r="AD269">
        <v>0.83921289499999996</v>
      </c>
      <c r="AE269">
        <v>0.85697468899999996</v>
      </c>
      <c r="AF269">
        <v>2.1341928939999999</v>
      </c>
      <c r="AG269">
        <v>-3.0267763E-2</v>
      </c>
      <c r="AH269">
        <v>0.69040215900000002</v>
      </c>
      <c r="AI269">
        <v>-9.4817586999999995E-2</v>
      </c>
      <c r="AJ269">
        <v>0.52087019999999995</v>
      </c>
      <c r="AK269">
        <v>1.4993949479999999</v>
      </c>
      <c r="AL269">
        <v>0.36507315600000001</v>
      </c>
      <c r="AM269">
        <v>1.032811897</v>
      </c>
      <c r="AN269">
        <v>-0.64183926700000005</v>
      </c>
      <c r="AO269">
        <v>-7.460833E-3</v>
      </c>
      <c r="AP269">
        <v>0.61739271600000001</v>
      </c>
      <c r="AQ269">
        <v>7.6706057999999994E-2</v>
      </c>
      <c r="AR269">
        <v>0.82923213500000004</v>
      </c>
      <c r="AS269">
        <v>2.901075638</v>
      </c>
      <c r="AT269">
        <v>-0.35010973699999998</v>
      </c>
      <c r="AU269">
        <v>-0.13793565199999999</v>
      </c>
    </row>
    <row r="270" spans="1:47" x14ac:dyDescent="0.2">
      <c r="A270" t="s">
        <v>334</v>
      </c>
      <c r="B270" s="74">
        <v>41821</v>
      </c>
      <c r="C270">
        <v>-0.60265458500000002</v>
      </c>
      <c r="D270">
        <v>0.43956492400000002</v>
      </c>
      <c r="E270">
        <v>0.504935625</v>
      </c>
      <c r="F270">
        <v>0.26527291600000003</v>
      </c>
      <c r="G270">
        <v>-1.5049985880000001</v>
      </c>
      <c r="H270">
        <v>0.913329104</v>
      </c>
      <c r="I270">
        <v>0.81793059999999995</v>
      </c>
      <c r="J270">
        <v>0.64029096299999999</v>
      </c>
      <c r="K270">
        <v>1.8</v>
      </c>
      <c r="L270">
        <v>0.93476293799999999</v>
      </c>
      <c r="M270">
        <v>0</v>
      </c>
      <c r="N270">
        <v>-7.2441775E-2</v>
      </c>
      <c r="O270">
        <v>0.19892599999999999</v>
      </c>
      <c r="P270">
        <v>0.47133307099999999</v>
      </c>
      <c r="Q270">
        <v>0.408103781</v>
      </c>
      <c r="R270">
        <v>0.26822400000000002</v>
      </c>
      <c r="S270">
        <v>0.16213329300000001</v>
      </c>
      <c r="T270">
        <v>9.0229126000000007E-2</v>
      </c>
      <c r="U270">
        <v>0.47033199999999997</v>
      </c>
      <c r="V270">
        <v>0.87423441899999998</v>
      </c>
      <c r="W270">
        <v>-0.254363377</v>
      </c>
      <c r="X270">
        <v>1.3217273730000001</v>
      </c>
      <c r="Y270">
        <v>2.2896700000000001</v>
      </c>
      <c r="Z270">
        <v>3.1203623569999999</v>
      </c>
      <c r="AA270">
        <v>-0.15265915999999999</v>
      </c>
      <c r="AB270">
        <v>0.75090515999999996</v>
      </c>
      <c r="AC270">
        <v>-4.7938067000000001E-2</v>
      </c>
      <c r="AD270">
        <v>-1.8178250739999999</v>
      </c>
      <c r="AE270">
        <v>0.87785840999999998</v>
      </c>
      <c r="AF270">
        <v>-1.3385434970000001</v>
      </c>
      <c r="AG270">
        <v>0.51616976599999997</v>
      </c>
      <c r="AH270">
        <v>1.2603529499999999</v>
      </c>
      <c r="AI270">
        <v>0.58547979800000005</v>
      </c>
      <c r="AJ270">
        <v>0.73901314399999996</v>
      </c>
      <c r="AK270">
        <v>0.51601125199999998</v>
      </c>
      <c r="AL270">
        <v>0.47533712700000003</v>
      </c>
      <c r="AM270">
        <v>1.139115192</v>
      </c>
      <c r="AN270">
        <v>0.33271702800000003</v>
      </c>
      <c r="AO270">
        <v>0.48161520000000002</v>
      </c>
      <c r="AP270">
        <v>0.76353094700000002</v>
      </c>
      <c r="AQ270">
        <v>0.86243398400000004</v>
      </c>
      <c r="AR270">
        <v>0.82241242699999995</v>
      </c>
      <c r="AS270">
        <v>-1.62240622</v>
      </c>
      <c r="AT270">
        <v>1.2841289069999999</v>
      </c>
      <c r="AU270">
        <v>0.394667298</v>
      </c>
    </row>
    <row r="271" spans="1:47" x14ac:dyDescent="0.2">
      <c r="A271" t="s">
        <v>335</v>
      </c>
      <c r="B271" s="74">
        <v>41913</v>
      </c>
      <c r="C271">
        <v>-0.86131206900000001</v>
      </c>
      <c r="D271">
        <v>0.46720850800000002</v>
      </c>
      <c r="E271">
        <v>4.7311311000000002E-2</v>
      </c>
      <c r="F271">
        <v>0.69044200099999997</v>
      </c>
      <c r="G271">
        <v>-2.8814091E-2</v>
      </c>
      <c r="H271">
        <v>0.95905130800000005</v>
      </c>
      <c r="I271">
        <v>0.58185708000000003</v>
      </c>
      <c r="J271">
        <v>-0.468405089</v>
      </c>
      <c r="K271">
        <v>1.8</v>
      </c>
      <c r="L271">
        <v>1.1888070820000001</v>
      </c>
      <c r="M271">
        <v>0.50895373600000005</v>
      </c>
      <c r="N271">
        <v>1.673875429</v>
      </c>
      <c r="O271">
        <v>0.48802099999999998</v>
      </c>
      <c r="P271">
        <v>0.73426099700000003</v>
      </c>
      <c r="Q271">
        <v>1.3404195779999999</v>
      </c>
      <c r="R271">
        <v>0.55835500000000005</v>
      </c>
      <c r="S271">
        <v>0.38658566799999999</v>
      </c>
      <c r="T271">
        <v>0.56494227500000005</v>
      </c>
      <c r="U271">
        <v>0.78923600000000005</v>
      </c>
      <c r="V271">
        <v>0.75964094800000004</v>
      </c>
      <c r="W271">
        <v>1.068551037</v>
      </c>
      <c r="X271">
        <v>0.95396252199999998</v>
      </c>
      <c r="Y271">
        <v>1.82579</v>
      </c>
      <c r="Z271">
        <v>1.8151413430000001</v>
      </c>
      <c r="AA271">
        <v>3.6981990890000001</v>
      </c>
      <c r="AB271">
        <v>0.91252185900000005</v>
      </c>
      <c r="AC271">
        <v>0.13806750300000001</v>
      </c>
      <c r="AD271">
        <v>7.1806301000000003E-2</v>
      </c>
      <c r="AE271">
        <v>0.31131726599999998</v>
      </c>
      <c r="AF271">
        <v>1.9976159060000001</v>
      </c>
      <c r="AG271">
        <v>0.43966154400000002</v>
      </c>
      <c r="AH271">
        <v>0.36558553799999999</v>
      </c>
      <c r="AI271">
        <v>0.24999317099999999</v>
      </c>
      <c r="AJ271">
        <v>0.42036606100000001</v>
      </c>
      <c r="AK271">
        <v>1.2695059120000001</v>
      </c>
      <c r="AL271">
        <v>0.78825821200000001</v>
      </c>
      <c r="AM271">
        <v>0.83409964400000003</v>
      </c>
      <c r="AN271">
        <v>9.4687166000000003E-2</v>
      </c>
      <c r="AO271">
        <v>-0.318118911</v>
      </c>
      <c r="AP271">
        <v>0.96461537100000005</v>
      </c>
      <c r="AQ271">
        <v>0.60448887500000004</v>
      </c>
      <c r="AR271">
        <v>0.70998365699999999</v>
      </c>
      <c r="AS271">
        <v>2.4581843989999999</v>
      </c>
      <c r="AT271">
        <v>1.1649616439999999</v>
      </c>
      <c r="AU271">
        <v>0.48057925200000001</v>
      </c>
    </row>
    <row r="272" spans="1:47" x14ac:dyDescent="0.2">
      <c r="A272" t="s">
        <v>336</v>
      </c>
      <c r="B272" s="74">
        <v>42005</v>
      </c>
      <c r="C272">
        <v>0.56610252500000002</v>
      </c>
      <c r="D272">
        <v>0.37854365200000001</v>
      </c>
      <c r="E272">
        <v>0.12188317999999999</v>
      </c>
      <c r="F272">
        <v>0.52258341799999997</v>
      </c>
      <c r="G272">
        <v>0.51088226800000003</v>
      </c>
      <c r="H272">
        <v>0.69197566799999999</v>
      </c>
      <c r="I272">
        <v>0.65186951000000004</v>
      </c>
      <c r="J272">
        <v>1.1638496469999999</v>
      </c>
      <c r="K272">
        <v>1.8</v>
      </c>
      <c r="L272">
        <v>1.146457887</v>
      </c>
      <c r="M272">
        <v>0.81021447099999999</v>
      </c>
      <c r="N272">
        <v>0.35869336200000002</v>
      </c>
      <c r="O272">
        <v>0.36652000000000001</v>
      </c>
      <c r="P272">
        <v>0.85916726899999996</v>
      </c>
      <c r="Q272">
        <v>1.497654713</v>
      </c>
      <c r="R272">
        <v>0.421788</v>
      </c>
      <c r="S272">
        <v>-0.23902568599999999</v>
      </c>
      <c r="T272">
        <v>-3.4314966000000002E-2</v>
      </c>
      <c r="U272">
        <v>0.429178</v>
      </c>
      <c r="V272">
        <v>0.65065962499999996</v>
      </c>
      <c r="W272">
        <v>-1.0527102930000001</v>
      </c>
      <c r="X272">
        <v>0.56118003100000002</v>
      </c>
      <c r="Y272">
        <v>1.5339400000000001</v>
      </c>
      <c r="Z272">
        <v>-0.326633538</v>
      </c>
      <c r="AA272">
        <v>-0.51990121199999995</v>
      </c>
      <c r="AB272">
        <v>1.4472799780000001</v>
      </c>
      <c r="AC272">
        <v>-0.35990453100000003</v>
      </c>
      <c r="AD272">
        <v>0.467089425</v>
      </c>
      <c r="AE272">
        <v>0.49063874800000001</v>
      </c>
      <c r="AF272">
        <v>2.5565277260000001</v>
      </c>
      <c r="AG272">
        <v>0.51925278200000002</v>
      </c>
      <c r="AH272">
        <v>1.0442878920000001</v>
      </c>
      <c r="AI272">
        <v>0.89567438200000005</v>
      </c>
      <c r="AJ272">
        <v>1.2224554480000001</v>
      </c>
      <c r="AK272">
        <v>1.621433669</v>
      </c>
      <c r="AL272">
        <v>0.54355715900000001</v>
      </c>
      <c r="AM272">
        <v>0.65556957599999999</v>
      </c>
      <c r="AN272">
        <v>0.80896891900000001</v>
      </c>
      <c r="AO272">
        <v>-0.23528992500000001</v>
      </c>
      <c r="AP272">
        <v>1.1045932060000001</v>
      </c>
      <c r="AQ272">
        <v>0.12782438300000001</v>
      </c>
      <c r="AR272">
        <v>0.77865706999999995</v>
      </c>
      <c r="AS272">
        <v>1.3475593850000001</v>
      </c>
      <c r="AT272">
        <v>0.44899340199999999</v>
      </c>
      <c r="AU272">
        <v>0.74877564299999999</v>
      </c>
    </row>
    <row r="273" spans="1:47" x14ac:dyDescent="0.2">
      <c r="A273" t="s">
        <v>337</v>
      </c>
      <c r="B273" s="74">
        <v>42095</v>
      </c>
      <c r="C273">
        <v>1.475333314</v>
      </c>
      <c r="D273">
        <v>0.93574031099999999</v>
      </c>
      <c r="E273">
        <v>0.23143016599999999</v>
      </c>
      <c r="F273">
        <v>0.519866681</v>
      </c>
      <c r="G273">
        <v>-0.79701102499999998</v>
      </c>
      <c r="H273">
        <v>-0.54951940799999999</v>
      </c>
      <c r="I273">
        <v>-0.180298606</v>
      </c>
      <c r="J273">
        <v>0.775513075</v>
      </c>
      <c r="K273">
        <v>1.7</v>
      </c>
      <c r="L273">
        <v>1.894335015</v>
      </c>
      <c r="M273">
        <v>-0.51232340700000001</v>
      </c>
      <c r="N273">
        <v>0.684680081</v>
      </c>
      <c r="O273">
        <v>0.62446699999999999</v>
      </c>
      <c r="P273">
        <v>1.1474810280000001</v>
      </c>
      <c r="Q273">
        <v>-1.3968125389999999</v>
      </c>
      <c r="R273">
        <v>0.70910200000000001</v>
      </c>
      <c r="S273">
        <v>-0.77774397200000001</v>
      </c>
      <c r="T273">
        <v>0.527986862</v>
      </c>
      <c r="U273">
        <v>0.639208</v>
      </c>
      <c r="V273">
        <v>0.41269648599999997</v>
      </c>
      <c r="W273">
        <v>0.56766329599999998</v>
      </c>
      <c r="X273">
        <v>1.6609492239999999</v>
      </c>
      <c r="Y273">
        <v>1.6842600000000001</v>
      </c>
      <c r="Z273">
        <v>21.018325974</v>
      </c>
      <c r="AA273">
        <v>-1.449360201</v>
      </c>
      <c r="AB273">
        <v>0.14630109099999999</v>
      </c>
      <c r="AC273">
        <v>0.354522324</v>
      </c>
      <c r="AD273">
        <v>1.568034905</v>
      </c>
      <c r="AE273">
        <v>0.77536404000000003</v>
      </c>
      <c r="AF273">
        <v>-0.61984723100000005</v>
      </c>
      <c r="AG273">
        <v>1.53140188</v>
      </c>
      <c r="AH273">
        <v>0.54624559399999995</v>
      </c>
      <c r="AI273">
        <v>0.59541208000000001</v>
      </c>
      <c r="AJ273">
        <v>-0.25669085800000002</v>
      </c>
      <c r="AK273">
        <v>0.32055322400000003</v>
      </c>
      <c r="AL273">
        <v>0.80640534699999999</v>
      </c>
      <c r="AM273">
        <v>1.4163281750000001</v>
      </c>
      <c r="AN273">
        <v>0.64483628199999998</v>
      </c>
      <c r="AO273">
        <v>-1.0172225079999999</v>
      </c>
      <c r="AP273">
        <v>1.9267538209999999</v>
      </c>
      <c r="AQ273">
        <v>0.47389171200000002</v>
      </c>
      <c r="AR273">
        <v>1.4067631249999999</v>
      </c>
      <c r="AS273">
        <v>1.890749754</v>
      </c>
      <c r="AT273">
        <v>0.81331362600000001</v>
      </c>
      <c r="AU273">
        <v>0.72235292600000001</v>
      </c>
    </row>
    <row r="274" spans="1:47" x14ac:dyDescent="0.2">
      <c r="A274" t="s">
        <v>338</v>
      </c>
      <c r="B274" s="74">
        <v>42186</v>
      </c>
      <c r="C274">
        <v>2.2644161189999998</v>
      </c>
      <c r="D274">
        <v>8.0710787000000006E-2</v>
      </c>
      <c r="E274">
        <v>0.14933181600000001</v>
      </c>
      <c r="F274">
        <v>0.671848114</v>
      </c>
      <c r="G274">
        <v>-2.377950792</v>
      </c>
      <c r="H274">
        <v>-0.27217208300000001</v>
      </c>
      <c r="I274">
        <v>0.45914007699999998</v>
      </c>
      <c r="J274">
        <v>0.78258868199999998</v>
      </c>
      <c r="K274">
        <v>2</v>
      </c>
      <c r="L274">
        <v>1.3580441350000001</v>
      </c>
      <c r="M274">
        <v>0.73714628999999998</v>
      </c>
      <c r="N274">
        <v>0.46777307499999998</v>
      </c>
      <c r="O274">
        <v>0.465779</v>
      </c>
      <c r="P274">
        <v>1.079096045</v>
      </c>
      <c r="Q274">
        <v>1.972404388</v>
      </c>
      <c r="R274">
        <v>0.49061700000000003</v>
      </c>
      <c r="S274">
        <v>1.5216849690000001</v>
      </c>
      <c r="T274">
        <v>0.119328222</v>
      </c>
      <c r="U274">
        <v>0.45278400000000002</v>
      </c>
      <c r="V274">
        <v>0.63287807399999996</v>
      </c>
      <c r="W274">
        <v>-5.9579470000000002E-2</v>
      </c>
      <c r="X274">
        <v>0.115358722</v>
      </c>
      <c r="Y274">
        <v>2.1417099999999998</v>
      </c>
      <c r="Z274">
        <v>-2.5593852539999999</v>
      </c>
      <c r="AA274">
        <v>5.9005969690000004</v>
      </c>
      <c r="AB274">
        <v>8.9049244E-2</v>
      </c>
      <c r="AC274">
        <v>0.38350088399999999</v>
      </c>
      <c r="AD274">
        <v>0.136060825</v>
      </c>
      <c r="AE274">
        <v>0.483265163</v>
      </c>
      <c r="AF274">
        <v>0.59600705099999995</v>
      </c>
      <c r="AG274">
        <v>1.471642957</v>
      </c>
      <c r="AH274">
        <v>1.159719253</v>
      </c>
      <c r="AI274">
        <v>0.30808108099999998</v>
      </c>
      <c r="AJ274">
        <v>0.53003701599999997</v>
      </c>
      <c r="AK274">
        <v>0.73060836200000001</v>
      </c>
      <c r="AL274">
        <v>0.547534984</v>
      </c>
      <c r="AM274">
        <v>0.78802928800000005</v>
      </c>
      <c r="AN274">
        <v>0.29763900999999998</v>
      </c>
      <c r="AO274">
        <v>-0.66980761700000002</v>
      </c>
      <c r="AP274">
        <v>1.2457841949999999</v>
      </c>
      <c r="AQ274">
        <v>0.69603362800000002</v>
      </c>
      <c r="AR274">
        <v>1.006912458</v>
      </c>
      <c r="AS274">
        <v>1.5237694049999999</v>
      </c>
      <c r="AT274">
        <v>0.58000143199999998</v>
      </c>
      <c r="AU274">
        <v>-0.84426337100000004</v>
      </c>
    </row>
    <row r="275" spans="1:47" x14ac:dyDescent="0.2">
      <c r="A275" t="s">
        <v>339</v>
      </c>
      <c r="B275" s="74">
        <v>42278</v>
      </c>
      <c r="C275">
        <v>-1.3219312E-2</v>
      </c>
      <c r="D275">
        <v>1.024909329</v>
      </c>
      <c r="E275">
        <v>0.70167121300000002</v>
      </c>
      <c r="F275">
        <v>0.19108708399999999</v>
      </c>
      <c r="G275">
        <v>-1.5876823</v>
      </c>
      <c r="H275">
        <v>0.35370182900000002</v>
      </c>
      <c r="I275">
        <v>0.623565547</v>
      </c>
      <c r="J275">
        <v>-0.44103132900000003</v>
      </c>
      <c r="K275">
        <v>1.7</v>
      </c>
      <c r="L275">
        <v>1.210334064</v>
      </c>
      <c r="M275">
        <v>0.45108163299999998</v>
      </c>
      <c r="N275">
        <v>0.30165290099999997</v>
      </c>
      <c r="O275">
        <v>0.42676999999999998</v>
      </c>
      <c r="P275">
        <v>0.905855831</v>
      </c>
      <c r="Q275">
        <v>0.74479400799999995</v>
      </c>
      <c r="R275">
        <v>0.52978800000000004</v>
      </c>
      <c r="S275">
        <v>-9.4387710000000003E-3</v>
      </c>
      <c r="T275">
        <v>0.21945914</v>
      </c>
      <c r="U275">
        <v>0.29521700000000001</v>
      </c>
      <c r="V275">
        <v>0.43089000900000002</v>
      </c>
      <c r="W275">
        <v>-1.878887142</v>
      </c>
      <c r="X275">
        <v>0.75027459299999999</v>
      </c>
      <c r="Y275">
        <v>1.84623</v>
      </c>
      <c r="Z275">
        <v>3.5978299919999999</v>
      </c>
      <c r="AA275">
        <v>-0.27917658899999998</v>
      </c>
      <c r="AB275">
        <v>0.29928332400000002</v>
      </c>
      <c r="AC275">
        <v>0.17510073800000001</v>
      </c>
      <c r="AD275">
        <v>8.0217713999999996E-2</v>
      </c>
      <c r="AE275">
        <v>1.4429687099999999</v>
      </c>
      <c r="AF275">
        <v>-0.51027725800000001</v>
      </c>
      <c r="AG275">
        <v>0.70765442999999995</v>
      </c>
      <c r="AH275">
        <v>1.3267358229999999</v>
      </c>
      <c r="AI275">
        <v>0.34429598700000003</v>
      </c>
      <c r="AJ275">
        <v>1.1717812379999999</v>
      </c>
      <c r="AK275">
        <v>1.060341448</v>
      </c>
      <c r="AL275">
        <v>0.51618476000000002</v>
      </c>
      <c r="AM275">
        <v>1.2619336000000001</v>
      </c>
      <c r="AN275">
        <v>0.113767651</v>
      </c>
      <c r="AO275">
        <v>0.19352587500000001</v>
      </c>
      <c r="AP275">
        <v>1.151269892</v>
      </c>
      <c r="AQ275">
        <v>0.63941998099999997</v>
      </c>
      <c r="AR275">
        <v>1.3663967189999999</v>
      </c>
      <c r="AS275">
        <v>1.401513902</v>
      </c>
      <c r="AT275">
        <v>0.323372673</v>
      </c>
      <c r="AU275">
        <v>0.45042400900000001</v>
      </c>
    </row>
    <row r="276" spans="1:47" x14ac:dyDescent="0.2">
      <c r="A276" t="s">
        <v>340</v>
      </c>
      <c r="B276" s="74">
        <v>42370</v>
      </c>
      <c r="C276">
        <v>-1.135181762</v>
      </c>
      <c r="D276">
        <v>0.62875150999999996</v>
      </c>
      <c r="E276">
        <v>0.154394806</v>
      </c>
      <c r="F276">
        <v>0.41690626800000002</v>
      </c>
      <c r="G276">
        <v>-0.79379515899999997</v>
      </c>
      <c r="H276">
        <v>7.4877375999999995E-2</v>
      </c>
      <c r="I276">
        <v>0.47287454499999998</v>
      </c>
      <c r="J276">
        <v>0.77468462800000004</v>
      </c>
      <c r="K276">
        <v>1.6</v>
      </c>
      <c r="L276">
        <v>0.59351304000000005</v>
      </c>
      <c r="M276">
        <v>0.43907996199999999</v>
      </c>
      <c r="N276">
        <v>0.22282512400000001</v>
      </c>
      <c r="O276">
        <v>0.460926</v>
      </c>
      <c r="P276">
        <v>0.97305720900000003</v>
      </c>
      <c r="Q276">
        <v>-0.185255431</v>
      </c>
      <c r="R276">
        <v>0.50934299999999999</v>
      </c>
      <c r="S276">
        <v>0.56071590400000004</v>
      </c>
      <c r="T276">
        <v>0.19905973499999999</v>
      </c>
      <c r="U276">
        <v>0.20114299999999999</v>
      </c>
      <c r="V276">
        <v>0.73866869899999998</v>
      </c>
      <c r="W276">
        <v>1.796932526</v>
      </c>
      <c r="X276">
        <v>1.035206791</v>
      </c>
      <c r="Y276">
        <v>2.0325899999999999</v>
      </c>
      <c r="Z276">
        <v>1.009425249</v>
      </c>
      <c r="AA276">
        <v>0.94720555100000003</v>
      </c>
      <c r="AB276">
        <v>1.0401797880000001</v>
      </c>
      <c r="AC276">
        <v>0.51638497699999997</v>
      </c>
      <c r="AD276">
        <v>-0.16468761200000001</v>
      </c>
      <c r="AE276">
        <v>0.70394753200000004</v>
      </c>
      <c r="AF276">
        <v>0.62476189299999996</v>
      </c>
      <c r="AG276">
        <v>-0.147391728</v>
      </c>
      <c r="AH276">
        <v>-0.34096141299999999</v>
      </c>
      <c r="AI276">
        <v>1.6409277999999999E-2</v>
      </c>
      <c r="AJ276">
        <v>-0.87806542799999998</v>
      </c>
      <c r="AK276">
        <v>1.0492161739999999</v>
      </c>
      <c r="AL276">
        <v>0.31155408000000001</v>
      </c>
      <c r="AM276">
        <v>1.2467160829999999</v>
      </c>
      <c r="AN276">
        <v>0.47925993700000002</v>
      </c>
      <c r="AO276">
        <v>-0.25779131700000002</v>
      </c>
      <c r="AP276">
        <v>0.72045157599999998</v>
      </c>
      <c r="AQ276">
        <v>0.14268025100000001</v>
      </c>
      <c r="AR276">
        <v>0.73136363400000004</v>
      </c>
      <c r="AS276">
        <v>1.166866867</v>
      </c>
      <c r="AT276">
        <v>0.14623434699999999</v>
      </c>
      <c r="AU276">
        <v>0.433466201</v>
      </c>
    </row>
    <row r="277" spans="1:47" x14ac:dyDescent="0.2">
      <c r="A277" t="s">
        <v>341</v>
      </c>
      <c r="B277" s="74">
        <v>42461</v>
      </c>
      <c r="C277">
        <v>-0.87816926900000003</v>
      </c>
      <c r="D277">
        <v>0.88787185400000002</v>
      </c>
      <c r="E277">
        <v>0.73191644300000003</v>
      </c>
      <c r="F277">
        <v>5.7265569000000002E-2</v>
      </c>
      <c r="G277">
        <v>-1.5136321239999999</v>
      </c>
      <c r="H277">
        <v>0.54850083999999999</v>
      </c>
      <c r="I277">
        <v>0.39057919899999999</v>
      </c>
      <c r="J277">
        <v>1.359883564</v>
      </c>
      <c r="K277">
        <v>1.4</v>
      </c>
      <c r="L277">
        <v>0.157393173</v>
      </c>
      <c r="M277">
        <v>0.839568541</v>
      </c>
      <c r="N277">
        <v>1.152059046</v>
      </c>
      <c r="O277">
        <v>0.54683999999999999</v>
      </c>
      <c r="P277">
        <v>0.68024474199999996</v>
      </c>
      <c r="Q277">
        <v>1.623618368</v>
      </c>
      <c r="R277">
        <v>0.51658099999999996</v>
      </c>
      <c r="S277">
        <v>1.233455365</v>
      </c>
      <c r="T277">
        <v>0.62652693500000001</v>
      </c>
      <c r="U277">
        <v>0.61057499999999998</v>
      </c>
      <c r="V277">
        <v>0.365381448</v>
      </c>
      <c r="W277">
        <v>-0.95891501099999998</v>
      </c>
      <c r="X277">
        <v>-0.53080027299999999</v>
      </c>
      <c r="Y277">
        <v>2.9025300000000001</v>
      </c>
      <c r="Z277">
        <v>-3.5287189130000001</v>
      </c>
      <c r="AA277">
        <v>-2.656924295</v>
      </c>
      <c r="AB277">
        <v>0.849768933</v>
      </c>
      <c r="AC277">
        <v>0.37799029899999997</v>
      </c>
      <c r="AD277">
        <v>0.75841851100000002</v>
      </c>
      <c r="AE277">
        <v>0.28595575299999998</v>
      </c>
      <c r="AF277">
        <v>3.0608010280000002</v>
      </c>
      <c r="AG277">
        <v>1.873145587</v>
      </c>
      <c r="AH277">
        <v>0.57770581600000004</v>
      </c>
      <c r="AI277">
        <v>0.91887288300000003</v>
      </c>
      <c r="AJ277">
        <v>0.13370781000000001</v>
      </c>
      <c r="AK277">
        <v>1.1622225319999999</v>
      </c>
      <c r="AL277">
        <v>0.54685532800000003</v>
      </c>
      <c r="AM277">
        <v>-0.30011750399999998</v>
      </c>
      <c r="AN277">
        <v>0.46678752499999998</v>
      </c>
      <c r="AO277">
        <v>0.19005752400000001</v>
      </c>
      <c r="AP277">
        <v>-2.3316626E-2</v>
      </c>
      <c r="AQ277">
        <v>1.0068000070000001</v>
      </c>
      <c r="AR277">
        <v>-3.7864170000000003E-2</v>
      </c>
      <c r="AS277">
        <v>0.36153796799999999</v>
      </c>
      <c r="AT277">
        <v>0.58917986899999997</v>
      </c>
      <c r="AU277">
        <v>0.238864308</v>
      </c>
    </row>
    <row r="278" spans="1:47" x14ac:dyDescent="0.2">
      <c r="A278" t="s">
        <v>342</v>
      </c>
      <c r="B278" s="74">
        <v>42552</v>
      </c>
      <c r="C278">
        <v>-1.669931611</v>
      </c>
      <c r="D278">
        <v>0.60506692200000001</v>
      </c>
      <c r="E278">
        <v>0.35703047199999999</v>
      </c>
      <c r="F278">
        <v>0.54943482600000004</v>
      </c>
      <c r="G278">
        <v>0.37017136099999998</v>
      </c>
      <c r="H278">
        <v>-0.49171172400000002</v>
      </c>
      <c r="I278">
        <v>0.66812667999999997</v>
      </c>
      <c r="J278">
        <v>-0.69985956199999999</v>
      </c>
      <c r="K278">
        <v>1.9</v>
      </c>
      <c r="L278">
        <v>0.33140235200000001</v>
      </c>
      <c r="M278">
        <v>0.44339266900000002</v>
      </c>
      <c r="N278">
        <v>1.352637774</v>
      </c>
      <c r="O278">
        <v>0.229099</v>
      </c>
      <c r="P278">
        <v>0.414833758</v>
      </c>
      <c r="Q278">
        <v>-0.17836627899999999</v>
      </c>
      <c r="R278">
        <v>0.30379200000000001</v>
      </c>
      <c r="S278">
        <v>0.15578057200000001</v>
      </c>
      <c r="T278">
        <v>-0.29456457899999999</v>
      </c>
      <c r="U278">
        <v>0.19109300000000001</v>
      </c>
      <c r="V278">
        <v>0.62945762500000002</v>
      </c>
      <c r="W278">
        <v>-0.24126367200000001</v>
      </c>
      <c r="X278">
        <v>1.3398874169999999</v>
      </c>
      <c r="Y278">
        <v>1.78108</v>
      </c>
      <c r="Z278">
        <v>1.403815995</v>
      </c>
      <c r="AA278">
        <v>6.6376517220000002</v>
      </c>
      <c r="AB278">
        <v>2.2166304750000001</v>
      </c>
      <c r="AC278">
        <v>0.160116386</v>
      </c>
      <c r="AD278">
        <v>-0.14550421499999999</v>
      </c>
      <c r="AE278">
        <v>1.2064653649999999</v>
      </c>
      <c r="AF278">
        <v>1.3808981339999999</v>
      </c>
      <c r="AG278">
        <v>-0.90630523399999996</v>
      </c>
      <c r="AH278">
        <v>0.41866688200000002</v>
      </c>
      <c r="AI278">
        <v>0.23547739600000001</v>
      </c>
      <c r="AJ278">
        <v>-3.1674933000000002E-2</v>
      </c>
      <c r="AK278">
        <v>0.95739175399999998</v>
      </c>
      <c r="AL278">
        <v>0.36253018100000001</v>
      </c>
      <c r="AM278">
        <v>1.3159584479999999</v>
      </c>
      <c r="AN278">
        <v>0.29956189700000002</v>
      </c>
      <c r="AO278">
        <v>5.3848740999999999E-2</v>
      </c>
      <c r="AP278">
        <v>0.246674963</v>
      </c>
      <c r="AQ278">
        <v>1.3221573719999999</v>
      </c>
      <c r="AR278">
        <v>4.6376896000000001E-2</v>
      </c>
      <c r="AS278">
        <v>1.4308864020000001</v>
      </c>
      <c r="AT278">
        <v>0.30238880699999998</v>
      </c>
      <c r="AU278">
        <v>9.6214305E-2</v>
      </c>
    </row>
    <row r="279" spans="1:47" x14ac:dyDescent="0.2">
      <c r="A279" t="s">
        <v>343</v>
      </c>
      <c r="B279" s="74">
        <v>42644</v>
      </c>
      <c r="C279">
        <v>0.41358195800000003</v>
      </c>
      <c r="D279">
        <v>0.119598475</v>
      </c>
      <c r="E279">
        <v>0.46976425300000002</v>
      </c>
      <c r="F279">
        <v>0.175503505</v>
      </c>
      <c r="G279">
        <v>-0.50059684999999998</v>
      </c>
      <c r="H279">
        <v>1.031213682</v>
      </c>
      <c r="I279">
        <v>0.71362022999999997</v>
      </c>
      <c r="J279">
        <v>0.58118778699999996</v>
      </c>
      <c r="K279">
        <v>1.7</v>
      </c>
      <c r="L279">
        <v>0.89640403300000004</v>
      </c>
      <c r="M279">
        <v>0.255048728</v>
      </c>
      <c r="N279">
        <v>0.84838182900000003</v>
      </c>
      <c r="O279">
        <v>0.489201</v>
      </c>
      <c r="P279">
        <v>0.856627103</v>
      </c>
      <c r="Q279">
        <v>1.0849529979999999</v>
      </c>
      <c r="R279">
        <v>0.48425200000000002</v>
      </c>
      <c r="S279">
        <v>1.1295041290000001</v>
      </c>
      <c r="T279">
        <v>0.27626071600000002</v>
      </c>
      <c r="U279">
        <v>0.481265</v>
      </c>
      <c r="V279">
        <v>0.441599466</v>
      </c>
      <c r="W279">
        <v>0.29005582400000002</v>
      </c>
      <c r="X279">
        <v>0.51062002799999995</v>
      </c>
      <c r="Y279">
        <v>2.2915199999999998</v>
      </c>
      <c r="Z279">
        <v>0.48876426000000001</v>
      </c>
      <c r="AA279">
        <v>2.5793615399999998</v>
      </c>
      <c r="AB279">
        <v>1.062645093</v>
      </c>
      <c r="AC279">
        <v>0.53008616200000003</v>
      </c>
      <c r="AD279">
        <v>0.169333911</v>
      </c>
      <c r="AE279">
        <v>0.41594062300000001</v>
      </c>
      <c r="AF279">
        <v>0.68474917899999999</v>
      </c>
      <c r="AG279">
        <v>0.10425551199999999</v>
      </c>
      <c r="AH279">
        <v>1.06715011</v>
      </c>
      <c r="AI279">
        <v>1.116368587</v>
      </c>
      <c r="AJ279">
        <v>-0.30707328699999997</v>
      </c>
      <c r="AK279">
        <v>0.88338317</v>
      </c>
      <c r="AL279">
        <v>0.39767544999999999</v>
      </c>
      <c r="AM279">
        <v>0.24325211199999999</v>
      </c>
      <c r="AN279">
        <v>1.17409239</v>
      </c>
      <c r="AO279">
        <v>0.10071646400000001</v>
      </c>
      <c r="AP279">
        <v>0.37062294499999998</v>
      </c>
      <c r="AQ279">
        <v>0.877320879</v>
      </c>
      <c r="AR279">
        <v>0.30418201700000003</v>
      </c>
      <c r="AS279">
        <v>-2.8676734260000001</v>
      </c>
      <c r="AT279">
        <v>0.60111537900000001</v>
      </c>
      <c r="AU279">
        <v>-1.2183121999999999E-2</v>
      </c>
    </row>
    <row r="280" spans="1:47" x14ac:dyDescent="0.2">
      <c r="A280" t="s">
        <v>344</v>
      </c>
      <c r="B280" s="74">
        <v>42736</v>
      </c>
      <c r="C280">
        <v>0.56885677599999995</v>
      </c>
      <c r="D280">
        <v>1.087753763</v>
      </c>
      <c r="E280">
        <v>0.92480822900000004</v>
      </c>
      <c r="F280">
        <v>0.51327701800000003</v>
      </c>
      <c r="G280">
        <v>-0.21783733499999999</v>
      </c>
      <c r="H280">
        <v>0.56148308700000005</v>
      </c>
      <c r="I280">
        <v>0.150607659</v>
      </c>
      <c r="J280">
        <v>-0.117429689</v>
      </c>
      <c r="K280">
        <v>1.6</v>
      </c>
      <c r="L280">
        <v>0.77138289699999996</v>
      </c>
      <c r="M280">
        <v>0.36203717000000002</v>
      </c>
      <c r="N280">
        <v>0.72049697400000001</v>
      </c>
      <c r="O280">
        <v>0.74650799999999995</v>
      </c>
      <c r="P280">
        <v>0.54375701700000001</v>
      </c>
      <c r="Q280">
        <v>1.209015736</v>
      </c>
      <c r="R280">
        <v>0.825928</v>
      </c>
      <c r="S280">
        <v>0.30760216800000001</v>
      </c>
      <c r="T280">
        <v>0.59348895599999996</v>
      </c>
      <c r="U280">
        <v>0.44136500000000001</v>
      </c>
      <c r="V280">
        <v>0.64995375</v>
      </c>
      <c r="W280">
        <v>0.62672689999999998</v>
      </c>
      <c r="X280">
        <v>0.88162927400000002</v>
      </c>
      <c r="Y280">
        <v>1.3635699999999999</v>
      </c>
      <c r="Z280">
        <v>10.778864943</v>
      </c>
      <c r="AA280">
        <v>2.6454312839999998</v>
      </c>
      <c r="AB280">
        <v>1.248760721</v>
      </c>
      <c r="AC280">
        <v>0.30678363600000003</v>
      </c>
      <c r="AD280">
        <v>0.134603481</v>
      </c>
      <c r="AE280">
        <v>0.606194491</v>
      </c>
      <c r="AF280">
        <v>0.47590563600000002</v>
      </c>
      <c r="AG280">
        <v>1.217362281</v>
      </c>
      <c r="AH280">
        <v>1.032233677</v>
      </c>
      <c r="AI280">
        <v>0.83750221700000005</v>
      </c>
      <c r="AJ280">
        <v>1.339357449</v>
      </c>
      <c r="AK280">
        <v>0.37430981299999999</v>
      </c>
      <c r="AL280">
        <v>0.80626765899999997</v>
      </c>
      <c r="AM280">
        <v>2.303194371</v>
      </c>
      <c r="AN280">
        <v>0.93197542899999997</v>
      </c>
      <c r="AO280">
        <v>0.82510593799999998</v>
      </c>
      <c r="AP280">
        <v>0.61146634399999999</v>
      </c>
      <c r="AQ280">
        <v>0.78696989900000003</v>
      </c>
      <c r="AR280">
        <v>0.84598124600000002</v>
      </c>
      <c r="AS280">
        <v>5.5096115960000001</v>
      </c>
      <c r="AT280">
        <v>0.49688879600000002</v>
      </c>
      <c r="AU280">
        <v>8.4913574000000006E-2</v>
      </c>
    </row>
    <row r="281" spans="1:47" x14ac:dyDescent="0.2">
      <c r="A281" t="s">
        <v>345</v>
      </c>
      <c r="B281" s="74">
        <v>42826</v>
      </c>
      <c r="C281">
        <v>0.91402509300000001</v>
      </c>
      <c r="D281">
        <v>0.290652036</v>
      </c>
      <c r="E281">
        <v>0.30153240399999998</v>
      </c>
      <c r="F281">
        <v>0.65198138299999997</v>
      </c>
      <c r="G281">
        <v>1.1001132389999999</v>
      </c>
      <c r="H281">
        <v>1.08691958</v>
      </c>
      <c r="I281">
        <v>0.12855338399999999</v>
      </c>
      <c r="J281">
        <v>-0.28999465899999999</v>
      </c>
      <c r="K281">
        <v>1.8</v>
      </c>
      <c r="L281">
        <v>1.6502049510000001</v>
      </c>
      <c r="M281">
        <v>1.2040455290000001</v>
      </c>
      <c r="N281">
        <v>0.65439062699999995</v>
      </c>
      <c r="O281">
        <v>0.69107300000000005</v>
      </c>
      <c r="P281">
        <v>0.78518248999999996</v>
      </c>
      <c r="Q281">
        <v>2.0711225199999999</v>
      </c>
      <c r="R281">
        <v>0.74458400000000002</v>
      </c>
      <c r="S281">
        <v>1.0203709110000001</v>
      </c>
      <c r="T281">
        <v>0.74595114100000004</v>
      </c>
      <c r="U281">
        <v>0.65430500000000003</v>
      </c>
      <c r="V281">
        <v>0.73915971000000003</v>
      </c>
      <c r="W281">
        <v>-0.195542677</v>
      </c>
      <c r="X281">
        <v>1.408454289</v>
      </c>
      <c r="Y281">
        <v>0.79920000000000002</v>
      </c>
      <c r="Z281">
        <v>-4.2594747589999997</v>
      </c>
      <c r="AA281">
        <v>-3.8317994529999999</v>
      </c>
      <c r="AB281">
        <v>0.18568770100000001</v>
      </c>
      <c r="AC281">
        <v>0.51818460099999997</v>
      </c>
      <c r="AD281">
        <v>0.84887394400000005</v>
      </c>
      <c r="AE281">
        <v>0.98478546300000003</v>
      </c>
      <c r="AF281">
        <v>-1.2663134119999999</v>
      </c>
      <c r="AG281">
        <v>1.5601082980000001</v>
      </c>
      <c r="AH281">
        <v>0.48010383499999998</v>
      </c>
      <c r="AI281">
        <v>0.52441194099999999</v>
      </c>
      <c r="AJ281">
        <v>0.99462290399999997</v>
      </c>
      <c r="AK281">
        <v>1.037746992</v>
      </c>
      <c r="AL281">
        <v>0.63957193599999995</v>
      </c>
      <c r="AM281">
        <v>0.93337661400000005</v>
      </c>
      <c r="AN281">
        <v>1.170816047</v>
      </c>
      <c r="AO281">
        <v>0.20168498200000001</v>
      </c>
      <c r="AP281">
        <v>0.84621229200000003</v>
      </c>
      <c r="AQ281">
        <v>1.8177292570000001</v>
      </c>
      <c r="AR281">
        <v>0.51409564200000002</v>
      </c>
      <c r="AS281">
        <v>1.368865306</v>
      </c>
      <c r="AT281">
        <v>0.42966311400000001</v>
      </c>
      <c r="AU281">
        <v>0.472126567</v>
      </c>
    </row>
    <row r="282" spans="1:47" x14ac:dyDescent="0.2">
      <c r="A282" t="s">
        <v>346</v>
      </c>
      <c r="B282" s="74">
        <v>42917</v>
      </c>
      <c r="C282">
        <v>1.0536141160000001</v>
      </c>
      <c r="D282">
        <v>0.57581167899999997</v>
      </c>
      <c r="E282">
        <v>0.69968343099999997</v>
      </c>
      <c r="F282">
        <v>0.24150519500000001</v>
      </c>
      <c r="G282">
        <v>0.77356504400000003</v>
      </c>
      <c r="H282">
        <v>1.0230442129999999</v>
      </c>
      <c r="I282">
        <v>0.17004160800000001</v>
      </c>
      <c r="J282">
        <v>0.95726340300000001</v>
      </c>
      <c r="K282">
        <v>1.7</v>
      </c>
      <c r="L282">
        <v>2.479823267</v>
      </c>
      <c r="M282">
        <v>0.84770029099999999</v>
      </c>
      <c r="N282">
        <v>1.1177776779999999</v>
      </c>
      <c r="O282">
        <v>0.78434000000000004</v>
      </c>
      <c r="P282">
        <v>1.02435951</v>
      </c>
      <c r="Q282">
        <v>1.7574901730000001</v>
      </c>
      <c r="R282">
        <v>0.84181799999999996</v>
      </c>
      <c r="S282">
        <v>1.2738738409999999</v>
      </c>
      <c r="T282">
        <v>0.78494423700000004</v>
      </c>
      <c r="U282">
        <v>0.56894800000000001</v>
      </c>
      <c r="V282">
        <v>0.536199019</v>
      </c>
      <c r="W282">
        <v>0.526501098</v>
      </c>
      <c r="X282">
        <v>1.2262174079999999</v>
      </c>
      <c r="Y282">
        <v>2.0579499999999999</v>
      </c>
      <c r="Z282">
        <v>1.8286590620000001</v>
      </c>
      <c r="AA282">
        <v>3.045936625</v>
      </c>
      <c r="AB282">
        <v>1.327934495</v>
      </c>
      <c r="AC282">
        <v>0.43046338899999997</v>
      </c>
      <c r="AD282">
        <v>0.39338769600000001</v>
      </c>
      <c r="AE282">
        <v>0.71464772700000001</v>
      </c>
      <c r="AF282">
        <v>1.3099043880000001</v>
      </c>
      <c r="AG282">
        <v>0.85969581299999998</v>
      </c>
      <c r="AH282">
        <v>0.30291726800000002</v>
      </c>
      <c r="AI282">
        <v>0.87954487299999995</v>
      </c>
      <c r="AJ282">
        <v>0.96347098900000006</v>
      </c>
      <c r="AK282">
        <v>1.0872106619999999</v>
      </c>
      <c r="AL282">
        <v>0.70324108600000002</v>
      </c>
      <c r="AM282">
        <v>0.89193731099999995</v>
      </c>
      <c r="AN282">
        <v>0.50524784899999997</v>
      </c>
      <c r="AO282">
        <v>0.690456285</v>
      </c>
      <c r="AP282">
        <v>0.93599145800000005</v>
      </c>
      <c r="AQ282">
        <v>1.1648117920000001</v>
      </c>
      <c r="AR282">
        <v>1.2927491630000001</v>
      </c>
      <c r="AS282">
        <v>2.2803188200000002</v>
      </c>
      <c r="AT282">
        <v>0.50379298100000003</v>
      </c>
      <c r="AU282">
        <v>0.54530204999999998</v>
      </c>
    </row>
    <row r="283" spans="1:47" x14ac:dyDescent="0.2">
      <c r="A283" t="s">
        <v>347</v>
      </c>
      <c r="B283" s="74">
        <v>43009</v>
      </c>
      <c r="C283">
        <v>1.2684706649999999</v>
      </c>
      <c r="D283">
        <v>0.97424313200000001</v>
      </c>
      <c r="E283">
        <v>0.63113986799999999</v>
      </c>
      <c r="F283">
        <v>-6.4432989999999996E-2</v>
      </c>
      <c r="G283">
        <v>0.312207756</v>
      </c>
      <c r="H283">
        <v>0.42187302100000001</v>
      </c>
      <c r="I283">
        <v>0.54003963399999999</v>
      </c>
      <c r="J283">
        <v>1.8758375279999999</v>
      </c>
      <c r="K283">
        <v>1.6</v>
      </c>
      <c r="L283">
        <v>0.835604389</v>
      </c>
      <c r="M283">
        <v>0.735511417</v>
      </c>
      <c r="N283">
        <v>-0.36677410100000002</v>
      </c>
      <c r="O283">
        <v>0.766648</v>
      </c>
      <c r="P283">
        <v>0.62961613400000005</v>
      </c>
      <c r="Q283">
        <v>0.35161115799999998</v>
      </c>
      <c r="R283">
        <v>0.78700099999999995</v>
      </c>
      <c r="S283">
        <v>0.37289466199999999</v>
      </c>
      <c r="T283">
        <v>0.85069794200000004</v>
      </c>
      <c r="U283">
        <v>0.74415399999999998</v>
      </c>
      <c r="V283">
        <v>0.51593165799999996</v>
      </c>
      <c r="W283">
        <v>1.0566590440000001</v>
      </c>
      <c r="X283">
        <v>0.89056922100000002</v>
      </c>
      <c r="Y283">
        <v>1.6491100000000001</v>
      </c>
      <c r="Z283">
        <v>5.334811535</v>
      </c>
      <c r="AA283">
        <v>0.75357710700000002</v>
      </c>
      <c r="AB283">
        <v>1.4866603119999999</v>
      </c>
      <c r="AC283">
        <v>0.438108742</v>
      </c>
      <c r="AD283">
        <v>0.76729651799999998</v>
      </c>
      <c r="AE283">
        <v>1.4418384179999999</v>
      </c>
      <c r="AF283">
        <v>1.095195396</v>
      </c>
      <c r="AG283">
        <v>0.27455967199999998</v>
      </c>
      <c r="AH283">
        <v>-0.23470582300000001</v>
      </c>
      <c r="AI283">
        <v>0.71592494799999995</v>
      </c>
      <c r="AJ283">
        <v>0.68523615100000002</v>
      </c>
      <c r="AK283">
        <v>0.85413603400000004</v>
      </c>
      <c r="AL283">
        <v>0.79239148500000001</v>
      </c>
      <c r="AM283">
        <v>1.099167397</v>
      </c>
      <c r="AN283">
        <v>0.69498998999999995</v>
      </c>
      <c r="AO283">
        <v>0.67948449200000005</v>
      </c>
      <c r="AP283">
        <v>0.81075029499999995</v>
      </c>
      <c r="AQ283">
        <v>0.83200692200000004</v>
      </c>
      <c r="AR283">
        <v>0.92504002299999999</v>
      </c>
      <c r="AS283">
        <v>1.5159185209999999</v>
      </c>
      <c r="AT283">
        <v>0.82748871499999999</v>
      </c>
      <c r="AU283">
        <v>0.18389597199999999</v>
      </c>
    </row>
    <row r="284" spans="1:47" x14ac:dyDescent="0.2">
      <c r="A284" t="s">
        <v>348</v>
      </c>
      <c r="B284" s="74">
        <v>43101</v>
      </c>
      <c r="C284">
        <v>0.95213344899999997</v>
      </c>
      <c r="D284">
        <v>0.48679589600000001</v>
      </c>
      <c r="E284">
        <v>0.60057196099999999</v>
      </c>
      <c r="F284">
        <v>0.80172679599999996</v>
      </c>
      <c r="G284">
        <v>0.40566329600000001</v>
      </c>
      <c r="H284">
        <v>0.51799067899999995</v>
      </c>
      <c r="I284">
        <v>1.0373208920000001</v>
      </c>
      <c r="J284">
        <v>0.72794388600000004</v>
      </c>
      <c r="K284">
        <v>1.6</v>
      </c>
      <c r="L284">
        <v>0.813267776</v>
      </c>
      <c r="M284">
        <v>0.91029780299999996</v>
      </c>
      <c r="N284">
        <v>0.75496244999999995</v>
      </c>
      <c r="O284">
        <v>0.82194299999999998</v>
      </c>
      <c r="P284">
        <v>0.53932850300000001</v>
      </c>
      <c r="Q284">
        <v>1.525246026</v>
      </c>
      <c r="R284">
        <v>0.82081099999999996</v>
      </c>
      <c r="S284">
        <v>0.64703059200000002</v>
      </c>
      <c r="T284">
        <v>0.61882118900000005</v>
      </c>
      <c r="U284">
        <v>0.75743099999999997</v>
      </c>
      <c r="V284">
        <v>0.62732598799999995</v>
      </c>
      <c r="W284">
        <v>-0.90043332499999995</v>
      </c>
      <c r="X284">
        <v>1.4489176130000001</v>
      </c>
      <c r="Y284">
        <v>1.8811500000000001</v>
      </c>
      <c r="Z284">
        <v>4.9428967400000001</v>
      </c>
      <c r="AA284">
        <v>2.5090836419999998</v>
      </c>
      <c r="AB284">
        <v>1.5438492800000001</v>
      </c>
      <c r="AC284">
        <v>0.53751721399999997</v>
      </c>
      <c r="AD284">
        <v>6.2086530000000001E-2</v>
      </c>
      <c r="AE284">
        <v>-0.319868975</v>
      </c>
      <c r="AF284">
        <v>0.113795803</v>
      </c>
      <c r="AG284">
        <v>0.73811630399999995</v>
      </c>
      <c r="AH284">
        <v>1.2780766100000001</v>
      </c>
      <c r="AI284">
        <v>0.75726789000000005</v>
      </c>
      <c r="AJ284">
        <v>-0.569736833</v>
      </c>
      <c r="AK284">
        <v>0.84526422700000003</v>
      </c>
      <c r="AL284">
        <v>0.81190225199999999</v>
      </c>
      <c r="AM284">
        <v>1.7908586820000001</v>
      </c>
      <c r="AN284">
        <v>0.82544668200000004</v>
      </c>
      <c r="AO284">
        <v>2.0994643E-2</v>
      </c>
      <c r="AP284">
        <v>1.139421901</v>
      </c>
      <c r="AQ284">
        <v>2.2370282690000001</v>
      </c>
      <c r="AR284">
        <v>0.141344736</v>
      </c>
      <c r="AS284">
        <v>1.882761165</v>
      </c>
      <c r="AT284">
        <v>1.005660086</v>
      </c>
      <c r="AU284">
        <v>0.39336109899999999</v>
      </c>
    </row>
    <row r="285" spans="1:47" x14ac:dyDescent="0.2">
      <c r="A285" t="s">
        <v>349</v>
      </c>
      <c r="B285" s="74">
        <v>43191</v>
      </c>
      <c r="C285">
        <v>-0.31443920800000003</v>
      </c>
      <c r="D285">
        <v>0.94026927000000005</v>
      </c>
      <c r="E285">
        <v>0.72119031600000005</v>
      </c>
      <c r="F285">
        <v>0.41621476299999999</v>
      </c>
      <c r="G285">
        <v>0.63374452299999995</v>
      </c>
      <c r="H285">
        <v>0.87523928100000004</v>
      </c>
      <c r="I285">
        <v>1.1225528410000001</v>
      </c>
      <c r="J285">
        <v>1.4200257030000001</v>
      </c>
      <c r="K285">
        <v>1.9</v>
      </c>
      <c r="L285">
        <v>0.54169234300000002</v>
      </c>
      <c r="M285">
        <v>-0.58023882800000004</v>
      </c>
      <c r="N285">
        <v>0.51205513599999997</v>
      </c>
      <c r="O285">
        <v>8.4960000000000001E-3</v>
      </c>
      <c r="P285">
        <v>0.42700115700000002</v>
      </c>
      <c r="Q285">
        <v>0.68767783699999996</v>
      </c>
      <c r="R285">
        <v>0.116965</v>
      </c>
      <c r="S285">
        <v>0.30024195999999997</v>
      </c>
      <c r="T285">
        <v>6.4034054000000007E-2</v>
      </c>
      <c r="U285">
        <v>0.35593200000000003</v>
      </c>
      <c r="V285">
        <v>0.14976610500000001</v>
      </c>
      <c r="W285">
        <v>1.4211963889999999</v>
      </c>
      <c r="X285">
        <v>1.782556899</v>
      </c>
      <c r="Y285">
        <v>2.1432500000000001</v>
      </c>
      <c r="Z285">
        <v>-0.21880302600000001</v>
      </c>
      <c r="AA285">
        <v>0.338681593</v>
      </c>
      <c r="AB285">
        <v>1.247326559</v>
      </c>
      <c r="AC285">
        <v>-0.10878046299999999</v>
      </c>
      <c r="AD285">
        <v>0.214117961</v>
      </c>
      <c r="AE285">
        <v>1.2058517710000001</v>
      </c>
      <c r="AF285">
        <v>0.22274164799999999</v>
      </c>
      <c r="AG285">
        <v>1.324924403</v>
      </c>
      <c r="AH285">
        <v>1.1279731150000001</v>
      </c>
      <c r="AI285">
        <v>0.44654398699999998</v>
      </c>
      <c r="AJ285">
        <v>0.77892560799999999</v>
      </c>
      <c r="AK285">
        <v>0.76670673499999997</v>
      </c>
      <c r="AL285">
        <v>0.54025244500000003</v>
      </c>
      <c r="AM285">
        <v>1.240069372</v>
      </c>
      <c r="AN285">
        <v>0.72736810900000004</v>
      </c>
      <c r="AO285">
        <v>1.3560321909999999</v>
      </c>
      <c r="AP285">
        <v>0.77313734199999995</v>
      </c>
      <c r="AQ285">
        <v>0.184120958</v>
      </c>
      <c r="AR285">
        <v>0.44294421499999997</v>
      </c>
      <c r="AS285">
        <v>1.468743124</v>
      </c>
      <c r="AT285">
        <v>0.69265386100000004</v>
      </c>
      <c r="AU285">
        <v>0.41965914700000001</v>
      </c>
    </row>
    <row r="286" spans="1:47" x14ac:dyDescent="0.2">
      <c r="A286" t="s">
        <v>350</v>
      </c>
      <c r="B286" s="74">
        <v>43282</v>
      </c>
      <c r="C286">
        <v>-4.5213341060000003</v>
      </c>
      <c r="D286">
        <v>0.72984756200000001</v>
      </c>
      <c r="E286">
        <v>0.29305865199999998</v>
      </c>
      <c r="F286">
        <v>0.468031682</v>
      </c>
      <c r="G286">
        <v>-5.1826324E-2</v>
      </c>
      <c r="H286">
        <v>0.78510534099999996</v>
      </c>
      <c r="I286">
        <v>0.97210110900000002</v>
      </c>
      <c r="J286">
        <v>1.0067114079999999</v>
      </c>
      <c r="K286">
        <v>1.6</v>
      </c>
      <c r="L286">
        <v>0.60171178700000005</v>
      </c>
      <c r="M286">
        <v>0.70888626700000001</v>
      </c>
      <c r="N286">
        <v>0.50259883100000002</v>
      </c>
      <c r="O286">
        <v>0.53142</v>
      </c>
      <c r="P286">
        <v>0.58588025099999996</v>
      </c>
      <c r="Q286">
        <v>0.86990794800000004</v>
      </c>
      <c r="R286">
        <v>0.61574399999999996</v>
      </c>
      <c r="S286">
        <v>-8.8042119000000002E-2</v>
      </c>
      <c r="T286">
        <v>0.42594677600000003</v>
      </c>
      <c r="U286">
        <v>0.57889199999999996</v>
      </c>
      <c r="V286">
        <v>0.45484211200000002</v>
      </c>
      <c r="W286">
        <v>0.142291836</v>
      </c>
      <c r="X286">
        <v>0.93567739299999997</v>
      </c>
      <c r="Y286">
        <v>1.3461700000000001</v>
      </c>
      <c r="Z286">
        <v>2.2917828660000001</v>
      </c>
      <c r="AA286">
        <v>1.509800764</v>
      </c>
      <c r="AB286">
        <v>0.20193153899999999</v>
      </c>
      <c r="AC286">
        <v>3.9334962000000001E-2</v>
      </c>
      <c r="AD286">
        <v>0.37327551199999998</v>
      </c>
      <c r="AE286">
        <v>0.63659708500000001</v>
      </c>
      <c r="AF286">
        <v>-0.63268752500000003</v>
      </c>
      <c r="AG286">
        <v>1.5347303839999999</v>
      </c>
      <c r="AH286">
        <v>-4.0170747E-2</v>
      </c>
      <c r="AI286">
        <v>0.64218572699999998</v>
      </c>
      <c r="AJ286">
        <v>0.30077573800000001</v>
      </c>
      <c r="AK286">
        <v>1.115517297</v>
      </c>
      <c r="AL286">
        <v>0.60011245199999996</v>
      </c>
      <c r="AM286">
        <v>1.3509185610000001</v>
      </c>
      <c r="AN286">
        <v>0.77953652299999998</v>
      </c>
      <c r="AO286">
        <v>0.55794653999999999</v>
      </c>
      <c r="AP286">
        <v>1.1388414490000001</v>
      </c>
      <c r="AQ286">
        <v>1.3938828160000001</v>
      </c>
      <c r="AR286">
        <v>1.0228914419999999</v>
      </c>
      <c r="AS286">
        <v>0.65752179700000002</v>
      </c>
      <c r="AT286">
        <v>0.69734292099999995</v>
      </c>
      <c r="AU286">
        <v>-0.20919102000000001</v>
      </c>
    </row>
    <row r="287" spans="1:47" x14ac:dyDescent="0.2">
      <c r="A287" t="s">
        <v>351</v>
      </c>
      <c r="B287" s="74">
        <v>43374</v>
      </c>
      <c r="C287">
        <v>-0.234207843</v>
      </c>
      <c r="D287">
        <v>0.42384888999999998</v>
      </c>
      <c r="E287">
        <v>0.369954648</v>
      </c>
      <c r="F287">
        <v>0.38683119999999999</v>
      </c>
      <c r="G287">
        <v>1.03320375</v>
      </c>
      <c r="H287">
        <v>0.690122507</v>
      </c>
      <c r="I287">
        <v>-0.32403398</v>
      </c>
      <c r="J287">
        <v>-0.39868704999999999</v>
      </c>
      <c r="K287">
        <v>1.4</v>
      </c>
      <c r="L287">
        <v>0.71256224000000001</v>
      </c>
      <c r="M287">
        <v>-0.78836500799999998</v>
      </c>
      <c r="N287">
        <v>0.60213307800000004</v>
      </c>
      <c r="O287">
        <v>7.8079999999999998E-3</v>
      </c>
      <c r="P287">
        <v>0.52041550999999997</v>
      </c>
      <c r="Q287">
        <v>0.86289852300000003</v>
      </c>
      <c r="R287">
        <v>8.7960999999999998E-2</v>
      </c>
      <c r="S287">
        <v>-0.16742743299999999</v>
      </c>
      <c r="T287">
        <v>0.38115736099999997</v>
      </c>
      <c r="U287">
        <v>0.29573700000000003</v>
      </c>
      <c r="V287">
        <v>0.55578708300000002</v>
      </c>
      <c r="W287">
        <v>-0.272717245</v>
      </c>
      <c r="X287">
        <v>1.4474659320000001</v>
      </c>
      <c r="Y287">
        <v>1.36626</v>
      </c>
      <c r="Z287">
        <v>0.41908170900000002</v>
      </c>
      <c r="AA287">
        <v>0.20640039199999999</v>
      </c>
      <c r="AB287">
        <v>0.88077981599999999</v>
      </c>
      <c r="AC287">
        <v>0.132624729</v>
      </c>
      <c r="AD287">
        <v>-0.65449446</v>
      </c>
      <c r="AE287">
        <v>0.73084833199999999</v>
      </c>
      <c r="AF287">
        <v>0.92472728999999998</v>
      </c>
      <c r="AG287">
        <v>1.010811701</v>
      </c>
      <c r="AH287">
        <v>0.46508395800000002</v>
      </c>
      <c r="AI287">
        <v>0.24528087400000001</v>
      </c>
      <c r="AJ287">
        <v>0.63002873299999995</v>
      </c>
      <c r="AK287">
        <v>0.28377387399999998</v>
      </c>
      <c r="AL287">
        <v>0.28005216999999999</v>
      </c>
      <c r="AM287">
        <v>1.321005751</v>
      </c>
      <c r="AN287">
        <v>0.52572394200000006</v>
      </c>
      <c r="AO287">
        <v>0.24136882100000001</v>
      </c>
      <c r="AP287">
        <v>0.97935794099999995</v>
      </c>
      <c r="AQ287">
        <v>1.1269606459999999</v>
      </c>
      <c r="AR287">
        <v>-0.76351782000000001</v>
      </c>
      <c r="AS287">
        <v>-1.627935541</v>
      </c>
      <c r="AT287">
        <v>0.722035914</v>
      </c>
      <c r="AU287">
        <v>1.2827117299999999</v>
      </c>
    </row>
    <row r="288" spans="1:47" x14ac:dyDescent="0.2">
      <c r="A288" t="s">
        <v>352</v>
      </c>
      <c r="B288" s="74">
        <v>43466</v>
      </c>
      <c r="C288">
        <v>-1.484693094</v>
      </c>
      <c r="D288">
        <v>0.22189108900000001</v>
      </c>
      <c r="E288">
        <v>1.3023460149999999</v>
      </c>
      <c r="F288">
        <v>0.96380910500000005</v>
      </c>
      <c r="G288">
        <v>-0.34421514600000003</v>
      </c>
      <c r="H288">
        <v>0.34086954200000003</v>
      </c>
      <c r="I288">
        <v>0.23633673799999999</v>
      </c>
      <c r="J288">
        <v>1.1505288220000001</v>
      </c>
      <c r="K288">
        <v>1.4</v>
      </c>
      <c r="L288">
        <v>0.73877354299999998</v>
      </c>
      <c r="M288">
        <v>0.794634591</v>
      </c>
      <c r="N288">
        <v>0.49934343599999997</v>
      </c>
      <c r="O288">
        <v>0.64379900000000001</v>
      </c>
      <c r="P288">
        <v>0.65925895599999995</v>
      </c>
      <c r="Q288">
        <v>1.1075446309999999</v>
      </c>
      <c r="R288">
        <v>0.66585700000000003</v>
      </c>
      <c r="S288">
        <v>-1.7653499999999999E-3</v>
      </c>
      <c r="T288">
        <v>0.617170518</v>
      </c>
      <c r="U288">
        <v>0.244008</v>
      </c>
      <c r="V288">
        <v>0.25717362399999999</v>
      </c>
      <c r="W288">
        <v>0.67227877000000003</v>
      </c>
      <c r="X288">
        <v>1.0115492290000001</v>
      </c>
      <c r="Y288">
        <v>1.4446099999999999</v>
      </c>
      <c r="Z288">
        <v>0.79350420399999999</v>
      </c>
      <c r="AA288">
        <v>0.98053330400000005</v>
      </c>
      <c r="AB288">
        <v>0.81654500100000005</v>
      </c>
      <c r="AC288">
        <v>0.30005049700000003</v>
      </c>
      <c r="AD288">
        <v>-0.26192959900000001</v>
      </c>
      <c r="AE288">
        <v>0.70031295599999999</v>
      </c>
      <c r="AF288">
        <v>0.348077792</v>
      </c>
      <c r="AG288">
        <v>0.98309919700000004</v>
      </c>
      <c r="AH288">
        <v>-0.28139541200000001</v>
      </c>
      <c r="AI288">
        <v>0.41281204900000001</v>
      </c>
      <c r="AJ288">
        <v>3.3684589000000001E-2</v>
      </c>
      <c r="AK288">
        <v>1.2670100470000001</v>
      </c>
      <c r="AL288">
        <v>0.19483436500000001</v>
      </c>
      <c r="AM288">
        <v>0.94567659199999998</v>
      </c>
      <c r="AN288">
        <v>0.60899499199999996</v>
      </c>
      <c r="AO288">
        <v>0.66396654799999999</v>
      </c>
      <c r="AP288">
        <v>0.52772910500000003</v>
      </c>
      <c r="AQ288">
        <v>1.2672757020000001</v>
      </c>
      <c r="AR288">
        <v>1.198393292</v>
      </c>
      <c r="AS288">
        <v>-3.1841153480000002</v>
      </c>
      <c r="AT288">
        <v>0.18178319800000001</v>
      </c>
      <c r="AU288">
        <v>0.35277657499999998</v>
      </c>
    </row>
    <row r="289" spans="1:47" x14ac:dyDescent="0.2">
      <c r="A289" t="s">
        <v>353</v>
      </c>
      <c r="B289" s="74">
        <v>43556</v>
      </c>
      <c r="C289">
        <v>8.9245194E-2</v>
      </c>
      <c r="D289">
        <v>0.49890920599999999</v>
      </c>
      <c r="E289">
        <v>0.35468651099999998</v>
      </c>
      <c r="F289">
        <v>0.24477141099999999</v>
      </c>
      <c r="G289">
        <v>0.40917859600000001</v>
      </c>
      <c r="H289">
        <v>9.0640852999999993E-2</v>
      </c>
      <c r="I289">
        <v>0.14968249</v>
      </c>
      <c r="J289">
        <v>-1.6834411000000001E-2</v>
      </c>
      <c r="K289">
        <v>1.8</v>
      </c>
      <c r="L289">
        <v>0.91197197399999996</v>
      </c>
      <c r="M289">
        <v>0.71562698000000002</v>
      </c>
      <c r="N289">
        <v>-0.21815322600000001</v>
      </c>
      <c r="O289">
        <v>0.64024499999999995</v>
      </c>
      <c r="P289">
        <v>0.60886152699999996</v>
      </c>
      <c r="Q289">
        <v>1.526150165</v>
      </c>
      <c r="R289">
        <v>0.70857800000000004</v>
      </c>
      <c r="S289">
        <v>0.74499073199999999</v>
      </c>
      <c r="T289">
        <v>0.67406665399999999</v>
      </c>
      <c r="U289">
        <v>0.53866400000000003</v>
      </c>
      <c r="V289">
        <v>0.63036359600000003</v>
      </c>
      <c r="W289">
        <v>0.63296164700000002</v>
      </c>
      <c r="X289">
        <v>1.9821474059999999</v>
      </c>
      <c r="Y289">
        <v>1.05488</v>
      </c>
      <c r="Z289">
        <v>1.580050543</v>
      </c>
      <c r="AA289">
        <v>0.66202137699999997</v>
      </c>
      <c r="AB289">
        <v>1.713848958</v>
      </c>
      <c r="AC289">
        <v>0.19127612099999999</v>
      </c>
      <c r="AD289">
        <v>0.54381354999999998</v>
      </c>
      <c r="AE289">
        <v>-0.19857931700000001</v>
      </c>
      <c r="AF289">
        <v>0.32331803199999998</v>
      </c>
      <c r="AG289">
        <v>0.51489044900000003</v>
      </c>
      <c r="AH289">
        <v>5.0116571999999998E-2</v>
      </c>
      <c r="AI289">
        <v>0.69810694600000001</v>
      </c>
      <c r="AJ289">
        <v>-0.22213118000000001</v>
      </c>
      <c r="AK289">
        <v>0.57298943499999999</v>
      </c>
      <c r="AL289">
        <v>0.58928368200000003</v>
      </c>
      <c r="AM289">
        <v>1.79920554</v>
      </c>
      <c r="AN289">
        <v>0.88298775500000004</v>
      </c>
      <c r="AO289">
        <v>-3.8077851000000003E-2</v>
      </c>
      <c r="AP289">
        <v>0.90719786599999996</v>
      </c>
      <c r="AQ289">
        <v>0.69565730699999995</v>
      </c>
      <c r="AR289">
        <v>0.63649135800000001</v>
      </c>
      <c r="AS289">
        <v>1.901026683</v>
      </c>
      <c r="AT289">
        <v>0.54271060999999998</v>
      </c>
      <c r="AU289">
        <v>-0.90593617100000001</v>
      </c>
    </row>
    <row r="290" spans="1:47" x14ac:dyDescent="0.2">
      <c r="A290" t="s">
        <v>354</v>
      </c>
      <c r="B290" s="74">
        <v>43647</v>
      </c>
      <c r="C290">
        <v>0.86741112099999995</v>
      </c>
      <c r="D290">
        <v>0.48373442999999999</v>
      </c>
      <c r="E290">
        <v>-0.24700677800000001</v>
      </c>
      <c r="F290">
        <v>0.43137361299999999</v>
      </c>
      <c r="G290">
        <v>0.55988685400000004</v>
      </c>
      <c r="H290">
        <v>0.99073782899999996</v>
      </c>
      <c r="I290">
        <v>0.44437089600000002</v>
      </c>
      <c r="J290">
        <v>0.90547818899999999</v>
      </c>
      <c r="K290">
        <v>1.3</v>
      </c>
      <c r="L290">
        <v>0.673307922</v>
      </c>
      <c r="M290">
        <v>-0.16774414400000001</v>
      </c>
      <c r="N290">
        <v>1.005162313</v>
      </c>
      <c r="O290">
        <v>0.30867299999999998</v>
      </c>
      <c r="P290">
        <v>0.34620021699999998</v>
      </c>
      <c r="Q290">
        <v>0.16685682299999999</v>
      </c>
      <c r="R290">
        <v>0.38027</v>
      </c>
      <c r="S290">
        <v>0.85513519199999999</v>
      </c>
      <c r="T290">
        <v>0.67191142400000003</v>
      </c>
      <c r="U290">
        <v>0.48309600000000003</v>
      </c>
      <c r="V290">
        <v>0.109963441</v>
      </c>
      <c r="W290">
        <v>1.1086349</v>
      </c>
      <c r="X290">
        <v>0.423365141</v>
      </c>
      <c r="Y290">
        <v>1.1088899999999999</v>
      </c>
      <c r="Z290">
        <v>1.788804219</v>
      </c>
      <c r="AA290">
        <v>-0.112179031</v>
      </c>
      <c r="AB290">
        <v>0.40444361400000001</v>
      </c>
      <c r="AC290">
        <v>0.220292548</v>
      </c>
      <c r="AD290">
        <v>0.36729315200000001</v>
      </c>
      <c r="AE290">
        <v>1.0599055340000001</v>
      </c>
      <c r="AF290">
        <v>1.718252332</v>
      </c>
      <c r="AG290">
        <v>0.47694210199999998</v>
      </c>
      <c r="AH290">
        <v>-0.458166401</v>
      </c>
      <c r="AI290">
        <v>0.41668958299999997</v>
      </c>
      <c r="AJ290">
        <v>1.8224034E-2</v>
      </c>
      <c r="AK290">
        <v>0.54006805499999999</v>
      </c>
      <c r="AL290">
        <v>0.55613220299999999</v>
      </c>
      <c r="AM290">
        <v>0.80119830299999995</v>
      </c>
      <c r="AN290">
        <v>0.571006817</v>
      </c>
      <c r="AO290">
        <v>2.2617195539999999</v>
      </c>
      <c r="AP290">
        <v>0.34628786499999997</v>
      </c>
      <c r="AQ290">
        <v>-0.163738933</v>
      </c>
      <c r="AR290">
        <v>0.59889089200000001</v>
      </c>
      <c r="AS290">
        <v>2.3799511469999999</v>
      </c>
      <c r="AT290">
        <v>0.67300894</v>
      </c>
      <c r="AU290">
        <v>0.40828392600000002</v>
      </c>
    </row>
    <row r="291" spans="1:47" x14ac:dyDescent="0.2">
      <c r="A291" t="s">
        <v>355</v>
      </c>
      <c r="B291" s="74">
        <v>43739</v>
      </c>
      <c r="C291">
        <v>0.17854977</v>
      </c>
      <c r="D291">
        <v>0.83162835499999999</v>
      </c>
      <c r="E291">
        <v>0.40310163199999999</v>
      </c>
      <c r="F291">
        <v>0.66994435100000005</v>
      </c>
      <c r="G291">
        <v>0.106705147</v>
      </c>
      <c r="H291">
        <v>0.32664281099999998</v>
      </c>
      <c r="I291">
        <v>0.557134456</v>
      </c>
      <c r="J291">
        <v>0.26546593800000001</v>
      </c>
      <c r="K291">
        <v>1.4</v>
      </c>
      <c r="L291">
        <v>0.67160157099999995</v>
      </c>
      <c r="M291">
        <v>0.112016509</v>
      </c>
      <c r="N291">
        <v>0.45731937</v>
      </c>
      <c r="O291">
        <v>0.21207000000000001</v>
      </c>
      <c r="P291">
        <v>0.29500010100000001</v>
      </c>
      <c r="Q291">
        <v>0.294831601</v>
      </c>
      <c r="R291">
        <v>0.24846099999999999</v>
      </c>
      <c r="S291">
        <v>-1.0424811000000001E-2</v>
      </c>
      <c r="T291">
        <v>7.095194E-3</v>
      </c>
      <c r="U291">
        <v>0.52167600000000003</v>
      </c>
      <c r="V291">
        <v>0.61085417399999997</v>
      </c>
      <c r="W291">
        <v>-9.7270048999999997E-2</v>
      </c>
      <c r="X291">
        <v>1.255547701</v>
      </c>
      <c r="Y291">
        <v>0.65505000000000002</v>
      </c>
      <c r="Z291">
        <v>1.9352186790000001</v>
      </c>
      <c r="AA291">
        <v>-0.40505450799999998</v>
      </c>
      <c r="AB291">
        <v>1.1638560899999999</v>
      </c>
      <c r="AC291">
        <v>3.9404832000000001E-2</v>
      </c>
      <c r="AD291">
        <v>-3.1222480000000002E-3</v>
      </c>
      <c r="AE291">
        <v>0.527437881</v>
      </c>
      <c r="AF291">
        <v>1.0847757E-2</v>
      </c>
      <c r="AG291">
        <v>-0.191889332</v>
      </c>
      <c r="AH291">
        <v>0.57664308600000003</v>
      </c>
      <c r="AI291">
        <v>0.39214649899999998</v>
      </c>
      <c r="AJ291">
        <v>0.29580541199999999</v>
      </c>
      <c r="AK291">
        <v>0.83214307899999995</v>
      </c>
      <c r="AL291">
        <v>0.52627545099999995</v>
      </c>
      <c r="AM291">
        <v>0.89971355200000003</v>
      </c>
      <c r="AN291">
        <v>0.45188073099999998</v>
      </c>
      <c r="AO291">
        <v>-0.97835560099999996</v>
      </c>
      <c r="AP291">
        <v>0.240049507</v>
      </c>
      <c r="AQ291">
        <v>1.137262505</v>
      </c>
      <c r="AR291">
        <v>0.16318338700000001</v>
      </c>
      <c r="AS291">
        <v>5.0625441E-2</v>
      </c>
      <c r="AT291">
        <v>0.88996647299999998</v>
      </c>
      <c r="AU291">
        <v>0.13850583299999999</v>
      </c>
    </row>
    <row r="292" spans="1:47" x14ac:dyDescent="0.2">
      <c r="A292" t="s">
        <v>356</v>
      </c>
      <c r="B292" s="74">
        <v>43831</v>
      </c>
      <c r="C292">
        <v>-1.686824106</v>
      </c>
      <c r="D292">
        <v>0.51662469200000005</v>
      </c>
      <c r="E292">
        <v>-0.45683559099999999</v>
      </c>
      <c r="F292">
        <v>0.63954632499999997</v>
      </c>
      <c r="G292">
        <v>0.35103288500000002</v>
      </c>
      <c r="H292">
        <v>0.30068375400000003</v>
      </c>
      <c r="I292">
        <v>0.56000616800000003</v>
      </c>
      <c r="J292">
        <v>-3.9501784959999999</v>
      </c>
      <c r="K292">
        <v>1.2</v>
      </c>
      <c r="L292">
        <v>0.48339067200000002</v>
      </c>
      <c r="M292">
        <v>0.261074062</v>
      </c>
      <c r="N292">
        <v>-0.30415413600000002</v>
      </c>
      <c r="O292">
        <v>3.2769E-2</v>
      </c>
      <c r="P292">
        <v>0.21716943599999999</v>
      </c>
      <c r="Q292">
        <v>1.1552754649999999</v>
      </c>
      <c r="R292">
        <v>8.6668999999999996E-2</v>
      </c>
      <c r="S292">
        <v>-0.21025560800000001</v>
      </c>
      <c r="T292">
        <v>-0.27339345900000001</v>
      </c>
      <c r="U292">
        <v>-0.18307999999999999</v>
      </c>
      <c r="V292">
        <v>-2.5112203E-2</v>
      </c>
      <c r="W292">
        <v>-0.268257686</v>
      </c>
      <c r="X292">
        <v>0.54532453599999997</v>
      </c>
      <c r="Y292">
        <v>0.47156999999999999</v>
      </c>
      <c r="Z292">
        <v>0.97365846499999997</v>
      </c>
      <c r="AA292">
        <v>3.2558668549999998</v>
      </c>
      <c r="AB292">
        <v>0.85240965300000004</v>
      </c>
      <c r="AC292">
        <v>-0.78607865899999996</v>
      </c>
      <c r="AD292">
        <v>-2.9441030100000001</v>
      </c>
      <c r="AE292">
        <v>1.2711157769999999</v>
      </c>
      <c r="AF292">
        <v>0.51715184000000003</v>
      </c>
      <c r="AG292">
        <v>0.40573250799999999</v>
      </c>
      <c r="AH292">
        <v>-0.76285224100000004</v>
      </c>
      <c r="AI292">
        <v>0.393593731</v>
      </c>
      <c r="AJ292">
        <v>1.50729819</v>
      </c>
      <c r="AK292">
        <v>0.32641497800000002</v>
      </c>
      <c r="AL292">
        <v>-5.0947000000000004E-4</v>
      </c>
      <c r="AM292">
        <v>0.49142001499999999</v>
      </c>
      <c r="AN292">
        <v>0.82078459800000003</v>
      </c>
      <c r="AO292">
        <v>-0.45248773399999997</v>
      </c>
      <c r="AP292">
        <v>0.51665866699999996</v>
      </c>
      <c r="AQ292">
        <v>1.56329253</v>
      </c>
      <c r="AR292">
        <v>0.26092378599999999</v>
      </c>
      <c r="AS292">
        <v>1.3646299630000001</v>
      </c>
      <c r="AT292">
        <v>0.44304689400000002</v>
      </c>
      <c r="AU292">
        <v>-3.4571232E-2</v>
      </c>
    </row>
    <row r="293" spans="1:47" x14ac:dyDescent="0.2">
      <c r="A293" t="s">
        <v>357</v>
      </c>
      <c r="B293" s="74">
        <v>43922</v>
      </c>
      <c r="C293">
        <v>-4.2212001429999999</v>
      </c>
      <c r="D293">
        <v>-0.225418231</v>
      </c>
      <c r="E293">
        <v>-2.5657866199999999</v>
      </c>
      <c r="F293">
        <v>-3.1525245970000002</v>
      </c>
      <c r="G293">
        <v>-2.3608671710000002</v>
      </c>
      <c r="H293">
        <v>-2.1573026089999998</v>
      </c>
      <c r="I293">
        <v>-1.505608327</v>
      </c>
      <c r="J293">
        <v>2.3031878780000001</v>
      </c>
      <c r="K293">
        <v>-10.3</v>
      </c>
      <c r="L293">
        <v>-3.2425949730000001</v>
      </c>
      <c r="M293">
        <v>-1.4227654919999999</v>
      </c>
      <c r="N293">
        <v>-0.238431161</v>
      </c>
      <c r="O293">
        <v>-3.3973469999999999</v>
      </c>
      <c r="P293">
        <v>-5.4872551700000001</v>
      </c>
      <c r="Q293">
        <v>0.71607590499999996</v>
      </c>
      <c r="R293">
        <v>-2.9725929999999998</v>
      </c>
      <c r="S293">
        <v>-0.113185206</v>
      </c>
      <c r="T293">
        <v>-5.5889196329999997</v>
      </c>
      <c r="U293">
        <v>-1.7750809999999999</v>
      </c>
      <c r="V293">
        <v>-2.6408284480000002</v>
      </c>
      <c r="W293">
        <v>-2.1390575379999999</v>
      </c>
      <c r="X293">
        <v>-0.52392300599999997</v>
      </c>
      <c r="Y293">
        <v>3.2230000000000002E-2</v>
      </c>
      <c r="Z293">
        <v>2.6513896049999999</v>
      </c>
      <c r="AA293">
        <v>-6.6221419709999996</v>
      </c>
      <c r="AB293">
        <v>-1.1782530360000001</v>
      </c>
      <c r="AC293">
        <v>-5.8802487770000003</v>
      </c>
      <c r="AD293">
        <v>0.56254166900000002</v>
      </c>
      <c r="AE293">
        <v>-1.3374557170000001</v>
      </c>
      <c r="AF293">
        <v>-1.223681934</v>
      </c>
      <c r="AG293">
        <v>-0.12819124200000001</v>
      </c>
      <c r="AH293">
        <v>-0.92964686600000002</v>
      </c>
      <c r="AI293">
        <v>-1.4639939630000001</v>
      </c>
      <c r="AJ293">
        <v>-1.3014144320000001</v>
      </c>
      <c r="AK293">
        <v>-1.1464088400000001</v>
      </c>
      <c r="AL293">
        <v>-1.6223149109999999</v>
      </c>
      <c r="AM293">
        <v>0.389982259</v>
      </c>
      <c r="AN293">
        <v>-4.3554877049999998</v>
      </c>
      <c r="AO293">
        <v>-0.196323318</v>
      </c>
      <c r="AP293">
        <v>-3.85175315</v>
      </c>
      <c r="AQ293">
        <v>-4.6872340899999996</v>
      </c>
      <c r="AR293">
        <v>-2.9107800999999999E-2</v>
      </c>
      <c r="AS293">
        <v>0.51983281000000003</v>
      </c>
      <c r="AT293">
        <v>-1.175154201</v>
      </c>
      <c r="AU293">
        <v>6.9568199999999998E-4</v>
      </c>
    </row>
    <row r="294" spans="1:47" x14ac:dyDescent="0.2">
      <c r="A294" t="s">
        <v>358</v>
      </c>
      <c r="B294" s="74">
        <v>44013</v>
      </c>
      <c r="C294">
        <v>-14.851950391999999</v>
      </c>
      <c r="D294">
        <v>-7.0200180899999998</v>
      </c>
      <c r="E294">
        <v>-11.243785497999999</v>
      </c>
      <c r="F294">
        <v>-11.635739588</v>
      </c>
      <c r="G294">
        <v>-8.9646241829999997</v>
      </c>
      <c r="H294">
        <v>-11.042537245</v>
      </c>
      <c r="I294">
        <v>-7.0472094900000002</v>
      </c>
      <c r="J294">
        <v>-12.925723099000001</v>
      </c>
      <c r="K294">
        <v>11.7</v>
      </c>
      <c r="L294">
        <v>-8.8487394629999994</v>
      </c>
      <c r="M294">
        <v>-9.4811335119999995</v>
      </c>
      <c r="N294">
        <v>-6.31245075</v>
      </c>
      <c r="O294">
        <v>-11.548246000000001</v>
      </c>
      <c r="P294">
        <v>-17.826255917000001</v>
      </c>
      <c r="Q294">
        <v>-6.7561617680000001</v>
      </c>
      <c r="R294">
        <v>-11.165827</v>
      </c>
      <c r="S294">
        <v>-6.1642522179999997</v>
      </c>
      <c r="T294">
        <v>-13.544258243</v>
      </c>
      <c r="U294">
        <v>-10.187738</v>
      </c>
      <c r="V294">
        <v>-20.991372605999999</v>
      </c>
      <c r="W294">
        <v>-13.317788502000001</v>
      </c>
      <c r="X294">
        <v>-14.204315193999999</v>
      </c>
      <c r="Y294">
        <v>-23.883759999999999</v>
      </c>
      <c r="Z294">
        <v>-5.5297497379999996</v>
      </c>
      <c r="AA294">
        <v>-6.5273831009999999</v>
      </c>
      <c r="AB294">
        <v>-8.6973810319999991</v>
      </c>
      <c r="AC294">
        <v>-12.101330196999999</v>
      </c>
      <c r="AD294">
        <v>-8.0588818870000001</v>
      </c>
      <c r="AE294">
        <v>-3.026935758</v>
      </c>
      <c r="AF294">
        <v>-5.6264047469999996</v>
      </c>
      <c r="AG294">
        <v>-7.1595363580000004</v>
      </c>
      <c r="AH294">
        <v>-17.959203546000001</v>
      </c>
      <c r="AI294">
        <v>-7.8706801259999999</v>
      </c>
      <c r="AJ294">
        <v>-4.7772023160000003</v>
      </c>
      <c r="AK294">
        <v>-10.393864593</v>
      </c>
      <c r="AL294">
        <v>-10.323035217999999</v>
      </c>
      <c r="AM294">
        <v>-9.0947213579999993</v>
      </c>
      <c r="AN294">
        <v>-15.119496960999999</v>
      </c>
      <c r="AO294">
        <v>-4.4850020739999996</v>
      </c>
      <c r="AP294">
        <v>-7.2320938679999998</v>
      </c>
      <c r="AQ294">
        <v>-9.6938314979999998</v>
      </c>
      <c r="AR294">
        <v>-8.0588298859999998</v>
      </c>
      <c r="AS294">
        <v>-10.371752592</v>
      </c>
      <c r="AT294">
        <v>-8.4843361539999993</v>
      </c>
      <c r="AU294">
        <v>-17.094183365999999</v>
      </c>
    </row>
    <row r="295" spans="1:47" x14ac:dyDescent="0.2">
      <c r="A295" t="s">
        <v>359</v>
      </c>
      <c r="B295" s="74">
        <v>44105</v>
      </c>
      <c r="C295">
        <v>11.911785776</v>
      </c>
      <c r="D295">
        <v>3.4939509719999999</v>
      </c>
      <c r="E295">
        <v>11.232721004</v>
      </c>
      <c r="F295">
        <v>11.894648290999999</v>
      </c>
      <c r="G295">
        <v>7.9909373539999997</v>
      </c>
      <c r="H295">
        <v>8.9839583770000004</v>
      </c>
      <c r="I295">
        <v>7.3159250309999999</v>
      </c>
      <c r="J295">
        <v>5.3324990449999996</v>
      </c>
      <c r="K295">
        <v>3.3</v>
      </c>
      <c r="L295">
        <v>6.953208665</v>
      </c>
      <c r="M295">
        <v>9.0046949089999995</v>
      </c>
      <c r="N295">
        <v>5.7769927589999996</v>
      </c>
      <c r="O295">
        <v>12.648902</v>
      </c>
      <c r="P295">
        <v>16.637933628999999</v>
      </c>
      <c r="Q295">
        <v>4.7756701709999998</v>
      </c>
      <c r="R295">
        <v>11.774905</v>
      </c>
      <c r="S295">
        <v>4.8915971540000003</v>
      </c>
      <c r="T295">
        <v>18.440755679999999</v>
      </c>
      <c r="U295">
        <v>9.4555349999999994</v>
      </c>
      <c r="V295">
        <v>16.608614292999999</v>
      </c>
      <c r="W295">
        <v>5.4375338400000004</v>
      </c>
      <c r="X295">
        <v>11.555562552</v>
      </c>
      <c r="Y295">
        <v>22.83832</v>
      </c>
      <c r="Z295">
        <v>13.269687138</v>
      </c>
      <c r="AA295">
        <v>2.7188038809999999</v>
      </c>
      <c r="AB295">
        <v>8.6449781530000003</v>
      </c>
      <c r="AC295">
        <v>14.476293182999999</v>
      </c>
      <c r="AD295">
        <v>5.5159193740000001</v>
      </c>
      <c r="AE295">
        <v>2.3477855380000001</v>
      </c>
      <c r="AF295">
        <v>8.3190497889999993</v>
      </c>
      <c r="AG295">
        <v>5.4711220740000002</v>
      </c>
      <c r="AH295">
        <v>13.653574603999999</v>
      </c>
      <c r="AI295">
        <v>6.2190626790000003</v>
      </c>
      <c r="AJ295">
        <v>4.5154047799999999</v>
      </c>
      <c r="AK295">
        <v>13.675110018</v>
      </c>
      <c r="AL295">
        <v>9.4413478180000006</v>
      </c>
      <c r="AM295">
        <v>7.3365250270000004</v>
      </c>
      <c r="AN295">
        <v>14.588001222000001</v>
      </c>
      <c r="AO295">
        <v>2.7780786000000002</v>
      </c>
      <c r="AP295">
        <v>9.0602519570000002</v>
      </c>
      <c r="AQ295">
        <v>12.058701408999999</v>
      </c>
      <c r="AR295">
        <v>7.3253525760000002</v>
      </c>
      <c r="AS295">
        <v>15.649317805000001</v>
      </c>
      <c r="AT295">
        <v>7.854483117</v>
      </c>
      <c r="AU295">
        <v>13.764967337</v>
      </c>
    </row>
    <row r="296" spans="1:47" x14ac:dyDescent="0.2">
      <c r="A296" t="s">
        <v>360</v>
      </c>
      <c r="B296" s="74">
        <v>44197</v>
      </c>
      <c r="C296">
        <v>4.2517845650000003</v>
      </c>
      <c r="D296">
        <v>3.4386588360000001</v>
      </c>
      <c r="E296">
        <v>-1.8935235130000001</v>
      </c>
      <c r="F296">
        <v>-0.115091888</v>
      </c>
      <c r="G296">
        <v>3.174789477</v>
      </c>
      <c r="H296">
        <v>2.1924212609999998</v>
      </c>
      <c r="I296">
        <v>0.26850127000000001</v>
      </c>
      <c r="J296">
        <v>6.698024438</v>
      </c>
      <c r="K296">
        <v>2.4</v>
      </c>
      <c r="L296">
        <v>1.140550376</v>
      </c>
      <c r="M296">
        <v>0.62147154299999996</v>
      </c>
      <c r="N296">
        <v>9.7948726999999999E-2</v>
      </c>
      <c r="O296">
        <v>-0.344474</v>
      </c>
      <c r="P296">
        <v>-5.8975087000000002E-2</v>
      </c>
      <c r="Q296">
        <v>2.6832742399999998</v>
      </c>
      <c r="R296">
        <v>-0.15817300000000001</v>
      </c>
      <c r="S296">
        <v>0.75628763700000001</v>
      </c>
      <c r="T296">
        <v>-0.89663341299999999</v>
      </c>
      <c r="U296">
        <v>0.82547800000000005</v>
      </c>
      <c r="V296">
        <v>1.2138809829999999</v>
      </c>
      <c r="W296">
        <v>4.1353022519999998</v>
      </c>
      <c r="X296">
        <v>1.516174395</v>
      </c>
      <c r="Y296">
        <v>7.99139</v>
      </c>
      <c r="Z296">
        <v>-5.10338051</v>
      </c>
      <c r="AA296">
        <v>5.2221042889999998</v>
      </c>
      <c r="AB296">
        <v>2.2851741419999998</v>
      </c>
      <c r="AC296">
        <v>-0.824781612</v>
      </c>
      <c r="AD296">
        <v>1.627127317</v>
      </c>
      <c r="AE296">
        <v>1.2137428459999999</v>
      </c>
      <c r="AF296">
        <v>-0.28854147600000002</v>
      </c>
      <c r="AG296">
        <v>1.8827217970000001</v>
      </c>
      <c r="AH296">
        <v>3.6649405939999999</v>
      </c>
      <c r="AI296">
        <v>1.8218768E-2</v>
      </c>
      <c r="AJ296">
        <v>0.71677371999999995</v>
      </c>
      <c r="AK296">
        <v>-0.41913703499999999</v>
      </c>
      <c r="AL296">
        <v>0.98872898200000003</v>
      </c>
      <c r="AM296">
        <v>-2.4028912999999999E-2</v>
      </c>
      <c r="AN296">
        <v>0.37056324499999999</v>
      </c>
      <c r="AO296">
        <v>0.73974322400000003</v>
      </c>
      <c r="AP296">
        <v>0.42351286999999999</v>
      </c>
      <c r="AQ296">
        <v>-0.19106504999999999</v>
      </c>
      <c r="AR296">
        <v>-0.20008411000000001</v>
      </c>
      <c r="AS296">
        <v>1.084647787</v>
      </c>
      <c r="AT296">
        <v>0.96321327899999998</v>
      </c>
      <c r="AU296">
        <v>2.6969503989999999</v>
      </c>
    </row>
    <row r="297" spans="1:47" x14ac:dyDescent="0.2">
      <c r="A297" t="s">
        <v>361</v>
      </c>
      <c r="B297" s="74">
        <v>44287</v>
      </c>
      <c r="C297">
        <v>3.5661008079999998</v>
      </c>
      <c r="D297">
        <v>1.9469403940000001</v>
      </c>
      <c r="E297">
        <v>-1.0269544340000001</v>
      </c>
      <c r="F297">
        <v>1.3167187039999999</v>
      </c>
      <c r="G297">
        <v>1.0677179489999999</v>
      </c>
      <c r="H297">
        <v>1.092953257</v>
      </c>
      <c r="I297">
        <v>-0.12146514</v>
      </c>
      <c r="J297">
        <v>3.7558806009999999</v>
      </c>
      <c r="K297">
        <v>0.6</v>
      </c>
      <c r="L297">
        <v>-0.51575419600000005</v>
      </c>
      <c r="M297">
        <v>-1.468048603</v>
      </c>
      <c r="N297">
        <v>1.0574344529999999</v>
      </c>
      <c r="O297">
        <v>-0.100304</v>
      </c>
      <c r="P297">
        <v>-0.22866331500000001</v>
      </c>
      <c r="Q297">
        <v>2.5956751699999998</v>
      </c>
      <c r="R297">
        <v>8.7816000000000005E-2</v>
      </c>
      <c r="S297">
        <v>-0.22324959999999999</v>
      </c>
      <c r="T297">
        <v>4.5911826000000003E-2</v>
      </c>
      <c r="U297">
        <v>0.55804200000000004</v>
      </c>
      <c r="V297">
        <v>-1.1691040989999999</v>
      </c>
      <c r="W297">
        <v>3.1960681040000001</v>
      </c>
      <c r="X297">
        <v>1.2388413680000001</v>
      </c>
      <c r="Y297">
        <v>0.47954999999999998</v>
      </c>
      <c r="Z297">
        <v>9.0251705970000007</v>
      </c>
      <c r="AA297">
        <v>-3.83936637</v>
      </c>
      <c r="AB297">
        <v>-3.3398249999999997E-2</v>
      </c>
      <c r="AC297">
        <v>0.264262944</v>
      </c>
      <c r="AD297">
        <v>-0.33106092999999998</v>
      </c>
      <c r="AE297">
        <v>1.724067239</v>
      </c>
      <c r="AF297">
        <v>1.9718817070000001</v>
      </c>
      <c r="AG297">
        <v>-1.132691457</v>
      </c>
      <c r="AH297">
        <v>0.48580155400000002</v>
      </c>
      <c r="AI297">
        <v>6.6441466000000005E-2</v>
      </c>
      <c r="AJ297">
        <v>-3.6181065999999998E-2</v>
      </c>
      <c r="AK297">
        <v>1.7249295950000001</v>
      </c>
      <c r="AL297">
        <v>0.80124673000000002</v>
      </c>
      <c r="AM297">
        <v>1.354336803</v>
      </c>
      <c r="AN297">
        <v>-2.5703857389999998</v>
      </c>
      <c r="AO297">
        <v>0.68078932599999997</v>
      </c>
      <c r="AP297">
        <v>-1.3639083439999999</v>
      </c>
      <c r="AQ297">
        <v>1.648343398</v>
      </c>
      <c r="AR297">
        <v>1.675130075</v>
      </c>
      <c r="AS297">
        <v>2.6166590589999998</v>
      </c>
      <c r="AT297">
        <v>1.5427919990000001</v>
      </c>
      <c r="AU297">
        <v>0.82292430299999997</v>
      </c>
    </row>
    <row r="298" spans="1:47" x14ac:dyDescent="0.2">
      <c r="A298" t="s">
        <v>362</v>
      </c>
      <c r="B298" s="74">
        <v>44378</v>
      </c>
      <c r="C298">
        <v>-0.617639673</v>
      </c>
      <c r="D298">
        <v>0.58836982500000001</v>
      </c>
      <c r="E298">
        <v>4.1793746250000003</v>
      </c>
      <c r="F298">
        <v>1.7114084730000001</v>
      </c>
      <c r="G298">
        <v>-0.279217622</v>
      </c>
      <c r="H298">
        <v>-0.79204875299999999</v>
      </c>
      <c r="I298">
        <v>1.991400821</v>
      </c>
      <c r="J298">
        <v>1.3666699090000001</v>
      </c>
      <c r="K298">
        <v>1.5</v>
      </c>
      <c r="L298">
        <v>1.407038024</v>
      </c>
      <c r="M298">
        <v>1.928643933</v>
      </c>
      <c r="N298">
        <v>1.88736584</v>
      </c>
      <c r="O298">
        <v>1.9871890000000001</v>
      </c>
      <c r="P298">
        <v>1.3522055589999999</v>
      </c>
      <c r="Q298">
        <v>2.8190266660000001</v>
      </c>
      <c r="R298">
        <v>1.9699960000000001</v>
      </c>
      <c r="S298">
        <v>1.576814658</v>
      </c>
      <c r="T298">
        <v>1.033615068</v>
      </c>
      <c r="U298">
        <v>1.7968770000000001</v>
      </c>
      <c r="V298">
        <v>6.5410800480000004</v>
      </c>
      <c r="W298">
        <v>1.5140366869999999</v>
      </c>
      <c r="X298">
        <v>2.589262825</v>
      </c>
      <c r="Y298">
        <v>-10.029170000000001</v>
      </c>
      <c r="Z298">
        <v>1.9457702139999999</v>
      </c>
      <c r="AA298">
        <v>4.7902804889999997</v>
      </c>
      <c r="AB298">
        <v>3.8953687800000001</v>
      </c>
      <c r="AC298">
        <v>2.4903965700000001</v>
      </c>
      <c r="AD298">
        <v>0.36630653400000002</v>
      </c>
      <c r="AE298">
        <v>0.83334792899999999</v>
      </c>
      <c r="AF298">
        <v>0.59466018899999995</v>
      </c>
      <c r="AG298">
        <v>2.9957725380000002</v>
      </c>
      <c r="AH298">
        <v>0.94683284700000003</v>
      </c>
      <c r="AI298">
        <v>3.8055733009999999</v>
      </c>
      <c r="AJ298">
        <v>0.59686853500000003</v>
      </c>
      <c r="AK298">
        <v>2.3471706060000002</v>
      </c>
      <c r="AL298">
        <v>1.7118463639999999</v>
      </c>
      <c r="AM298">
        <v>2.0157983719999999</v>
      </c>
      <c r="AN298">
        <v>4.4247429800000004</v>
      </c>
      <c r="AO298">
        <v>3.1909337409999998</v>
      </c>
      <c r="AP298">
        <v>1.7951056869999999</v>
      </c>
      <c r="AQ298">
        <v>1.8562636539999999</v>
      </c>
      <c r="AR298">
        <v>0.90496957600000005</v>
      </c>
      <c r="AS298">
        <v>1.994956988</v>
      </c>
      <c r="AT298">
        <v>1.707015905</v>
      </c>
      <c r="AU298">
        <v>1.3879124949999999</v>
      </c>
    </row>
    <row r="299" spans="1:47" x14ac:dyDescent="0.2">
      <c r="A299" t="s">
        <v>363</v>
      </c>
      <c r="B299" s="74">
        <v>44470</v>
      </c>
      <c r="C299">
        <v>3.865873793</v>
      </c>
      <c r="D299">
        <v>-1.8297955859999999</v>
      </c>
      <c r="E299">
        <v>4.1891271940000001</v>
      </c>
      <c r="F299">
        <v>2.1019125509999999</v>
      </c>
      <c r="G299">
        <v>5.9429285999999998E-2</v>
      </c>
      <c r="H299">
        <v>1.30781901</v>
      </c>
      <c r="I299">
        <v>1.796021903</v>
      </c>
      <c r="J299">
        <v>4.439093508</v>
      </c>
      <c r="K299">
        <v>0.4</v>
      </c>
      <c r="L299">
        <v>1.6988365430000001</v>
      </c>
      <c r="M299">
        <v>0.78523687499999995</v>
      </c>
      <c r="N299">
        <v>0.767130074</v>
      </c>
      <c r="O299">
        <v>2.171443</v>
      </c>
      <c r="P299">
        <v>3.1081884460000002</v>
      </c>
      <c r="Q299">
        <v>0.77773760999999997</v>
      </c>
      <c r="R299">
        <v>2.0386679999999999</v>
      </c>
      <c r="S299">
        <v>0.936605672</v>
      </c>
      <c r="T299">
        <v>3.3848939740000001</v>
      </c>
      <c r="U299">
        <v>0.98577800000000004</v>
      </c>
      <c r="V299">
        <v>1.765907329</v>
      </c>
      <c r="W299">
        <v>2.4324156440000002</v>
      </c>
      <c r="X299">
        <v>1.0663621619999999</v>
      </c>
      <c r="Y299">
        <v>11.15474</v>
      </c>
      <c r="Z299">
        <v>4.4374283959999996</v>
      </c>
      <c r="AA299">
        <v>0.92805134899999997</v>
      </c>
      <c r="AB299">
        <v>1.7622152449999999</v>
      </c>
      <c r="AC299">
        <v>2.8297708479999999</v>
      </c>
      <c r="AD299">
        <v>-0.44995770200000001</v>
      </c>
      <c r="AE299">
        <v>0.21323898299999999</v>
      </c>
      <c r="AF299">
        <v>-0.268588614</v>
      </c>
      <c r="AG299">
        <v>0.60185919700000001</v>
      </c>
      <c r="AH299">
        <v>-0.52895294599999998</v>
      </c>
      <c r="AI299">
        <v>1.5155148899999999</v>
      </c>
      <c r="AJ299">
        <v>4.0270289779999997</v>
      </c>
      <c r="AK299">
        <v>-3.9354336029999999</v>
      </c>
      <c r="AL299">
        <v>1.203518248</v>
      </c>
      <c r="AM299">
        <v>2.6022336639999999</v>
      </c>
      <c r="AN299">
        <v>2.7819234320000001</v>
      </c>
      <c r="AO299">
        <v>-0.79450589500000002</v>
      </c>
      <c r="AP299">
        <v>0.40475468100000001</v>
      </c>
      <c r="AQ299">
        <v>1.4140698380000001</v>
      </c>
      <c r="AR299">
        <v>1.629487795</v>
      </c>
      <c r="AS299">
        <v>2.7144828259999998</v>
      </c>
      <c r="AT299">
        <v>0.65669449099999999</v>
      </c>
      <c r="AU299">
        <v>-1.801676582</v>
      </c>
    </row>
    <row r="300" spans="1:47" x14ac:dyDescent="0.2">
      <c r="A300" t="s">
        <v>364</v>
      </c>
      <c r="B300" s="74">
        <v>44562</v>
      </c>
      <c r="C300">
        <v>1.6314893610000001</v>
      </c>
      <c r="D300">
        <v>3.8535008519999998</v>
      </c>
      <c r="E300">
        <v>-1.2791002229999999</v>
      </c>
      <c r="F300">
        <v>0.42656539799999998</v>
      </c>
      <c r="G300">
        <v>0.774884719</v>
      </c>
      <c r="H300">
        <v>1.602575751</v>
      </c>
      <c r="I300">
        <v>0.108312855</v>
      </c>
      <c r="J300">
        <v>1.7390397959999999</v>
      </c>
      <c r="K300">
        <v>1.4</v>
      </c>
      <c r="L300">
        <v>0.84683267900000003</v>
      </c>
      <c r="M300">
        <v>-2.8155110000000001E-2</v>
      </c>
      <c r="N300">
        <v>2.7120921529999999</v>
      </c>
      <c r="O300">
        <v>0.48607800000000001</v>
      </c>
      <c r="P300">
        <v>2.2652908900000002</v>
      </c>
      <c r="Q300">
        <v>0.8264551</v>
      </c>
      <c r="R300">
        <v>0.65152299999999996</v>
      </c>
      <c r="S300">
        <v>0.69765443800000004</v>
      </c>
      <c r="T300">
        <v>0.51323854400000002</v>
      </c>
      <c r="U300">
        <v>1.2621800000000001</v>
      </c>
      <c r="V300">
        <v>1.6213622809999999</v>
      </c>
      <c r="W300">
        <v>0.92401715600000001</v>
      </c>
      <c r="X300">
        <v>2.317358247</v>
      </c>
      <c r="Y300">
        <v>4.9840099999999996</v>
      </c>
      <c r="Z300">
        <v>-1.853601308</v>
      </c>
      <c r="AA300">
        <v>3.1747823199999998</v>
      </c>
      <c r="AB300">
        <v>4.5790670709999999</v>
      </c>
      <c r="AC300">
        <v>0.84642793100000002</v>
      </c>
      <c r="AD300">
        <v>0.95135993500000005</v>
      </c>
      <c r="AE300">
        <v>1.3377757400000001</v>
      </c>
      <c r="AF300">
        <v>1.7197444040000001</v>
      </c>
      <c r="AG300">
        <v>1.9222289E-2</v>
      </c>
      <c r="AH300">
        <v>0.310567818</v>
      </c>
      <c r="AI300">
        <v>0.68981186900000002</v>
      </c>
      <c r="AJ300">
        <v>0.121159847</v>
      </c>
      <c r="AK300">
        <v>3.019312582</v>
      </c>
      <c r="AL300">
        <v>1.3170089279999999</v>
      </c>
      <c r="AM300">
        <v>1.7831243990000001</v>
      </c>
      <c r="AN300">
        <v>1.938735949</v>
      </c>
      <c r="AP300">
        <v>0.394555184</v>
      </c>
      <c r="AQ300">
        <v>5.1814090290000001</v>
      </c>
      <c r="AR300">
        <v>1.3307627710000001</v>
      </c>
      <c r="AS300">
        <v>1.575638393</v>
      </c>
      <c r="AT300">
        <v>1.6956940199999999</v>
      </c>
      <c r="AU300">
        <v>1.369403562</v>
      </c>
    </row>
    <row r="301" spans="1:47" x14ac:dyDescent="0.2">
      <c r="A301" t="s">
        <v>365</v>
      </c>
      <c r="B301" s="74">
        <v>44652</v>
      </c>
      <c r="C301">
        <v>1.1789565559999999</v>
      </c>
      <c r="D301">
        <v>0.71095828800000005</v>
      </c>
      <c r="E301">
        <v>1.320933138</v>
      </c>
      <c r="F301">
        <v>0.53907644700000001</v>
      </c>
      <c r="G301">
        <v>1.1223609489999999</v>
      </c>
      <c r="H301">
        <v>0.76495181199999995</v>
      </c>
      <c r="I301">
        <v>0.31013256900000002</v>
      </c>
      <c r="J301">
        <v>-0.56382043100000001</v>
      </c>
      <c r="K301">
        <v>1.4</v>
      </c>
      <c r="L301">
        <v>0.62057495900000004</v>
      </c>
      <c r="M301">
        <v>0.798122004</v>
      </c>
      <c r="N301">
        <v>-0.50616866299999996</v>
      </c>
      <c r="O301">
        <v>0.66584900000000002</v>
      </c>
      <c r="P301">
        <v>-0.18885871900000001</v>
      </c>
      <c r="Q301">
        <v>2.1021411E-2</v>
      </c>
      <c r="R301">
        <v>0.77595800000000004</v>
      </c>
      <c r="S301">
        <v>0.51534956700000001</v>
      </c>
      <c r="T301">
        <v>-0.24892109500000001</v>
      </c>
      <c r="U301">
        <v>-4.4289000000000002E-2</v>
      </c>
      <c r="V301">
        <v>0.69160879200000003</v>
      </c>
      <c r="W301">
        <v>2.873258216</v>
      </c>
      <c r="X301">
        <v>1.839275062</v>
      </c>
      <c r="Y301">
        <v>-1.3534299999999999</v>
      </c>
      <c r="Z301">
        <v>6.1887521440000004</v>
      </c>
      <c r="AA301">
        <v>-0.85468434900000001</v>
      </c>
      <c r="AB301">
        <v>-0.68780330099999998</v>
      </c>
      <c r="AC301">
        <v>0.140863235</v>
      </c>
      <c r="AD301">
        <v>5.2124403E-2</v>
      </c>
      <c r="AE301">
        <v>0.63396788500000001</v>
      </c>
      <c r="AF301">
        <v>0.68498460999999999</v>
      </c>
      <c r="AG301">
        <v>2.2327526849999999</v>
      </c>
      <c r="AH301">
        <v>1.1419108490000001</v>
      </c>
      <c r="AI301">
        <v>0.439549364</v>
      </c>
      <c r="AJ301">
        <v>-0.85157061300000003</v>
      </c>
      <c r="AK301">
        <v>-0.23618889200000001</v>
      </c>
      <c r="AL301">
        <v>0.25690757199999997</v>
      </c>
      <c r="AM301">
        <v>2.4657446379999999</v>
      </c>
      <c r="AN301">
        <v>2.3828223130000001</v>
      </c>
      <c r="AP301">
        <v>0.42511570100000001</v>
      </c>
      <c r="AQ301">
        <v>0.68595805300000001</v>
      </c>
      <c r="AR301">
        <v>0.18088425599999999</v>
      </c>
      <c r="AS301">
        <v>0.67392446299999997</v>
      </c>
      <c r="AT301">
        <v>-0.41033818500000002</v>
      </c>
      <c r="AU301">
        <v>1.74312424</v>
      </c>
    </row>
    <row r="302" spans="1:47" x14ac:dyDescent="0.2">
      <c r="A302" t="s">
        <v>366</v>
      </c>
      <c r="B302" s="74">
        <v>44743</v>
      </c>
      <c r="C302">
        <v>1.0426200160000001</v>
      </c>
      <c r="D302">
        <v>0.89292811500000002</v>
      </c>
      <c r="E302">
        <v>1.8834100789999999</v>
      </c>
      <c r="F302">
        <v>0.19418155100000001</v>
      </c>
      <c r="G302">
        <v>1.2325283010000001</v>
      </c>
      <c r="H302">
        <v>0.80711381100000001</v>
      </c>
      <c r="I302">
        <v>0.27008766699999998</v>
      </c>
      <c r="J302">
        <v>-7.0224980000000003E-3</v>
      </c>
      <c r="K302">
        <v>-2.6</v>
      </c>
      <c r="L302">
        <v>0.45131357900000002</v>
      </c>
      <c r="M302">
        <v>0.13972484700000001</v>
      </c>
      <c r="N302">
        <v>0.86253791499999999</v>
      </c>
      <c r="O302">
        <v>0.771455</v>
      </c>
      <c r="P302">
        <v>1.4589737279999999</v>
      </c>
      <c r="Q302">
        <v>-1.3409473169999999</v>
      </c>
      <c r="R302">
        <v>0.68632400000000005</v>
      </c>
      <c r="S302">
        <v>0.97448347300000004</v>
      </c>
      <c r="T302">
        <v>0.53728516199999998</v>
      </c>
      <c r="U302">
        <v>0.203516</v>
      </c>
      <c r="V302">
        <v>0.23497788</v>
      </c>
      <c r="W302">
        <v>1.2284964</v>
      </c>
      <c r="X302">
        <v>1.113577174</v>
      </c>
      <c r="Y302">
        <v>-1.43198</v>
      </c>
      <c r="Z302">
        <v>1.781407932</v>
      </c>
      <c r="AA302">
        <v>3.8924107100000001</v>
      </c>
      <c r="AB302">
        <v>1.653167772</v>
      </c>
      <c r="AC302">
        <v>1.0908389709999999</v>
      </c>
      <c r="AD302">
        <v>0.86134734599999996</v>
      </c>
      <c r="AE302">
        <v>0.73926675799999997</v>
      </c>
      <c r="AF302">
        <v>-0.53164777100000005</v>
      </c>
      <c r="AG302">
        <v>3.4345136999999998E-2</v>
      </c>
      <c r="AH302">
        <v>0.92437563</v>
      </c>
      <c r="AI302">
        <v>2.557053646</v>
      </c>
      <c r="AJ302">
        <v>0.71027080600000003</v>
      </c>
      <c r="AK302">
        <v>1.7138177489999999</v>
      </c>
      <c r="AL302">
        <v>0.4</v>
      </c>
      <c r="AM302">
        <v>-2.1178533509999999</v>
      </c>
      <c r="AN302">
        <v>0.12723484500000001</v>
      </c>
      <c r="AP302">
        <v>0.45312471999999998</v>
      </c>
      <c r="AQ302">
        <v>0.83927923400000004</v>
      </c>
      <c r="AR302">
        <v>0.89897266399999998</v>
      </c>
      <c r="AS302">
        <v>2.069927377</v>
      </c>
      <c r="AT302">
        <v>-0.144633973</v>
      </c>
      <c r="AU302">
        <v>-0.73630935500000005</v>
      </c>
    </row>
    <row r="303" spans="1:47" x14ac:dyDescent="0.2">
      <c r="A303" t="s">
        <v>367</v>
      </c>
      <c r="B303" s="74">
        <v>44835</v>
      </c>
    </row>
    <row r="304" spans="1:47" x14ac:dyDescent="0.2">
      <c r="A304" t="s">
        <v>368</v>
      </c>
      <c r="B304" s="74">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baseColWidth="10" defaultColWidth="9.1640625" defaultRowHeight="15" x14ac:dyDescent="0.2"/>
  <cols>
    <col min="1" max="1" width="9.1640625" style="67" customWidth="1"/>
    <col min="2" max="2" width="11.1640625" style="67" customWidth="1"/>
    <col min="3" max="5" width="9.1640625" style="2" customWidth="1"/>
    <col min="6" max="6" width="10.6640625" style="2" bestFit="1" customWidth="1"/>
    <col min="7" max="7" width="10.6640625" style="2" customWidth="1"/>
    <col min="8" max="46" width="9.1640625" style="2" customWidth="1"/>
    <col min="47" max="59" width="9.1640625" style="67" customWidth="1"/>
    <col min="60" max="16384" width="9.1640625" style="67"/>
  </cols>
  <sheetData>
    <row r="1" spans="1:49"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2">
      <c r="A2" t="s">
        <v>66</v>
      </c>
      <c r="B2" s="74">
        <v>17349</v>
      </c>
    </row>
    <row r="3" spans="1:49" x14ac:dyDescent="0.2">
      <c r="A3" t="s">
        <v>67</v>
      </c>
      <c r="B3" s="74">
        <v>17441</v>
      </c>
    </row>
    <row r="4" spans="1:49" x14ac:dyDescent="0.2">
      <c r="A4" t="s">
        <v>68</v>
      </c>
      <c r="B4" s="74">
        <v>17533</v>
      </c>
    </row>
    <row r="5" spans="1:49" x14ac:dyDescent="0.2">
      <c r="A5" t="s">
        <v>69</v>
      </c>
      <c r="B5" s="74">
        <v>17624</v>
      </c>
      <c r="AV5">
        <v>2.6047334659999999</v>
      </c>
    </row>
    <row r="6" spans="1:49" x14ac:dyDescent="0.2">
      <c r="A6" t="s">
        <v>70</v>
      </c>
      <c r="B6" s="74">
        <v>17715</v>
      </c>
      <c r="AV6">
        <v>4.5773238760000003</v>
      </c>
    </row>
    <row r="7" spans="1:49" x14ac:dyDescent="0.2">
      <c r="A7" t="s">
        <v>71</v>
      </c>
      <c r="B7" s="74">
        <v>17807</v>
      </c>
      <c r="AV7">
        <v>5.3941211969999996</v>
      </c>
    </row>
    <row r="8" spans="1:49" x14ac:dyDescent="0.2">
      <c r="A8" t="s">
        <v>72</v>
      </c>
      <c r="B8" s="74">
        <v>17899</v>
      </c>
      <c r="AV8">
        <v>3.8867828379999998</v>
      </c>
    </row>
    <row r="9" spans="1:49" x14ac:dyDescent="0.2">
      <c r="A9" t="s">
        <v>73</v>
      </c>
      <c r="B9" s="74">
        <v>17989</v>
      </c>
      <c r="AV9">
        <v>0.93698411699999995</v>
      </c>
    </row>
    <row r="10" spans="1:49" x14ac:dyDescent="0.2">
      <c r="A10" t="s">
        <v>74</v>
      </c>
      <c r="B10" s="74">
        <v>18080</v>
      </c>
      <c r="AV10">
        <v>-1.0408129699999999</v>
      </c>
    </row>
    <row r="11" spans="1:49" x14ac:dyDescent="0.2">
      <c r="A11" t="s">
        <v>75</v>
      </c>
      <c r="B11" s="74">
        <v>18172</v>
      </c>
      <c r="AV11">
        <v>-0.58869120600000002</v>
      </c>
    </row>
    <row r="12" spans="1:49" x14ac:dyDescent="0.2">
      <c r="A12" t="s">
        <v>76</v>
      </c>
      <c r="B12" s="74">
        <v>18264</v>
      </c>
      <c r="AV12">
        <v>-1.5330175429999999</v>
      </c>
    </row>
    <row r="13" spans="1:49" x14ac:dyDescent="0.2">
      <c r="A13" t="s">
        <v>77</v>
      </c>
      <c r="B13" s="74">
        <v>18354</v>
      </c>
      <c r="AV13">
        <v>3.7666806990000001</v>
      </c>
    </row>
    <row r="14" spans="1:49" x14ac:dyDescent="0.2">
      <c r="A14" t="s">
        <v>78</v>
      </c>
      <c r="B14" s="74">
        <v>18445</v>
      </c>
      <c r="AV14">
        <v>7.2973606230000003</v>
      </c>
    </row>
    <row r="15" spans="1:49" x14ac:dyDescent="0.2">
      <c r="A15" t="s">
        <v>79</v>
      </c>
      <c r="B15" s="74">
        <v>18537</v>
      </c>
      <c r="AV15">
        <v>10.304959761999999</v>
      </c>
    </row>
    <row r="16" spans="1:49" x14ac:dyDescent="0.2">
      <c r="A16" t="s">
        <v>80</v>
      </c>
      <c r="B16" s="74">
        <v>18629</v>
      </c>
      <c r="AV16">
        <v>13.368522327999999</v>
      </c>
    </row>
    <row r="17" spans="1:48" x14ac:dyDescent="0.2">
      <c r="A17" t="s">
        <v>81</v>
      </c>
      <c r="B17" s="74">
        <v>18719</v>
      </c>
      <c r="AV17">
        <v>10.563012123</v>
      </c>
    </row>
    <row r="18" spans="1:48" x14ac:dyDescent="0.2">
      <c r="A18" t="s">
        <v>82</v>
      </c>
      <c r="B18" s="74">
        <v>18810</v>
      </c>
      <c r="AV18">
        <v>9.1498838239999998</v>
      </c>
    </row>
    <row r="19" spans="1:48" x14ac:dyDescent="0.2">
      <c r="A19" t="s">
        <v>83</v>
      </c>
      <c r="B19" s="74">
        <v>18902</v>
      </c>
      <c r="AV19">
        <v>7.2546955019999997</v>
      </c>
    </row>
    <row r="20" spans="1:48" x14ac:dyDescent="0.2">
      <c r="A20" t="s">
        <v>84</v>
      </c>
      <c r="B20" s="74">
        <v>18994</v>
      </c>
      <c r="AV20">
        <v>5.4713784949999997</v>
      </c>
    </row>
    <row r="21" spans="1:48" x14ac:dyDescent="0.2">
      <c r="A21" t="s">
        <v>85</v>
      </c>
      <c r="B21" s="74">
        <v>19085</v>
      </c>
      <c r="AV21">
        <v>5.170000881</v>
      </c>
    </row>
    <row r="22" spans="1:48" x14ac:dyDescent="0.2">
      <c r="A22" t="s">
        <v>86</v>
      </c>
      <c r="B22" s="74">
        <v>19176</v>
      </c>
      <c r="AV22">
        <v>3.6014209519999998</v>
      </c>
    </row>
    <row r="23" spans="1:48" x14ac:dyDescent="0.2">
      <c r="A23" t="s">
        <v>87</v>
      </c>
      <c r="B23" s="74">
        <v>19268</v>
      </c>
      <c r="AV23">
        <v>2.2420593809999998</v>
      </c>
    </row>
    <row r="24" spans="1:48" x14ac:dyDescent="0.2">
      <c r="A24" t="s">
        <v>88</v>
      </c>
      <c r="B24" s="74">
        <v>19360</v>
      </c>
      <c r="AV24">
        <v>5.3678369469999998</v>
      </c>
    </row>
    <row r="25" spans="1:48" x14ac:dyDescent="0.2">
      <c r="A25" t="s">
        <v>89</v>
      </c>
      <c r="B25" s="74">
        <v>19450</v>
      </c>
      <c r="AV25">
        <v>6.1917895940000003</v>
      </c>
    </row>
    <row r="26" spans="1:48" x14ac:dyDescent="0.2">
      <c r="A26" t="s">
        <v>90</v>
      </c>
      <c r="B26" s="74">
        <v>19541</v>
      </c>
      <c r="AV26">
        <v>6.7825801630000004</v>
      </c>
    </row>
    <row r="27" spans="1:48" x14ac:dyDescent="0.2">
      <c r="A27" t="s">
        <v>91</v>
      </c>
      <c r="B27" s="74">
        <v>19633</v>
      </c>
      <c r="AV27">
        <v>5.4207601810000003</v>
      </c>
    </row>
    <row r="28" spans="1:48" x14ac:dyDescent="0.2">
      <c r="A28" t="s">
        <v>92</v>
      </c>
      <c r="B28" s="74">
        <v>19725</v>
      </c>
      <c r="AV28">
        <v>0.52334884400000004</v>
      </c>
    </row>
    <row r="29" spans="1:48" x14ac:dyDescent="0.2">
      <c r="A29" t="s">
        <v>93</v>
      </c>
      <c r="B29" s="74">
        <v>19815</v>
      </c>
      <c r="AV29">
        <v>-1.782902464</v>
      </c>
    </row>
    <row r="30" spans="1:48" x14ac:dyDescent="0.2">
      <c r="A30" t="s">
        <v>94</v>
      </c>
      <c r="B30" s="74">
        <v>19906</v>
      </c>
      <c r="AV30">
        <v>-2.4300090499999998</v>
      </c>
    </row>
    <row r="31" spans="1:48" x14ac:dyDescent="0.2">
      <c r="A31" t="s">
        <v>95</v>
      </c>
      <c r="B31" s="74">
        <v>19998</v>
      </c>
      <c r="AV31">
        <v>-0.76976022300000002</v>
      </c>
    </row>
    <row r="32" spans="1:48" x14ac:dyDescent="0.2">
      <c r="A32" t="s">
        <v>96</v>
      </c>
      <c r="B32" s="74">
        <v>20090</v>
      </c>
      <c r="AV32">
        <v>2.7270932499999998</v>
      </c>
    </row>
    <row r="33" spans="1:48" x14ac:dyDescent="0.2">
      <c r="A33" t="s">
        <v>97</v>
      </c>
      <c r="B33" s="74">
        <v>20180</v>
      </c>
      <c r="AV33">
        <v>6.1687319870000001</v>
      </c>
    </row>
    <row r="34" spans="1:48" x14ac:dyDescent="0.2">
      <c r="A34" t="s">
        <v>98</v>
      </c>
      <c r="B34" s="74">
        <v>20271</v>
      </c>
      <c r="AV34">
        <v>7.7788443279999999</v>
      </c>
    </row>
    <row r="35" spans="1:48" x14ac:dyDescent="0.2">
      <c r="A35" t="s">
        <v>99</v>
      </c>
      <c r="B35" s="74">
        <v>20363</v>
      </c>
      <c r="AV35">
        <v>8.0145013810000005</v>
      </c>
    </row>
    <row r="36" spans="1:48" x14ac:dyDescent="0.2">
      <c r="A36" t="s">
        <v>100</v>
      </c>
      <c r="B36" s="74">
        <v>20455</v>
      </c>
      <c r="AV36">
        <v>6.5775531980000004</v>
      </c>
    </row>
    <row r="37" spans="1:48" x14ac:dyDescent="0.2">
      <c r="A37" t="s">
        <v>101</v>
      </c>
      <c r="B37" s="74">
        <v>20546</v>
      </c>
      <c r="X37">
        <v>2.7228935339999998</v>
      </c>
      <c r="AV37">
        <v>3.2155485320000001</v>
      </c>
    </row>
    <row r="38" spans="1:48" x14ac:dyDescent="0.2">
      <c r="A38" t="s">
        <v>102</v>
      </c>
      <c r="B38" s="74">
        <v>20637</v>
      </c>
      <c r="X38">
        <v>2.452136034</v>
      </c>
      <c r="AV38">
        <v>2.4021458670000002</v>
      </c>
    </row>
    <row r="39" spans="1:48" x14ac:dyDescent="0.2">
      <c r="A39" t="s">
        <v>103</v>
      </c>
      <c r="B39" s="74">
        <v>20729</v>
      </c>
      <c r="X39">
        <v>0.30544117100000001</v>
      </c>
      <c r="AV39">
        <v>0.94689641000000002</v>
      </c>
    </row>
    <row r="40" spans="1:48" x14ac:dyDescent="0.2">
      <c r="A40" t="s">
        <v>104</v>
      </c>
      <c r="B40" s="74">
        <v>20821</v>
      </c>
      <c r="X40">
        <v>1.305623668</v>
      </c>
      <c r="AV40">
        <v>1.9960335760000001</v>
      </c>
    </row>
    <row r="41" spans="1:48" x14ac:dyDescent="0.2">
      <c r="A41" t="s">
        <v>105</v>
      </c>
      <c r="B41" s="74">
        <v>20911</v>
      </c>
      <c r="X41">
        <v>2.1571354770000002</v>
      </c>
      <c r="AV41">
        <v>3.0493286199999998</v>
      </c>
    </row>
    <row r="42" spans="1:48" x14ac:dyDescent="0.2">
      <c r="A42" t="s">
        <v>106</v>
      </c>
      <c r="B42" s="74">
        <v>21002</v>
      </c>
      <c r="X42">
        <v>2.3480607999999998</v>
      </c>
      <c r="AV42">
        <v>1.9808742699999999</v>
      </c>
    </row>
    <row r="43" spans="1:48" x14ac:dyDescent="0.2">
      <c r="A43" t="s">
        <v>107</v>
      </c>
      <c r="B43" s="74">
        <v>21094</v>
      </c>
      <c r="X43">
        <v>1.8374293530000001</v>
      </c>
      <c r="AV43">
        <v>3.0729058839999999</v>
      </c>
    </row>
    <row r="44" spans="1:48" x14ac:dyDescent="0.2">
      <c r="A44" t="s">
        <v>108</v>
      </c>
      <c r="B44" s="74">
        <v>21186</v>
      </c>
      <c r="X44">
        <v>1.56655477</v>
      </c>
      <c r="AV44">
        <v>0.35513471499999999</v>
      </c>
    </row>
    <row r="45" spans="1:48" x14ac:dyDescent="0.2">
      <c r="A45" t="s">
        <v>109</v>
      </c>
      <c r="B45" s="74">
        <v>21276</v>
      </c>
      <c r="X45">
        <v>1.766138381</v>
      </c>
      <c r="AV45">
        <v>-2.8714282899999999</v>
      </c>
    </row>
    <row r="46" spans="1:48" x14ac:dyDescent="0.2">
      <c r="A46" t="s">
        <v>110</v>
      </c>
      <c r="B46" s="74">
        <v>21367</v>
      </c>
      <c r="X46">
        <v>-0.66204042299999999</v>
      </c>
      <c r="AV46">
        <v>-2.0184094849999998</v>
      </c>
    </row>
    <row r="47" spans="1:48" x14ac:dyDescent="0.2">
      <c r="A47" t="s">
        <v>111</v>
      </c>
      <c r="B47" s="74">
        <v>21459</v>
      </c>
      <c r="X47">
        <v>2.1768739429999999</v>
      </c>
      <c r="AV47">
        <v>-0.72479788599999995</v>
      </c>
    </row>
    <row r="48" spans="1:48" x14ac:dyDescent="0.2">
      <c r="A48" t="s">
        <v>112</v>
      </c>
      <c r="B48" s="74">
        <v>21551</v>
      </c>
      <c r="X48">
        <v>2.0971535280000002</v>
      </c>
      <c r="AV48">
        <v>2.6581373350000002</v>
      </c>
    </row>
    <row r="49" spans="1:49" x14ac:dyDescent="0.2">
      <c r="A49" t="s">
        <v>113</v>
      </c>
      <c r="B49" s="74">
        <v>21641</v>
      </c>
      <c r="X49">
        <v>0.551227456</v>
      </c>
      <c r="AV49">
        <v>7.4166492159999997</v>
      </c>
    </row>
    <row r="50" spans="1:49" x14ac:dyDescent="0.2">
      <c r="A50" t="s">
        <v>114</v>
      </c>
      <c r="B50" s="74">
        <v>21732</v>
      </c>
      <c r="X50">
        <v>4.7113735500000002</v>
      </c>
      <c r="AV50">
        <v>9.1218984800000005</v>
      </c>
    </row>
    <row r="51" spans="1:49" x14ac:dyDescent="0.2">
      <c r="A51" t="s">
        <v>115</v>
      </c>
      <c r="B51" s="74">
        <v>21824</v>
      </c>
      <c r="X51">
        <v>4.6333111169999999</v>
      </c>
      <c r="AV51">
        <v>6.7299987449999996</v>
      </c>
    </row>
    <row r="52" spans="1:49" x14ac:dyDescent="0.2">
      <c r="A52" t="s">
        <v>116</v>
      </c>
      <c r="B52" s="74">
        <v>21916</v>
      </c>
      <c r="X52">
        <v>7.203042849</v>
      </c>
      <c r="AV52">
        <v>4.5886632949999999</v>
      </c>
    </row>
    <row r="53" spans="1:49" x14ac:dyDescent="0.2">
      <c r="A53" t="s">
        <v>117</v>
      </c>
      <c r="B53" s="74">
        <v>22007</v>
      </c>
      <c r="X53">
        <v>9.1621046229999994</v>
      </c>
      <c r="AV53">
        <v>4.925418809</v>
      </c>
    </row>
    <row r="54" spans="1:49" x14ac:dyDescent="0.2">
      <c r="A54" t="s">
        <v>118</v>
      </c>
      <c r="B54" s="74">
        <v>22098</v>
      </c>
      <c r="X54">
        <v>6.5523869360000004</v>
      </c>
      <c r="AV54">
        <v>2.0582082119999998</v>
      </c>
    </row>
    <row r="55" spans="1:49" x14ac:dyDescent="0.2">
      <c r="A55" t="s">
        <v>119</v>
      </c>
      <c r="B55" s="74">
        <v>22190</v>
      </c>
      <c r="X55">
        <v>5.8866167330000003</v>
      </c>
      <c r="AV55">
        <v>2.4853887609999998</v>
      </c>
    </row>
    <row r="56" spans="1:49" x14ac:dyDescent="0.2">
      <c r="A56" t="s">
        <v>120</v>
      </c>
      <c r="B56" s="74">
        <v>22282</v>
      </c>
      <c r="X56">
        <v>3.8592508510000001</v>
      </c>
      <c r="AV56">
        <v>0.88268414299999998</v>
      </c>
    </row>
    <row r="57" spans="1:49" x14ac:dyDescent="0.2">
      <c r="A57" t="s">
        <v>121</v>
      </c>
      <c r="B57" s="74">
        <v>22372</v>
      </c>
      <c r="D57">
        <v>3.1024074210000001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122</v>
      </c>
      <c r="B58" s="74">
        <v>22463</v>
      </c>
      <c r="D58">
        <v>-0.77657105199999998</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123</v>
      </c>
      <c r="B59" s="74">
        <v>22555</v>
      </c>
      <c r="D59">
        <v>-1.7069335240000001</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124</v>
      </c>
      <c r="B60" s="74">
        <v>22647</v>
      </c>
      <c r="D60">
        <v>-0.39105024900000002</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125</v>
      </c>
      <c r="B61" s="74">
        <v>22737</v>
      </c>
      <c r="D61">
        <v>2.0979120849999999</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126</v>
      </c>
      <c r="B62" s="74">
        <v>22828</v>
      </c>
      <c r="D62">
        <v>5.2128458379999998</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127</v>
      </c>
      <c r="B63" s="74">
        <v>22920</v>
      </c>
      <c r="D63">
        <v>6.8270405490000003</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128</v>
      </c>
      <c r="B64" s="74">
        <v>23012</v>
      </c>
      <c r="D64">
        <v>7.5223975039999997</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129</v>
      </c>
      <c r="B65" s="74">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3.1220179969999999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3.6278810209999999</v>
      </c>
      <c r="AP65">
        <v>6.1344003960000002</v>
      </c>
      <c r="AT65">
        <v>4.0305311289999999</v>
      </c>
      <c r="AV65">
        <v>3.5978663150000001</v>
      </c>
      <c r="AW65">
        <v>5.2939124130000002</v>
      </c>
    </row>
    <row r="66" spans="1:49" x14ac:dyDescent="0.2">
      <c r="A66" t="s">
        <v>130</v>
      </c>
      <c r="B66" s="74">
        <v>23193</v>
      </c>
      <c r="D66">
        <v>3.6232878589999999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4.5709075309999996</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4.9629585660000002</v>
      </c>
      <c r="AP66">
        <v>5.9109752149999997</v>
      </c>
      <c r="AT66">
        <v>6.1393031369999997</v>
      </c>
      <c r="AV66">
        <v>3.8221569249999998</v>
      </c>
      <c r="AW66">
        <v>7.3902118200000002</v>
      </c>
    </row>
    <row r="67" spans="1:49" x14ac:dyDescent="0.2">
      <c r="A67" t="s">
        <v>131</v>
      </c>
      <c r="B67" s="74">
        <v>23285</v>
      </c>
      <c r="D67">
        <v>7.0142954389999996</v>
      </c>
      <c r="E67">
        <v>4.5119138019999996</v>
      </c>
      <c r="F67">
        <v>4.1573570880000004</v>
      </c>
      <c r="H67">
        <v>4.9683606239999998</v>
      </c>
      <c r="I67">
        <v>5.8670261359999998</v>
      </c>
      <c r="M67">
        <v>4.1020170330000001</v>
      </c>
      <c r="N67">
        <v>0.14907938800000001</v>
      </c>
      <c r="P67">
        <v>8.4144289800000003</v>
      </c>
      <c r="T67">
        <v>3.9005763490000001</v>
      </c>
      <c r="U67">
        <v>7.4423263110000004</v>
      </c>
      <c r="V67">
        <v>5.5645285270000002</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5.8346901960000004</v>
      </c>
      <c r="AP67">
        <v>5.81300404</v>
      </c>
      <c r="AT67">
        <v>5.5252815899999996</v>
      </c>
      <c r="AV67">
        <v>4.8169293460000002</v>
      </c>
      <c r="AW67">
        <v>8.1140038210000007</v>
      </c>
    </row>
    <row r="68" spans="1:49" x14ac:dyDescent="0.2">
      <c r="A68" t="s">
        <v>132</v>
      </c>
      <c r="B68" s="74">
        <v>23377</v>
      </c>
      <c r="D68">
        <v>7.3759529219999997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6.1757370270000003</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6.4402665519999998</v>
      </c>
      <c r="AP68">
        <v>5.8347617779999998</v>
      </c>
      <c r="AT68">
        <v>5.5808688950000001</v>
      </c>
      <c r="AV68">
        <v>5.1582445650000004</v>
      </c>
      <c r="AW68">
        <v>8.6277855240000001</v>
      </c>
    </row>
    <row r="69" spans="1:49" x14ac:dyDescent="0.2">
      <c r="A69" t="s">
        <v>133</v>
      </c>
      <c r="B69" s="74">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8.0501448759999992</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7.9596221170000003</v>
      </c>
      <c r="AP69">
        <v>5.9712375020000001</v>
      </c>
      <c r="AT69">
        <v>9.3198563169999993</v>
      </c>
      <c r="AV69">
        <v>6.2158208269999999</v>
      </c>
      <c r="AW69">
        <v>9.2178180140000006</v>
      </c>
    </row>
    <row r="70" spans="1:49" x14ac:dyDescent="0.2">
      <c r="A70" t="s">
        <v>134</v>
      </c>
      <c r="B70" s="74">
        <v>23559</v>
      </c>
      <c r="D70">
        <v>8.7812243379999995</v>
      </c>
      <c r="E70">
        <v>5.6946421220000003</v>
      </c>
      <c r="F70">
        <v>7.6333720500000002</v>
      </c>
      <c r="H70">
        <v>6.9120152319999999</v>
      </c>
      <c r="I70">
        <v>7.116911</v>
      </c>
      <c r="M70">
        <v>6.6882926009999997</v>
      </c>
      <c r="N70">
        <v>9.7787919110000008</v>
      </c>
      <c r="P70">
        <v>6.3725956220000004</v>
      </c>
      <c r="T70">
        <v>5.3921449030000002</v>
      </c>
      <c r="U70">
        <v>6.5834623849999998</v>
      </c>
      <c r="V70">
        <v>6.637565157</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6.7597165639999997</v>
      </c>
      <c r="AP70">
        <v>6.2646258689999996</v>
      </c>
      <c r="AT70">
        <v>5.8641500659999997</v>
      </c>
      <c r="AV70">
        <v>6.1807512630000003</v>
      </c>
      <c r="AW70">
        <v>8.3300232110000003</v>
      </c>
    </row>
    <row r="71" spans="1:49" x14ac:dyDescent="0.2">
      <c r="A71" t="s">
        <v>135</v>
      </c>
      <c r="B71" s="74">
        <v>23651</v>
      </c>
      <c r="D71">
        <v>5.1398183250000002</v>
      </c>
      <c r="E71">
        <v>5.4991637190000002</v>
      </c>
      <c r="F71">
        <v>7.5215384849999998</v>
      </c>
      <c r="H71">
        <v>7.19227375</v>
      </c>
      <c r="I71">
        <v>4.209432294</v>
      </c>
      <c r="M71">
        <v>4.1825339379999997</v>
      </c>
      <c r="N71">
        <v>10.573961513</v>
      </c>
      <c r="P71">
        <v>4.9081257239999996</v>
      </c>
      <c r="T71">
        <v>5.9764327059999998</v>
      </c>
      <c r="U71">
        <v>4.4450124730000002</v>
      </c>
      <c r="V71">
        <v>5.5268467599999997</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5.7006306599999998</v>
      </c>
      <c r="AP71">
        <v>6.7081803359999999</v>
      </c>
      <c r="AT71">
        <v>6.0109115710000003</v>
      </c>
      <c r="AV71">
        <v>5.5198295540000002</v>
      </c>
      <c r="AW71">
        <v>6.536189845</v>
      </c>
    </row>
    <row r="72" spans="1:49" x14ac:dyDescent="0.2">
      <c r="A72" t="s">
        <v>136</v>
      </c>
      <c r="B72" s="74">
        <v>23743</v>
      </c>
      <c r="D72">
        <v>5.859126861</v>
      </c>
      <c r="E72">
        <v>6.3424117720000002</v>
      </c>
      <c r="F72">
        <v>6.1545686330000002</v>
      </c>
      <c r="H72">
        <v>4.4913001250000004</v>
      </c>
      <c r="I72">
        <v>2.4589130090000002</v>
      </c>
      <c r="M72">
        <v>5.0911606020000004</v>
      </c>
      <c r="N72">
        <v>9.5618033390000008</v>
      </c>
      <c r="P72">
        <v>5.2299971249999997</v>
      </c>
      <c r="T72">
        <v>3.115370897</v>
      </c>
      <c r="U72">
        <v>5.0618788769999998</v>
      </c>
      <c r="V72">
        <v>4.9945996600000004</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5.1822668099999998</v>
      </c>
      <c r="AP72">
        <v>7.2947154149999998</v>
      </c>
      <c r="AT72">
        <v>6.2137201190000004</v>
      </c>
      <c r="AV72">
        <v>5.1563430649999997</v>
      </c>
      <c r="AW72">
        <v>7.7528101319999996</v>
      </c>
    </row>
    <row r="73" spans="1:49" x14ac:dyDescent="0.2">
      <c r="A73" t="s">
        <v>137</v>
      </c>
      <c r="B73" s="74">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4.7137036500000002</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4.9678552580000002</v>
      </c>
      <c r="AP73">
        <v>8.0172834030000004</v>
      </c>
      <c r="AT73">
        <v>5.6886050360000002</v>
      </c>
      <c r="AV73">
        <v>5.4771416009999996</v>
      </c>
      <c r="AW73">
        <v>7.8066549380000003</v>
      </c>
    </row>
    <row r="74" spans="1:49" x14ac:dyDescent="0.2">
      <c r="A74" t="s">
        <v>138</v>
      </c>
      <c r="B74" s="74">
        <v>23924</v>
      </c>
      <c r="D74">
        <v>5.9842692250000002</v>
      </c>
      <c r="E74">
        <v>3.2522840990000002</v>
      </c>
      <c r="F74">
        <v>3.5952160559999999</v>
      </c>
      <c r="H74">
        <v>5.7893380199999998</v>
      </c>
      <c r="I74">
        <v>1.425322778</v>
      </c>
      <c r="M74">
        <v>5.7322365120000001</v>
      </c>
      <c r="N74">
        <v>4.9427640759999996</v>
      </c>
      <c r="P74">
        <v>5.5810732490000001</v>
      </c>
      <c r="T74">
        <v>5.6521372950000002</v>
      </c>
      <c r="U74">
        <v>4.9148326019999997</v>
      </c>
      <c r="V74">
        <v>4.9364239239999996</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4.900432726</v>
      </c>
      <c r="AP74">
        <v>8.0787116329999993</v>
      </c>
      <c r="AT74">
        <v>4.3417600160000003</v>
      </c>
      <c r="AV74">
        <v>5.6592842589999997</v>
      </c>
      <c r="AW74">
        <v>6.914559422</v>
      </c>
    </row>
    <row r="75" spans="1:49" x14ac:dyDescent="0.2">
      <c r="A75" t="s">
        <v>139</v>
      </c>
      <c r="B75" s="74">
        <v>24016</v>
      </c>
      <c r="D75">
        <v>5.0192396119999998</v>
      </c>
      <c r="E75">
        <v>4.399167286</v>
      </c>
      <c r="F75">
        <v>2.9738086579999998</v>
      </c>
      <c r="H75">
        <v>6.1241149640000003</v>
      </c>
      <c r="I75">
        <v>3.0627734809999998</v>
      </c>
      <c r="M75">
        <v>5.3416826540000004</v>
      </c>
      <c r="N75">
        <v>3.6288257829999999</v>
      </c>
      <c r="P75">
        <v>5.8606001340000002</v>
      </c>
      <c r="T75">
        <v>5.2547513659999998</v>
      </c>
      <c r="U75">
        <v>5.1415684219999997</v>
      </c>
      <c r="V75">
        <v>5.4837736030000004</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5.2782915700000004</v>
      </c>
      <c r="AP75">
        <v>7.5109683739999999</v>
      </c>
      <c r="AT75">
        <v>2.1947753460000001</v>
      </c>
      <c r="AV75">
        <v>6.346898404</v>
      </c>
      <c r="AW75">
        <v>5.5849368559999997</v>
      </c>
    </row>
    <row r="76" spans="1:49" x14ac:dyDescent="0.2">
      <c r="A76" t="s">
        <v>140</v>
      </c>
      <c r="B76" s="74">
        <v>24108</v>
      </c>
      <c r="D76">
        <v>2.367365188</v>
      </c>
      <c r="E76">
        <v>1.9583144349999999</v>
      </c>
      <c r="F76">
        <v>2.9716978979999999</v>
      </c>
      <c r="H76">
        <v>8.1503950179999993</v>
      </c>
      <c r="I76">
        <v>3.4257111450000002</v>
      </c>
      <c r="M76">
        <v>4.5498727739999998</v>
      </c>
      <c r="N76">
        <v>2.891405765</v>
      </c>
      <c r="P76">
        <v>6.7052440000000004</v>
      </c>
      <c r="T76">
        <v>5.1902312320000004</v>
      </c>
      <c r="U76">
        <v>5.6505594129999999</v>
      </c>
      <c r="V76">
        <v>6.5839637040000003</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6.2236569959999999</v>
      </c>
      <c r="AP76">
        <v>6.3514702630000004</v>
      </c>
      <c r="AT76">
        <v>3.1242828770000002</v>
      </c>
      <c r="AV76">
        <v>8.4621648740000008</v>
      </c>
      <c r="AW76">
        <v>4.2913908430000003</v>
      </c>
    </row>
    <row r="77" spans="1:49" x14ac:dyDescent="0.2">
      <c r="A77" t="s">
        <v>141</v>
      </c>
      <c r="B77" s="74">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6.8594227500000002</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6.2800929730000004</v>
      </c>
      <c r="AP77">
        <v>4.6413947029999996</v>
      </c>
      <c r="AT77">
        <v>2.530094971</v>
      </c>
      <c r="AV77">
        <v>8.4774958389999995</v>
      </c>
      <c r="AW77">
        <v>3.759659917</v>
      </c>
    </row>
    <row r="78" spans="1:49" x14ac:dyDescent="0.2">
      <c r="A78" t="s">
        <v>142</v>
      </c>
      <c r="B78" s="74">
        <v>24289</v>
      </c>
      <c r="D78">
        <v>1.0247337649999999</v>
      </c>
      <c r="E78">
        <v>5.6253714439999998</v>
      </c>
      <c r="F78">
        <v>2.9691284339999999</v>
      </c>
      <c r="H78">
        <v>8.0867238449999999</v>
      </c>
      <c r="I78">
        <v>4.5397851869999997</v>
      </c>
      <c r="M78">
        <v>3.4243037620000001</v>
      </c>
      <c r="N78">
        <v>2.6362851310000002</v>
      </c>
      <c r="P78">
        <v>8.6694578660000001</v>
      </c>
      <c r="T78">
        <v>1.645746945</v>
      </c>
      <c r="U78">
        <v>5.3551115009999997</v>
      </c>
      <c r="V78">
        <v>6.5047264350000003</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6.3968632239999996</v>
      </c>
      <c r="AP78">
        <v>3.7571193379999999</v>
      </c>
      <c r="AT78">
        <v>2.6123488350000001</v>
      </c>
      <c r="AV78">
        <v>7.4901360869999998</v>
      </c>
      <c r="AW78">
        <v>3.8838498910000001</v>
      </c>
    </row>
    <row r="79" spans="1:49" x14ac:dyDescent="0.2">
      <c r="A79" t="s">
        <v>143</v>
      </c>
      <c r="B79" s="74">
        <v>24381</v>
      </c>
      <c r="D79">
        <v>4.1882705380000003</v>
      </c>
      <c r="E79">
        <v>3.8190904730000002</v>
      </c>
      <c r="F79">
        <v>3.1032883409999998</v>
      </c>
      <c r="H79">
        <v>6.6089894320000004</v>
      </c>
      <c r="I79">
        <v>2.1442471799999998</v>
      </c>
      <c r="M79">
        <v>2.8662204469999999</v>
      </c>
      <c r="N79">
        <v>2.711722355</v>
      </c>
      <c r="P79">
        <v>9.7082582120000005</v>
      </c>
      <c r="T79">
        <v>1.4962223699999999</v>
      </c>
      <c r="U79">
        <v>5.0387777610000004</v>
      </c>
      <c r="V79">
        <v>5.7638413399999999</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5.8234803160000004</v>
      </c>
      <c r="AP79">
        <v>3.646398429</v>
      </c>
      <c r="AT79">
        <v>8.8233064999999999E-2</v>
      </c>
      <c r="AV79">
        <v>6.0428748450000001</v>
      </c>
      <c r="AW79">
        <v>5.7482575379999998</v>
      </c>
    </row>
    <row r="80" spans="1:49" x14ac:dyDescent="0.2">
      <c r="A80" t="s">
        <v>144</v>
      </c>
      <c r="B80" s="74">
        <v>24473</v>
      </c>
      <c r="D80">
        <v>4.6171883080000002</v>
      </c>
      <c r="E80">
        <v>4.2742414159999997</v>
      </c>
      <c r="F80">
        <v>3.3795503980000001</v>
      </c>
      <c r="H80">
        <v>5.3227089589999999</v>
      </c>
      <c r="I80">
        <v>3.5905131300000002</v>
      </c>
      <c r="M80">
        <v>0.65753600899999998</v>
      </c>
      <c r="N80">
        <v>2.9188379699999998</v>
      </c>
      <c r="P80">
        <v>6.8124141429999998</v>
      </c>
      <c r="T80">
        <v>5.3523466669999999</v>
      </c>
      <c r="U80">
        <v>4.1620741189999997</v>
      </c>
      <c r="V80">
        <v>4.5043074750000001</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4.6975502369999997</v>
      </c>
      <c r="AP80">
        <v>4.2777137590000001</v>
      </c>
      <c r="AT80">
        <v>3.10840747</v>
      </c>
      <c r="AV80">
        <v>4.5050201740000002</v>
      </c>
      <c r="AW80">
        <v>4.360363048</v>
      </c>
    </row>
    <row r="81" spans="1:49" x14ac:dyDescent="0.2">
      <c r="A81" t="s">
        <v>145</v>
      </c>
      <c r="B81" s="74">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3.6167213359999999</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4.1134090030000001</v>
      </c>
      <c r="AP81">
        <v>5.6377482150000002</v>
      </c>
      <c r="AT81">
        <v>2.7802792620000001</v>
      </c>
      <c r="AV81">
        <v>2.9250362509999999</v>
      </c>
      <c r="AW81">
        <v>6.6565824950000003</v>
      </c>
    </row>
    <row r="82" spans="1:49" x14ac:dyDescent="0.2">
      <c r="A82" t="s">
        <v>146</v>
      </c>
      <c r="B82" s="74">
        <v>24654</v>
      </c>
      <c r="D82">
        <v>7.3880758249999996</v>
      </c>
      <c r="E82">
        <v>2.9300308020000001</v>
      </c>
      <c r="F82">
        <v>3.9128704480000001</v>
      </c>
      <c r="H82">
        <v>3.1012533709999999</v>
      </c>
      <c r="I82">
        <v>1.6763022830000001</v>
      </c>
      <c r="M82">
        <v>-2.2378792789999999</v>
      </c>
      <c r="N82">
        <v>3.4549168780000001</v>
      </c>
      <c r="P82">
        <v>3.7736444169999999</v>
      </c>
      <c r="T82">
        <v>3.677660328</v>
      </c>
      <c r="U82">
        <v>4.5674214409999996</v>
      </c>
      <c r="V82">
        <v>3.3861129970000001</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3.5808710530000001</v>
      </c>
      <c r="AP82">
        <v>6.9426240989999997</v>
      </c>
      <c r="AT82">
        <v>3.8104064339999999</v>
      </c>
      <c r="AV82">
        <v>2.6375152810000002</v>
      </c>
      <c r="AW82">
        <v>5.6760761469999998</v>
      </c>
    </row>
    <row r="83" spans="1:49" x14ac:dyDescent="0.2">
      <c r="A83" t="s">
        <v>147</v>
      </c>
      <c r="B83" s="74">
        <v>24746</v>
      </c>
      <c r="D83">
        <v>6.3975670449999997</v>
      </c>
      <c r="E83">
        <v>1.969745836</v>
      </c>
      <c r="F83">
        <v>4.0020776060000003</v>
      </c>
      <c r="H83">
        <v>3.4949482110000001</v>
      </c>
      <c r="I83">
        <v>1.7722052740000001</v>
      </c>
      <c r="M83">
        <v>0</v>
      </c>
      <c r="N83">
        <v>3.519794933</v>
      </c>
      <c r="P83">
        <v>3.500479377</v>
      </c>
      <c r="T83">
        <v>1.9567360899999999</v>
      </c>
      <c r="U83">
        <v>4.3769435269999999</v>
      </c>
      <c r="V83">
        <v>3.7865876479999998</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3.8821003410000001</v>
      </c>
      <c r="AP83">
        <v>8.1806455549999999</v>
      </c>
      <c r="AT83">
        <v>4.8361977549999997</v>
      </c>
      <c r="AV83">
        <v>2.7384927970000001</v>
      </c>
      <c r="AW83">
        <v>9.3783651740000007</v>
      </c>
    </row>
    <row r="84" spans="1:49" x14ac:dyDescent="0.2">
      <c r="A84" t="s">
        <v>148</v>
      </c>
      <c r="B84" s="74">
        <v>24838</v>
      </c>
      <c r="D84">
        <v>6.6217671229999997</v>
      </c>
      <c r="E84">
        <v>2.6975959309999999</v>
      </c>
      <c r="F84">
        <v>3.9077364920000002</v>
      </c>
      <c r="H84">
        <v>2.65787795</v>
      </c>
      <c r="I84">
        <v>1.1308896879999999</v>
      </c>
      <c r="M84">
        <v>2.8926405810000002</v>
      </c>
      <c r="N84">
        <v>3.4528052329999999</v>
      </c>
      <c r="P84">
        <v>2.4785926549999999</v>
      </c>
      <c r="T84">
        <v>-1.68227821</v>
      </c>
      <c r="U84">
        <v>4.8220617240000001</v>
      </c>
      <c r="V84">
        <v>4.341111165</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4.3071105039999997</v>
      </c>
      <c r="AP84">
        <v>9.34170357</v>
      </c>
      <c r="AT84">
        <v>2.1068449409999999</v>
      </c>
      <c r="AV84">
        <v>2.6708397609999999</v>
      </c>
      <c r="AW84">
        <v>7.0401236650000003</v>
      </c>
    </row>
    <row r="85" spans="1:49" x14ac:dyDescent="0.2">
      <c r="A85" t="s">
        <v>149</v>
      </c>
      <c r="B85" s="74">
        <v>24929</v>
      </c>
      <c r="D85">
        <v>1.702406632</v>
      </c>
      <c r="E85">
        <v>3.0919965270000001</v>
      </c>
      <c r="F85">
        <v>3.8183401830000001</v>
      </c>
      <c r="H85">
        <v>3.7371455710000001</v>
      </c>
      <c r="I85">
        <v>-6.5956367000000002E-2</v>
      </c>
      <c r="M85">
        <v>4.6175088840000003</v>
      </c>
      <c r="N85">
        <v>3.2574726269999998</v>
      </c>
      <c r="P85">
        <v>4.3778761040000003</v>
      </c>
      <c r="T85">
        <v>0.62448734400000006</v>
      </c>
      <c r="U85">
        <v>6.054590299</v>
      </c>
      <c r="V85">
        <v>5.3042716829999996</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5.1120615650000003</v>
      </c>
      <c r="AP85">
        <v>10.41790887</v>
      </c>
      <c r="AT85">
        <v>-0.66640725599999995</v>
      </c>
      <c r="AV85">
        <v>3.845214871</v>
      </c>
      <c r="AW85">
        <v>4.9809812850000004</v>
      </c>
    </row>
    <row r="86" spans="1:49" x14ac:dyDescent="0.2">
      <c r="A86" t="s">
        <v>150</v>
      </c>
      <c r="B86" s="74">
        <v>25020</v>
      </c>
      <c r="D86">
        <v>5.7700453219999996</v>
      </c>
      <c r="E86">
        <v>3.4257367689999998</v>
      </c>
      <c r="F86">
        <v>3.7341442059999999</v>
      </c>
      <c r="H86">
        <v>4.3603917340000002</v>
      </c>
      <c r="I86">
        <v>1.480760364</v>
      </c>
      <c r="M86">
        <v>5.7612672170000003</v>
      </c>
      <c r="N86">
        <v>3.4687645909999998</v>
      </c>
      <c r="P86">
        <v>6.2679917859999996</v>
      </c>
      <c r="T86">
        <v>1.4172811059999999</v>
      </c>
      <c r="U86">
        <v>-3.0465918479999998</v>
      </c>
      <c r="V86">
        <v>5.4945474689999996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5.523500619</v>
      </c>
      <c r="AP86">
        <v>10.206450526999999</v>
      </c>
      <c r="AT86">
        <v>4.4416426590000002</v>
      </c>
      <c r="AV86">
        <v>5.5155815099999996</v>
      </c>
      <c r="AW86">
        <v>5.2791186689999998</v>
      </c>
    </row>
    <row r="87" spans="1:49" x14ac:dyDescent="0.2">
      <c r="A87" t="s">
        <v>151</v>
      </c>
      <c r="B87" s="74">
        <v>25112</v>
      </c>
      <c r="D87">
        <v>5.1928074000000004</v>
      </c>
      <c r="E87">
        <v>5.9975590710000004</v>
      </c>
      <c r="F87">
        <v>4.1220676579999997</v>
      </c>
      <c r="H87">
        <v>5.4106085000000004</v>
      </c>
      <c r="I87">
        <v>5.5106272670000003</v>
      </c>
      <c r="M87">
        <v>5.5347002420000004</v>
      </c>
      <c r="N87">
        <v>4.0764540819999997</v>
      </c>
      <c r="P87">
        <v>5.3183672189999998</v>
      </c>
      <c r="T87">
        <v>2.3162995460000002</v>
      </c>
      <c r="U87">
        <v>6.957438518</v>
      </c>
      <c r="V87">
        <v>6.2653110989999998</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6.222871638</v>
      </c>
      <c r="AP87">
        <v>8.7880090850000006</v>
      </c>
      <c r="AT87">
        <v>6.9083291170000001</v>
      </c>
      <c r="AV87">
        <v>5.3366682330000001</v>
      </c>
      <c r="AW87">
        <v>1.320678553</v>
      </c>
    </row>
    <row r="88" spans="1:49" x14ac:dyDescent="0.2">
      <c r="A88" t="s">
        <v>152</v>
      </c>
      <c r="B88" s="74">
        <v>25204</v>
      </c>
      <c r="D88">
        <v>8.1735277449999995</v>
      </c>
      <c r="E88">
        <v>5.2524329139999999</v>
      </c>
      <c r="F88">
        <v>4.9959539160000004</v>
      </c>
      <c r="H88">
        <v>6.4354755990000001</v>
      </c>
      <c r="I88">
        <v>7.524885244</v>
      </c>
      <c r="M88">
        <v>5.7675793840000003</v>
      </c>
      <c r="N88">
        <v>5.0715837910000001</v>
      </c>
      <c r="P88">
        <v>10.381103957000001</v>
      </c>
      <c r="T88">
        <v>4.8722736409999996</v>
      </c>
      <c r="U88">
        <v>7.01025557</v>
      </c>
      <c r="V88">
        <v>6.6943275499999997</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6.781061169</v>
      </c>
      <c r="AP88">
        <v>6.2576475409999999</v>
      </c>
      <c r="AT88">
        <v>3.906173779</v>
      </c>
      <c r="AV88">
        <v>4.95956536</v>
      </c>
      <c r="AW88">
        <v>5.1454364610000001</v>
      </c>
    </row>
    <row r="89" spans="1:49" x14ac:dyDescent="0.2">
      <c r="A89" t="s">
        <v>153</v>
      </c>
      <c r="B89" s="74">
        <v>25294</v>
      </c>
      <c r="D89">
        <v>8.3893036120000009</v>
      </c>
      <c r="E89">
        <v>4.9503151580000004</v>
      </c>
      <c r="F89">
        <v>5.851068068</v>
      </c>
      <c r="H89">
        <v>6.9411104129999996</v>
      </c>
      <c r="I89">
        <v>3.3101487540000001</v>
      </c>
      <c r="M89">
        <v>7.1748878920000001</v>
      </c>
      <c r="N89">
        <v>6.4464206879999999</v>
      </c>
      <c r="P89">
        <v>11.909356618</v>
      </c>
      <c r="T89">
        <v>8.8929964540000004</v>
      </c>
      <c r="U89">
        <v>4.1757645480000001</v>
      </c>
      <c r="V89">
        <v>5.9942548039999997</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6.1798109739999996</v>
      </c>
      <c r="AP89">
        <v>2.6898799929999999</v>
      </c>
      <c r="AT89">
        <v>5.2282109800000001</v>
      </c>
      <c r="AV89">
        <v>4.471598105</v>
      </c>
      <c r="AW89">
        <v>4.1904337639999998</v>
      </c>
    </row>
    <row r="90" spans="1:49" x14ac:dyDescent="0.2">
      <c r="A90" t="s">
        <v>154</v>
      </c>
      <c r="B90" s="74">
        <v>25385</v>
      </c>
      <c r="D90">
        <v>6.4394053160000002</v>
      </c>
      <c r="E90">
        <v>5.6863843449999996</v>
      </c>
      <c r="F90">
        <v>6.6749996500000002</v>
      </c>
      <c r="H90">
        <v>4.6248433430000002</v>
      </c>
      <c r="I90">
        <v>6.3566595970000002</v>
      </c>
      <c r="M90">
        <v>7.7128063300000003</v>
      </c>
      <c r="N90">
        <v>6.9366916759999997</v>
      </c>
      <c r="P90">
        <v>8.2470201529999994</v>
      </c>
      <c r="T90">
        <v>8.1627036139999998</v>
      </c>
      <c r="U90">
        <v>15.486192588</v>
      </c>
      <c r="V90">
        <v>6.1547135239999999</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6.2000874000000001</v>
      </c>
      <c r="AP90">
        <v>0.54938416599999995</v>
      </c>
      <c r="AT90">
        <v>2.3825843619999998</v>
      </c>
      <c r="AV90">
        <v>3.067141538</v>
      </c>
      <c r="AW90">
        <v>3.6430468239999998</v>
      </c>
    </row>
    <row r="91" spans="1:49" x14ac:dyDescent="0.2">
      <c r="A91" t="s">
        <v>155</v>
      </c>
      <c r="B91" s="74">
        <v>25477</v>
      </c>
      <c r="D91">
        <v>6.7910993419999999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5.0398865810000002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5.4820751059999999</v>
      </c>
      <c r="AP91">
        <v>1.4130804349999999</v>
      </c>
      <c r="AT91">
        <v>5.5458967469999996</v>
      </c>
      <c r="AV91">
        <v>2.9500970409999998</v>
      </c>
      <c r="AW91">
        <v>7.2189401010000003</v>
      </c>
    </row>
    <row r="92" spans="1:49" x14ac:dyDescent="0.2">
      <c r="A92" t="s">
        <v>156</v>
      </c>
      <c r="B92" s="74">
        <v>25569</v>
      </c>
      <c r="D92">
        <v>5.326881126</v>
      </c>
      <c r="E92">
        <v>6.4321924050000003</v>
      </c>
      <c r="F92">
        <v>6.9114492309999997</v>
      </c>
      <c r="H92">
        <v>4.3733458870000002</v>
      </c>
      <c r="I92">
        <v>5.0076745970000003</v>
      </c>
      <c r="M92">
        <v>7.6923035469999999</v>
      </c>
      <c r="N92">
        <v>5.3716580059999997</v>
      </c>
      <c r="P92">
        <v>6.3001114239999998</v>
      </c>
      <c r="T92">
        <v>10.432124647</v>
      </c>
      <c r="U92">
        <v>4.4304365749999999</v>
      </c>
      <c r="V92">
        <v>4.0597063039999997</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4.5826229659999997</v>
      </c>
      <c r="AP92">
        <v>3.82646095</v>
      </c>
      <c r="AT92">
        <v>6.8836553939999998</v>
      </c>
      <c r="AV92">
        <v>2.046645083</v>
      </c>
      <c r="AW92">
        <v>3.8090533190000002</v>
      </c>
    </row>
    <row r="93" spans="1:49" x14ac:dyDescent="0.2">
      <c r="A93" t="s">
        <v>157</v>
      </c>
      <c r="B93" s="74">
        <v>25659</v>
      </c>
      <c r="D93">
        <v>8.266587371</v>
      </c>
      <c r="E93">
        <v>7.3956079729999997</v>
      </c>
      <c r="F93">
        <v>6.7809903489999996</v>
      </c>
      <c r="H93">
        <v>3.6913991749999999</v>
      </c>
      <c r="I93">
        <v>9.7301857060000003</v>
      </c>
      <c r="M93">
        <v>3.372586353</v>
      </c>
      <c r="N93">
        <v>3.4090197020000002</v>
      </c>
      <c r="P93">
        <v>4.5771558140000002</v>
      </c>
      <c r="T93">
        <v>6.1981758720000002</v>
      </c>
      <c r="U93">
        <v>6.2312983580000001</v>
      </c>
      <c r="V93">
        <v>3.4697394770000001</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4.1002879459999999</v>
      </c>
      <c r="AP93">
        <v>7.4918797660000003</v>
      </c>
      <c r="AT93">
        <v>8.7819518510000005</v>
      </c>
      <c r="AV93">
        <v>0.32493460299999999</v>
      </c>
      <c r="AW93">
        <v>5.286849847</v>
      </c>
    </row>
    <row r="94" spans="1:49" x14ac:dyDescent="0.2">
      <c r="A94" t="s">
        <v>158</v>
      </c>
      <c r="B94" s="74">
        <v>25750</v>
      </c>
      <c r="D94">
        <v>8.2978263119999998</v>
      </c>
      <c r="E94">
        <v>8.1320386360000008</v>
      </c>
      <c r="F94">
        <v>6.6687506189999999</v>
      </c>
      <c r="H94">
        <v>3.1786803950000002</v>
      </c>
      <c r="I94">
        <v>7.2580858050000003</v>
      </c>
      <c r="M94">
        <v>6.1208679159999999</v>
      </c>
      <c r="N94">
        <v>2.0965405760000002</v>
      </c>
      <c r="P94">
        <v>5.0983771759999996</v>
      </c>
      <c r="T94">
        <v>8.8488637679999993</v>
      </c>
      <c r="U94">
        <v>4.9963780680000003</v>
      </c>
      <c r="V94">
        <v>3.4578789620000001</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4.1168563230000004</v>
      </c>
      <c r="AP94">
        <v>10.913052805</v>
      </c>
      <c r="AT94">
        <v>6.7972988299999999</v>
      </c>
      <c r="AV94">
        <v>0.16283545099999999</v>
      </c>
      <c r="AW94">
        <v>7.5259985330000001</v>
      </c>
    </row>
    <row r="95" spans="1:49" x14ac:dyDescent="0.2">
      <c r="A95" t="s">
        <v>159</v>
      </c>
      <c r="B95" s="74">
        <v>25842</v>
      </c>
      <c r="D95">
        <v>6.3074232739999996</v>
      </c>
      <c r="E95">
        <v>7.6354461340000004</v>
      </c>
      <c r="F95">
        <v>6.1482731639999999</v>
      </c>
      <c r="H95">
        <v>3.1366283990000001</v>
      </c>
      <c r="I95">
        <v>4.4141130239999997</v>
      </c>
      <c r="M95">
        <v>5.8295372700000003</v>
      </c>
      <c r="N95">
        <v>1.387056399</v>
      </c>
      <c r="P95">
        <v>3.7010235869999999</v>
      </c>
      <c r="T95">
        <v>7.8910597810000001</v>
      </c>
      <c r="U95">
        <v>5.44556343</v>
      </c>
      <c r="V95">
        <v>3.8210883560000002</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4.1707034920000003</v>
      </c>
      <c r="AP95">
        <v>9.4969466929999999</v>
      </c>
      <c r="AT95">
        <v>5.8530655620000003</v>
      </c>
      <c r="AV95">
        <v>0.42258147600000001</v>
      </c>
      <c r="AW95">
        <v>1.642860733</v>
      </c>
    </row>
    <row r="96" spans="1:49" x14ac:dyDescent="0.2">
      <c r="A96" t="s">
        <v>160</v>
      </c>
      <c r="B96" s="74">
        <v>25934</v>
      </c>
      <c r="D96">
        <v>4.407202742</v>
      </c>
      <c r="E96">
        <v>7.8744988830000002</v>
      </c>
      <c r="F96">
        <v>5.2132185719999997</v>
      </c>
      <c r="H96">
        <v>1.86252244</v>
      </c>
      <c r="I96">
        <v>5.0716411480000003</v>
      </c>
      <c r="M96">
        <v>5.1112656220000003</v>
      </c>
      <c r="N96">
        <v>1.252016091</v>
      </c>
      <c r="P96">
        <v>3.3621367289999999</v>
      </c>
      <c r="T96">
        <v>7.3862729089999997</v>
      </c>
      <c r="U96">
        <v>6.2615214750000003</v>
      </c>
      <c r="V96">
        <v>3.10025979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3.511527515</v>
      </c>
      <c r="AP96">
        <v>8.5739412640000001</v>
      </c>
      <c r="AT96">
        <v>5.583959611</v>
      </c>
      <c r="AV96">
        <v>-0.16670359100000001</v>
      </c>
      <c r="AW96">
        <v>6.658863094</v>
      </c>
    </row>
    <row r="97" spans="1:49" x14ac:dyDescent="0.2">
      <c r="A97" t="s">
        <v>161</v>
      </c>
      <c r="B97" s="74">
        <v>26024</v>
      </c>
      <c r="D97">
        <v>3.5191239400000001</v>
      </c>
      <c r="E97">
        <v>6.0571129639999999</v>
      </c>
      <c r="F97">
        <v>4.3193173250000001</v>
      </c>
      <c r="H97">
        <v>0.62791107999999995</v>
      </c>
      <c r="I97">
        <v>4.1634773100000002</v>
      </c>
      <c r="M97">
        <v>4.763644266</v>
      </c>
      <c r="N97">
        <v>1.679226286</v>
      </c>
      <c r="P97">
        <v>2.257438171</v>
      </c>
      <c r="T97">
        <v>1.5108712820000001</v>
      </c>
      <c r="U97">
        <v>4.4031521790000001</v>
      </c>
      <c r="V97">
        <v>3.3267339589999998</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3.5681189849999999</v>
      </c>
      <c r="AP97">
        <v>5.47193606</v>
      </c>
      <c r="AT97">
        <v>3.05815547</v>
      </c>
      <c r="AV97">
        <v>2.6972368489999998</v>
      </c>
      <c r="AW97">
        <v>5.9578837580000004</v>
      </c>
    </row>
    <row r="98" spans="1:49" x14ac:dyDescent="0.2">
      <c r="A98" t="s">
        <v>162</v>
      </c>
      <c r="B98" s="74">
        <v>26115</v>
      </c>
      <c r="D98">
        <v>1.917682106</v>
      </c>
      <c r="E98">
        <v>5.6061854809999998</v>
      </c>
      <c r="F98">
        <v>3.4563476299999998</v>
      </c>
      <c r="H98">
        <v>3.5509556670000002</v>
      </c>
      <c r="I98">
        <v>4.5793483549999996</v>
      </c>
      <c r="M98">
        <v>2.872243992</v>
      </c>
      <c r="N98">
        <v>2.2447775079999999</v>
      </c>
      <c r="P98">
        <v>4.0867079190000002</v>
      </c>
      <c r="T98">
        <v>4.0938675340000001</v>
      </c>
      <c r="U98">
        <v>4.9804699140000004</v>
      </c>
      <c r="V98">
        <v>3.424491052</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3.590518758</v>
      </c>
      <c r="AP98">
        <v>6.4667199699999998</v>
      </c>
      <c r="AT98">
        <v>1.0680157699999999</v>
      </c>
      <c r="AV98">
        <v>3.106613002</v>
      </c>
      <c r="AW98">
        <v>2.9924324879999999</v>
      </c>
    </row>
    <row r="99" spans="1:49" x14ac:dyDescent="0.2">
      <c r="A99" t="s">
        <v>163</v>
      </c>
      <c r="B99" s="74">
        <v>26207</v>
      </c>
      <c r="D99">
        <v>5.3387411220000001</v>
      </c>
      <c r="E99">
        <v>5.2624996849999999</v>
      </c>
      <c r="F99">
        <v>3.317883862</v>
      </c>
      <c r="H99">
        <v>5.3423770020000001</v>
      </c>
      <c r="I99">
        <v>3.7755455489999998</v>
      </c>
      <c r="M99">
        <v>2.7330862069999999</v>
      </c>
      <c r="N99">
        <v>2.9457561600000002</v>
      </c>
      <c r="P99">
        <v>5.4627988079999996</v>
      </c>
      <c r="T99">
        <v>2.1588058289999998</v>
      </c>
      <c r="U99">
        <v>5.242837937</v>
      </c>
      <c r="V99">
        <v>3.2637065569999999</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3.5684840389999999</v>
      </c>
      <c r="AP99">
        <v>6.3978232730000002</v>
      </c>
      <c r="AT99">
        <v>-5.4475929999999997E-3</v>
      </c>
      <c r="AV99">
        <v>3.0058948110000001</v>
      </c>
      <c r="AW99">
        <v>5.5526369899999999</v>
      </c>
    </row>
    <row r="100" spans="1:49" x14ac:dyDescent="0.2">
      <c r="A100" t="s">
        <v>164</v>
      </c>
      <c r="B100" s="74">
        <v>26299</v>
      </c>
      <c r="D100">
        <v>4.5009615219999999</v>
      </c>
      <c r="E100">
        <v>3.5921016469999998</v>
      </c>
      <c r="F100">
        <v>3.9290175039999999</v>
      </c>
      <c r="H100">
        <v>6.3176152710000002</v>
      </c>
      <c r="I100">
        <v>4.1318366370000001</v>
      </c>
      <c r="M100">
        <v>1.7838764140000001</v>
      </c>
      <c r="N100">
        <v>3.7784774620000001</v>
      </c>
      <c r="P100">
        <v>6.744114122</v>
      </c>
      <c r="T100">
        <v>0.51554037900000005</v>
      </c>
      <c r="U100">
        <v>4.5036370999999997</v>
      </c>
      <c r="V100">
        <v>3.8981873899999999</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4.0437713989999997</v>
      </c>
      <c r="AP100">
        <v>8.1217201459999995</v>
      </c>
      <c r="AT100">
        <v>-1.4417705220000001</v>
      </c>
      <c r="AV100">
        <v>4.3672048009999997</v>
      </c>
      <c r="AW100">
        <v>2.6978854330000002</v>
      </c>
    </row>
    <row r="101" spans="1:49" x14ac:dyDescent="0.2">
      <c r="A101" t="s">
        <v>165</v>
      </c>
      <c r="B101" s="74">
        <v>26390</v>
      </c>
      <c r="D101">
        <v>1.9984423280000001</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4.4324981530000001</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4.7065809160000001</v>
      </c>
      <c r="AP101">
        <v>8.0893149080000004</v>
      </c>
      <c r="AT101">
        <v>0.115212672</v>
      </c>
      <c r="AV101">
        <v>3.4760721280000002</v>
      </c>
      <c r="AW101">
        <v>0.60241049999999996</v>
      </c>
    </row>
    <row r="102" spans="1:49" x14ac:dyDescent="0.2">
      <c r="A102" t="s">
        <v>166</v>
      </c>
      <c r="B102" s="74">
        <v>26481</v>
      </c>
      <c r="D102">
        <v>3.8356327810000002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5.1152525520000003</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5.3055025420000002</v>
      </c>
      <c r="AP102">
        <v>5.9866225469999996</v>
      </c>
      <c r="AT102">
        <v>1.499043691</v>
      </c>
      <c r="AV102">
        <v>5.2551864569999998</v>
      </c>
      <c r="AW102">
        <v>2.4904153089999999</v>
      </c>
    </row>
    <row r="103" spans="1:49" x14ac:dyDescent="0.2">
      <c r="A103" t="s">
        <v>167</v>
      </c>
      <c r="B103" s="74">
        <v>26573</v>
      </c>
      <c r="D103">
        <v>0.166074527</v>
      </c>
      <c r="E103">
        <v>4.2334192000000002</v>
      </c>
      <c r="F103">
        <v>5.54800966</v>
      </c>
      <c r="H103">
        <v>3.8926032080000001</v>
      </c>
      <c r="I103">
        <v>2.821710999</v>
      </c>
      <c r="M103">
        <v>4.0242537379999996</v>
      </c>
      <c r="N103">
        <v>5.5685538890000004</v>
      </c>
      <c r="P103">
        <v>8.4495594179999998</v>
      </c>
      <c r="T103">
        <v>6.460207456</v>
      </c>
      <c r="U103">
        <v>3.4811269810000001</v>
      </c>
      <c r="V103">
        <v>5.0811165559999996</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5.2460025909999999</v>
      </c>
      <c r="AP103">
        <v>10.538172441</v>
      </c>
      <c r="AT103">
        <v>2.5171712890000002</v>
      </c>
      <c r="AV103">
        <v>5.3819387049999996</v>
      </c>
      <c r="AW103">
        <v>1.234980502</v>
      </c>
    </row>
    <row r="104" spans="1:49" x14ac:dyDescent="0.2">
      <c r="A104" t="s">
        <v>168</v>
      </c>
      <c r="B104" s="74">
        <v>26665</v>
      </c>
      <c r="D104">
        <v>1.552578789</v>
      </c>
      <c r="E104">
        <v>9.3341664879999993</v>
      </c>
      <c r="F104">
        <v>5.7965316160000002</v>
      </c>
      <c r="H104">
        <v>5.1910915229999999</v>
      </c>
      <c r="I104">
        <v>3.858307849</v>
      </c>
      <c r="M104">
        <v>5.7296882589999996</v>
      </c>
      <c r="N104">
        <v>5.4526261299999996</v>
      </c>
      <c r="P104">
        <v>8.4149720230000007</v>
      </c>
      <c r="T104">
        <v>9.32866441</v>
      </c>
      <c r="U104">
        <v>4.3054886259999998</v>
      </c>
      <c r="V104">
        <v>6.4326261860000002</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6.5323155010000002</v>
      </c>
      <c r="AP104">
        <v>7.4592348309999998</v>
      </c>
      <c r="AT104">
        <v>5.2971229610000004</v>
      </c>
      <c r="AV104">
        <v>6.8944758869999996</v>
      </c>
      <c r="AW104">
        <v>2.2926101160000001</v>
      </c>
    </row>
    <row r="105" spans="1:49" x14ac:dyDescent="0.2">
      <c r="A105" t="s">
        <v>169</v>
      </c>
      <c r="B105" s="74">
        <v>26755</v>
      </c>
      <c r="D105">
        <v>5.4532791840000003</v>
      </c>
      <c r="E105">
        <v>4.3848718250000003</v>
      </c>
      <c r="F105">
        <v>6.0362919909999997</v>
      </c>
      <c r="H105">
        <v>8.3164406999999994</v>
      </c>
      <c r="I105">
        <v>3.426767677</v>
      </c>
      <c r="M105">
        <v>7.0833735039999999</v>
      </c>
      <c r="N105">
        <v>4.9998126479999998</v>
      </c>
      <c r="P105">
        <v>8.6476950769999998</v>
      </c>
      <c r="T105">
        <v>7.938035706</v>
      </c>
      <c r="U105">
        <v>5.0081555660000001</v>
      </c>
      <c r="V105">
        <v>7.5195933359999998</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7.3619994020000004</v>
      </c>
      <c r="AP105">
        <v>11.813054079</v>
      </c>
      <c r="AT105">
        <v>5.4977662819999997</v>
      </c>
      <c r="AV105">
        <v>7.5618882919999999</v>
      </c>
      <c r="AW105">
        <v>4.2262898299999998</v>
      </c>
    </row>
    <row r="106" spans="1:49" x14ac:dyDescent="0.2">
      <c r="A106" t="s">
        <v>170</v>
      </c>
      <c r="B106" s="74">
        <v>26846</v>
      </c>
      <c r="D106">
        <v>3.3402271680000002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6.7084682019999997</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6.6276251090000002</v>
      </c>
      <c r="AP106">
        <v>12.001911494</v>
      </c>
      <c r="AT106">
        <v>5.3359921469999998</v>
      </c>
      <c r="AV106">
        <v>6.3196600160000003</v>
      </c>
      <c r="AW106">
        <v>2.6884494270000001</v>
      </c>
    </row>
    <row r="107" spans="1:49" x14ac:dyDescent="0.2">
      <c r="A107" t="s">
        <v>171</v>
      </c>
      <c r="B107" s="74">
        <v>26938</v>
      </c>
      <c r="D107">
        <v>4.9145845530000001</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5.5111293320000003</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5.6627717469999999</v>
      </c>
      <c r="AP107">
        <v>9.9568537710000005</v>
      </c>
      <c r="AT107">
        <v>3.218574002</v>
      </c>
      <c r="AV107">
        <v>4.7710873080000002</v>
      </c>
      <c r="AW107">
        <v>5.5931005550000004</v>
      </c>
    </row>
    <row r="108" spans="1:49" x14ac:dyDescent="0.2">
      <c r="A108" t="s">
        <v>172</v>
      </c>
      <c r="B108" s="74">
        <v>27030</v>
      </c>
      <c r="D108">
        <v>6.4067716370000003</v>
      </c>
      <c r="E108">
        <v>3.1375231229999998</v>
      </c>
      <c r="F108">
        <v>5.956897262</v>
      </c>
      <c r="H108">
        <v>6.0451936010000002</v>
      </c>
      <c r="I108">
        <v>3.1236197680000002</v>
      </c>
      <c r="M108">
        <v>2.7215239210000002</v>
      </c>
      <c r="N108">
        <v>2.0352197680000002</v>
      </c>
      <c r="P108">
        <v>7.1020544509999999</v>
      </c>
      <c r="T108">
        <v>6.8023052000000002</v>
      </c>
      <c r="U108">
        <v>5.3087993200000003</v>
      </c>
      <c r="V108">
        <v>4.7463022500000003</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5.0169529150000001</v>
      </c>
      <c r="AP108">
        <v>11.108521497</v>
      </c>
      <c r="AT108">
        <v>2.874429106</v>
      </c>
      <c r="AV108">
        <v>4.0237563989999998</v>
      </c>
      <c r="AW108">
        <v>5.7541460530000004</v>
      </c>
    </row>
    <row r="109" spans="1:49" x14ac:dyDescent="0.2">
      <c r="A109" t="s">
        <v>173</v>
      </c>
      <c r="B109" s="74">
        <v>27120</v>
      </c>
      <c r="D109">
        <v>3.7461706779999999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1.3025540799999999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2.172719463</v>
      </c>
      <c r="AP109">
        <v>7.4233125979999999</v>
      </c>
      <c r="AT109">
        <v>1.6510817840000001</v>
      </c>
      <c r="AV109">
        <v>0.63877387699999999</v>
      </c>
      <c r="AW109">
        <v>6.358559004</v>
      </c>
    </row>
    <row r="110" spans="1:49" x14ac:dyDescent="0.2">
      <c r="A110" t="s">
        <v>174</v>
      </c>
      <c r="B110" s="74">
        <v>27211</v>
      </c>
      <c r="D110">
        <v>1.4501500979999999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0.70483203800000005</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1.526885577</v>
      </c>
      <c r="AP110">
        <v>3.0596339650000002</v>
      </c>
      <c r="AT110">
        <v>3.3442566930000002</v>
      </c>
      <c r="AV110">
        <v>-0.208418196</v>
      </c>
      <c r="AW110">
        <v>8.3020411490000008</v>
      </c>
    </row>
    <row r="111" spans="1:49" x14ac:dyDescent="0.2">
      <c r="A111" t="s">
        <v>175</v>
      </c>
      <c r="B111" s="74">
        <v>27303</v>
      </c>
      <c r="D111">
        <v>1.6337890859999999</v>
      </c>
      <c r="E111">
        <v>4.2189515479999997</v>
      </c>
      <c r="F111">
        <v>4.0998002639999997</v>
      </c>
      <c r="H111">
        <v>3.6558943359999998</v>
      </c>
      <c r="I111">
        <v>1.0508729020000001</v>
      </c>
      <c r="M111">
        <v>1.018885974</v>
      </c>
      <c r="N111">
        <v>-1.513912865</v>
      </c>
      <c r="P111">
        <v>5.4165874069999997</v>
      </c>
      <c r="T111">
        <v>2.8543461809999999</v>
      </c>
      <c r="U111">
        <v>3.731282303</v>
      </c>
      <c r="V111">
        <v>0.51904470999999996</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1.1766418919999999</v>
      </c>
      <c r="AP111">
        <v>-1.58756096</v>
      </c>
      <c r="AT111">
        <v>3.9873338789999999</v>
      </c>
      <c r="AV111">
        <v>-0.62900049300000005</v>
      </c>
      <c r="AW111">
        <v>6.4499670370000004</v>
      </c>
    </row>
    <row r="112" spans="1:49" x14ac:dyDescent="0.2">
      <c r="A112" t="s">
        <v>176</v>
      </c>
      <c r="B112" s="74">
        <v>27395</v>
      </c>
      <c r="D112">
        <v>-0.74255906699999996</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-1.294064163</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-0.57067034299999997</v>
      </c>
      <c r="AP112">
        <v>-3.87999106</v>
      </c>
      <c r="AT112">
        <v>3.9827251929999998</v>
      </c>
      <c r="AV112">
        <v>-1.9454493939999999</v>
      </c>
      <c r="AW112">
        <v>3.4524541609999999</v>
      </c>
    </row>
    <row r="113" spans="1:49" x14ac:dyDescent="0.2">
      <c r="A113" t="s">
        <v>177</v>
      </c>
      <c r="B113" s="74">
        <v>27485</v>
      </c>
      <c r="D113">
        <v>-0.368146154</v>
      </c>
      <c r="E113">
        <v>-1.044334184</v>
      </c>
      <c r="F113">
        <v>-0.58180467899999999</v>
      </c>
      <c r="H113">
        <v>-9.4838176999999996E-2</v>
      </c>
      <c r="I113">
        <v>-7.6334982760000001</v>
      </c>
      <c r="M113">
        <v>-1.907951274</v>
      </c>
      <c r="N113">
        <v>-2.3941894349999999</v>
      </c>
      <c r="P113">
        <v>1.533483615</v>
      </c>
      <c r="T113">
        <v>3.199966447</v>
      </c>
      <c r="U113">
        <v>-0.53277569499999999</v>
      </c>
      <c r="V113">
        <v>-1.2255360879999999</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-0.6486731</v>
      </c>
      <c r="AP113">
        <v>-6.3031667379999998</v>
      </c>
      <c r="AT113">
        <v>5.2066730550000004</v>
      </c>
      <c r="AV113">
        <v>-2.2990475950000002</v>
      </c>
      <c r="AW113">
        <v>1.1481333979999999</v>
      </c>
    </row>
    <row r="114" spans="1:49" x14ac:dyDescent="0.2">
      <c r="A114" t="s">
        <v>178</v>
      </c>
      <c r="B114" s="74">
        <v>27576</v>
      </c>
      <c r="D114">
        <v>4.9019914829999998</v>
      </c>
      <c r="E114">
        <v>-1.6493434499999999</v>
      </c>
      <c r="F114">
        <v>-2.8146526650000001</v>
      </c>
      <c r="H114">
        <v>0.108099839</v>
      </c>
      <c r="I114">
        <v>-8.8987608139999992</v>
      </c>
      <c r="M114">
        <v>-2.3251792359999999</v>
      </c>
      <c r="N114">
        <v>-1.822995884</v>
      </c>
      <c r="P114">
        <v>0.18323616300000001</v>
      </c>
      <c r="T114">
        <v>2.151917847</v>
      </c>
      <c r="U114">
        <v>-0.778119228</v>
      </c>
      <c r="V114">
        <v>-1.192045209</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-0.57665779100000003</v>
      </c>
      <c r="AP114">
        <v>-5.7853006640000002</v>
      </c>
      <c r="AT114">
        <v>2.2511498900000002</v>
      </c>
      <c r="AV114">
        <v>-1.8342624000000001</v>
      </c>
      <c r="AW114">
        <v>1.496718934</v>
      </c>
    </row>
    <row r="115" spans="1:49" x14ac:dyDescent="0.2">
      <c r="A115" t="s">
        <v>179</v>
      </c>
      <c r="B115" s="74">
        <v>27668</v>
      </c>
      <c r="D115">
        <v>2.530421531</v>
      </c>
      <c r="E115">
        <v>-1.1656475719999999</v>
      </c>
      <c r="F115">
        <v>-2.4828131089999999</v>
      </c>
      <c r="H115">
        <v>2.077805015</v>
      </c>
      <c r="I115">
        <v>-7.6965470969999998</v>
      </c>
      <c r="M115">
        <v>-1.262668305</v>
      </c>
      <c r="N115">
        <v>-0.36875089100000003</v>
      </c>
      <c r="P115">
        <v>-8.4209259999999994E-2</v>
      </c>
      <c r="T115">
        <v>-1.8385690999999999E-2</v>
      </c>
      <c r="U115">
        <v>-1.3247337239999999</v>
      </c>
      <c r="V115">
        <v>0.12206080699999999</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0.49450724400000001</v>
      </c>
      <c r="AP115">
        <v>-4.0954954910000003</v>
      </c>
      <c r="AT115">
        <v>1.7499713059999999</v>
      </c>
      <c r="AV115">
        <v>0.79868486900000002</v>
      </c>
      <c r="AW115">
        <v>1.1636219919999999</v>
      </c>
    </row>
    <row r="116" spans="1:49" x14ac:dyDescent="0.2">
      <c r="A116" t="s">
        <v>180</v>
      </c>
      <c r="B116" s="74">
        <v>27760</v>
      </c>
      <c r="D116">
        <v>0.88181649600000001</v>
      </c>
      <c r="E116">
        <v>2.4369479360000001</v>
      </c>
      <c r="F116">
        <v>0.598638212</v>
      </c>
      <c r="H116">
        <v>3.7497569149999999</v>
      </c>
      <c r="I116">
        <v>-4.9599920480000002</v>
      </c>
      <c r="M116">
        <v>1.965095402</v>
      </c>
      <c r="N116">
        <v>1.9869563260000001</v>
      </c>
      <c r="P116">
        <v>0.55150649900000004</v>
      </c>
      <c r="T116">
        <v>-1.0110395679999999</v>
      </c>
      <c r="U116">
        <v>1.541171217</v>
      </c>
      <c r="V116">
        <v>2.328254544</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2.4990627399999998</v>
      </c>
      <c r="AP116">
        <v>-1.082823198</v>
      </c>
      <c r="AT116">
        <v>1.665345573</v>
      </c>
      <c r="AV116">
        <v>2.554017472</v>
      </c>
      <c r="AW116">
        <v>2.9696268510000001</v>
      </c>
    </row>
    <row r="117" spans="1:49" x14ac:dyDescent="0.2">
      <c r="A117" t="s">
        <v>181</v>
      </c>
      <c r="B117" s="74">
        <v>27851</v>
      </c>
      <c r="D117">
        <v>4.9252134280000002</v>
      </c>
      <c r="E117">
        <v>1.922441045</v>
      </c>
      <c r="F117">
        <v>3.7227357460000001</v>
      </c>
      <c r="H117">
        <v>6.2150226079999999</v>
      </c>
      <c r="I117">
        <v>-2.980754583</v>
      </c>
      <c r="M117">
        <v>3.478330696</v>
      </c>
      <c r="N117">
        <v>5.2669248250000003</v>
      </c>
      <c r="P117">
        <v>2.0631012969999998</v>
      </c>
      <c r="T117">
        <v>-2.209725062</v>
      </c>
      <c r="U117">
        <v>3.4971578170000002</v>
      </c>
      <c r="V117">
        <v>4.8739021840000003</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4.722097314</v>
      </c>
      <c r="AP117">
        <v>3.3496270859999999</v>
      </c>
      <c r="AT117">
        <v>-0.66309279300000001</v>
      </c>
      <c r="AV117">
        <v>6.1523893620000001</v>
      </c>
      <c r="AW117">
        <v>4.7424597909999999</v>
      </c>
    </row>
    <row r="118" spans="1:49" x14ac:dyDescent="0.2">
      <c r="A118" t="s">
        <v>182</v>
      </c>
      <c r="B118" s="74">
        <v>27942</v>
      </c>
      <c r="D118">
        <v>2.0290136259999998</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5.2941498649999996</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5.2317976069999999</v>
      </c>
      <c r="AP118">
        <v>7.5253203900000001</v>
      </c>
      <c r="AT118">
        <v>2.2727820840000001</v>
      </c>
      <c r="AV118">
        <v>6.1725884579999999</v>
      </c>
      <c r="AW118">
        <v>0.91316457799999995</v>
      </c>
    </row>
    <row r="119" spans="1:49" x14ac:dyDescent="0.2">
      <c r="A119" t="s">
        <v>183</v>
      </c>
      <c r="B119" s="74">
        <v>28034</v>
      </c>
      <c r="D119">
        <v>3.9943261560000001</v>
      </c>
      <c r="E119">
        <v>6.271508978</v>
      </c>
      <c r="F119">
        <v>7.2799970820000004</v>
      </c>
      <c r="H119">
        <v>5.6147783990000004</v>
      </c>
      <c r="I119">
        <v>1.3602969810000001</v>
      </c>
      <c r="M119">
        <v>4.4407161579999999</v>
      </c>
      <c r="N119">
        <v>7.3680911699999996</v>
      </c>
      <c r="P119">
        <v>3.8753856569999998</v>
      </c>
      <c r="T119">
        <v>1.045094982</v>
      </c>
      <c r="U119">
        <v>4.5561140140000003</v>
      </c>
      <c r="V119">
        <v>4.8530413650000002</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5.010899534</v>
      </c>
      <c r="AP119">
        <v>7.9106166929999997</v>
      </c>
      <c r="AT119">
        <v>0.80023707899999996</v>
      </c>
      <c r="AV119">
        <v>4.9586369960000001</v>
      </c>
      <c r="AW119">
        <v>2.4935091680000001</v>
      </c>
    </row>
    <row r="120" spans="1:49" x14ac:dyDescent="0.2">
      <c r="A120" t="s">
        <v>184</v>
      </c>
      <c r="B120" s="74">
        <v>28126</v>
      </c>
      <c r="D120">
        <v>6.5086989500000003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4.491627018</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4.5748546289999998</v>
      </c>
      <c r="AP120">
        <v>8.8209556510000002</v>
      </c>
      <c r="AT120">
        <v>-0.93126427700000003</v>
      </c>
      <c r="AV120">
        <v>4.3148066380000003</v>
      </c>
      <c r="AW120">
        <v>0.91245953000000002</v>
      </c>
    </row>
    <row r="121" spans="1:49" x14ac:dyDescent="0.2">
      <c r="A121" t="s">
        <v>185</v>
      </c>
      <c r="B121" s="74">
        <v>28216</v>
      </c>
      <c r="D121">
        <v>1.4475315660000001</v>
      </c>
      <c r="E121">
        <v>5.7995771390000002</v>
      </c>
      <c r="F121">
        <v>2.3375426780000002</v>
      </c>
      <c r="H121">
        <v>4.2925459659999996</v>
      </c>
      <c r="I121">
        <v>3.263372763</v>
      </c>
      <c r="M121">
        <v>4.2784128739999998</v>
      </c>
      <c r="N121">
        <v>2.3777219660000002</v>
      </c>
      <c r="P121">
        <v>3.7349985939999999</v>
      </c>
      <c r="T121">
        <v>1.6206796400000001</v>
      </c>
      <c r="U121">
        <v>4.075391261</v>
      </c>
      <c r="V121">
        <v>3.8968755879999999</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3.82594704</v>
      </c>
      <c r="AP121">
        <v>7.2456827690000001</v>
      </c>
      <c r="AT121">
        <v>-1.30067347</v>
      </c>
      <c r="AV121">
        <v>3.2259646420000001</v>
      </c>
      <c r="AW121">
        <v>-0.614192603</v>
      </c>
    </row>
    <row r="122" spans="1:49" x14ac:dyDescent="0.2">
      <c r="A122" t="s">
        <v>186</v>
      </c>
      <c r="B122" s="74">
        <v>28307</v>
      </c>
      <c r="D122">
        <v>2.5664655330000001</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3.9519106470000001</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3.6693590399999998</v>
      </c>
      <c r="AP122">
        <v>5.5725124580000003</v>
      </c>
      <c r="AT122">
        <v>-2.0340981440000001</v>
      </c>
      <c r="AV122">
        <v>4.4663240980000003</v>
      </c>
      <c r="AW122">
        <v>1.506490138</v>
      </c>
    </row>
    <row r="123" spans="1:49" x14ac:dyDescent="0.2">
      <c r="A123" t="s">
        <v>187</v>
      </c>
      <c r="B123" s="74">
        <v>28399</v>
      </c>
      <c r="D123">
        <v>1.308114226</v>
      </c>
      <c r="E123">
        <v>3.323848768</v>
      </c>
      <c r="F123">
        <v>-0.52053081099999998</v>
      </c>
      <c r="H123">
        <v>2.7175646160000002</v>
      </c>
      <c r="I123">
        <v>1.844026124</v>
      </c>
      <c r="M123">
        <v>3.2738524519999999</v>
      </c>
      <c r="N123">
        <v>2.5776509089999999</v>
      </c>
      <c r="P123">
        <v>2.365980875</v>
      </c>
      <c r="T123">
        <v>0.46285714300000003</v>
      </c>
      <c r="U123">
        <v>3.2814657390000002</v>
      </c>
      <c r="V123">
        <v>4.056807644</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3.7057796299999999</v>
      </c>
      <c r="AP123">
        <v>6.1403183319999997</v>
      </c>
      <c r="AT123">
        <v>-1.359968742</v>
      </c>
      <c r="AV123">
        <v>5.770897368</v>
      </c>
      <c r="AW123">
        <v>-1.235059012</v>
      </c>
    </row>
    <row r="124" spans="1:49" x14ac:dyDescent="0.2">
      <c r="A124" t="s">
        <v>188</v>
      </c>
      <c r="B124" s="74">
        <v>28491</v>
      </c>
      <c r="D124">
        <v>0.115083903</v>
      </c>
      <c r="E124">
        <v>4.285985599</v>
      </c>
      <c r="F124">
        <v>0.69545750500000003</v>
      </c>
      <c r="H124">
        <v>4.127065204</v>
      </c>
      <c r="I124">
        <v>0.653462337</v>
      </c>
      <c r="M124">
        <v>3.1410810539999998</v>
      </c>
      <c r="N124">
        <v>1.0573249149999999</v>
      </c>
      <c r="P124">
        <v>2.2645578720000001</v>
      </c>
      <c r="T124">
        <v>-0.600702709</v>
      </c>
      <c r="U124">
        <v>2.2434185310000001</v>
      </c>
      <c r="V124">
        <v>3.773724171</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3.5681638449999999</v>
      </c>
      <c r="AP124">
        <v>3.56440774</v>
      </c>
      <c r="AT124">
        <v>-1.487679529</v>
      </c>
      <c r="AV124">
        <v>5.0120285630000003</v>
      </c>
      <c r="AW124">
        <v>2.9635579999999998E-3</v>
      </c>
    </row>
    <row r="125" spans="1:49" x14ac:dyDescent="0.2">
      <c r="A125" t="s">
        <v>189</v>
      </c>
      <c r="B125" s="74">
        <v>28581</v>
      </c>
      <c r="D125">
        <v>1.3755297449999999</v>
      </c>
      <c r="E125">
        <v>-0.46307324700000002</v>
      </c>
      <c r="F125">
        <v>1.9120884279999999</v>
      </c>
      <c r="H125">
        <v>3.5303749619999998</v>
      </c>
      <c r="I125">
        <v>0.699460199</v>
      </c>
      <c r="M125">
        <v>2.6892331980000002</v>
      </c>
      <c r="N125">
        <v>0.331433003</v>
      </c>
      <c r="P125">
        <v>2.094121339</v>
      </c>
      <c r="T125">
        <v>1.349033954</v>
      </c>
      <c r="U125">
        <v>2.5303020890000001</v>
      </c>
      <c r="V125">
        <v>3.4903120030000001</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3.4611510559999998</v>
      </c>
      <c r="AP125">
        <v>3.1122015350000001</v>
      </c>
      <c r="AT125">
        <v>2.1881546520000001</v>
      </c>
      <c r="AV125">
        <v>4.1170623419999997</v>
      </c>
      <c r="AW125">
        <v>1.8698211890000001</v>
      </c>
    </row>
    <row r="126" spans="1:49" x14ac:dyDescent="0.2">
      <c r="A126" t="s">
        <v>190</v>
      </c>
      <c r="B126" s="74">
        <v>28672</v>
      </c>
      <c r="D126">
        <v>0.78083774299999997</v>
      </c>
      <c r="E126">
        <v>-1.3271791999999999E-2</v>
      </c>
      <c r="F126">
        <v>3.121929803</v>
      </c>
      <c r="H126">
        <v>3.6835576159999999</v>
      </c>
      <c r="I126">
        <v>0.93266087200000003</v>
      </c>
      <c r="M126">
        <v>2.5150666820000001</v>
      </c>
      <c r="N126">
        <v>2.5885641860000002</v>
      </c>
      <c r="P126">
        <v>1.838992317</v>
      </c>
      <c r="T126">
        <v>2.1862301839999998</v>
      </c>
      <c r="U126">
        <v>3.7837411310000002</v>
      </c>
      <c r="V126">
        <v>4.8259814240000001</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4.5956873439999999</v>
      </c>
      <c r="AP126">
        <v>2.6913831369999999</v>
      </c>
      <c r="AT126">
        <v>2.7417413659999998</v>
      </c>
      <c r="AV126">
        <v>6.0781477989999999</v>
      </c>
      <c r="AW126">
        <v>3.7390286800000001</v>
      </c>
    </row>
    <row r="127" spans="1:49" x14ac:dyDescent="0.2">
      <c r="A127" t="s">
        <v>191</v>
      </c>
      <c r="B127" s="74">
        <v>28764</v>
      </c>
      <c r="D127">
        <v>2.752175314</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4.8894865899999997</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4.5762403550000004</v>
      </c>
      <c r="AP127">
        <v>2.2162262930000001</v>
      </c>
      <c r="AT127">
        <v>0.47918653700000002</v>
      </c>
      <c r="AV127">
        <v>5.2457734220000001</v>
      </c>
      <c r="AW127">
        <v>3.020486778</v>
      </c>
    </row>
    <row r="128" spans="1:49" x14ac:dyDescent="0.2">
      <c r="A128" t="s">
        <v>192</v>
      </c>
      <c r="B128" s="74">
        <v>28856</v>
      </c>
      <c r="D128">
        <v>3.9342189400000001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5.4589640050000003</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5.0949592060000004</v>
      </c>
      <c r="AP128">
        <v>3.2453616689999998</v>
      </c>
      <c r="AT128">
        <v>2.7238524480000001</v>
      </c>
      <c r="AV128">
        <v>6.6580958829999997</v>
      </c>
      <c r="AW128">
        <v>3.4270181169999998</v>
      </c>
    </row>
    <row r="129" spans="1:49" x14ac:dyDescent="0.2">
      <c r="A129" t="s">
        <v>193</v>
      </c>
      <c r="B129" s="74">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5.1398282630000001</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4.8655708820000001</v>
      </c>
      <c r="AP129">
        <v>3.8437365350000001</v>
      </c>
      <c r="AT129">
        <v>3.170025801</v>
      </c>
      <c r="AV129">
        <v>6.5099130890000003</v>
      </c>
      <c r="AW129">
        <v>3.5349033799999998</v>
      </c>
    </row>
    <row r="130" spans="1:49" x14ac:dyDescent="0.2">
      <c r="A130" t="s">
        <v>194</v>
      </c>
      <c r="B130" s="74">
        <v>29037</v>
      </c>
      <c r="D130">
        <v>3.4798236739999999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4.0817916829999996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4.0940340739999996</v>
      </c>
      <c r="AP130">
        <v>5.5485959200000003</v>
      </c>
      <c r="AT130">
        <v>3.2184847329999999</v>
      </c>
      <c r="AV130">
        <v>2.6568550630000001</v>
      </c>
      <c r="AW130">
        <v>2.2279847450000001</v>
      </c>
    </row>
    <row r="131" spans="1:49" x14ac:dyDescent="0.2">
      <c r="A131" t="s">
        <v>195</v>
      </c>
      <c r="B131" s="74">
        <v>29129</v>
      </c>
      <c r="D131">
        <v>2.8798840239999999</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3.6016231730000001</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3.6626493770000002</v>
      </c>
      <c r="AP131">
        <v>6.3808896490000002</v>
      </c>
      <c r="AT131">
        <v>5.6827228539999997</v>
      </c>
      <c r="AV131">
        <v>2.3899154130000002</v>
      </c>
      <c r="AW131">
        <v>4.1110716209999998</v>
      </c>
    </row>
    <row r="132" spans="1:49" x14ac:dyDescent="0.2">
      <c r="A132" t="s">
        <v>196</v>
      </c>
      <c r="B132" s="74">
        <v>29221</v>
      </c>
      <c r="D132">
        <v>4.0030415100000001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2.8973693140000001</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3.010655544</v>
      </c>
      <c r="AP132">
        <v>6.7449461099999999</v>
      </c>
      <c r="AT132">
        <v>4.0999790039999997</v>
      </c>
      <c r="AV132">
        <v>1.284557672</v>
      </c>
      <c r="AW132">
        <v>5.2893079710000004</v>
      </c>
    </row>
    <row r="133" spans="1:49" x14ac:dyDescent="0.2">
      <c r="A133" t="s">
        <v>197</v>
      </c>
      <c r="B133" s="74">
        <v>29312</v>
      </c>
      <c r="D133">
        <v>1.682006567</v>
      </c>
      <c r="E133">
        <v>4.6452179940000002</v>
      </c>
      <c r="F133">
        <v>6.7817348669999999</v>
      </c>
      <c r="H133">
        <v>3.4469167920000001</v>
      </c>
      <c r="I133">
        <v>5.1656104190000001</v>
      </c>
      <c r="M133">
        <v>4.5684691209999997</v>
      </c>
      <c r="N133">
        <v>3.1248799759999999</v>
      </c>
      <c r="P133">
        <v>1.423891899</v>
      </c>
      <c r="T133">
        <v>6.2369617540000002</v>
      </c>
      <c r="U133">
        <v>3.5233103190000001</v>
      </c>
      <c r="V133">
        <v>2.6949162040000001</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3.0080958880000002</v>
      </c>
      <c r="AP133">
        <v>7.284454126</v>
      </c>
      <c r="AT133">
        <v>5.1850214379999997</v>
      </c>
      <c r="AV133">
        <v>1.4207752659999999</v>
      </c>
      <c r="AW133">
        <v>5.6039667550000001</v>
      </c>
    </row>
    <row r="134" spans="1:49" x14ac:dyDescent="0.2">
      <c r="A134" t="s">
        <v>198</v>
      </c>
      <c r="B134" s="74">
        <v>29403</v>
      </c>
      <c r="D134">
        <v>3.6075953690000002</v>
      </c>
      <c r="E134">
        <v>2.2297488219999999</v>
      </c>
      <c r="F134">
        <v>5.6951136609999997</v>
      </c>
      <c r="H134">
        <v>2.0394943919999999</v>
      </c>
      <c r="I134">
        <v>4.7414366970000001</v>
      </c>
      <c r="M134">
        <v>0.76620878999999997</v>
      </c>
      <c r="N134">
        <v>-1.2197605199999999</v>
      </c>
      <c r="P134">
        <v>1.6106818730000001</v>
      </c>
      <c r="T134">
        <v>3.2864830970000001</v>
      </c>
      <c r="U134">
        <v>1.796569128</v>
      </c>
      <c r="V134">
        <v>0.20130943700000001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0.67174128300000002</v>
      </c>
      <c r="AP134">
        <v>5.0227779870000004</v>
      </c>
      <c r="AT134">
        <v>-1.4123995890000001</v>
      </c>
      <c r="AV134">
        <v>-0.77506271299999996</v>
      </c>
      <c r="AW134">
        <v>6.9208087220000003</v>
      </c>
    </row>
    <row r="135" spans="1:49" x14ac:dyDescent="0.2">
      <c r="A135" t="s">
        <v>199</v>
      </c>
      <c r="B135" s="74">
        <v>29495</v>
      </c>
      <c r="D135">
        <v>3.1982927989999999</v>
      </c>
      <c r="E135">
        <v>1.8666246769999999</v>
      </c>
      <c r="F135">
        <v>3.671015497</v>
      </c>
      <c r="H135">
        <v>1.2219010429999999</v>
      </c>
      <c r="I135">
        <v>4.2942417590000002</v>
      </c>
      <c r="M135">
        <v>0.36643914300000002</v>
      </c>
      <c r="N135">
        <v>-1.8762502169999999</v>
      </c>
      <c r="P135">
        <v>0.96494896299999999</v>
      </c>
      <c r="T135">
        <v>7.5169662749999997</v>
      </c>
      <c r="U135">
        <v>0.80478792200000004</v>
      </c>
      <c r="V135">
        <v>-5.7517301E-2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0.49261767000000001</v>
      </c>
      <c r="AP135">
        <v>3.2903907029999999</v>
      </c>
      <c r="AT135">
        <v>2.0490370200000001</v>
      </c>
      <c r="AV135">
        <v>-1.6237974310000001</v>
      </c>
      <c r="AW135">
        <v>7.9456179090000001</v>
      </c>
    </row>
    <row r="136" spans="1:49" x14ac:dyDescent="0.2">
      <c r="A136" t="s">
        <v>200</v>
      </c>
      <c r="B136" s="74">
        <v>29587</v>
      </c>
      <c r="D136">
        <v>2.9855904720000002</v>
      </c>
      <c r="E136">
        <v>0.58604324100000005</v>
      </c>
      <c r="F136">
        <v>1.8529221149999999</v>
      </c>
      <c r="H136">
        <v>1.9403879820000001</v>
      </c>
      <c r="I136">
        <v>3.3155554770000002</v>
      </c>
      <c r="M136">
        <v>-0.37748671900000003</v>
      </c>
      <c r="N136">
        <v>-1.7498374290000001</v>
      </c>
      <c r="P136">
        <v>1.194843181</v>
      </c>
      <c r="T136">
        <v>3.3582471589999998</v>
      </c>
      <c r="U136">
        <v>0.41601178100000002</v>
      </c>
      <c r="V136">
        <v>0.52731102399999996</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0.972944633</v>
      </c>
      <c r="AP136">
        <v>2.8912564010000001</v>
      </c>
      <c r="AT136">
        <v>-5.4837886000000002E-2</v>
      </c>
      <c r="AV136">
        <v>-3.9131615000000002E-2</v>
      </c>
      <c r="AW136">
        <v>6.0127037339999996</v>
      </c>
    </row>
    <row r="137" spans="1:49" x14ac:dyDescent="0.2">
      <c r="A137" t="s">
        <v>201</v>
      </c>
      <c r="B137" s="74">
        <v>29677</v>
      </c>
      <c r="D137">
        <v>2.9259190639999999</v>
      </c>
      <c r="E137">
        <v>-1.1679114390000001</v>
      </c>
      <c r="F137">
        <v>-1.818304235</v>
      </c>
      <c r="H137">
        <v>3.4626741280000002</v>
      </c>
      <c r="I137">
        <v>1.2079492409999999</v>
      </c>
      <c r="M137">
        <v>6.6002819999999999E-3</v>
      </c>
      <c r="N137">
        <v>-3.080016289</v>
      </c>
      <c r="P137">
        <v>-4.7428330999999997E-2</v>
      </c>
      <c r="T137">
        <v>1.4651830219999999</v>
      </c>
      <c r="U137">
        <v>-0.44786501499999998</v>
      </c>
      <c r="V137">
        <v>1.3580222420000001</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1.43842165</v>
      </c>
      <c r="AP137">
        <v>1.7492467039999999</v>
      </c>
      <c r="AT137">
        <v>-2.4909400759999998</v>
      </c>
      <c r="AV137">
        <v>1.599979772</v>
      </c>
      <c r="AW137">
        <v>5.1687644280000002</v>
      </c>
    </row>
    <row r="138" spans="1:49" x14ac:dyDescent="0.2">
      <c r="A138" t="s">
        <v>202</v>
      </c>
      <c r="B138" s="74">
        <v>29768</v>
      </c>
      <c r="D138">
        <v>4.2416002849999996</v>
      </c>
      <c r="E138">
        <v>0.88496202300000004</v>
      </c>
      <c r="F138">
        <v>0.28122027199999999</v>
      </c>
      <c r="H138">
        <v>4.6588211749999999</v>
      </c>
      <c r="I138">
        <v>2.2058796190000001</v>
      </c>
      <c r="M138">
        <v>0.40335047400000001</v>
      </c>
      <c r="N138">
        <v>-1.2754455339999999</v>
      </c>
      <c r="P138">
        <v>-0.49631049599999999</v>
      </c>
      <c r="T138">
        <v>3.1363820320000002</v>
      </c>
      <c r="U138">
        <v>0.97641692599999996</v>
      </c>
      <c r="V138">
        <v>2.5824054830000001</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2.7574906600000002</v>
      </c>
      <c r="AP138">
        <v>1.857852665</v>
      </c>
      <c r="AT138">
        <v>2.3268107649999998</v>
      </c>
      <c r="AV138">
        <v>2.968700707</v>
      </c>
      <c r="AW138">
        <v>5.4606395079999999</v>
      </c>
    </row>
    <row r="139" spans="1:49" x14ac:dyDescent="0.2">
      <c r="A139" t="s">
        <v>203</v>
      </c>
      <c r="B139" s="74">
        <v>29860</v>
      </c>
      <c r="D139">
        <v>5.7847713199999999</v>
      </c>
      <c r="E139">
        <v>0.29226715199999997</v>
      </c>
      <c r="F139">
        <v>0.83877797499999995</v>
      </c>
      <c r="H139">
        <v>3.8384630890000002</v>
      </c>
      <c r="I139">
        <v>2.0408892409999999</v>
      </c>
      <c r="M139">
        <v>1.0688095719999999</v>
      </c>
      <c r="N139">
        <v>0.66580399199999996</v>
      </c>
      <c r="P139">
        <v>0.34405483799999997</v>
      </c>
      <c r="T139">
        <v>-1.2768622919999999</v>
      </c>
      <c r="U139">
        <v>1.481908343</v>
      </c>
      <c r="V139">
        <v>2.9396088699999998</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3.100647666</v>
      </c>
      <c r="AP139">
        <v>2.0325545749999998</v>
      </c>
      <c r="AT139">
        <v>-0.65963311199999997</v>
      </c>
      <c r="AV139">
        <v>4.3257650209999996</v>
      </c>
      <c r="AW139">
        <v>5.1945727679999996</v>
      </c>
    </row>
    <row r="140" spans="1:49" x14ac:dyDescent="0.2">
      <c r="A140" t="s">
        <v>204</v>
      </c>
      <c r="B140" s="74">
        <v>29952</v>
      </c>
      <c r="D140">
        <v>3.5715207680000001</v>
      </c>
      <c r="E140">
        <v>-0.395863295</v>
      </c>
      <c r="F140">
        <v>1.3160517839999999</v>
      </c>
      <c r="H140">
        <v>1.955909127</v>
      </c>
      <c r="I140">
        <v>1.073663765</v>
      </c>
      <c r="M140">
        <v>1.1233869780000001</v>
      </c>
      <c r="N140">
        <v>0.21651036400000001</v>
      </c>
      <c r="P140">
        <v>-0.33420707700000002</v>
      </c>
      <c r="T140">
        <v>1.8821198610000001</v>
      </c>
      <c r="U140">
        <v>2.27977951</v>
      </c>
      <c r="V140">
        <v>1.495609221</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1.8596683789999999</v>
      </c>
      <c r="AP140">
        <v>0.84441548200000005</v>
      </c>
      <c r="AT140">
        <v>0.18589722</v>
      </c>
      <c r="AV140">
        <v>1.2999011570000001</v>
      </c>
      <c r="AW140">
        <v>5.6134761129999999</v>
      </c>
    </row>
    <row r="141" spans="1:49" x14ac:dyDescent="0.2">
      <c r="A141" t="s">
        <v>205</v>
      </c>
      <c r="B141" s="74">
        <v>30042</v>
      </c>
      <c r="D141">
        <v>2.3400234000000002</v>
      </c>
      <c r="E141">
        <v>2.3331765519999998</v>
      </c>
      <c r="F141">
        <v>1.428611638</v>
      </c>
      <c r="H141">
        <v>-1.416253252</v>
      </c>
      <c r="I141">
        <v>0.41354269199999999</v>
      </c>
      <c r="M141">
        <v>0.30872657100000001</v>
      </c>
      <c r="N141">
        <v>1.378547221</v>
      </c>
      <c r="P141">
        <v>0.64585859700000003</v>
      </c>
      <c r="T141">
        <v>2.7094084949999999</v>
      </c>
      <c r="U141">
        <v>2.8049343929999999</v>
      </c>
      <c r="V141">
        <v>-1.2183123000000001E-2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0.51028108100000003</v>
      </c>
      <c r="AP141">
        <v>2.8314113120000002</v>
      </c>
      <c r="AT141">
        <v>-0.142823336</v>
      </c>
      <c r="AV141">
        <v>-2.1903489820000002</v>
      </c>
      <c r="AW141">
        <v>3.3514524570000002</v>
      </c>
    </row>
    <row r="142" spans="1:49" x14ac:dyDescent="0.2">
      <c r="A142" t="s">
        <v>206</v>
      </c>
      <c r="B142" s="74">
        <v>30133</v>
      </c>
      <c r="D142">
        <v>1.6790123459999999</v>
      </c>
      <c r="E142">
        <v>1.610946582</v>
      </c>
      <c r="F142">
        <v>0.240429213</v>
      </c>
      <c r="H142">
        <v>-3.6400568990000002</v>
      </c>
      <c r="I142">
        <v>-1.3672386299999999</v>
      </c>
      <c r="M142">
        <v>-5.9283060999999998E-2</v>
      </c>
      <c r="N142">
        <v>3.3366614399999999</v>
      </c>
      <c r="P142">
        <v>1.1400823389999999</v>
      </c>
      <c r="T142">
        <v>2.5210908380000001</v>
      </c>
      <c r="U142">
        <v>2.7901028449999998</v>
      </c>
      <c r="V142">
        <v>0.301063882</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0.54189330099999999</v>
      </c>
      <c r="AP142">
        <v>1.36695612</v>
      </c>
      <c r="AT142">
        <v>2.0297517699999998</v>
      </c>
      <c r="AV142">
        <v>-1.0105681470000001</v>
      </c>
      <c r="AW142">
        <v>0.29869293899999999</v>
      </c>
    </row>
    <row r="143" spans="1:49" x14ac:dyDescent="0.2">
      <c r="A143" t="s">
        <v>207</v>
      </c>
      <c r="B143" s="74">
        <v>30225</v>
      </c>
      <c r="D143">
        <v>-0.98794238700000003</v>
      </c>
      <c r="E143">
        <v>1.6127488720000001</v>
      </c>
      <c r="F143">
        <v>0.78557447899999999</v>
      </c>
      <c r="H143">
        <v>-3.619406541</v>
      </c>
      <c r="I143">
        <v>-2.2275188419999998</v>
      </c>
      <c r="M143">
        <v>-1.3070915160000001</v>
      </c>
      <c r="N143">
        <v>3.7696047300000002</v>
      </c>
      <c r="P143">
        <v>1.3701869390000001</v>
      </c>
      <c r="T143">
        <v>3.123627312</v>
      </c>
      <c r="U143">
        <v>2.1081873290000002</v>
      </c>
      <c r="V143">
        <v>-0.539548535</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-0.24965384500000001</v>
      </c>
      <c r="AP143">
        <v>2.0069998299999998</v>
      </c>
      <c r="AT143">
        <v>-4.1905780000000004E-3</v>
      </c>
      <c r="AV143">
        <v>-2.555921433</v>
      </c>
      <c r="AW143">
        <v>-1.165397177</v>
      </c>
    </row>
    <row r="144" spans="1:49" x14ac:dyDescent="0.2">
      <c r="A144" t="s">
        <v>208</v>
      </c>
      <c r="B144" s="74">
        <v>30317</v>
      </c>
      <c r="D144">
        <v>-2.166598123</v>
      </c>
      <c r="E144">
        <v>2.0796073860000002</v>
      </c>
      <c r="F144">
        <v>-0.120160379</v>
      </c>
      <c r="H144">
        <v>-4.0694495389999998</v>
      </c>
      <c r="I144">
        <v>-2.1570966120000001</v>
      </c>
      <c r="M144">
        <v>-0.99258529799999995</v>
      </c>
      <c r="N144">
        <v>3.5969389270000001</v>
      </c>
      <c r="P144">
        <v>1.829180091</v>
      </c>
      <c r="T144">
        <v>4.0204180850000002</v>
      </c>
      <c r="U144">
        <v>2.1150435019999998</v>
      </c>
      <c r="V144">
        <v>4.1025814000000001E-2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1.1777360000000001E-2</v>
      </c>
      <c r="AP144">
        <v>2.335787302</v>
      </c>
      <c r="AT144">
        <v>3.1014331159999999</v>
      </c>
      <c r="AV144">
        <v>-1.443156179</v>
      </c>
      <c r="AW144">
        <v>-3.8546370259999998</v>
      </c>
    </row>
    <row r="145" spans="1:49" x14ac:dyDescent="0.2">
      <c r="A145" t="s">
        <v>209</v>
      </c>
      <c r="B145" s="74">
        <v>30407</v>
      </c>
      <c r="D145">
        <v>-2.3449376229999999</v>
      </c>
      <c r="E145">
        <v>1.264709721</v>
      </c>
      <c r="F145">
        <v>-0.235342511</v>
      </c>
      <c r="H145">
        <v>-1.3036433839999999</v>
      </c>
      <c r="I145">
        <v>-0.65761537299999995</v>
      </c>
      <c r="M145">
        <v>-0.46822745700000001</v>
      </c>
      <c r="N145">
        <v>2.774982482</v>
      </c>
      <c r="P145">
        <v>1.7823934619999999</v>
      </c>
      <c r="T145">
        <v>3.497922505</v>
      </c>
      <c r="U145">
        <v>1.6898050179999999</v>
      </c>
      <c r="V145">
        <v>1.33968851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1.103617378</v>
      </c>
      <c r="AP145">
        <v>0.83359598000000001</v>
      </c>
      <c r="AT145">
        <v>1.6462159380000001</v>
      </c>
      <c r="AV145">
        <v>1.4314555769999999</v>
      </c>
      <c r="AW145">
        <v>-4.4534992339999997</v>
      </c>
    </row>
    <row r="146" spans="1:49" x14ac:dyDescent="0.2">
      <c r="A146" t="s">
        <v>210</v>
      </c>
      <c r="B146" s="74">
        <v>30498</v>
      </c>
      <c r="D146">
        <v>-3.4034445400000002</v>
      </c>
      <c r="E146">
        <v>2.2896633899999999</v>
      </c>
      <c r="F146">
        <v>-0.45643871200000002</v>
      </c>
      <c r="H146">
        <v>1.8143211260000001</v>
      </c>
      <c r="I146">
        <v>8.0893751E-2</v>
      </c>
      <c r="M146">
        <v>1.2026173739999999</v>
      </c>
      <c r="N146">
        <v>3.2408993760000002</v>
      </c>
      <c r="P146">
        <v>2.0235361649999999</v>
      </c>
      <c r="T146">
        <v>3.5642522250000002</v>
      </c>
      <c r="U146">
        <v>1.0252727699999999</v>
      </c>
      <c r="V146">
        <v>2.4158922349999998</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1.9656531020000001</v>
      </c>
      <c r="AP146">
        <v>1.293490896</v>
      </c>
      <c r="AT146">
        <v>0.32836833399999998</v>
      </c>
      <c r="AV146">
        <v>3.2685328839999999</v>
      </c>
      <c r="AW146">
        <v>-3.249435611</v>
      </c>
    </row>
    <row r="147" spans="1:49" x14ac:dyDescent="0.2">
      <c r="A147" t="s">
        <v>211</v>
      </c>
      <c r="B147" s="74">
        <v>30590</v>
      </c>
      <c r="D147">
        <v>-3.3844976999999998E-2</v>
      </c>
      <c r="E147">
        <v>3.2171430029999999</v>
      </c>
      <c r="F147">
        <v>0.261423772</v>
      </c>
      <c r="H147">
        <v>3.8633880629999999</v>
      </c>
      <c r="I147">
        <v>1.1328924680000001</v>
      </c>
      <c r="M147">
        <v>1.999914709</v>
      </c>
      <c r="N147">
        <v>0.86569867099999998</v>
      </c>
      <c r="P147">
        <v>1.490332279</v>
      </c>
      <c r="T147">
        <v>3.393440295</v>
      </c>
      <c r="U147">
        <v>1.1383871940000001</v>
      </c>
      <c r="V147">
        <v>4.0681337620000004</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3.4701721769999998</v>
      </c>
      <c r="AP147">
        <v>-0.68235848700000001</v>
      </c>
      <c r="AT147">
        <v>2.7348417120000001</v>
      </c>
      <c r="AV147">
        <v>5.7371696849999996</v>
      </c>
      <c r="AW147">
        <v>-2.1090845909999998</v>
      </c>
    </row>
    <row r="148" spans="1:49" x14ac:dyDescent="0.2">
      <c r="A148" t="s">
        <v>212</v>
      </c>
      <c r="B148" s="74">
        <v>30682</v>
      </c>
      <c r="D148">
        <v>3.2674118660000002</v>
      </c>
      <c r="E148">
        <v>4.4460173860000003</v>
      </c>
      <c r="F148">
        <v>2.0277877200000001</v>
      </c>
      <c r="H148">
        <v>6.1516575939999996</v>
      </c>
      <c r="I148">
        <v>1.8841896920000001</v>
      </c>
      <c r="M148">
        <v>3.16368421</v>
      </c>
      <c r="N148">
        <v>3.2046974370000001</v>
      </c>
      <c r="P148">
        <v>1.7872824009999999</v>
      </c>
      <c r="T148">
        <v>1.850726737</v>
      </c>
      <c r="U148">
        <v>1.1546528149999999</v>
      </c>
      <c r="V148">
        <v>5.3457869149999997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4.7420236310000003</v>
      </c>
      <c r="AP148">
        <v>-2.12369048</v>
      </c>
      <c r="AT148">
        <v>2.8016803779999999</v>
      </c>
      <c r="AV148">
        <v>7.8999749809999997</v>
      </c>
      <c r="AW148">
        <v>2.541563112</v>
      </c>
    </row>
    <row r="149" spans="1:49" x14ac:dyDescent="0.2">
      <c r="A149" t="s">
        <v>213</v>
      </c>
      <c r="B149" s="74">
        <v>30773</v>
      </c>
      <c r="D149">
        <v>6.9097715830000004</v>
      </c>
      <c r="E149">
        <v>1.8337830740000001</v>
      </c>
      <c r="F149">
        <v>2.422061448</v>
      </c>
      <c r="H149">
        <v>6.2012423300000004</v>
      </c>
      <c r="I149">
        <v>2.0669734009999998</v>
      </c>
      <c r="M149">
        <v>3.589300546</v>
      </c>
      <c r="N149">
        <v>4.0099992599999998</v>
      </c>
      <c r="P149">
        <v>2.2555617030000001</v>
      </c>
      <c r="T149">
        <v>3.3376902249999998</v>
      </c>
      <c r="U149">
        <v>1.147523074</v>
      </c>
      <c r="V149">
        <v>5.7521620870000003</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5.4021314619999998</v>
      </c>
      <c r="AP149">
        <v>-3.765904581</v>
      </c>
      <c r="AT149">
        <v>6.3247612200000001</v>
      </c>
      <c r="AV149">
        <v>8.5782754620000006</v>
      </c>
      <c r="AW149">
        <v>5.9162508359999997</v>
      </c>
    </row>
    <row r="150" spans="1:49" x14ac:dyDescent="0.2">
      <c r="A150" t="s">
        <v>214</v>
      </c>
      <c r="B150" s="74">
        <v>30864</v>
      </c>
      <c r="D150">
        <v>8.3662077149999998</v>
      </c>
      <c r="E150">
        <v>-0.19121944599999999</v>
      </c>
      <c r="F150">
        <v>2.530255302</v>
      </c>
      <c r="H150">
        <v>6.1913223820000001</v>
      </c>
      <c r="I150">
        <v>2.507883004</v>
      </c>
      <c r="M150">
        <v>0.89535167299999996</v>
      </c>
      <c r="N150">
        <v>3.6275763560000001</v>
      </c>
      <c r="P150">
        <v>1.3145948160000001</v>
      </c>
      <c r="T150">
        <v>2.4021804410000001</v>
      </c>
      <c r="U150">
        <v>1.5470180630000001</v>
      </c>
      <c r="V150">
        <v>5.26594125</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4.954002547</v>
      </c>
      <c r="AP150">
        <v>-3.9015060840000002</v>
      </c>
      <c r="AT150">
        <v>3.8963503070000001</v>
      </c>
      <c r="AV150">
        <v>7.9966966749999999</v>
      </c>
      <c r="AW150">
        <v>7.66954987</v>
      </c>
    </row>
    <row r="151" spans="1:49" x14ac:dyDescent="0.2">
      <c r="A151" t="s">
        <v>215</v>
      </c>
      <c r="B151" s="74">
        <v>30956</v>
      </c>
      <c r="D151">
        <v>6.2929083309999996</v>
      </c>
      <c r="E151">
        <v>-0.110557619</v>
      </c>
      <c r="F151">
        <v>1.9731701399999999</v>
      </c>
      <c r="H151">
        <v>5.45844766</v>
      </c>
      <c r="I151">
        <v>3.6301883140000002</v>
      </c>
      <c r="M151">
        <v>3.8594318680000002</v>
      </c>
      <c r="N151">
        <v>5.9398106300000002</v>
      </c>
      <c r="P151">
        <v>2.0468881680000002</v>
      </c>
      <c r="T151">
        <v>2.3757209559999999</v>
      </c>
      <c r="U151">
        <v>2.159107954</v>
      </c>
      <c r="V151">
        <v>5.0377816539999998</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4.8577436409999999</v>
      </c>
      <c r="AP151">
        <v>-9.2261706999999998E-2</v>
      </c>
      <c r="AT151">
        <v>4.0964046889999999</v>
      </c>
      <c r="AV151">
        <v>6.9008370829999999</v>
      </c>
      <c r="AW151">
        <v>4.6782508939999996</v>
      </c>
    </row>
    <row r="152" spans="1:49" x14ac:dyDescent="0.2">
      <c r="A152" t="s">
        <v>216</v>
      </c>
      <c r="B152" s="74">
        <v>31048</v>
      </c>
      <c r="D152">
        <v>5.2733832920000001</v>
      </c>
      <c r="E152">
        <v>-0.173153478</v>
      </c>
      <c r="F152">
        <v>1.4962036240000001</v>
      </c>
      <c r="H152">
        <v>5.7961787769999997</v>
      </c>
      <c r="I152">
        <v>4.0510207359999999</v>
      </c>
      <c r="M152">
        <v>3.3047477669999998</v>
      </c>
      <c r="N152">
        <v>3.9996288760000001</v>
      </c>
      <c r="P152">
        <v>1.5211875159999999</v>
      </c>
      <c r="T152">
        <v>3.8360941589999999</v>
      </c>
      <c r="U152">
        <v>1.465127053</v>
      </c>
      <c r="V152">
        <v>4.154673227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4.0147574969999997</v>
      </c>
      <c r="AP152">
        <v>0.33095451199999998</v>
      </c>
      <c r="AT152">
        <v>2.9893881969999998</v>
      </c>
      <c r="AV152">
        <v>5.575799462</v>
      </c>
      <c r="AW152">
        <v>2.2467392519999998</v>
      </c>
    </row>
    <row r="153" spans="1:49" x14ac:dyDescent="0.2">
      <c r="A153" t="s">
        <v>217</v>
      </c>
      <c r="B153" s="74">
        <v>31138</v>
      </c>
      <c r="D153">
        <v>4.1870483690000002</v>
      </c>
      <c r="E153">
        <v>1.6456211089999999</v>
      </c>
      <c r="F153">
        <v>1.5195545989999999</v>
      </c>
      <c r="H153">
        <v>5.5872330000000003</v>
      </c>
      <c r="I153">
        <v>4.3536759800000002</v>
      </c>
      <c r="M153">
        <v>1.400567503</v>
      </c>
      <c r="N153">
        <v>2.9930081959999999</v>
      </c>
      <c r="P153">
        <v>1.811958929</v>
      </c>
      <c r="T153">
        <v>2.9272259109999998</v>
      </c>
      <c r="U153">
        <v>1.3194605340000001</v>
      </c>
      <c r="V153">
        <v>3.7718528120000001</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3.5533572040000001</v>
      </c>
      <c r="AP153">
        <v>2.2110111849999998</v>
      </c>
      <c r="AT153">
        <v>0.85621081399999999</v>
      </c>
      <c r="AV153">
        <v>4.5550933889999996</v>
      </c>
      <c r="AW153">
        <v>-5.8200821999999999E-2</v>
      </c>
    </row>
    <row r="154" spans="1:49" x14ac:dyDescent="0.2">
      <c r="A154" t="s">
        <v>218</v>
      </c>
      <c r="B154" s="74">
        <v>31229</v>
      </c>
      <c r="D154">
        <v>5.297564167</v>
      </c>
      <c r="E154">
        <v>2.5276691339999999</v>
      </c>
      <c r="F154">
        <v>1.7347935139999999</v>
      </c>
      <c r="H154">
        <v>3.8917403880000001</v>
      </c>
      <c r="I154">
        <v>4.4941232900000001</v>
      </c>
      <c r="M154">
        <v>4.0559485850000003</v>
      </c>
      <c r="N154">
        <v>3.3414112330000001</v>
      </c>
      <c r="P154">
        <v>2.0308733129999998</v>
      </c>
      <c r="T154">
        <v>3.9473090630000001</v>
      </c>
      <c r="U154">
        <v>1.80964934</v>
      </c>
      <c r="V154">
        <v>4.0835200609999998</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3.9757552289999998</v>
      </c>
      <c r="AP154">
        <v>4.2851239000000003</v>
      </c>
      <c r="AT154">
        <v>3.4886037650000001</v>
      </c>
      <c r="AV154">
        <v>3.6842175049999999</v>
      </c>
      <c r="AW154">
        <v>-2.804155293</v>
      </c>
    </row>
    <row r="155" spans="1:49" x14ac:dyDescent="0.2">
      <c r="A155" t="s">
        <v>219</v>
      </c>
      <c r="B155" s="74">
        <v>31321</v>
      </c>
      <c r="D155">
        <v>5.825970012</v>
      </c>
      <c r="E155">
        <v>3.1012017260000002</v>
      </c>
      <c r="F155">
        <v>2.1308122300000001</v>
      </c>
      <c r="H155">
        <v>4.7692235739999997</v>
      </c>
      <c r="I155">
        <v>3.0080863340000001</v>
      </c>
      <c r="M155">
        <v>2.6166356469999998</v>
      </c>
      <c r="N155">
        <v>4.6393871969999996</v>
      </c>
      <c r="P155">
        <v>2.1985309759999998</v>
      </c>
      <c r="T155">
        <v>3.541247485</v>
      </c>
      <c r="U155">
        <v>1.620602452</v>
      </c>
      <c r="V155">
        <v>4.1343112819999996</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3.8931995650000002</v>
      </c>
      <c r="AP155">
        <v>1.4560214650000001</v>
      </c>
      <c r="AT155">
        <v>3.2653368189999998</v>
      </c>
      <c r="AV155">
        <v>4.2624449269999998</v>
      </c>
      <c r="AW155">
        <v>-1.426912484</v>
      </c>
    </row>
    <row r="156" spans="1:49" x14ac:dyDescent="0.2">
      <c r="A156" t="s">
        <v>220</v>
      </c>
      <c r="B156" s="74">
        <v>31413</v>
      </c>
      <c r="D156">
        <v>4.8317075310000002</v>
      </c>
      <c r="E156">
        <v>1.7054354549999999</v>
      </c>
      <c r="F156">
        <v>2.0025774859999999</v>
      </c>
      <c r="H156">
        <v>4.7179629949999997</v>
      </c>
      <c r="I156">
        <v>3.0272961340000002</v>
      </c>
      <c r="M156">
        <v>2.3705422679999999</v>
      </c>
      <c r="N156">
        <v>6.135595919</v>
      </c>
      <c r="P156">
        <v>3.2404803860000002</v>
      </c>
      <c r="T156">
        <v>2.505634363</v>
      </c>
      <c r="U156">
        <v>2.1324374229999998</v>
      </c>
      <c r="V156">
        <v>4.2308413460000001</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4.1058753860000001</v>
      </c>
      <c r="AP156">
        <v>3.3055672039999999</v>
      </c>
      <c r="AT156">
        <v>1.285841368</v>
      </c>
      <c r="AV156">
        <v>4.182268594</v>
      </c>
      <c r="AW156">
        <v>-0.52662913</v>
      </c>
    </row>
    <row r="157" spans="1:49" x14ac:dyDescent="0.2">
      <c r="A157" t="s">
        <v>221</v>
      </c>
      <c r="B157" s="74">
        <v>31503</v>
      </c>
      <c r="D157">
        <v>4.0049202480000003</v>
      </c>
      <c r="E157">
        <v>2.1245604280000001</v>
      </c>
      <c r="F157">
        <v>2.124696369</v>
      </c>
      <c r="H157">
        <v>3.119680206</v>
      </c>
      <c r="I157">
        <v>2.1054205289999999</v>
      </c>
      <c r="M157">
        <v>2.342772922</v>
      </c>
      <c r="N157">
        <v>6.7147378289999997</v>
      </c>
      <c r="P157">
        <v>2.3890152260000002</v>
      </c>
      <c r="T157">
        <v>1.865262234</v>
      </c>
      <c r="U157">
        <v>2.220586838</v>
      </c>
      <c r="V157">
        <v>3.8257672220000001</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3.5468802039999998</v>
      </c>
      <c r="AP157">
        <v>3.542920579</v>
      </c>
      <c r="AT157">
        <v>3.1920268190000001</v>
      </c>
      <c r="AV157">
        <v>4.145589749</v>
      </c>
      <c r="AW157">
        <v>-1.1226635039999999</v>
      </c>
    </row>
    <row r="158" spans="1:49" x14ac:dyDescent="0.2">
      <c r="A158" t="s">
        <v>222</v>
      </c>
      <c r="B158" s="74">
        <v>31594</v>
      </c>
      <c r="D158">
        <v>1.5642211939999999</v>
      </c>
      <c r="E158">
        <v>3.199522231</v>
      </c>
      <c r="F158">
        <v>1.960227312</v>
      </c>
      <c r="H158">
        <v>3.3763978080000001</v>
      </c>
      <c r="I158">
        <v>2.1606373310000002</v>
      </c>
      <c r="M158">
        <v>2.4931797109999998</v>
      </c>
      <c r="N158">
        <v>4.711821745</v>
      </c>
      <c r="P158">
        <v>4.9260230590000003</v>
      </c>
      <c r="T158">
        <v>1.1674333830000001</v>
      </c>
      <c r="U158">
        <v>2.4324965299999999</v>
      </c>
      <c r="V158">
        <v>3.1106229829999998</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3.0912550240000001</v>
      </c>
      <c r="AP158">
        <v>3.7013073400000001</v>
      </c>
      <c r="AT158">
        <v>2.6238172020000001</v>
      </c>
      <c r="AV158">
        <v>3.7015803869999999</v>
      </c>
      <c r="AW158">
        <v>0.28924069499999999</v>
      </c>
    </row>
    <row r="159" spans="1:49" x14ac:dyDescent="0.2">
      <c r="A159" t="s">
        <v>223</v>
      </c>
      <c r="B159" s="74">
        <v>31686</v>
      </c>
      <c r="D159">
        <v>0.493280791</v>
      </c>
      <c r="E159">
        <v>1.7728227299999999</v>
      </c>
      <c r="F159">
        <v>2.521071836</v>
      </c>
      <c r="H159">
        <v>2.2101351849999999</v>
      </c>
      <c r="I159">
        <v>2.0204192989999998</v>
      </c>
      <c r="M159">
        <v>1.9223791969999999</v>
      </c>
      <c r="N159">
        <v>2.4381696920000002</v>
      </c>
      <c r="P159">
        <v>3.1172711020000001</v>
      </c>
      <c r="T159">
        <v>5.0524679360000002</v>
      </c>
      <c r="U159">
        <v>2.3941689190000002</v>
      </c>
      <c r="V159">
        <v>2.657145946</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2.6190958499999999</v>
      </c>
      <c r="AP159">
        <v>4.6477217370000004</v>
      </c>
      <c r="AT159">
        <v>2.0001534589999999</v>
      </c>
      <c r="AV159">
        <v>3.1192412740000002</v>
      </c>
      <c r="AW159">
        <v>0.780967301</v>
      </c>
    </row>
    <row r="160" spans="1:49" x14ac:dyDescent="0.2">
      <c r="A160" t="s">
        <v>224</v>
      </c>
      <c r="B160" s="74">
        <v>31778</v>
      </c>
      <c r="D160">
        <v>2.4154427379999999</v>
      </c>
      <c r="E160">
        <v>2.2739677829999998</v>
      </c>
      <c r="F160">
        <v>0.81353945999999999</v>
      </c>
      <c r="H160">
        <v>-6.1759828000000003E-2</v>
      </c>
      <c r="I160">
        <v>1.0680647729999999</v>
      </c>
      <c r="M160">
        <v>2.3247305100000002</v>
      </c>
      <c r="N160">
        <v>0.89610323700000005</v>
      </c>
      <c r="P160">
        <v>2.597685566</v>
      </c>
      <c r="T160">
        <v>2.9099844799999999</v>
      </c>
      <c r="U160">
        <v>2.062208681</v>
      </c>
      <c r="V160">
        <v>2.493990315</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2.3873270660000001</v>
      </c>
      <c r="AP160">
        <v>4.661705392</v>
      </c>
      <c r="AT160">
        <v>3.3484518620000001</v>
      </c>
      <c r="AV160">
        <v>2.908033321</v>
      </c>
      <c r="AW160">
        <v>0.13336261499999999</v>
      </c>
    </row>
    <row r="161" spans="1:49" x14ac:dyDescent="0.2">
      <c r="A161" t="s">
        <v>225</v>
      </c>
      <c r="B161" s="74">
        <v>31868</v>
      </c>
      <c r="D161">
        <v>2.737968983</v>
      </c>
      <c r="E161">
        <v>0.50285412500000004</v>
      </c>
      <c r="F161">
        <v>0.97242633199999995</v>
      </c>
      <c r="H161">
        <v>2.2747543179999998</v>
      </c>
      <c r="I161">
        <v>0.69666647199999998</v>
      </c>
      <c r="M161">
        <v>0.33051952299999998</v>
      </c>
      <c r="N161">
        <v>-1.5389017359999999</v>
      </c>
      <c r="P161">
        <v>4.404611021</v>
      </c>
      <c r="T161">
        <v>3.636363636</v>
      </c>
      <c r="U161">
        <v>1.856300764</v>
      </c>
      <c r="V161">
        <v>2.1565711439999999</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2.2620651779999998</v>
      </c>
      <c r="AP161">
        <v>5.1620075249999999</v>
      </c>
      <c r="AT161">
        <v>1.7608902099999999</v>
      </c>
      <c r="AV161">
        <v>2.7158406190000002</v>
      </c>
      <c r="AW161">
        <v>2.0777651320000001</v>
      </c>
    </row>
    <row r="162" spans="1:49" x14ac:dyDescent="0.2">
      <c r="A162" t="s">
        <v>226</v>
      </c>
      <c r="B162" s="74">
        <v>31959</v>
      </c>
      <c r="D162">
        <v>4.5358473769999996</v>
      </c>
      <c r="E162">
        <v>1.053910812</v>
      </c>
      <c r="F162">
        <v>1.887003395</v>
      </c>
      <c r="H162">
        <v>3.010131747</v>
      </c>
      <c r="I162">
        <v>0.76904934700000005</v>
      </c>
      <c r="M162">
        <v>1.4159557760000001</v>
      </c>
      <c r="N162">
        <v>1.7412943400000001</v>
      </c>
      <c r="P162">
        <v>3.5016152229999999</v>
      </c>
      <c r="T162">
        <v>4.9847711380000002</v>
      </c>
      <c r="U162">
        <v>2.2064920579999998</v>
      </c>
      <c r="V162">
        <v>3.154707551</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3.2893091999999999</v>
      </c>
      <c r="AP162">
        <v>5.6532818010000003</v>
      </c>
      <c r="AT162">
        <v>3.493861017</v>
      </c>
      <c r="AV162">
        <v>3.3584793799999999</v>
      </c>
      <c r="AW162">
        <v>1.739358961</v>
      </c>
    </row>
    <row r="163" spans="1:49" x14ac:dyDescent="0.2">
      <c r="A163" t="s">
        <v>227</v>
      </c>
      <c r="B163" s="74">
        <v>32051</v>
      </c>
      <c r="D163">
        <v>6.1304743310000003</v>
      </c>
      <c r="E163">
        <v>2.1984127170000001</v>
      </c>
      <c r="F163">
        <v>2.0546591809999999</v>
      </c>
      <c r="H163">
        <v>4.4461734890000004</v>
      </c>
      <c r="I163">
        <v>1.902321317</v>
      </c>
      <c r="M163">
        <v>1.3695269969999999</v>
      </c>
      <c r="N163">
        <v>0.37490674499999999</v>
      </c>
      <c r="P163">
        <v>6.389218713</v>
      </c>
      <c r="T163">
        <v>0.99066880400000001</v>
      </c>
      <c r="U163">
        <v>2.4344800420000001</v>
      </c>
      <c r="V163">
        <v>3.5354323750000001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3.7218082190000001</v>
      </c>
      <c r="AP163">
        <v>6.7169371499999997</v>
      </c>
      <c r="AT163">
        <v>4.1607392299999999</v>
      </c>
      <c r="AV163">
        <v>3.2669261519999999</v>
      </c>
      <c r="AW163">
        <v>1.8813654200000001</v>
      </c>
    </row>
    <row r="164" spans="1:49" x14ac:dyDescent="0.2">
      <c r="A164" t="s">
        <v>228</v>
      </c>
      <c r="B164" s="74">
        <v>32143</v>
      </c>
      <c r="D164">
        <v>6.5248234690000002</v>
      </c>
      <c r="E164">
        <v>2.9502189489999999</v>
      </c>
      <c r="F164">
        <v>4.580977496</v>
      </c>
      <c r="H164">
        <v>6.5650137409999996</v>
      </c>
      <c r="I164">
        <v>2.7955865129999999</v>
      </c>
      <c r="M164">
        <v>1.9745416950000001</v>
      </c>
      <c r="N164">
        <v>0.60326235399999995</v>
      </c>
      <c r="P164">
        <v>7.8765426270000001</v>
      </c>
      <c r="T164">
        <v>4.9474257469999996</v>
      </c>
      <c r="U164">
        <v>3.796843677</v>
      </c>
      <c r="V164">
        <v>4.6492912210000004</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4.9680880739999997</v>
      </c>
      <c r="AP164">
        <v>6.2934178300000001</v>
      </c>
      <c r="AT164">
        <v>4.1684212660000002</v>
      </c>
      <c r="AV164">
        <v>4.479019138</v>
      </c>
      <c r="AW164">
        <v>2.700870283</v>
      </c>
    </row>
    <row r="165" spans="1:49" x14ac:dyDescent="0.2">
      <c r="A165" t="s">
        <v>229</v>
      </c>
      <c r="B165" s="74">
        <v>32234</v>
      </c>
      <c r="D165">
        <v>5.9618003760000002</v>
      </c>
      <c r="E165">
        <v>2.7860016010000002</v>
      </c>
      <c r="F165">
        <v>4.8759065120000002</v>
      </c>
      <c r="H165">
        <v>5.680408989</v>
      </c>
      <c r="I165">
        <v>3.213085167</v>
      </c>
      <c r="M165">
        <v>3.651100816</v>
      </c>
      <c r="N165">
        <v>3.208773044</v>
      </c>
      <c r="P165">
        <v>6.0512867940000001</v>
      </c>
      <c r="T165">
        <v>5.4751808430000004</v>
      </c>
      <c r="U165">
        <v>4.9068766799999999</v>
      </c>
      <c r="V165">
        <v>5.3853739169999999</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5.5115379620000002</v>
      </c>
      <c r="AP165">
        <v>9.1659396599999994</v>
      </c>
      <c r="AT165">
        <v>4.1914481019999998</v>
      </c>
      <c r="AV165">
        <v>4.2421895689999998</v>
      </c>
      <c r="AW165">
        <v>3.491728867</v>
      </c>
    </row>
    <row r="166" spans="1:49" x14ac:dyDescent="0.2">
      <c r="A166" t="s">
        <v>230</v>
      </c>
      <c r="B166" s="74">
        <v>32325</v>
      </c>
      <c r="D166">
        <v>4.3933065520000003</v>
      </c>
      <c r="E166">
        <v>2.8570131910000001</v>
      </c>
      <c r="F166">
        <v>4.6901283649999996</v>
      </c>
      <c r="H166">
        <v>5.2568858150000004</v>
      </c>
      <c r="I166">
        <v>2.9788230069999999</v>
      </c>
      <c r="M166">
        <v>3.212995673</v>
      </c>
      <c r="N166">
        <v>0.233664662</v>
      </c>
      <c r="P166">
        <v>5.7661639400000002</v>
      </c>
      <c r="T166">
        <v>4.5029215870000003</v>
      </c>
      <c r="U166">
        <v>4.2777742209999996</v>
      </c>
      <c r="V166">
        <v>4.8233109839999999</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0.13924592999999999</v>
      </c>
      <c r="AN166">
        <v>4.5367407039999996</v>
      </c>
      <c r="AP166">
        <v>7.9348066319999999</v>
      </c>
      <c r="AT166">
        <v>2.1337312829999999</v>
      </c>
      <c r="AV166">
        <v>4.4846042170000002</v>
      </c>
      <c r="AW166">
        <v>3.8562228009999999</v>
      </c>
    </row>
    <row r="167" spans="1:49" x14ac:dyDescent="0.2">
      <c r="A167" t="s">
        <v>231</v>
      </c>
      <c r="B167" s="74">
        <v>32417</v>
      </c>
      <c r="D167">
        <v>3.370804133</v>
      </c>
      <c r="E167">
        <v>3.3105577209999999</v>
      </c>
      <c r="F167">
        <v>4.5160470349999997</v>
      </c>
      <c r="H167">
        <v>3.6882730910000001</v>
      </c>
      <c r="I167">
        <v>2.8931905219999998</v>
      </c>
      <c r="M167">
        <v>3.6649901840000001</v>
      </c>
      <c r="N167">
        <v>-0.29460659</v>
      </c>
      <c r="P167">
        <v>5.4943583220000001</v>
      </c>
      <c r="T167">
        <v>5.3809833930000002</v>
      </c>
      <c r="U167">
        <v>4.8818500970000001</v>
      </c>
      <c r="V167">
        <v>4.777867649</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-0.17400568199999999</v>
      </c>
      <c r="AN167">
        <v>4.4901739410000001</v>
      </c>
      <c r="AP167">
        <v>7.1006943089999996</v>
      </c>
      <c r="AT167">
        <v>1.1529419999999999</v>
      </c>
      <c r="AV167">
        <v>4.1928663229999996</v>
      </c>
      <c r="AW167">
        <v>4.8703041279999999</v>
      </c>
    </row>
    <row r="168" spans="1:49" x14ac:dyDescent="0.2">
      <c r="A168" t="s">
        <v>232</v>
      </c>
      <c r="B168" s="74">
        <v>32509</v>
      </c>
      <c r="D168">
        <v>2.9219664879999998</v>
      </c>
      <c r="E168">
        <v>3.6929269229999999</v>
      </c>
      <c r="F168">
        <v>4.1954032899999998</v>
      </c>
      <c r="H168">
        <v>3.0797576289999999</v>
      </c>
      <c r="I168">
        <v>4.0356750520000002</v>
      </c>
      <c r="M168">
        <v>3.2340519740000002</v>
      </c>
      <c r="N168">
        <v>1.5531106450000001</v>
      </c>
      <c r="P168">
        <v>3.14762561</v>
      </c>
      <c r="T168">
        <v>5.2570653040000002</v>
      </c>
      <c r="U168">
        <v>4.2968053990000001</v>
      </c>
      <c r="V168">
        <v>4.1999417819999998</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-1.5022976320000001</v>
      </c>
      <c r="AN168">
        <v>3.8284756529999999</v>
      </c>
      <c r="AP168">
        <v>7.2294921539999999</v>
      </c>
      <c r="AT168">
        <v>2.973773091</v>
      </c>
      <c r="AV168">
        <v>3.798971044</v>
      </c>
      <c r="AW168">
        <v>4.5712658050000003</v>
      </c>
    </row>
    <row r="169" spans="1:49" x14ac:dyDescent="0.2">
      <c r="A169" t="s">
        <v>233</v>
      </c>
      <c r="B169" s="74">
        <v>32599</v>
      </c>
      <c r="D169">
        <v>3.525469374</v>
      </c>
      <c r="E169">
        <v>5.6142010239999998</v>
      </c>
      <c r="F169">
        <v>3.957928973</v>
      </c>
      <c r="H169">
        <v>2.757474014</v>
      </c>
      <c r="I169">
        <v>4.0599991080000004</v>
      </c>
      <c r="M169">
        <v>5.2677450759999997</v>
      </c>
      <c r="N169">
        <v>1.704190256</v>
      </c>
      <c r="P169">
        <v>5.2415838130000001</v>
      </c>
      <c r="T169">
        <v>5.1752000320000002</v>
      </c>
      <c r="U169">
        <v>4.2590757909999999</v>
      </c>
      <c r="V169">
        <v>4.5165862250000002</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0.141939605</v>
      </c>
      <c r="AN169">
        <v>4.2271199519999998</v>
      </c>
      <c r="AP169">
        <v>6.4186785510000002</v>
      </c>
      <c r="AT169">
        <v>2.6522244740000001</v>
      </c>
      <c r="AV169">
        <v>4.3152399350000001</v>
      </c>
      <c r="AW169">
        <v>3.6609273579999999</v>
      </c>
    </row>
    <row r="170" spans="1:49" x14ac:dyDescent="0.2">
      <c r="A170" t="s">
        <v>234</v>
      </c>
      <c r="B170" s="74">
        <v>32690</v>
      </c>
      <c r="D170">
        <v>5.6309313870000004</v>
      </c>
      <c r="E170">
        <v>4.2042384000000004</v>
      </c>
      <c r="F170">
        <v>3.9878434719999998</v>
      </c>
      <c r="H170">
        <v>2.244657331</v>
      </c>
      <c r="I170">
        <v>5.1159000089999997</v>
      </c>
      <c r="M170">
        <v>3.8096044760000001</v>
      </c>
      <c r="N170">
        <v>-0.38632293600000001</v>
      </c>
      <c r="P170">
        <v>4.9929994610000001</v>
      </c>
      <c r="T170">
        <v>6.1700879769999997</v>
      </c>
      <c r="U170">
        <v>4.6018142600000003</v>
      </c>
      <c r="V170">
        <v>3.8834809090000002</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1.2015545329999999</v>
      </c>
      <c r="AN170">
        <v>3.9106720400000001</v>
      </c>
      <c r="AP170">
        <v>4.4385845780000004</v>
      </c>
      <c r="AT170">
        <v>3.146058595</v>
      </c>
      <c r="AV170">
        <v>3.7482928750000002</v>
      </c>
      <c r="AW170">
        <v>3.3766366639999998</v>
      </c>
    </row>
    <row r="171" spans="1:49" x14ac:dyDescent="0.2">
      <c r="A171" t="s">
        <v>235</v>
      </c>
      <c r="B171" s="74">
        <v>32782</v>
      </c>
      <c r="D171">
        <v>5.6582692530000003</v>
      </c>
      <c r="E171">
        <v>3.3512560429999998</v>
      </c>
      <c r="F171">
        <v>3.1070158999999999</v>
      </c>
      <c r="H171">
        <v>2.6011457679999999</v>
      </c>
      <c r="I171">
        <v>4.6217462559999998</v>
      </c>
      <c r="M171">
        <v>3.5839561240000002</v>
      </c>
      <c r="N171">
        <v>3.4985423000000002E-2</v>
      </c>
      <c r="P171">
        <v>4.5152553849999997</v>
      </c>
      <c r="T171">
        <v>6.1143298570000004</v>
      </c>
      <c r="U171">
        <v>4.3900952100000001</v>
      </c>
      <c r="V171">
        <v>3.706331204</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-0.16363701</v>
      </c>
      <c r="AN171">
        <v>3.8328177229999998</v>
      </c>
      <c r="AP171">
        <v>5.6930811569999999</v>
      </c>
      <c r="AT171">
        <v>3.0075387760000001</v>
      </c>
      <c r="AV171">
        <v>3.9081130530000001</v>
      </c>
      <c r="AW171">
        <v>2.0867109940000002</v>
      </c>
    </row>
    <row r="172" spans="1:49" x14ac:dyDescent="0.2">
      <c r="A172" t="s">
        <v>236</v>
      </c>
      <c r="B172" s="74">
        <v>32874</v>
      </c>
      <c r="D172">
        <v>3.734415051</v>
      </c>
      <c r="E172">
        <v>3.4708611230000002</v>
      </c>
      <c r="F172">
        <v>3.4324837760000002</v>
      </c>
      <c r="H172">
        <v>1.6730314260000001</v>
      </c>
      <c r="I172">
        <v>3.9372182530000002</v>
      </c>
      <c r="M172">
        <v>3.5647693409999999</v>
      </c>
      <c r="N172">
        <v>-0.74857180400000001</v>
      </c>
      <c r="P172">
        <v>4.5762999410000003</v>
      </c>
      <c r="T172">
        <v>4.2360347379999999</v>
      </c>
      <c r="U172">
        <v>4.8477246989999996</v>
      </c>
      <c r="V172">
        <v>3.4868748119999999</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0.52395478200000001</v>
      </c>
      <c r="AN172">
        <v>3.6231858809999999</v>
      </c>
      <c r="AP172">
        <v>5.1854990430000001</v>
      </c>
      <c r="AT172">
        <v>2.1909303680000001</v>
      </c>
      <c r="AV172">
        <v>2.743803255</v>
      </c>
      <c r="AW172">
        <v>0.51118522899999996</v>
      </c>
    </row>
    <row r="173" spans="1:49" x14ac:dyDescent="0.2">
      <c r="A173" t="s">
        <v>237</v>
      </c>
      <c r="B173" s="74">
        <v>32964</v>
      </c>
      <c r="D173">
        <v>3.5059195650000001</v>
      </c>
      <c r="E173">
        <v>3.8908232219999999</v>
      </c>
      <c r="F173">
        <v>4.2568378060000001</v>
      </c>
      <c r="H173">
        <v>1.4740295080000001</v>
      </c>
      <c r="I173">
        <v>5.6528181569999996</v>
      </c>
      <c r="M173">
        <v>4.6210307669999997</v>
      </c>
      <c r="N173">
        <v>-2.403286338</v>
      </c>
      <c r="P173">
        <v>3.062070109</v>
      </c>
      <c r="T173">
        <v>4.4003165859999998</v>
      </c>
      <c r="U173">
        <v>4.0597768480000003</v>
      </c>
      <c r="V173">
        <v>2.9916323120000001</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-0.91421282000000004</v>
      </c>
      <c r="AN173">
        <v>3.3435150899999999</v>
      </c>
      <c r="AP173">
        <v>2.399309825</v>
      </c>
      <c r="AT173">
        <v>2.2395397149999998</v>
      </c>
      <c r="AV173">
        <v>2.821303844</v>
      </c>
      <c r="AW173">
        <v>-2.7499771999999999E-2</v>
      </c>
    </row>
    <row r="174" spans="1:49" x14ac:dyDescent="0.2">
      <c r="A174" t="s">
        <v>238</v>
      </c>
      <c r="B174" s="74">
        <v>33055</v>
      </c>
      <c r="D174">
        <v>1.4962605550000001</v>
      </c>
      <c r="E174">
        <v>4.5137954860000002</v>
      </c>
      <c r="F174">
        <v>2.8990650310000001</v>
      </c>
      <c r="H174">
        <v>0.66907213399999999</v>
      </c>
      <c r="I174">
        <v>4.3283404689999996</v>
      </c>
      <c r="M174">
        <v>4.7138869809999999</v>
      </c>
      <c r="N174">
        <v>1.8295618680000001</v>
      </c>
      <c r="P174">
        <v>3.7923394130000001</v>
      </c>
      <c r="T174">
        <v>1.1850196470000001</v>
      </c>
      <c r="U174">
        <v>3.3694922699999998</v>
      </c>
      <c r="V174">
        <v>3.537338557</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-1.4973224350000001</v>
      </c>
      <c r="AN174">
        <v>3.8751301900000001</v>
      </c>
      <c r="AP174">
        <v>5.8107886249999998</v>
      </c>
      <c r="AT174">
        <v>1.2437843879999999</v>
      </c>
      <c r="AV174">
        <v>2.4127729549999999</v>
      </c>
      <c r="AW174">
        <v>-0.54150713699999997</v>
      </c>
    </row>
    <row r="175" spans="1:49" x14ac:dyDescent="0.2">
      <c r="A175" t="s">
        <v>239</v>
      </c>
      <c r="B175" s="74">
        <v>33147</v>
      </c>
      <c r="D175">
        <v>7.3208893999999997E-2</v>
      </c>
      <c r="E175">
        <v>4.5109601890000004</v>
      </c>
      <c r="F175">
        <v>2.6544734330000002</v>
      </c>
      <c r="H175">
        <v>-0.399573277</v>
      </c>
      <c r="I175">
        <v>3.2735645469999999</v>
      </c>
      <c r="M175">
        <v>5.9514963319999996</v>
      </c>
      <c r="N175">
        <v>3.6641139229999999</v>
      </c>
      <c r="P175">
        <v>2.1145436879999999</v>
      </c>
      <c r="T175">
        <v>-2.136296465</v>
      </c>
      <c r="U175">
        <v>2.77674238</v>
      </c>
      <c r="V175">
        <v>3.1193215159999998</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0.53091038700000004</v>
      </c>
      <c r="AN175">
        <v>3.2457698700000002</v>
      </c>
      <c r="AP175">
        <v>4.4884801809999999</v>
      </c>
      <c r="AT175">
        <v>0.41008955800000002</v>
      </c>
      <c r="AV175">
        <v>1.7272166369999999</v>
      </c>
      <c r="AW175">
        <v>-0.70487321400000003</v>
      </c>
    </row>
    <row r="176" spans="1:49" x14ac:dyDescent="0.2">
      <c r="A176" t="s">
        <v>240</v>
      </c>
      <c r="B176" s="74">
        <v>33239</v>
      </c>
      <c r="D176">
        <v>0.94281683900000002</v>
      </c>
      <c r="E176">
        <v>3.8747718619999998</v>
      </c>
      <c r="F176">
        <v>2.5680475939999998</v>
      </c>
      <c r="H176">
        <v>-1.0760529210000001</v>
      </c>
      <c r="I176">
        <v>1.666536784</v>
      </c>
      <c r="M176">
        <v>6.5816151930000002</v>
      </c>
      <c r="N176">
        <v>0.87859741999999996</v>
      </c>
      <c r="P176">
        <v>6.1524110800000003</v>
      </c>
      <c r="T176">
        <v>-2.7433752990000002</v>
      </c>
      <c r="U176">
        <v>1.434361073</v>
      </c>
      <c r="V176">
        <v>1.806208689</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1.9028238909999999</v>
      </c>
      <c r="AN176">
        <v>2.5018448050000002</v>
      </c>
      <c r="AP176">
        <v>6.3810663500000002</v>
      </c>
      <c r="AT176">
        <v>0.240339254</v>
      </c>
      <c r="AV176">
        <v>0.60285869599999997</v>
      </c>
      <c r="AW176">
        <v>6.1578020000000004E-3</v>
      </c>
    </row>
    <row r="177" spans="1:49" x14ac:dyDescent="0.2">
      <c r="A177" t="s">
        <v>241</v>
      </c>
      <c r="B177" s="74">
        <v>33329</v>
      </c>
      <c r="D177">
        <v>-1.1485717820000001</v>
      </c>
      <c r="E177">
        <v>3.3210353690000001</v>
      </c>
      <c r="F177">
        <v>0.55354087900000004</v>
      </c>
      <c r="H177">
        <v>-3.3984860320000001</v>
      </c>
      <c r="I177">
        <v>-0.16764428200000001</v>
      </c>
      <c r="M177">
        <v>7.3775733450000001</v>
      </c>
      <c r="N177">
        <v>1.7422071729999999</v>
      </c>
      <c r="P177">
        <v>3.208298155</v>
      </c>
      <c r="T177">
        <v>-5.9139187010000001</v>
      </c>
      <c r="U177">
        <v>1.138925481</v>
      </c>
      <c r="V177">
        <v>1.322070174</v>
      </c>
      <c r="X177">
        <v>-1.2449363019999999</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3.6383269619999998</v>
      </c>
      <c r="AM177">
        <v>-0.39695311700000002</v>
      </c>
      <c r="AN177">
        <v>1.616187941</v>
      </c>
      <c r="AP177">
        <v>2.855283649</v>
      </c>
      <c r="AT177">
        <v>-0.283530703</v>
      </c>
      <c r="AV177">
        <v>-0.95024069700000002</v>
      </c>
      <c r="AW177">
        <v>-0.86866982299999995</v>
      </c>
    </row>
    <row r="178" spans="1:49" x14ac:dyDescent="0.2">
      <c r="A178" t="s">
        <v>242</v>
      </c>
      <c r="B178" s="74">
        <v>33420</v>
      </c>
      <c r="D178">
        <v>-1.4361709709999999</v>
      </c>
      <c r="E178">
        <v>3.1513738870000001</v>
      </c>
      <c r="F178">
        <v>2.088652658</v>
      </c>
      <c r="H178">
        <v>-2.5444951750000002</v>
      </c>
      <c r="I178">
        <v>-1.569334663</v>
      </c>
      <c r="M178">
        <v>6.2867136370000001</v>
      </c>
      <c r="N178">
        <v>0.57802191999999997</v>
      </c>
      <c r="P178">
        <v>2.7208127850000001</v>
      </c>
      <c r="T178">
        <v>-5.7427194049999999</v>
      </c>
      <c r="U178">
        <v>1.0282357879999999</v>
      </c>
      <c r="V178">
        <v>1.029459787</v>
      </c>
      <c r="X178">
        <v>-1.873654854</v>
      </c>
      <c r="Y178">
        <v>1.528585007</v>
      </c>
      <c r="AB178">
        <v>1.766355814</v>
      </c>
      <c r="AC178">
        <v>0.64635575099999998</v>
      </c>
      <c r="AE178">
        <v>1.049743026</v>
      </c>
      <c r="AF178">
        <v>3.5823236110000001</v>
      </c>
      <c r="AG178">
        <v>11.097758274</v>
      </c>
      <c r="AH178">
        <v>9.8636366370000008</v>
      </c>
      <c r="AJ178">
        <v>4.5104897890000002</v>
      </c>
      <c r="AK178">
        <v>2.9432686280000002</v>
      </c>
      <c r="AL178">
        <v>3.0668068079999999</v>
      </c>
      <c r="AM178">
        <v>-1.0586930859999999</v>
      </c>
      <c r="AN178">
        <v>1.3404974089999999</v>
      </c>
      <c r="AP178">
        <v>2.948468552</v>
      </c>
      <c r="AT178">
        <v>-1.1257929769999999</v>
      </c>
      <c r="AV178">
        <v>-0.53888796000000005</v>
      </c>
      <c r="AW178">
        <v>-1.010671037</v>
      </c>
    </row>
    <row r="179" spans="1:49" x14ac:dyDescent="0.2">
      <c r="A179" t="s">
        <v>243</v>
      </c>
      <c r="B179" s="74">
        <v>33512</v>
      </c>
      <c r="D179">
        <v>-0.43797574900000003</v>
      </c>
      <c r="E179">
        <v>3.4406282949999998</v>
      </c>
      <c r="F179">
        <v>2.6411033810000002</v>
      </c>
      <c r="H179">
        <v>-1.718605731</v>
      </c>
      <c r="I179">
        <v>-1.286274607</v>
      </c>
      <c r="M179">
        <v>3.8673299409999999</v>
      </c>
      <c r="N179">
        <v>1.0316925029999999</v>
      </c>
      <c r="P179">
        <v>3.8064650430000002</v>
      </c>
      <c r="T179">
        <v>-5.6610296450000002</v>
      </c>
      <c r="U179">
        <v>0.73957766899999999</v>
      </c>
      <c r="V179">
        <v>0.72078841199999999</v>
      </c>
      <c r="X179">
        <v>-1.062534136</v>
      </c>
      <c r="Y179">
        <v>11.008330267</v>
      </c>
      <c r="AB179">
        <v>0.89215626000000003</v>
      </c>
      <c r="AC179">
        <v>-0.27596642900000001</v>
      </c>
      <c r="AE179">
        <v>1.547836091</v>
      </c>
      <c r="AF179">
        <v>1.648629178</v>
      </c>
      <c r="AG179">
        <v>9.9272663290000001</v>
      </c>
      <c r="AH179">
        <v>9.229549875</v>
      </c>
      <c r="AJ179">
        <v>3.295725258</v>
      </c>
      <c r="AK179">
        <v>1.974937366</v>
      </c>
      <c r="AL179">
        <v>3.836181394</v>
      </c>
      <c r="AM179">
        <v>-1.641029276</v>
      </c>
      <c r="AN179">
        <v>1.2868264460000001</v>
      </c>
      <c r="AP179">
        <v>3.331830515</v>
      </c>
      <c r="AT179">
        <v>-0.81982652199999995</v>
      </c>
      <c r="AV179">
        <v>-0.10271685</v>
      </c>
      <c r="AW179">
        <v>-0.96583420200000003</v>
      </c>
    </row>
    <row r="180" spans="1:49" x14ac:dyDescent="0.2">
      <c r="A180" t="s">
        <v>244</v>
      </c>
      <c r="B180" s="74">
        <v>33604</v>
      </c>
      <c r="D180">
        <v>-0.96300556599999998</v>
      </c>
      <c r="E180">
        <v>3.3667390909999999</v>
      </c>
      <c r="F180">
        <v>1.923674275</v>
      </c>
      <c r="H180">
        <v>-0.651858245</v>
      </c>
      <c r="I180">
        <v>-0.69048559799999998</v>
      </c>
      <c r="M180">
        <v>3.38228112</v>
      </c>
      <c r="N180">
        <v>1.122398727</v>
      </c>
      <c r="P180">
        <v>0.521509895</v>
      </c>
      <c r="T180">
        <v>-6.2297171999999996</v>
      </c>
      <c r="U180">
        <v>1.445586354</v>
      </c>
      <c r="V180">
        <v>1.6154603890000001</v>
      </c>
      <c r="X180">
        <v>-0.55445469700000005</v>
      </c>
      <c r="Y180">
        <v>0.14541929200000001</v>
      </c>
      <c r="AB180">
        <v>1.28419913</v>
      </c>
      <c r="AC180">
        <v>-1.5706143960000001</v>
      </c>
      <c r="AE180">
        <v>2.724016921</v>
      </c>
      <c r="AF180">
        <v>2.5573797479999998</v>
      </c>
      <c r="AG180">
        <v>10.433958193</v>
      </c>
      <c r="AH180">
        <v>6.8743679740000001</v>
      </c>
      <c r="AJ180">
        <v>3.841641702</v>
      </c>
      <c r="AK180">
        <v>2.2952543200000002</v>
      </c>
      <c r="AL180">
        <v>1.869764722</v>
      </c>
      <c r="AM180">
        <v>-2.147561659</v>
      </c>
      <c r="AN180">
        <v>1.6664901809999999</v>
      </c>
      <c r="AP180">
        <v>0.679243402</v>
      </c>
      <c r="AT180">
        <v>-2.0857428680000001</v>
      </c>
      <c r="AV180">
        <v>1.1665033419999999</v>
      </c>
      <c r="AW180">
        <v>-1.2279126199999999</v>
      </c>
    </row>
    <row r="181" spans="1:49" x14ac:dyDescent="0.2">
      <c r="A181" t="s">
        <v>245</v>
      </c>
      <c r="B181" s="74">
        <v>33695</v>
      </c>
      <c r="D181">
        <v>1.0959484580000001</v>
      </c>
      <c r="E181">
        <v>3.0495318519999999</v>
      </c>
      <c r="F181">
        <v>3.8005079309999998</v>
      </c>
      <c r="H181">
        <v>0.85990007800000001</v>
      </c>
      <c r="I181">
        <v>-0.14507302399999999</v>
      </c>
      <c r="M181">
        <v>2.0592772689999999</v>
      </c>
      <c r="N181">
        <v>2.2773063929999999</v>
      </c>
      <c r="P181">
        <v>3.5136924930000002</v>
      </c>
      <c r="T181">
        <v>-4.0574485060000001</v>
      </c>
      <c r="U181">
        <v>2.0999699299999999</v>
      </c>
      <c r="V181">
        <v>2.1232619370000001</v>
      </c>
      <c r="X181">
        <v>-0.25218927499999999</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3.1606322100000002</v>
      </c>
      <c r="AM181">
        <v>0.58164584200000002</v>
      </c>
      <c r="AN181">
        <v>2.4724999030000001</v>
      </c>
      <c r="AP181">
        <v>4.9051033329999996</v>
      </c>
      <c r="AT181">
        <v>-0.87867711400000004</v>
      </c>
      <c r="AV181">
        <v>2.8588691050000001</v>
      </c>
      <c r="AW181">
        <v>-1.1336506559999999</v>
      </c>
    </row>
    <row r="182" spans="1:49" x14ac:dyDescent="0.2">
      <c r="A182" t="s">
        <v>246</v>
      </c>
      <c r="B182" s="74">
        <v>33786</v>
      </c>
      <c r="D182">
        <v>1.9886171800000001</v>
      </c>
      <c r="E182">
        <v>2.607366721</v>
      </c>
      <c r="F182">
        <v>1.3552142890000001</v>
      </c>
      <c r="H182">
        <v>0.51440589000000003</v>
      </c>
      <c r="I182">
        <v>0.78239876399999997</v>
      </c>
      <c r="M182">
        <v>1.8246895320000001</v>
      </c>
      <c r="N182">
        <v>0.37830800199999998</v>
      </c>
      <c r="P182">
        <v>0.93326662599999999</v>
      </c>
      <c r="T182">
        <v>-3.9869593829999999</v>
      </c>
      <c r="U182">
        <v>1.7715569680000001</v>
      </c>
      <c r="V182">
        <v>1.959213122</v>
      </c>
      <c r="X182">
        <v>-0.24117129500000001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3.1592387569999998</v>
      </c>
      <c r="AM182">
        <v>1.2760727329999999</v>
      </c>
      <c r="AN182">
        <v>2.1021502029999999</v>
      </c>
      <c r="AP182">
        <v>1.939972161</v>
      </c>
      <c r="AT182">
        <v>-0.24341441699999999</v>
      </c>
      <c r="AV182">
        <v>3.1697558209999999</v>
      </c>
      <c r="AW182">
        <v>-1.5178454260000001</v>
      </c>
    </row>
    <row r="183" spans="1:49" x14ac:dyDescent="0.2">
      <c r="A183" t="s">
        <v>247</v>
      </c>
      <c r="B183" s="74">
        <v>33878</v>
      </c>
      <c r="D183">
        <v>2.5505695679999998</v>
      </c>
      <c r="E183">
        <v>1.5621256349999999</v>
      </c>
      <c r="F183">
        <v>0.98695105599999999</v>
      </c>
      <c r="H183">
        <v>0.91901447599999997</v>
      </c>
      <c r="I183">
        <v>-0.105884747</v>
      </c>
      <c r="M183">
        <v>1.8697122749999999</v>
      </c>
      <c r="N183">
        <v>2.3430315190000002</v>
      </c>
      <c r="P183">
        <v>0.240639413</v>
      </c>
      <c r="T183">
        <v>-2.7698039460000001</v>
      </c>
      <c r="U183">
        <v>1.5045909289999999</v>
      </c>
      <c r="V183">
        <v>2.2205798699999999</v>
      </c>
      <c r="X183">
        <v>0.61486137100000005</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4.7665932079999997</v>
      </c>
      <c r="AM183">
        <v>0.176570214</v>
      </c>
      <c r="AN183">
        <v>2.274424271</v>
      </c>
      <c r="AP183">
        <v>0.50825329900000005</v>
      </c>
      <c r="AT183">
        <v>-1.207304618</v>
      </c>
      <c r="AV183">
        <v>3.6653228790000001</v>
      </c>
      <c r="AW183">
        <v>-2.6202395740000002</v>
      </c>
    </row>
    <row r="184" spans="1:49" x14ac:dyDescent="0.2">
      <c r="A184" t="s">
        <v>248</v>
      </c>
      <c r="B184" s="74">
        <v>33970</v>
      </c>
      <c r="D184">
        <v>4.6113161539999998</v>
      </c>
      <c r="E184">
        <v>0.639191222</v>
      </c>
      <c r="F184">
        <v>-0.75984834700000004</v>
      </c>
      <c r="H184">
        <v>1.306211706</v>
      </c>
      <c r="I184">
        <v>-1.109744091</v>
      </c>
      <c r="M184">
        <v>0.25311868100000001</v>
      </c>
      <c r="N184">
        <v>2.9060358289999999</v>
      </c>
      <c r="P184">
        <v>-0.905532012</v>
      </c>
      <c r="T184">
        <v>-2.3113528209999998</v>
      </c>
      <c r="U184">
        <v>0.61423634199999999</v>
      </c>
      <c r="V184">
        <v>2.0035230749999999</v>
      </c>
      <c r="X184">
        <v>1.133782538</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3.2595494779999998</v>
      </c>
      <c r="AM184">
        <v>0.78765529300000003</v>
      </c>
      <c r="AN184">
        <v>1.9428906619999999</v>
      </c>
      <c r="AP184">
        <v>0.32415702899999999</v>
      </c>
      <c r="AT184">
        <v>-2.411837217</v>
      </c>
      <c r="AV184">
        <v>4.382587644</v>
      </c>
      <c r="AW184">
        <v>-3.2812704789999998</v>
      </c>
    </row>
    <row r="185" spans="1:49" x14ac:dyDescent="0.2">
      <c r="A185" t="s">
        <v>249</v>
      </c>
      <c r="B185" s="74">
        <v>34060</v>
      </c>
      <c r="D185">
        <v>4.5520361989999998</v>
      </c>
      <c r="E185">
        <v>1.4420690999999999E-2</v>
      </c>
      <c r="F185">
        <v>-2.875422564</v>
      </c>
      <c r="H185">
        <v>1.880252874</v>
      </c>
      <c r="I185">
        <v>-2.0527663199999999</v>
      </c>
      <c r="K185">
        <v>15.3</v>
      </c>
      <c r="M185">
        <v>-1.977837649</v>
      </c>
      <c r="N185">
        <v>0.225781391</v>
      </c>
      <c r="P185">
        <v>-2.7998344180000001</v>
      </c>
      <c r="T185">
        <v>-2.396353108</v>
      </c>
      <c r="U185">
        <v>-0.8148997</v>
      </c>
      <c r="V185">
        <v>1.4099339879999999</v>
      </c>
      <c r="X185">
        <v>1.843925343</v>
      </c>
      <c r="Y185">
        <v>-4.6879161859999998</v>
      </c>
      <c r="AB185">
        <v>3.0848158909999999</v>
      </c>
      <c r="AC185">
        <v>-0.90747498400000004</v>
      </c>
      <c r="AE185">
        <v>-1.458343886</v>
      </c>
      <c r="AF185">
        <v>0.95266193499999996</v>
      </c>
      <c r="AG185">
        <v>4.3797738920000002</v>
      </c>
      <c r="AH185">
        <v>2.4985630730000001</v>
      </c>
      <c r="AJ185">
        <v>2.638613914</v>
      </c>
      <c r="AK185">
        <v>0.37124305099999999</v>
      </c>
      <c r="AL185">
        <v>0.444114114</v>
      </c>
      <c r="AM185">
        <v>2.14178625</v>
      </c>
      <c r="AN185">
        <v>1.2713817160000001</v>
      </c>
      <c r="AP185">
        <v>-2.7195940840000001</v>
      </c>
      <c r="AT185">
        <v>-4.901708449</v>
      </c>
      <c r="AV185">
        <v>3.319981753</v>
      </c>
      <c r="AW185">
        <v>-1.346412639</v>
      </c>
    </row>
    <row r="186" spans="1:49" x14ac:dyDescent="0.2">
      <c r="A186" t="s">
        <v>250</v>
      </c>
      <c r="B186" s="74">
        <v>34151</v>
      </c>
      <c r="D186">
        <v>4.4151655449999998</v>
      </c>
      <c r="E186">
        <v>0.10537650699999999</v>
      </c>
      <c r="F186">
        <v>-0.68682945299999998</v>
      </c>
      <c r="H186">
        <v>2.6824140139999999</v>
      </c>
      <c r="I186">
        <v>-0.780179913</v>
      </c>
      <c r="K186">
        <v>13.5</v>
      </c>
      <c r="M186">
        <v>-1.25606584</v>
      </c>
      <c r="N186">
        <v>0.61426908300000005</v>
      </c>
      <c r="P186">
        <v>-1.522315216</v>
      </c>
      <c r="T186">
        <v>-1.476589514</v>
      </c>
      <c r="U186">
        <v>-0.92244517500000001</v>
      </c>
      <c r="V186">
        <v>1.18984314</v>
      </c>
      <c r="X186">
        <v>2.4686226979999999</v>
      </c>
      <c r="Y186">
        <v>7.6328890000000003E-3</v>
      </c>
      <c r="AB186">
        <v>2.5342366269999999</v>
      </c>
      <c r="AC186">
        <v>0.94924331100000003</v>
      </c>
      <c r="AE186">
        <v>-1.201656887</v>
      </c>
      <c r="AF186">
        <v>-3.6541774999999999E-2</v>
      </c>
      <c r="AG186">
        <v>6.3114789780000002</v>
      </c>
      <c r="AH186">
        <v>4.0021739619999996</v>
      </c>
      <c r="AJ186">
        <v>1.2491912220000001</v>
      </c>
      <c r="AK186">
        <v>1.5553236399999999</v>
      </c>
      <c r="AL186">
        <v>1.6578513969999999</v>
      </c>
      <c r="AM186">
        <v>4.393917761</v>
      </c>
      <c r="AN186">
        <v>1.4118118070000001</v>
      </c>
      <c r="AP186">
        <v>-1.7677233299999999</v>
      </c>
      <c r="AT186">
        <v>-3.1756719019999999</v>
      </c>
      <c r="AV186">
        <v>2.8066673899999999</v>
      </c>
      <c r="AW186">
        <v>-5.9836001999999999E-2</v>
      </c>
    </row>
    <row r="187" spans="1:49" x14ac:dyDescent="0.2">
      <c r="A187" t="s">
        <v>251</v>
      </c>
      <c r="B187" s="74">
        <v>34243</v>
      </c>
      <c r="D187">
        <v>3.5211366540000002</v>
      </c>
      <c r="E187">
        <v>1.0460614500000001</v>
      </c>
      <c r="F187">
        <v>-0.67939716699999997</v>
      </c>
      <c r="H187">
        <v>3.1073545660000002</v>
      </c>
      <c r="I187">
        <v>0.56974314100000001</v>
      </c>
      <c r="K187">
        <v>12.9</v>
      </c>
      <c r="M187">
        <v>-0.47982658</v>
      </c>
      <c r="N187">
        <v>-1.8805949829999999</v>
      </c>
      <c r="P187">
        <v>-0.40105551</v>
      </c>
      <c r="T187">
        <v>-9.7364866999999994E-2</v>
      </c>
      <c r="U187">
        <v>-0.69974375600000005</v>
      </c>
      <c r="V187">
        <v>0.968307904</v>
      </c>
      <c r="X187">
        <v>2.642756463</v>
      </c>
      <c r="Y187">
        <v>-1.1815995189999999</v>
      </c>
      <c r="AB187">
        <v>2.3825161700000002</v>
      </c>
      <c r="AC187">
        <v>2.7045342130000001</v>
      </c>
      <c r="AE187">
        <v>-1.0144461549999999</v>
      </c>
      <c r="AF187">
        <v>-0.87078218500000004</v>
      </c>
      <c r="AG187">
        <v>8.1983578680000004</v>
      </c>
      <c r="AH187">
        <v>5.0170326220000003</v>
      </c>
      <c r="AJ187">
        <v>1.337155476</v>
      </c>
      <c r="AK187">
        <v>2.0747717259999998</v>
      </c>
      <c r="AL187">
        <v>2.342647135</v>
      </c>
      <c r="AM187">
        <v>7.3381294959999996</v>
      </c>
      <c r="AN187">
        <v>1.3062498410000001</v>
      </c>
      <c r="AP187">
        <v>-0.741093157</v>
      </c>
      <c r="AT187">
        <v>-0.95667601099999999</v>
      </c>
      <c r="AV187">
        <v>2.286515761</v>
      </c>
      <c r="AW187">
        <v>2.40739064</v>
      </c>
    </row>
    <row r="188" spans="1:49" x14ac:dyDescent="0.2">
      <c r="A188" t="s">
        <v>252</v>
      </c>
      <c r="B188" s="74">
        <v>34335</v>
      </c>
      <c r="D188">
        <v>3.2840134879999998</v>
      </c>
      <c r="E188">
        <v>2.0648255369999999</v>
      </c>
      <c r="F188">
        <v>1.5178115889999999</v>
      </c>
      <c r="H188">
        <v>2.966663906</v>
      </c>
      <c r="I188">
        <v>1.728979898</v>
      </c>
      <c r="K188">
        <v>14.1</v>
      </c>
      <c r="M188">
        <v>-0.239012011</v>
      </c>
      <c r="N188">
        <v>0.71009518100000002</v>
      </c>
      <c r="P188">
        <v>0.62998015100000004</v>
      </c>
      <c r="T188">
        <v>1.3728095149999999</v>
      </c>
      <c r="U188">
        <v>-0.28309934599999997</v>
      </c>
      <c r="V188">
        <v>1.4903556529999999</v>
      </c>
      <c r="X188">
        <v>2.6437127249999999</v>
      </c>
      <c r="Y188">
        <v>-0.45491642199999999</v>
      </c>
      <c r="AB188">
        <v>2.774481921</v>
      </c>
      <c r="AC188">
        <v>4.0463093209999998</v>
      </c>
      <c r="AE188">
        <v>0.123290758</v>
      </c>
      <c r="AF188">
        <v>0.39374597500000003</v>
      </c>
      <c r="AG188">
        <v>8.574414268</v>
      </c>
      <c r="AH188">
        <v>5.2694722860000001</v>
      </c>
      <c r="AJ188">
        <v>2.5833972699999999</v>
      </c>
      <c r="AK188">
        <v>1.0608119890000001</v>
      </c>
      <c r="AL188">
        <v>6.7481240109999998</v>
      </c>
      <c r="AM188">
        <v>6.9873183900000004</v>
      </c>
      <c r="AN188">
        <v>1.902982569</v>
      </c>
      <c r="AP188">
        <v>-0.24897242</v>
      </c>
      <c r="AT188">
        <v>0.70703303200000001</v>
      </c>
      <c r="AV188">
        <v>2.607615494</v>
      </c>
      <c r="AW188">
        <v>4.1665479489999999</v>
      </c>
    </row>
    <row r="189" spans="1:49" x14ac:dyDescent="0.2">
      <c r="A189" t="s">
        <v>253</v>
      </c>
      <c r="B189" s="74">
        <v>34425</v>
      </c>
      <c r="C189">
        <v>7.2689223480000003</v>
      </c>
      <c r="D189">
        <v>4.2313001410000002</v>
      </c>
      <c r="E189">
        <v>2.6387803019999998</v>
      </c>
      <c r="F189">
        <v>3.0147085210000002</v>
      </c>
      <c r="H189">
        <v>3.8195590460000002</v>
      </c>
      <c r="I189">
        <v>2.5152757449999998</v>
      </c>
      <c r="K189">
        <v>14.1</v>
      </c>
      <c r="M189">
        <v>1.8855135380000001</v>
      </c>
      <c r="N189">
        <v>3.1804639030000001</v>
      </c>
      <c r="P189">
        <v>2.4178249250000001</v>
      </c>
      <c r="T189">
        <v>1.8082554909999999</v>
      </c>
      <c r="U189">
        <v>1.045024524</v>
      </c>
      <c r="V189">
        <v>2.2817209510000001</v>
      </c>
      <c r="X189">
        <v>3.1280039569999998</v>
      </c>
      <c r="Y189">
        <v>1.4485328369999999</v>
      </c>
      <c r="AB189">
        <v>3.643862215</v>
      </c>
      <c r="AC189">
        <v>4.7413433720000002</v>
      </c>
      <c r="AE189">
        <v>0.91601226099999999</v>
      </c>
      <c r="AF189">
        <v>0.16927588399999999</v>
      </c>
      <c r="AG189">
        <v>9.5604005710000006</v>
      </c>
      <c r="AH189">
        <v>4.9292080460000003</v>
      </c>
      <c r="AJ189">
        <v>3.6751477600000002</v>
      </c>
      <c r="AK189">
        <v>1.9453249690000001</v>
      </c>
      <c r="AL189">
        <v>6.230043931</v>
      </c>
      <c r="AM189">
        <v>6.8532886</v>
      </c>
      <c r="AN189">
        <v>2.6398483339999999</v>
      </c>
      <c r="AP189">
        <v>1.4263210209999999</v>
      </c>
      <c r="AR189">
        <v>5.9738342690000001</v>
      </c>
      <c r="AT189">
        <v>3.5822369350000001</v>
      </c>
      <c r="AV189">
        <v>3.4305230139999998</v>
      </c>
      <c r="AW189">
        <v>2.7957711860000001</v>
      </c>
    </row>
    <row r="190" spans="1:49" x14ac:dyDescent="0.2">
      <c r="A190" t="s">
        <v>254</v>
      </c>
      <c r="B190" s="74">
        <v>34516</v>
      </c>
      <c r="C190">
        <v>6.4505317590000004</v>
      </c>
      <c r="D190">
        <v>4.8689019829999998</v>
      </c>
      <c r="E190">
        <v>2.232272424</v>
      </c>
      <c r="F190">
        <v>3.157014963</v>
      </c>
      <c r="H190">
        <v>4.386336064</v>
      </c>
      <c r="I190">
        <v>0.40184788300000002</v>
      </c>
      <c r="K190">
        <v>13.3</v>
      </c>
      <c r="M190">
        <v>2.1573937999999999</v>
      </c>
      <c r="N190">
        <v>6.643431971</v>
      </c>
      <c r="P190">
        <v>2.649333553</v>
      </c>
      <c r="T190">
        <v>2.8899358140000002</v>
      </c>
      <c r="U190">
        <v>2.1023173239999999</v>
      </c>
      <c r="V190">
        <v>2.9074271</v>
      </c>
      <c r="X190">
        <v>3.8135842489999998</v>
      </c>
      <c r="Y190">
        <v>0.95861763700000002</v>
      </c>
      <c r="AB190">
        <v>4.8797148640000003</v>
      </c>
      <c r="AC190">
        <v>4.6878555559999997</v>
      </c>
      <c r="AE190">
        <v>1.928126212</v>
      </c>
      <c r="AF190">
        <v>0.22840087100000001</v>
      </c>
      <c r="AG190">
        <v>8.5629789229999993</v>
      </c>
      <c r="AH190">
        <v>4.26791433</v>
      </c>
      <c r="AJ190">
        <v>5.5789827049999996</v>
      </c>
      <c r="AK190">
        <v>2.861042796</v>
      </c>
      <c r="AL190">
        <v>6.848864667</v>
      </c>
      <c r="AM190">
        <v>5.2347249290000004</v>
      </c>
      <c r="AN190">
        <v>2.7706880109999998</v>
      </c>
      <c r="AP190">
        <v>2.6891601600000001</v>
      </c>
      <c r="AR190">
        <v>5.7936380359999999</v>
      </c>
      <c r="AT190">
        <v>3.3082421960000001</v>
      </c>
      <c r="AV190">
        <v>4.2253997019999998</v>
      </c>
      <c r="AW190">
        <v>3.0948162739999998</v>
      </c>
    </row>
    <row r="191" spans="1:49" x14ac:dyDescent="0.2">
      <c r="A191" t="s">
        <v>255</v>
      </c>
      <c r="B191" s="74">
        <v>34608</v>
      </c>
      <c r="C191">
        <v>4.6161711079999996</v>
      </c>
      <c r="D191">
        <v>5.5483176360000002</v>
      </c>
      <c r="E191">
        <v>2.1181025739999999</v>
      </c>
      <c r="F191">
        <v>3.119258394</v>
      </c>
      <c r="H191">
        <v>4.7227622010000001</v>
      </c>
      <c r="I191">
        <v>1.073758999</v>
      </c>
      <c r="K191">
        <v>13.1</v>
      </c>
      <c r="M191">
        <v>2.252194791</v>
      </c>
      <c r="N191">
        <v>5.9677727090000001</v>
      </c>
      <c r="P191">
        <v>2.2342948960000002</v>
      </c>
      <c r="T191">
        <v>4.6403420520000003</v>
      </c>
      <c r="U191">
        <v>2.7884661749999999</v>
      </c>
      <c r="V191">
        <v>3.4887862479999998</v>
      </c>
      <c r="X191">
        <v>4.1261151659999999</v>
      </c>
      <c r="Y191">
        <v>3.3148751029999999</v>
      </c>
      <c r="AB191">
        <v>6.4162312000000004</v>
      </c>
      <c r="AC191">
        <v>3.7524366150000001</v>
      </c>
      <c r="AE191">
        <v>3.0266599090000001</v>
      </c>
      <c r="AF191">
        <v>2.1362189439999999</v>
      </c>
      <c r="AG191">
        <v>8.3908405330000004</v>
      </c>
      <c r="AH191">
        <v>3.4659694010000002</v>
      </c>
      <c r="AJ191">
        <v>5.3144719660000002</v>
      </c>
      <c r="AK191">
        <v>2.8007548450000002</v>
      </c>
      <c r="AL191">
        <v>3.3383870550000001</v>
      </c>
      <c r="AM191">
        <v>4.9095174259999999</v>
      </c>
      <c r="AN191">
        <v>3.3218878690000002</v>
      </c>
      <c r="AP191">
        <v>2.4410032510000002</v>
      </c>
      <c r="AR191">
        <v>6.5673745480000001</v>
      </c>
      <c r="AT191">
        <v>3.3810923310000001</v>
      </c>
      <c r="AV191">
        <v>4.3367848599999999</v>
      </c>
      <c r="AW191">
        <v>2.9341200280000002</v>
      </c>
    </row>
    <row r="192" spans="1:49" x14ac:dyDescent="0.2">
      <c r="A192" t="s">
        <v>256</v>
      </c>
      <c r="B192" s="74">
        <v>34700</v>
      </c>
      <c r="C192">
        <v>5.0681131859999997</v>
      </c>
      <c r="D192">
        <v>4.7276377800000002</v>
      </c>
      <c r="E192">
        <v>2.77457537</v>
      </c>
      <c r="F192">
        <v>3.864636253</v>
      </c>
      <c r="H192">
        <v>5.0334568900000001</v>
      </c>
      <c r="I192">
        <v>1.2284866510000001</v>
      </c>
      <c r="K192">
        <v>12</v>
      </c>
      <c r="M192">
        <v>3.5497359319999999</v>
      </c>
      <c r="N192">
        <v>6.3003058660000004</v>
      </c>
      <c r="P192">
        <v>2.2316238830000001</v>
      </c>
      <c r="T192">
        <v>6.4715426860000003</v>
      </c>
      <c r="U192">
        <v>3.5066880729999999</v>
      </c>
      <c r="V192">
        <v>3.4244179539999999</v>
      </c>
      <c r="X192">
        <v>3.9955689560000001</v>
      </c>
      <c r="Y192">
        <v>2.2622029910000001</v>
      </c>
      <c r="AB192">
        <v>8.0284883219999994</v>
      </c>
      <c r="AC192">
        <v>2.1922290769999999</v>
      </c>
      <c r="AE192">
        <v>3.2403601750000002</v>
      </c>
      <c r="AF192">
        <v>1.095539786</v>
      </c>
      <c r="AG192">
        <v>10.5357919</v>
      </c>
      <c r="AH192">
        <v>2.6695102519999998</v>
      </c>
      <c r="AJ192">
        <v>5.1503085390000001</v>
      </c>
      <c r="AK192">
        <v>4.4219934969999999</v>
      </c>
      <c r="AL192">
        <v>3.7315699609999999</v>
      </c>
      <c r="AM192">
        <v>5.3223985660000004</v>
      </c>
      <c r="AN192">
        <v>3.4268492099999999</v>
      </c>
      <c r="AP192">
        <v>3.3256759589999998</v>
      </c>
      <c r="AR192">
        <v>6.4727279229999999</v>
      </c>
      <c r="AT192">
        <v>4.8758704320000001</v>
      </c>
      <c r="AV192">
        <v>4.115926516</v>
      </c>
      <c r="AW192">
        <v>3.9596525379999998</v>
      </c>
    </row>
    <row r="193" spans="1:49" x14ac:dyDescent="0.2">
      <c r="A193" t="s">
        <v>257</v>
      </c>
      <c r="B193" s="74">
        <v>34790</v>
      </c>
      <c r="C193">
        <v>1.9970600549999999</v>
      </c>
      <c r="D193">
        <v>3.0857317690000001</v>
      </c>
      <c r="E193">
        <v>3.3018241189999999</v>
      </c>
      <c r="F193">
        <v>3.0818700109999999</v>
      </c>
      <c r="H193">
        <v>4.4702881970000004</v>
      </c>
      <c r="I193">
        <v>0.105631456</v>
      </c>
      <c r="K193">
        <v>11.9</v>
      </c>
      <c r="L193">
        <v>6.3630145929999999</v>
      </c>
      <c r="M193">
        <v>1.7973625129999999</v>
      </c>
      <c r="N193">
        <v>5.5565488859999999</v>
      </c>
      <c r="P193">
        <v>2.5487769500000002</v>
      </c>
      <c r="T193">
        <v>4.894454605</v>
      </c>
      <c r="U193">
        <v>3.1514170780000001</v>
      </c>
      <c r="V193">
        <v>2.927220368</v>
      </c>
      <c r="X193">
        <v>3.4557443910000001</v>
      </c>
      <c r="Y193">
        <v>3.03725171</v>
      </c>
      <c r="AB193">
        <v>12.095969224999999</v>
      </c>
      <c r="AC193">
        <v>-1.9168586460000001</v>
      </c>
      <c r="AE193">
        <v>3.7010402180000002</v>
      </c>
      <c r="AF193">
        <v>1.3007012689999999</v>
      </c>
      <c r="AG193">
        <v>9.6482497079999998</v>
      </c>
      <c r="AH193">
        <v>2.8991998130000001</v>
      </c>
      <c r="AJ193">
        <v>-1.9016243319999999</v>
      </c>
      <c r="AK193">
        <v>3.5822382500000001</v>
      </c>
      <c r="AL193">
        <v>4.1081904270000003</v>
      </c>
      <c r="AM193">
        <v>5.0073589529999998</v>
      </c>
      <c r="AN193">
        <v>2.8491194609999999</v>
      </c>
      <c r="AP193">
        <v>3.1569404720000001</v>
      </c>
      <c r="AR193">
        <v>6.1880538830000003</v>
      </c>
      <c r="AT193">
        <v>5.0126558289999998</v>
      </c>
      <c r="AV193">
        <v>3.481130297</v>
      </c>
      <c r="AW193">
        <v>4.268641734</v>
      </c>
    </row>
    <row r="194" spans="1:49" x14ac:dyDescent="0.2">
      <c r="A194" t="s">
        <v>258</v>
      </c>
      <c r="B194" s="74">
        <v>34881</v>
      </c>
      <c r="C194">
        <v>-3.8574167670000001</v>
      </c>
      <c r="D194">
        <v>2.27434687</v>
      </c>
      <c r="E194">
        <v>3.5615033309999999</v>
      </c>
      <c r="F194">
        <v>2.3387633970000001</v>
      </c>
      <c r="H194">
        <v>3.0071970669999999</v>
      </c>
      <c r="I194">
        <v>1.2743661829999999</v>
      </c>
      <c r="K194">
        <v>11</v>
      </c>
      <c r="L194">
        <v>5.7609878969999997</v>
      </c>
      <c r="M194">
        <v>2.2977821349999998</v>
      </c>
      <c r="N194">
        <v>2.2595483120000002</v>
      </c>
      <c r="P194">
        <v>2.965465241</v>
      </c>
      <c r="T194">
        <v>6.7852862539999999</v>
      </c>
      <c r="U194">
        <v>2.7554516809999998</v>
      </c>
      <c r="V194">
        <v>2.5526382760000002</v>
      </c>
      <c r="X194">
        <v>2.473948236</v>
      </c>
      <c r="Y194">
        <v>2.76173387</v>
      </c>
      <c r="AB194">
        <v>12.504943670999999</v>
      </c>
      <c r="AC194">
        <v>-0.42434886999999999</v>
      </c>
      <c r="AE194">
        <v>2.8383017920000002</v>
      </c>
      <c r="AF194">
        <v>2.824280087</v>
      </c>
      <c r="AG194">
        <v>10.069263578999999</v>
      </c>
      <c r="AH194">
        <v>3.201401948</v>
      </c>
      <c r="AJ194">
        <v>-8.6265257169999998</v>
      </c>
      <c r="AK194">
        <v>3.207608445</v>
      </c>
      <c r="AL194">
        <v>2.626607361</v>
      </c>
      <c r="AM194">
        <v>5.6468906360000002</v>
      </c>
      <c r="AN194">
        <v>2.653214121</v>
      </c>
      <c r="AP194">
        <v>3.0380996850000002</v>
      </c>
      <c r="AR194">
        <v>6.6566564540000002</v>
      </c>
      <c r="AT194">
        <v>4.4418389820000002</v>
      </c>
      <c r="AV194">
        <v>2.402168869</v>
      </c>
      <c r="AW194">
        <v>3.5580212520000001</v>
      </c>
    </row>
    <row r="195" spans="1:49" x14ac:dyDescent="0.2">
      <c r="A195" t="s">
        <v>259</v>
      </c>
      <c r="B195" s="74">
        <v>34973</v>
      </c>
      <c r="C195">
        <v>-4.4699240060000003</v>
      </c>
      <c r="D195">
        <v>3.7810245880000002</v>
      </c>
      <c r="E195">
        <v>2.8636862789999999</v>
      </c>
      <c r="F195">
        <v>2.6651651109999999</v>
      </c>
      <c r="H195">
        <v>1.841001315</v>
      </c>
      <c r="I195">
        <v>0.76733071100000005</v>
      </c>
      <c r="K195">
        <v>10.4</v>
      </c>
      <c r="L195">
        <v>7.3886555300000003</v>
      </c>
      <c r="M195">
        <v>1.7541495439999999</v>
      </c>
      <c r="N195">
        <v>3.169757063</v>
      </c>
      <c r="P195">
        <v>2.5678709610000001</v>
      </c>
      <c r="T195">
        <v>3.9298161280000001</v>
      </c>
      <c r="U195">
        <v>2.0562361299999998</v>
      </c>
      <c r="V195">
        <v>2.497407274</v>
      </c>
      <c r="X195">
        <v>2.3862419340000001</v>
      </c>
      <c r="Y195">
        <v>0.61570380899999999</v>
      </c>
      <c r="AB195">
        <v>11.291600804</v>
      </c>
      <c r="AC195">
        <v>-1.615514245</v>
      </c>
      <c r="AE195">
        <v>2.6726776609999998</v>
      </c>
      <c r="AF195">
        <v>2.8430856740000001</v>
      </c>
      <c r="AG195">
        <v>10.495409042</v>
      </c>
      <c r="AH195">
        <v>3.6966430450000001</v>
      </c>
      <c r="AJ195">
        <v>-7.6036406879999996</v>
      </c>
      <c r="AK195">
        <v>3.2358056130000001</v>
      </c>
      <c r="AL195">
        <v>6.4915176370000003</v>
      </c>
      <c r="AM195">
        <v>4.8267049990000004</v>
      </c>
      <c r="AN195">
        <v>2.5967364079999999</v>
      </c>
      <c r="AP195">
        <v>3.0192699209999998</v>
      </c>
      <c r="AR195">
        <v>5.2802077130000002</v>
      </c>
      <c r="AT195">
        <v>3.9013436490000002</v>
      </c>
      <c r="AV195">
        <v>2.673106856</v>
      </c>
      <c r="AW195">
        <v>3.0858739719999999</v>
      </c>
    </row>
    <row r="196" spans="1:49" x14ac:dyDescent="0.2">
      <c r="A196" t="s">
        <v>260</v>
      </c>
      <c r="B196" s="74">
        <v>35065</v>
      </c>
      <c r="C196">
        <v>-4.9173277889999998</v>
      </c>
      <c r="D196">
        <v>2.6814723069999999</v>
      </c>
      <c r="E196">
        <v>1.8433704449999999</v>
      </c>
      <c r="F196">
        <v>1.174873872</v>
      </c>
      <c r="H196">
        <v>1.5176381409999999</v>
      </c>
      <c r="I196">
        <v>0.108722585</v>
      </c>
      <c r="K196">
        <v>10.8</v>
      </c>
      <c r="L196">
        <v>4.281259436</v>
      </c>
      <c r="M196">
        <v>0.61261012199999998</v>
      </c>
      <c r="N196">
        <v>1.381050318</v>
      </c>
      <c r="P196">
        <v>2.949569361</v>
      </c>
      <c r="T196">
        <v>1.4272316979999999</v>
      </c>
      <c r="U196">
        <v>1.1222458500000001</v>
      </c>
      <c r="V196">
        <v>2.1452508360000002</v>
      </c>
      <c r="X196">
        <v>2.0159574619999998</v>
      </c>
      <c r="Y196">
        <v>2.036812447</v>
      </c>
      <c r="AB196">
        <v>10.110529521</v>
      </c>
      <c r="AC196">
        <v>-1.378394015</v>
      </c>
      <c r="AE196">
        <v>2.4131645800000001</v>
      </c>
      <c r="AF196">
        <v>3.5088233259999999</v>
      </c>
      <c r="AG196">
        <v>8.3054064000000007</v>
      </c>
      <c r="AH196">
        <v>4.4061177049999998</v>
      </c>
      <c r="AJ196">
        <v>-6.9136508760000002</v>
      </c>
      <c r="AK196">
        <v>2.9959663249999999</v>
      </c>
      <c r="AL196">
        <v>3.7068225469999998</v>
      </c>
      <c r="AM196">
        <v>4.1455187420000001</v>
      </c>
      <c r="AN196">
        <v>2.1611574</v>
      </c>
      <c r="AP196">
        <v>2.4854236890000001</v>
      </c>
      <c r="AR196">
        <v>5.7850376900000002</v>
      </c>
      <c r="AT196">
        <v>3.26488223</v>
      </c>
      <c r="AV196">
        <v>2.1995799090000001</v>
      </c>
      <c r="AW196">
        <v>1.5456032310000001</v>
      </c>
    </row>
    <row r="197" spans="1:49" x14ac:dyDescent="0.2">
      <c r="A197" t="s">
        <v>261</v>
      </c>
      <c r="B197" s="74">
        <v>35156</v>
      </c>
      <c r="C197">
        <v>-0.77166357100000005</v>
      </c>
      <c r="D197">
        <v>4.328082932</v>
      </c>
      <c r="E197">
        <v>1.77701953</v>
      </c>
      <c r="F197">
        <v>1.026925133</v>
      </c>
      <c r="H197">
        <v>0.65194081800000003</v>
      </c>
      <c r="I197">
        <v>1.009093673</v>
      </c>
      <c r="J197">
        <v>8.3984463900000002</v>
      </c>
      <c r="K197">
        <v>10.9</v>
      </c>
      <c r="L197">
        <v>4.9805952429999998</v>
      </c>
      <c r="M197">
        <v>0.130783017</v>
      </c>
      <c r="N197">
        <v>0.87755667599999998</v>
      </c>
      <c r="O197">
        <v>1.3643310340000001</v>
      </c>
      <c r="P197">
        <v>2.3960428390000001</v>
      </c>
      <c r="Q197">
        <v>0.72962339799999998</v>
      </c>
      <c r="R197">
        <v>2.0644990280000002</v>
      </c>
      <c r="T197">
        <v>4.1164302599999996</v>
      </c>
      <c r="U197">
        <v>1.5054829430000001</v>
      </c>
      <c r="V197">
        <v>2.1420186490000002</v>
      </c>
      <c r="X197">
        <v>1.77687324</v>
      </c>
      <c r="Y197">
        <v>2.6325315859999998</v>
      </c>
      <c r="Z197">
        <v>4.1224119999999998E-3</v>
      </c>
      <c r="AB197">
        <v>7.8275008809999997</v>
      </c>
      <c r="AC197">
        <v>6.101340328</v>
      </c>
      <c r="AD197">
        <v>6.2295615360000003</v>
      </c>
      <c r="AE197">
        <v>1.6413216079999999</v>
      </c>
      <c r="AF197">
        <v>3.21003383</v>
      </c>
      <c r="AG197">
        <v>8.1119510849999994</v>
      </c>
      <c r="AH197">
        <v>4.4175863770000001</v>
      </c>
      <c r="AI197">
        <v>-0.45618388799999998</v>
      </c>
      <c r="AJ197">
        <v>1.4246400429999999</v>
      </c>
      <c r="AK197">
        <v>2.7202935209999999</v>
      </c>
      <c r="AL197">
        <v>6.1019670809999997</v>
      </c>
      <c r="AM197">
        <v>4.3418675640000002</v>
      </c>
      <c r="AN197">
        <v>2.5228105159999998</v>
      </c>
      <c r="AO197">
        <v>8.3909686560000001</v>
      </c>
      <c r="AP197">
        <v>3.1146749059999999</v>
      </c>
      <c r="AR197">
        <v>5.9661872000000002</v>
      </c>
      <c r="AS197">
        <v>1.305692254</v>
      </c>
      <c r="AT197">
        <v>2.6360654659999998</v>
      </c>
      <c r="AV197">
        <v>2.6011039930000002</v>
      </c>
      <c r="AW197">
        <v>3.1688665930000002</v>
      </c>
    </row>
    <row r="198" spans="1:49" x14ac:dyDescent="0.2">
      <c r="A198" t="s">
        <v>262</v>
      </c>
      <c r="B198" s="74">
        <v>35247</v>
      </c>
      <c r="C198">
        <v>5.4362585990000003</v>
      </c>
      <c r="D198">
        <v>4.6232131919999997</v>
      </c>
      <c r="E198">
        <v>2.1069458879999998</v>
      </c>
      <c r="F198">
        <v>1.309798977</v>
      </c>
      <c r="H198">
        <v>1.311865775</v>
      </c>
      <c r="I198">
        <v>0.46517343799999999</v>
      </c>
      <c r="J198">
        <v>6.7390280679999996</v>
      </c>
      <c r="K198">
        <v>9.4</v>
      </c>
      <c r="L198">
        <v>5.2612569669999996</v>
      </c>
      <c r="M198">
        <v>0.74006466900000001</v>
      </c>
      <c r="N198">
        <v>3.90660937</v>
      </c>
      <c r="O198">
        <v>1.472905846</v>
      </c>
      <c r="P198">
        <v>2.516054263</v>
      </c>
      <c r="Q198">
        <v>3.467303325</v>
      </c>
      <c r="R198">
        <v>1.6566466870000001</v>
      </c>
      <c r="T198">
        <v>2.1928688599999999</v>
      </c>
      <c r="U198">
        <v>0.98469099000000004</v>
      </c>
      <c r="V198">
        <v>2.8743201150000002</v>
      </c>
      <c r="X198">
        <v>1.631600546</v>
      </c>
      <c r="Y198">
        <v>2.252642313</v>
      </c>
      <c r="Z198">
        <v>-0.41071096099999999</v>
      </c>
      <c r="AB198">
        <v>7.9640951370000002</v>
      </c>
      <c r="AC198">
        <v>3.9067227249999998</v>
      </c>
      <c r="AD198">
        <v>5.1675518340000002</v>
      </c>
      <c r="AE198">
        <v>1.515923752</v>
      </c>
      <c r="AF198">
        <v>3.5543124430000002</v>
      </c>
      <c r="AG198">
        <v>8.1101791399999996</v>
      </c>
      <c r="AH198">
        <v>-3.9181841720000001</v>
      </c>
      <c r="AI198">
        <v>-1.088813499</v>
      </c>
      <c r="AJ198">
        <v>8.0370906410000007</v>
      </c>
      <c r="AK198">
        <v>3.057056759</v>
      </c>
      <c r="AL198">
        <v>5.0400789399999999</v>
      </c>
      <c r="AM198">
        <v>3.9426743759999998</v>
      </c>
      <c r="AN198">
        <v>3.3016445650000001</v>
      </c>
      <c r="AO198">
        <v>8.8027074919999997</v>
      </c>
      <c r="AP198">
        <v>3.135435389</v>
      </c>
      <c r="AR198">
        <v>5.4618085379999997</v>
      </c>
      <c r="AS198">
        <v>2.2669988659999998</v>
      </c>
      <c r="AT198">
        <v>1.35173934</v>
      </c>
      <c r="AV198">
        <v>4.0021270639999997</v>
      </c>
      <c r="AW198">
        <v>4.0987108829999999</v>
      </c>
    </row>
    <row r="199" spans="1:49" x14ac:dyDescent="0.2">
      <c r="A199" t="s">
        <v>263</v>
      </c>
      <c r="B199" s="74">
        <v>35339</v>
      </c>
      <c r="C199">
        <v>8.2760598040000009</v>
      </c>
      <c r="D199">
        <v>3.107642115</v>
      </c>
      <c r="E199">
        <v>2.2227470399999998</v>
      </c>
      <c r="F199">
        <v>1.1697046499999999</v>
      </c>
      <c r="H199">
        <v>2.0526832650000002</v>
      </c>
      <c r="I199">
        <v>-9.6761631000000001E-2</v>
      </c>
      <c r="J199">
        <v>7.463833953</v>
      </c>
      <c r="K199">
        <v>9.1999999999999993</v>
      </c>
      <c r="L199">
        <v>2.8100257420000001</v>
      </c>
      <c r="M199">
        <v>0.90732426399999999</v>
      </c>
      <c r="N199">
        <v>3.7677123140000002</v>
      </c>
      <c r="O199">
        <v>1.752293104</v>
      </c>
      <c r="P199">
        <v>2.978766115</v>
      </c>
      <c r="Q199">
        <v>7.1198593419999998</v>
      </c>
      <c r="R199">
        <v>1.7475035409999999</v>
      </c>
      <c r="T199">
        <v>3.25219704</v>
      </c>
      <c r="U199">
        <v>1.3348272800000001</v>
      </c>
      <c r="V199">
        <v>2.743744843</v>
      </c>
      <c r="X199">
        <v>1.6937968080000001</v>
      </c>
      <c r="Y199">
        <v>3.088905697</v>
      </c>
      <c r="Z199">
        <v>-0.56388718400000004</v>
      </c>
      <c r="AB199">
        <v>6.2114075140000002</v>
      </c>
      <c r="AC199">
        <v>3.0250678500000001</v>
      </c>
      <c r="AD199">
        <v>5.1906967460000004</v>
      </c>
      <c r="AE199">
        <v>0.96049080600000003</v>
      </c>
      <c r="AF199">
        <v>2.4765131720000002</v>
      </c>
      <c r="AG199">
        <v>7.7745011499999999</v>
      </c>
      <c r="AH199">
        <v>2.470185329</v>
      </c>
      <c r="AI199">
        <v>3.474884651</v>
      </c>
      <c r="AJ199">
        <v>7.8172017770000002</v>
      </c>
      <c r="AK199">
        <v>3.6852796049999998</v>
      </c>
      <c r="AL199">
        <v>6.0416577900000004</v>
      </c>
      <c r="AM199">
        <v>3.66894198</v>
      </c>
      <c r="AN199">
        <v>3.1637767810000001</v>
      </c>
      <c r="AO199">
        <v>5.9761532009999998</v>
      </c>
      <c r="AP199">
        <v>4.0832396019999999</v>
      </c>
      <c r="AR199">
        <v>7.4722850779999996</v>
      </c>
      <c r="AS199">
        <v>3.3957720079999998</v>
      </c>
      <c r="AT199">
        <v>1.3790214110000001</v>
      </c>
      <c r="AV199">
        <v>4.0499213899999997</v>
      </c>
      <c r="AW199">
        <v>4.6447513850000002</v>
      </c>
    </row>
    <row r="200" spans="1:49" x14ac:dyDescent="0.2">
      <c r="A200" t="s">
        <v>264</v>
      </c>
      <c r="B200" s="74">
        <v>35431</v>
      </c>
      <c r="C200">
        <v>9.410196998</v>
      </c>
      <c r="D200">
        <v>4.0869435909999998</v>
      </c>
      <c r="E200">
        <v>2.0315156289999998</v>
      </c>
      <c r="F200">
        <v>1.7578966380000001</v>
      </c>
      <c r="H200">
        <v>2.4547085740000001</v>
      </c>
      <c r="I200">
        <v>0.50236331599999995</v>
      </c>
      <c r="J200">
        <v>6.9195036290000003</v>
      </c>
      <c r="K200">
        <v>10.3</v>
      </c>
      <c r="L200">
        <v>3.6462400370000001</v>
      </c>
      <c r="M200">
        <v>1.6193820480000001</v>
      </c>
      <c r="N200">
        <v>3.049006173</v>
      </c>
      <c r="O200">
        <v>1.9031697860000001</v>
      </c>
      <c r="P200">
        <v>2.7474443339999999</v>
      </c>
      <c r="Q200">
        <v>8.0325956860000005</v>
      </c>
      <c r="R200">
        <v>1.6143376890000001</v>
      </c>
      <c r="T200">
        <v>5.134502586</v>
      </c>
      <c r="U200">
        <v>1.593927884</v>
      </c>
      <c r="V200">
        <v>3.1700041689999998</v>
      </c>
      <c r="X200">
        <v>2.523220126</v>
      </c>
      <c r="Y200">
        <v>3.5811319720000001</v>
      </c>
      <c r="Z200">
        <v>1.1071149069999999</v>
      </c>
      <c r="AB200">
        <v>5.9769280059999996</v>
      </c>
      <c r="AC200">
        <v>5.2631852769999998</v>
      </c>
      <c r="AD200">
        <v>6.091271774</v>
      </c>
      <c r="AE200">
        <v>-7.4189910999999997E-2</v>
      </c>
      <c r="AF200">
        <v>3.371838361</v>
      </c>
      <c r="AG200">
        <v>7.5851555900000003</v>
      </c>
      <c r="AH200">
        <v>2.7512388959999998</v>
      </c>
      <c r="AI200">
        <v>8.5728676830000001</v>
      </c>
      <c r="AJ200">
        <v>8.9878695240000006</v>
      </c>
      <c r="AK200">
        <v>3.6838023940000002</v>
      </c>
      <c r="AL200">
        <v>3.0688962740000001</v>
      </c>
      <c r="AM200">
        <v>4.3255842109999998</v>
      </c>
      <c r="AN200">
        <v>3.5818340179999999</v>
      </c>
      <c r="AO200">
        <v>1.82622051</v>
      </c>
      <c r="AP200">
        <v>3.6746886189999999</v>
      </c>
      <c r="AR200">
        <v>7.5406114759999996</v>
      </c>
      <c r="AS200">
        <v>4.9563582750000004</v>
      </c>
      <c r="AT200">
        <v>0.99537645399999997</v>
      </c>
      <c r="AV200">
        <v>4.4213144519999998</v>
      </c>
      <c r="AW200">
        <v>5.2723973409999996</v>
      </c>
    </row>
    <row r="201" spans="1:49" x14ac:dyDescent="0.2">
      <c r="A201" t="s">
        <v>265</v>
      </c>
      <c r="B201" s="74">
        <v>35521</v>
      </c>
      <c r="C201">
        <v>8.7186427490000007</v>
      </c>
      <c r="D201">
        <v>3.0394655030000002</v>
      </c>
      <c r="E201">
        <v>1.8795884279999999</v>
      </c>
      <c r="F201">
        <v>2.9854071520000001</v>
      </c>
      <c r="G201">
        <v>4.968181081</v>
      </c>
      <c r="H201">
        <v>3.7348895089999998</v>
      </c>
      <c r="I201">
        <v>1.114587931</v>
      </c>
      <c r="J201">
        <v>5.809965161</v>
      </c>
      <c r="K201">
        <v>10.1</v>
      </c>
      <c r="L201">
        <v>0.76990423699999999</v>
      </c>
      <c r="M201">
        <v>1.920072869</v>
      </c>
      <c r="N201">
        <v>4.3267001179999998</v>
      </c>
      <c r="O201">
        <v>1.9632259780000001</v>
      </c>
      <c r="P201">
        <v>3.1806727769999998</v>
      </c>
      <c r="Q201">
        <v>10.951755892</v>
      </c>
      <c r="R201">
        <v>2.0266413729999999</v>
      </c>
      <c r="T201">
        <v>4.4901087049999999</v>
      </c>
      <c r="U201">
        <v>1.2353265309999999</v>
      </c>
      <c r="V201">
        <v>3.1637689830000002</v>
      </c>
      <c r="X201">
        <v>3.6753414919999998</v>
      </c>
      <c r="Y201">
        <v>3.6099204560000002</v>
      </c>
      <c r="Z201">
        <v>1.48434925</v>
      </c>
      <c r="AB201">
        <v>7.3055078609999997</v>
      </c>
      <c r="AC201">
        <v>4.9219291920000003</v>
      </c>
      <c r="AD201">
        <v>5.1877416800000002</v>
      </c>
      <c r="AE201">
        <v>1.3923151999999999E-2</v>
      </c>
      <c r="AF201">
        <v>2.7982308649999998</v>
      </c>
      <c r="AG201">
        <v>6.0648618689999996</v>
      </c>
      <c r="AH201">
        <v>2.1871841120000002</v>
      </c>
      <c r="AI201">
        <v>7.9589946339999997</v>
      </c>
      <c r="AJ201">
        <v>6.3058115920000004</v>
      </c>
      <c r="AK201">
        <v>4.3861176650000004</v>
      </c>
      <c r="AL201">
        <v>4.2616232759999999</v>
      </c>
      <c r="AM201">
        <v>2.4925373130000001</v>
      </c>
      <c r="AN201">
        <v>3.4611507609999999</v>
      </c>
      <c r="AO201">
        <v>6.0310680129999996</v>
      </c>
      <c r="AP201">
        <v>4.5539999690000004</v>
      </c>
      <c r="AR201">
        <v>6.8015389869999998</v>
      </c>
      <c r="AS201">
        <v>4.8036947559999996</v>
      </c>
      <c r="AT201">
        <v>1.2402892190000001</v>
      </c>
      <c r="AV201">
        <v>4.3141345409999996</v>
      </c>
      <c r="AW201">
        <v>3.8375015160000001</v>
      </c>
    </row>
    <row r="202" spans="1:49" x14ac:dyDescent="0.2">
      <c r="A202" t="s">
        <v>266</v>
      </c>
      <c r="B202" s="74">
        <v>35612</v>
      </c>
      <c r="C202">
        <v>7.9303330599999997</v>
      </c>
      <c r="D202">
        <v>5.3795514080000002</v>
      </c>
      <c r="E202">
        <v>1.4125270649999999</v>
      </c>
      <c r="F202">
        <v>3.849557522</v>
      </c>
      <c r="G202">
        <v>4.3777506930000003</v>
      </c>
      <c r="H202">
        <v>4.1813046429999998</v>
      </c>
      <c r="I202">
        <v>1.746567698</v>
      </c>
      <c r="J202">
        <v>6.9480524770000001</v>
      </c>
      <c r="K202">
        <v>10</v>
      </c>
      <c r="L202">
        <v>-0.12189744700000001</v>
      </c>
      <c r="M202">
        <v>1.868803931</v>
      </c>
      <c r="N202">
        <v>3.320563274</v>
      </c>
      <c r="O202">
        <v>2.4814331410000001</v>
      </c>
      <c r="P202">
        <v>3.3532306250000001</v>
      </c>
      <c r="Q202">
        <v>13.679321882</v>
      </c>
      <c r="R202">
        <v>2.5153390789999999</v>
      </c>
      <c r="T202">
        <v>5.2462617219999998</v>
      </c>
      <c r="U202">
        <v>2.1352503079999998</v>
      </c>
      <c r="V202">
        <v>3.0620350410000001</v>
      </c>
      <c r="X202">
        <v>4.7337447560000001</v>
      </c>
      <c r="Y202">
        <v>4.7848213590000004</v>
      </c>
      <c r="Z202">
        <v>3.1628929929999998</v>
      </c>
      <c r="AA202">
        <v>3.2718699999999998</v>
      </c>
      <c r="AB202">
        <v>9.7341823479999992</v>
      </c>
      <c r="AC202">
        <v>5.3293738890000002</v>
      </c>
      <c r="AD202">
        <v>4.4369427999999997</v>
      </c>
      <c r="AE202">
        <v>1.4937161619999999</v>
      </c>
      <c r="AF202">
        <v>0.74570685199999998</v>
      </c>
      <c r="AG202">
        <v>7.6559367079999996</v>
      </c>
      <c r="AH202">
        <v>11.230126650000001</v>
      </c>
      <c r="AI202">
        <v>12.525456703</v>
      </c>
      <c r="AJ202">
        <v>7.3517265140000001</v>
      </c>
      <c r="AK202">
        <v>4.3099945569999996</v>
      </c>
      <c r="AL202">
        <v>6.9230689380000001</v>
      </c>
      <c r="AM202">
        <v>3.580093497</v>
      </c>
      <c r="AN202">
        <v>3.6224799010000002</v>
      </c>
      <c r="AO202">
        <v>5.178154127</v>
      </c>
      <c r="AP202">
        <v>4.2534843499999999</v>
      </c>
      <c r="AR202">
        <v>7.1229493450000003</v>
      </c>
      <c r="AS202">
        <v>5.970969416</v>
      </c>
      <c r="AT202">
        <v>3.2331819359999998</v>
      </c>
      <c r="AV202">
        <v>4.3080749789999997</v>
      </c>
      <c r="AW202">
        <v>3.258806281</v>
      </c>
    </row>
    <row r="203" spans="1:49" x14ac:dyDescent="0.2">
      <c r="A203" t="s">
        <v>267</v>
      </c>
      <c r="B203" s="74">
        <v>35704</v>
      </c>
      <c r="C203">
        <v>8.1630179300000005</v>
      </c>
      <c r="D203">
        <v>4.7178275320000003</v>
      </c>
      <c r="E203">
        <v>2.3141590860000001</v>
      </c>
      <c r="F203">
        <v>4.2847508019999996</v>
      </c>
      <c r="G203">
        <v>1.8785983369999999</v>
      </c>
      <c r="H203">
        <v>4.5112719959999996</v>
      </c>
      <c r="I203">
        <v>2.8896912979999998</v>
      </c>
      <c r="J203">
        <v>8.2844879690000006</v>
      </c>
      <c r="K203">
        <v>8.6</v>
      </c>
      <c r="L203">
        <v>-1.218810406</v>
      </c>
      <c r="M203">
        <v>1.8368702750000001</v>
      </c>
      <c r="N203">
        <v>2.7383265689999998</v>
      </c>
      <c r="O203">
        <v>2.7817731409999999</v>
      </c>
      <c r="P203">
        <v>3.6945386020000002</v>
      </c>
      <c r="Q203">
        <v>13.142513347</v>
      </c>
      <c r="R203">
        <v>2.7636097190000002</v>
      </c>
      <c r="T203">
        <v>7.1058599549999997</v>
      </c>
      <c r="U203">
        <v>2.6072699070000001</v>
      </c>
      <c r="V203">
        <v>3.323640631</v>
      </c>
      <c r="X203">
        <v>4.5994859860000004</v>
      </c>
      <c r="Y203">
        <v>5.0277661580000004</v>
      </c>
      <c r="Z203">
        <v>4.26451549</v>
      </c>
      <c r="AA203">
        <v>3.9952100000000002</v>
      </c>
      <c r="AB203">
        <v>12.196066903</v>
      </c>
      <c r="AC203">
        <v>6.0655067660000004</v>
      </c>
      <c r="AD203">
        <v>3.1852960330000002</v>
      </c>
      <c r="AE203">
        <v>2.0700272719999999</v>
      </c>
      <c r="AF203">
        <v>0.81591106899999999</v>
      </c>
      <c r="AG203">
        <v>6.632700464</v>
      </c>
      <c r="AH203">
        <v>4.394313167</v>
      </c>
      <c r="AI203">
        <v>10.609754351999999</v>
      </c>
      <c r="AJ203">
        <v>7.5791058680000001</v>
      </c>
      <c r="AK203">
        <v>4.364193094</v>
      </c>
      <c r="AL203">
        <v>3.3637152050000001</v>
      </c>
      <c r="AM203">
        <v>2.65138154</v>
      </c>
      <c r="AN203">
        <v>3.8200806429999998</v>
      </c>
      <c r="AO203">
        <v>4.0019985010000001</v>
      </c>
      <c r="AP203">
        <v>4.1960411479999999</v>
      </c>
      <c r="AR203">
        <v>6.2416269250000003</v>
      </c>
      <c r="AS203">
        <v>5.5285718599999996</v>
      </c>
      <c r="AT203">
        <v>3.614841325</v>
      </c>
      <c r="AV203">
        <v>4.6738025749999998</v>
      </c>
      <c r="AW203">
        <v>2.1444353330000001</v>
      </c>
    </row>
    <row r="204" spans="1:49" x14ac:dyDescent="0.2">
      <c r="A204" t="s">
        <v>268</v>
      </c>
      <c r="B204" s="74">
        <v>35796</v>
      </c>
      <c r="C204">
        <v>7.6628909869999999</v>
      </c>
      <c r="D204">
        <v>5.2587089550000004</v>
      </c>
      <c r="E204">
        <v>3.167762696</v>
      </c>
      <c r="F204">
        <v>4.0450113349999999</v>
      </c>
      <c r="G204">
        <v>3.7249126069999998</v>
      </c>
      <c r="H204">
        <v>4.6802185999999999</v>
      </c>
      <c r="I204">
        <v>3.1485730969999999</v>
      </c>
      <c r="J204">
        <v>9.0268368030000001</v>
      </c>
      <c r="K204">
        <v>8.6</v>
      </c>
      <c r="L204">
        <v>-1.560838508</v>
      </c>
      <c r="M204">
        <v>1.835793338</v>
      </c>
      <c r="N204">
        <v>2.6893725270000002</v>
      </c>
      <c r="O204">
        <v>3.4385366429999999</v>
      </c>
      <c r="P204">
        <v>4.5658017360000001</v>
      </c>
      <c r="Q204">
        <v>14.362159796</v>
      </c>
      <c r="R204">
        <v>3.4994298769999999</v>
      </c>
      <c r="T204">
        <v>8.2339361289999999</v>
      </c>
      <c r="U204">
        <v>3.3585592389999999</v>
      </c>
      <c r="V204">
        <v>3.30236646</v>
      </c>
      <c r="X204">
        <v>5.0751494709999996</v>
      </c>
      <c r="Y204">
        <v>4.9176276630000002</v>
      </c>
      <c r="Z204">
        <v>3.8311461269999998</v>
      </c>
      <c r="AA204">
        <v>4.0108499999999996</v>
      </c>
      <c r="AB204">
        <v>12.647829319</v>
      </c>
      <c r="AC204">
        <v>6.7678763750000002</v>
      </c>
      <c r="AD204">
        <v>3.3057714169999999</v>
      </c>
      <c r="AE204">
        <v>4.2526175119999996</v>
      </c>
      <c r="AF204">
        <v>-0.26376064599999999</v>
      </c>
      <c r="AG204">
        <v>4.3807778529999997</v>
      </c>
      <c r="AH204">
        <v>4.1597021070000002</v>
      </c>
      <c r="AI204">
        <v>5.3953765379999998</v>
      </c>
      <c r="AJ204">
        <v>7.016962039</v>
      </c>
      <c r="AK204">
        <v>4.9569828249999999</v>
      </c>
      <c r="AL204">
        <v>6.5330506509999999</v>
      </c>
      <c r="AM204">
        <v>1.128681271</v>
      </c>
      <c r="AN204">
        <v>3.8104335410000001</v>
      </c>
      <c r="AO204">
        <v>10.217624757999999</v>
      </c>
      <c r="AP204">
        <v>4.6012456019999997</v>
      </c>
      <c r="AR204">
        <v>3.6427285980000002</v>
      </c>
      <c r="AS204">
        <v>4.1121379109999996</v>
      </c>
      <c r="AT204">
        <v>4.9352670239999998</v>
      </c>
      <c r="AV204">
        <v>4.4876844580000004</v>
      </c>
      <c r="AW204">
        <v>1.2090326570000001</v>
      </c>
    </row>
    <row r="205" spans="1:49" x14ac:dyDescent="0.2">
      <c r="A205" t="s">
        <v>269</v>
      </c>
      <c r="B205" s="74">
        <v>35886</v>
      </c>
      <c r="C205">
        <v>5.993873078</v>
      </c>
      <c r="D205">
        <v>5.3143069000000001</v>
      </c>
      <c r="E205">
        <v>3.39912445</v>
      </c>
      <c r="F205">
        <v>3.2801514329999999</v>
      </c>
      <c r="G205">
        <v>0.63958260899999997</v>
      </c>
      <c r="H205">
        <v>4.7765522340000004</v>
      </c>
      <c r="I205">
        <v>3.0668415790000001</v>
      </c>
      <c r="J205">
        <v>7.4656713049999999</v>
      </c>
      <c r="K205">
        <v>7.3</v>
      </c>
      <c r="L205">
        <v>-1.1201704770000001</v>
      </c>
      <c r="M205">
        <v>3.3320481810000002</v>
      </c>
      <c r="N205">
        <v>2.9456331389999999</v>
      </c>
      <c r="O205">
        <v>3.8487531769999999</v>
      </c>
      <c r="P205">
        <v>4.4221078729999999</v>
      </c>
      <c r="Q205">
        <v>11.264361643999999</v>
      </c>
      <c r="R205">
        <v>3.819586105</v>
      </c>
      <c r="T205">
        <v>6.1931278010000002</v>
      </c>
      <c r="U205">
        <v>3.963683536</v>
      </c>
      <c r="V205">
        <v>3.2759780510000001</v>
      </c>
      <c r="X205">
        <v>4.1106981500000002</v>
      </c>
      <c r="Y205">
        <v>5.5748591770000004</v>
      </c>
      <c r="Z205">
        <v>3.646601231</v>
      </c>
      <c r="AA205">
        <v>4.9169499999999999</v>
      </c>
      <c r="AB205">
        <v>10.504347125000001</v>
      </c>
      <c r="AC205">
        <v>-0.14083517200000001</v>
      </c>
      <c r="AD205">
        <v>3.8591804179999998</v>
      </c>
      <c r="AE205">
        <v>3.0984832459999998</v>
      </c>
      <c r="AF205">
        <v>-1.733382588</v>
      </c>
      <c r="AG205">
        <v>-3.1890635450000002</v>
      </c>
      <c r="AH205">
        <v>4.6161454370000001</v>
      </c>
      <c r="AI205">
        <v>12.377735691</v>
      </c>
      <c r="AJ205">
        <v>7.8145221449999998</v>
      </c>
      <c r="AK205">
        <v>5.2249159440000001</v>
      </c>
      <c r="AL205">
        <v>4.7484274649999998</v>
      </c>
      <c r="AM205">
        <v>0.94073103199999997</v>
      </c>
      <c r="AN205">
        <v>3.6097353870000002</v>
      </c>
      <c r="AO205">
        <v>5.6587879599999997</v>
      </c>
      <c r="AP205">
        <v>4.398434698</v>
      </c>
      <c r="AR205">
        <v>4.4357581789999996</v>
      </c>
      <c r="AS205">
        <v>4.2283634149999996</v>
      </c>
      <c r="AT205">
        <v>4.4346026370000002</v>
      </c>
      <c r="AV205">
        <v>4.8550058829999996</v>
      </c>
      <c r="AW205">
        <v>1.0060257560000001</v>
      </c>
    </row>
    <row r="206" spans="1:49" x14ac:dyDescent="0.2">
      <c r="A206" t="s">
        <v>270</v>
      </c>
      <c r="B206" s="74">
        <v>35977</v>
      </c>
      <c r="C206">
        <v>6.4868224349999997</v>
      </c>
      <c r="D206">
        <v>3.2120299829999999</v>
      </c>
      <c r="E206">
        <v>4.1342359330000003</v>
      </c>
      <c r="F206">
        <v>2.0451640389999999</v>
      </c>
      <c r="G206">
        <v>1.7627678659999999</v>
      </c>
      <c r="H206">
        <v>3.661507904</v>
      </c>
      <c r="I206">
        <v>3.9347401120000001</v>
      </c>
      <c r="J206">
        <v>7.060494104</v>
      </c>
      <c r="K206">
        <v>6.9</v>
      </c>
      <c r="L206">
        <v>-0.62373177899999999</v>
      </c>
      <c r="M206">
        <v>1.5688211439999999</v>
      </c>
      <c r="N206">
        <v>0.44307299100000003</v>
      </c>
      <c r="O206">
        <v>3.0502379899999998</v>
      </c>
      <c r="P206">
        <v>4.6510644819999998</v>
      </c>
      <c r="Q206">
        <v>6.1731235470000003</v>
      </c>
      <c r="R206">
        <v>3.011477298</v>
      </c>
      <c r="T206">
        <v>6.7158987530000003</v>
      </c>
      <c r="U206">
        <v>3.7595764759999999</v>
      </c>
      <c r="V206">
        <v>2.654246128</v>
      </c>
      <c r="X206">
        <v>3.5657939710000002</v>
      </c>
      <c r="Y206">
        <v>4.2545392660000001</v>
      </c>
      <c r="Z206">
        <v>4.1763969760000004</v>
      </c>
      <c r="AA206">
        <v>5.8582799999999997</v>
      </c>
      <c r="AB206">
        <v>8.4435169170000002</v>
      </c>
      <c r="AC206">
        <v>9.191753555</v>
      </c>
      <c r="AD206">
        <v>3.2415066260000001</v>
      </c>
      <c r="AE206">
        <v>2.32191474</v>
      </c>
      <c r="AF206">
        <v>-1.413737853</v>
      </c>
      <c r="AG206">
        <v>-7.263875197</v>
      </c>
      <c r="AH206">
        <v>6.9947089599999996</v>
      </c>
      <c r="AI206">
        <v>7.4041474220000003</v>
      </c>
      <c r="AJ206">
        <v>6.1431000989999998</v>
      </c>
      <c r="AK206">
        <v>4.8858975940000002</v>
      </c>
      <c r="AL206">
        <v>3.4402248389999999</v>
      </c>
      <c r="AM206">
        <v>-0.51131170000000004</v>
      </c>
      <c r="AN206">
        <v>2.7609119899999999</v>
      </c>
      <c r="AO206">
        <v>3.949965293</v>
      </c>
      <c r="AP206">
        <v>5.0472234340000002</v>
      </c>
      <c r="AR206">
        <v>2.9230394639999999</v>
      </c>
      <c r="AS206">
        <v>2.6073265800000001</v>
      </c>
      <c r="AT206">
        <v>4.6107467480000004</v>
      </c>
      <c r="AV206">
        <v>4.0957268410000003</v>
      </c>
      <c r="AW206">
        <v>0.51821165899999999</v>
      </c>
    </row>
    <row r="207" spans="1:49" x14ac:dyDescent="0.2">
      <c r="A207" t="s">
        <v>271</v>
      </c>
      <c r="B207" s="74">
        <v>36069</v>
      </c>
      <c r="C207">
        <v>3.5557256609999999</v>
      </c>
      <c r="D207">
        <v>5.0135972979999996</v>
      </c>
      <c r="E207">
        <v>3.6034190320000001</v>
      </c>
      <c r="F207">
        <v>1.4491988490000001</v>
      </c>
      <c r="G207">
        <v>0.51145468599999999</v>
      </c>
      <c r="H207">
        <v>3.381592962</v>
      </c>
      <c r="I207">
        <v>2.8232621610000002</v>
      </c>
      <c r="J207">
        <v>3.9922085159999998</v>
      </c>
      <c r="K207">
        <v>7.8</v>
      </c>
      <c r="L207">
        <v>-8.0120039999999997E-3</v>
      </c>
      <c r="M207">
        <v>1.7406574210000001</v>
      </c>
      <c r="N207">
        <v>2.5781058319999999</v>
      </c>
      <c r="O207">
        <v>2.8377323830000001</v>
      </c>
      <c r="P207">
        <v>4.3973660710000004</v>
      </c>
      <c r="Q207">
        <v>3.2834211780000002</v>
      </c>
      <c r="R207">
        <v>2.8932130539999998</v>
      </c>
      <c r="T207">
        <v>5.5678996209999996</v>
      </c>
      <c r="U207">
        <v>3.5183447839999999</v>
      </c>
      <c r="V207">
        <v>2.5623178329999998</v>
      </c>
      <c r="X207">
        <v>2.9162298419999999</v>
      </c>
      <c r="Y207">
        <v>2.975993538</v>
      </c>
      <c r="Z207">
        <v>4.2019413180000003</v>
      </c>
      <c r="AA207">
        <v>6.5088699999999999</v>
      </c>
      <c r="AB207">
        <v>10.633386621</v>
      </c>
      <c r="AC207">
        <v>9.9700310349999999</v>
      </c>
      <c r="AD207">
        <v>4.2138783599999998</v>
      </c>
      <c r="AE207">
        <v>1.7586680770000001</v>
      </c>
      <c r="AF207">
        <v>-1.4380287469999999</v>
      </c>
      <c r="AG207">
        <v>-6.3848271839999997</v>
      </c>
      <c r="AH207">
        <v>7.750321853</v>
      </c>
      <c r="AI207">
        <v>4.5325404499999999</v>
      </c>
      <c r="AJ207">
        <v>4.7039713790000004</v>
      </c>
      <c r="AK207">
        <v>4.2664461139999998</v>
      </c>
      <c r="AL207">
        <v>1.694102631</v>
      </c>
      <c r="AM207">
        <v>-0.171811466</v>
      </c>
      <c r="AN207">
        <v>2.5362716760000001</v>
      </c>
      <c r="AO207">
        <v>5.098122719</v>
      </c>
      <c r="AP207">
        <v>4.847647587</v>
      </c>
      <c r="AR207">
        <v>0.41704750499999999</v>
      </c>
      <c r="AS207">
        <v>2.599363495</v>
      </c>
      <c r="AT207">
        <v>4.3817892690000004</v>
      </c>
      <c r="AV207">
        <v>4.0977686230000003</v>
      </c>
      <c r="AW207">
        <v>0.19842209599999999</v>
      </c>
    </row>
    <row r="208" spans="1:49" x14ac:dyDescent="0.2">
      <c r="A208" t="s">
        <v>272</v>
      </c>
      <c r="B208" s="74">
        <v>36161</v>
      </c>
      <c r="C208">
        <v>-0.42983384800000002</v>
      </c>
      <c r="D208">
        <v>5.0706360070000001</v>
      </c>
      <c r="E208">
        <v>2.9699348130000001</v>
      </c>
      <c r="F208">
        <v>1.1130361740000001</v>
      </c>
      <c r="G208">
        <v>-1.4675382079999999</v>
      </c>
      <c r="H208">
        <v>3.7833187339999998</v>
      </c>
      <c r="I208">
        <v>1.9164808680000001</v>
      </c>
      <c r="J208">
        <v>-1.471066787</v>
      </c>
      <c r="K208">
        <v>9.1</v>
      </c>
      <c r="L208">
        <v>0.36819944599999999</v>
      </c>
      <c r="M208">
        <v>0.56335124700000005</v>
      </c>
      <c r="N208">
        <v>2.9211877319999999</v>
      </c>
      <c r="O208">
        <v>1.8358213759999999</v>
      </c>
      <c r="P208">
        <v>4.1093773340000004</v>
      </c>
      <c r="Q208">
        <v>-1.6764262969999999</v>
      </c>
      <c r="R208">
        <v>1.943543775</v>
      </c>
      <c r="T208">
        <v>3.4558935549999998</v>
      </c>
      <c r="U208">
        <v>3.1734646459999998</v>
      </c>
      <c r="V208">
        <v>2.6892792060000001</v>
      </c>
      <c r="X208">
        <v>2.0746998759999999</v>
      </c>
      <c r="Y208">
        <v>2.8072379789999999</v>
      </c>
      <c r="Z208">
        <v>3.3678160419999998</v>
      </c>
      <c r="AA208">
        <v>6.2047100000000004</v>
      </c>
      <c r="AB208">
        <v>6.2340356369999999</v>
      </c>
      <c r="AC208">
        <v>10.353641782</v>
      </c>
      <c r="AD208">
        <v>3.1065260449999998</v>
      </c>
      <c r="AE208">
        <v>-0.58699833599999995</v>
      </c>
      <c r="AF208">
        <v>-0.68407075299999998</v>
      </c>
      <c r="AG208">
        <v>-3.6086065399999998</v>
      </c>
      <c r="AH208">
        <v>7.2134153269999999</v>
      </c>
      <c r="AI208">
        <v>1.541819381</v>
      </c>
      <c r="AJ208">
        <v>2.3082706289999999</v>
      </c>
      <c r="AK208">
        <v>3.887741933</v>
      </c>
      <c r="AL208">
        <v>0.79029035299999995</v>
      </c>
      <c r="AM208">
        <v>1.0357491249999999</v>
      </c>
      <c r="AN208">
        <v>2.431680745</v>
      </c>
      <c r="AO208">
        <v>3.584637656</v>
      </c>
      <c r="AP208">
        <v>4.9318881450000003</v>
      </c>
      <c r="AR208">
        <v>8.5443240869999997</v>
      </c>
      <c r="AS208">
        <v>2.998377799</v>
      </c>
      <c r="AT208">
        <v>3.5143014039999998</v>
      </c>
      <c r="AV208">
        <v>4.8795407759999998</v>
      </c>
      <c r="AW208">
        <v>0.28104335499999999</v>
      </c>
    </row>
    <row r="209" spans="1:49" x14ac:dyDescent="0.2">
      <c r="A209" t="s">
        <v>273</v>
      </c>
      <c r="B209" s="74">
        <v>36251</v>
      </c>
      <c r="C209">
        <v>-2.1764920640000001</v>
      </c>
      <c r="D209">
        <v>5.1450100369999996</v>
      </c>
      <c r="E209">
        <v>2.7681362759999999</v>
      </c>
      <c r="F209">
        <v>1.9047993089999999</v>
      </c>
      <c r="G209">
        <v>0.69364763399999996</v>
      </c>
      <c r="H209">
        <v>4.1941041669999999</v>
      </c>
      <c r="I209">
        <v>1.0842271320000001</v>
      </c>
      <c r="J209">
        <v>-2.2375069710000002</v>
      </c>
      <c r="K209">
        <v>8.9</v>
      </c>
      <c r="L209">
        <v>0.39478470100000002</v>
      </c>
      <c r="M209">
        <v>0.77826434200000005</v>
      </c>
      <c r="N209">
        <v>2.3110575400000002</v>
      </c>
      <c r="O209">
        <v>2.2893551649999999</v>
      </c>
      <c r="P209">
        <v>4.2353493880000004</v>
      </c>
      <c r="Q209">
        <v>-3.2141030150000001</v>
      </c>
      <c r="R209">
        <v>2.273286701</v>
      </c>
      <c r="T209">
        <v>5.934262693</v>
      </c>
      <c r="U209">
        <v>3.3124561219999999</v>
      </c>
      <c r="V209">
        <v>2.8166989340000002</v>
      </c>
      <c r="X209">
        <v>2.1934329720000001</v>
      </c>
      <c r="Y209">
        <v>2.3617043550000001</v>
      </c>
      <c r="Z209">
        <v>2.543318196</v>
      </c>
      <c r="AA209">
        <v>6.1985200000000003</v>
      </c>
      <c r="AB209">
        <v>9.7215921699999992</v>
      </c>
      <c r="AC209">
        <v>12.923416974</v>
      </c>
      <c r="AD209">
        <v>0.84116252000000002</v>
      </c>
      <c r="AE209">
        <v>0.86099052600000003</v>
      </c>
      <c r="AF209">
        <v>-0.84021775899999995</v>
      </c>
      <c r="AG209">
        <v>6.5833975389999999</v>
      </c>
      <c r="AH209">
        <v>8.9879145509999994</v>
      </c>
      <c r="AI209">
        <v>-0.63374282599999998</v>
      </c>
      <c r="AJ209">
        <v>2.399622184</v>
      </c>
      <c r="AK209">
        <v>4.2134169999999997</v>
      </c>
      <c r="AL209">
        <v>0.54892903500000001</v>
      </c>
      <c r="AM209">
        <v>2.8132033010000002</v>
      </c>
      <c r="AN209">
        <v>2.6945391019999998</v>
      </c>
      <c r="AO209">
        <v>1.381236635</v>
      </c>
      <c r="AP209">
        <v>4.809349106</v>
      </c>
      <c r="AR209">
        <v>3.1043958969999998</v>
      </c>
      <c r="AS209">
        <v>4.0550783170000004</v>
      </c>
      <c r="AT209">
        <v>4.2391149600000002</v>
      </c>
      <c r="AU209">
        <v>-4.0900212749999998</v>
      </c>
      <c r="AV209">
        <v>4.8218579320000003</v>
      </c>
      <c r="AW209">
        <v>0.97953619599999997</v>
      </c>
    </row>
    <row r="210" spans="1:49" x14ac:dyDescent="0.2">
      <c r="A210" t="s">
        <v>274</v>
      </c>
      <c r="B210" s="74">
        <v>36342</v>
      </c>
      <c r="C210">
        <v>-5.1405824490000001</v>
      </c>
      <c r="D210">
        <v>4.524116126</v>
      </c>
      <c r="E210">
        <v>3.0744905010000001</v>
      </c>
      <c r="F210">
        <v>2.956680585</v>
      </c>
      <c r="G210">
        <v>-0.46333983400000001</v>
      </c>
      <c r="H210">
        <v>5.0096612140000003</v>
      </c>
      <c r="I210">
        <v>0.54712298299999995</v>
      </c>
      <c r="J210">
        <v>-3.6059627249999999</v>
      </c>
      <c r="K210">
        <v>7.9</v>
      </c>
      <c r="L210">
        <v>0.58159202200000004</v>
      </c>
      <c r="M210">
        <v>1.217638475</v>
      </c>
      <c r="N210">
        <v>3.6219454010000001</v>
      </c>
      <c r="O210">
        <v>2.3061700190000001</v>
      </c>
      <c r="P210">
        <v>4.2954016429999999</v>
      </c>
      <c r="Q210">
        <v>-1.809841077</v>
      </c>
      <c r="R210">
        <v>2.359286719</v>
      </c>
      <c r="T210">
        <v>4.3902316719999996</v>
      </c>
      <c r="U210">
        <v>2.7770258590000001</v>
      </c>
      <c r="V210">
        <v>2.9353008159999998</v>
      </c>
      <c r="X210">
        <v>2.0632791749999999</v>
      </c>
      <c r="Y210">
        <v>2.8619761800000001</v>
      </c>
      <c r="Z210">
        <v>2.0526861159999998</v>
      </c>
      <c r="AA210">
        <v>7.5313600000000003</v>
      </c>
      <c r="AB210">
        <v>8.164886289</v>
      </c>
      <c r="AC210">
        <v>0.274471254</v>
      </c>
      <c r="AD210">
        <v>4.9396465909999998</v>
      </c>
      <c r="AE210">
        <v>0.62252004500000002</v>
      </c>
      <c r="AF210">
        <v>-2.3780853000000001E-2</v>
      </c>
      <c r="AG210">
        <v>12.161310752</v>
      </c>
      <c r="AH210">
        <v>7.5635883159999997</v>
      </c>
      <c r="AI210">
        <v>-1.695244644</v>
      </c>
      <c r="AJ210">
        <v>2.2727611080000001</v>
      </c>
      <c r="AK210">
        <v>4.6244231960000004</v>
      </c>
      <c r="AL210">
        <v>-0.53229845600000003</v>
      </c>
      <c r="AM210">
        <v>3.1554164629999999</v>
      </c>
      <c r="AN210">
        <v>2.9626069720000001</v>
      </c>
      <c r="AO210">
        <v>4.0123252999999997</v>
      </c>
      <c r="AP210">
        <v>3.7630549900000001</v>
      </c>
      <c r="AR210">
        <v>1.3385862310000001</v>
      </c>
      <c r="AS210">
        <v>7.7189136569999999</v>
      </c>
      <c r="AT210">
        <v>3.522242141</v>
      </c>
      <c r="AU210">
        <v>-3.8649236720000002</v>
      </c>
      <c r="AV210">
        <v>4.7275315129999997</v>
      </c>
      <c r="AW210">
        <v>1.639478496</v>
      </c>
    </row>
    <row r="211" spans="1:49" x14ac:dyDescent="0.2">
      <c r="A211" t="s">
        <v>275</v>
      </c>
      <c r="B211" s="74">
        <v>36434</v>
      </c>
      <c r="C211">
        <v>-5.1249172659999997</v>
      </c>
      <c r="D211">
        <v>3.7729870299999999</v>
      </c>
      <c r="E211">
        <v>4.0621437690000004</v>
      </c>
      <c r="F211">
        <v>4.1475853459999996</v>
      </c>
      <c r="G211">
        <v>-0.44560337</v>
      </c>
      <c r="H211">
        <v>5.6907144110000001</v>
      </c>
      <c r="I211">
        <v>1.17968998</v>
      </c>
      <c r="J211">
        <v>-0.90690603400000003</v>
      </c>
      <c r="K211">
        <v>7.6</v>
      </c>
      <c r="L211">
        <v>1.470524326</v>
      </c>
      <c r="M211">
        <v>1.868955232</v>
      </c>
      <c r="N211">
        <v>2.3813169689999998</v>
      </c>
      <c r="O211">
        <v>2.8385514590000001</v>
      </c>
      <c r="P211">
        <v>4.6928302039999998</v>
      </c>
      <c r="Q211">
        <v>-0.69614591800000003</v>
      </c>
      <c r="R211">
        <v>2.8608986120000002</v>
      </c>
      <c r="T211">
        <v>3.6449176670000001</v>
      </c>
      <c r="U211">
        <v>3.134061049</v>
      </c>
      <c r="V211">
        <v>3.3140433379999998</v>
      </c>
      <c r="X211">
        <v>3.4671734590000001</v>
      </c>
      <c r="Y211">
        <v>2.8964432969999998</v>
      </c>
      <c r="Z211">
        <v>3.036755227</v>
      </c>
      <c r="AA211">
        <v>6.92997</v>
      </c>
      <c r="AB211">
        <v>8.5014459369999997</v>
      </c>
      <c r="AC211">
        <v>1.3633706830000001</v>
      </c>
      <c r="AD211">
        <v>4.3043476890000001</v>
      </c>
      <c r="AE211">
        <v>1.371027357</v>
      </c>
      <c r="AF211">
        <v>0.32596617900000002</v>
      </c>
      <c r="AG211">
        <v>13.301165229</v>
      </c>
      <c r="AH211">
        <v>8.6475909410000007</v>
      </c>
      <c r="AI211">
        <v>2.7892088930000001</v>
      </c>
      <c r="AJ211">
        <v>2.739925312</v>
      </c>
      <c r="AK211">
        <v>5.1676466049999998</v>
      </c>
      <c r="AL211">
        <v>3.3655285780000002</v>
      </c>
      <c r="AM211">
        <v>5.9463025639999998</v>
      </c>
      <c r="AN211">
        <v>3.4311195639999998</v>
      </c>
      <c r="AO211">
        <v>5.4242924889999999</v>
      </c>
      <c r="AP211">
        <v>3.6315866510000001</v>
      </c>
      <c r="AR211">
        <v>1.5355669139999999</v>
      </c>
      <c r="AS211">
        <v>4.0213747389999996</v>
      </c>
      <c r="AT211">
        <v>3.7748237910000002</v>
      </c>
      <c r="AU211">
        <v>-4.1374980250000002</v>
      </c>
      <c r="AV211">
        <v>4.8002052370000001</v>
      </c>
      <c r="AW211">
        <v>2.9748264569999998</v>
      </c>
    </row>
    <row r="212" spans="1:49" x14ac:dyDescent="0.2">
      <c r="A212" t="s">
        <v>276</v>
      </c>
      <c r="B212" s="74">
        <v>36526</v>
      </c>
      <c r="C212">
        <v>-1.0144211869999999</v>
      </c>
      <c r="D212">
        <v>3.9808814350000001</v>
      </c>
      <c r="E212">
        <v>3.9620838200000001</v>
      </c>
      <c r="F212">
        <v>5.145646191</v>
      </c>
      <c r="G212">
        <v>2.1386332800000001</v>
      </c>
      <c r="H212">
        <v>5.7387065660000003</v>
      </c>
      <c r="I212">
        <v>3.7894478839999999</v>
      </c>
      <c r="J212">
        <v>5.1052534270000001</v>
      </c>
      <c r="K212">
        <v>6.7</v>
      </c>
      <c r="L212">
        <v>2.5454116089999999</v>
      </c>
      <c r="M212">
        <v>3.1214648820000002</v>
      </c>
      <c r="N212">
        <v>3.4814985630000002</v>
      </c>
      <c r="O212">
        <v>3.9098738470000001</v>
      </c>
      <c r="P212">
        <v>4.7294823199999998</v>
      </c>
      <c r="Q212">
        <v>3.7650039849999999</v>
      </c>
      <c r="R212">
        <v>3.9333239839999998</v>
      </c>
      <c r="T212">
        <v>3.6104361489999999</v>
      </c>
      <c r="U212">
        <v>3.928594243</v>
      </c>
      <c r="V212">
        <v>3.6085301940000001</v>
      </c>
      <c r="X212">
        <v>4.3146159119999998</v>
      </c>
      <c r="Y212">
        <v>3.7243394639999998</v>
      </c>
      <c r="Z212">
        <v>4.1543221929999996</v>
      </c>
      <c r="AA212">
        <v>7.2888799999999998</v>
      </c>
      <c r="AB212">
        <v>13.738275138000001</v>
      </c>
      <c r="AC212">
        <v>2.4290549010000002</v>
      </c>
      <c r="AD212">
        <v>5.3839490440000004</v>
      </c>
      <c r="AE212">
        <v>3.4206773109999999</v>
      </c>
      <c r="AF212">
        <v>-0.44153482599999999</v>
      </c>
      <c r="AG212">
        <v>13.732506182</v>
      </c>
      <c r="AH212">
        <v>7.5412695039999997</v>
      </c>
      <c r="AI212">
        <v>9.0141779870000001</v>
      </c>
      <c r="AJ212">
        <v>3.5450771049999998</v>
      </c>
      <c r="AK212">
        <v>5.6801320799999999</v>
      </c>
      <c r="AL212">
        <v>4.6086900020000003</v>
      </c>
      <c r="AM212">
        <v>6.1678262100000003</v>
      </c>
      <c r="AN212">
        <v>3.9376007739999999</v>
      </c>
      <c r="AO212">
        <v>7.2566166580000004</v>
      </c>
      <c r="AP212">
        <v>3.4476035110000001</v>
      </c>
      <c r="AR212">
        <v>-5.9967933880000004</v>
      </c>
      <c r="AS212">
        <v>5.0551853639999997</v>
      </c>
      <c r="AT212">
        <v>4.4833440690000002</v>
      </c>
      <c r="AU212">
        <v>-1.0176265069999999</v>
      </c>
      <c r="AV212">
        <v>4.82762665</v>
      </c>
      <c r="AW212">
        <v>4.007388325</v>
      </c>
    </row>
    <row r="213" spans="1:49" x14ac:dyDescent="0.2">
      <c r="A213" t="s">
        <v>277</v>
      </c>
      <c r="B213" s="74">
        <v>36617</v>
      </c>
      <c r="C213">
        <v>-0.106447324</v>
      </c>
      <c r="D213">
        <v>3.6263063039999999</v>
      </c>
      <c r="E213">
        <v>4.2273298009999998</v>
      </c>
      <c r="F213">
        <v>4.7982425710000003</v>
      </c>
      <c r="G213">
        <v>3.0318627779999998</v>
      </c>
      <c r="H213">
        <v>5.516373336</v>
      </c>
      <c r="I213">
        <v>4.3039965139999996</v>
      </c>
      <c r="J213">
        <v>6.0779062550000003</v>
      </c>
      <c r="K213">
        <v>8.6999999999999993</v>
      </c>
      <c r="L213">
        <v>3.883609758</v>
      </c>
      <c r="M213">
        <v>3.4027264559999999</v>
      </c>
      <c r="N213">
        <v>3.5523246369999999</v>
      </c>
      <c r="O213">
        <v>4.0490257129999998</v>
      </c>
      <c r="P213">
        <v>5.353171143</v>
      </c>
      <c r="Q213">
        <v>8.5286262960000006</v>
      </c>
      <c r="R213">
        <v>4.0730887969999996</v>
      </c>
      <c r="T213">
        <v>4.969214053</v>
      </c>
      <c r="U213">
        <v>3.9068508120000001</v>
      </c>
      <c r="V213">
        <v>3.9273286569999999</v>
      </c>
      <c r="X213">
        <v>4.7742354389999999</v>
      </c>
      <c r="Y213">
        <v>3.3304217739999999</v>
      </c>
      <c r="Z213">
        <v>4.9486597290000001</v>
      </c>
      <c r="AA213">
        <v>7.7907500000000001</v>
      </c>
      <c r="AB213">
        <v>8.6938182170000005</v>
      </c>
      <c r="AC213">
        <v>2.673583335</v>
      </c>
      <c r="AD213">
        <v>8.5483331679999992</v>
      </c>
      <c r="AE213">
        <v>3.8555428570000001</v>
      </c>
      <c r="AF213">
        <v>2.6646461509999999</v>
      </c>
      <c r="AG213">
        <v>12.474605041</v>
      </c>
      <c r="AH213">
        <v>10.085298909</v>
      </c>
      <c r="AI213">
        <v>6.2453137090000004</v>
      </c>
      <c r="AJ213">
        <v>4.4365511389999996</v>
      </c>
      <c r="AK213">
        <v>4.5948738799999997</v>
      </c>
      <c r="AL213">
        <v>5.392929627</v>
      </c>
      <c r="AM213">
        <v>6.4490781019999996</v>
      </c>
      <c r="AN213">
        <v>4.291053024</v>
      </c>
      <c r="AO213">
        <v>6.264877834</v>
      </c>
      <c r="AP213">
        <v>4.3626133400000002</v>
      </c>
      <c r="AR213">
        <v>-1.7173904209999999</v>
      </c>
      <c r="AS213">
        <v>4.4438271829999998</v>
      </c>
      <c r="AT213">
        <v>4.0491966149999996</v>
      </c>
      <c r="AU213">
        <v>2.2652062910000001</v>
      </c>
      <c r="AV213">
        <v>4.2259558589999999</v>
      </c>
      <c r="AW213">
        <v>4.2214284720000004</v>
      </c>
    </row>
    <row r="214" spans="1:49" x14ac:dyDescent="0.2">
      <c r="A214" t="s">
        <v>278</v>
      </c>
      <c r="B214" s="74">
        <v>36708</v>
      </c>
      <c r="C214">
        <v>-0.59039067000000001</v>
      </c>
      <c r="D214">
        <v>4.2654566889999996</v>
      </c>
      <c r="E214">
        <v>3.7079441540000002</v>
      </c>
      <c r="F214">
        <v>4.1276962460000002</v>
      </c>
      <c r="G214">
        <v>3.93913592</v>
      </c>
      <c r="H214">
        <v>5.8847515399999999</v>
      </c>
      <c r="I214">
        <v>4.1717413849999998</v>
      </c>
      <c r="J214">
        <v>6.0238032390000003</v>
      </c>
      <c r="K214">
        <v>9.1</v>
      </c>
      <c r="L214">
        <v>4.3940548159999997</v>
      </c>
      <c r="M214">
        <v>4.2395937039999998</v>
      </c>
      <c r="N214">
        <v>4.1931464649999999</v>
      </c>
      <c r="O214">
        <v>4.5245684280000003</v>
      </c>
      <c r="P214">
        <v>5.4217742400000004</v>
      </c>
      <c r="Q214">
        <v>10.278855806999999</v>
      </c>
      <c r="R214">
        <v>4.5647020869999997</v>
      </c>
      <c r="T214">
        <v>5.2191665670000003</v>
      </c>
      <c r="U214">
        <v>4.6811337479999997</v>
      </c>
      <c r="V214">
        <v>4.6421849809999998</v>
      </c>
      <c r="X214">
        <v>5.0359433080000002</v>
      </c>
      <c r="Y214">
        <v>3.3189444950000002</v>
      </c>
      <c r="Z214">
        <v>5.0084266639999999</v>
      </c>
      <c r="AA214">
        <v>5.2191700000000001</v>
      </c>
      <c r="AB214">
        <v>10.290277151</v>
      </c>
      <c r="AC214">
        <v>6.119431981</v>
      </c>
      <c r="AD214">
        <v>7.504381661</v>
      </c>
      <c r="AE214">
        <v>4.3421812209999997</v>
      </c>
      <c r="AF214">
        <v>2.7612812739999999</v>
      </c>
      <c r="AG214">
        <v>9.1874736769999998</v>
      </c>
      <c r="AH214">
        <v>6.3481697109999997</v>
      </c>
      <c r="AI214">
        <v>7.6393497469999998</v>
      </c>
      <c r="AJ214">
        <v>5.386258207</v>
      </c>
      <c r="AK214">
        <v>4.5989091970000002</v>
      </c>
      <c r="AL214">
        <v>3.8235571629999998</v>
      </c>
      <c r="AM214">
        <v>5.6251391670000004</v>
      </c>
      <c r="AN214">
        <v>4.857006846</v>
      </c>
      <c r="AO214">
        <v>5.1051354389999997</v>
      </c>
      <c r="AP214">
        <v>3.2718818559999998</v>
      </c>
      <c r="AR214">
        <v>0.96981716500000004</v>
      </c>
      <c r="AS214">
        <v>1.5796257659999999</v>
      </c>
      <c r="AT214">
        <v>5.9471169899999996</v>
      </c>
      <c r="AU214">
        <v>6.8490946040000003</v>
      </c>
      <c r="AV214">
        <v>5.2446827689999997</v>
      </c>
      <c r="AW214">
        <v>4.3497465819999999</v>
      </c>
    </row>
    <row r="215" spans="1:49" x14ac:dyDescent="0.2">
      <c r="A215" t="s">
        <v>279</v>
      </c>
      <c r="B215" s="74">
        <v>36800</v>
      </c>
      <c r="C215">
        <v>-0.55752517599999996</v>
      </c>
      <c r="D215">
        <v>3.3290513700000002</v>
      </c>
      <c r="E215">
        <v>2.5692217340000001</v>
      </c>
      <c r="F215">
        <v>3.1129765649999999</v>
      </c>
      <c r="G215">
        <v>5.1307078349999999</v>
      </c>
      <c r="H215">
        <v>5.3137609430000001</v>
      </c>
      <c r="I215">
        <v>4.5089106289999998</v>
      </c>
      <c r="J215">
        <v>5.4489569769999999</v>
      </c>
      <c r="K215">
        <v>8.8000000000000007</v>
      </c>
      <c r="L215">
        <v>4.7873023860000004</v>
      </c>
      <c r="M215">
        <v>3.0364969689999999</v>
      </c>
      <c r="N215">
        <v>3.8391861660000002</v>
      </c>
      <c r="O215">
        <v>3.929389606</v>
      </c>
      <c r="P215">
        <v>5.1613920420000001</v>
      </c>
      <c r="Q215">
        <v>10.499841612999999</v>
      </c>
      <c r="R215">
        <v>3.9753294210000001</v>
      </c>
      <c r="T215">
        <v>6.3000215019999999</v>
      </c>
      <c r="U215">
        <v>4.2545653779999997</v>
      </c>
      <c r="V215">
        <v>3.6686103819999998</v>
      </c>
      <c r="X215">
        <v>3.8267214140000001</v>
      </c>
      <c r="Y215">
        <v>4.848009813</v>
      </c>
      <c r="Z215">
        <v>3.9732919920000001</v>
      </c>
      <c r="AA215">
        <v>5.3047599999999999</v>
      </c>
      <c r="AB215">
        <v>8.3080369120000004</v>
      </c>
      <c r="AC215">
        <v>8.4848611789999993</v>
      </c>
      <c r="AD215">
        <v>10.445719907000001</v>
      </c>
      <c r="AE215">
        <v>4.0650780480000002</v>
      </c>
      <c r="AF215">
        <v>2.2428235810000001</v>
      </c>
      <c r="AG215">
        <v>9.1592371569999997</v>
      </c>
      <c r="AH215">
        <v>5.1765102220000001</v>
      </c>
      <c r="AI215">
        <v>7.1599043939999998</v>
      </c>
      <c r="AJ215">
        <v>5.4319416130000002</v>
      </c>
      <c r="AK215">
        <v>4.0292995060000001</v>
      </c>
      <c r="AL215">
        <v>2.7206355960000002</v>
      </c>
      <c r="AM215">
        <v>3.148774875</v>
      </c>
      <c r="AN215">
        <v>4.1527782750000002</v>
      </c>
      <c r="AO215">
        <v>3.2280845939999998</v>
      </c>
      <c r="AP215">
        <v>3.7673411749999999</v>
      </c>
      <c r="AR215">
        <v>2.2218548340000002</v>
      </c>
      <c r="AS215">
        <v>5.4952223330000001</v>
      </c>
      <c r="AT215">
        <v>5.9642980980000004</v>
      </c>
      <c r="AU215">
        <v>10.300768391</v>
      </c>
      <c r="AV215">
        <v>3.9740844960000001</v>
      </c>
      <c r="AW215">
        <v>4.2449725249999997</v>
      </c>
    </row>
    <row r="216" spans="1:49" x14ac:dyDescent="0.2">
      <c r="A216" t="s">
        <v>280</v>
      </c>
      <c r="B216" s="74">
        <v>36892</v>
      </c>
      <c r="C216">
        <v>-1.8935236049999999</v>
      </c>
      <c r="D216">
        <v>1.2274998619999999</v>
      </c>
      <c r="E216">
        <v>3.5956407170000002</v>
      </c>
      <c r="F216">
        <v>2.9024691360000001</v>
      </c>
      <c r="G216">
        <v>4.9308019129999998</v>
      </c>
      <c r="H216">
        <v>4.0306702640000003</v>
      </c>
      <c r="I216">
        <v>3.3737997239999999</v>
      </c>
      <c r="J216">
        <v>3.9484653110000001</v>
      </c>
      <c r="K216">
        <v>7.5</v>
      </c>
      <c r="L216">
        <v>4.1142394299999996</v>
      </c>
      <c r="M216">
        <v>1.9013399289999999</v>
      </c>
      <c r="N216">
        <v>3.4080580610000002</v>
      </c>
      <c r="O216">
        <v>3.418770147</v>
      </c>
      <c r="P216">
        <v>5.0540509890000003</v>
      </c>
      <c r="Q216">
        <v>10.133565871</v>
      </c>
      <c r="R216">
        <v>3.4459172910000002</v>
      </c>
      <c r="T216">
        <v>6.5215331409999999</v>
      </c>
      <c r="U216">
        <v>3.6308477369999999</v>
      </c>
      <c r="V216">
        <v>3.0213914489999998</v>
      </c>
      <c r="X216">
        <v>2.7822637270000001</v>
      </c>
      <c r="Y216">
        <v>4.6622546160000002</v>
      </c>
      <c r="Z216">
        <v>4.7927879170000001</v>
      </c>
      <c r="AA216">
        <v>3.6380599999999998</v>
      </c>
      <c r="AB216">
        <v>6.9806382769999997</v>
      </c>
      <c r="AC216">
        <v>2.8018028250000002</v>
      </c>
      <c r="AD216">
        <v>8.5329081210000002</v>
      </c>
      <c r="AE216">
        <v>4.1050517549999999</v>
      </c>
      <c r="AF216">
        <v>3.199015948</v>
      </c>
      <c r="AG216">
        <v>5.752766405</v>
      </c>
      <c r="AH216">
        <v>6.228152058</v>
      </c>
      <c r="AI216">
        <v>2.4609435839999998</v>
      </c>
      <c r="AJ216">
        <v>3.5699947779999999</v>
      </c>
      <c r="AK216">
        <v>3.919383045</v>
      </c>
      <c r="AL216">
        <v>1.0231318069999999</v>
      </c>
      <c r="AM216">
        <v>2.1023350359999999</v>
      </c>
      <c r="AN216">
        <v>3.3965211819999999</v>
      </c>
      <c r="AO216">
        <v>4.2187909469999996</v>
      </c>
      <c r="AP216">
        <v>3.8654236829999999</v>
      </c>
      <c r="AR216">
        <v>3.2707915000000001</v>
      </c>
      <c r="AS216">
        <v>4.3860888219999996</v>
      </c>
      <c r="AT216">
        <v>3.7385528240000001</v>
      </c>
      <c r="AU216">
        <v>8.6398569419999998</v>
      </c>
      <c r="AV216">
        <v>2.9016204719999998</v>
      </c>
      <c r="AW216">
        <v>3.9881983710000002</v>
      </c>
    </row>
    <row r="217" spans="1:49" x14ac:dyDescent="0.2">
      <c r="A217" t="s">
        <v>281</v>
      </c>
      <c r="B217" s="74">
        <v>36982</v>
      </c>
      <c r="C217">
        <v>-1.397726021</v>
      </c>
      <c r="D217">
        <v>1.8739581009999999</v>
      </c>
      <c r="E217">
        <v>2.4264995379999998</v>
      </c>
      <c r="F217">
        <v>2.2335000489999999</v>
      </c>
      <c r="G217">
        <v>4.2643308629999996</v>
      </c>
      <c r="H217">
        <v>2.9349821249999999</v>
      </c>
      <c r="I217">
        <v>2.5549546269999999</v>
      </c>
      <c r="J217">
        <v>3.6930304669999998</v>
      </c>
      <c r="K217">
        <v>9.5</v>
      </c>
      <c r="L217">
        <v>3.9705325299999998</v>
      </c>
      <c r="M217">
        <v>2.4963678759999999</v>
      </c>
      <c r="N217">
        <v>1.297581844</v>
      </c>
      <c r="O217">
        <v>3.1898235939999999</v>
      </c>
      <c r="P217">
        <v>4.4975796209999999</v>
      </c>
      <c r="Q217">
        <v>7.6345766130000001</v>
      </c>
      <c r="R217">
        <v>3.1589892530000001</v>
      </c>
      <c r="T217">
        <v>3.9426770640000002</v>
      </c>
      <c r="U217">
        <v>3.078526546</v>
      </c>
      <c r="V217">
        <v>2.4461131260000002</v>
      </c>
      <c r="X217">
        <v>2.4724409839999999</v>
      </c>
      <c r="Y217">
        <v>5.5570850160000003</v>
      </c>
      <c r="Z217">
        <v>4.6655883850000004</v>
      </c>
      <c r="AA217">
        <v>2.0556999999999999</v>
      </c>
      <c r="AB217">
        <v>7.6287414550000001</v>
      </c>
      <c r="AC217">
        <v>3.3932980000000001</v>
      </c>
      <c r="AD217">
        <v>4.9488004700000001</v>
      </c>
      <c r="AE217">
        <v>3.5726112799999998</v>
      </c>
      <c r="AF217">
        <v>2.2281285729999998</v>
      </c>
      <c r="AG217">
        <v>5.0579225250000004</v>
      </c>
      <c r="AH217">
        <v>2.6482949480000002</v>
      </c>
      <c r="AI217">
        <v>3.9110879879999998</v>
      </c>
      <c r="AJ217">
        <v>1.6855804219999999</v>
      </c>
      <c r="AK217">
        <v>3.3883473799999999</v>
      </c>
      <c r="AL217">
        <v>0.71623913299999997</v>
      </c>
      <c r="AM217">
        <v>0.98863726200000002</v>
      </c>
      <c r="AN217">
        <v>2.6134497419999998</v>
      </c>
      <c r="AO217">
        <v>3.165375472</v>
      </c>
      <c r="AP217">
        <v>1.2865530599999999</v>
      </c>
      <c r="AR217">
        <v>2.908420494</v>
      </c>
      <c r="AS217">
        <v>4.6110813369999999</v>
      </c>
      <c r="AT217">
        <v>3.3679647240000001</v>
      </c>
      <c r="AU217">
        <v>1.4738609680000001</v>
      </c>
      <c r="AV217">
        <v>2.195542847</v>
      </c>
      <c r="AW217">
        <v>3.4184222970000002</v>
      </c>
    </row>
    <row r="218" spans="1:49" x14ac:dyDescent="0.2">
      <c r="A218" t="s">
        <v>282</v>
      </c>
      <c r="B218" s="74">
        <v>37073</v>
      </c>
      <c r="C218">
        <v>-0.61697928899999999</v>
      </c>
      <c r="D218">
        <v>1.7488899179999999</v>
      </c>
      <c r="E218">
        <v>1.5446731460000001</v>
      </c>
      <c r="F218">
        <v>1.521366065</v>
      </c>
      <c r="G218">
        <v>2.2992722849999998</v>
      </c>
      <c r="H218">
        <v>2.0000249349999999</v>
      </c>
      <c r="I218">
        <v>2.5570960349999998</v>
      </c>
      <c r="J218">
        <v>4.4659499660000002</v>
      </c>
      <c r="K218">
        <v>8.6</v>
      </c>
      <c r="L218">
        <v>3.2263072909999999</v>
      </c>
      <c r="M218">
        <v>1.6262679600000001</v>
      </c>
      <c r="N218">
        <v>0.64632245799999999</v>
      </c>
      <c r="O218">
        <v>2.3347435760000002</v>
      </c>
      <c r="P218">
        <v>3.9682211660000002</v>
      </c>
      <c r="Q218">
        <v>5.1354711000000002</v>
      </c>
      <c r="R218">
        <v>2.2509680379999999</v>
      </c>
      <c r="T218">
        <v>3.2710920379999999</v>
      </c>
      <c r="U218">
        <v>2.1486986950000002</v>
      </c>
      <c r="V218">
        <v>1.3650808320000001</v>
      </c>
      <c r="X218">
        <v>2.1783085290000002</v>
      </c>
      <c r="Y218">
        <v>4.3170669449999997</v>
      </c>
      <c r="Z218">
        <v>4.3462954720000004</v>
      </c>
      <c r="AA218">
        <v>4.0395099999999999</v>
      </c>
      <c r="AB218">
        <v>6.0923471579999999</v>
      </c>
      <c r="AC218">
        <v>5.5781414680000001</v>
      </c>
      <c r="AD218">
        <v>1.476870586</v>
      </c>
      <c r="AE218">
        <v>2.3736736519999999</v>
      </c>
      <c r="AF218">
        <v>0.98359628899999996</v>
      </c>
      <c r="AG218">
        <v>5.0230569850000002</v>
      </c>
      <c r="AH218">
        <v>2.7140566019999999</v>
      </c>
      <c r="AI218">
        <v>8.9314373479999993</v>
      </c>
      <c r="AJ218">
        <v>-0.362743863</v>
      </c>
      <c r="AK218">
        <v>2.7634846720000001</v>
      </c>
      <c r="AL218">
        <v>2.010408746</v>
      </c>
      <c r="AM218">
        <v>2.376874226</v>
      </c>
      <c r="AN218">
        <v>1.476385287</v>
      </c>
      <c r="AO218">
        <v>1.475608547</v>
      </c>
      <c r="AP218">
        <v>2.8097831050000002</v>
      </c>
      <c r="AR218">
        <v>2.9723721049999998</v>
      </c>
      <c r="AS218">
        <v>3.406099776</v>
      </c>
      <c r="AT218">
        <v>0.88786572200000002</v>
      </c>
      <c r="AU218">
        <v>-7.0600679099999999</v>
      </c>
      <c r="AV218">
        <v>0.99193295699999995</v>
      </c>
      <c r="AW218">
        <v>2.9877310829999999</v>
      </c>
    </row>
    <row r="219" spans="1:49" x14ac:dyDescent="0.2">
      <c r="A219" t="s">
        <v>283</v>
      </c>
      <c r="B219" s="74">
        <v>37165</v>
      </c>
      <c r="C219">
        <v>-4.9917471659999997</v>
      </c>
      <c r="D219">
        <v>2.707871237</v>
      </c>
      <c r="E219">
        <v>1.015196993</v>
      </c>
      <c r="F219">
        <v>0.86014731499999997</v>
      </c>
      <c r="G219">
        <v>0.57738593699999996</v>
      </c>
      <c r="H219">
        <v>0.90588392600000001</v>
      </c>
      <c r="I219">
        <v>1.565165497</v>
      </c>
      <c r="J219">
        <v>2.6236346130000001</v>
      </c>
      <c r="K219">
        <v>8</v>
      </c>
      <c r="L219">
        <v>2.3431123739999999</v>
      </c>
      <c r="M219">
        <v>1.461672775</v>
      </c>
      <c r="N219">
        <v>1.270204581</v>
      </c>
      <c r="O219">
        <v>1.8630731359999999</v>
      </c>
      <c r="P219">
        <v>3.8158713720000002</v>
      </c>
      <c r="Q219">
        <v>5.9987887300000002</v>
      </c>
      <c r="R219">
        <v>1.848980617</v>
      </c>
      <c r="T219">
        <v>2.3216613480000001</v>
      </c>
      <c r="U219">
        <v>1.7196536549999999</v>
      </c>
      <c r="V219">
        <v>0.77991582699999995</v>
      </c>
      <c r="X219">
        <v>2.1275605209999999</v>
      </c>
      <c r="Y219">
        <v>4.0643412909999999</v>
      </c>
      <c r="Z219">
        <v>4.3628838129999998</v>
      </c>
      <c r="AA219">
        <v>3.94624</v>
      </c>
      <c r="AB219">
        <v>3.3069395539999999</v>
      </c>
      <c r="AC219">
        <v>1.7807681999999998E-2</v>
      </c>
      <c r="AD219">
        <v>-2.5684851659999999</v>
      </c>
      <c r="AE219">
        <v>1.4260360030000001</v>
      </c>
      <c r="AF219">
        <v>-0.14189673799999999</v>
      </c>
      <c r="AG219">
        <v>3.5876551980000002</v>
      </c>
      <c r="AH219">
        <v>2.40733446</v>
      </c>
      <c r="AI219">
        <v>3.4166398789999999</v>
      </c>
      <c r="AJ219">
        <v>-1.152691371</v>
      </c>
      <c r="AK219">
        <v>2.0995866950000002</v>
      </c>
      <c r="AL219">
        <v>2.2735523280000001</v>
      </c>
      <c r="AM219">
        <v>2.7534253770000001</v>
      </c>
      <c r="AN219">
        <v>0.89954394500000001</v>
      </c>
      <c r="AO219">
        <v>1.875556242</v>
      </c>
      <c r="AP219">
        <v>1.4737829280000001</v>
      </c>
      <c r="AR219">
        <v>2.7472380790000002</v>
      </c>
      <c r="AS219">
        <v>2.8329245360000002</v>
      </c>
      <c r="AT219">
        <v>0.470267553</v>
      </c>
      <c r="AU219">
        <v>-7.2775891540000002</v>
      </c>
      <c r="AV219">
        <v>0.48735236700000001</v>
      </c>
      <c r="AW219">
        <v>2.2487530549999999</v>
      </c>
    </row>
    <row r="220" spans="1:49" x14ac:dyDescent="0.2">
      <c r="A220" t="s">
        <v>284</v>
      </c>
      <c r="B220" s="74">
        <v>37257</v>
      </c>
      <c r="C220">
        <v>-10.676443041000001</v>
      </c>
      <c r="D220">
        <v>4.3288685559999998</v>
      </c>
      <c r="E220">
        <v>0.10422250800000001</v>
      </c>
      <c r="F220">
        <v>-0.215954218</v>
      </c>
      <c r="G220">
        <v>-0.89643684899999998</v>
      </c>
      <c r="H220">
        <v>1.346715383</v>
      </c>
      <c r="I220">
        <v>-8.8883599999999993E-2</v>
      </c>
      <c r="J220">
        <v>2.0667400919999999</v>
      </c>
      <c r="K220">
        <v>7.5</v>
      </c>
      <c r="L220">
        <v>2.6132100779999998</v>
      </c>
      <c r="M220">
        <v>1.679252897</v>
      </c>
      <c r="N220">
        <v>9.1785342000000006E-2</v>
      </c>
      <c r="O220">
        <v>1.287220064</v>
      </c>
      <c r="P220">
        <v>3.468421266</v>
      </c>
      <c r="Q220">
        <v>5.1872638120000003</v>
      </c>
      <c r="R220">
        <v>1.288484314</v>
      </c>
      <c r="T220">
        <v>0.96070451700000004</v>
      </c>
      <c r="U220">
        <v>0.82305943100000001</v>
      </c>
      <c r="V220">
        <v>0.25377920599999998</v>
      </c>
      <c r="X220">
        <v>1.8564377569999999</v>
      </c>
      <c r="Y220">
        <v>2.8802126440000002</v>
      </c>
      <c r="Z220">
        <v>3.1598078510000001</v>
      </c>
      <c r="AA220">
        <v>6.2881999999999998</v>
      </c>
      <c r="AB220">
        <v>4.1783401700000002</v>
      </c>
      <c r="AC220">
        <v>7.1206316689999998</v>
      </c>
      <c r="AD220">
        <v>-2.949407404</v>
      </c>
      <c r="AE220">
        <v>-0.27359541500000001</v>
      </c>
      <c r="AF220">
        <v>-1.4401994499999999</v>
      </c>
      <c r="AG220">
        <v>5.7566119650000003</v>
      </c>
      <c r="AH220">
        <v>4.4730133109999999</v>
      </c>
      <c r="AI220">
        <v>8.1172295139999999</v>
      </c>
      <c r="AJ220">
        <v>-0.92598499899999998</v>
      </c>
      <c r="AK220">
        <v>1.1146564859999999</v>
      </c>
      <c r="AL220">
        <v>3.1218322829999998</v>
      </c>
      <c r="AM220">
        <v>4.0735598460000002</v>
      </c>
      <c r="AN220">
        <v>0.47497603500000002</v>
      </c>
      <c r="AO220">
        <v>-0.73376337199999997</v>
      </c>
      <c r="AP220">
        <v>2.2092510619999999</v>
      </c>
      <c r="AR220">
        <v>4.3735780340000003</v>
      </c>
      <c r="AS220">
        <v>3.1443793769999999</v>
      </c>
      <c r="AT220">
        <v>1.604618197</v>
      </c>
      <c r="AU220">
        <v>-10.129126144000001</v>
      </c>
      <c r="AV220">
        <v>0.170642236</v>
      </c>
      <c r="AW220">
        <v>2.1659898750000002</v>
      </c>
    </row>
    <row r="221" spans="1:49" x14ac:dyDescent="0.2">
      <c r="A221" t="s">
        <v>285</v>
      </c>
      <c r="B221" s="74">
        <v>37347</v>
      </c>
      <c r="C221">
        <v>-15.219743824</v>
      </c>
      <c r="D221">
        <v>4.0406630520000002</v>
      </c>
      <c r="E221">
        <v>1.343924632</v>
      </c>
      <c r="F221">
        <v>0.58514592700000001</v>
      </c>
      <c r="G221">
        <v>1.0736338679999999</v>
      </c>
      <c r="H221">
        <v>2.309048819</v>
      </c>
      <c r="I221">
        <v>0.108115826</v>
      </c>
      <c r="J221">
        <v>2.209362343</v>
      </c>
      <c r="K221">
        <v>8.9</v>
      </c>
      <c r="L221">
        <v>1.2111991639999999</v>
      </c>
      <c r="M221">
        <v>-0.84765621899999999</v>
      </c>
      <c r="N221">
        <v>1.156465893</v>
      </c>
      <c r="O221">
        <v>0.40547953199999998</v>
      </c>
      <c r="P221">
        <v>2.8172711939999999</v>
      </c>
      <c r="Q221">
        <v>4.413931979</v>
      </c>
      <c r="R221">
        <v>0.54891864499999998</v>
      </c>
      <c r="T221">
        <v>1.126430168</v>
      </c>
      <c r="U221">
        <v>0.88505409499999999</v>
      </c>
      <c r="V221">
        <v>0.42567591700000001</v>
      </c>
      <c r="X221">
        <v>1.342345197</v>
      </c>
      <c r="Y221">
        <v>2.4525552749999999</v>
      </c>
      <c r="Z221">
        <v>4.815434819</v>
      </c>
      <c r="AA221">
        <v>6.5698699999999999</v>
      </c>
      <c r="AB221">
        <v>4.5678574459999997</v>
      </c>
      <c r="AC221">
        <v>0.439576629</v>
      </c>
      <c r="AD221">
        <v>-1.508982813</v>
      </c>
      <c r="AE221">
        <v>-0.69972418999999997</v>
      </c>
      <c r="AF221">
        <v>-2.0015615059999998</v>
      </c>
      <c r="AG221">
        <v>7.1345765419999996</v>
      </c>
      <c r="AH221">
        <v>3.226006935</v>
      </c>
      <c r="AI221">
        <v>5.6912913180000002</v>
      </c>
      <c r="AJ221">
        <v>-1.6273132340000001</v>
      </c>
      <c r="AK221">
        <v>0.38873254600000001</v>
      </c>
      <c r="AL221">
        <v>0.88159529000000003</v>
      </c>
      <c r="AM221">
        <v>4.636349397</v>
      </c>
      <c r="AN221">
        <v>0.78338141299999997</v>
      </c>
      <c r="AO221">
        <v>0.835759849</v>
      </c>
      <c r="AP221">
        <v>2.7121519489999999</v>
      </c>
      <c r="AR221">
        <v>3.9724681780000002</v>
      </c>
      <c r="AS221">
        <v>3.2184566189999999</v>
      </c>
      <c r="AT221">
        <v>1.1306145839999999</v>
      </c>
      <c r="AU221">
        <v>-1.6959707850000001</v>
      </c>
      <c r="AV221">
        <v>1.3288120480000001</v>
      </c>
      <c r="AW221">
        <v>2.6447575589999999</v>
      </c>
    </row>
    <row r="222" spans="1:49" x14ac:dyDescent="0.2">
      <c r="A222" t="s">
        <v>286</v>
      </c>
      <c r="B222" s="74">
        <v>37438</v>
      </c>
      <c r="C222">
        <v>-14.147871056</v>
      </c>
      <c r="D222">
        <v>4.9670691549999999</v>
      </c>
      <c r="E222">
        <v>1.940832959</v>
      </c>
      <c r="F222">
        <v>1.42783499</v>
      </c>
      <c r="G222">
        <v>1.9518964940000001</v>
      </c>
      <c r="H222">
        <v>2.6354387780000001</v>
      </c>
      <c r="I222">
        <v>-8.6796835000000003E-2</v>
      </c>
      <c r="J222">
        <v>2.0521740610000001</v>
      </c>
      <c r="K222">
        <v>8.8000000000000007</v>
      </c>
      <c r="L222">
        <v>1.48364568</v>
      </c>
      <c r="M222">
        <v>-0.371752743</v>
      </c>
      <c r="N222">
        <v>0.65505192400000001</v>
      </c>
      <c r="O222">
        <v>0.85590221200000005</v>
      </c>
      <c r="P222">
        <v>2.894485768</v>
      </c>
      <c r="Q222">
        <v>7.9312110889999996</v>
      </c>
      <c r="R222">
        <v>1.03092702</v>
      </c>
      <c r="T222">
        <v>2.0048186380000002</v>
      </c>
      <c r="U222">
        <v>1.1874125959999999</v>
      </c>
      <c r="V222">
        <v>0.824038096</v>
      </c>
      <c r="X222">
        <v>1.5037575860000001</v>
      </c>
      <c r="Y222">
        <v>5.0225698220000004</v>
      </c>
      <c r="Z222">
        <v>4.5312813280000004</v>
      </c>
      <c r="AA222">
        <v>5.0481699999999998</v>
      </c>
      <c r="AB222">
        <v>3.8478461340000001</v>
      </c>
      <c r="AC222">
        <v>0.83099911199999998</v>
      </c>
      <c r="AD222">
        <v>-0.63660371199999999</v>
      </c>
      <c r="AE222">
        <v>1.0105050000000001E-2</v>
      </c>
      <c r="AF222">
        <v>-0.46051222200000003</v>
      </c>
      <c r="AG222">
        <v>7.6773988439999998</v>
      </c>
      <c r="AH222">
        <v>6.3657351770000004</v>
      </c>
      <c r="AI222">
        <v>4.9396364359999998</v>
      </c>
      <c r="AJ222">
        <v>-0.181032208</v>
      </c>
      <c r="AK222">
        <v>0.23151022800000001</v>
      </c>
      <c r="AL222">
        <v>3.1610112739999998</v>
      </c>
      <c r="AM222">
        <v>4.5275539880000002</v>
      </c>
      <c r="AN222">
        <v>1.4435463399999999</v>
      </c>
      <c r="AO222">
        <v>2.2108739769999999</v>
      </c>
      <c r="AP222">
        <v>1.2559850130000001</v>
      </c>
      <c r="AR222">
        <v>3.9242572330000001</v>
      </c>
      <c r="AS222">
        <v>2.8322273990000002</v>
      </c>
      <c r="AT222">
        <v>2.6684687899999999</v>
      </c>
      <c r="AU222">
        <v>7.7675409220000002</v>
      </c>
      <c r="AV222">
        <v>1.3228839020000001</v>
      </c>
      <c r="AW222">
        <v>3.4303290679999998</v>
      </c>
    </row>
    <row r="223" spans="1:49" x14ac:dyDescent="0.2">
      <c r="A223" t="s">
        <v>287</v>
      </c>
      <c r="B223" s="74">
        <v>37530</v>
      </c>
      <c r="C223">
        <v>-9.897878081</v>
      </c>
      <c r="D223">
        <v>4.0423582790000001</v>
      </c>
      <c r="E223">
        <v>2.1378866109999999</v>
      </c>
      <c r="F223">
        <v>2.1656617100000002</v>
      </c>
      <c r="G223">
        <v>3.8808132949999998</v>
      </c>
      <c r="H223">
        <v>3.5927041059999998</v>
      </c>
      <c r="I223">
        <v>-8.9265153999999999E-2</v>
      </c>
      <c r="J223">
        <v>3.406971333</v>
      </c>
      <c r="K223">
        <v>9.6</v>
      </c>
      <c r="L223">
        <v>1.690923749</v>
      </c>
      <c r="M223">
        <v>0.30267800099999997</v>
      </c>
      <c r="N223">
        <v>9.8620025E-2</v>
      </c>
      <c r="O223">
        <v>1.137503497</v>
      </c>
      <c r="P223">
        <v>2.573236589</v>
      </c>
      <c r="Q223">
        <v>7.867073832</v>
      </c>
      <c r="R223">
        <v>1.288713826</v>
      </c>
      <c r="T223">
        <v>1.126803875</v>
      </c>
      <c r="U223">
        <v>1.1611765089999999</v>
      </c>
      <c r="V223">
        <v>1.6049746819999999</v>
      </c>
      <c r="X223">
        <v>1.7723001030000001</v>
      </c>
      <c r="Y223">
        <v>3.943039937</v>
      </c>
      <c r="Z223">
        <v>4.5452413089999997</v>
      </c>
      <c r="AA223">
        <v>4.3806500000000002</v>
      </c>
      <c r="AB223">
        <v>6.4257892590000001</v>
      </c>
      <c r="AC223">
        <v>2.4690396159999999</v>
      </c>
      <c r="AD223">
        <v>0.45788913399999998</v>
      </c>
      <c r="AE223">
        <v>0.53338512400000004</v>
      </c>
      <c r="AF223">
        <v>0.95226466600000004</v>
      </c>
      <c r="AG223">
        <v>8.3909467919999994</v>
      </c>
      <c r="AH223">
        <v>3.2276442259999998</v>
      </c>
      <c r="AI223">
        <v>8.52268632</v>
      </c>
      <c r="AJ223">
        <v>0.37514904100000002</v>
      </c>
      <c r="AK223">
        <v>0.212975631</v>
      </c>
      <c r="AL223">
        <v>0.39411656</v>
      </c>
      <c r="AM223">
        <v>4.9531253990000002</v>
      </c>
      <c r="AN223">
        <v>2.04087139</v>
      </c>
      <c r="AO223">
        <v>2.6669742099999998</v>
      </c>
      <c r="AP223">
        <v>0.64939600500000005</v>
      </c>
      <c r="AR223">
        <v>5.8405666270000003</v>
      </c>
      <c r="AS223">
        <v>3.4253971289999998</v>
      </c>
      <c r="AT223">
        <v>2.8857378539999998</v>
      </c>
      <c r="AU223">
        <v>7.8896032150000002</v>
      </c>
      <c r="AV223">
        <v>2.1406699900000001</v>
      </c>
      <c r="AW223">
        <v>4.3237458149999997</v>
      </c>
    </row>
    <row r="224" spans="1:49" x14ac:dyDescent="0.2">
      <c r="A224" t="s">
        <v>288</v>
      </c>
      <c r="B224" s="74">
        <v>37622</v>
      </c>
      <c r="C224">
        <v>-3.4831756490000001</v>
      </c>
      <c r="D224">
        <v>3.6381935159999998</v>
      </c>
      <c r="E224">
        <v>1.4236027410000001</v>
      </c>
      <c r="F224">
        <v>2.6499621260000001</v>
      </c>
      <c r="G224">
        <v>5.206332154</v>
      </c>
      <c r="H224">
        <v>3.5307100930000002</v>
      </c>
      <c r="I224">
        <v>-0.18250756200000001</v>
      </c>
      <c r="J224">
        <v>4.2585701150000004</v>
      </c>
      <c r="K224">
        <v>9.1</v>
      </c>
      <c r="L224">
        <v>1.6123357620000001</v>
      </c>
      <c r="M224">
        <v>0.25632850099999999</v>
      </c>
      <c r="N224">
        <v>-3.4579327999999999E-2</v>
      </c>
      <c r="O224">
        <v>1.256144717</v>
      </c>
      <c r="P224">
        <v>2.6423426829999999</v>
      </c>
      <c r="Q224">
        <v>7.0856293040000002</v>
      </c>
      <c r="R224">
        <v>1.373306071</v>
      </c>
      <c r="T224">
        <v>2.5661358179999998</v>
      </c>
      <c r="U224">
        <v>1.4628774739999999</v>
      </c>
      <c r="V224">
        <v>1.7453489550000001</v>
      </c>
      <c r="X224">
        <v>2.4588004219999999</v>
      </c>
      <c r="Y224">
        <v>4.4677284549999996</v>
      </c>
      <c r="Z224">
        <v>5.0455099280000004</v>
      </c>
      <c r="AA224">
        <v>2.11781</v>
      </c>
      <c r="AB224">
        <v>6.0655847899999999</v>
      </c>
      <c r="AC224">
        <v>-1.3936604269999999</v>
      </c>
      <c r="AD224">
        <v>0.66448180400000001</v>
      </c>
      <c r="AE224">
        <v>1.1618885919999999</v>
      </c>
      <c r="AF224">
        <v>1.579574877</v>
      </c>
      <c r="AG224">
        <v>7.6823850499999997</v>
      </c>
      <c r="AH224">
        <v>0.242984006</v>
      </c>
      <c r="AI224">
        <v>9.3004943250000007</v>
      </c>
      <c r="AJ224">
        <v>1.255066445</v>
      </c>
      <c r="AK224">
        <v>4.0300272999999998E-2</v>
      </c>
      <c r="AL224">
        <v>0.65304353800000003</v>
      </c>
      <c r="AM224">
        <v>4.7951067260000002</v>
      </c>
      <c r="AN224">
        <v>2.2111937620000002</v>
      </c>
      <c r="AO224">
        <v>2.4607973369999998</v>
      </c>
      <c r="AP224">
        <v>-1.4802233300000001</v>
      </c>
      <c r="AR224">
        <v>4.2951869690000004</v>
      </c>
      <c r="AS224">
        <v>4.14830773</v>
      </c>
      <c r="AT224">
        <v>2.2091451329999998</v>
      </c>
      <c r="AU224">
        <v>12.077725729999999</v>
      </c>
      <c r="AV224">
        <v>1.9912861850000001</v>
      </c>
      <c r="AW224">
        <v>4.388621949</v>
      </c>
    </row>
    <row r="225" spans="1:49" x14ac:dyDescent="0.2">
      <c r="A225" t="s">
        <v>289</v>
      </c>
      <c r="B225" s="74">
        <v>37712</v>
      </c>
      <c r="C225">
        <v>5.274229353</v>
      </c>
      <c r="D225">
        <v>3.056786969</v>
      </c>
      <c r="E225">
        <v>1.0738282370000001</v>
      </c>
      <c r="F225">
        <v>1.5068068569999999</v>
      </c>
      <c r="G225">
        <v>2.268209208</v>
      </c>
      <c r="H225">
        <v>2.5810371669999999</v>
      </c>
      <c r="I225">
        <v>-0.68058460600000004</v>
      </c>
      <c r="J225">
        <v>4.8619890149999998</v>
      </c>
      <c r="K225">
        <v>11.1</v>
      </c>
      <c r="L225">
        <v>2.887060918</v>
      </c>
      <c r="M225">
        <v>-0.71727730300000003</v>
      </c>
      <c r="N225">
        <v>0.53488712900000002</v>
      </c>
      <c r="O225">
        <v>0.808029726</v>
      </c>
      <c r="P225">
        <v>3.1594619389999998</v>
      </c>
      <c r="Q225">
        <v>8.7837469810000002</v>
      </c>
      <c r="R225">
        <v>1.009621871</v>
      </c>
      <c r="T225">
        <v>1.1795343140000001</v>
      </c>
      <c r="U225">
        <v>0.99239437600000002</v>
      </c>
      <c r="V225">
        <v>1.384454232</v>
      </c>
      <c r="X225">
        <v>2.7508175590000001</v>
      </c>
      <c r="Y225">
        <v>5.7784367750000003</v>
      </c>
      <c r="Z225">
        <v>3.4730130269999999</v>
      </c>
      <c r="AA225">
        <v>3.5805899999999999</v>
      </c>
      <c r="AB225">
        <v>3.7669510979999998</v>
      </c>
      <c r="AC225">
        <v>6.3169921950000001</v>
      </c>
      <c r="AD225">
        <v>1.516190964</v>
      </c>
      <c r="AE225">
        <v>0.63622931800000004</v>
      </c>
      <c r="AF225">
        <v>1.4715851799999999</v>
      </c>
      <c r="AG225">
        <v>4.3182279120000002</v>
      </c>
      <c r="AH225">
        <v>-0.30210705700000001</v>
      </c>
      <c r="AI225">
        <v>10.02966363</v>
      </c>
      <c r="AJ225">
        <v>2.1913198710000001</v>
      </c>
      <c r="AK225">
        <v>0.67193139499999999</v>
      </c>
      <c r="AL225">
        <v>1.7226585800000001</v>
      </c>
      <c r="AM225">
        <v>4.4433910479999996</v>
      </c>
      <c r="AN225">
        <v>1.8543506169999999</v>
      </c>
      <c r="AO225">
        <v>2.6019097009999999</v>
      </c>
      <c r="AP225">
        <v>-1.5517664680000001</v>
      </c>
      <c r="AR225">
        <v>5.8060706360000003</v>
      </c>
      <c r="AS225">
        <v>2.726905012</v>
      </c>
      <c r="AT225">
        <v>3.4954902099999998</v>
      </c>
      <c r="AU225">
        <v>8.0882987750000002</v>
      </c>
      <c r="AV225">
        <v>1.6761889400000001</v>
      </c>
      <c r="AW225">
        <v>3.9226323839999999</v>
      </c>
    </row>
    <row r="226" spans="1:49" x14ac:dyDescent="0.2">
      <c r="A226" t="s">
        <v>290</v>
      </c>
      <c r="B226" s="74">
        <v>37803</v>
      </c>
      <c r="C226">
        <v>8.1469202010000004</v>
      </c>
      <c r="D226">
        <v>1.7497210270000001</v>
      </c>
      <c r="E226">
        <v>0.74784346800000001</v>
      </c>
      <c r="F226">
        <v>0.86047940999999994</v>
      </c>
      <c r="G226">
        <v>1.0667270600000001</v>
      </c>
      <c r="H226">
        <v>1.8296107960000001</v>
      </c>
      <c r="I226">
        <v>-1.132558833</v>
      </c>
      <c r="J226">
        <v>5.1170549340000004</v>
      </c>
      <c r="K226">
        <v>9.1</v>
      </c>
      <c r="L226">
        <v>3.4505458400000002</v>
      </c>
      <c r="M226">
        <v>-1.040675899</v>
      </c>
      <c r="N226">
        <v>-0.39022355600000003</v>
      </c>
      <c r="O226">
        <v>0.36413958299999999</v>
      </c>
      <c r="P226">
        <v>2.8585656089999998</v>
      </c>
      <c r="Q226">
        <v>7.5421194490000003</v>
      </c>
      <c r="R226">
        <v>0.56575904499999996</v>
      </c>
      <c r="T226">
        <v>1.629539742</v>
      </c>
      <c r="U226">
        <v>0.35445221999999998</v>
      </c>
      <c r="V226">
        <v>1.373685644</v>
      </c>
      <c r="X226">
        <v>3.0885729689999999</v>
      </c>
      <c r="Y226">
        <v>5.2951285600000002</v>
      </c>
      <c r="Z226">
        <v>4.0122767320000001</v>
      </c>
      <c r="AA226">
        <v>5.5461299999999998</v>
      </c>
      <c r="AB226">
        <v>3.9423566750000001</v>
      </c>
      <c r="AC226">
        <v>-0.31568254800000001</v>
      </c>
      <c r="AD226">
        <v>0.76193853</v>
      </c>
      <c r="AE226">
        <v>0.13973305499999999</v>
      </c>
      <c r="AF226">
        <v>1.347835704</v>
      </c>
      <c r="AG226">
        <v>2.3035458499999999</v>
      </c>
      <c r="AH226">
        <v>0.434553878</v>
      </c>
      <c r="AI226">
        <v>8.5154772140000006</v>
      </c>
      <c r="AJ226">
        <v>1.4872391119999999</v>
      </c>
      <c r="AK226">
        <v>-2.3899152E-2</v>
      </c>
      <c r="AL226">
        <v>-0.822423342</v>
      </c>
      <c r="AM226">
        <v>3.5360748580000001</v>
      </c>
      <c r="AN226">
        <v>1.5807196050000001</v>
      </c>
      <c r="AO226">
        <v>3.8142824910000002</v>
      </c>
      <c r="AP226">
        <v>-1.9719000099999999</v>
      </c>
      <c r="AR226">
        <v>6.3314961170000004</v>
      </c>
      <c r="AS226">
        <v>3.0478576770000001</v>
      </c>
      <c r="AT226">
        <v>1.3689905579999999</v>
      </c>
      <c r="AU226">
        <v>3.9642978769999999</v>
      </c>
      <c r="AV226">
        <v>1.956993642</v>
      </c>
      <c r="AW226">
        <v>3.1216897989999999</v>
      </c>
    </row>
    <row r="227" spans="1:49" x14ac:dyDescent="0.2">
      <c r="A227" t="s">
        <v>291</v>
      </c>
      <c r="B227" s="74">
        <v>37895</v>
      </c>
      <c r="C227">
        <v>10.707165721999999</v>
      </c>
      <c r="D227">
        <v>3.2031557930000001</v>
      </c>
      <c r="E227">
        <v>0.76860815699999996</v>
      </c>
      <c r="F227">
        <v>0.733625686</v>
      </c>
      <c r="G227">
        <v>0.65510924800000003</v>
      </c>
      <c r="H227">
        <v>1.3331146899999999</v>
      </c>
      <c r="I227">
        <v>-6.3136743999999995E-2</v>
      </c>
      <c r="J227">
        <v>4.6698054369999999</v>
      </c>
      <c r="K227">
        <v>10</v>
      </c>
      <c r="L227">
        <v>3.9011962050000002</v>
      </c>
      <c r="M227">
        <v>-0.74571463299999996</v>
      </c>
      <c r="N227">
        <v>-0.38683434</v>
      </c>
      <c r="O227">
        <v>0.51659691500000005</v>
      </c>
      <c r="P227">
        <v>2.90247711</v>
      </c>
      <c r="Q227">
        <v>6.4658697319999998</v>
      </c>
      <c r="R227">
        <v>0.74016907799999998</v>
      </c>
      <c r="T227">
        <v>3.0864465679999999</v>
      </c>
      <c r="U227">
        <v>0.78571348299999999</v>
      </c>
      <c r="V227">
        <v>2.0208749250000002</v>
      </c>
      <c r="X227">
        <v>3.3543930789999998</v>
      </c>
      <c r="Y227">
        <v>5.3477605940000004</v>
      </c>
      <c r="Z227">
        <v>4.2975997430000001</v>
      </c>
      <c r="AA227">
        <v>7.6850500000000004</v>
      </c>
      <c r="AB227">
        <v>1.840732893</v>
      </c>
      <c r="AC227">
        <v>0.73506209600000005</v>
      </c>
      <c r="AD227">
        <v>1.633567899</v>
      </c>
      <c r="AE227">
        <v>-0.14851776699999999</v>
      </c>
      <c r="AF227">
        <v>1.32832504</v>
      </c>
      <c r="AG227">
        <v>2.2141562349999999</v>
      </c>
      <c r="AH227">
        <v>3.100756718</v>
      </c>
      <c r="AI227">
        <v>9.520160787</v>
      </c>
      <c r="AJ227">
        <v>0.66579303300000003</v>
      </c>
      <c r="AK227">
        <v>-9.0331270000000005E-2</v>
      </c>
      <c r="AL227">
        <v>2.08615488</v>
      </c>
      <c r="AM227">
        <v>4.4930146520000003</v>
      </c>
      <c r="AN227">
        <v>2.1290056979999998</v>
      </c>
      <c r="AO227">
        <v>3.6921896959999998</v>
      </c>
      <c r="AP227">
        <v>-0.65138245100000003</v>
      </c>
      <c r="AR227">
        <v>4.4184854600000003</v>
      </c>
      <c r="AS227">
        <v>3.332222383</v>
      </c>
      <c r="AT227">
        <v>2.195386219</v>
      </c>
      <c r="AU227">
        <v>5.4870934240000002</v>
      </c>
      <c r="AV227">
        <v>3.2399083019999999</v>
      </c>
      <c r="AW227">
        <v>2.52095906</v>
      </c>
    </row>
    <row r="228" spans="1:49" x14ac:dyDescent="0.2">
      <c r="A228" t="s">
        <v>292</v>
      </c>
      <c r="B228" s="74">
        <v>37987</v>
      </c>
      <c r="C228">
        <v>11.646839589000001</v>
      </c>
      <c r="D228">
        <v>4.0448977660000001</v>
      </c>
      <c r="E228">
        <v>1.2666113480000001</v>
      </c>
      <c r="F228">
        <v>1.0565153730000001</v>
      </c>
      <c r="G228">
        <v>0.68345121799999997</v>
      </c>
      <c r="H228">
        <v>1.475555706</v>
      </c>
      <c r="I228">
        <v>1.5416081740000001</v>
      </c>
      <c r="J228">
        <v>3.7302712379999998</v>
      </c>
      <c r="K228">
        <v>10</v>
      </c>
      <c r="L228">
        <v>4.0560623920000003</v>
      </c>
      <c r="M228">
        <v>-0.33994105000000002</v>
      </c>
      <c r="N228">
        <v>1.8049206820000001</v>
      </c>
      <c r="O228">
        <v>1.034920493</v>
      </c>
      <c r="P228">
        <v>3.0088083339999998</v>
      </c>
      <c r="Q228">
        <v>8.4519307710000007</v>
      </c>
      <c r="R228">
        <v>1.2662489910000001</v>
      </c>
      <c r="T228">
        <v>2.113220514</v>
      </c>
      <c r="U228">
        <v>1.23704076</v>
      </c>
      <c r="V228">
        <v>2.76090831</v>
      </c>
      <c r="X228">
        <v>3.292148359</v>
      </c>
      <c r="Y228">
        <v>6.7759668309999999</v>
      </c>
      <c r="Z228">
        <v>4.0824212199999996</v>
      </c>
      <c r="AA228">
        <v>11.133620000000001</v>
      </c>
      <c r="AB228">
        <v>6.6129557400000003</v>
      </c>
      <c r="AC228">
        <v>1.9675002210000001</v>
      </c>
      <c r="AD228">
        <v>2.2751551210000001</v>
      </c>
      <c r="AE228">
        <v>0.30539938500000002</v>
      </c>
      <c r="AF228">
        <v>2.1471058699999999</v>
      </c>
      <c r="AG228">
        <v>3.7733173820000001</v>
      </c>
      <c r="AH228">
        <v>7.3558727079999997</v>
      </c>
      <c r="AI228">
        <v>6.6222620660000002</v>
      </c>
      <c r="AJ228">
        <v>1.53382011</v>
      </c>
      <c r="AK228">
        <v>0.29448898000000001</v>
      </c>
      <c r="AL228">
        <v>0.97862737899999996</v>
      </c>
      <c r="AM228">
        <v>4.4652078880000001</v>
      </c>
      <c r="AN228">
        <v>2.8670754939999998</v>
      </c>
      <c r="AO228">
        <v>3.8846485949999998</v>
      </c>
      <c r="AP228">
        <v>0.47393297699999998</v>
      </c>
      <c r="AR228">
        <v>5.4684424250000001</v>
      </c>
      <c r="AS228">
        <v>2.2499080710000001</v>
      </c>
      <c r="AT228">
        <v>2.6831768540000001</v>
      </c>
      <c r="AU228">
        <v>6.405673062</v>
      </c>
      <c r="AV228">
        <v>4.2950765200000003</v>
      </c>
      <c r="AW228">
        <v>2.261629374</v>
      </c>
    </row>
    <row r="229" spans="1:49" x14ac:dyDescent="0.2">
      <c r="A229" t="s">
        <v>293</v>
      </c>
      <c r="B229" s="74">
        <v>38078</v>
      </c>
      <c r="C229">
        <v>11.130723979000001</v>
      </c>
      <c r="D229">
        <v>4.6502553579999999</v>
      </c>
      <c r="E229">
        <v>1.594919322</v>
      </c>
      <c r="F229">
        <v>2.8420434530000001</v>
      </c>
      <c r="G229">
        <v>2.53742256</v>
      </c>
      <c r="H229">
        <v>1.6440291789999999</v>
      </c>
      <c r="I229">
        <v>2.571333208</v>
      </c>
      <c r="J229">
        <v>4.4310850769999997</v>
      </c>
      <c r="K229">
        <v>10.6</v>
      </c>
      <c r="L229">
        <v>4.0664118670000002</v>
      </c>
      <c r="M229">
        <v>0.97902173599999998</v>
      </c>
      <c r="N229">
        <v>1.7499471470000001</v>
      </c>
      <c r="O229">
        <v>1.858508592</v>
      </c>
      <c r="P229">
        <v>2.673776599</v>
      </c>
      <c r="Q229">
        <v>8.4787216440000002</v>
      </c>
      <c r="R229">
        <v>2.1254928290000001</v>
      </c>
      <c r="T229">
        <v>4.152698172</v>
      </c>
      <c r="U229">
        <v>2.1220414820000002</v>
      </c>
      <c r="V229">
        <v>3.144185668</v>
      </c>
      <c r="X229">
        <v>3.0985889320000002</v>
      </c>
      <c r="Y229">
        <v>6.5109272929999999</v>
      </c>
      <c r="Z229">
        <v>4.8713634700000004</v>
      </c>
      <c r="AA229">
        <v>9.0831300000000006</v>
      </c>
      <c r="AB229">
        <v>6.279501936</v>
      </c>
      <c r="AC229">
        <v>4.2945812930000002</v>
      </c>
      <c r="AD229">
        <v>3.4521294600000001</v>
      </c>
      <c r="AE229">
        <v>0.92751008199999996</v>
      </c>
      <c r="AF229">
        <v>2.8345391019999999</v>
      </c>
      <c r="AG229">
        <v>5.7726765809999998</v>
      </c>
      <c r="AH229">
        <v>6.8029662330000003</v>
      </c>
      <c r="AI229">
        <v>9.5329790019999994</v>
      </c>
      <c r="AJ229">
        <v>2.7200673640000002</v>
      </c>
      <c r="AK229">
        <v>1.184842103</v>
      </c>
      <c r="AL229">
        <v>4.5310308670000001</v>
      </c>
      <c r="AM229">
        <v>5.6637125859999999</v>
      </c>
      <c r="AN229">
        <v>3.4519196380000001</v>
      </c>
      <c r="AO229">
        <v>6.6152304019999999</v>
      </c>
      <c r="AP229">
        <v>1.2747061150000001</v>
      </c>
      <c r="AQ229">
        <v>6.6646506250000002</v>
      </c>
      <c r="AR229">
        <v>4.9731713800000001</v>
      </c>
      <c r="AS229">
        <v>3.2883443899999998</v>
      </c>
      <c r="AT229">
        <v>3.361005295</v>
      </c>
      <c r="AU229">
        <v>9.2450567899999996</v>
      </c>
      <c r="AV229">
        <v>4.3533820859999999</v>
      </c>
      <c r="AW229">
        <v>3.154859005</v>
      </c>
    </row>
    <row r="230" spans="1:49" x14ac:dyDescent="0.2">
      <c r="A230" t="s">
        <v>294</v>
      </c>
      <c r="B230" s="74">
        <v>38169</v>
      </c>
      <c r="C230">
        <v>6.5843890480000002</v>
      </c>
      <c r="D230">
        <v>4.91041493</v>
      </c>
      <c r="E230">
        <v>2.179199423</v>
      </c>
      <c r="F230">
        <v>3.6094313969999998</v>
      </c>
      <c r="G230">
        <v>6.2606928570000004</v>
      </c>
      <c r="H230">
        <v>3.0032687450000002</v>
      </c>
      <c r="I230">
        <v>3.6224619570000001</v>
      </c>
      <c r="J230">
        <v>5.3236469179999997</v>
      </c>
      <c r="K230">
        <v>11.6</v>
      </c>
      <c r="L230">
        <v>4.2545012160000004</v>
      </c>
      <c r="M230">
        <v>1.390380548</v>
      </c>
      <c r="N230">
        <v>3.3166103059999998</v>
      </c>
      <c r="O230">
        <v>2.4059894150000001</v>
      </c>
      <c r="P230">
        <v>3.1397115289999999</v>
      </c>
      <c r="Q230">
        <v>5.3029088590000004</v>
      </c>
      <c r="R230">
        <v>2.653615855</v>
      </c>
      <c r="T230">
        <v>3.558635394</v>
      </c>
      <c r="U230">
        <v>2.9435970500000002</v>
      </c>
      <c r="V230">
        <v>3.1586871749999998</v>
      </c>
      <c r="X230">
        <v>2.7640853179999998</v>
      </c>
      <c r="Y230">
        <v>4.637807316</v>
      </c>
      <c r="Z230">
        <v>5.0325083179999996</v>
      </c>
      <c r="AA230">
        <v>8.9182000000000006</v>
      </c>
      <c r="AB230">
        <v>7.872303788</v>
      </c>
      <c r="AC230">
        <v>6.4288804129999999</v>
      </c>
      <c r="AD230">
        <v>4.4157697230000004</v>
      </c>
      <c r="AE230">
        <v>1.4625919380000001</v>
      </c>
      <c r="AF230">
        <v>2.147239763</v>
      </c>
      <c r="AG230">
        <v>6.7447940510000004</v>
      </c>
      <c r="AH230">
        <v>4.3103939499999999</v>
      </c>
      <c r="AI230">
        <v>8.3642433399999998</v>
      </c>
      <c r="AJ230">
        <v>4.0659540319999996</v>
      </c>
      <c r="AK230">
        <v>2.0195915609999999</v>
      </c>
      <c r="AL230">
        <v>5.2474233090000002</v>
      </c>
      <c r="AM230">
        <v>6.1123531370000004</v>
      </c>
      <c r="AN230">
        <v>3.6288002129999999</v>
      </c>
      <c r="AO230">
        <v>5.2708411609999999</v>
      </c>
      <c r="AP230">
        <v>2.7674509939999998</v>
      </c>
      <c r="AQ230">
        <v>7.5209468179999996</v>
      </c>
      <c r="AR230">
        <v>4.1032562429999997</v>
      </c>
      <c r="AS230">
        <v>4.4081954740000002</v>
      </c>
      <c r="AT230">
        <v>4.3740729470000002</v>
      </c>
      <c r="AU230">
        <v>11.413895422</v>
      </c>
      <c r="AV230">
        <v>4.2348116490000001</v>
      </c>
      <c r="AW230">
        <v>4.088062152</v>
      </c>
    </row>
    <row r="231" spans="1:49" x14ac:dyDescent="0.2">
      <c r="A231" t="s">
        <v>295</v>
      </c>
      <c r="B231" s="74">
        <v>38261</v>
      </c>
      <c r="C231">
        <v>9.2887163269999995</v>
      </c>
      <c r="D231">
        <v>3.9144000270000001</v>
      </c>
      <c r="E231">
        <v>3.1075725009999999</v>
      </c>
      <c r="F231">
        <v>4.0872538839999999</v>
      </c>
      <c r="G231">
        <v>6.5915178790000004</v>
      </c>
      <c r="H231">
        <v>3.8311862329999999</v>
      </c>
      <c r="I231">
        <v>2.4895125010000001</v>
      </c>
      <c r="J231">
        <v>7.3733689020000002</v>
      </c>
      <c r="K231">
        <v>9.8000000000000007</v>
      </c>
      <c r="L231">
        <v>4.6427242609999997</v>
      </c>
      <c r="M231">
        <v>0.40928729800000002</v>
      </c>
      <c r="N231">
        <v>3.2055743539999999</v>
      </c>
      <c r="O231">
        <v>2.108823578</v>
      </c>
      <c r="P231">
        <v>3.4280170320000001</v>
      </c>
      <c r="Q231">
        <v>6.6352668130000003</v>
      </c>
      <c r="R231">
        <v>2.3403475579999999</v>
      </c>
      <c r="T231">
        <v>3.4449337350000002</v>
      </c>
      <c r="U231">
        <v>2.5421792019999998</v>
      </c>
      <c r="V231">
        <v>2.7087906469999998</v>
      </c>
      <c r="X231">
        <v>2.0040189860000002</v>
      </c>
      <c r="Y231">
        <v>5.3731311120000003</v>
      </c>
      <c r="Z231">
        <v>5.0472181620000001</v>
      </c>
      <c r="AA231">
        <v>8.6693599999999993</v>
      </c>
      <c r="AB231">
        <v>6.8335000890000002</v>
      </c>
      <c r="AC231">
        <v>11.354199433</v>
      </c>
      <c r="AD231">
        <v>4.7457907969999997</v>
      </c>
      <c r="AE231">
        <v>1.4932380999999999</v>
      </c>
      <c r="AF231">
        <v>2.469553581</v>
      </c>
      <c r="AG231">
        <v>5.1456188139999997</v>
      </c>
      <c r="AH231">
        <v>5.6299416620000002</v>
      </c>
      <c r="AI231">
        <v>6.610801887</v>
      </c>
      <c r="AJ231">
        <v>3.8834393820000002</v>
      </c>
      <c r="AK231">
        <v>2.0814376179999998</v>
      </c>
      <c r="AL231">
        <v>2.5906483630000001</v>
      </c>
      <c r="AM231">
        <v>4.2206279699999998</v>
      </c>
      <c r="AN231">
        <v>3.1712389000000001</v>
      </c>
      <c r="AO231">
        <v>3.587097864</v>
      </c>
      <c r="AP231">
        <v>1.903675089</v>
      </c>
      <c r="AQ231">
        <v>7.3373553889999998</v>
      </c>
      <c r="AR231">
        <v>6.0855663519999998</v>
      </c>
      <c r="AS231">
        <v>3.9273722169999998</v>
      </c>
      <c r="AT231">
        <v>3.723120583</v>
      </c>
      <c r="AU231">
        <v>9.5469283340000004</v>
      </c>
      <c r="AV231">
        <v>3.4908340689999999</v>
      </c>
      <c r="AW231">
        <v>5.219011064</v>
      </c>
    </row>
    <row r="232" spans="1:49" x14ac:dyDescent="0.2">
      <c r="A232" t="s">
        <v>296</v>
      </c>
      <c r="B232" s="74">
        <v>38353</v>
      </c>
      <c r="C232">
        <v>8.7085478100000007</v>
      </c>
      <c r="D232">
        <v>3.0052061550000002</v>
      </c>
      <c r="E232">
        <v>3.286054</v>
      </c>
      <c r="F232">
        <v>3.736801233</v>
      </c>
      <c r="G232">
        <v>6.3071513729999999</v>
      </c>
      <c r="H232">
        <v>3.860541692</v>
      </c>
      <c r="I232">
        <v>1.5492924269999999</v>
      </c>
      <c r="J232">
        <v>8.5263564130000002</v>
      </c>
      <c r="K232">
        <v>8.8000000000000007</v>
      </c>
      <c r="L232">
        <v>5.7383848589999999</v>
      </c>
      <c r="M232">
        <v>3.5001867999999998E-2</v>
      </c>
      <c r="N232">
        <v>2.4131564349999999</v>
      </c>
      <c r="O232">
        <v>1.743134432</v>
      </c>
      <c r="P232">
        <v>3.2428210239999999</v>
      </c>
      <c r="Q232">
        <v>6.0817624090000004</v>
      </c>
      <c r="R232">
        <v>2.0370845549999999</v>
      </c>
      <c r="T232">
        <v>4.8098763350000002</v>
      </c>
      <c r="U232">
        <v>2.6094948179999999</v>
      </c>
      <c r="V232">
        <v>2.3360067340000001</v>
      </c>
      <c r="X232">
        <v>1.537253269</v>
      </c>
      <c r="Y232">
        <v>2.7748216029999999</v>
      </c>
      <c r="Z232">
        <v>4.3722362830000003</v>
      </c>
      <c r="AA232">
        <v>7.2525399999999998</v>
      </c>
      <c r="AB232">
        <v>4.0471910219999998</v>
      </c>
      <c r="AC232">
        <v>9.1836690109999992</v>
      </c>
      <c r="AD232">
        <v>5.6795527310000002</v>
      </c>
      <c r="AE232">
        <v>0.92926591199999997</v>
      </c>
      <c r="AF232">
        <v>1.170782371</v>
      </c>
      <c r="AG232">
        <v>3.2181314620000001</v>
      </c>
      <c r="AH232">
        <v>0.70147814100000005</v>
      </c>
      <c r="AI232">
        <v>7.7079327219999998</v>
      </c>
      <c r="AJ232">
        <v>4.1155531400000003</v>
      </c>
      <c r="AK232">
        <v>1.7591751200000001</v>
      </c>
      <c r="AL232">
        <v>3.5653992739999998</v>
      </c>
      <c r="AM232">
        <v>3.2396762620000001</v>
      </c>
      <c r="AN232">
        <v>2.7906731640000002</v>
      </c>
      <c r="AO232">
        <v>4.3929276719999999</v>
      </c>
      <c r="AP232">
        <v>1.219915938</v>
      </c>
      <c r="AQ232">
        <v>6.5934981119999998</v>
      </c>
      <c r="AR232">
        <v>5.9321094519999997</v>
      </c>
      <c r="AS232">
        <v>3.6763314930000002</v>
      </c>
      <c r="AT232">
        <v>3.9052659969999999</v>
      </c>
      <c r="AU232">
        <v>8.057711694</v>
      </c>
      <c r="AV232">
        <v>3.3557659160000002</v>
      </c>
      <c r="AW232">
        <v>5.7326717079999998</v>
      </c>
    </row>
    <row r="233" spans="1:49" x14ac:dyDescent="0.2">
      <c r="A233" t="s">
        <v>297</v>
      </c>
      <c r="B233" s="74">
        <v>38443</v>
      </c>
      <c r="C233">
        <v>8.3906423239999999</v>
      </c>
      <c r="D233">
        <v>2.984060355</v>
      </c>
      <c r="E233">
        <v>2.0935760069999998</v>
      </c>
      <c r="F233">
        <v>2.7429484980000001</v>
      </c>
      <c r="G233">
        <v>5.7187402289999998</v>
      </c>
      <c r="H233">
        <v>3.4746737969999999</v>
      </c>
      <c r="I233">
        <v>1.8176768510000001</v>
      </c>
      <c r="J233">
        <v>6.4079034229999996</v>
      </c>
      <c r="K233">
        <v>11.1</v>
      </c>
      <c r="L233">
        <v>6.4209813660000004</v>
      </c>
      <c r="M233">
        <v>0.21317998899999999</v>
      </c>
      <c r="N233">
        <v>1.552318238</v>
      </c>
      <c r="O233">
        <v>1.4641390409999999</v>
      </c>
      <c r="P233">
        <v>3.6257023190000002</v>
      </c>
      <c r="Q233">
        <v>5.4982476509999998</v>
      </c>
      <c r="R233">
        <v>1.650082899</v>
      </c>
      <c r="T233">
        <v>4.5125116810000003</v>
      </c>
      <c r="U233">
        <v>1.85200364</v>
      </c>
      <c r="V233">
        <v>2.5026822100000001</v>
      </c>
      <c r="X233">
        <v>1.8461351260000001</v>
      </c>
      <c r="Y233">
        <v>0.33570945699999999</v>
      </c>
      <c r="Z233">
        <v>3.8262029289999999</v>
      </c>
      <c r="AA233">
        <v>8.7341800000000003</v>
      </c>
      <c r="AB233">
        <v>6.1860258869999996</v>
      </c>
      <c r="AC233">
        <v>2.1188081589999999</v>
      </c>
      <c r="AD233">
        <v>4.1153290269999996</v>
      </c>
      <c r="AE233">
        <v>0.40500156599999998</v>
      </c>
      <c r="AF233">
        <v>0.94971481199999996</v>
      </c>
      <c r="AG233">
        <v>2.806402673</v>
      </c>
      <c r="AH233">
        <v>0.51341394299999998</v>
      </c>
      <c r="AI233">
        <v>6.9121621449999999</v>
      </c>
      <c r="AJ233">
        <v>2.8331882240000001</v>
      </c>
      <c r="AK233">
        <v>1.171867896</v>
      </c>
      <c r="AL233">
        <v>1.6524118109999999</v>
      </c>
      <c r="AM233">
        <v>2.6924989830000001</v>
      </c>
      <c r="AN233">
        <v>2.7701400999999999</v>
      </c>
      <c r="AO233">
        <v>2.4818879439999999</v>
      </c>
      <c r="AP233">
        <v>1.0856134639999999</v>
      </c>
      <c r="AQ233">
        <v>6.4568699169999997</v>
      </c>
      <c r="AR233">
        <v>5.8712389680000001</v>
      </c>
      <c r="AS233">
        <v>3.5891380829999999</v>
      </c>
      <c r="AT233">
        <v>2.5083827429999999</v>
      </c>
      <c r="AU233">
        <v>10.009156426000001</v>
      </c>
      <c r="AV233">
        <v>3.9086174410000001</v>
      </c>
      <c r="AW233">
        <v>5.2148270559999998</v>
      </c>
    </row>
    <row r="234" spans="1:49" x14ac:dyDescent="0.2">
      <c r="A234" t="s">
        <v>298</v>
      </c>
      <c r="B234" s="74">
        <v>38534</v>
      </c>
      <c r="C234">
        <v>11.931674446000001</v>
      </c>
      <c r="D234">
        <v>2.7567956659999999</v>
      </c>
      <c r="E234">
        <v>2.5983011249999999</v>
      </c>
      <c r="F234">
        <v>2.3741121110000001</v>
      </c>
      <c r="G234">
        <v>4.0889286809999996</v>
      </c>
      <c r="H234">
        <v>3.0019295459999999</v>
      </c>
      <c r="I234">
        <v>2.0930957860000001</v>
      </c>
      <c r="J234">
        <v>6.1347354310000002</v>
      </c>
      <c r="K234">
        <v>11.1</v>
      </c>
      <c r="L234">
        <v>6.7287112520000001</v>
      </c>
      <c r="M234">
        <v>0.23534381600000001</v>
      </c>
      <c r="N234">
        <v>2.938909518</v>
      </c>
      <c r="O234">
        <v>1.443198298</v>
      </c>
      <c r="P234">
        <v>3.5288976289999998</v>
      </c>
      <c r="Q234">
        <v>10.426397799</v>
      </c>
      <c r="R234">
        <v>1.6604776080000001</v>
      </c>
      <c r="T234">
        <v>2.3821779319999998</v>
      </c>
      <c r="U234">
        <v>1.540589011</v>
      </c>
      <c r="V234">
        <v>2.5008369539999999</v>
      </c>
      <c r="X234">
        <v>2.2690186940000001</v>
      </c>
      <c r="Y234">
        <v>0.59302548799999999</v>
      </c>
      <c r="Z234">
        <v>4.5857915519999999</v>
      </c>
      <c r="AA234">
        <v>9.5718700000000005</v>
      </c>
      <c r="AB234">
        <v>6.4319615749999999</v>
      </c>
      <c r="AC234">
        <v>10.428712156</v>
      </c>
      <c r="AD234">
        <v>4.5514606000000004</v>
      </c>
      <c r="AE234">
        <v>0.81818929600000001</v>
      </c>
      <c r="AF234">
        <v>1.7214622390000001</v>
      </c>
      <c r="AG234">
        <v>3.9527455599999999</v>
      </c>
      <c r="AH234">
        <v>1.212892415</v>
      </c>
      <c r="AI234">
        <v>7.9500681889999996</v>
      </c>
      <c r="AJ234">
        <v>1.568866442</v>
      </c>
      <c r="AK234">
        <v>1.4001097259999999</v>
      </c>
      <c r="AL234">
        <v>1.9755384570000001</v>
      </c>
      <c r="AM234">
        <v>3.4404697870000001</v>
      </c>
      <c r="AN234">
        <v>2.754559413</v>
      </c>
      <c r="AO234">
        <v>1.808912997</v>
      </c>
      <c r="AP234">
        <v>0.88112699299999997</v>
      </c>
      <c r="AQ234">
        <v>6.0339876200000004</v>
      </c>
      <c r="AR234">
        <v>7.3717267639999999</v>
      </c>
      <c r="AS234">
        <v>4.1036680460000001</v>
      </c>
      <c r="AT234">
        <v>2.743990733</v>
      </c>
      <c r="AU234">
        <v>7.9599383059999997</v>
      </c>
      <c r="AV234">
        <v>3.6074103659999999</v>
      </c>
      <c r="AW234">
        <v>5.6268811449999996</v>
      </c>
    </row>
    <row r="235" spans="1:49" x14ac:dyDescent="0.2">
      <c r="A235" t="s">
        <v>299</v>
      </c>
      <c r="B235" s="74">
        <v>38626</v>
      </c>
      <c r="C235">
        <v>7.344420296</v>
      </c>
      <c r="D235">
        <v>3.115163227</v>
      </c>
      <c r="E235">
        <v>2.099535988</v>
      </c>
      <c r="F235">
        <v>1.890494825</v>
      </c>
      <c r="G235">
        <v>2.1321047420000001</v>
      </c>
      <c r="H235">
        <v>3.033425786</v>
      </c>
      <c r="I235">
        <v>3.2840807729999999</v>
      </c>
      <c r="J235">
        <v>5.9414792719999996</v>
      </c>
      <c r="K235">
        <v>10.8</v>
      </c>
      <c r="L235">
        <v>6.7723871539999996</v>
      </c>
      <c r="M235">
        <v>1.2955956369999999</v>
      </c>
      <c r="N235">
        <v>2.8112668150000002</v>
      </c>
      <c r="O235">
        <v>1.951895983</v>
      </c>
      <c r="P235">
        <v>3.5557230299999998</v>
      </c>
      <c r="Q235">
        <v>10.570553245999999</v>
      </c>
      <c r="R235">
        <v>2.1667516029999998</v>
      </c>
      <c r="T235">
        <v>2.7497148440000001</v>
      </c>
      <c r="U235">
        <v>1.8097679120000001</v>
      </c>
      <c r="V235">
        <v>2.7149737150000002</v>
      </c>
      <c r="X235">
        <v>2.9006831320000002</v>
      </c>
      <c r="Y235">
        <v>0.64899672399999997</v>
      </c>
      <c r="Z235">
        <v>4.1016231059999999</v>
      </c>
      <c r="AA235">
        <v>8.4951500000000006</v>
      </c>
      <c r="AB235">
        <v>5.53259173</v>
      </c>
      <c r="AC235">
        <v>5.7215936410000001</v>
      </c>
      <c r="AD235">
        <v>4.5577432079999998</v>
      </c>
      <c r="AE235">
        <v>1.5126253199999999</v>
      </c>
      <c r="AF235">
        <v>2.1269409079999999</v>
      </c>
      <c r="AG235">
        <v>5.0913424469999997</v>
      </c>
      <c r="AH235">
        <v>0.89588290599999998</v>
      </c>
      <c r="AI235">
        <v>12.758689558</v>
      </c>
      <c r="AJ235">
        <v>2.6399749790000002</v>
      </c>
      <c r="AK235">
        <v>2.608579642</v>
      </c>
      <c r="AL235">
        <v>4.0226213160000004</v>
      </c>
      <c r="AM235">
        <v>3.6474164130000002</v>
      </c>
      <c r="AN235">
        <v>3.0595070670000002</v>
      </c>
      <c r="AO235">
        <v>4.3017905519999999</v>
      </c>
      <c r="AP235">
        <v>0.36549073900000001</v>
      </c>
      <c r="AQ235">
        <v>6.2926836909999997</v>
      </c>
      <c r="AR235">
        <v>6.6614443689999998</v>
      </c>
      <c r="AS235">
        <v>3.9282013999999998</v>
      </c>
      <c r="AT235">
        <v>3.1542390569999998</v>
      </c>
      <c r="AU235">
        <v>8.2633823839999998</v>
      </c>
      <c r="AV235">
        <v>3.447674589</v>
      </c>
      <c r="AW235">
        <v>5.344718501</v>
      </c>
    </row>
    <row r="236" spans="1:49" x14ac:dyDescent="0.2">
      <c r="A236" t="s">
        <v>300</v>
      </c>
      <c r="B236" s="74">
        <v>38718</v>
      </c>
      <c r="C236">
        <v>7.8832548869999997</v>
      </c>
      <c r="D236">
        <v>3.127289202</v>
      </c>
      <c r="E236">
        <v>2.6665283529999999</v>
      </c>
      <c r="F236">
        <v>2.3072367909999998</v>
      </c>
      <c r="G236">
        <v>2.613291807</v>
      </c>
      <c r="H236">
        <v>3.309946552</v>
      </c>
      <c r="I236">
        <v>4.1161006990000004</v>
      </c>
      <c r="J236">
        <v>5.5037012699999996</v>
      </c>
      <c r="K236">
        <v>12.4</v>
      </c>
      <c r="L236">
        <v>6.7522092020000004</v>
      </c>
      <c r="M236">
        <v>1.8679872070000001</v>
      </c>
      <c r="N236">
        <v>2.0421723510000001</v>
      </c>
      <c r="O236">
        <v>2.2115474750000002</v>
      </c>
      <c r="P236">
        <v>3.8947489979999999</v>
      </c>
      <c r="Q236">
        <v>10.820482295</v>
      </c>
      <c r="R236">
        <v>2.4059235970000001</v>
      </c>
      <c r="T236">
        <v>1.51700612</v>
      </c>
      <c r="U236">
        <v>1.73232491</v>
      </c>
      <c r="V236">
        <v>2.6590127090000002</v>
      </c>
      <c r="X236">
        <v>3.6471928299999998</v>
      </c>
      <c r="Y236">
        <v>1.54047551</v>
      </c>
      <c r="Z236">
        <v>4.8927807659999996</v>
      </c>
      <c r="AA236">
        <v>9.1244899999999998</v>
      </c>
      <c r="AB236">
        <v>5.9375244110000001</v>
      </c>
      <c r="AC236">
        <v>6.2760705550000004</v>
      </c>
      <c r="AD236">
        <v>5.0133455250000001</v>
      </c>
      <c r="AE236">
        <v>1.3440346299999999</v>
      </c>
      <c r="AF236">
        <v>2.5043623039999998</v>
      </c>
      <c r="AG236">
        <v>5.3568202319999996</v>
      </c>
      <c r="AH236">
        <v>7.2834616509999996</v>
      </c>
      <c r="AI236">
        <v>14.366333764</v>
      </c>
      <c r="AJ236">
        <v>2.9889330599999999</v>
      </c>
      <c r="AK236">
        <v>3.0309570699999999</v>
      </c>
      <c r="AL236">
        <v>3.2423479290000001</v>
      </c>
      <c r="AM236">
        <v>2.8685329949999998</v>
      </c>
      <c r="AN236">
        <v>3.1203982369999999</v>
      </c>
      <c r="AO236">
        <v>5.1060357969999997</v>
      </c>
      <c r="AP236">
        <v>0.79709233000000002</v>
      </c>
      <c r="AQ236">
        <v>7.2856948949999998</v>
      </c>
      <c r="AR236">
        <v>6.5850680370000001</v>
      </c>
      <c r="AS236">
        <v>5.333145633</v>
      </c>
      <c r="AT236">
        <v>3.0107183239999999</v>
      </c>
      <c r="AU236">
        <v>10.057769952999999</v>
      </c>
      <c r="AV236">
        <v>2.9826720510000002</v>
      </c>
      <c r="AW236">
        <v>4.9292784239999996</v>
      </c>
    </row>
    <row r="237" spans="1:49" x14ac:dyDescent="0.2">
      <c r="A237" t="s">
        <v>301</v>
      </c>
      <c r="B237" s="74">
        <v>38808</v>
      </c>
      <c r="C237">
        <v>7.58125144</v>
      </c>
      <c r="D237">
        <v>2.452035236</v>
      </c>
      <c r="E237">
        <v>4.0650755009999999</v>
      </c>
      <c r="F237">
        <v>2.3974125279999998</v>
      </c>
      <c r="G237">
        <v>3.5065500940000001</v>
      </c>
      <c r="H237">
        <v>3.7886077760000001</v>
      </c>
      <c r="I237">
        <v>4.5435716619999997</v>
      </c>
      <c r="J237">
        <v>6.3375428500000002</v>
      </c>
      <c r="K237">
        <v>12.5</v>
      </c>
      <c r="L237">
        <v>6.879772021</v>
      </c>
      <c r="M237">
        <v>2.8441545750000001</v>
      </c>
      <c r="N237">
        <v>3.7009154070000001</v>
      </c>
      <c r="O237">
        <v>2.8850835259999998</v>
      </c>
      <c r="P237">
        <v>4.0686440739999998</v>
      </c>
      <c r="Q237">
        <v>11.409671320999999</v>
      </c>
      <c r="R237">
        <v>3.1125417390000001</v>
      </c>
      <c r="T237">
        <v>3.030122397</v>
      </c>
      <c r="U237">
        <v>2.2870949020000002</v>
      </c>
      <c r="V237">
        <v>2.8831582779999998</v>
      </c>
      <c r="X237">
        <v>3.2299744459999999</v>
      </c>
      <c r="Y237">
        <v>5.469142465</v>
      </c>
      <c r="Z237">
        <v>4.6681143350000003</v>
      </c>
      <c r="AA237">
        <v>9.9337700000000009</v>
      </c>
      <c r="AB237">
        <v>6.4386602130000004</v>
      </c>
      <c r="AC237">
        <v>8.7820762909999992</v>
      </c>
      <c r="AD237">
        <v>5.5475474619999998</v>
      </c>
      <c r="AE237">
        <v>1.757538289</v>
      </c>
      <c r="AF237">
        <v>2.1412171309999999</v>
      </c>
      <c r="AG237">
        <v>6.1802505989999998</v>
      </c>
      <c r="AH237">
        <v>8.2705852429999993</v>
      </c>
      <c r="AI237">
        <v>10.535753266</v>
      </c>
      <c r="AJ237">
        <v>4.631837054</v>
      </c>
      <c r="AK237">
        <v>3.3401639699999999</v>
      </c>
      <c r="AL237">
        <v>2.2365428870000001</v>
      </c>
      <c r="AM237">
        <v>3.354980737</v>
      </c>
      <c r="AN237">
        <v>3.395701211</v>
      </c>
      <c r="AO237">
        <v>5.5233706170000003</v>
      </c>
      <c r="AP237">
        <v>0.84548567900000005</v>
      </c>
      <c r="AQ237">
        <v>7.4781518159999996</v>
      </c>
      <c r="AR237">
        <v>7.780879444</v>
      </c>
      <c r="AS237">
        <v>5.1680361389999998</v>
      </c>
      <c r="AT237">
        <v>4.1377528269999999</v>
      </c>
      <c r="AU237">
        <v>6.4125127470000001</v>
      </c>
      <c r="AV237">
        <v>3.2248575719999999</v>
      </c>
      <c r="AW237">
        <v>5.6985315639999996</v>
      </c>
    </row>
    <row r="238" spans="1:49" x14ac:dyDescent="0.2">
      <c r="A238" t="s">
        <v>302</v>
      </c>
      <c r="B238" s="74">
        <v>38899</v>
      </c>
      <c r="C238">
        <v>6.6472500119999998</v>
      </c>
      <c r="D238">
        <v>2.224457111</v>
      </c>
      <c r="E238">
        <v>2.9254197209999999</v>
      </c>
      <c r="F238">
        <v>2.148910077</v>
      </c>
      <c r="G238">
        <v>2.5720184750000001</v>
      </c>
      <c r="H238">
        <v>3.0942387280000001</v>
      </c>
      <c r="I238">
        <v>4.2611810999999999</v>
      </c>
      <c r="J238">
        <v>6.771667034</v>
      </c>
      <c r="K238">
        <v>13.7</v>
      </c>
      <c r="L238">
        <v>7.3190908590000001</v>
      </c>
      <c r="M238">
        <v>4.0579717960000004</v>
      </c>
      <c r="N238">
        <v>4.7316381200000004</v>
      </c>
      <c r="O238">
        <v>3.4002999360000001</v>
      </c>
      <c r="P238">
        <v>4.1582633710000003</v>
      </c>
      <c r="Q238">
        <v>9.410871062</v>
      </c>
      <c r="R238">
        <v>3.7067394899999999</v>
      </c>
      <c r="T238">
        <v>4.5328399629999998</v>
      </c>
      <c r="U238">
        <v>3.060978403</v>
      </c>
      <c r="V238">
        <v>2.7471713289999999</v>
      </c>
      <c r="X238">
        <v>2.5031615540000001</v>
      </c>
      <c r="Y238">
        <v>5.5419910899999998</v>
      </c>
      <c r="Z238">
        <v>4.1425890870000002</v>
      </c>
      <c r="AA238">
        <v>8.0897500000000004</v>
      </c>
      <c r="AB238">
        <v>4.1362339090000004</v>
      </c>
      <c r="AC238">
        <v>6.0395996209999998</v>
      </c>
      <c r="AD238">
        <v>6.6422265979999997</v>
      </c>
      <c r="AE238">
        <v>1.6545105579999999</v>
      </c>
      <c r="AF238">
        <v>1.509158824</v>
      </c>
      <c r="AG238">
        <v>4.9750602859999997</v>
      </c>
      <c r="AH238">
        <v>7.700275134</v>
      </c>
      <c r="AI238">
        <v>13.470196757</v>
      </c>
      <c r="AJ238">
        <v>5.3389749630000001</v>
      </c>
      <c r="AK238">
        <v>4.154503032</v>
      </c>
      <c r="AL238">
        <v>1.8303096350000001</v>
      </c>
      <c r="AM238">
        <v>2.1928018890000001</v>
      </c>
      <c r="AN238">
        <v>3.390050343</v>
      </c>
      <c r="AO238">
        <v>7.7913284489999999</v>
      </c>
      <c r="AP238">
        <v>1.444794216</v>
      </c>
      <c r="AQ238">
        <v>7.9045915779999998</v>
      </c>
      <c r="AR238">
        <v>8.0363060080000004</v>
      </c>
      <c r="AS238">
        <v>5.5607518779999996</v>
      </c>
      <c r="AT238">
        <v>5.1571921840000003</v>
      </c>
      <c r="AU238">
        <v>9.1929992210000009</v>
      </c>
      <c r="AV238">
        <v>2.9772690260000001</v>
      </c>
      <c r="AW238">
        <v>5.3098658160000003</v>
      </c>
    </row>
    <row r="239" spans="1:49" x14ac:dyDescent="0.2">
      <c r="A239" t="s">
        <v>303</v>
      </c>
      <c r="B239" s="74">
        <v>38991</v>
      </c>
      <c r="C239">
        <v>8.8207112849999998</v>
      </c>
      <c r="D239">
        <v>2.593621009</v>
      </c>
      <c r="E239">
        <v>3.6129846140000001</v>
      </c>
      <c r="F239">
        <v>2.6422652389999999</v>
      </c>
      <c r="G239">
        <v>4.9026800599999998</v>
      </c>
      <c r="H239">
        <v>2.1447687110000002</v>
      </c>
      <c r="I239">
        <v>3.8032985570000002</v>
      </c>
      <c r="J239">
        <v>5.6563614419999997</v>
      </c>
      <c r="K239">
        <v>12.2</v>
      </c>
      <c r="L239">
        <v>7.0214257250000003</v>
      </c>
      <c r="M239">
        <v>3.989424214</v>
      </c>
      <c r="N239">
        <v>3.9175672810000002</v>
      </c>
      <c r="O239">
        <v>3.2464066499999999</v>
      </c>
      <c r="P239">
        <v>4.1195848670000004</v>
      </c>
      <c r="Q239">
        <v>9.2990848639999992</v>
      </c>
      <c r="R239">
        <v>3.540287153</v>
      </c>
      <c r="T239">
        <v>4.020140348</v>
      </c>
      <c r="U239">
        <v>2.572763192</v>
      </c>
      <c r="V239">
        <v>2.0908228090000001</v>
      </c>
      <c r="X239">
        <v>1.776273043</v>
      </c>
      <c r="Y239">
        <v>4.5911902570000001</v>
      </c>
      <c r="Z239">
        <v>3.9394044570000002</v>
      </c>
      <c r="AA239">
        <v>10.12762</v>
      </c>
      <c r="AB239">
        <v>6.8064304609999997</v>
      </c>
      <c r="AC239">
        <v>5.7040806719999999</v>
      </c>
      <c r="AD239">
        <v>4.6489870240000002</v>
      </c>
      <c r="AE239">
        <v>1.497299653</v>
      </c>
      <c r="AF239">
        <v>0.28488132900000002</v>
      </c>
      <c r="AG239">
        <v>5.0873974100000003</v>
      </c>
      <c r="AH239">
        <v>6.0920327509999996</v>
      </c>
      <c r="AI239">
        <v>11.721765121000001</v>
      </c>
      <c r="AJ239">
        <v>4.7547520929999996</v>
      </c>
      <c r="AK239">
        <v>3.389040595</v>
      </c>
      <c r="AL239">
        <v>2.028880944</v>
      </c>
      <c r="AM239">
        <v>2.3481973429999998</v>
      </c>
      <c r="AN239">
        <v>2.851915006</v>
      </c>
      <c r="AO239">
        <v>7.4935770169999998</v>
      </c>
      <c r="AP239">
        <v>1.810916905</v>
      </c>
      <c r="AQ239">
        <v>8.4707435689999997</v>
      </c>
      <c r="AR239">
        <v>8.3325238689999992</v>
      </c>
      <c r="AS239">
        <v>6.4588205280000004</v>
      </c>
      <c r="AT239">
        <v>5.1470544340000002</v>
      </c>
      <c r="AU239">
        <v>6.861392983</v>
      </c>
      <c r="AV239">
        <v>2.3282911519999998</v>
      </c>
      <c r="AW239">
        <v>5.3280828930000004</v>
      </c>
    </row>
    <row r="240" spans="1:49" x14ac:dyDescent="0.2">
      <c r="A240" t="s">
        <v>304</v>
      </c>
      <c r="B240" s="74">
        <v>39083</v>
      </c>
      <c r="C240">
        <v>9.0965203149999994</v>
      </c>
      <c r="D240">
        <v>3.126881021</v>
      </c>
      <c r="E240">
        <v>3.5732124810000001</v>
      </c>
      <c r="F240">
        <v>3.017495577</v>
      </c>
      <c r="G240">
        <v>4.8518190690000003</v>
      </c>
      <c r="H240">
        <v>1.547877248</v>
      </c>
      <c r="I240">
        <v>4.024488453</v>
      </c>
      <c r="J240">
        <v>6.6299017490000001</v>
      </c>
      <c r="K240">
        <v>12.5</v>
      </c>
      <c r="L240">
        <v>6.4957671279999998</v>
      </c>
      <c r="M240">
        <v>5.0692339390000001</v>
      </c>
      <c r="N240">
        <v>3.3004877010000002</v>
      </c>
      <c r="O240">
        <v>3.7933319270000001</v>
      </c>
      <c r="P240">
        <v>4.0653242059999997</v>
      </c>
      <c r="Q240">
        <v>9.4825428639999991</v>
      </c>
      <c r="R240">
        <v>3.9093445359999999</v>
      </c>
      <c r="T240">
        <v>4.5363799890000003</v>
      </c>
      <c r="U240">
        <v>2.6397283580000002</v>
      </c>
      <c r="V240">
        <v>2.5266983569999999</v>
      </c>
      <c r="X240">
        <v>1.1645637129999999</v>
      </c>
      <c r="Y240">
        <v>6.7162171089999996</v>
      </c>
      <c r="Z240">
        <v>3.777816488</v>
      </c>
      <c r="AA240">
        <v>9.25047</v>
      </c>
      <c r="AB240">
        <v>3.6909685680000002</v>
      </c>
      <c r="AC240">
        <v>4.9370715440000001</v>
      </c>
      <c r="AD240">
        <v>4.3377595549999999</v>
      </c>
      <c r="AE240">
        <v>2.6557353429999999</v>
      </c>
      <c r="AF240">
        <v>1.4606852539999999</v>
      </c>
      <c r="AG240">
        <v>4.8448866129999999</v>
      </c>
      <c r="AH240">
        <v>2.335149527</v>
      </c>
      <c r="AI240">
        <v>12.482788007</v>
      </c>
      <c r="AJ240">
        <v>3.289659721</v>
      </c>
      <c r="AK240">
        <v>3.5883066910000001</v>
      </c>
      <c r="AL240">
        <v>3.6630271890000001</v>
      </c>
      <c r="AM240">
        <v>3.6697049079999999</v>
      </c>
      <c r="AN240">
        <v>3.0678906260000001</v>
      </c>
      <c r="AO240">
        <v>3.9701894910000002</v>
      </c>
      <c r="AP240">
        <v>2.3995824699999999</v>
      </c>
      <c r="AQ240">
        <v>8.2968721649999999</v>
      </c>
      <c r="AR240">
        <v>9.7711328250000005</v>
      </c>
      <c r="AS240">
        <v>6.8974984179999996</v>
      </c>
      <c r="AT240">
        <v>5.1137037300000001</v>
      </c>
      <c r="AU240">
        <v>5.7772390839999996</v>
      </c>
      <c r="AV240">
        <v>2.6089019840000001</v>
      </c>
      <c r="AW240">
        <v>6.0745619790000003</v>
      </c>
    </row>
    <row r="241" spans="1:49" x14ac:dyDescent="0.2">
      <c r="A241" t="s">
        <v>305</v>
      </c>
      <c r="B241" s="74">
        <v>39173</v>
      </c>
      <c r="C241">
        <v>8.8120920129999991</v>
      </c>
      <c r="D241">
        <v>4.4518351960000002</v>
      </c>
      <c r="E241">
        <v>3.5381596759999998</v>
      </c>
      <c r="F241">
        <v>3.8391820170000002</v>
      </c>
      <c r="G241">
        <v>5.1239659990000002</v>
      </c>
      <c r="H241">
        <v>1.375255855</v>
      </c>
      <c r="I241">
        <v>3.3675182769999998</v>
      </c>
      <c r="J241">
        <v>6.7584968869999997</v>
      </c>
      <c r="K241">
        <v>13.8</v>
      </c>
      <c r="L241">
        <v>6.3612995550000004</v>
      </c>
      <c r="M241">
        <v>4.1341054149999996</v>
      </c>
      <c r="N241">
        <v>2.3564465540000001</v>
      </c>
      <c r="O241">
        <v>3.516378767</v>
      </c>
      <c r="P241">
        <v>3.8284908830000002</v>
      </c>
      <c r="Q241">
        <v>10.572500965</v>
      </c>
      <c r="R241">
        <v>3.6946824039999999</v>
      </c>
      <c r="T241">
        <v>3.9631265309999999</v>
      </c>
      <c r="U241">
        <v>2.589102596</v>
      </c>
      <c r="V241">
        <v>2.0002758740000002</v>
      </c>
      <c r="X241">
        <v>1.8663306070000001</v>
      </c>
      <c r="Y241">
        <v>2.5372983040000001</v>
      </c>
      <c r="Z241">
        <v>1.6637073499999999</v>
      </c>
      <c r="AA241">
        <v>9.5572300000000006</v>
      </c>
      <c r="AB241">
        <v>7.3078611320000002</v>
      </c>
      <c r="AC241">
        <v>6.938366405</v>
      </c>
      <c r="AD241">
        <v>5.1057259540000004</v>
      </c>
      <c r="AE241">
        <v>2.2212567019999998</v>
      </c>
      <c r="AF241">
        <v>1.9802916239999999</v>
      </c>
      <c r="AG241">
        <v>4.8809146759999997</v>
      </c>
      <c r="AH241">
        <v>7.3807618279999998</v>
      </c>
      <c r="AI241">
        <v>15.246256603999999</v>
      </c>
      <c r="AJ241">
        <v>2.2170347110000002</v>
      </c>
      <c r="AK241">
        <v>4.1254371650000001</v>
      </c>
      <c r="AL241">
        <v>3.081328949</v>
      </c>
      <c r="AM241">
        <v>3.2460755290000001</v>
      </c>
      <c r="AN241">
        <v>2.7234883380000001</v>
      </c>
      <c r="AO241">
        <v>7.1318831060000001</v>
      </c>
      <c r="AP241">
        <v>2.6381464760000002</v>
      </c>
      <c r="AQ241">
        <v>8.1726132949999997</v>
      </c>
      <c r="AR241">
        <v>9.4836291369999994</v>
      </c>
      <c r="AS241">
        <v>8.1259631320000008</v>
      </c>
      <c r="AT241">
        <v>4.5150548859999997</v>
      </c>
      <c r="AU241">
        <v>6.486233951</v>
      </c>
      <c r="AV241">
        <v>1.5407153250000001</v>
      </c>
      <c r="AW241">
        <v>5.9354015269999998</v>
      </c>
    </row>
    <row r="242" spans="1:49" x14ac:dyDescent="0.2">
      <c r="A242" t="s">
        <v>306</v>
      </c>
      <c r="B242" s="74">
        <v>39264</v>
      </c>
      <c r="C242">
        <v>9.7687387149999996</v>
      </c>
      <c r="D242">
        <v>4.8877995519999997</v>
      </c>
      <c r="E242">
        <v>4.4267687970000003</v>
      </c>
      <c r="F242">
        <v>3.9445790430000001</v>
      </c>
      <c r="G242">
        <v>6.5419769509999997</v>
      </c>
      <c r="H242">
        <v>2.3046514180000002</v>
      </c>
      <c r="I242">
        <v>4.1171935120000001</v>
      </c>
      <c r="J242">
        <v>5.6508191480000001</v>
      </c>
      <c r="K242">
        <v>15</v>
      </c>
      <c r="L242">
        <v>5.1791864749999998</v>
      </c>
      <c r="M242">
        <v>3.2284179329999998</v>
      </c>
      <c r="N242">
        <v>-1.0530040570000001</v>
      </c>
      <c r="O242">
        <v>3.11463892</v>
      </c>
      <c r="P242">
        <v>3.7532224350000001</v>
      </c>
      <c r="Q242">
        <v>8.7264897609999998</v>
      </c>
      <c r="R242">
        <v>3.1550052069999999</v>
      </c>
      <c r="T242">
        <v>5.5732974219999996</v>
      </c>
      <c r="U242">
        <v>2.2251893159999998</v>
      </c>
      <c r="V242">
        <v>2.1064896110000002</v>
      </c>
      <c r="X242">
        <v>2.2964223709999998</v>
      </c>
      <c r="Y242">
        <v>5.1998824199999998</v>
      </c>
      <c r="Z242">
        <v>0.117369626</v>
      </c>
      <c r="AA242">
        <v>10.72776</v>
      </c>
      <c r="AB242">
        <v>5.9368756170000001</v>
      </c>
      <c r="AC242">
        <v>8.6659143299999997</v>
      </c>
      <c r="AD242">
        <v>4.5573174200000004</v>
      </c>
      <c r="AE242">
        <v>1.778843723</v>
      </c>
      <c r="AF242">
        <v>1.8518632909999999</v>
      </c>
      <c r="AG242">
        <v>5.9217927870000002</v>
      </c>
      <c r="AH242">
        <v>9.4435893699999998</v>
      </c>
      <c r="AI242">
        <v>12.013186084999999</v>
      </c>
      <c r="AJ242">
        <v>2.015134411</v>
      </c>
      <c r="AK242">
        <v>3.1145347409999999</v>
      </c>
      <c r="AL242">
        <v>2.9509363510000002</v>
      </c>
      <c r="AM242">
        <v>3.712656108</v>
      </c>
      <c r="AN242">
        <v>2.715210211</v>
      </c>
      <c r="AO242">
        <v>5.9170685130000003</v>
      </c>
      <c r="AP242">
        <v>2.10749605</v>
      </c>
      <c r="AQ242">
        <v>8.808004554</v>
      </c>
      <c r="AR242">
        <v>9.6340708599999996</v>
      </c>
      <c r="AS242">
        <v>7.1907812870000001</v>
      </c>
      <c r="AT242">
        <v>3.3661688679999999</v>
      </c>
      <c r="AU242">
        <v>3.3699744269999998</v>
      </c>
      <c r="AV242">
        <v>1.938641595</v>
      </c>
      <c r="AW242">
        <v>5.3079738130000003</v>
      </c>
    </row>
    <row r="243" spans="1:49" x14ac:dyDescent="0.2">
      <c r="A243" t="s">
        <v>307</v>
      </c>
      <c r="B243" s="74">
        <v>39356</v>
      </c>
      <c r="C243">
        <v>8.2171107729999999</v>
      </c>
      <c r="D243">
        <v>4.5307706320000003</v>
      </c>
      <c r="E243">
        <v>3.3715045539999999</v>
      </c>
      <c r="F243">
        <v>3.832958079</v>
      </c>
      <c r="G243">
        <v>5.8865815389999998</v>
      </c>
      <c r="H243">
        <v>2.4481004830000002</v>
      </c>
      <c r="I243">
        <v>4.3120816660000001</v>
      </c>
      <c r="J243">
        <v>4.5184173559999996</v>
      </c>
      <c r="K243">
        <v>14.3</v>
      </c>
      <c r="L243">
        <v>5.3808221779999998</v>
      </c>
      <c r="M243">
        <v>2.9601913620000002</v>
      </c>
      <c r="N243">
        <v>0.54708885699999998</v>
      </c>
      <c r="O243">
        <v>2.9880726640000002</v>
      </c>
      <c r="P243">
        <v>3.5862868959999998</v>
      </c>
      <c r="Q243">
        <v>6.5058777609999998</v>
      </c>
      <c r="R243">
        <v>3.0700152190000001</v>
      </c>
      <c r="T243">
        <v>5.5398864200000002</v>
      </c>
      <c r="U243">
        <v>2.6342030360000002</v>
      </c>
      <c r="V243">
        <v>2.316975829</v>
      </c>
      <c r="X243">
        <v>2.9279322560000001</v>
      </c>
      <c r="Y243">
        <v>4.0476039930000001</v>
      </c>
      <c r="Z243">
        <v>8.9252219999999993E-2</v>
      </c>
      <c r="AA243">
        <v>9.1108200000000004</v>
      </c>
      <c r="AB243">
        <v>2.511473257</v>
      </c>
      <c r="AC243">
        <v>7.3943013320000004</v>
      </c>
      <c r="AD243">
        <v>7.2392561049999999</v>
      </c>
      <c r="AE243">
        <v>1.5044980379999999</v>
      </c>
      <c r="AF243">
        <v>1.497500394</v>
      </c>
      <c r="AG243">
        <v>5.4630106239999998</v>
      </c>
      <c r="AH243">
        <v>8.1058289269999992</v>
      </c>
      <c r="AI243">
        <v>10.369579194</v>
      </c>
      <c r="AJ243">
        <v>2.3705447569999998</v>
      </c>
      <c r="AK243">
        <v>3.646875004</v>
      </c>
      <c r="AL243">
        <v>3.2128873009999999</v>
      </c>
      <c r="AM243">
        <v>3.819656589</v>
      </c>
      <c r="AN243">
        <v>2.8741322770000002</v>
      </c>
      <c r="AO243">
        <v>5.9651310029999998</v>
      </c>
      <c r="AP243">
        <v>2.4333121850000001</v>
      </c>
      <c r="AQ243">
        <v>8.7111917759999997</v>
      </c>
      <c r="AR243">
        <v>10.122882293</v>
      </c>
      <c r="AS243">
        <v>7.5519669739999999</v>
      </c>
      <c r="AT243">
        <v>2.962134523</v>
      </c>
      <c r="AU243">
        <v>4.7655240450000003</v>
      </c>
      <c r="AV243">
        <v>2.3985598499999998</v>
      </c>
      <c r="AW243">
        <v>5.090652339</v>
      </c>
    </row>
    <row r="244" spans="1:49" x14ac:dyDescent="0.2">
      <c r="A244" t="s">
        <v>308</v>
      </c>
      <c r="B244" s="74">
        <v>39448</v>
      </c>
      <c r="C244">
        <v>9.2406960859999998</v>
      </c>
      <c r="D244">
        <v>3.619896985</v>
      </c>
      <c r="E244">
        <v>3.3659767810000001</v>
      </c>
      <c r="F244">
        <v>3.0838872460000002</v>
      </c>
      <c r="G244">
        <v>6.2895782349999996</v>
      </c>
      <c r="H244">
        <v>2.1573017800000001</v>
      </c>
      <c r="I244">
        <v>3.9048009420000001</v>
      </c>
      <c r="J244">
        <v>4.2573731029999999</v>
      </c>
      <c r="K244">
        <v>13.9</v>
      </c>
      <c r="L244">
        <v>5.3338570540000001</v>
      </c>
      <c r="M244">
        <v>2.0774087290000001</v>
      </c>
      <c r="N244">
        <v>1.834574414</v>
      </c>
      <c r="O244">
        <v>2.3119040420000001</v>
      </c>
      <c r="P244">
        <v>3.259416399</v>
      </c>
      <c r="Q244">
        <v>3.3035593259999998</v>
      </c>
      <c r="R244">
        <v>2.6088152450000002</v>
      </c>
      <c r="T244">
        <v>6.0999130199999998</v>
      </c>
      <c r="U244">
        <v>2.0777166089999999</v>
      </c>
      <c r="V244">
        <v>1.824810941</v>
      </c>
      <c r="X244">
        <v>3.1575523599999999</v>
      </c>
      <c r="Y244">
        <v>0.96419671900000004</v>
      </c>
      <c r="Z244">
        <v>-0.55407492400000002</v>
      </c>
      <c r="AA244">
        <v>10.897589999999999</v>
      </c>
      <c r="AB244">
        <v>5.3772459870000002</v>
      </c>
      <c r="AC244">
        <v>10.734262383000001</v>
      </c>
      <c r="AD244">
        <v>7.1464300449999998</v>
      </c>
      <c r="AE244">
        <v>-0.15462712000000001</v>
      </c>
      <c r="AF244">
        <v>0.59005815800000005</v>
      </c>
      <c r="AG244">
        <v>6.9046241779999997</v>
      </c>
      <c r="AH244">
        <v>7.3967327310000002</v>
      </c>
      <c r="AI244">
        <v>4.449386176</v>
      </c>
      <c r="AJ244">
        <v>2.5177057650000001</v>
      </c>
      <c r="AK244">
        <v>4.1901931030000004</v>
      </c>
      <c r="AL244">
        <v>2.4607091959999998</v>
      </c>
      <c r="AM244">
        <v>3.080360872</v>
      </c>
      <c r="AN244">
        <v>2.6120363709999999</v>
      </c>
      <c r="AO244">
        <v>9.0226203690000002</v>
      </c>
      <c r="AP244">
        <v>2.8465058129999998</v>
      </c>
      <c r="AQ244">
        <v>10.092326711</v>
      </c>
      <c r="AR244">
        <v>13.922698935</v>
      </c>
      <c r="AS244">
        <v>5.4565894039999998</v>
      </c>
      <c r="AT244">
        <v>3.4163329760000001</v>
      </c>
      <c r="AU244">
        <v>5.9681872509999998</v>
      </c>
      <c r="AV244">
        <v>2.160883208</v>
      </c>
      <c r="AW244">
        <v>5.1261671660000001</v>
      </c>
    </row>
    <row r="245" spans="1:49" x14ac:dyDescent="0.2">
      <c r="A245" t="s">
        <v>309</v>
      </c>
      <c r="B245" s="74">
        <v>39539</v>
      </c>
      <c r="C245">
        <v>7.7321177289999996</v>
      </c>
      <c r="D245">
        <v>3.2774003440000001</v>
      </c>
      <c r="E245">
        <v>3.040426987</v>
      </c>
      <c r="F245">
        <v>2.0822444760000001</v>
      </c>
      <c r="G245">
        <v>5.5235938500000001</v>
      </c>
      <c r="H245">
        <v>1.585825708</v>
      </c>
      <c r="I245">
        <v>4.1915838250000004</v>
      </c>
      <c r="J245">
        <v>5.3731805899999996</v>
      </c>
      <c r="K245">
        <v>11.5</v>
      </c>
      <c r="L245">
        <v>4.0489713470000002</v>
      </c>
      <c r="M245">
        <v>2.6665455900000001</v>
      </c>
      <c r="N245">
        <v>1.4561288299999999</v>
      </c>
      <c r="O245">
        <v>2.2006355869999998</v>
      </c>
      <c r="P245">
        <v>2.543974892</v>
      </c>
      <c r="Q245">
        <v>-2.2316344899999998</v>
      </c>
      <c r="R245">
        <v>2.4285414570000001</v>
      </c>
      <c r="T245">
        <v>3.9604511389999999</v>
      </c>
      <c r="U245">
        <v>1.840540936</v>
      </c>
      <c r="V245">
        <v>1.502458592</v>
      </c>
      <c r="X245">
        <v>2.5897763899999999</v>
      </c>
      <c r="Y245">
        <v>2.385711643</v>
      </c>
      <c r="Z245">
        <v>1.611029719</v>
      </c>
      <c r="AA245">
        <v>8.5376300000000001</v>
      </c>
      <c r="AB245">
        <v>-2.6389466320000001</v>
      </c>
      <c r="AC245">
        <v>5.899254987</v>
      </c>
      <c r="AD245">
        <v>6.0000269409999998</v>
      </c>
      <c r="AE245">
        <v>1.286697905</v>
      </c>
      <c r="AF245">
        <v>0.28776179200000002</v>
      </c>
      <c r="AG245">
        <v>5.5675559789999998</v>
      </c>
      <c r="AH245">
        <v>3.360666487</v>
      </c>
      <c r="AI245">
        <v>4.8098463039999997</v>
      </c>
      <c r="AJ245">
        <v>1.598263465</v>
      </c>
      <c r="AK245">
        <v>3.3474002490000001</v>
      </c>
      <c r="AL245">
        <v>1.097354766</v>
      </c>
      <c r="AM245">
        <v>1.508056031</v>
      </c>
      <c r="AN245">
        <v>2.1117937320000002</v>
      </c>
      <c r="AO245">
        <v>6.2370857749999997</v>
      </c>
      <c r="AP245">
        <v>1.7833610639999999</v>
      </c>
      <c r="AQ245">
        <v>11.000110756</v>
      </c>
      <c r="AR245">
        <v>8.4452977320000002</v>
      </c>
      <c r="AS245">
        <v>5.1501387630000002</v>
      </c>
      <c r="AT245">
        <v>1.6601292459999999</v>
      </c>
      <c r="AU245">
        <v>6.2631362949999998</v>
      </c>
      <c r="AV245">
        <v>1.4468030009999999</v>
      </c>
      <c r="AW245">
        <v>3.881015637</v>
      </c>
    </row>
    <row r="246" spans="1:49" x14ac:dyDescent="0.2">
      <c r="A246" t="s">
        <v>310</v>
      </c>
      <c r="B246" s="74">
        <v>39630</v>
      </c>
      <c r="C246">
        <v>5.9737856169999999</v>
      </c>
      <c r="D246">
        <v>2.9098736180000002</v>
      </c>
      <c r="E246">
        <v>2.8161240269999999</v>
      </c>
      <c r="F246">
        <v>1.682569743</v>
      </c>
      <c r="G246">
        <v>6.0115389459999999</v>
      </c>
      <c r="H246">
        <v>0.97488014300000003</v>
      </c>
      <c r="I246">
        <v>3.810543199</v>
      </c>
      <c r="J246">
        <v>4.4156110149999996</v>
      </c>
      <c r="K246">
        <v>10.9</v>
      </c>
      <c r="L246">
        <v>3.955255518</v>
      </c>
      <c r="M246">
        <v>1.565052917</v>
      </c>
      <c r="N246">
        <v>0.97225072400000001</v>
      </c>
      <c r="O246">
        <v>1.1400868280000001</v>
      </c>
      <c r="P246">
        <v>1.7443479580000001</v>
      </c>
      <c r="Q246">
        <v>-1.622403652</v>
      </c>
      <c r="R246">
        <v>1.445707208</v>
      </c>
      <c r="T246">
        <v>1.3047360459999999</v>
      </c>
      <c r="U246">
        <v>0.60424308999999998</v>
      </c>
      <c r="V246">
        <v>0.97858292300000005</v>
      </c>
      <c r="X246">
        <v>1.432620437</v>
      </c>
      <c r="Y246">
        <v>-1.147594182</v>
      </c>
      <c r="Z246">
        <v>2.3675567979999999</v>
      </c>
      <c r="AA246">
        <v>6.9746899999999998</v>
      </c>
      <c r="AB246">
        <v>-3.1523431940000002</v>
      </c>
      <c r="AC246">
        <v>3.9445558310000002</v>
      </c>
      <c r="AD246">
        <v>4.1777344799999998</v>
      </c>
      <c r="AE246">
        <v>5.290284E-2</v>
      </c>
      <c r="AF246">
        <v>-0.33873519299999999</v>
      </c>
      <c r="AG246">
        <v>4.3152169730000001</v>
      </c>
      <c r="AH246">
        <v>1.1279991E-2</v>
      </c>
      <c r="AI246">
        <v>-1.0254609560000001</v>
      </c>
      <c r="AJ246">
        <v>1.5987889159999999</v>
      </c>
      <c r="AK246">
        <v>3.3278025649999998</v>
      </c>
      <c r="AL246">
        <v>1.1494816240000001</v>
      </c>
      <c r="AM246">
        <v>0.29030543399999997</v>
      </c>
      <c r="AN246">
        <v>1.450300825</v>
      </c>
      <c r="AO246">
        <v>5.2952274849999998</v>
      </c>
      <c r="AP246">
        <v>0.83514815200000003</v>
      </c>
      <c r="AQ246">
        <v>8.9406479999999995</v>
      </c>
      <c r="AR246">
        <v>7.1489255289999996</v>
      </c>
      <c r="AS246">
        <v>5.6250667700000001</v>
      </c>
      <c r="AT246">
        <v>1.05412021</v>
      </c>
      <c r="AU246">
        <v>2.4609971750000001</v>
      </c>
      <c r="AV246">
        <v>1.380132559</v>
      </c>
      <c r="AW246">
        <v>4.2945314320000003</v>
      </c>
    </row>
    <row r="247" spans="1:49" x14ac:dyDescent="0.2">
      <c r="A247" t="s">
        <v>311</v>
      </c>
      <c r="B247" s="74">
        <v>39722</v>
      </c>
      <c r="C247">
        <v>5.3884997480000001</v>
      </c>
      <c r="D247">
        <v>2.4860219899999998</v>
      </c>
      <c r="E247">
        <v>1.828841634</v>
      </c>
      <c r="F247">
        <v>0.31390365999999997</v>
      </c>
      <c r="G247">
        <v>6.6391986620000001</v>
      </c>
      <c r="H247">
        <v>1.377281448</v>
      </c>
      <c r="I247">
        <v>3.4350041299999998</v>
      </c>
      <c r="J247">
        <v>3.2807901899999998</v>
      </c>
      <c r="K247">
        <v>9.5</v>
      </c>
      <c r="L247">
        <v>2.767976993</v>
      </c>
      <c r="M247">
        <v>0.39731239499999998</v>
      </c>
      <c r="N247">
        <v>-0.55189543900000004</v>
      </c>
      <c r="O247">
        <v>0.15183792099999999</v>
      </c>
      <c r="P247">
        <v>0.78495414799999996</v>
      </c>
      <c r="Q247">
        <v>-1.772980631</v>
      </c>
      <c r="R247">
        <v>0.40800094999999997</v>
      </c>
      <c r="T247">
        <v>0.729492064</v>
      </c>
      <c r="U247">
        <v>-5.3345842999999997E-2</v>
      </c>
      <c r="V247">
        <v>-9.9416925000000003E-2</v>
      </c>
      <c r="X247">
        <v>-0.85652527499999997</v>
      </c>
      <c r="Y247">
        <v>-0.624737981</v>
      </c>
      <c r="Z247">
        <v>1.6299297269999999</v>
      </c>
      <c r="AA247">
        <v>6.0034200000000002</v>
      </c>
      <c r="AB247">
        <v>-1.7519494710000001</v>
      </c>
      <c r="AC247">
        <v>-0.97171922899999996</v>
      </c>
      <c r="AD247">
        <v>2.5017748329999998</v>
      </c>
      <c r="AE247">
        <v>-1.4187581680000001</v>
      </c>
      <c r="AF247">
        <v>-1.0497342119999999</v>
      </c>
      <c r="AG247">
        <v>3.9461524219999999</v>
      </c>
      <c r="AH247">
        <v>-7.7694161999999997E-2</v>
      </c>
      <c r="AI247">
        <v>-6.7678133059999999</v>
      </c>
      <c r="AJ247">
        <v>1.282712321</v>
      </c>
      <c r="AK247">
        <v>2.0610554470000002</v>
      </c>
      <c r="AL247">
        <v>-0.31454750399999998</v>
      </c>
      <c r="AM247">
        <v>-0.78939892</v>
      </c>
      <c r="AN247">
        <v>0.412987312</v>
      </c>
      <c r="AO247">
        <v>3.189541943</v>
      </c>
      <c r="AP247">
        <v>0.54480643100000004</v>
      </c>
      <c r="AQ247">
        <v>5.0013092029999999</v>
      </c>
      <c r="AR247">
        <v>6.1556062789999997</v>
      </c>
      <c r="AS247">
        <v>2.9243887040000001</v>
      </c>
      <c r="AT247">
        <v>-0.21136228500000001</v>
      </c>
      <c r="AU247">
        <v>1.2943583E-2</v>
      </c>
      <c r="AV247">
        <v>0.242202378</v>
      </c>
      <c r="AW247">
        <v>3.3327331839999998</v>
      </c>
    </row>
    <row r="248" spans="1:49" x14ac:dyDescent="0.2">
      <c r="A248" t="s">
        <v>312</v>
      </c>
      <c r="B248" s="74">
        <v>39814</v>
      </c>
      <c r="C248">
        <v>-2.5127050049999999</v>
      </c>
      <c r="D248">
        <v>1.595352761</v>
      </c>
      <c r="E248">
        <v>-1.3190197539999999</v>
      </c>
      <c r="F248">
        <v>-2.2583763549999998</v>
      </c>
      <c r="G248">
        <v>1.0259871279999999</v>
      </c>
      <c r="H248">
        <v>8.8076009999999996E-2</v>
      </c>
      <c r="I248">
        <v>-0.59783762500000004</v>
      </c>
      <c r="J248">
        <v>0.56111214899999995</v>
      </c>
      <c r="K248">
        <v>7.1</v>
      </c>
      <c r="L248">
        <v>-0.55907276500000003</v>
      </c>
      <c r="M248">
        <v>-1.8350476979999999</v>
      </c>
      <c r="N248">
        <v>-3.867425881</v>
      </c>
      <c r="O248">
        <v>-2.152770871</v>
      </c>
      <c r="P248">
        <v>-1.475901573</v>
      </c>
      <c r="Q248">
        <v>-12.838646096</v>
      </c>
      <c r="R248">
        <v>-2.0111281550000002</v>
      </c>
      <c r="T248">
        <v>-2.7159965779999999</v>
      </c>
      <c r="U248">
        <v>-1.7392808310000001</v>
      </c>
      <c r="V248">
        <v>-2.6659396499999999</v>
      </c>
      <c r="X248">
        <v>-3.7092296939999998</v>
      </c>
      <c r="Y248">
        <v>-1.52470938</v>
      </c>
      <c r="Z248">
        <v>-2.2400527829999999</v>
      </c>
      <c r="AA248">
        <v>2.6664300000000001</v>
      </c>
      <c r="AB248">
        <v>-9.6405019460000005</v>
      </c>
      <c r="AC248">
        <v>0.20156818700000001</v>
      </c>
      <c r="AD248">
        <v>0.237878849</v>
      </c>
      <c r="AE248">
        <v>-3.7725919609999998</v>
      </c>
      <c r="AF248">
        <v>-3.894246732</v>
      </c>
      <c r="AG248">
        <v>-1.5899777559999999</v>
      </c>
      <c r="AH248">
        <v>-4.5167496009999999</v>
      </c>
      <c r="AI248">
        <v>-7.9690964510000004</v>
      </c>
      <c r="AJ248">
        <v>-0.76040431399999997</v>
      </c>
      <c r="AK248">
        <v>3.4028852999999998E-2</v>
      </c>
      <c r="AL248">
        <v>-1.078735198</v>
      </c>
      <c r="AM248">
        <v>-1.616726433</v>
      </c>
      <c r="AN248">
        <v>-2.303692265</v>
      </c>
      <c r="AO248">
        <v>2.2338390540000002</v>
      </c>
      <c r="AP248">
        <v>-1.8515323450000001</v>
      </c>
      <c r="AQ248">
        <v>-1.557639212</v>
      </c>
      <c r="AR248">
        <v>1.0104377980000001</v>
      </c>
      <c r="AS248">
        <v>-1.1242604220000001</v>
      </c>
      <c r="AT248">
        <v>-4.83791657</v>
      </c>
      <c r="AU248">
        <v>-5.762221898</v>
      </c>
      <c r="AV248">
        <v>-2.5403392600000001</v>
      </c>
      <c r="AW248">
        <v>1.308885463</v>
      </c>
    </row>
    <row r="249" spans="1:49" x14ac:dyDescent="0.2">
      <c r="A249" t="s">
        <v>313</v>
      </c>
      <c r="B249" s="74">
        <v>39904</v>
      </c>
      <c r="C249">
        <v>-6.9743675229999997</v>
      </c>
      <c r="D249">
        <v>1.4670217320000001</v>
      </c>
      <c r="E249">
        <v>-3.8637742369999999</v>
      </c>
      <c r="F249">
        <v>-3.6259190239999999</v>
      </c>
      <c r="G249">
        <v>-1.594778617</v>
      </c>
      <c r="H249">
        <v>-2.2485177049999998</v>
      </c>
      <c r="I249">
        <v>-3.201605464</v>
      </c>
      <c r="J249">
        <v>-1.9932637499999999</v>
      </c>
      <c r="K249">
        <v>6.4</v>
      </c>
      <c r="L249">
        <v>-4.3392810109999997</v>
      </c>
      <c r="M249">
        <v>-7.0286635860000004</v>
      </c>
      <c r="N249">
        <v>-5.1964215720000002</v>
      </c>
      <c r="O249">
        <v>-5.6859886580000003</v>
      </c>
      <c r="P249">
        <v>-4.2496023000000003</v>
      </c>
      <c r="Q249">
        <v>-13.223559358999999</v>
      </c>
      <c r="R249">
        <v>-5.395712091</v>
      </c>
      <c r="T249">
        <v>-8.9056617239999998</v>
      </c>
      <c r="U249">
        <v>-3.8805906569999999</v>
      </c>
      <c r="V249">
        <v>-4.9793404480000003</v>
      </c>
      <c r="X249">
        <v>-6.0336217520000002</v>
      </c>
      <c r="Y249">
        <v>-6.7702908109999997</v>
      </c>
      <c r="Z249">
        <v>-7.091789114</v>
      </c>
      <c r="AA249">
        <v>0.16417000000000001</v>
      </c>
      <c r="AB249">
        <v>-7.2126601209999999</v>
      </c>
      <c r="AC249">
        <v>-6.8256747600000001</v>
      </c>
      <c r="AD249">
        <v>-0.92553547400000002</v>
      </c>
      <c r="AE249">
        <v>-7.2537407890000001</v>
      </c>
      <c r="AF249">
        <v>-8.8409361919999991</v>
      </c>
      <c r="AG249">
        <v>-1.896186505</v>
      </c>
      <c r="AH249">
        <v>-7.3137242179999999</v>
      </c>
      <c r="AI249">
        <v>-13.011341184000001</v>
      </c>
      <c r="AJ249">
        <v>-5.6542207680000001</v>
      </c>
      <c r="AK249">
        <v>-3.8756721729999999</v>
      </c>
      <c r="AL249">
        <v>-0.64733672099999995</v>
      </c>
      <c r="AM249">
        <v>-2.3006259650000001</v>
      </c>
      <c r="AN249">
        <v>-4.7515432080000002</v>
      </c>
      <c r="AO249">
        <v>1.8938585050000001</v>
      </c>
      <c r="AP249">
        <v>-4.3289468649999998</v>
      </c>
      <c r="AQ249">
        <v>-7.4842842210000002</v>
      </c>
      <c r="AR249">
        <v>-6.05457204</v>
      </c>
      <c r="AS249">
        <v>-6.9209452589999998</v>
      </c>
      <c r="AT249">
        <v>-5.4941643219999996</v>
      </c>
      <c r="AU249">
        <v>-12.933908435999999</v>
      </c>
      <c r="AV249">
        <v>-3.2823924440000001</v>
      </c>
      <c r="AW249">
        <v>-0.684149216</v>
      </c>
    </row>
    <row r="250" spans="1:49" x14ac:dyDescent="0.2">
      <c r="A250" t="s">
        <v>314</v>
      </c>
      <c r="B250" s="74">
        <v>39995</v>
      </c>
      <c r="C250">
        <v>-9.5365199920000006</v>
      </c>
      <c r="D250">
        <v>1.9251032619999999</v>
      </c>
      <c r="E250">
        <v>-5.3786330260000002</v>
      </c>
      <c r="F250">
        <v>-3.6410151449999999</v>
      </c>
      <c r="G250">
        <v>-1.8882247700000001</v>
      </c>
      <c r="H250">
        <v>-3.6636606239999998</v>
      </c>
      <c r="I250">
        <v>-3.7626212209999998</v>
      </c>
      <c r="J250">
        <v>-2.6601089130000002</v>
      </c>
      <c r="K250">
        <v>8.1999999999999993</v>
      </c>
      <c r="L250">
        <v>-5.3862922309999997</v>
      </c>
      <c r="M250">
        <v>-6.6526500789999998</v>
      </c>
      <c r="N250">
        <v>-6.1682680090000002</v>
      </c>
      <c r="O250">
        <v>-5.3613710010000002</v>
      </c>
      <c r="P250">
        <v>-4.3644869120000003</v>
      </c>
      <c r="Q250">
        <v>-16.995006751999998</v>
      </c>
      <c r="R250">
        <v>-5.1878330239999997</v>
      </c>
      <c r="T250">
        <v>-8.5694242079999992</v>
      </c>
      <c r="U250">
        <v>-3.365613878</v>
      </c>
      <c r="V250">
        <v>-4.9171402300000002</v>
      </c>
      <c r="X250">
        <v>-5.8545823219999997</v>
      </c>
      <c r="Y250">
        <v>-3.564516207</v>
      </c>
      <c r="Z250">
        <v>-7.6231469919999997</v>
      </c>
      <c r="AA250">
        <v>4.8825200000000004</v>
      </c>
      <c r="AB250">
        <v>-5.6291402780000004</v>
      </c>
      <c r="AC250">
        <v>-10.520509761</v>
      </c>
      <c r="AD250">
        <v>0.33099423</v>
      </c>
      <c r="AE250">
        <v>-6.8309876559999996</v>
      </c>
      <c r="AF250">
        <v>-6.5196861469999998</v>
      </c>
      <c r="AG250">
        <v>-1.106362311</v>
      </c>
      <c r="AH250">
        <v>-5.1190121079999997</v>
      </c>
      <c r="AI250">
        <v>-14.909054604</v>
      </c>
      <c r="AJ250">
        <v>-7.7596904520000001</v>
      </c>
      <c r="AK250">
        <v>-4.3444474729999998</v>
      </c>
      <c r="AL250">
        <v>-1.5703541620000001</v>
      </c>
      <c r="AM250">
        <v>-2.0588714939999999</v>
      </c>
      <c r="AN250">
        <v>-4.5816805010000001</v>
      </c>
      <c r="AO250">
        <v>1.6936803039999999</v>
      </c>
      <c r="AP250">
        <v>-3.7693423250000002</v>
      </c>
      <c r="AQ250">
        <v>-9.3971492049999998</v>
      </c>
      <c r="AR250">
        <v>-5.6834175890000003</v>
      </c>
      <c r="AS250">
        <v>-9.4947790189999992</v>
      </c>
      <c r="AT250">
        <v>-5.3876432550000004</v>
      </c>
      <c r="AU250">
        <v>-6.1135173890000001</v>
      </c>
      <c r="AV250">
        <v>-3.995504779</v>
      </c>
      <c r="AW250">
        <v>-2.2188104769999999</v>
      </c>
    </row>
    <row r="251" spans="1:49" x14ac:dyDescent="0.2">
      <c r="A251" t="s">
        <v>315</v>
      </c>
      <c r="B251" s="74">
        <v>40087</v>
      </c>
      <c r="C251">
        <v>-6.6873476270000003</v>
      </c>
      <c r="D251">
        <v>1.5017221940000001</v>
      </c>
      <c r="E251">
        <v>-4.4015112580000002</v>
      </c>
      <c r="F251">
        <v>-1.849735973</v>
      </c>
      <c r="G251">
        <v>-1.139293959</v>
      </c>
      <c r="H251">
        <v>-4.0173066549999996</v>
      </c>
      <c r="I251">
        <v>-2.8975992960000001</v>
      </c>
      <c r="J251">
        <v>-0.68624026400000004</v>
      </c>
      <c r="K251">
        <v>10.6</v>
      </c>
      <c r="L251">
        <v>-5.1683925650000004</v>
      </c>
      <c r="M251">
        <v>-5.5295601190000001</v>
      </c>
      <c r="N251">
        <v>-5.2906003520000002</v>
      </c>
      <c r="O251">
        <v>-4.487741228</v>
      </c>
      <c r="P251">
        <v>-3.9846582289999999</v>
      </c>
      <c r="Q251">
        <v>-18.666623947000001</v>
      </c>
      <c r="R251">
        <v>-4.3597055769999997</v>
      </c>
      <c r="T251">
        <v>-8.0415882409999995</v>
      </c>
      <c r="U251">
        <v>-3.0163960310000002</v>
      </c>
      <c r="V251">
        <v>-3.9633243450000002</v>
      </c>
      <c r="X251">
        <v>-4.2817537950000002</v>
      </c>
      <c r="Y251">
        <v>-4.1706773479999999</v>
      </c>
      <c r="Z251">
        <v>-7.445869911</v>
      </c>
      <c r="AA251">
        <v>6.63314</v>
      </c>
      <c r="AB251">
        <v>-5.510218171</v>
      </c>
      <c r="AC251">
        <v>-4.0546457580000004</v>
      </c>
      <c r="AD251">
        <v>0.93902072000000003</v>
      </c>
      <c r="AE251">
        <v>-5.0383808239999999</v>
      </c>
      <c r="AF251">
        <v>-5.3831831929999998</v>
      </c>
      <c r="AG251">
        <v>1.028926786</v>
      </c>
      <c r="AH251">
        <v>-2.2847122450000001</v>
      </c>
      <c r="AI251">
        <v>-15.826692120000001</v>
      </c>
      <c r="AJ251">
        <v>-5.019444676</v>
      </c>
      <c r="AK251">
        <v>-3.8436950759999999</v>
      </c>
      <c r="AL251">
        <v>-1.326673352</v>
      </c>
      <c r="AM251">
        <v>-1.2374971880000001</v>
      </c>
      <c r="AN251">
        <v>-3.532522443</v>
      </c>
      <c r="AO251">
        <v>2.6271672119999998</v>
      </c>
      <c r="AP251">
        <v>-2.8401853930000001</v>
      </c>
      <c r="AQ251">
        <v>-7.6486395800000002</v>
      </c>
      <c r="AR251">
        <v>-5.4013476130000004</v>
      </c>
      <c r="AS251">
        <v>-8.7360075720000001</v>
      </c>
      <c r="AT251">
        <v>-4.9721009430000001</v>
      </c>
      <c r="AU251">
        <v>-2.085237668</v>
      </c>
      <c r="AV251">
        <v>-3.137675003</v>
      </c>
      <c r="AW251">
        <v>-2.2256643660000002</v>
      </c>
    </row>
    <row r="252" spans="1:49" x14ac:dyDescent="0.2">
      <c r="A252" t="s">
        <v>316</v>
      </c>
      <c r="B252" s="74">
        <v>40179</v>
      </c>
      <c r="C252">
        <v>-0.253357569</v>
      </c>
      <c r="D252">
        <v>2.7498659879999998</v>
      </c>
      <c r="E252">
        <v>-1.531005518</v>
      </c>
      <c r="F252">
        <v>1.131078891</v>
      </c>
      <c r="G252">
        <v>5.3585535359999996</v>
      </c>
      <c r="H252">
        <v>-1.7588737109999999</v>
      </c>
      <c r="I252">
        <v>0.69999019100000004</v>
      </c>
      <c r="J252">
        <v>1.3492223640000001</v>
      </c>
      <c r="K252">
        <v>11.9</v>
      </c>
      <c r="L252">
        <v>-3.1905430099999998</v>
      </c>
      <c r="M252">
        <v>-3.2932683549999999</v>
      </c>
      <c r="N252">
        <v>-2.9119422089999998</v>
      </c>
      <c r="O252">
        <v>-2.3305888079999999</v>
      </c>
      <c r="P252">
        <v>-2.4309188260000001</v>
      </c>
      <c r="Q252">
        <v>-7.3549502950000001</v>
      </c>
      <c r="R252">
        <v>-2.1451669560000002</v>
      </c>
      <c r="T252">
        <v>-6.7505678900000001</v>
      </c>
      <c r="U252">
        <v>-0.84542500399999998</v>
      </c>
      <c r="V252">
        <v>-0.97784165199999995</v>
      </c>
      <c r="X252">
        <v>-1.7590155160000001</v>
      </c>
      <c r="Y252">
        <v>-2.6883492979999999</v>
      </c>
      <c r="Z252">
        <v>-4.1319740319999996</v>
      </c>
      <c r="AA252">
        <v>8.7676200000000009</v>
      </c>
      <c r="AB252">
        <v>-4.4623812120000004</v>
      </c>
      <c r="AC252">
        <v>-9.0221414329999998</v>
      </c>
      <c r="AD252">
        <v>3.2620382120000002</v>
      </c>
      <c r="AE252">
        <v>-2.0427225569999998</v>
      </c>
      <c r="AF252">
        <v>-1.7876458369999999</v>
      </c>
      <c r="AG252">
        <v>5.2394253290000004</v>
      </c>
      <c r="AH252">
        <v>1.9276117989999999</v>
      </c>
      <c r="AI252">
        <v>-13.443666090000001</v>
      </c>
      <c r="AJ252">
        <v>-1.841742537</v>
      </c>
      <c r="AK252">
        <v>-2.62188036</v>
      </c>
      <c r="AL252">
        <v>-1.5823248270000001</v>
      </c>
      <c r="AM252">
        <v>0.69191326399999997</v>
      </c>
      <c r="AN252">
        <v>-0.667896716</v>
      </c>
      <c r="AO252">
        <v>4.6630352129999997</v>
      </c>
      <c r="AP252">
        <v>-1.521659332</v>
      </c>
      <c r="AQ252">
        <v>-3.5116623069999999</v>
      </c>
      <c r="AR252">
        <v>-4.7106201130000001</v>
      </c>
      <c r="AS252">
        <v>-5.297180247</v>
      </c>
      <c r="AT252">
        <v>-0.97356391399999997</v>
      </c>
      <c r="AU252">
        <v>2.4281146589999998</v>
      </c>
      <c r="AV252">
        <v>8.1657584000000005E-2</v>
      </c>
      <c r="AW252">
        <v>-1.0100383289999999</v>
      </c>
    </row>
    <row r="253" spans="1:49" x14ac:dyDescent="0.2">
      <c r="A253" t="s">
        <v>317</v>
      </c>
      <c r="B253" s="74">
        <v>40269</v>
      </c>
      <c r="C253">
        <v>6.6621318660000002</v>
      </c>
      <c r="D253">
        <v>2.2550283150000001</v>
      </c>
      <c r="E253">
        <v>-0.20090412299999999</v>
      </c>
      <c r="F253">
        <v>2.6541432469999999</v>
      </c>
      <c r="G253">
        <v>9.1306672209999995</v>
      </c>
      <c r="H253">
        <v>1.7249135680000001</v>
      </c>
      <c r="I253">
        <v>3.5605158549999998</v>
      </c>
      <c r="J253">
        <v>2.1740241779999998</v>
      </c>
      <c r="K253">
        <v>12.2</v>
      </c>
      <c r="L253">
        <v>0.85261570900000005</v>
      </c>
      <c r="M253">
        <v>2.2833968119999999</v>
      </c>
      <c r="N253">
        <v>-0.65945902199999995</v>
      </c>
      <c r="O253">
        <v>1.254054826</v>
      </c>
      <c r="P253">
        <v>0.15164467600000001</v>
      </c>
      <c r="Q253">
        <v>-3.5195271250000002</v>
      </c>
      <c r="R253">
        <v>1.2198372099999999</v>
      </c>
      <c r="T253">
        <v>0.70712215</v>
      </c>
      <c r="U253">
        <v>1.2238516239999999</v>
      </c>
      <c r="V253">
        <v>2.021875412</v>
      </c>
      <c r="X253">
        <v>1.1371052049999999</v>
      </c>
      <c r="Y253">
        <v>-3.5718990119999998</v>
      </c>
      <c r="Z253">
        <v>2.8432638999999999E-2</v>
      </c>
      <c r="AA253">
        <v>13.69473</v>
      </c>
      <c r="AB253">
        <v>-0.41328642199999999</v>
      </c>
      <c r="AC253">
        <v>-5.0375934859999996</v>
      </c>
      <c r="AD253">
        <v>5.1279649340000004</v>
      </c>
      <c r="AE253">
        <v>0.80554236000000001</v>
      </c>
      <c r="AF253">
        <v>4.256999714</v>
      </c>
      <c r="AG253">
        <v>7.2046764559999996</v>
      </c>
      <c r="AH253">
        <v>5.4760285890000002</v>
      </c>
      <c r="AI253">
        <v>-10.727150817</v>
      </c>
      <c r="AJ253">
        <v>4.5426862080000001</v>
      </c>
      <c r="AK253">
        <v>0.81722148999999999</v>
      </c>
      <c r="AL253">
        <v>1.1734144200000001</v>
      </c>
      <c r="AM253">
        <v>2.0510900319999998</v>
      </c>
      <c r="AN253">
        <v>2.3242696239999998</v>
      </c>
      <c r="AO253">
        <v>2.6010115699999998</v>
      </c>
      <c r="AP253">
        <v>1.8521177310000001</v>
      </c>
      <c r="AQ253">
        <v>2.1546811180000001</v>
      </c>
      <c r="AR253">
        <v>7.3546825330000001</v>
      </c>
      <c r="AS253">
        <v>-1.116042907</v>
      </c>
      <c r="AT253">
        <v>3.1348572990000001</v>
      </c>
      <c r="AU253">
        <v>8.2576938200000001</v>
      </c>
      <c r="AV253">
        <v>1.768457232</v>
      </c>
      <c r="AW253">
        <v>1.7273138939999999</v>
      </c>
    </row>
    <row r="254" spans="1:49" x14ac:dyDescent="0.2">
      <c r="A254" t="s">
        <v>318</v>
      </c>
      <c r="B254" s="74">
        <v>40360</v>
      </c>
      <c r="C254">
        <v>13.965990583</v>
      </c>
      <c r="D254">
        <v>2.1846667559999999</v>
      </c>
      <c r="E254">
        <v>1.8829578330000001</v>
      </c>
      <c r="F254">
        <v>3.6161084090000002</v>
      </c>
      <c r="G254">
        <v>8.5076570270000005</v>
      </c>
      <c r="H254">
        <v>3.3854023660000001</v>
      </c>
      <c r="I254">
        <v>3.6002848859999999</v>
      </c>
      <c r="J254">
        <v>6.2600297210000004</v>
      </c>
      <c r="K254">
        <v>10.8</v>
      </c>
      <c r="L254">
        <v>2.474577713</v>
      </c>
      <c r="M254">
        <v>4.4200738480000004</v>
      </c>
      <c r="N254">
        <v>1.996593348</v>
      </c>
      <c r="O254">
        <v>2.234509665</v>
      </c>
      <c r="P254">
        <v>0.31259524700000002</v>
      </c>
      <c r="Q254">
        <v>1.11547138</v>
      </c>
      <c r="R254">
        <v>2.2780733560000002</v>
      </c>
      <c r="T254">
        <v>3.9426311749999998</v>
      </c>
      <c r="U254">
        <v>1.7234600739999999</v>
      </c>
      <c r="V254">
        <v>3.0018882570000001</v>
      </c>
      <c r="X254">
        <v>2.5880617340000001</v>
      </c>
      <c r="Y254">
        <v>-9.6501288509999998</v>
      </c>
      <c r="Z254">
        <v>0.77882688700000002</v>
      </c>
      <c r="AA254">
        <v>10.03998</v>
      </c>
      <c r="AB254">
        <v>0.227260933</v>
      </c>
      <c r="AC254">
        <v>-1.320652377</v>
      </c>
      <c r="AD254">
        <v>5.4005310870000001</v>
      </c>
      <c r="AE254">
        <v>2.01610215</v>
      </c>
      <c r="AF254">
        <v>3.4848884619999998</v>
      </c>
      <c r="AG254">
        <v>7.8045573380000004</v>
      </c>
      <c r="AH254">
        <v>5.6232433650000004</v>
      </c>
      <c r="AI254">
        <v>-6.0036290709999998</v>
      </c>
      <c r="AJ254">
        <v>7.2833958460000003</v>
      </c>
      <c r="AK254">
        <v>1.2572191800000001</v>
      </c>
      <c r="AL254">
        <v>0.98626381799999996</v>
      </c>
      <c r="AM254">
        <v>2.8285393160000001</v>
      </c>
      <c r="AN254">
        <v>3.2564109559999999</v>
      </c>
      <c r="AO254">
        <v>4.1187293030000003</v>
      </c>
      <c r="AP254">
        <v>2.3232618719999998</v>
      </c>
      <c r="AQ254">
        <v>4.6519784560000002</v>
      </c>
      <c r="AR254">
        <v>6.8440194160000001</v>
      </c>
      <c r="AS254">
        <v>1.7730564579999999</v>
      </c>
      <c r="AT254">
        <v>5.2138889800000001</v>
      </c>
      <c r="AU254">
        <v>8.0429741260000007</v>
      </c>
      <c r="AV254">
        <v>2.9274678449999998</v>
      </c>
      <c r="AW254">
        <v>2.9345081049999999</v>
      </c>
    </row>
    <row r="255" spans="1:49" x14ac:dyDescent="0.2">
      <c r="A255" t="s">
        <v>319</v>
      </c>
      <c r="B255" s="74">
        <v>40452</v>
      </c>
      <c r="C255">
        <v>10.290332746000001</v>
      </c>
      <c r="D255">
        <v>2.59158007</v>
      </c>
      <c r="E255">
        <v>2.4933767429999998</v>
      </c>
      <c r="F255">
        <v>2.7498112259999998</v>
      </c>
      <c r="G255">
        <v>6.9700210849999999</v>
      </c>
      <c r="H255">
        <v>3.6517204460000001</v>
      </c>
      <c r="I255">
        <v>2.723702421</v>
      </c>
      <c r="J255">
        <v>7.4686119370000004</v>
      </c>
      <c r="K255">
        <v>9.9</v>
      </c>
      <c r="L255">
        <v>2.7341262739999999</v>
      </c>
      <c r="M255">
        <v>4.6899328929999999</v>
      </c>
      <c r="N255">
        <v>3.256597062</v>
      </c>
      <c r="O255">
        <v>2.2630486699999999</v>
      </c>
      <c r="P255">
        <v>5.0071770000000002E-2</v>
      </c>
      <c r="Q255">
        <v>4.6562881129999996</v>
      </c>
      <c r="R255">
        <v>2.3988825579999999</v>
      </c>
      <c r="T255">
        <v>2.5673015069999998</v>
      </c>
      <c r="U255">
        <v>2.1827864099999998</v>
      </c>
      <c r="V255">
        <v>3.5884469239999999</v>
      </c>
      <c r="X255">
        <v>3.1024917429999999</v>
      </c>
      <c r="Y255">
        <v>-11.996109486</v>
      </c>
      <c r="Z255">
        <v>1.623298884</v>
      </c>
      <c r="AA255">
        <v>10.47142</v>
      </c>
      <c r="AB255">
        <v>1.479548353</v>
      </c>
      <c r="AC255">
        <v>-4.3865458100000003</v>
      </c>
      <c r="AD255">
        <v>5.7566010179999996</v>
      </c>
      <c r="AE255">
        <v>1.8250246349999999</v>
      </c>
      <c r="AF255">
        <v>5.4105647299999999</v>
      </c>
      <c r="AG255">
        <v>5.881250359</v>
      </c>
      <c r="AH255">
        <v>2.153983926</v>
      </c>
      <c r="AI255">
        <v>-1.3440684519999999</v>
      </c>
      <c r="AJ255">
        <v>4.8349442710000003</v>
      </c>
      <c r="AK255">
        <v>1.29867369</v>
      </c>
      <c r="AL255">
        <v>-1.5831175559999999</v>
      </c>
      <c r="AM255">
        <v>2.0669372880000001</v>
      </c>
      <c r="AN255">
        <v>3.511617786</v>
      </c>
      <c r="AO255">
        <v>4.8850763949999996</v>
      </c>
      <c r="AP255">
        <v>1.5134662210000001</v>
      </c>
      <c r="AQ255">
        <v>4.7698428740000001</v>
      </c>
      <c r="AR255">
        <v>6.1901428010000004</v>
      </c>
      <c r="AS255">
        <v>1.7914124739999999</v>
      </c>
      <c r="AT255">
        <v>6.5624370089999999</v>
      </c>
      <c r="AU255">
        <v>8.4385931349999996</v>
      </c>
      <c r="AV255">
        <v>3.3491938139999999</v>
      </c>
      <c r="AW255">
        <v>3.6105983230000001</v>
      </c>
    </row>
    <row r="256" spans="1:49" x14ac:dyDescent="0.2">
      <c r="A256" t="s">
        <v>320</v>
      </c>
      <c r="B256" s="74">
        <v>40544</v>
      </c>
      <c r="C256">
        <v>9.6828639390000006</v>
      </c>
      <c r="D256">
        <v>2.720002864</v>
      </c>
      <c r="E256">
        <v>2.971165353</v>
      </c>
      <c r="F256">
        <v>2.4470176970000002</v>
      </c>
      <c r="G256">
        <v>5.751449558</v>
      </c>
      <c r="H256">
        <v>3.6018732419999999</v>
      </c>
      <c r="I256">
        <v>3.0053841220000002</v>
      </c>
      <c r="J256">
        <v>7.4259778619999999</v>
      </c>
      <c r="K256">
        <v>9.9</v>
      </c>
      <c r="L256">
        <v>3.123834569</v>
      </c>
      <c r="M256">
        <v>4.7680839119999998</v>
      </c>
      <c r="N256">
        <v>2.9308156689999998</v>
      </c>
      <c r="O256">
        <v>2.4446797189999998</v>
      </c>
      <c r="P256">
        <v>0.13765314400000001</v>
      </c>
      <c r="Q256">
        <v>6.356621713</v>
      </c>
      <c r="R256">
        <v>2.558449462</v>
      </c>
      <c r="T256">
        <v>5.536019488</v>
      </c>
      <c r="U256">
        <v>2.151100569</v>
      </c>
      <c r="V256">
        <v>3.0026741339999998</v>
      </c>
      <c r="X256">
        <v>2.8932686460000001</v>
      </c>
      <c r="Y256">
        <v>-12.780648229000001</v>
      </c>
      <c r="Z256">
        <v>1.63118914</v>
      </c>
      <c r="AA256">
        <v>10.68164</v>
      </c>
      <c r="AB256">
        <v>3.2789376849999998</v>
      </c>
      <c r="AC256">
        <v>-0.59104967900000005</v>
      </c>
      <c r="AD256">
        <v>5.9359551189999999</v>
      </c>
      <c r="AE256">
        <v>2.0338921280000002</v>
      </c>
      <c r="AF256">
        <v>3.2672056660000002</v>
      </c>
      <c r="AG256">
        <v>6.3777791490000002</v>
      </c>
      <c r="AH256">
        <v>1.7918718250000001</v>
      </c>
      <c r="AI256">
        <v>-0.781610319</v>
      </c>
      <c r="AJ256">
        <v>3.9217471050000001</v>
      </c>
      <c r="AK256">
        <v>1.828137541</v>
      </c>
      <c r="AL256">
        <v>1.125758917</v>
      </c>
      <c r="AM256">
        <v>0.26381986600000001</v>
      </c>
      <c r="AN256">
        <v>3.1717798460000002</v>
      </c>
      <c r="AO256">
        <v>3.4315355649999999</v>
      </c>
      <c r="AP256">
        <v>1.268103738</v>
      </c>
      <c r="AQ256">
        <v>4.9515095230000004</v>
      </c>
      <c r="AR256">
        <v>4.856432302</v>
      </c>
      <c r="AS256">
        <v>2.4734966520000001</v>
      </c>
      <c r="AT256">
        <v>7.7477008249999999</v>
      </c>
      <c r="AU256">
        <v>9.5775519819999992</v>
      </c>
      <c r="AV256">
        <v>2.7884496909999998</v>
      </c>
      <c r="AW256">
        <v>3.8821221100000001</v>
      </c>
    </row>
    <row r="257" spans="1:49" x14ac:dyDescent="0.2">
      <c r="A257" t="s">
        <v>321</v>
      </c>
      <c r="B257" s="74">
        <v>40634</v>
      </c>
      <c r="C257">
        <v>8.9789522240000004</v>
      </c>
      <c r="D257">
        <v>1.9687525459999999</v>
      </c>
      <c r="E257">
        <v>4.2527121289999998</v>
      </c>
      <c r="F257">
        <v>2.4095637320000001</v>
      </c>
      <c r="G257">
        <v>5.0242486499999996</v>
      </c>
      <c r="H257">
        <v>3.1402038609999998</v>
      </c>
      <c r="I257">
        <v>2.5180770840000002</v>
      </c>
      <c r="J257">
        <v>8.3277559669999999</v>
      </c>
      <c r="K257">
        <v>10.199999999999999</v>
      </c>
      <c r="L257">
        <v>3.0064665659999998</v>
      </c>
      <c r="M257">
        <v>5.9392514700000003</v>
      </c>
      <c r="N257">
        <v>2.2718550390000001</v>
      </c>
      <c r="O257">
        <v>2.9269816089999998</v>
      </c>
      <c r="P257">
        <v>9.6489990000000001E-3</v>
      </c>
      <c r="Q257">
        <v>7.037820269</v>
      </c>
      <c r="R257">
        <v>3.0125335369999999</v>
      </c>
      <c r="T257">
        <v>5.0726469959999996</v>
      </c>
      <c r="U257">
        <v>2.8472325779999998</v>
      </c>
      <c r="V257">
        <v>2.429775963</v>
      </c>
      <c r="X257">
        <v>2.183685052</v>
      </c>
      <c r="Y257">
        <v>-11.177433517000001</v>
      </c>
      <c r="Z257">
        <v>2.5257908040000001</v>
      </c>
      <c r="AA257">
        <v>9.8514900000000001</v>
      </c>
      <c r="AB257">
        <v>2.3101514540000001</v>
      </c>
      <c r="AC257">
        <v>1.495852886</v>
      </c>
      <c r="AD257">
        <v>5.655434713</v>
      </c>
      <c r="AE257">
        <v>2.2145687170000001</v>
      </c>
      <c r="AF257">
        <v>1.11223446</v>
      </c>
      <c r="AG257">
        <v>5.3073706820000002</v>
      </c>
      <c r="AH257">
        <v>1.658088572</v>
      </c>
      <c r="AI257">
        <v>-1.5294146120000001</v>
      </c>
      <c r="AJ257">
        <v>3.6264114090000001</v>
      </c>
      <c r="AK257">
        <v>2.6096283680000001</v>
      </c>
      <c r="AL257">
        <v>-0.71685042700000001</v>
      </c>
      <c r="AM257">
        <v>1.0253169719999999</v>
      </c>
      <c r="AN257">
        <v>2.8224215969999999</v>
      </c>
      <c r="AO257">
        <v>5.0420551959999997</v>
      </c>
      <c r="AP257">
        <v>-0.22223320899999999</v>
      </c>
      <c r="AQ257">
        <v>3.9411241459999999</v>
      </c>
      <c r="AR257">
        <v>3.3042618990000001</v>
      </c>
      <c r="AS257">
        <v>3.2646591890000001</v>
      </c>
      <c r="AT257">
        <v>5.3599583559999999</v>
      </c>
      <c r="AU257">
        <v>12.378786377999999</v>
      </c>
      <c r="AV257">
        <v>2.0306081909999998</v>
      </c>
      <c r="AW257">
        <v>3.6953156759999999</v>
      </c>
    </row>
    <row r="258" spans="1:49" x14ac:dyDescent="0.2">
      <c r="A258" t="s">
        <v>322</v>
      </c>
      <c r="B258" s="74">
        <v>40725</v>
      </c>
      <c r="C258">
        <v>5.3731831799999998</v>
      </c>
      <c r="D258">
        <v>2.6008088479999998</v>
      </c>
      <c r="E258">
        <v>3.3697831379999998</v>
      </c>
      <c r="F258">
        <v>1.6204249390000001</v>
      </c>
      <c r="G258">
        <v>4.7457921599999997</v>
      </c>
      <c r="H258">
        <v>2.80319874</v>
      </c>
      <c r="I258">
        <v>2.5245646129999999</v>
      </c>
      <c r="J258">
        <v>6.2777655589999997</v>
      </c>
      <c r="K258">
        <v>10</v>
      </c>
      <c r="L258">
        <v>2.088883901</v>
      </c>
      <c r="M258">
        <v>3.7042221880000001</v>
      </c>
      <c r="N258">
        <v>2.5956930520000001</v>
      </c>
      <c r="O258">
        <v>1.904756283</v>
      </c>
      <c r="P258">
        <v>-0.45613034000000002</v>
      </c>
      <c r="Q258">
        <v>7.7160314879999996</v>
      </c>
      <c r="R258">
        <v>2.0580551310000001</v>
      </c>
      <c r="T258">
        <v>2.070675525</v>
      </c>
      <c r="U258">
        <v>2.2573342790000002</v>
      </c>
      <c r="V258">
        <v>1.572807276</v>
      </c>
      <c r="X258">
        <v>1.0842964770000001</v>
      </c>
      <c r="Y258">
        <v>-9.4073697040000006</v>
      </c>
      <c r="Z258">
        <v>1.6222135</v>
      </c>
      <c r="AA258">
        <v>8.5739400000000003</v>
      </c>
      <c r="AB258">
        <v>2.8244699870000001</v>
      </c>
      <c r="AC258">
        <v>0.15667753600000001</v>
      </c>
      <c r="AD258">
        <v>5.3407316329999999</v>
      </c>
      <c r="AE258">
        <v>1.5530022750000001</v>
      </c>
      <c r="AF258">
        <v>-0.94199179200000005</v>
      </c>
      <c r="AG258">
        <v>3.8512425129999999</v>
      </c>
      <c r="AH258">
        <v>-0.61011371800000003</v>
      </c>
      <c r="AI258">
        <v>2.6282701460000002</v>
      </c>
      <c r="AJ258">
        <v>3.04162585</v>
      </c>
      <c r="AK258">
        <v>2.0698547920000001</v>
      </c>
      <c r="AL258">
        <v>-6.5040358000000006E-2</v>
      </c>
      <c r="AM258">
        <v>0.82380325899999995</v>
      </c>
      <c r="AN258">
        <v>2.070546513</v>
      </c>
      <c r="AO258">
        <v>4.8444385710000004</v>
      </c>
      <c r="AP258">
        <v>-1.196017007</v>
      </c>
      <c r="AQ258">
        <v>3.9386446780000002</v>
      </c>
      <c r="AR258">
        <v>2.8169636769999999</v>
      </c>
      <c r="AS258">
        <v>0.911742618</v>
      </c>
      <c r="AT258">
        <v>3.577846847</v>
      </c>
      <c r="AU258">
        <v>11.238746556000001</v>
      </c>
      <c r="AV258">
        <v>1.737905069</v>
      </c>
      <c r="AW258">
        <v>3.4076528499999998</v>
      </c>
    </row>
    <row r="259" spans="1:49" x14ac:dyDescent="0.2">
      <c r="A259" t="s">
        <v>323</v>
      </c>
      <c r="B259" s="74">
        <v>40817</v>
      </c>
      <c r="C259">
        <v>5.6127349750000004</v>
      </c>
      <c r="D259">
        <v>3.2559693190000001</v>
      </c>
      <c r="E259">
        <v>2.8615453039999998</v>
      </c>
      <c r="F259">
        <v>1.4881499170000001</v>
      </c>
      <c r="G259">
        <v>3.6019510970000002</v>
      </c>
      <c r="H259">
        <v>3.4880974490000001</v>
      </c>
      <c r="I259">
        <v>1.6715535530000001</v>
      </c>
      <c r="J259">
        <v>4.5062581760000002</v>
      </c>
      <c r="K259">
        <v>9.4</v>
      </c>
      <c r="L259">
        <v>1.1580376370000001</v>
      </c>
      <c r="M259">
        <v>3.7714824770000002</v>
      </c>
      <c r="N259">
        <v>-0.26152291599999999</v>
      </c>
      <c r="O259">
        <v>1.628438074</v>
      </c>
      <c r="P259">
        <v>-1.0509809160000001</v>
      </c>
      <c r="Q259">
        <v>7.9334048700000004</v>
      </c>
      <c r="R259">
        <v>1.7689995460000001</v>
      </c>
      <c r="T259">
        <v>2.6170746540000001</v>
      </c>
      <c r="U259">
        <v>2.1223942980000001</v>
      </c>
      <c r="V259">
        <v>1.1855877159999999</v>
      </c>
      <c r="X259">
        <v>0.60148749999999995</v>
      </c>
      <c r="Y259">
        <v>-8.213170689</v>
      </c>
      <c r="Z259">
        <v>1.0282731000000001</v>
      </c>
      <c r="AA259">
        <v>5.4526000000000003</v>
      </c>
      <c r="AB259">
        <v>1.2469754479999999</v>
      </c>
      <c r="AC259">
        <v>4.0883410519999996</v>
      </c>
      <c r="AD259">
        <v>6.2095903750000003</v>
      </c>
      <c r="AE259">
        <v>0.60872464900000001</v>
      </c>
      <c r="AF259">
        <v>-0.34193629399999997</v>
      </c>
      <c r="AG259">
        <v>3.2055896160000001</v>
      </c>
      <c r="AH259">
        <v>1.8513705110000001</v>
      </c>
      <c r="AI259">
        <v>4.5965042479999996</v>
      </c>
      <c r="AJ259">
        <v>4.0664697360000002</v>
      </c>
      <c r="AK259">
        <v>1.6212728080000001</v>
      </c>
      <c r="AL259">
        <v>4.1291970759999996</v>
      </c>
      <c r="AM259">
        <v>2.11639138</v>
      </c>
      <c r="AN259">
        <v>1.820970349</v>
      </c>
      <c r="AO259">
        <v>4.8129146179999998</v>
      </c>
      <c r="AP259">
        <v>-2.049629081</v>
      </c>
      <c r="AQ259">
        <v>4.5877987060000001</v>
      </c>
      <c r="AR259">
        <v>2.1700271519999998</v>
      </c>
      <c r="AS259">
        <v>0.46052068600000001</v>
      </c>
      <c r="AT259">
        <v>3.6086594729999999</v>
      </c>
      <c r="AU259">
        <v>11.117671024</v>
      </c>
      <c r="AV259">
        <v>0.91822084800000003</v>
      </c>
      <c r="AW259">
        <v>2.919288694</v>
      </c>
    </row>
    <row r="260" spans="1:49" x14ac:dyDescent="0.2">
      <c r="A260" t="s">
        <v>324</v>
      </c>
      <c r="B260" s="74">
        <v>40909</v>
      </c>
      <c r="C260">
        <v>4.2147615549999999</v>
      </c>
      <c r="D260">
        <v>3.4620890540000002</v>
      </c>
      <c r="E260">
        <v>1.6762674310000001</v>
      </c>
      <c r="F260">
        <v>1.272481695</v>
      </c>
      <c r="G260">
        <v>3.0292466120000001</v>
      </c>
      <c r="H260">
        <v>3.150369226</v>
      </c>
      <c r="I260">
        <v>0.87756088399999999</v>
      </c>
      <c r="J260">
        <v>5.5235333539999996</v>
      </c>
      <c r="K260">
        <v>8.8000000000000007</v>
      </c>
      <c r="L260">
        <v>0.81070903999999999</v>
      </c>
      <c r="M260">
        <v>2.6040520649999999</v>
      </c>
      <c r="N260">
        <v>0.78033347500000005</v>
      </c>
      <c r="O260">
        <v>0.60513939000000005</v>
      </c>
      <c r="P260">
        <v>-1.758500717</v>
      </c>
      <c r="Q260">
        <v>5.6774740159999997</v>
      </c>
      <c r="R260">
        <v>0.77334333200000005</v>
      </c>
      <c r="T260">
        <v>0.53424172999999997</v>
      </c>
      <c r="U260">
        <v>1.63214346</v>
      </c>
      <c r="V260">
        <v>1.2956221670000001</v>
      </c>
      <c r="X260">
        <v>0.42154338699999999</v>
      </c>
      <c r="Y260">
        <v>-11.65959355</v>
      </c>
      <c r="Z260">
        <v>2.3437251859999999</v>
      </c>
      <c r="AA260">
        <v>4.7392500000000002</v>
      </c>
      <c r="AB260">
        <v>2.9393085270000001</v>
      </c>
      <c r="AC260">
        <v>1.679514642</v>
      </c>
      <c r="AD260">
        <v>5.2834481609999999</v>
      </c>
      <c r="AE260">
        <v>-0.89499977500000005</v>
      </c>
      <c r="AF260">
        <v>0.32805125299999999</v>
      </c>
      <c r="AG260">
        <v>2.4439098600000002</v>
      </c>
      <c r="AH260">
        <v>1.2378478879999999</v>
      </c>
      <c r="AI260">
        <v>3.8223676179999999</v>
      </c>
      <c r="AJ260">
        <v>3.9445924049999999</v>
      </c>
      <c r="AK260">
        <v>-0.11867016599999999</v>
      </c>
      <c r="AL260">
        <v>1.3380472720000001</v>
      </c>
      <c r="AM260">
        <v>3.2390976220000001</v>
      </c>
      <c r="AN260">
        <v>1.675559156</v>
      </c>
      <c r="AO260">
        <v>4.4560222779999998</v>
      </c>
      <c r="AP260">
        <v>-3.3101667080000001</v>
      </c>
      <c r="AQ260">
        <v>4.5368792630000003</v>
      </c>
      <c r="AR260">
        <v>2.2775410649999999</v>
      </c>
      <c r="AS260">
        <v>-4.7677360000000002E-2</v>
      </c>
      <c r="AT260">
        <v>0.60155114300000001</v>
      </c>
      <c r="AU260">
        <v>9.3209064149999996</v>
      </c>
      <c r="AV260">
        <v>1.5226915240000001</v>
      </c>
      <c r="AW260">
        <v>2.667734136</v>
      </c>
    </row>
    <row r="261" spans="1:49" x14ac:dyDescent="0.2">
      <c r="A261" t="s">
        <v>325</v>
      </c>
      <c r="B261" s="74">
        <v>41000</v>
      </c>
      <c r="C261">
        <v>0.72586669400000003</v>
      </c>
      <c r="D261">
        <v>4.7644256220000001</v>
      </c>
      <c r="E261">
        <v>1.7495160649999999</v>
      </c>
      <c r="F261">
        <v>1.0036081379999999</v>
      </c>
      <c r="G261">
        <v>0.25453603200000002</v>
      </c>
      <c r="H261">
        <v>2.442677819</v>
      </c>
      <c r="I261">
        <v>0.91966703699999997</v>
      </c>
      <c r="J261">
        <v>6.4515151810000004</v>
      </c>
      <c r="K261">
        <v>8.1</v>
      </c>
      <c r="L261">
        <v>6.6262848999999999E-2</v>
      </c>
      <c r="M261">
        <v>0.86290537899999997</v>
      </c>
      <c r="N261">
        <v>0.49142101599999999</v>
      </c>
      <c r="O261">
        <v>-0.50291663600000003</v>
      </c>
      <c r="P261">
        <v>-2.5270516989999998</v>
      </c>
      <c r="Q261">
        <v>4.1924714339999998</v>
      </c>
      <c r="R261">
        <v>-0.28413974800000003</v>
      </c>
      <c r="T261">
        <v>-0.46093186000000003</v>
      </c>
      <c r="U261">
        <v>0.60975018800000003</v>
      </c>
      <c r="V261">
        <v>1.8177010469999999</v>
      </c>
      <c r="X261">
        <v>0.99934531500000001</v>
      </c>
      <c r="Y261">
        <v>-8.3585943149999995</v>
      </c>
      <c r="Z261">
        <v>-0.39178681399999998</v>
      </c>
      <c r="AA261">
        <v>4.2765399999999998</v>
      </c>
      <c r="AB261">
        <v>-0.434237437</v>
      </c>
      <c r="AC261">
        <v>2.5916760010000002</v>
      </c>
      <c r="AD261">
        <v>4.3048047809999996</v>
      </c>
      <c r="AE261">
        <v>-2.5252478639999998</v>
      </c>
      <c r="AF261">
        <v>2.802099165</v>
      </c>
      <c r="AG261">
        <v>2.3754352729999999</v>
      </c>
      <c r="AH261">
        <v>0.36020470900000001</v>
      </c>
      <c r="AI261">
        <v>10.590962675</v>
      </c>
      <c r="AJ261">
        <v>3.8348930339999998</v>
      </c>
      <c r="AK261">
        <v>-0.89854306100000003</v>
      </c>
      <c r="AL261">
        <v>3.439979648</v>
      </c>
      <c r="AM261">
        <v>2.7541817150000001</v>
      </c>
      <c r="AN261">
        <v>1.8800700619999999</v>
      </c>
      <c r="AO261">
        <v>3.3621639019999998</v>
      </c>
      <c r="AP261">
        <v>-3.19826619</v>
      </c>
      <c r="AQ261">
        <v>4.965895927</v>
      </c>
      <c r="AR261">
        <v>2.1751919009999998</v>
      </c>
      <c r="AS261">
        <v>-1.295887623</v>
      </c>
      <c r="AT261">
        <v>0.38428403999999999</v>
      </c>
      <c r="AU261">
        <v>5.9600093440000004</v>
      </c>
      <c r="AV261">
        <v>2.600249298</v>
      </c>
      <c r="AW261">
        <v>2.2428092080000002</v>
      </c>
    </row>
    <row r="262" spans="1:49" x14ac:dyDescent="0.2">
      <c r="A262" t="s">
        <v>326</v>
      </c>
      <c r="B262" s="74">
        <v>41091</v>
      </c>
      <c r="C262">
        <v>-3.6031239369999999</v>
      </c>
      <c r="D262">
        <v>4.1808410980000001</v>
      </c>
      <c r="E262">
        <v>0.89215335500000004</v>
      </c>
      <c r="F262">
        <v>0.79376285999999996</v>
      </c>
      <c r="G262">
        <v>1.044520186</v>
      </c>
      <c r="H262">
        <v>2.5769820449999998</v>
      </c>
      <c r="I262">
        <v>0.51463848499999998</v>
      </c>
      <c r="J262">
        <v>6.8888457189999999</v>
      </c>
      <c r="K262">
        <v>7.7</v>
      </c>
      <c r="L262">
        <v>-0.78653013999999999</v>
      </c>
      <c r="M262">
        <v>0.97772291600000005</v>
      </c>
      <c r="N262">
        <v>-0.43096579600000001</v>
      </c>
      <c r="O262">
        <v>-0.749223219</v>
      </c>
      <c r="P262">
        <v>-3.1610136679999998</v>
      </c>
      <c r="Q262">
        <v>3.4941579659999999</v>
      </c>
      <c r="R262">
        <v>-0.59803616699999995</v>
      </c>
      <c r="T262">
        <v>-1.342555677</v>
      </c>
      <c r="U262">
        <v>0.55442956799999998</v>
      </c>
      <c r="V262">
        <v>1.659431082</v>
      </c>
      <c r="X262">
        <v>0.88671156900000003</v>
      </c>
      <c r="Y262">
        <v>-8.3235671329999992</v>
      </c>
      <c r="Z262">
        <v>-0.94659574000000002</v>
      </c>
      <c r="AA262">
        <v>4.2212199999999998</v>
      </c>
      <c r="AB262">
        <v>-0.32698789299999997</v>
      </c>
      <c r="AC262">
        <v>1.242736332</v>
      </c>
      <c r="AD262">
        <v>3.0686861749999998</v>
      </c>
      <c r="AE262">
        <v>-3.2396119460000001</v>
      </c>
      <c r="AF262">
        <v>2.7663647330000001</v>
      </c>
      <c r="AG262">
        <v>2.4520288529999998</v>
      </c>
      <c r="AH262">
        <v>1.4115970179999999</v>
      </c>
      <c r="AI262">
        <v>6.325475462</v>
      </c>
      <c r="AJ262">
        <v>4.1787313560000001</v>
      </c>
      <c r="AK262">
        <v>-0.759337119</v>
      </c>
      <c r="AL262">
        <v>4.114329873</v>
      </c>
      <c r="AM262">
        <v>2.5817072190000001</v>
      </c>
      <c r="AN262">
        <v>1.6570018230000001</v>
      </c>
      <c r="AO262">
        <v>1.75033175</v>
      </c>
      <c r="AP262">
        <v>-4.0917441290000003</v>
      </c>
      <c r="AQ262">
        <v>4.3829636450000002</v>
      </c>
      <c r="AR262">
        <v>1.638881297</v>
      </c>
      <c r="AS262">
        <v>-2.5530742850000001</v>
      </c>
      <c r="AT262">
        <v>0.197058609</v>
      </c>
      <c r="AU262">
        <v>4.9079508409999999</v>
      </c>
      <c r="AV262">
        <v>2.3738163499999998</v>
      </c>
      <c r="AW262">
        <v>2.5224759780000001</v>
      </c>
    </row>
    <row r="263" spans="1:49" x14ac:dyDescent="0.2">
      <c r="A263" t="s">
        <v>327</v>
      </c>
      <c r="B263" s="74">
        <v>41183</v>
      </c>
      <c r="C263">
        <v>-1.4462525989999999</v>
      </c>
      <c r="D263">
        <v>3.4055335969999998</v>
      </c>
      <c r="E263">
        <v>0.176317318</v>
      </c>
      <c r="F263">
        <v>0.75026148500000001</v>
      </c>
      <c r="G263">
        <v>2.977508512</v>
      </c>
      <c r="H263">
        <v>1.318874171</v>
      </c>
      <c r="I263">
        <v>1.714788931</v>
      </c>
      <c r="J263">
        <v>7.0330178989999999</v>
      </c>
      <c r="K263">
        <v>7.5</v>
      </c>
      <c r="L263">
        <v>-0.96106413000000002</v>
      </c>
      <c r="M263">
        <v>0.37516860899999999</v>
      </c>
      <c r="N263">
        <v>0.91764258600000004</v>
      </c>
      <c r="O263">
        <v>-0.99313148500000004</v>
      </c>
      <c r="P263">
        <v>-3.0380685839999999</v>
      </c>
      <c r="Q263">
        <v>2.3025960360000002</v>
      </c>
      <c r="R263">
        <v>-0.87511329800000004</v>
      </c>
      <c r="T263">
        <v>-1.8428314779999999</v>
      </c>
      <c r="U263">
        <v>0.29542399499999999</v>
      </c>
      <c r="V263">
        <v>1.297457241</v>
      </c>
      <c r="X263">
        <v>1.983557464</v>
      </c>
      <c r="Y263">
        <v>-7.7857460740000004</v>
      </c>
      <c r="Z263">
        <v>-0.82659737899999997</v>
      </c>
      <c r="AA263">
        <v>6.0950300000000004</v>
      </c>
      <c r="AB263">
        <v>0.11357629499999999</v>
      </c>
      <c r="AC263">
        <v>0.23764073899999999</v>
      </c>
      <c r="AD263">
        <v>1.961422137</v>
      </c>
      <c r="AE263">
        <v>-3.2625983509999998</v>
      </c>
      <c r="AF263">
        <v>-5.1252310000000002E-2</v>
      </c>
      <c r="AG263">
        <v>2.3760541210000001</v>
      </c>
      <c r="AH263">
        <v>1.285433579</v>
      </c>
      <c r="AI263">
        <v>6.0638299849999999</v>
      </c>
      <c r="AJ263">
        <v>2.7711389340000001</v>
      </c>
      <c r="AK263">
        <v>-1.1856849279999999</v>
      </c>
      <c r="AL263">
        <v>0.97806738800000004</v>
      </c>
      <c r="AM263">
        <v>1.7923497269999999</v>
      </c>
      <c r="AN263">
        <v>1.24241512</v>
      </c>
      <c r="AO263">
        <v>0.895997865</v>
      </c>
      <c r="AP263">
        <v>-4.4286947659999996</v>
      </c>
      <c r="AQ263">
        <v>3.7274807239999999</v>
      </c>
      <c r="AR263">
        <v>1.2615022819999999</v>
      </c>
      <c r="AS263">
        <v>-2.158727372</v>
      </c>
      <c r="AT263">
        <v>-1.1914479769999999</v>
      </c>
      <c r="AU263">
        <v>3.9943142659999999</v>
      </c>
      <c r="AV263">
        <v>2.592622977</v>
      </c>
      <c r="AW263">
        <v>2.5151112150000001</v>
      </c>
    </row>
    <row r="264" spans="1:49" x14ac:dyDescent="0.2">
      <c r="A264" t="s">
        <v>328</v>
      </c>
      <c r="B264" s="74">
        <v>41275</v>
      </c>
      <c r="C264">
        <v>0.227794837</v>
      </c>
      <c r="D264">
        <v>2.7987997240000002</v>
      </c>
      <c r="E264">
        <v>0.13219549999999999</v>
      </c>
      <c r="F264">
        <v>0.41114297700000002</v>
      </c>
      <c r="G264">
        <v>2.1517054440000001</v>
      </c>
      <c r="H264">
        <v>0.73508072999999996</v>
      </c>
      <c r="I264">
        <v>1.6570470690000001</v>
      </c>
      <c r="J264">
        <v>5.3766126610000002</v>
      </c>
      <c r="K264">
        <v>8.1</v>
      </c>
      <c r="L264">
        <v>-1.1845567530000001</v>
      </c>
      <c r="M264">
        <v>0.25092577700000002</v>
      </c>
      <c r="N264">
        <v>-6.2150336E-2</v>
      </c>
      <c r="O264">
        <v>-1.02150031</v>
      </c>
      <c r="P264">
        <v>-3.1137914260000001</v>
      </c>
      <c r="Q264">
        <v>3.245200471</v>
      </c>
      <c r="R264">
        <v>-0.933628703</v>
      </c>
      <c r="T264">
        <v>-1.9460079990000001</v>
      </c>
      <c r="U264">
        <v>-3.7976469999999999E-3</v>
      </c>
      <c r="V264">
        <v>0.76036811900000001</v>
      </c>
      <c r="X264">
        <v>1.9226106519999999</v>
      </c>
      <c r="Y264">
        <v>-4.2224857059999996</v>
      </c>
      <c r="Z264">
        <v>-2.1982682769999999</v>
      </c>
      <c r="AA264">
        <v>5.6335699999999997</v>
      </c>
      <c r="AB264">
        <v>0.299949996</v>
      </c>
      <c r="AC264">
        <v>0.26043333000000002</v>
      </c>
      <c r="AD264">
        <v>1.7886422529999999</v>
      </c>
      <c r="AE264">
        <v>-3.0420577149999999</v>
      </c>
      <c r="AF264">
        <v>7.4890959999999998E-3</v>
      </c>
      <c r="AG264">
        <v>2.4065722859999998</v>
      </c>
      <c r="AH264">
        <v>3.476422903</v>
      </c>
      <c r="AI264">
        <v>6.3955788560000002</v>
      </c>
      <c r="AJ264">
        <v>2.9747636200000001</v>
      </c>
      <c r="AK264">
        <v>-1.2815215040000001</v>
      </c>
      <c r="AL264">
        <v>1.7509523730000001</v>
      </c>
      <c r="AM264">
        <v>2.7660331130000002</v>
      </c>
      <c r="AN264">
        <v>0.86155462699999996</v>
      </c>
      <c r="AO264">
        <v>-0.26719844999999998</v>
      </c>
      <c r="AP264">
        <v>-4.5276429540000001</v>
      </c>
      <c r="AQ264">
        <v>2.5587927939999999</v>
      </c>
      <c r="AR264">
        <v>0.37550631699999998</v>
      </c>
      <c r="AS264">
        <v>-4.1480016199999996</v>
      </c>
      <c r="AT264">
        <v>-0.51021860900000005</v>
      </c>
      <c r="AU264">
        <v>4.2462833499999997</v>
      </c>
      <c r="AV264">
        <v>1.5660643460000001</v>
      </c>
      <c r="AW264">
        <v>2.304199814</v>
      </c>
    </row>
    <row r="265" spans="1:49" x14ac:dyDescent="0.2">
      <c r="A265" t="s">
        <v>329</v>
      </c>
      <c r="B265" s="74">
        <v>41365</v>
      </c>
      <c r="C265">
        <v>1.298371908</v>
      </c>
      <c r="D265">
        <v>2.2707771220000001</v>
      </c>
      <c r="E265">
        <v>-0.81670003599999996</v>
      </c>
      <c r="F265">
        <v>-7.9050592000000003E-2</v>
      </c>
      <c r="G265">
        <v>4.0643220930000004</v>
      </c>
      <c r="H265">
        <v>1.573583484</v>
      </c>
      <c r="I265">
        <v>1.479206654</v>
      </c>
      <c r="J265">
        <v>4.1659233889999996</v>
      </c>
      <c r="K265">
        <v>7.9</v>
      </c>
      <c r="L265">
        <v>-1.437090588</v>
      </c>
      <c r="M265">
        <v>-0.41472453100000001</v>
      </c>
      <c r="N265">
        <v>0.57118820299999995</v>
      </c>
      <c r="O265">
        <v>-1.1446710760000001</v>
      </c>
      <c r="P265">
        <v>-2.5038641049999999</v>
      </c>
      <c r="Q265">
        <v>3.1276816260000002</v>
      </c>
      <c r="R265">
        <v>-0.96285172799999996</v>
      </c>
      <c r="T265">
        <v>-2.3599642940000001</v>
      </c>
      <c r="U265">
        <v>3.7965781999999997E-2</v>
      </c>
      <c r="V265">
        <v>0.72792277999999999</v>
      </c>
      <c r="X265">
        <v>1.320042991</v>
      </c>
      <c r="Y265">
        <v>-4.9014998839999997</v>
      </c>
      <c r="Z265">
        <v>-0.23858945600000001</v>
      </c>
      <c r="AA265">
        <v>5.8606699999999998</v>
      </c>
      <c r="AB265">
        <v>-0.48215198799999998</v>
      </c>
      <c r="AC265">
        <v>4.3019659499999996</v>
      </c>
      <c r="AD265">
        <v>2.7634155389999999</v>
      </c>
      <c r="AE265">
        <v>-2.8813509970000002</v>
      </c>
      <c r="AF265">
        <v>1.1347128E-2</v>
      </c>
      <c r="AG265">
        <v>2.4002358959999999</v>
      </c>
      <c r="AH265">
        <v>2.984512644</v>
      </c>
      <c r="AI265">
        <v>1.574628701</v>
      </c>
      <c r="AJ265">
        <v>2.5565872359999999</v>
      </c>
      <c r="AK265">
        <v>-0.75617883100000005</v>
      </c>
      <c r="AL265">
        <v>-0.25977813799999999</v>
      </c>
      <c r="AM265">
        <v>1.8163609940000001</v>
      </c>
      <c r="AN265">
        <v>0.95279846300000004</v>
      </c>
      <c r="AO265">
        <v>-0.272455053</v>
      </c>
      <c r="AP265">
        <v>-3.6042074770000001</v>
      </c>
      <c r="AQ265">
        <v>1.7210856299999999</v>
      </c>
      <c r="AR265">
        <v>0.17452546099999999</v>
      </c>
      <c r="AS265">
        <v>-3.3681216919999999</v>
      </c>
      <c r="AT265">
        <v>0.67500877299999995</v>
      </c>
      <c r="AU265">
        <v>8.2638838620000001</v>
      </c>
      <c r="AV265">
        <v>1.6163010950000001</v>
      </c>
      <c r="AW265">
        <v>2.5169957599999999</v>
      </c>
    </row>
    <row r="266" spans="1:49" x14ac:dyDescent="0.2">
      <c r="A266" t="s">
        <v>330</v>
      </c>
      <c r="B266" s="74">
        <v>41456</v>
      </c>
      <c r="C266">
        <v>5.4519095149999997</v>
      </c>
      <c r="D266">
        <v>1.9485589889999999</v>
      </c>
      <c r="E266">
        <v>-0.36067486900000001</v>
      </c>
      <c r="F266">
        <v>0.50532846399999998</v>
      </c>
      <c r="G266">
        <v>3.7694763029999998</v>
      </c>
      <c r="H266">
        <v>1.8309374890000001</v>
      </c>
      <c r="I266">
        <v>1.9721598739999999</v>
      </c>
      <c r="J266">
        <v>3.0750006280000002</v>
      </c>
      <c r="K266">
        <v>7.6</v>
      </c>
      <c r="L266">
        <v>-0.54201172900000005</v>
      </c>
      <c r="M266">
        <v>0.439891694</v>
      </c>
      <c r="N266">
        <v>0.57021508499999995</v>
      </c>
      <c r="O266">
        <v>-0.360469021</v>
      </c>
      <c r="P266">
        <v>-1.64708867</v>
      </c>
      <c r="Q266">
        <v>1.6171112729999999</v>
      </c>
      <c r="R266">
        <v>-0.197165864</v>
      </c>
      <c r="T266">
        <v>-0.86085371099999997</v>
      </c>
      <c r="U266">
        <v>0.86191339</v>
      </c>
      <c r="V266">
        <v>1.1032977960000001</v>
      </c>
      <c r="X266">
        <v>2.0651750930000001</v>
      </c>
      <c r="Y266">
        <v>-3.0592176750000002</v>
      </c>
      <c r="Z266">
        <v>1.3865311650000001</v>
      </c>
      <c r="AA266">
        <v>6.1179600000000001</v>
      </c>
      <c r="AB266">
        <v>-0.11092608399999999</v>
      </c>
      <c r="AC266">
        <v>4.5070376960000003</v>
      </c>
      <c r="AD266">
        <v>4.8471622769999998</v>
      </c>
      <c r="AE266">
        <v>-2.171401329</v>
      </c>
      <c r="AF266">
        <v>1.838459142</v>
      </c>
      <c r="AG266">
        <v>3.0113611100000002</v>
      </c>
      <c r="AH266">
        <v>4.7375947719999996</v>
      </c>
      <c r="AI266">
        <v>2.0633712100000001</v>
      </c>
      <c r="AJ266">
        <v>1.1137118589999999</v>
      </c>
      <c r="AK266">
        <v>-0.98595240100000003</v>
      </c>
      <c r="AL266">
        <v>0.224397702</v>
      </c>
      <c r="AM266">
        <v>2.6654663589999998</v>
      </c>
      <c r="AN266">
        <v>1.3376938030000001</v>
      </c>
      <c r="AO266">
        <v>1.049422055</v>
      </c>
      <c r="AP266">
        <v>-1.546055897</v>
      </c>
      <c r="AQ266">
        <v>1.6739036089999999</v>
      </c>
      <c r="AR266">
        <v>0.33421785700000001</v>
      </c>
      <c r="AS266">
        <v>-1.3034060860000001</v>
      </c>
      <c r="AT266">
        <v>0.44603610700000001</v>
      </c>
      <c r="AU266">
        <v>9.5497674400000001</v>
      </c>
      <c r="AV266">
        <v>1.29617049</v>
      </c>
      <c r="AW266">
        <v>2.4078493050000001</v>
      </c>
    </row>
    <row r="267" spans="1:49" x14ac:dyDescent="0.2">
      <c r="A267" t="s">
        <v>331</v>
      </c>
      <c r="B267" s="74">
        <v>41548</v>
      </c>
      <c r="C267">
        <v>2.8481258280000001</v>
      </c>
      <c r="D267">
        <v>2.1391305169999999</v>
      </c>
      <c r="E267">
        <v>0.299597538</v>
      </c>
      <c r="F267">
        <v>0.57198187199999995</v>
      </c>
      <c r="G267">
        <v>2.4790094310000002</v>
      </c>
      <c r="H267">
        <v>2.5211811590000002</v>
      </c>
      <c r="I267">
        <v>1.8417656549999999</v>
      </c>
      <c r="J267">
        <v>2.8466796919999999</v>
      </c>
      <c r="K267">
        <v>7.9</v>
      </c>
      <c r="L267">
        <v>0.24717662600000001</v>
      </c>
      <c r="M267">
        <v>0.71897991299999997</v>
      </c>
      <c r="N267">
        <v>1.1122699899999999</v>
      </c>
      <c r="O267">
        <v>3.6583739999999997E-2</v>
      </c>
      <c r="P267">
        <v>-1.1696109800000001</v>
      </c>
      <c r="Q267">
        <v>0.86017909699999995</v>
      </c>
      <c r="R267">
        <v>0.20974431299999999</v>
      </c>
      <c r="T267">
        <v>-0.130193592</v>
      </c>
      <c r="U267">
        <v>0.52538766599999998</v>
      </c>
      <c r="V267">
        <v>1.6535932369999999</v>
      </c>
      <c r="X267">
        <v>1.5676371579999999</v>
      </c>
      <c r="Y267">
        <v>-1.6200011729999999</v>
      </c>
      <c r="Z267">
        <v>2.6153860080000002</v>
      </c>
      <c r="AA267">
        <v>5.9168900000000004</v>
      </c>
      <c r="AB267">
        <v>4.0509709870000004</v>
      </c>
      <c r="AC267">
        <v>3.7944968399999999</v>
      </c>
      <c r="AD267">
        <v>4.9177967960000002</v>
      </c>
      <c r="AE267">
        <v>-1.4549607870000001</v>
      </c>
      <c r="AF267">
        <v>3.2062012009999998</v>
      </c>
      <c r="AG267">
        <v>3.4260396929999999</v>
      </c>
      <c r="AH267">
        <v>3.822726608</v>
      </c>
      <c r="AI267">
        <v>2.1594209649999998</v>
      </c>
      <c r="AJ267">
        <v>1.483172406</v>
      </c>
      <c r="AK267">
        <v>4.0540039999999999E-2</v>
      </c>
      <c r="AL267">
        <v>2.696098976</v>
      </c>
      <c r="AM267">
        <v>2.994514611</v>
      </c>
      <c r="AN267">
        <v>1.867329169</v>
      </c>
      <c r="AO267">
        <v>1.369326743</v>
      </c>
      <c r="AP267">
        <v>-0.56010572800000002</v>
      </c>
      <c r="AQ267">
        <v>1.192806365</v>
      </c>
      <c r="AR267">
        <v>0.70466292399999997</v>
      </c>
      <c r="AS267">
        <v>-1.4980363050000001</v>
      </c>
      <c r="AT267">
        <v>1.034900578</v>
      </c>
      <c r="AU267">
        <v>9.2280902559999998</v>
      </c>
      <c r="AV267">
        <v>1.9198446199999999</v>
      </c>
      <c r="AW267">
        <v>2.4771044930000001</v>
      </c>
    </row>
    <row r="268" spans="1:49" x14ac:dyDescent="0.2">
      <c r="A268" t="s">
        <v>332</v>
      </c>
      <c r="B268" s="74">
        <v>41640</v>
      </c>
      <c r="C268">
        <v>0.15671027300000001</v>
      </c>
      <c r="D268">
        <v>2.4683873200000002</v>
      </c>
      <c r="E268">
        <v>0.81516370800000004</v>
      </c>
      <c r="F268">
        <v>0.83789398000000004</v>
      </c>
      <c r="G268">
        <v>2.5892482160000001</v>
      </c>
      <c r="H268">
        <v>3.3844473329999998</v>
      </c>
      <c r="I268">
        <v>2.0698556539999999</v>
      </c>
      <c r="J268">
        <v>2.673551368</v>
      </c>
      <c r="K268">
        <v>7.7</v>
      </c>
      <c r="L268">
        <v>1.5822802579999999</v>
      </c>
      <c r="M268">
        <v>1.462650998</v>
      </c>
      <c r="N268">
        <v>1.479632236</v>
      </c>
      <c r="O268">
        <v>0.77153512599999996</v>
      </c>
      <c r="P268">
        <v>-0.26665421</v>
      </c>
      <c r="Q268">
        <v>-7.7655478E-2</v>
      </c>
      <c r="R268">
        <v>0.98196618599999996</v>
      </c>
      <c r="T268">
        <v>-0.23226391199999999</v>
      </c>
      <c r="U268">
        <v>1.3025479209999999</v>
      </c>
      <c r="V268">
        <v>2.2139289560000002</v>
      </c>
      <c r="X268">
        <v>2.3242632730000001</v>
      </c>
      <c r="Y268">
        <v>-0.19834191400000001</v>
      </c>
      <c r="Z268">
        <v>3.6484509389999999</v>
      </c>
      <c r="AA268">
        <v>6.9785599999999999</v>
      </c>
      <c r="AB268">
        <v>2.789948468</v>
      </c>
      <c r="AC268">
        <v>5.5862677349999998</v>
      </c>
      <c r="AD268">
        <v>5.1552110879999997</v>
      </c>
      <c r="AE268">
        <v>-0.92212318400000004</v>
      </c>
      <c r="AF268">
        <v>3.1517809720000001</v>
      </c>
      <c r="AG268">
        <v>3.809548274</v>
      </c>
      <c r="AH268">
        <v>1.1569753300000001</v>
      </c>
      <c r="AI268">
        <v>2.5314918319999999</v>
      </c>
      <c r="AJ268">
        <v>1.1852487220000001</v>
      </c>
      <c r="AK268">
        <v>1.3849673760000001</v>
      </c>
      <c r="AL268">
        <v>1.6829727139999999</v>
      </c>
      <c r="AM268">
        <v>1.680316838</v>
      </c>
      <c r="AN268">
        <v>2.3315135599999999</v>
      </c>
      <c r="AO268">
        <v>2.1753904620000002</v>
      </c>
      <c r="AP268">
        <v>2.1430560930000002</v>
      </c>
      <c r="AQ268">
        <v>1.708512002</v>
      </c>
      <c r="AR268">
        <v>1.405018141</v>
      </c>
      <c r="AS268">
        <v>2.4605922580000001</v>
      </c>
      <c r="AT268">
        <v>2.4415570010000001</v>
      </c>
      <c r="AU268">
        <v>7.7132791860000003</v>
      </c>
      <c r="AV268">
        <v>2.5320497780000002</v>
      </c>
      <c r="AW268">
        <v>2.5397362000000001</v>
      </c>
    </row>
    <row r="269" spans="1:49" x14ac:dyDescent="0.2">
      <c r="A269" t="s">
        <v>333</v>
      </c>
      <c r="B269" s="74">
        <v>41730</v>
      </c>
      <c r="C269">
        <v>-1.310203636</v>
      </c>
      <c r="D269">
        <v>2.8067354189999998</v>
      </c>
      <c r="E269">
        <v>0.72256100400000001</v>
      </c>
      <c r="F269">
        <v>1.55021681</v>
      </c>
      <c r="G269">
        <v>2.9226656379999998</v>
      </c>
      <c r="H269">
        <v>2.6328056470000001</v>
      </c>
      <c r="I269">
        <v>2.204294435</v>
      </c>
      <c r="J269">
        <v>2.174539421</v>
      </c>
      <c r="K269">
        <v>7.5</v>
      </c>
      <c r="L269">
        <v>1.4569164299999999</v>
      </c>
      <c r="M269">
        <v>2.9203837140000002</v>
      </c>
      <c r="N269">
        <v>1.1662242860000001</v>
      </c>
      <c r="O269">
        <v>1.524017398</v>
      </c>
      <c r="P269">
        <v>0.40843899</v>
      </c>
      <c r="Q269">
        <v>1.0782592769999999</v>
      </c>
      <c r="R269">
        <v>1.6355752139999999</v>
      </c>
      <c r="T269">
        <v>-0.146658286</v>
      </c>
      <c r="U269">
        <v>1.239631581</v>
      </c>
      <c r="V269">
        <v>1.7684584029999999</v>
      </c>
      <c r="X269">
        <v>3.0417599649999998</v>
      </c>
      <c r="Y269">
        <v>0.77144486199999995</v>
      </c>
      <c r="Z269">
        <v>4.2540329830000001</v>
      </c>
      <c r="AA269">
        <v>6.5155599999999998</v>
      </c>
      <c r="AB269">
        <v>7.5588771220000002</v>
      </c>
      <c r="AC269">
        <v>1.982873087</v>
      </c>
      <c r="AD269">
        <v>4.9176198879999999</v>
      </c>
      <c r="AE269">
        <v>0.22108551300000001</v>
      </c>
      <c r="AF269">
        <v>2.5837521059999999</v>
      </c>
      <c r="AG269">
        <v>3.8070263889999998</v>
      </c>
      <c r="AH269">
        <v>3.2773962619999999</v>
      </c>
      <c r="AI269">
        <v>2.1525545049999999</v>
      </c>
      <c r="AJ269">
        <v>1.635260393</v>
      </c>
      <c r="AK269">
        <v>0.96282617400000003</v>
      </c>
      <c r="AL269">
        <v>2.0588563290000002</v>
      </c>
      <c r="AM269">
        <v>3.5293436960000002</v>
      </c>
      <c r="AN269">
        <v>2.1153704790000001</v>
      </c>
      <c r="AO269">
        <v>3.1649133119999999</v>
      </c>
      <c r="AP269">
        <v>1.066874721</v>
      </c>
      <c r="AQ269">
        <v>0.95320027200000002</v>
      </c>
      <c r="AR269">
        <v>1.9931098169999999</v>
      </c>
      <c r="AS269">
        <v>2.341811839</v>
      </c>
      <c r="AT269">
        <v>1.9133207969999999</v>
      </c>
      <c r="AU269">
        <v>7.6831303159999997</v>
      </c>
      <c r="AV269">
        <v>1.294055859</v>
      </c>
      <c r="AW269">
        <v>1.609780985</v>
      </c>
    </row>
    <row r="270" spans="1:49" x14ac:dyDescent="0.2">
      <c r="A270" t="s">
        <v>334</v>
      </c>
      <c r="B270" s="74">
        <v>41821</v>
      </c>
      <c r="C270">
        <v>-2.4938688180000002</v>
      </c>
      <c r="D270">
        <v>2.8320432630000001</v>
      </c>
      <c r="E270">
        <v>1.194956468</v>
      </c>
      <c r="F270">
        <v>1.228594186</v>
      </c>
      <c r="G270">
        <v>-7.3711207000000001E-2</v>
      </c>
      <c r="H270">
        <v>2.972572204</v>
      </c>
      <c r="I270">
        <v>2.3075476629999998</v>
      </c>
      <c r="J270">
        <v>2.0259850030000002</v>
      </c>
      <c r="K270">
        <v>7.6</v>
      </c>
      <c r="L270">
        <v>2.0307244080000002</v>
      </c>
      <c r="M270">
        <v>1.832189168</v>
      </c>
      <c r="N270">
        <v>1.017899621</v>
      </c>
      <c r="O270">
        <v>1.202448137</v>
      </c>
      <c r="P270">
        <v>0.97080169299999997</v>
      </c>
      <c r="Q270">
        <v>1.7518064689999999</v>
      </c>
      <c r="R270">
        <v>1.3802810240000001</v>
      </c>
      <c r="T270">
        <v>-0.44364394699999998</v>
      </c>
      <c r="U270">
        <v>0.65489771299999999</v>
      </c>
      <c r="V270">
        <v>1.7998753620000001</v>
      </c>
      <c r="X270">
        <v>3.2416033780000002</v>
      </c>
      <c r="Y270">
        <v>0.35611283700000002</v>
      </c>
      <c r="Z270">
        <v>4.6174090430000003</v>
      </c>
      <c r="AA270">
        <v>7.4460699999999997</v>
      </c>
      <c r="AB270">
        <v>9.0862197429999991</v>
      </c>
      <c r="AC270">
        <v>0.38695502700000001</v>
      </c>
      <c r="AD270">
        <v>3.6579931010000002</v>
      </c>
      <c r="AE270">
        <v>0.135281596</v>
      </c>
      <c r="AF270">
        <v>-0.180310831</v>
      </c>
      <c r="AG270">
        <v>3.5112061159999999</v>
      </c>
      <c r="AH270">
        <v>3.2352589000000001E-2</v>
      </c>
      <c r="AI270">
        <v>2.743710766</v>
      </c>
      <c r="AJ270">
        <v>3.4855042470000002</v>
      </c>
      <c r="AK270">
        <v>1.737787301</v>
      </c>
      <c r="AL270">
        <v>2.075706131</v>
      </c>
      <c r="AM270">
        <v>2.8555089589999998</v>
      </c>
      <c r="AN270">
        <v>2.0609140149999998</v>
      </c>
      <c r="AO270">
        <v>3.2282247339999999</v>
      </c>
      <c r="AP270">
        <v>0.63991803300000005</v>
      </c>
      <c r="AQ270">
        <v>1.0951664050000001</v>
      </c>
      <c r="AR270">
        <v>2.4423543080000001</v>
      </c>
      <c r="AS270">
        <v>2.9162369209999999</v>
      </c>
      <c r="AT270">
        <v>2.8351369040000001</v>
      </c>
      <c r="AU270">
        <v>2.9147265529999999</v>
      </c>
      <c r="AV270">
        <v>2.451999168</v>
      </c>
      <c r="AW270">
        <v>1.274154405</v>
      </c>
    </row>
    <row r="271" spans="1:49" x14ac:dyDescent="0.2">
      <c r="A271" t="s">
        <v>335</v>
      </c>
      <c r="B271" s="74">
        <v>41913</v>
      </c>
      <c r="C271">
        <v>-3.8520035109999999</v>
      </c>
      <c r="D271">
        <v>2.5118603469999998</v>
      </c>
      <c r="E271">
        <v>0.80119724199999998</v>
      </c>
      <c r="F271">
        <v>1.6128872169999999</v>
      </c>
      <c r="G271">
        <v>-0.54353739400000001</v>
      </c>
      <c r="H271">
        <v>3.1197336029999998</v>
      </c>
      <c r="I271">
        <v>2.1358635100000001</v>
      </c>
      <c r="J271">
        <v>0.98871009600000004</v>
      </c>
      <c r="K271">
        <v>7.2</v>
      </c>
      <c r="L271">
        <v>2.8020098249999998</v>
      </c>
      <c r="M271">
        <v>1.7807423099999999</v>
      </c>
      <c r="N271">
        <v>2.0623688850000002</v>
      </c>
      <c r="O271">
        <v>1.3897924509999999</v>
      </c>
      <c r="P271">
        <v>1.7495709150000001</v>
      </c>
      <c r="Q271">
        <v>3.3727775590000002</v>
      </c>
      <c r="R271">
        <v>1.6043213810000001</v>
      </c>
      <c r="T271">
        <v>-0.406204538</v>
      </c>
      <c r="U271">
        <v>1.333885591</v>
      </c>
      <c r="V271">
        <v>1.9064787649999999</v>
      </c>
      <c r="X271">
        <v>3.2524989880000001</v>
      </c>
      <c r="Y271">
        <v>1.4190200559999999</v>
      </c>
      <c r="Z271">
        <v>3.9854962789999999</v>
      </c>
      <c r="AA271">
        <v>7.6836700000000002</v>
      </c>
      <c r="AB271">
        <v>7.6576164120000003</v>
      </c>
      <c r="AC271">
        <v>4.0898947510000001</v>
      </c>
      <c r="AD271">
        <v>3.5575122189999999</v>
      </c>
      <c r="AE271">
        <v>5.6674967E-2</v>
      </c>
      <c r="AF271">
        <v>-1.043209166</v>
      </c>
      <c r="AG271">
        <v>2.9520287679999999</v>
      </c>
      <c r="AH271">
        <v>1.8042385299999999</v>
      </c>
      <c r="AI271">
        <v>1.7989539880000001</v>
      </c>
      <c r="AJ271">
        <v>2.9036910730000001</v>
      </c>
      <c r="AK271">
        <v>1.380761087</v>
      </c>
      <c r="AL271">
        <v>1.509161811</v>
      </c>
      <c r="AM271">
        <v>3.5670286760000001</v>
      </c>
      <c r="AN271">
        <v>2.142461409</v>
      </c>
      <c r="AO271">
        <v>3.3086334040000001</v>
      </c>
      <c r="AP271">
        <v>0.87572742400000003</v>
      </c>
      <c r="AQ271">
        <v>0.73273804300000001</v>
      </c>
      <c r="AR271">
        <v>2.9562727359999998</v>
      </c>
      <c r="AS271">
        <v>3.5143486140000002</v>
      </c>
      <c r="AT271">
        <v>3.1034973909999999</v>
      </c>
      <c r="AU271">
        <v>3.921101733</v>
      </c>
      <c r="AV271">
        <v>2.831456926</v>
      </c>
      <c r="AW271">
        <v>1.280322755</v>
      </c>
    </row>
    <row r="272" spans="1:49" x14ac:dyDescent="0.2">
      <c r="A272" t="s">
        <v>336</v>
      </c>
      <c r="B272" s="74">
        <v>42005</v>
      </c>
      <c r="C272">
        <v>-2.3793909979999999</v>
      </c>
      <c r="D272">
        <v>2.0708308679999998</v>
      </c>
      <c r="E272">
        <v>0.48562117399999999</v>
      </c>
      <c r="F272">
        <v>1.9213437520000001</v>
      </c>
      <c r="G272">
        <v>-0.16355552900000001</v>
      </c>
      <c r="H272">
        <v>2.7538071400000002</v>
      </c>
      <c r="I272">
        <v>2.5907780819999999</v>
      </c>
      <c r="J272">
        <v>1.732415488</v>
      </c>
      <c r="K272">
        <v>7.3</v>
      </c>
      <c r="L272">
        <v>2.7398370609999998</v>
      </c>
      <c r="M272">
        <v>2.3100794499999999</v>
      </c>
      <c r="N272">
        <v>2.2228855059999999</v>
      </c>
      <c r="O272">
        <v>1.4726032419999999</v>
      </c>
      <c r="P272">
        <v>2.4535327589999998</v>
      </c>
      <c r="Q272">
        <v>4.9733398299999996</v>
      </c>
      <c r="R272">
        <v>1.692046296</v>
      </c>
      <c r="T272">
        <v>-0.46560926699999999</v>
      </c>
      <c r="U272">
        <v>0.62896718200000001</v>
      </c>
      <c r="V272">
        <v>1.8411737889999999</v>
      </c>
      <c r="X272">
        <v>3.2606366420000001</v>
      </c>
      <c r="Y272">
        <v>-0.28043537000000002</v>
      </c>
      <c r="Z272">
        <v>3.663901106</v>
      </c>
      <c r="AA272">
        <v>6.9806999999999997</v>
      </c>
      <c r="AB272">
        <v>8.6341169190000002</v>
      </c>
      <c r="AC272">
        <v>0.33647016899999999</v>
      </c>
      <c r="AD272">
        <v>4.2732973699999999</v>
      </c>
      <c r="AE272">
        <v>-9.9256405000000006E-2</v>
      </c>
      <c r="AF272">
        <v>-0.45999571900000003</v>
      </c>
      <c r="AG272">
        <v>2.5598391239999998</v>
      </c>
      <c r="AH272">
        <v>5.4076213080000004</v>
      </c>
      <c r="AI272">
        <v>1.4516120260000001</v>
      </c>
      <c r="AJ272">
        <v>3.4008484750000001</v>
      </c>
      <c r="AK272">
        <v>1.6436397220000001</v>
      </c>
      <c r="AL272">
        <v>2.932518752</v>
      </c>
      <c r="AM272">
        <v>4.9935713210000001</v>
      </c>
      <c r="AN272">
        <v>2.1894975250000002</v>
      </c>
      <c r="AO272">
        <v>3.7114785239999999</v>
      </c>
      <c r="AP272">
        <v>0.590349244</v>
      </c>
      <c r="AQ272">
        <v>-8.1162163999999995E-2</v>
      </c>
      <c r="AR272">
        <v>3.4943206729999998</v>
      </c>
      <c r="AS272">
        <v>1.6797770759999999</v>
      </c>
      <c r="AT272">
        <v>3.177413595</v>
      </c>
      <c r="AU272">
        <v>5.117751062</v>
      </c>
      <c r="AV272">
        <v>2.5637596660000002</v>
      </c>
      <c r="AW272">
        <v>1.4922992829999999</v>
      </c>
    </row>
    <row r="273" spans="1:49" x14ac:dyDescent="0.2">
      <c r="A273" t="s">
        <v>337</v>
      </c>
      <c r="B273" s="74">
        <v>42095</v>
      </c>
      <c r="C273">
        <v>0.56111001100000002</v>
      </c>
      <c r="D273">
        <v>2.2386300260000001</v>
      </c>
      <c r="E273">
        <v>0.90803481200000002</v>
      </c>
      <c r="F273">
        <v>2.0127212659999998</v>
      </c>
      <c r="G273">
        <v>-1.819129698</v>
      </c>
      <c r="H273">
        <v>2.0224016960000002</v>
      </c>
      <c r="I273">
        <v>1.8815493860000001</v>
      </c>
      <c r="J273">
        <v>2.120565815</v>
      </c>
      <c r="K273">
        <v>7.1</v>
      </c>
      <c r="L273">
        <v>5.2625680839999998</v>
      </c>
      <c r="M273">
        <v>0.80418888300000002</v>
      </c>
      <c r="N273">
        <v>2.6627859950000001</v>
      </c>
      <c r="O273">
        <v>1.6880259799999999</v>
      </c>
      <c r="P273">
        <v>3.2499426389999999</v>
      </c>
      <c r="Q273">
        <v>1.835318247</v>
      </c>
      <c r="R273">
        <v>1.9713466829999999</v>
      </c>
      <c r="T273">
        <v>-0.47114027400000003</v>
      </c>
      <c r="U273">
        <v>1.152407586</v>
      </c>
      <c r="V273">
        <v>2.34794064</v>
      </c>
      <c r="X273">
        <v>2.7240463529999999</v>
      </c>
      <c r="Y273">
        <v>0.316462309</v>
      </c>
      <c r="Z273">
        <v>4.5708110939999997</v>
      </c>
      <c r="AA273">
        <v>7.5361700000000003</v>
      </c>
      <c r="AB273">
        <v>26.64471378</v>
      </c>
      <c r="AC273">
        <v>1.5087250860000001</v>
      </c>
      <c r="AD273">
        <v>3.2926302679999999</v>
      </c>
      <c r="AE273">
        <v>8.3399103000000002E-2</v>
      </c>
      <c r="AF273">
        <v>0.25943617499999999</v>
      </c>
      <c r="AG273">
        <v>2.4768505649999999</v>
      </c>
      <c r="AH273">
        <v>2.565313454</v>
      </c>
      <c r="AI273">
        <v>3.0364307429999999</v>
      </c>
      <c r="AJ273">
        <v>3.252811414</v>
      </c>
      <c r="AK273">
        <v>2.3458801249999999</v>
      </c>
      <c r="AL273">
        <v>2.1363028220000002</v>
      </c>
      <c r="AM273">
        <v>3.774147277</v>
      </c>
      <c r="AN273">
        <v>2.638852199</v>
      </c>
      <c r="AO273">
        <v>4.1051629079999996</v>
      </c>
      <c r="AP273">
        <v>1.892981477</v>
      </c>
      <c r="AQ273">
        <v>-1.0901795750000001</v>
      </c>
      <c r="AR273">
        <v>4.8411200130000003</v>
      </c>
      <c r="AS273">
        <v>2.083325018</v>
      </c>
      <c r="AT273">
        <v>3.768394529</v>
      </c>
      <c r="AU273">
        <v>4.0856609300000004</v>
      </c>
      <c r="AV273">
        <v>3.7612027729999999</v>
      </c>
      <c r="AW273">
        <v>2.3666319580000001</v>
      </c>
    </row>
    <row r="274" spans="1:49" x14ac:dyDescent="0.2">
      <c r="A274" t="s">
        <v>338</v>
      </c>
      <c r="B274" s="74">
        <v>42186</v>
      </c>
      <c r="C274">
        <v>3.4617489689999998</v>
      </c>
      <c r="D274">
        <v>1.8733481249999999</v>
      </c>
      <c r="E274">
        <v>0.55100476799999998</v>
      </c>
      <c r="F274">
        <v>2.4263823590000002</v>
      </c>
      <c r="G274">
        <v>-2.6892977870000001</v>
      </c>
      <c r="H274">
        <v>0.82387143900000004</v>
      </c>
      <c r="I274">
        <v>1.518973661</v>
      </c>
      <c r="J274">
        <v>2.2649565310000002</v>
      </c>
      <c r="K274">
        <v>7.1</v>
      </c>
      <c r="L274">
        <v>5.703998414</v>
      </c>
      <c r="M274">
        <v>1.547263222</v>
      </c>
      <c r="N274">
        <v>3.2177876630000002</v>
      </c>
      <c r="O274">
        <v>1.958844692</v>
      </c>
      <c r="P274">
        <v>3.8745137500000002</v>
      </c>
      <c r="Q274">
        <v>3.421854036</v>
      </c>
      <c r="R274">
        <v>2.197517022</v>
      </c>
      <c r="T274">
        <v>0.87981565799999994</v>
      </c>
      <c r="U274">
        <v>1.181815488</v>
      </c>
      <c r="V274">
        <v>2.3300647319999999</v>
      </c>
      <c r="X274">
        <v>2.4782640640000002</v>
      </c>
      <c r="Y274">
        <v>0.51236092799999999</v>
      </c>
      <c r="Z274">
        <v>3.3257578209999998</v>
      </c>
      <c r="AA274">
        <v>7.3806200000000004</v>
      </c>
      <c r="AB274">
        <v>19.669272712000001</v>
      </c>
      <c r="AC274">
        <v>7.6627028189999997</v>
      </c>
      <c r="AD274">
        <v>2.6140771740000002</v>
      </c>
      <c r="AE274">
        <v>0.51540496599999996</v>
      </c>
      <c r="AF274">
        <v>2.2546608560000001</v>
      </c>
      <c r="AG274">
        <v>2.07600271</v>
      </c>
      <c r="AH274">
        <v>4.5764107000000003</v>
      </c>
      <c r="AI274">
        <v>4.0158606939999997</v>
      </c>
      <c r="AJ274">
        <v>3.1501975889999998</v>
      </c>
      <c r="AK274">
        <v>2.0636265050000002</v>
      </c>
      <c r="AL274">
        <v>1.9244281130000001</v>
      </c>
      <c r="AM274">
        <v>3.9957003599999998</v>
      </c>
      <c r="AN274">
        <v>2.7126046769999999</v>
      </c>
      <c r="AO274">
        <v>3.7437809120000001</v>
      </c>
      <c r="AP274">
        <v>1.857357964</v>
      </c>
      <c r="AQ274">
        <v>-2.2235911339999999</v>
      </c>
      <c r="AR274">
        <v>5.3428885619999997</v>
      </c>
      <c r="AS274">
        <v>1.914910466</v>
      </c>
      <c r="AT274">
        <v>3.9582855619999999</v>
      </c>
      <c r="AU274">
        <v>7.4143840340000002</v>
      </c>
      <c r="AV274">
        <v>3.039854675</v>
      </c>
      <c r="AW274">
        <v>1.1033660569999999</v>
      </c>
    </row>
    <row r="275" spans="1:49" x14ac:dyDescent="0.2">
      <c r="A275" t="s">
        <v>339</v>
      </c>
      <c r="B275" s="74">
        <v>42278</v>
      </c>
      <c r="C275">
        <v>4.3468238250000004</v>
      </c>
      <c r="D275">
        <v>2.4388545289999999</v>
      </c>
      <c r="E275">
        <v>1.2086590800000001</v>
      </c>
      <c r="F275">
        <v>1.918418379</v>
      </c>
      <c r="G275">
        <v>-4.206680607</v>
      </c>
      <c r="H275">
        <v>0.21933249699999999</v>
      </c>
      <c r="I275">
        <v>1.5610707239999999</v>
      </c>
      <c r="J275">
        <v>2.2930820359999999</v>
      </c>
      <c r="K275">
        <v>7</v>
      </c>
      <c r="L275">
        <v>5.7264859609999998</v>
      </c>
      <c r="M275">
        <v>1.4887932699999999</v>
      </c>
      <c r="N275">
        <v>1.824728012</v>
      </c>
      <c r="O275">
        <v>1.8966972769999999</v>
      </c>
      <c r="P275">
        <v>4.0514578180000003</v>
      </c>
      <c r="Q275">
        <v>2.8139948910000001</v>
      </c>
      <c r="R275">
        <v>2.1684846840000001</v>
      </c>
      <c r="T275">
        <v>0.48184543000000002</v>
      </c>
      <c r="U275">
        <v>0.834213133</v>
      </c>
      <c r="V275">
        <v>1.828493755</v>
      </c>
      <c r="X275">
        <v>2.1439057309999998</v>
      </c>
      <c r="Y275">
        <v>-2.4188572110000002</v>
      </c>
      <c r="Z275">
        <v>3.1172844820000001</v>
      </c>
      <c r="AA275">
        <v>7.4021699999999999</v>
      </c>
      <c r="AB275">
        <v>21.764570633999998</v>
      </c>
      <c r="AC275">
        <v>3.5332674050000001</v>
      </c>
      <c r="AD275">
        <v>1.9904984020000001</v>
      </c>
      <c r="AE275">
        <v>0.55257774800000004</v>
      </c>
      <c r="AF275">
        <v>2.263255746</v>
      </c>
      <c r="AG275">
        <v>3.2275622639999999</v>
      </c>
      <c r="AH275">
        <v>2.0051107419999998</v>
      </c>
      <c r="AI275">
        <v>4.293395587</v>
      </c>
      <c r="AJ275">
        <v>4.1380146910000004</v>
      </c>
      <c r="AK275">
        <v>2.159635363</v>
      </c>
      <c r="AL275">
        <v>2.6870977300000001</v>
      </c>
      <c r="AM275">
        <v>3.780905148</v>
      </c>
      <c r="AN275">
        <v>2.435336537</v>
      </c>
      <c r="AO275">
        <v>4.1839604980000002</v>
      </c>
      <c r="AP275">
        <v>1.876774457</v>
      </c>
      <c r="AQ275">
        <v>-1.72172671</v>
      </c>
      <c r="AR275">
        <v>5.5376372500000004</v>
      </c>
      <c r="AS275">
        <v>1.9502965649999999</v>
      </c>
      <c r="AT275">
        <v>4.6358705850000002</v>
      </c>
      <c r="AU275">
        <v>6.306599319</v>
      </c>
      <c r="AV275">
        <v>2.1826685110000001</v>
      </c>
      <c r="AW275">
        <v>1.0730239100000001</v>
      </c>
    </row>
    <row r="276" spans="1:49" x14ac:dyDescent="0.2">
      <c r="A276" t="s">
        <v>340</v>
      </c>
      <c r="B276" s="74">
        <v>42370</v>
      </c>
      <c r="C276">
        <v>2.5815807930000001</v>
      </c>
      <c r="D276">
        <v>2.6941980069999998</v>
      </c>
      <c r="E276">
        <v>1.241523605</v>
      </c>
      <c r="F276">
        <v>1.811273819</v>
      </c>
      <c r="G276">
        <v>-5.4501219010000002</v>
      </c>
      <c r="H276">
        <v>-0.39486916599999999</v>
      </c>
      <c r="I276">
        <v>1.380458875</v>
      </c>
      <c r="J276">
        <v>1.8995729969999999</v>
      </c>
      <c r="K276">
        <v>6.9</v>
      </c>
      <c r="L276">
        <v>5.1485031350000003</v>
      </c>
      <c r="M276">
        <v>1.115160562</v>
      </c>
      <c r="N276">
        <v>1.6868750180000001</v>
      </c>
      <c r="O276">
        <v>1.9925432460000001</v>
      </c>
      <c r="P276">
        <v>4.1689524850000002</v>
      </c>
      <c r="Q276">
        <v>1.109258802</v>
      </c>
      <c r="R276">
        <v>2.2575628980000002</v>
      </c>
      <c r="T276">
        <v>1.2873659390000001</v>
      </c>
      <c r="U276">
        <v>1.0696154550000001</v>
      </c>
      <c r="V276">
        <v>1.5972815300000001</v>
      </c>
      <c r="X276">
        <v>2.2332205009999999</v>
      </c>
      <c r="Y276">
        <v>0.39144111700000001</v>
      </c>
      <c r="Z276">
        <v>3.6033602440000001</v>
      </c>
      <c r="AA276">
        <v>7.92964</v>
      </c>
      <c r="AB276">
        <v>23.396748120000002</v>
      </c>
      <c r="AC276">
        <v>5.0601492500000003</v>
      </c>
      <c r="AD276">
        <v>1.581218319</v>
      </c>
      <c r="AE276">
        <v>1.4368921240000001</v>
      </c>
      <c r="AF276">
        <v>1.6201836999999999</v>
      </c>
      <c r="AG276">
        <v>3.4466806430000001</v>
      </c>
      <c r="AH276">
        <v>8.3731459999999994E-2</v>
      </c>
      <c r="AI276">
        <v>3.6017209299999999</v>
      </c>
      <c r="AJ276">
        <v>2.7103524700000001</v>
      </c>
      <c r="AK276">
        <v>1.2693553500000001</v>
      </c>
      <c r="AL276">
        <v>0.556183286</v>
      </c>
      <c r="AM276">
        <v>3.1965279400000002</v>
      </c>
      <c r="AN276">
        <v>2.1989681989999998</v>
      </c>
      <c r="AO276">
        <v>4.7958291170000003</v>
      </c>
      <c r="AP276">
        <v>1.5435730759999999</v>
      </c>
      <c r="AQ276">
        <v>-1.7438928440000001</v>
      </c>
      <c r="AR276">
        <v>5.1366525010000004</v>
      </c>
      <c r="AS276">
        <v>1.9654228330000001</v>
      </c>
      <c r="AT276">
        <v>4.5867670340000002</v>
      </c>
      <c r="AU276">
        <v>6.1170653310000001</v>
      </c>
      <c r="AV276">
        <v>1.874684059</v>
      </c>
      <c r="AW276">
        <v>0.75669968200000004</v>
      </c>
    </row>
    <row r="277" spans="1:49" x14ac:dyDescent="0.2">
      <c r="A277" t="s">
        <v>341</v>
      </c>
      <c r="B277" s="74">
        <v>42461</v>
      </c>
      <c r="C277">
        <v>0.20242117400000001</v>
      </c>
      <c r="D277">
        <v>2.6454956059999999</v>
      </c>
      <c r="E277">
        <v>1.747053588</v>
      </c>
      <c r="F277">
        <v>1.3427295400000001</v>
      </c>
      <c r="G277">
        <v>-6.1331299259999996</v>
      </c>
      <c r="H277">
        <v>0.70485855600000002</v>
      </c>
      <c r="I277">
        <v>1.9602627909999999</v>
      </c>
      <c r="J277">
        <v>2.4904616119999998</v>
      </c>
      <c r="K277">
        <v>6.9</v>
      </c>
      <c r="L277">
        <v>3.356089114</v>
      </c>
      <c r="M277">
        <v>2.4891676359999999</v>
      </c>
      <c r="N277">
        <v>2.1589061780000001</v>
      </c>
      <c r="O277">
        <v>1.913859939</v>
      </c>
      <c r="P277">
        <v>3.6877589450000001</v>
      </c>
      <c r="Q277">
        <v>4.2064561449999998</v>
      </c>
      <c r="R277">
        <v>2.062082143</v>
      </c>
      <c r="T277">
        <v>3.3404243089999999</v>
      </c>
      <c r="U277">
        <v>1.1686864459999999</v>
      </c>
      <c r="V277">
        <v>1.568375962</v>
      </c>
      <c r="X277">
        <v>2.1850476219999999</v>
      </c>
      <c r="Y277">
        <v>-1.1324622049999999</v>
      </c>
      <c r="Z277">
        <v>1.3697335230000001</v>
      </c>
      <c r="AA277">
        <v>9.2227399999999999</v>
      </c>
      <c r="AB277">
        <v>-1.632729777</v>
      </c>
      <c r="AC277">
        <v>3.77282261</v>
      </c>
      <c r="AD277">
        <v>2.2947655949999999</v>
      </c>
      <c r="AE277">
        <v>1.460613213</v>
      </c>
      <c r="AF277">
        <v>0.81015161800000002</v>
      </c>
      <c r="AG277">
        <v>2.9442992979999998</v>
      </c>
      <c r="AH277">
        <v>3.7904374939999999</v>
      </c>
      <c r="AI277">
        <v>3.9504331060000002</v>
      </c>
      <c r="AJ277">
        <v>2.7424898259999999</v>
      </c>
      <c r="AK277">
        <v>1.594983193</v>
      </c>
      <c r="AL277">
        <v>0.94976356900000003</v>
      </c>
      <c r="AM277">
        <v>4.0623260989999999</v>
      </c>
      <c r="AN277">
        <v>1.935832698</v>
      </c>
      <c r="AO277">
        <v>3.0221862389999998</v>
      </c>
      <c r="AP277">
        <v>1.3639343829999999</v>
      </c>
      <c r="AQ277">
        <v>-0.54547591600000001</v>
      </c>
      <c r="AR277">
        <v>3.1251700279999999</v>
      </c>
      <c r="AS277">
        <v>2.506242131</v>
      </c>
      <c r="AT277">
        <v>3.0968378259999998</v>
      </c>
      <c r="AU277">
        <v>4.5244235330000002</v>
      </c>
      <c r="AV277">
        <v>1.648190603</v>
      </c>
      <c r="AW277">
        <v>0.27304619200000002</v>
      </c>
    </row>
    <row r="278" spans="1:49" x14ac:dyDescent="0.2">
      <c r="A278" t="s">
        <v>342</v>
      </c>
      <c r="B278" s="74">
        <v>42552</v>
      </c>
      <c r="C278">
        <v>-3.652596859</v>
      </c>
      <c r="D278">
        <v>3.1832895030000001</v>
      </c>
      <c r="E278">
        <v>1.958065744</v>
      </c>
      <c r="F278">
        <v>1.219500485</v>
      </c>
      <c r="G278">
        <v>-3.4907184299999998</v>
      </c>
      <c r="H278">
        <v>0.48316809100000002</v>
      </c>
      <c r="I278">
        <v>2.1723722009999999</v>
      </c>
      <c r="J278">
        <v>0.98289163499999999</v>
      </c>
      <c r="K278">
        <v>6.8</v>
      </c>
      <c r="L278">
        <v>2.309209407</v>
      </c>
      <c r="M278">
        <v>2.190305049</v>
      </c>
      <c r="N278">
        <v>3.0586654449999999</v>
      </c>
      <c r="O278">
        <v>1.673768597</v>
      </c>
      <c r="P278">
        <v>3.0063532880000001</v>
      </c>
      <c r="Q278">
        <v>2.0085655450000002</v>
      </c>
      <c r="R278">
        <v>1.872336247</v>
      </c>
      <c r="T278">
        <v>1.9500500249999999</v>
      </c>
      <c r="U278">
        <v>0.75045560300000003</v>
      </c>
      <c r="V278">
        <v>1.3037790279999999</v>
      </c>
      <c r="X278">
        <v>2.181574415</v>
      </c>
      <c r="Y278">
        <v>-1.3121959860000001</v>
      </c>
      <c r="Z278">
        <v>2.6096046980000001</v>
      </c>
      <c r="AA278">
        <v>8.8371200000000005</v>
      </c>
      <c r="AB278">
        <v>2.3681613220000002</v>
      </c>
      <c r="AC278">
        <v>4.495068324</v>
      </c>
      <c r="AD278">
        <v>4.4692334809999998</v>
      </c>
      <c r="AE278">
        <v>1.234831805</v>
      </c>
      <c r="AF278">
        <v>0.52669115300000002</v>
      </c>
      <c r="AG278">
        <v>3.6852121050000002</v>
      </c>
      <c r="AH278">
        <v>4.6002528270000003</v>
      </c>
      <c r="AI278">
        <v>1.5143954390000001</v>
      </c>
      <c r="AJ278">
        <v>1.9898427620000001</v>
      </c>
      <c r="AK278">
        <v>1.521448039</v>
      </c>
      <c r="AL278">
        <v>0.38570639699999998</v>
      </c>
      <c r="AM278">
        <v>4.2966104720000002</v>
      </c>
      <c r="AN278">
        <v>1.7482734630000001</v>
      </c>
      <c r="AO278">
        <v>3.5618179460000001</v>
      </c>
      <c r="AP278">
        <v>1.3658777129999999</v>
      </c>
      <c r="AQ278">
        <v>0.17908624300000001</v>
      </c>
      <c r="AR278">
        <v>2.1075147219999999</v>
      </c>
      <c r="AS278">
        <v>3.143621676</v>
      </c>
      <c r="AT278">
        <v>2.1164279050000001</v>
      </c>
      <c r="AU278">
        <v>4.4287952639999997</v>
      </c>
      <c r="AV278">
        <v>1.36762965</v>
      </c>
      <c r="AW278">
        <v>1.224121386</v>
      </c>
    </row>
    <row r="279" spans="1:49" x14ac:dyDescent="0.2">
      <c r="A279" t="s">
        <v>343</v>
      </c>
      <c r="B279" s="74">
        <v>42644</v>
      </c>
      <c r="C279">
        <v>-3.241330552</v>
      </c>
      <c r="D279">
        <v>2.2586368349999999</v>
      </c>
      <c r="E279">
        <v>1.7232654190000001</v>
      </c>
      <c r="F279">
        <v>1.2037569480000001</v>
      </c>
      <c r="G279">
        <v>-2.4246543630000001</v>
      </c>
      <c r="H279">
        <v>1.1615540019999999</v>
      </c>
      <c r="I279">
        <v>2.263813013</v>
      </c>
      <c r="J279">
        <v>2.0197308430000001</v>
      </c>
      <c r="K279">
        <v>6.8</v>
      </c>
      <c r="L279">
        <v>1.9918709299999999</v>
      </c>
      <c r="M279">
        <v>1.990878004</v>
      </c>
      <c r="N279">
        <v>3.6204224250000001</v>
      </c>
      <c r="O279">
        <v>1.7369750349999999</v>
      </c>
      <c r="P279">
        <v>2.9560997950000001</v>
      </c>
      <c r="Q279">
        <v>2.3529915859999999</v>
      </c>
      <c r="R279">
        <v>1.8261920250000001</v>
      </c>
      <c r="T279">
        <v>3.1113124910000001</v>
      </c>
      <c r="U279">
        <v>0.80755813300000001</v>
      </c>
      <c r="V279">
        <v>1.491697541</v>
      </c>
      <c r="X279">
        <v>2.192470556</v>
      </c>
      <c r="Y279">
        <v>0.86927354800000001</v>
      </c>
      <c r="Z279">
        <v>2.3655273480000001</v>
      </c>
      <c r="AA279">
        <v>9.31297</v>
      </c>
      <c r="AB279">
        <v>-0.70400092800000003</v>
      </c>
      <c r="AC279">
        <v>7.4904621330000003</v>
      </c>
      <c r="AD279">
        <v>5.2643320720000002</v>
      </c>
      <c r="AE279">
        <v>1.5935725439999999</v>
      </c>
      <c r="AF279">
        <v>0.61620491200000005</v>
      </c>
      <c r="AG279">
        <v>2.6354831160000001</v>
      </c>
      <c r="AH279">
        <v>5.8566646850000001</v>
      </c>
      <c r="AI279">
        <v>0.90616286000000001</v>
      </c>
      <c r="AJ279">
        <v>1.7285582559999999</v>
      </c>
      <c r="AK279">
        <v>2.3025779239999999</v>
      </c>
      <c r="AL279">
        <v>-1.0816578640000001</v>
      </c>
      <c r="AM279">
        <v>4.1139854339999999</v>
      </c>
      <c r="AN279">
        <v>1.628311512</v>
      </c>
      <c r="AO279">
        <v>2.5199999289999999</v>
      </c>
      <c r="AP279">
        <v>2.4394637970000002</v>
      </c>
      <c r="AQ279">
        <v>8.6290206999999994E-2</v>
      </c>
      <c r="AR279">
        <v>1.319487842</v>
      </c>
      <c r="AS279">
        <v>3.387442241</v>
      </c>
      <c r="AT279">
        <v>1.046353654</v>
      </c>
      <c r="AU279">
        <v>3.2153910000000001E-2</v>
      </c>
      <c r="AV279">
        <v>1.648263356</v>
      </c>
      <c r="AW279">
        <v>0.75795112499999995</v>
      </c>
    </row>
    <row r="280" spans="1:49" x14ac:dyDescent="0.2">
      <c r="A280" t="s">
        <v>344</v>
      </c>
      <c r="B280" s="74">
        <v>42736</v>
      </c>
      <c r="C280">
        <v>-1.573593692</v>
      </c>
      <c r="D280">
        <v>2.7250735530000001</v>
      </c>
      <c r="E280">
        <v>2.5057469979999998</v>
      </c>
      <c r="F280">
        <v>1.300882844</v>
      </c>
      <c r="G280">
        <v>-1.858164758</v>
      </c>
      <c r="H280">
        <v>1.6534435869999999</v>
      </c>
      <c r="I280">
        <v>1.935801689</v>
      </c>
      <c r="J280">
        <v>1.1165946760000001</v>
      </c>
      <c r="K280">
        <v>6.9</v>
      </c>
      <c r="L280">
        <v>2.1722133690000001</v>
      </c>
      <c r="M280">
        <v>1.9126448899999999</v>
      </c>
      <c r="N280">
        <v>4.1349655670000001</v>
      </c>
      <c r="O280">
        <v>2.0261839780000002</v>
      </c>
      <c r="P280">
        <v>2.5183684369999999</v>
      </c>
      <c r="Q280">
        <v>3.782718483</v>
      </c>
      <c r="R280">
        <v>2.146925022</v>
      </c>
      <c r="T280">
        <v>2.8517788419999999</v>
      </c>
      <c r="U280">
        <v>1.204382681</v>
      </c>
      <c r="V280">
        <v>1.735014085</v>
      </c>
      <c r="X280">
        <v>2.1024753249999999</v>
      </c>
      <c r="Y280">
        <v>-0.29026818399999998</v>
      </c>
      <c r="Z280">
        <v>2.2099276899999998</v>
      </c>
      <c r="AA280">
        <v>8.5962200000000006</v>
      </c>
      <c r="AB280">
        <v>8.8997194420000003</v>
      </c>
      <c r="AC280">
        <v>9.2987644809999992</v>
      </c>
      <c r="AD280">
        <v>5.4816330769999997</v>
      </c>
      <c r="AE280">
        <v>1.3817250029999999</v>
      </c>
      <c r="AF280">
        <v>0.91783700300000004</v>
      </c>
      <c r="AG280">
        <v>2.5358551390000001</v>
      </c>
      <c r="AH280">
        <v>5.7000687680000004</v>
      </c>
      <c r="AI280">
        <v>2.285316522</v>
      </c>
      <c r="AJ280">
        <v>3.130269116</v>
      </c>
      <c r="AK280">
        <v>3.1424393519999998</v>
      </c>
      <c r="AL280">
        <v>1.1312105160000001</v>
      </c>
      <c r="AM280">
        <v>3.418609521</v>
      </c>
      <c r="AN280">
        <v>2.1295190370000001</v>
      </c>
      <c r="AO280">
        <v>3.5897645420000002</v>
      </c>
      <c r="AP280">
        <v>2.9010111080000001</v>
      </c>
      <c r="AQ280">
        <v>1.1729231419999999</v>
      </c>
      <c r="AR280">
        <v>1.2098544179999999</v>
      </c>
      <c r="AS280">
        <v>4.0526077679999997</v>
      </c>
      <c r="AT280">
        <v>1.1613296799999999</v>
      </c>
      <c r="AU280">
        <v>4.3261893249999996</v>
      </c>
      <c r="AV280">
        <v>2.0041770460000001</v>
      </c>
      <c r="AW280">
        <v>0.40827237799999999</v>
      </c>
    </row>
    <row r="281" spans="1:49" x14ac:dyDescent="0.2">
      <c r="A281" t="s">
        <v>345</v>
      </c>
      <c r="B281" s="74">
        <v>42826</v>
      </c>
      <c r="C281">
        <v>0.20602689399999999</v>
      </c>
      <c r="D281">
        <v>2.1169781649999999</v>
      </c>
      <c r="E281">
        <v>2.0677841460000002</v>
      </c>
      <c r="F281">
        <v>1.902990414</v>
      </c>
      <c r="G281">
        <v>0.74643699900000005</v>
      </c>
      <c r="H281">
        <v>2.1977790920000002</v>
      </c>
      <c r="I281">
        <v>1.6697427439999999</v>
      </c>
      <c r="J281">
        <v>-0.52932342899999996</v>
      </c>
      <c r="K281">
        <v>7</v>
      </c>
      <c r="L281">
        <v>3.695055354</v>
      </c>
      <c r="M281">
        <v>2.2810004309999998</v>
      </c>
      <c r="N281">
        <v>3.6226212389999999</v>
      </c>
      <c r="O281">
        <v>2.1725400530000001</v>
      </c>
      <c r="P281">
        <v>2.625222038</v>
      </c>
      <c r="Q281">
        <v>4.2397303290000004</v>
      </c>
      <c r="R281">
        <v>2.3786258949999999</v>
      </c>
      <c r="T281">
        <v>2.6352880089999999</v>
      </c>
      <c r="U281">
        <v>1.32449269</v>
      </c>
      <c r="V281">
        <v>1.7792323759999999</v>
      </c>
      <c r="X281">
        <v>2.4827228290000001</v>
      </c>
      <c r="Y281">
        <v>0.47825783500000002</v>
      </c>
      <c r="Z281">
        <v>4.2026155679999997</v>
      </c>
      <c r="AA281">
        <v>6.3765099999999997</v>
      </c>
      <c r="AB281">
        <v>8.0748199930000002</v>
      </c>
      <c r="AC281">
        <v>7.979591009</v>
      </c>
      <c r="AD281">
        <v>4.7870516859999999</v>
      </c>
      <c r="AE281">
        <v>1.5233211849999999</v>
      </c>
      <c r="AF281">
        <v>1.0084355540000001</v>
      </c>
      <c r="AG281">
        <v>3.2503629809999999</v>
      </c>
      <c r="AH281">
        <v>1.2621419380000001</v>
      </c>
      <c r="AI281">
        <v>1.9710127079999999</v>
      </c>
      <c r="AJ281">
        <v>3.0301900929999999</v>
      </c>
      <c r="AK281">
        <v>2.739287171</v>
      </c>
      <c r="AL281">
        <v>2.0007017939999998</v>
      </c>
      <c r="AM281">
        <v>3.2913575989999999</v>
      </c>
      <c r="AN281">
        <v>2.2236950549999999</v>
      </c>
      <c r="AO281">
        <v>4.8713845600000001</v>
      </c>
      <c r="AP281">
        <v>3.6220976340000002</v>
      </c>
      <c r="AQ281">
        <v>1.1846646649999999</v>
      </c>
      <c r="AR281">
        <v>2.0901086160000002</v>
      </c>
      <c r="AS281">
        <v>4.8879901710000002</v>
      </c>
      <c r="AT281">
        <v>1.7199110660000001</v>
      </c>
      <c r="AU281">
        <v>5.3733098119999996</v>
      </c>
      <c r="AV281">
        <v>1.8424163549999999</v>
      </c>
      <c r="AW281">
        <v>0.64192886000000005</v>
      </c>
    </row>
    <row r="282" spans="1:49" x14ac:dyDescent="0.2">
      <c r="A282" t="s">
        <v>346</v>
      </c>
      <c r="B282" s="74">
        <v>42917</v>
      </c>
      <c r="C282">
        <v>2.9815329099999999</v>
      </c>
      <c r="D282">
        <v>2.0872832680000002</v>
      </c>
      <c r="E282">
        <v>2.4162781990000002</v>
      </c>
      <c r="F282">
        <v>1.5909155589999999</v>
      </c>
      <c r="G282">
        <v>1.151342917</v>
      </c>
      <c r="H282">
        <v>3.75347556</v>
      </c>
      <c r="I282">
        <v>1.1667018840000001</v>
      </c>
      <c r="J282">
        <v>1.1306454459999999</v>
      </c>
      <c r="K282">
        <v>7</v>
      </c>
      <c r="L282">
        <v>5.9155029959999998</v>
      </c>
      <c r="M282">
        <v>2.6927048450000002</v>
      </c>
      <c r="N282">
        <v>3.3825010080000002</v>
      </c>
      <c r="O282">
        <v>2.738547778</v>
      </c>
      <c r="P282">
        <v>3.2481650160000002</v>
      </c>
      <c r="Q282">
        <v>6.2612676159999996</v>
      </c>
      <c r="R282">
        <v>2.9277808570000001</v>
      </c>
      <c r="T282">
        <v>3.7810613640000001</v>
      </c>
      <c r="U282">
        <v>2.4215310080000001</v>
      </c>
      <c r="V282">
        <v>2.1630764330000001</v>
      </c>
      <c r="X282">
        <v>2.3877467050000001</v>
      </c>
      <c r="Y282">
        <v>1.2515601970000001</v>
      </c>
      <c r="Z282">
        <v>4.0857345199999999</v>
      </c>
      <c r="AA282">
        <v>6.6658799999999996</v>
      </c>
      <c r="AB282">
        <v>8.5276120070000001</v>
      </c>
      <c r="AC282">
        <v>4.3426773949999999</v>
      </c>
      <c r="AD282">
        <v>3.8760078459999998</v>
      </c>
      <c r="AE282">
        <v>1.7973476799999999</v>
      </c>
      <c r="AF282">
        <v>1.5535550140000001</v>
      </c>
      <c r="AG282">
        <v>2.7486129250000002</v>
      </c>
      <c r="AH282">
        <v>1.191231353</v>
      </c>
      <c r="AI282">
        <v>3.7882919570000002</v>
      </c>
      <c r="AJ282">
        <v>2.9114302539999999</v>
      </c>
      <c r="AK282">
        <v>3.3994429880000001</v>
      </c>
      <c r="AL282">
        <v>3.0160792380000001</v>
      </c>
      <c r="AM282">
        <v>3.4241777020000002</v>
      </c>
      <c r="AN282">
        <v>2.5707242460000002</v>
      </c>
      <c r="AO282">
        <v>4.4324834790000001</v>
      </c>
      <c r="AP282">
        <v>3.8345971639999998</v>
      </c>
      <c r="AQ282">
        <v>1.828467195</v>
      </c>
      <c r="AR282">
        <v>2.7921009350000001</v>
      </c>
      <c r="AS282">
        <v>4.725107124</v>
      </c>
      <c r="AT282">
        <v>2.98713213</v>
      </c>
      <c r="AU282">
        <v>6.2557580340000003</v>
      </c>
      <c r="AV282">
        <v>2.0469128589999999</v>
      </c>
      <c r="AW282">
        <v>1.0934649860000001</v>
      </c>
    </row>
    <row r="283" spans="1:49" x14ac:dyDescent="0.2">
      <c r="A283" t="s">
        <v>347</v>
      </c>
      <c r="B283" s="74">
        <v>43009</v>
      </c>
      <c r="C283">
        <v>3.858284319</v>
      </c>
      <c r="D283">
        <v>2.9587245489999998</v>
      </c>
      <c r="E283">
        <v>2.5807803260000002</v>
      </c>
      <c r="F283">
        <v>1.3475889240000001</v>
      </c>
      <c r="G283">
        <v>1.9776421200000001</v>
      </c>
      <c r="H283">
        <v>3.12771636</v>
      </c>
      <c r="I283">
        <v>0.99234039900000004</v>
      </c>
      <c r="J283">
        <v>2.4323676349999999</v>
      </c>
      <c r="K283">
        <v>6.9</v>
      </c>
      <c r="L283">
        <v>5.8516788699999998</v>
      </c>
      <c r="M283">
        <v>3.1848497670000002</v>
      </c>
      <c r="N283">
        <v>2.1368106280000001</v>
      </c>
      <c r="O283">
        <v>3.0222048720000001</v>
      </c>
      <c r="P283">
        <v>3.0157711059999999</v>
      </c>
      <c r="Q283">
        <v>5.4903731240000004</v>
      </c>
      <c r="R283">
        <v>3.2378919549999998</v>
      </c>
      <c r="T283">
        <v>3.0046140330000002</v>
      </c>
      <c r="U283">
        <v>3.0082575149999999</v>
      </c>
      <c r="V283">
        <v>2.4303659440000001</v>
      </c>
      <c r="X283">
        <v>2.4635191509999999</v>
      </c>
      <c r="Y283">
        <v>2.0255130229999998</v>
      </c>
      <c r="Z283">
        <v>4.4791983230000003</v>
      </c>
      <c r="AA283">
        <v>5.9959899999999999</v>
      </c>
      <c r="AB283">
        <v>13.761330845</v>
      </c>
      <c r="AC283">
        <v>2.4855081440000002</v>
      </c>
      <c r="AD283">
        <v>4.31182672</v>
      </c>
      <c r="AE283">
        <v>1.7042108119999999</v>
      </c>
      <c r="AF283">
        <v>2.1597807530000002</v>
      </c>
      <c r="AG283">
        <v>3.7983424289999999</v>
      </c>
      <c r="AH283">
        <v>1.603742268</v>
      </c>
      <c r="AI283">
        <v>3.9648636509999999</v>
      </c>
      <c r="AJ283">
        <v>1.585817966</v>
      </c>
      <c r="AK283">
        <v>2.989957859</v>
      </c>
      <c r="AL283">
        <v>4.0414662039999998</v>
      </c>
      <c r="AM283">
        <v>3.3941939639999998</v>
      </c>
      <c r="AN283">
        <v>2.9739836780000002</v>
      </c>
      <c r="AO283">
        <v>5.3241680269999998</v>
      </c>
      <c r="AP283">
        <v>3.3428961410000002</v>
      </c>
      <c r="AQ283">
        <v>2.4172248299999999</v>
      </c>
      <c r="AR283">
        <v>3.242846519</v>
      </c>
      <c r="AS283">
        <v>4.6780647469999996</v>
      </c>
      <c r="AT283">
        <v>3.6245969310000001</v>
      </c>
      <c r="AU283">
        <v>11.051091386</v>
      </c>
      <c r="AV283">
        <v>2.2765395380000002</v>
      </c>
      <c r="AW283">
        <v>1.2917122889999999</v>
      </c>
    </row>
    <row r="284" spans="1:49" x14ac:dyDescent="0.2">
      <c r="A284" t="s">
        <v>348</v>
      </c>
      <c r="B284" s="74">
        <v>43101</v>
      </c>
      <c r="C284">
        <v>4.2540972869999996</v>
      </c>
      <c r="D284">
        <v>2.3466439239999999</v>
      </c>
      <c r="E284">
        <v>2.2512239959999998</v>
      </c>
      <c r="F284">
        <v>1.638432983</v>
      </c>
      <c r="G284">
        <v>2.614861463</v>
      </c>
      <c r="H284">
        <v>3.0831140669999999</v>
      </c>
      <c r="I284">
        <v>1.886506163</v>
      </c>
      <c r="J284">
        <v>3.2993218639999999</v>
      </c>
      <c r="K284">
        <v>6.8</v>
      </c>
      <c r="L284">
        <v>5.895675336</v>
      </c>
      <c r="M284">
        <v>3.7485309409999998</v>
      </c>
      <c r="N284">
        <v>2.171760752</v>
      </c>
      <c r="O284">
        <v>3.0993441160000001</v>
      </c>
      <c r="P284">
        <v>3.01123371</v>
      </c>
      <c r="Q284">
        <v>5.819980631</v>
      </c>
      <c r="R284">
        <v>3.2326517259999998</v>
      </c>
      <c r="T284">
        <v>3.3531688079999999</v>
      </c>
      <c r="U284">
        <v>3.0341978529999998</v>
      </c>
      <c r="V284">
        <v>2.7526907920000001</v>
      </c>
      <c r="X284">
        <v>2.4404836699999999</v>
      </c>
      <c r="Y284">
        <v>0.47712413799999998</v>
      </c>
      <c r="Z284">
        <v>5.0667168970000001</v>
      </c>
      <c r="AA284">
        <v>6.5372199999999996</v>
      </c>
      <c r="AB284">
        <v>7.7682426339999999</v>
      </c>
      <c r="AC284">
        <v>2.3493729339999998</v>
      </c>
      <c r="AD284">
        <v>4.6158425550000004</v>
      </c>
      <c r="AE284">
        <v>1.9381588620000001</v>
      </c>
      <c r="AF284">
        <v>2.0857971790000001</v>
      </c>
      <c r="AG284">
        <v>2.8428957659999998</v>
      </c>
      <c r="AH284">
        <v>1.237567772</v>
      </c>
      <c r="AI284">
        <v>3.47260875</v>
      </c>
      <c r="AJ284">
        <v>1.8330079420000001</v>
      </c>
      <c r="AK284">
        <v>2.9080108679999999</v>
      </c>
      <c r="AL284">
        <v>2.0814679049999998</v>
      </c>
      <c r="AM284">
        <v>3.879317618</v>
      </c>
      <c r="AN284">
        <v>2.9797394349999999</v>
      </c>
      <c r="AO284">
        <v>4.7967032630000004</v>
      </c>
      <c r="AP284">
        <v>3.2338227869999998</v>
      </c>
      <c r="AQ284">
        <v>1.6004158959999999</v>
      </c>
      <c r="AR284">
        <v>3.7846101609999998</v>
      </c>
      <c r="AS284">
        <v>6.1841056979999998</v>
      </c>
      <c r="AT284">
        <v>2.9005455269999998</v>
      </c>
      <c r="AU284">
        <v>7.2337548180000004</v>
      </c>
      <c r="AV284">
        <v>2.7943204119999998</v>
      </c>
      <c r="AW284">
        <v>1.603878997</v>
      </c>
    </row>
    <row r="285" spans="1:49" x14ac:dyDescent="0.2">
      <c r="A285" t="s">
        <v>349</v>
      </c>
      <c r="B285" s="74">
        <v>43191</v>
      </c>
      <c r="C285">
        <v>2.9849730349999999</v>
      </c>
      <c r="D285">
        <v>3.009578528</v>
      </c>
      <c r="E285">
        <v>2.6790393469999998</v>
      </c>
      <c r="F285">
        <v>1.400355705</v>
      </c>
      <c r="G285">
        <v>2.1415053049999999</v>
      </c>
      <c r="H285">
        <v>2.8672536530000001</v>
      </c>
      <c r="I285">
        <v>2.897957227</v>
      </c>
      <c r="J285">
        <v>5.0708987800000003</v>
      </c>
      <c r="K285">
        <v>6.9</v>
      </c>
      <c r="L285">
        <v>4.7408651590000002</v>
      </c>
      <c r="M285">
        <v>1.9193858720000001</v>
      </c>
      <c r="N285">
        <v>2.0272795459999999</v>
      </c>
      <c r="O285">
        <v>2.4004412980000001</v>
      </c>
      <c r="P285">
        <v>2.6451411949999999</v>
      </c>
      <c r="Q285">
        <v>4.3857249270000001</v>
      </c>
      <c r="R285">
        <v>2.5895327350000001</v>
      </c>
      <c r="T285">
        <v>2.6164103860000001</v>
      </c>
      <c r="U285">
        <v>2.3367923570000002</v>
      </c>
      <c r="V285">
        <v>2.448097078</v>
      </c>
      <c r="X285">
        <v>1.841136146</v>
      </c>
      <c r="Y285">
        <v>2.104759778</v>
      </c>
      <c r="Z285">
        <v>5.454315083</v>
      </c>
      <c r="AA285">
        <v>7.9577799999999996</v>
      </c>
      <c r="AB285">
        <v>12.316537002</v>
      </c>
      <c r="AC285">
        <v>6.7879099710000004</v>
      </c>
      <c r="AD285">
        <v>5.7244264869999997</v>
      </c>
      <c r="AE285">
        <v>1.3023369499999999</v>
      </c>
      <c r="AF285">
        <v>1.4432558390000001</v>
      </c>
      <c r="AG285">
        <v>3.0680296739999999</v>
      </c>
      <c r="AH285">
        <v>2.7643851910000001</v>
      </c>
      <c r="AI285">
        <v>3.2329960569999998</v>
      </c>
      <c r="AJ285">
        <v>2.4896003919999998</v>
      </c>
      <c r="AK285">
        <v>2.8282965359999999</v>
      </c>
      <c r="AL285">
        <v>1.8634494020000001</v>
      </c>
      <c r="AM285">
        <v>3.6006546639999999</v>
      </c>
      <c r="AN285">
        <v>2.878110473</v>
      </c>
      <c r="AO285">
        <v>5.115134995</v>
      </c>
      <c r="AP285">
        <v>2.7813323579999998</v>
      </c>
      <c r="AQ285">
        <v>2.770876817</v>
      </c>
      <c r="AR285">
        <v>3.7094059960000001</v>
      </c>
      <c r="AS285">
        <v>4.4804413409999997</v>
      </c>
      <c r="AT285">
        <v>2.8277047909999999</v>
      </c>
      <c r="AU285">
        <v>7.3394112570000001</v>
      </c>
      <c r="AV285">
        <v>3.0635033840000001</v>
      </c>
      <c r="AW285">
        <v>1.5508205669999999</v>
      </c>
    </row>
    <row r="286" spans="1:49" x14ac:dyDescent="0.2">
      <c r="A286" t="s">
        <v>350</v>
      </c>
      <c r="B286" s="74">
        <v>43282</v>
      </c>
      <c r="C286">
        <v>-2.696524825</v>
      </c>
      <c r="D286">
        <v>3.167341822</v>
      </c>
      <c r="E286">
        <v>2.264421939</v>
      </c>
      <c r="F286">
        <v>1.6295009709999999</v>
      </c>
      <c r="G286">
        <v>1.304909748</v>
      </c>
      <c r="H286">
        <v>2.6249711279999999</v>
      </c>
      <c r="I286">
        <v>3.721859093</v>
      </c>
      <c r="J286">
        <v>5.1223616090000004</v>
      </c>
      <c r="K286">
        <v>6.9</v>
      </c>
      <c r="L286">
        <v>2.8213163630000002</v>
      </c>
      <c r="M286">
        <v>1.7790967040000001</v>
      </c>
      <c r="N286">
        <v>1.4065674850000001</v>
      </c>
      <c r="O286">
        <v>2.1434648670000001</v>
      </c>
      <c r="P286">
        <v>2.1996272060000002</v>
      </c>
      <c r="Q286">
        <v>3.4752178589999998</v>
      </c>
      <c r="R286">
        <v>2.3595406429999999</v>
      </c>
      <c r="T286">
        <v>1.236440194</v>
      </c>
      <c r="U286">
        <v>1.9722671899999999</v>
      </c>
      <c r="V286">
        <v>2.458227527</v>
      </c>
      <c r="X286">
        <v>1.7587232450000001</v>
      </c>
      <c r="Y286">
        <v>1.714518459</v>
      </c>
      <c r="Z286">
        <v>5.1516395599999996</v>
      </c>
      <c r="AA286">
        <v>7.2048500000000004</v>
      </c>
      <c r="AB286">
        <v>12.827360401</v>
      </c>
      <c r="AC286">
        <v>5.1959914210000004</v>
      </c>
      <c r="AD286">
        <v>4.5495676749999996</v>
      </c>
      <c r="AE286">
        <v>0.90781299400000004</v>
      </c>
      <c r="AF286">
        <v>1.4229333310000001</v>
      </c>
      <c r="AG286">
        <v>2.9881552349999998</v>
      </c>
      <c r="AH286">
        <v>0.79390397499999998</v>
      </c>
      <c r="AI286">
        <v>3.9239146709999999</v>
      </c>
      <c r="AJ286">
        <v>2.139032786</v>
      </c>
      <c r="AK286">
        <v>2.5863521789999999</v>
      </c>
      <c r="AL286">
        <v>1.1948469509999999</v>
      </c>
      <c r="AM286">
        <v>3.6296651190000002</v>
      </c>
      <c r="AN286">
        <v>2.7727545889999998</v>
      </c>
      <c r="AO286">
        <v>5.5933285679999996</v>
      </c>
      <c r="AP286">
        <v>3.0618326900000001</v>
      </c>
      <c r="AQ286">
        <v>2.6356292149999998</v>
      </c>
      <c r="AR286">
        <v>3.9178296889999999</v>
      </c>
      <c r="AS286">
        <v>4.7170200610000004</v>
      </c>
      <c r="AT286">
        <v>2.5537577389999999</v>
      </c>
      <c r="AU286">
        <v>5.6363458079999997</v>
      </c>
      <c r="AV286">
        <v>3.2619828069999999</v>
      </c>
      <c r="AW286">
        <v>0.78878207499999997</v>
      </c>
    </row>
    <row r="287" spans="1:49" x14ac:dyDescent="0.2">
      <c r="A287" t="s">
        <v>351</v>
      </c>
      <c r="B287" s="74">
        <v>43374</v>
      </c>
      <c r="C287">
        <v>-4.1403685010000002</v>
      </c>
      <c r="D287">
        <v>2.604993355</v>
      </c>
      <c r="E287">
        <v>1.9989975820000001</v>
      </c>
      <c r="F287">
        <v>2.088414207</v>
      </c>
      <c r="G287">
        <v>2.0330408069999999</v>
      </c>
      <c r="H287">
        <v>2.8991055860000001</v>
      </c>
      <c r="I287">
        <v>2.830439894</v>
      </c>
      <c r="J287">
        <v>2.7753537129999999</v>
      </c>
      <c r="K287">
        <v>6.7</v>
      </c>
      <c r="L287">
        <v>2.6958511980000002</v>
      </c>
      <c r="M287">
        <v>0.239433443</v>
      </c>
      <c r="N287">
        <v>2.392719949</v>
      </c>
      <c r="O287">
        <v>1.374257058</v>
      </c>
      <c r="P287">
        <v>2.088722846</v>
      </c>
      <c r="Q287">
        <v>4.002419873</v>
      </c>
      <c r="R287">
        <v>1.6495932639999999</v>
      </c>
      <c r="T287">
        <v>0.69146950600000001</v>
      </c>
      <c r="U287">
        <v>1.4975048070000001</v>
      </c>
      <c r="V287">
        <v>2.0021810800000002</v>
      </c>
      <c r="X287">
        <v>1.799071447</v>
      </c>
      <c r="Y287">
        <v>0.376488186</v>
      </c>
      <c r="Z287">
        <v>5.732056568</v>
      </c>
      <c r="AA287">
        <v>6.9065399999999997</v>
      </c>
      <c r="AB287">
        <v>7.5619708049999996</v>
      </c>
      <c r="AC287">
        <v>4.6246886570000001</v>
      </c>
      <c r="AD287">
        <v>3.9254014669999999</v>
      </c>
      <c r="AE287">
        <v>0.60090036800000002</v>
      </c>
      <c r="AF287">
        <v>-8.1084499999999997E-3</v>
      </c>
      <c r="AG287">
        <v>2.2663272550000002</v>
      </c>
      <c r="AH287">
        <v>0.62394391000000005</v>
      </c>
      <c r="AI287">
        <v>4.6869615820000003</v>
      </c>
      <c r="AJ287">
        <v>2.8554728260000002</v>
      </c>
      <c r="AK287">
        <v>2.1069676249999998</v>
      </c>
      <c r="AL287">
        <v>1.139360105</v>
      </c>
      <c r="AM287">
        <v>3.043606461</v>
      </c>
      <c r="AN287">
        <v>2.2503488599999999</v>
      </c>
      <c r="AO287">
        <v>5.8250283029999999</v>
      </c>
      <c r="AP287">
        <v>2.8885880319999999</v>
      </c>
      <c r="AQ287">
        <v>2.1890012080000001</v>
      </c>
      <c r="AR287">
        <v>4.0916339759999998</v>
      </c>
      <c r="AS287">
        <v>5.0233382239999997</v>
      </c>
      <c r="AT287">
        <v>0.83795012800000002</v>
      </c>
      <c r="AU287">
        <v>2.3648859259999999</v>
      </c>
      <c r="AV287">
        <v>3.1539838329999998</v>
      </c>
      <c r="AW287">
        <v>1.8942322170000001</v>
      </c>
    </row>
    <row r="288" spans="1:49" x14ac:dyDescent="0.2">
      <c r="A288" t="s">
        <v>352</v>
      </c>
      <c r="B288" s="74">
        <v>43466</v>
      </c>
      <c r="C288">
        <v>-6.4542700149999996</v>
      </c>
      <c r="D288">
        <v>2.3345045240000002</v>
      </c>
      <c r="E288">
        <v>2.7105268370000002</v>
      </c>
      <c r="F288">
        <v>2.252565422</v>
      </c>
      <c r="G288">
        <v>1.2710083169999999</v>
      </c>
      <c r="H288">
        <v>2.717788724</v>
      </c>
      <c r="I288">
        <v>2.0152405980000001</v>
      </c>
      <c r="J288">
        <v>3.2065281680000002</v>
      </c>
      <c r="K288">
        <v>6.5</v>
      </c>
      <c r="L288">
        <v>2.619965863</v>
      </c>
      <c r="M288">
        <v>0.124539175</v>
      </c>
      <c r="N288">
        <v>2.1329458849999998</v>
      </c>
      <c r="O288">
        <v>1.195137484</v>
      </c>
      <c r="P288">
        <v>2.2105015269999999</v>
      </c>
      <c r="Q288">
        <v>3.5745267369999998</v>
      </c>
      <c r="R288">
        <v>1.4933654839999999</v>
      </c>
      <c r="T288">
        <v>4.2387099999999997E-2</v>
      </c>
      <c r="U288">
        <v>1.4958397210000001</v>
      </c>
      <c r="V288">
        <v>1.4824150410000001</v>
      </c>
      <c r="X288">
        <v>1.4246088779999999</v>
      </c>
      <c r="Y288">
        <v>1.969465051</v>
      </c>
      <c r="Z288">
        <v>5.2762226380000001</v>
      </c>
      <c r="AA288">
        <v>6.4484700000000004</v>
      </c>
      <c r="AB288">
        <v>3.3090213180000001</v>
      </c>
      <c r="AC288">
        <v>3.0645917599999999</v>
      </c>
      <c r="AD288">
        <v>3.1810394030000002</v>
      </c>
      <c r="AE288">
        <v>0.36328394200000003</v>
      </c>
      <c r="AF288">
        <v>-0.33189727800000002</v>
      </c>
      <c r="AG288">
        <v>3.3129777570000001</v>
      </c>
      <c r="AH288">
        <v>0.85941972600000005</v>
      </c>
      <c r="AI288">
        <v>4.9415475879999997</v>
      </c>
      <c r="AJ288">
        <v>1.2717121790000001</v>
      </c>
      <c r="AK288">
        <v>1.757897606</v>
      </c>
      <c r="AL288">
        <v>1.7531536780000001</v>
      </c>
      <c r="AM288">
        <v>3.4745459859999999</v>
      </c>
      <c r="AN288">
        <v>1.6244762669999999</v>
      </c>
      <c r="AO288">
        <v>4.9463500030000001</v>
      </c>
      <c r="AP288">
        <v>2.6677071969999999</v>
      </c>
      <c r="AQ288">
        <v>2.8459098599999999</v>
      </c>
      <c r="AR288">
        <v>3.4620861559999998</v>
      </c>
      <c r="AS288">
        <v>4.0271565699999998</v>
      </c>
      <c r="AT288">
        <v>1.902351747</v>
      </c>
      <c r="AU288">
        <v>-2.7259678190000001</v>
      </c>
      <c r="AV288">
        <v>2.3125836280000001</v>
      </c>
      <c r="AW288">
        <v>1.853040958</v>
      </c>
    </row>
    <row r="289" spans="1:49" x14ac:dyDescent="0.2">
      <c r="A289" t="s">
        <v>353</v>
      </c>
      <c r="B289" s="74">
        <v>43556</v>
      </c>
      <c r="C289">
        <v>-6.075449334</v>
      </c>
      <c r="D289">
        <v>1.8870481830000001</v>
      </c>
      <c r="E289">
        <v>2.3367842429999999</v>
      </c>
      <c r="F289">
        <v>2.0779868179999998</v>
      </c>
      <c r="G289">
        <v>1.0450203250000001</v>
      </c>
      <c r="H289">
        <v>1.918859114</v>
      </c>
      <c r="I289">
        <v>1.03378196</v>
      </c>
      <c r="J289">
        <v>1.7443579229999999</v>
      </c>
      <c r="K289">
        <v>6.3</v>
      </c>
      <c r="L289">
        <v>2.9978994559999999</v>
      </c>
      <c r="M289">
        <v>1.429591262</v>
      </c>
      <c r="N289">
        <v>1.39096194</v>
      </c>
      <c r="O289">
        <v>1.8343825760000001</v>
      </c>
      <c r="P289">
        <v>2.3955915870000002</v>
      </c>
      <c r="Q289">
        <v>4.4370391759999999</v>
      </c>
      <c r="R289">
        <v>2.0931120779999999</v>
      </c>
      <c r="T289">
        <v>0.48599249900000002</v>
      </c>
      <c r="U289">
        <v>2.1146012129999998</v>
      </c>
      <c r="V289">
        <v>1.6671982860000001</v>
      </c>
      <c r="X289">
        <v>1.91132407</v>
      </c>
      <c r="Y289">
        <v>1.176969224</v>
      </c>
      <c r="Z289">
        <v>5.4826640490000003</v>
      </c>
      <c r="AA289">
        <v>5.3142199999999997</v>
      </c>
      <c r="AB289">
        <v>5.1714744389999998</v>
      </c>
      <c r="AC289">
        <v>3.3967157459999999</v>
      </c>
      <c r="AD289">
        <v>3.6564718690000002</v>
      </c>
      <c r="AE289">
        <v>0.66475852899999999</v>
      </c>
      <c r="AF289">
        <v>-3.9980299999999996E-3</v>
      </c>
      <c r="AG289">
        <v>1.879306135</v>
      </c>
      <c r="AH289">
        <v>0.96063503500000003</v>
      </c>
      <c r="AI289">
        <v>4.1026008300000001</v>
      </c>
      <c r="AJ289">
        <v>0.192323616</v>
      </c>
      <c r="AK289">
        <v>2.0127447799999998</v>
      </c>
      <c r="AL289">
        <v>0.74241969200000002</v>
      </c>
      <c r="AM289">
        <v>3.2756230450000001</v>
      </c>
      <c r="AN289">
        <v>1.6740362559999999</v>
      </c>
      <c r="AO289">
        <v>5.5259554919999996</v>
      </c>
      <c r="AP289">
        <v>2.8263245879999999</v>
      </c>
      <c r="AQ289">
        <v>1.4313071719999999</v>
      </c>
      <c r="AR289">
        <v>3.599723842</v>
      </c>
      <c r="AS289">
        <v>4.5583153139999997</v>
      </c>
      <c r="AT289">
        <v>2.0987110750000002</v>
      </c>
      <c r="AU289">
        <v>-2.3115548330000002</v>
      </c>
      <c r="AV289">
        <v>2.1602281090000002</v>
      </c>
      <c r="AW289">
        <v>0.50852420300000001</v>
      </c>
    </row>
    <row r="290" spans="1:49" x14ac:dyDescent="0.2">
      <c r="A290" t="s">
        <v>354</v>
      </c>
      <c r="B290" s="74">
        <v>43647</v>
      </c>
      <c r="C290">
        <v>-0.77441722000000002</v>
      </c>
      <c r="D290">
        <v>1.6381076649999999</v>
      </c>
      <c r="E290">
        <v>1.7857136090000001</v>
      </c>
      <c r="F290">
        <v>2.0407413189999999</v>
      </c>
      <c r="G290">
        <v>1.663446537</v>
      </c>
      <c r="H290">
        <v>2.1268048070000001</v>
      </c>
      <c r="I290">
        <v>0.50572937200000001</v>
      </c>
      <c r="J290">
        <v>1.642385403</v>
      </c>
      <c r="K290">
        <v>6</v>
      </c>
      <c r="L290">
        <v>3.0712009079999998</v>
      </c>
      <c r="M290">
        <v>0.54668740400000004</v>
      </c>
      <c r="N290">
        <v>1.8979676830000001</v>
      </c>
      <c r="O290">
        <v>1.6087486790000001</v>
      </c>
      <c r="P290">
        <v>2.1515993010000001</v>
      </c>
      <c r="Q290">
        <v>3.7091255749999998</v>
      </c>
      <c r="R290">
        <v>1.8541801499999999</v>
      </c>
      <c r="T290">
        <v>1.4345887450000001</v>
      </c>
      <c r="U290">
        <v>2.3647017379999999</v>
      </c>
      <c r="V290">
        <v>1.5703651940000001</v>
      </c>
      <c r="X290">
        <v>1.561445046</v>
      </c>
      <c r="Y290">
        <v>2.1532966149999999</v>
      </c>
      <c r="Z290">
        <v>4.9472729710000003</v>
      </c>
      <c r="AA290">
        <v>5.0676500000000004</v>
      </c>
      <c r="AB290">
        <v>4.6543360680000001</v>
      </c>
      <c r="AC290">
        <v>1.7445857789999999</v>
      </c>
      <c r="AD290">
        <v>3.865965707</v>
      </c>
      <c r="AE290">
        <v>0.84684742199999996</v>
      </c>
      <c r="AF290">
        <v>-9.9579040000000001E-3</v>
      </c>
      <c r="AG290">
        <v>2.3078417999999998</v>
      </c>
      <c r="AH290">
        <v>3.3492714490000002</v>
      </c>
      <c r="AI290">
        <v>3.0180604870000001</v>
      </c>
      <c r="AJ290">
        <v>-0.22664424499999999</v>
      </c>
      <c r="AK290">
        <v>1.784177798</v>
      </c>
      <c r="AL290">
        <v>0.45862385700000002</v>
      </c>
      <c r="AM290">
        <v>2.6878806239999999</v>
      </c>
      <c r="AN290">
        <v>1.62958651</v>
      </c>
      <c r="AO290">
        <v>4.9535901280000001</v>
      </c>
      <c r="AP290">
        <v>2.613559736</v>
      </c>
      <c r="AQ290">
        <v>3.1498777059999998</v>
      </c>
      <c r="AR290">
        <v>2.7878860630000002</v>
      </c>
      <c r="AS290">
        <v>2.9520812740000002</v>
      </c>
      <c r="AT290">
        <v>1.67019523</v>
      </c>
      <c r="AU290">
        <v>-0.63993166800000001</v>
      </c>
      <c r="AV290">
        <v>2.1355406160000001</v>
      </c>
      <c r="AW290">
        <v>1.1304401500000001</v>
      </c>
    </row>
    <row r="291" spans="1:49" x14ac:dyDescent="0.2">
      <c r="A291" t="s">
        <v>355</v>
      </c>
      <c r="B291" s="74">
        <v>43739</v>
      </c>
      <c r="C291">
        <v>-0.36389459800000001</v>
      </c>
      <c r="D291">
        <v>2.0508177289999998</v>
      </c>
      <c r="E291">
        <v>1.819328144</v>
      </c>
      <c r="F291">
        <v>2.3285188639999999</v>
      </c>
      <c r="G291">
        <v>0.73116845699999999</v>
      </c>
      <c r="H291">
        <v>1.7581388549999999</v>
      </c>
      <c r="I291">
        <v>1.39423319</v>
      </c>
      <c r="J291">
        <v>2.3201484969999999</v>
      </c>
      <c r="K291">
        <v>5.9</v>
      </c>
      <c r="L291">
        <v>3.029280961</v>
      </c>
      <c r="M291">
        <v>1.4591850049999999</v>
      </c>
      <c r="N291">
        <v>1.751288661</v>
      </c>
      <c r="O291">
        <v>1.816280557</v>
      </c>
      <c r="P291">
        <v>1.9225259880000001</v>
      </c>
      <c r="Q291">
        <v>3.1250285029999998</v>
      </c>
      <c r="R291">
        <v>2.017512832</v>
      </c>
      <c r="T291">
        <v>1.594110793</v>
      </c>
      <c r="U291">
        <v>1.9832480539999999</v>
      </c>
      <c r="V291">
        <v>1.799175685</v>
      </c>
      <c r="X291">
        <v>1.617062864</v>
      </c>
      <c r="Y291">
        <v>2.3330118240000002</v>
      </c>
      <c r="Z291">
        <v>4.7487338069999998</v>
      </c>
      <c r="AA291">
        <v>4.3304799999999997</v>
      </c>
      <c r="AB291">
        <v>6.234417316</v>
      </c>
      <c r="AC291">
        <v>1.1237449420000001</v>
      </c>
      <c r="AD291">
        <v>4.1574185549999996</v>
      </c>
      <c r="AE291">
        <v>0.752962609</v>
      </c>
      <c r="AF291">
        <v>0.645640298</v>
      </c>
      <c r="AG291">
        <v>2.1012468540000002</v>
      </c>
      <c r="AH291">
        <v>2.4134375220000002</v>
      </c>
      <c r="AI291">
        <v>1.791459833</v>
      </c>
      <c r="AJ291">
        <v>-0.11585323</v>
      </c>
      <c r="AK291">
        <v>1.933298003</v>
      </c>
      <c r="AL291">
        <v>0.12496982399999999</v>
      </c>
      <c r="AM291">
        <v>3.2493959050000001</v>
      </c>
      <c r="AN291">
        <v>1.87912338</v>
      </c>
      <c r="AO291">
        <v>4.5171936620000004</v>
      </c>
      <c r="AP291">
        <v>2.5381828620000002</v>
      </c>
      <c r="AQ291">
        <v>1.894762912</v>
      </c>
      <c r="AR291">
        <v>2.0353367040000001</v>
      </c>
      <c r="AS291">
        <v>2.9625690589999998</v>
      </c>
      <c r="AT291">
        <v>2.6196232080000001</v>
      </c>
      <c r="AU291">
        <v>1.0554880099999999</v>
      </c>
      <c r="AV291">
        <v>2.3058278649999999</v>
      </c>
      <c r="AW291">
        <v>-1.2045512E-2</v>
      </c>
    </row>
    <row r="292" spans="1:49" x14ac:dyDescent="0.2">
      <c r="A292" t="s">
        <v>356</v>
      </c>
      <c r="B292" s="74">
        <v>43831</v>
      </c>
      <c r="C292">
        <v>-0.56832523400000001</v>
      </c>
      <c r="D292">
        <v>2.3509298589999998</v>
      </c>
      <c r="E292">
        <v>5.1168805999999997E-2</v>
      </c>
      <c r="F292">
        <v>1.9998730810000001</v>
      </c>
      <c r="G292">
        <v>1.433918896</v>
      </c>
      <c r="H292">
        <v>1.717385462</v>
      </c>
      <c r="I292">
        <v>1.72164154</v>
      </c>
      <c r="J292">
        <v>-2.8395391120000002</v>
      </c>
      <c r="K292">
        <v>5.8</v>
      </c>
      <c r="L292">
        <v>2.7680914240000001</v>
      </c>
      <c r="M292">
        <v>0.922106651</v>
      </c>
      <c r="N292">
        <v>0.93778172000000004</v>
      </c>
      <c r="O292">
        <v>1.1981313709999999</v>
      </c>
      <c r="P292">
        <v>1.474888274</v>
      </c>
      <c r="Q292">
        <v>3.1737117499999998</v>
      </c>
      <c r="R292">
        <v>1.4305479839999999</v>
      </c>
      <c r="T292">
        <v>1.3822932299999999</v>
      </c>
      <c r="U292">
        <v>1.080592907</v>
      </c>
      <c r="V292">
        <v>1.3654622380000001</v>
      </c>
      <c r="X292">
        <v>1.3309481089999999</v>
      </c>
      <c r="Y292">
        <v>1.3769598750000001</v>
      </c>
      <c r="Z292">
        <v>4.2652599220000003</v>
      </c>
      <c r="AA292">
        <v>3.3297599999999998</v>
      </c>
      <c r="AB292">
        <v>6.4242964469999997</v>
      </c>
      <c r="AC292">
        <v>3.402305395</v>
      </c>
      <c r="AD292">
        <v>4.1944716949999998</v>
      </c>
      <c r="AE292">
        <v>-0.33807104100000002</v>
      </c>
      <c r="AF292">
        <v>-2.0609396389999999</v>
      </c>
      <c r="AG292">
        <v>2.679990632</v>
      </c>
      <c r="AH292">
        <v>2.5859914449999999</v>
      </c>
      <c r="AI292">
        <v>1.2094713749999999</v>
      </c>
      <c r="AJ292">
        <v>-0.598109322</v>
      </c>
      <c r="AK292">
        <v>1.9137886749999999</v>
      </c>
      <c r="AL292">
        <v>1.599928164</v>
      </c>
      <c r="AM292">
        <v>2.2903879059999999</v>
      </c>
      <c r="AN292">
        <v>1.680495788</v>
      </c>
      <c r="AO292">
        <v>4.0468652220000001</v>
      </c>
      <c r="AP292">
        <v>2.754033556</v>
      </c>
      <c r="AQ292">
        <v>0.76465798799999996</v>
      </c>
      <c r="AR292">
        <v>2.024100244</v>
      </c>
      <c r="AS292">
        <v>3.2635414410000001</v>
      </c>
      <c r="AT292">
        <v>1.668987883</v>
      </c>
      <c r="AU292">
        <v>5.8034245589999998</v>
      </c>
      <c r="AV292">
        <v>2.5726308480000002</v>
      </c>
      <c r="AW292">
        <v>-0.39798515699999998</v>
      </c>
    </row>
    <row r="293" spans="1:49" x14ac:dyDescent="0.2">
      <c r="A293" t="s">
        <v>357</v>
      </c>
      <c r="B293" s="74">
        <v>43922</v>
      </c>
      <c r="C293">
        <v>-4.8504516300000002</v>
      </c>
      <c r="D293">
        <v>1.613254323</v>
      </c>
      <c r="E293">
        <v>-2.8604715010000001</v>
      </c>
      <c r="F293">
        <v>-1.4569033339999999</v>
      </c>
      <c r="G293">
        <v>-1.3643969709999999</v>
      </c>
      <c r="H293">
        <v>-0.567093183</v>
      </c>
      <c r="I293">
        <v>4.0369119000000002E-2</v>
      </c>
      <c r="J293">
        <v>-0.58501522800000005</v>
      </c>
      <c r="K293">
        <v>-6.9</v>
      </c>
      <c r="L293">
        <v>-1.462892348</v>
      </c>
      <c r="M293">
        <v>-1.220669794</v>
      </c>
      <c r="N293">
        <v>0.91726887300000004</v>
      </c>
      <c r="O293">
        <v>-2.8618423659999999</v>
      </c>
      <c r="P293">
        <v>-4.673702928</v>
      </c>
      <c r="Q293">
        <v>2.3504916429999998</v>
      </c>
      <c r="R293">
        <v>-2.2770135040000001</v>
      </c>
      <c r="T293">
        <v>0.51868855899999999</v>
      </c>
      <c r="U293">
        <v>-5.2076835910000003</v>
      </c>
      <c r="V293">
        <v>-0.96730991099999997</v>
      </c>
      <c r="X293">
        <v>-1.963017842</v>
      </c>
      <c r="Y293">
        <v>-1.415553364</v>
      </c>
      <c r="Z293">
        <v>1.7030851730000001</v>
      </c>
      <c r="AA293">
        <v>2.2841</v>
      </c>
      <c r="AB293">
        <v>7.5467265440000002</v>
      </c>
      <c r="AC293">
        <v>-4.080151968</v>
      </c>
      <c r="AD293">
        <v>1.231836395</v>
      </c>
      <c r="AE293">
        <v>-6.3775178520000004</v>
      </c>
      <c r="AF293">
        <v>-2.0426967029999998</v>
      </c>
      <c r="AG293">
        <v>1.5082656480000001</v>
      </c>
      <c r="AH293">
        <v>1.00410073</v>
      </c>
      <c r="AI293">
        <v>0.56194584299999994</v>
      </c>
      <c r="AJ293">
        <v>-1.571524862</v>
      </c>
      <c r="AK293">
        <v>-0.27441428000000001</v>
      </c>
      <c r="AL293">
        <v>0.50093595000000002</v>
      </c>
      <c r="AM293">
        <v>0.54162894500000003</v>
      </c>
      <c r="AN293">
        <v>-0.55509465700000005</v>
      </c>
      <c r="AO293">
        <v>2.6065272159999999</v>
      </c>
      <c r="AP293">
        <v>-2.5815983010000001</v>
      </c>
      <c r="AQ293">
        <v>0.60514174399999998</v>
      </c>
      <c r="AR293">
        <v>-2.7875257429999998</v>
      </c>
      <c r="AS293">
        <v>-2.2566214310000001</v>
      </c>
      <c r="AT293">
        <v>0.996559902</v>
      </c>
      <c r="AU293">
        <v>4.3693365369999997</v>
      </c>
      <c r="AV293">
        <v>0.82008298099999999</v>
      </c>
      <c r="AW293">
        <v>0.513294044</v>
      </c>
    </row>
    <row r="294" spans="1:49" x14ac:dyDescent="0.2">
      <c r="A294" t="s">
        <v>358</v>
      </c>
      <c r="B294" s="74">
        <v>44013</v>
      </c>
      <c r="C294">
        <v>-19.678730972</v>
      </c>
      <c r="D294">
        <v>-5.9748465519999998</v>
      </c>
      <c r="E294">
        <v>-13.56914164</v>
      </c>
      <c r="F294">
        <v>-13.297134727</v>
      </c>
      <c r="G294">
        <v>-10.706649822999999</v>
      </c>
      <c r="H294">
        <v>-12.414749165</v>
      </c>
      <c r="I294">
        <v>-7.4210790480000002</v>
      </c>
      <c r="J294">
        <v>-14.211913292</v>
      </c>
      <c r="K294">
        <v>3.1</v>
      </c>
      <c r="L294">
        <v>-10.782890147</v>
      </c>
      <c r="M294">
        <v>-10.435831326000001</v>
      </c>
      <c r="N294">
        <v>-6.3939764940000003</v>
      </c>
      <c r="O294">
        <v>-14.343991969999999</v>
      </c>
      <c r="P294">
        <v>-21.937066645000002</v>
      </c>
      <c r="Q294">
        <v>-4.7234485690000003</v>
      </c>
      <c r="R294">
        <v>-13.517459466</v>
      </c>
      <c r="T294">
        <v>-6.4772825989999996</v>
      </c>
      <c r="U294">
        <v>-18.593578764</v>
      </c>
      <c r="V294">
        <v>-11.48411728</v>
      </c>
      <c r="X294">
        <v>-22.627407624</v>
      </c>
      <c r="Y294">
        <v>-15.481819508999999</v>
      </c>
      <c r="Z294">
        <v>-13.110999346</v>
      </c>
      <c r="AA294">
        <v>-22.99906</v>
      </c>
      <c r="AB294">
        <v>-0.18581857299999999</v>
      </c>
      <c r="AC294">
        <v>-10.240516599999999</v>
      </c>
      <c r="AD294">
        <v>-7.94499274</v>
      </c>
      <c r="AE294">
        <v>-17.887970238000001</v>
      </c>
      <c r="AF294">
        <v>-10.266544911</v>
      </c>
      <c r="AG294">
        <v>-2.5967072330000001</v>
      </c>
      <c r="AH294">
        <v>-6.288990396</v>
      </c>
      <c r="AI294">
        <v>-7.0809930960000003</v>
      </c>
      <c r="AJ294">
        <v>-18.876815884999999</v>
      </c>
      <c r="AK294">
        <v>-8.5047473230000001</v>
      </c>
      <c r="AL294">
        <v>-4.3176342769999998</v>
      </c>
      <c r="AM294">
        <v>-10.392473452000001</v>
      </c>
      <c r="AN294">
        <v>-11.314038449</v>
      </c>
      <c r="AO294">
        <v>-7.4666263480000001</v>
      </c>
      <c r="AP294">
        <v>-17.780250957</v>
      </c>
      <c r="AQ294">
        <v>-6.0322870870000003</v>
      </c>
      <c r="AR294">
        <v>-10.129234687</v>
      </c>
      <c r="AS294">
        <v>-11.586933238</v>
      </c>
      <c r="AT294">
        <v>-7.6953849840000004</v>
      </c>
      <c r="AU294">
        <v>-8.6301506089999993</v>
      </c>
      <c r="AV294">
        <v>-8.3506401560000008</v>
      </c>
      <c r="AW294">
        <v>-17.007477874999999</v>
      </c>
    </row>
    <row r="295" spans="1:49" x14ac:dyDescent="0.2">
      <c r="A295" t="s">
        <v>359</v>
      </c>
      <c r="B295" s="74">
        <v>44105</v>
      </c>
      <c r="C295">
        <v>-10.27124396</v>
      </c>
      <c r="D295">
        <v>-3.4922396880000002</v>
      </c>
      <c r="E295">
        <v>-4.2465880250000003</v>
      </c>
      <c r="F295">
        <v>-3.6297608189999999</v>
      </c>
      <c r="G295">
        <v>-3.6740588860000001</v>
      </c>
      <c r="H295">
        <v>-4.8569047669999996</v>
      </c>
      <c r="I295">
        <v>-1.1985316189999999</v>
      </c>
      <c r="J295">
        <v>-9.8765115520000002</v>
      </c>
      <c r="K295">
        <v>4.8</v>
      </c>
      <c r="L295">
        <v>-5.2160091059999996</v>
      </c>
      <c r="M295">
        <v>-2.4800895889999999</v>
      </c>
      <c r="N295">
        <v>-1.437110479</v>
      </c>
      <c r="O295">
        <v>-3.7136426199999999</v>
      </c>
      <c r="P295">
        <v>-9.2168180829999997</v>
      </c>
      <c r="Q295">
        <v>-0.46681001999999999</v>
      </c>
      <c r="R295">
        <v>-3.5738036489999998</v>
      </c>
      <c r="T295">
        <v>-1.892300474</v>
      </c>
      <c r="U295">
        <v>-3.588460102</v>
      </c>
      <c r="V295">
        <v>-3.6172725969999999</v>
      </c>
      <c r="X295">
        <v>-10.324677638000001</v>
      </c>
      <c r="Y295">
        <v>-10.799349328</v>
      </c>
      <c r="Z295">
        <v>-4.2723923030000002</v>
      </c>
      <c r="AA295">
        <v>-6.0288899999999996</v>
      </c>
      <c r="AB295">
        <v>10.912805689000001</v>
      </c>
      <c r="AC295">
        <v>-7.4251536939999996</v>
      </c>
      <c r="AD295">
        <v>-1.137474992</v>
      </c>
      <c r="AE295">
        <v>-6.038217554</v>
      </c>
      <c r="AF295">
        <v>-5.3139635439999999</v>
      </c>
      <c r="AG295">
        <v>-0.83293149700000002</v>
      </c>
      <c r="AH295">
        <v>1.495865126</v>
      </c>
      <c r="AI295">
        <v>-1.8088624820000001</v>
      </c>
      <c r="AJ295">
        <v>-8.3292146670000005</v>
      </c>
      <c r="AK295">
        <v>-3.1942206839999998</v>
      </c>
      <c r="AL295">
        <v>-0.29212943899999999</v>
      </c>
      <c r="AM295">
        <v>1.020816653</v>
      </c>
      <c r="AN295">
        <v>-3.4490124990000002</v>
      </c>
      <c r="AO295">
        <v>-1.563538417</v>
      </c>
      <c r="AP295">
        <v>-6.2098525650000003</v>
      </c>
      <c r="AQ295">
        <v>-2.467576233</v>
      </c>
      <c r="AR295">
        <v>-2.2214338800000002</v>
      </c>
      <c r="AS295">
        <v>-2.0395331699999999</v>
      </c>
      <c r="AT295">
        <v>-1.095142786</v>
      </c>
      <c r="AU295">
        <v>5.6151393709999997</v>
      </c>
      <c r="AV295">
        <v>-2.0240101209999999</v>
      </c>
      <c r="AW295">
        <v>-5.7141756780000001</v>
      </c>
    </row>
    <row r="296" spans="1:49" x14ac:dyDescent="0.2">
      <c r="A296" t="s">
        <v>360</v>
      </c>
      <c r="B296" s="74">
        <v>44197</v>
      </c>
      <c r="C296">
        <v>-4.8511772820000001</v>
      </c>
      <c r="D296">
        <v>-0.68674386399999998</v>
      </c>
      <c r="E296">
        <v>-5.628579158</v>
      </c>
      <c r="F296">
        <v>-4.3523859470000001</v>
      </c>
      <c r="G296">
        <v>-0.96356350400000002</v>
      </c>
      <c r="H296">
        <v>-3.0624428049999999</v>
      </c>
      <c r="I296">
        <v>-1.484938841</v>
      </c>
      <c r="J296">
        <v>0.114690713</v>
      </c>
      <c r="K296">
        <v>6.4</v>
      </c>
      <c r="L296">
        <v>-4.596123382</v>
      </c>
      <c r="M296">
        <v>-2.1295454679999999</v>
      </c>
      <c r="N296">
        <v>-1.0395771659999999</v>
      </c>
      <c r="O296">
        <v>-4.0767567959999997</v>
      </c>
      <c r="P296">
        <v>-9.4669676190000001</v>
      </c>
      <c r="Q296">
        <v>1.036686379</v>
      </c>
      <c r="R296">
        <v>-3.8096905209999998</v>
      </c>
      <c r="T296">
        <v>-0.94204917499999996</v>
      </c>
      <c r="U296">
        <v>-4.1909825959999996</v>
      </c>
      <c r="V296">
        <v>-2.6434147430000001</v>
      </c>
      <c r="X296">
        <v>-9.2133274190000005</v>
      </c>
      <c r="Y296">
        <v>-6.8607796949999997</v>
      </c>
      <c r="Z296">
        <v>-3.3480615610000002</v>
      </c>
      <c r="AA296">
        <v>1.0043899999999999</v>
      </c>
      <c r="AB296">
        <v>4.2375851090000003</v>
      </c>
      <c r="AC296">
        <v>-5.6623083100000002</v>
      </c>
      <c r="AD296">
        <v>0.26702010700000001</v>
      </c>
      <c r="AE296">
        <v>-6.0748716680000001</v>
      </c>
      <c r="AF296">
        <v>-0.85435114700000003</v>
      </c>
      <c r="AG296">
        <v>-0.88911242599999996</v>
      </c>
      <c r="AH296">
        <v>0.68232695200000004</v>
      </c>
      <c r="AI296">
        <v>-0.36445034799999998</v>
      </c>
      <c r="AJ296">
        <v>-4.2390200619999998</v>
      </c>
      <c r="AK296">
        <v>-3.5561806900000001</v>
      </c>
      <c r="AL296">
        <v>-1.0686402209999999</v>
      </c>
      <c r="AM296">
        <v>0.27010435900000002</v>
      </c>
      <c r="AN296">
        <v>-2.493888138</v>
      </c>
      <c r="AO296">
        <v>-2.0684468819999999</v>
      </c>
      <c r="AP296">
        <v>-6.6286781799999996</v>
      </c>
      <c r="AQ296">
        <v>-1.2994789870000001</v>
      </c>
      <c r="AR296">
        <v>-2.3120423680000002</v>
      </c>
      <c r="AS296">
        <v>-3.7316571970000001</v>
      </c>
      <c r="AT296">
        <v>-1.549915377</v>
      </c>
      <c r="AU296">
        <v>5.3234167399999999</v>
      </c>
      <c r="AV296">
        <v>-1.5166199330000001</v>
      </c>
      <c r="AW296">
        <v>-3.137847324</v>
      </c>
    </row>
    <row r="297" spans="1:49" x14ac:dyDescent="0.2">
      <c r="A297" t="s">
        <v>361</v>
      </c>
      <c r="B297" s="74">
        <v>44287</v>
      </c>
      <c r="C297">
        <v>2.8849033400000001</v>
      </c>
      <c r="D297">
        <v>1.475570472</v>
      </c>
      <c r="E297">
        <v>-4.1381193410000003</v>
      </c>
      <c r="F297">
        <v>6.1487068999999998E-2</v>
      </c>
      <c r="G297">
        <v>2.5140877480000001</v>
      </c>
      <c r="H297">
        <v>0.15774503100000001</v>
      </c>
      <c r="I297">
        <v>-0.100505185</v>
      </c>
      <c r="J297">
        <v>1.536307045</v>
      </c>
      <c r="K297">
        <v>18.3</v>
      </c>
      <c r="L297">
        <v>-1.9074280729999999</v>
      </c>
      <c r="M297">
        <v>-2.1745039080000002</v>
      </c>
      <c r="N297">
        <v>0.24588186100000001</v>
      </c>
      <c r="O297">
        <v>-0.80290243900000002</v>
      </c>
      <c r="P297">
        <v>-4.4298028690000004</v>
      </c>
      <c r="Q297">
        <v>2.9222689910000001</v>
      </c>
      <c r="R297">
        <v>-0.77568483899999996</v>
      </c>
      <c r="T297">
        <v>-1.051200251</v>
      </c>
      <c r="U297">
        <v>1.527283344</v>
      </c>
      <c r="V297">
        <v>-0.33091702499999998</v>
      </c>
      <c r="X297">
        <v>-7.8409558749999997</v>
      </c>
      <c r="Y297">
        <v>-1.7830701410000001</v>
      </c>
      <c r="Z297">
        <v>-1.6353422929999999</v>
      </c>
      <c r="AA297">
        <v>1.4560599999999999</v>
      </c>
      <c r="AB297">
        <v>10.709855393</v>
      </c>
      <c r="AC297">
        <v>-2.8509284799999999</v>
      </c>
      <c r="AD297">
        <v>1.428618454</v>
      </c>
      <c r="AE297">
        <v>5.6934296000000002E-2</v>
      </c>
      <c r="AF297">
        <v>-1.7353631819999999</v>
      </c>
      <c r="AG297">
        <v>2.1863227329999999</v>
      </c>
      <c r="AH297">
        <v>3.9395528689999999</v>
      </c>
      <c r="AI297">
        <v>-1.366574293</v>
      </c>
      <c r="AJ297">
        <v>-2.8708536690000002</v>
      </c>
      <c r="AK297">
        <v>-2.0582405580000001</v>
      </c>
      <c r="AL297">
        <v>0.199577116</v>
      </c>
      <c r="AM297">
        <v>3.1825873659999999</v>
      </c>
      <c r="AN297">
        <v>-9.1797946000000005E-2</v>
      </c>
      <c r="AO297">
        <v>-1.1277082140000001</v>
      </c>
      <c r="AP297">
        <v>-4.8860028690000004</v>
      </c>
      <c r="AQ297">
        <v>-0.43206129399999998</v>
      </c>
      <c r="AR297">
        <v>0.21564259699999999</v>
      </c>
      <c r="AS297">
        <v>2.6674388690000002</v>
      </c>
      <c r="AT297">
        <v>0.12839677399999999</v>
      </c>
      <c r="AU297">
        <v>7.5204449159999998</v>
      </c>
      <c r="AV297">
        <v>1.1919350500000001</v>
      </c>
      <c r="AW297">
        <v>-2.3414245220000001</v>
      </c>
    </row>
    <row r="298" spans="1:49" x14ac:dyDescent="0.2">
      <c r="A298" t="s">
        <v>362</v>
      </c>
      <c r="B298" s="74">
        <v>44378</v>
      </c>
      <c r="C298">
        <v>20.084307076000002</v>
      </c>
      <c r="D298">
        <v>9.7791374139999991</v>
      </c>
      <c r="E298">
        <v>12.519791808000001</v>
      </c>
      <c r="F298">
        <v>15.175465016</v>
      </c>
      <c r="G298">
        <v>12.29464308</v>
      </c>
      <c r="H298">
        <v>11.698831984</v>
      </c>
      <c r="I298">
        <v>9.6135937570000003</v>
      </c>
      <c r="J298">
        <v>18.2025012</v>
      </c>
      <c r="K298">
        <v>7.9</v>
      </c>
      <c r="L298">
        <v>9.1293429489999998</v>
      </c>
      <c r="M298">
        <v>10.156264054999999</v>
      </c>
      <c r="N298">
        <v>9.0197034810000005</v>
      </c>
      <c r="O298">
        <v>14.376851167</v>
      </c>
      <c r="P298">
        <v>17.875245591999999</v>
      </c>
      <c r="Q298">
        <v>13.491333267</v>
      </c>
      <c r="R298">
        <v>13.896517725000001</v>
      </c>
      <c r="T298">
        <v>7.1116725809999997</v>
      </c>
      <c r="U298">
        <v>18.646468769999998</v>
      </c>
      <c r="V298">
        <v>12.96899971</v>
      </c>
      <c r="X298">
        <v>24.274075138000001</v>
      </c>
      <c r="Y298">
        <v>15.022411736</v>
      </c>
      <c r="Z298">
        <v>17.618476325</v>
      </c>
      <c r="AA298">
        <v>19.922979999999999</v>
      </c>
      <c r="AB298">
        <v>19.470430607000001</v>
      </c>
      <c r="AC298">
        <v>8.9118802010000007</v>
      </c>
      <c r="AD298">
        <v>15.417978567</v>
      </c>
      <c r="AE298">
        <v>16.667008710000001</v>
      </c>
      <c r="AF298">
        <v>7.26929216</v>
      </c>
      <c r="AG298">
        <v>6.2541347370000002</v>
      </c>
      <c r="AH298">
        <v>10.791201427000001</v>
      </c>
      <c r="AI298">
        <v>9.4223949359999999</v>
      </c>
      <c r="AJ298">
        <v>19.512244189</v>
      </c>
      <c r="AK298">
        <v>10.354667796999999</v>
      </c>
      <c r="AL298">
        <v>5.8545215170000002</v>
      </c>
      <c r="AM298">
        <v>17.854048997</v>
      </c>
      <c r="AN298">
        <v>13.31614225</v>
      </c>
      <c r="AO298">
        <v>10.956546573000001</v>
      </c>
      <c r="AP298">
        <v>17.014559863999999</v>
      </c>
      <c r="AQ298">
        <v>7.5695837170000004</v>
      </c>
      <c r="AR298">
        <v>9.9675777439999997</v>
      </c>
      <c r="AS298">
        <v>15.798531768</v>
      </c>
      <c r="AT298">
        <v>9.8904094610000008</v>
      </c>
      <c r="AU298">
        <v>22.355880781</v>
      </c>
      <c r="AV298">
        <v>12.460854405999999</v>
      </c>
      <c r="AW298">
        <v>19.429486458</v>
      </c>
    </row>
    <row r="299" spans="1:49" x14ac:dyDescent="0.2">
      <c r="A299" t="s">
        <v>363</v>
      </c>
      <c r="B299" s="74">
        <v>44470</v>
      </c>
      <c r="C299">
        <v>11.450830641</v>
      </c>
      <c r="D299">
        <v>4.1320797889999996</v>
      </c>
      <c r="E299">
        <v>5.3946967649999999</v>
      </c>
      <c r="F299">
        <v>5.0956005199999996</v>
      </c>
      <c r="G299">
        <v>4.0470448149999996</v>
      </c>
      <c r="H299">
        <v>3.8314741250000002</v>
      </c>
      <c r="I299">
        <v>3.9755077139999999</v>
      </c>
      <c r="J299">
        <v>17.199935324999998</v>
      </c>
      <c r="K299">
        <v>4.9000000000000004</v>
      </c>
      <c r="L299">
        <v>3.7680622129999999</v>
      </c>
      <c r="M299">
        <v>1.849972384</v>
      </c>
      <c r="N299">
        <v>3.856257914</v>
      </c>
      <c r="O299">
        <v>3.7386762930000002</v>
      </c>
      <c r="P299">
        <v>4.2019749280000003</v>
      </c>
      <c r="Q299">
        <v>9.16083654</v>
      </c>
      <c r="R299">
        <v>3.975475222</v>
      </c>
      <c r="T299">
        <v>3.072972016</v>
      </c>
      <c r="U299">
        <v>3.5644573849999999</v>
      </c>
      <c r="V299">
        <v>4.2273678009999998</v>
      </c>
      <c r="X299">
        <v>8.4556581909999995</v>
      </c>
      <c r="Y299">
        <v>11.744111022</v>
      </c>
      <c r="Z299">
        <v>6.5592002159999998</v>
      </c>
      <c r="AA299">
        <v>8.5166900000000005</v>
      </c>
      <c r="AB299">
        <v>10.154665889</v>
      </c>
      <c r="AC299">
        <v>7.0131604159999998</v>
      </c>
      <c r="AD299">
        <v>8.1061396279999993</v>
      </c>
      <c r="AE299">
        <v>4.7976086369999997</v>
      </c>
      <c r="AF299">
        <v>1.2042792710000001</v>
      </c>
      <c r="AG299">
        <v>4.0381180829999996</v>
      </c>
      <c r="AH299">
        <v>2.0075684649999999</v>
      </c>
      <c r="AI299">
        <v>4.3707144849999997</v>
      </c>
      <c r="AJ299">
        <v>4.5986288310000001</v>
      </c>
      <c r="AK299">
        <v>5.4679888830000003</v>
      </c>
      <c r="AL299">
        <v>5.3598883390000003</v>
      </c>
      <c r="AM299">
        <v>-0.40389568799999997</v>
      </c>
      <c r="AN299">
        <v>4.7866505549999996</v>
      </c>
      <c r="AO299">
        <v>6.0625869449999996</v>
      </c>
      <c r="AP299">
        <v>4.9584721280000004</v>
      </c>
      <c r="AQ299">
        <v>3.830445643</v>
      </c>
      <c r="AR299">
        <v>1.2400711369999999</v>
      </c>
      <c r="AS299">
        <v>4.7986478540000004</v>
      </c>
      <c r="AT299">
        <v>4.0584145219999996</v>
      </c>
      <c r="AU299">
        <v>8.6709481190000002</v>
      </c>
      <c r="AV299">
        <v>4.9556544809999998</v>
      </c>
      <c r="AW299">
        <v>3.0877572529999999</v>
      </c>
    </row>
    <row r="300" spans="1:49" x14ac:dyDescent="0.2">
      <c r="A300" t="s">
        <v>364</v>
      </c>
      <c r="B300" s="74">
        <v>44562</v>
      </c>
      <c r="C300">
        <v>8.6495924829999993</v>
      </c>
      <c r="D300">
        <v>4.5497027780000003</v>
      </c>
      <c r="E300">
        <v>6.0547648729999999</v>
      </c>
      <c r="F300">
        <v>5.6655144220000002</v>
      </c>
      <c r="G300">
        <v>1.626850897</v>
      </c>
      <c r="H300">
        <v>3.232168148</v>
      </c>
      <c r="I300">
        <v>3.8093970060000002</v>
      </c>
      <c r="J300">
        <v>11.752855284000001</v>
      </c>
      <c r="K300">
        <v>4</v>
      </c>
      <c r="L300">
        <v>3.4667140779999999</v>
      </c>
      <c r="M300">
        <v>1.1924143519999999</v>
      </c>
      <c r="N300">
        <v>6.5685527940000004</v>
      </c>
      <c r="O300">
        <v>4.6032586059999998</v>
      </c>
      <c r="P300">
        <v>6.6253351580000004</v>
      </c>
      <c r="Q300">
        <v>7.1868837990000003</v>
      </c>
      <c r="R300">
        <v>4.8186936810000001</v>
      </c>
      <c r="T300">
        <v>3.0129906659999999</v>
      </c>
      <c r="U300">
        <v>5.0377940570000002</v>
      </c>
      <c r="V300">
        <v>4.6788046059999999</v>
      </c>
      <c r="X300">
        <v>8.8922944699999995</v>
      </c>
      <c r="Y300">
        <v>8.2981883570000008</v>
      </c>
      <c r="Z300">
        <v>7.400184533</v>
      </c>
      <c r="AA300">
        <v>5.4946799999999998</v>
      </c>
      <c r="AB300">
        <v>13.926964039</v>
      </c>
      <c r="AC300">
        <v>4.9309896049999997</v>
      </c>
      <c r="AD300">
        <v>10.530576124</v>
      </c>
      <c r="AE300">
        <v>6.5635615280000001</v>
      </c>
      <c r="AF300">
        <v>0.531323608</v>
      </c>
      <c r="AG300">
        <v>4.1656121209999997</v>
      </c>
      <c r="AH300">
        <v>4.062100236</v>
      </c>
      <c r="AI300">
        <v>2.4617080150000001</v>
      </c>
      <c r="AJ300">
        <v>1.2140439279999999</v>
      </c>
      <c r="AK300">
        <v>6.1761755970000003</v>
      </c>
      <c r="AL300">
        <v>4.736816245</v>
      </c>
      <c r="AM300">
        <v>3.035080201</v>
      </c>
      <c r="AN300">
        <v>5.1272762500000004</v>
      </c>
      <c r="AO300">
        <v>7.9797611740000001</v>
      </c>
      <c r="AP300">
        <v>6.5983255439999997</v>
      </c>
      <c r="AR300">
        <v>1.210877991</v>
      </c>
      <c r="AS300">
        <v>10.439706136</v>
      </c>
      <c r="AT300">
        <v>5.6545831949999998</v>
      </c>
      <c r="AU300">
        <v>9.1987870730000001</v>
      </c>
      <c r="AV300">
        <v>5.7171000909999998</v>
      </c>
      <c r="AW300">
        <v>1.7551585190000001</v>
      </c>
    </row>
    <row r="301" spans="1:49" x14ac:dyDescent="0.2">
      <c r="A301" t="s">
        <v>365</v>
      </c>
      <c r="B301" s="74">
        <v>44652</v>
      </c>
      <c r="C301">
        <v>6.1452764159999997</v>
      </c>
      <c r="D301">
        <v>3.2821653569999998</v>
      </c>
      <c r="E301">
        <v>8.5706484950000004</v>
      </c>
      <c r="F301">
        <v>4.854493594</v>
      </c>
      <c r="G301">
        <v>1.6817961960000001</v>
      </c>
      <c r="H301">
        <v>2.8972259070000002</v>
      </c>
      <c r="I301">
        <v>4.2579808589999999</v>
      </c>
      <c r="J301">
        <v>7.1002137029999997</v>
      </c>
      <c r="K301">
        <v>4.8</v>
      </c>
      <c r="L301">
        <v>4.6485317899999998</v>
      </c>
      <c r="M301">
        <v>3.519773872</v>
      </c>
      <c r="N301">
        <v>4.9196793379999999</v>
      </c>
      <c r="O301">
        <v>5.4054844309999996</v>
      </c>
      <c r="P301">
        <v>6.6678742130000002</v>
      </c>
      <c r="Q301">
        <v>4.4970129749999996</v>
      </c>
      <c r="R301">
        <v>5.539362186</v>
      </c>
      <c r="T301">
        <v>3.7755461590000001</v>
      </c>
      <c r="U301">
        <v>4.7282501779999997</v>
      </c>
      <c r="V301">
        <v>4.0517901209999998</v>
      </c>
      <c r="X301">
        <v>10.942435716</v>
      </c>
      <c r="Y301">
        <v>7.959418415</v>
      </c>
      <c r="Z301">
        <v>8.0371603090000008</v>
      </c>
      <c r="AA301">
        <v>3.5702099999999999</v>
      </c>
      <c r="AB301">
        <v>10.963019645999999</v>
      </c>
      <c r="AC301">
        <v>8.1878903390000008</v>
      </c>
      <c r="AD301">
        <v>9.8070167959999992</v>
      </c>
      <c r="AE301">
        <v>6.4324089899999999</v>
      </c>
      <c r="AF301">
        <v>0.91782444799999996</v>
      </c>
      <c r="AG301">
        <v>3.0493485900000001</v>
      </c>
      <c r="AH301">
        <v>2.7488243360000002</v>
      </c>
      <c r="AI301">
        <v>5.9495055499999996</v>
      </c>
      <c r="AJ301">
        <v>1.87490819</v>
      </c>
      <c r="AK301">
        <v>6.5720642600000003</v>
      </c>
      <c r="AL301">
        <v>3.8824940909999999</v>
      </c>
      <c r="AM301">
        <v>1.04870379</v>
      </c>
      <c r="AN301">
        <v>4.5595759989999998</v>
      </c>
      <c r="AO301">
        <v>9.1638205480000003</v>
      </c>
      <c r="AP301">
        <v>12.017660191999999</v>
      </c>
      <c r="AR301">
        <v>3.0466025339999998</v>
      </c>
      <c r="AS301">
        <v>9.3940859999999997</v>
      </c>
      <c r="AT301">
        <v>4.101854232</v>
      </c>
      <c r="AU301">
        <v>7.1314398849999998</v>
      </c>
      <c r="AV301">
        <v>3.6836789579999998</v>
      </c>
      <c r="AW301">
        <v>2.6838668569999999</v>
      </c>
    </row>
    <row r="302" spans="1:49" x14ac:dyDescent="0.2">
      <c r="A302" t="s">
        <v>366</v>
      </c>
      <c r="B302" s="74">
        <v>44743</v>
      </c>
      <c r="C302">
        <v>7.9185158820000003</v>
      </c>
      <c r="D302">
        <v>3.5948798370000001</v>
      </c>
      <c r="E302">
        <v>6.1779065480000002</v>
      </c>
      <c r="F302">
        <v>3.290381338</v>
      </c>
      <c r="G302">
        <v>3.2232706719999999</v>
      </c>
      <c r="H302">
        <v>4.5558569909999997</v>
      </c>
      <c r="I302">
        <v>2.498414538</v>
      </c>
      <c r="J302">
        <v>5.648821935</v>
      </c>
      <c r="K302">
        <v>0.4</v>
      </c>
      <c r="L302">
        <v>3.6622574449999998</v>
      </c>
      <c r="M302">
        <v>1.7029293409999999</v>
      </c>
      <c r="N302">
        <v>3.8643510710000002</v>
      </c>
      <c r="O302">
        <v>4.149002114</v>
      </c>
      <c r="P302">
        <v>6.7802421050000001</v>
      </c>
      <c r="Q302">
        <v>0.26914903400000001</v>
      </c>
      <c r="R302">
        <v>4.2107565950000003</v>
      </c>
      <c r="T302">
        <v>3.160176914</v>
      </c>
      <c r="U302">
        <v>4.2137702929999996</v>
      </c>
      <c r="V302">
        <v>2.4231339240000001</v>
      </c>
      <c r="X302">
        <v>4.3758199649999998</v>
      </c>
      <c r="Y302">
        <v>7.6557484560000004</v>
      </c>
      <c r="Z302">
        <v>6.4831098860000003</v>
      </c>
      <c r="AA302">
        <v>13.466900000000001</v>
      </c>
      <c r="AB302">
        <v>10.784119284999999</v>
      </c>
      <c r="AC302">
        <v>7.2609089740000003</v>
      </c>
      <c r="AD302">
        <v>7.4372345170000003</v>
      </c>
      <c r="AE302">
        <v>4.979021242</v>
      </c>
      <c r="AF302">
        <v>1.4155855340000001</v>
      </c>
      <c r="AG302">
        <v>2.953199809</v>
      </c>
      <c r="AH302">
        <v>1.5983972799999999</v>
      </c>
      <c r="AI302">
        <v>2.903149752</v>
      </c>
      <c r="AJ302">
        <v>1.852244507</v>
      </c>
      <c r="AK302">
        <v>5.2902706840000002</v>
      </c>
      <c r="AL302">
        <v>3.9996002289999999</v>
      </c>
      <c r="AM302">
        <v>0.42338620799999999</v>
      </c>
      <c r="AN302">
        <v>3.7</v>
      </c>
      <c r="AO302">
        <v>4.7405329590000003</v>
      </c>
      <c r="AP302">
        <v>7.4076722510000002</v>
      </c>
      <c r="AR302">
        <v>1.688122887</v>
      </c>
      <c r="AS302">
        <v>8.3018401520000005</v>
      </c>
      <c r="AT302">
        <v>4.0956673260000001</v>
      </c>
      <c r="AU302">
        <v>7.2101857950000001</v>
      </c>
      <c r="AV302">
        <v>1.796042498</v>
      </c>
      <c r="AW302">
        <v>0.53249290900000001</v>
      </c>
    </row>
    <row r="303" spans="1:49" x14ac:dyDescent="0.2">
      <c r="A303" t="s">
        <v>367</v>
      </c>
      <c r="B303" s="74">
        <v>44835</v>
      </c>
    </row>
    <row r="304" spans="1:49" x14ac:dyDescent="0.2">
      <c r="A304" t="s">
        <v>368</v>
      </c>
      <c r="B304" s="74">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tabSelected="1" topLeftCell="A48" workbookViewId="0">
      <selection activeCell="F175" sqref="F175"/>
    </sheetView>
  </sheetViews>
  <sheetFormatPr baseColWidth="10" defaultRowHeight="15" x14ac:dyDescent="0.2"/>
  <sheetData>
    <row r="1" spans="1:15" ht="23" customHeight="1" thickBot="1" x14ac:dyDescent="0.25">
      <c r="A1" t="s">
        <v>371</v>
      </c>
      <c r="B1" t="s">
        <v>372</v>
      </c>
      <c r="C1" t="s">
        <v>373</v>
      </c>
      <c r="D1" t="s">
        <v>374</v>
      </c>
      <c r="E1" t="s">
        <v>375</v>
      </c>
      <c r="F1" t="s">
        <v>376</v>
      </c>
      <c r="G1" t="s">
        <v>377</v>
      </c>
      <c r="H1" t="s">
        <v>378</v>
      </c>
      <c r="I1" t="s">
        <v>379</v>
      </c>
      <c r="J1" t="s">
        <v>380</v>
      </c>
      <c r="K1" t="s">
        <v>381</v>
      </c>
      <c r="L1" t="s">
        <v>382</v>
      </c>
      <c r="M1" t="s">
        <v>383</v>
      </c>
      <c r="N1" t="s">
        <v>384</v>
      </c>
      <c r="O1" t="s">
        <v>385</v>
      </c>
    </row>
    <row r="2" spans="1:15" x14ac:dyDescent="0.2">
      <c r="A2" t="s">
        <v>386</v>
      </c>
      <c r="B2">
        <v>78.400000000000006</v>
      </c>
      <c r="C2">
        <v>-21.2</v>
      </c>
      <c r="D2">
        <v>7.8</v>
      </c>
      <c r="E2">
        <v>20</v>
      </c>
      <c r="G2">
        <v>-1.9300000000000001E-2</v>
      </c>
      <c r="H2">
        <v>-3.4</v>
      </c>
      <c r="I2">
        <v>1.56</v>
      </c>
      <c r="J2">
        <v>1.5599999999999999E-2</v>
      </c>
      <c r="K2">
        <v>15</v>
      </c>
      <c r="L2">
        <v>0.15</v>
      </c>
      <c r="M2">
        <v>13.3</v>
      </c>
      <c r="N2">
        <v>0.112</v>
      </c>
      <c r="O2">
        <v>33.200000000000003</v>
      </c>
    </row>
    <row r="3" spans="1:15" x14ac:dyDescent="0.2">
      <c r="A3" t="s">
        <v>387</v>
      </c>
      <c r="B3">
        <v>107.3</v>
      </c>
      <c r="C3">
        <v>-7.7</v>
      </c>
      <c r="D3">
        <v>78.099999999999994</v>
      </c>
      <c r="E3">
        <v>18</v>
      </c>
      <c r="F3">
        <v>-1.1599999999999999E-2</v>
      </c>
      <c r="G3">
        <v>2.23E-2</v>
      </c>
      <c r="H3">
        <v>-4.8</v>
      </c>
      <c r="I3">
        <v>8</v>
      </c>
      <c r="J3">
        <v>3.1E-2</v>
      </c>
      <c r="K3">
        <v>2.25</v>
      </c>
      <c r="L3">
        <v>5.0000000000000001E-3</v>
      </c>
      <c r="M3">
        <v>11.1</v>
      </c>
      <c r="N3">
        <v>0.11600000000000001</v>
      </c>
      <c r="O3">
        <v>2.83</v>
      </c>
    </row>
    <row r="4" spans="1:15" x14ac:dyDescent="0.2">
      <c r="A4" t="s">
        <v>388</v>
      </c>
      <c r="B4">
        <v>134.37</v>
      </c>
      <c r="C4">
        <v>-7.8</v>
      </c>
      <c r="D4">
        <v>62.5</v>
      </c>
      <c r="E4">
        <v>168</v>
      </c>
      <c r="F4">
        <v>8.0000000000000002E-3</v>
      </c>
      <c r="G4">
        <v>1.6E-2</v>
      </c>
      <c r="H4">
        <v>-8</v>
      </c>
      <c r="I4">
        <v>9.8000000000000007</v>
      </c>
      <c r="J4">
        <v>4.1200000000000001E-2</v>
      </c>
      <c r="K4">
        <v>3</v>
      </c>
      <c r="L4">
        <v>0.03</v>
      </c>
      <c r="M4">
        <v>12.7</v>
      </c>
      <c r="N4">
        <v>0.114</v>
      </c>
      <c r="O4">
        <v>44.7</v>
      </c>
    </row>
    <row r="5" spans="1:15" x14ac:dyDescent="0.2">
      <c r="A5" t="s">
        <v>389</v>
      </c>
      <c r="B5">
        <v>456.04</v>
      </c>
      <c r="C5">
        <v>12.4</v>
      </c>
      <c r="D5">
        <v>85</v>
      </c>
      <c r="E5">
        <v>73</v>
      </c>
      <c r="F5">
        <v>5.0000000000000001E-3</v>
      </c>
      <c r="G5">
        <v>3.5999999999999997E-2</v>
      </c>
      <c r="H5">
        <v>-2.2999999999999998</v>
      </c>
      <c r="I5">
        <v>19.78</v>
      </c>
      <c r="J5">
        <v>0.26979999999999998</v>
      </c>
      <c r="K5">
        <v>19.5</v>
      </c>
      <c r="L5">
        <v>0.2</v>
      </c>
      <c r="M5">
        <v>30.2</v>
      </c>
      <c r="N5">
        <v>0.34100000000000003</v>
      </c>
      <c r="O5">
        <v>33</v>
      </c>
    </row>
    <row r="6" spans="1:15" x14ac:dyDescent="0.2">
      <c r="A6" t="s">
        <v>390</v>
      </c>
      <c r="B6">
        <v>96.12</v>
      </c>
      <c r="C6">
        <v>1</v>
      </c>
      <c r="D6">
        <v>80.5</v>
      </c>
      <c r="E6">
        <v>491</v>
      </c>
      <c r="F6">
        <v>1.04E-2</v>
      </c>
      <c r="G6">
        <v>6.9000000000000006E-2</v>
      </c>
      <c r="H6">
        <v>-4.5</v>
      </c>
      <c r="I6">
        <v>78.5</v>
      </c>
      <c r="J6">
        <v>0.51200000000000001</v>
      </c>
      <c r="K6">
        <v>75</v>
      </c>
      <c r="L6">
        <v>0.38</v>
      </c>
      <c r="M6">
        <v>6.9</v>
      </c>
      <c r="N6">
        <v>8.199999999999999E-2</v>
      </c>
      <c r="O6">
        <v>45.81</v>
      </c>
    </row>
    <row r="7" spans="1:15" x14ac:dyDescent="0.2">
      <c r="A7" t="s">
        <v>391</v>
      </c>
      <c r="B7">
        <v>495.16</v>
      </c>
      <c r="C7">
        <v>-2.5</v>
      </c>
      <c r="D7">
        <v>62.79</v>
      </c>
      <c r="E7">
        <v>14</v>
      </c>
      <c r="G7">
        <v>0.13</v>
      </c>
      <c r="H7">
        <v>-4</v>
      </c>
      <c r="I7">
        <v>9.9</v>
      </c>
      <c r="J7">
        <v>9.6000000000000002E-2</v>
      </c>
      <c r="K7">
        <v>10</v>
      </c>
      <c r="L7">
        <v>7.7499999999999999E-2</v>
      </c>
      <c r="M7">
        <v>14.8</v>
      </c>
      <c r="N7">
        <v>0.15</v>
      </c>
      <c r="O7">
        <v>2.96</v>
      </c>
    </row>
    <row r="8" spans="1:15" x14ac:dyDescent="0.2">
      <c r="A8" t="s">
        <v>392</v>
      </c>
      <c r="B8">
        <v>0.68</v>
      </c>
      <c r="C8">
        <v>3.2</v>
      </c>
      <c r="D8">
        <v>24.8</v>
      </c>
      <c r="E8">
        <v>1543</v>
      </c>
      <c r="F8">
        <v>9.0000000000000011E-3</v>
      </c>
      <c r="G8">
        <v>3.5999999999999997E-2</v>
      </c>
      <c r="H8">
        <v>-7.8</v>
      </c>
      <c r="I8">
        <v>6.1</v>
      </c>
      <c r="J8">
        <v>0.03</v>
      </c>
      <c r="K8">
        <v>2.6</v>
      </c>
      <c r="L8">
        <v>1E-3</v>
      </c>
      <c r="M8">
        <v>3.5</v>
      </c>
      <c r="N8">
        <v>4.5999999999999999E-2</v>
      </c>
      <c r="O8">
        <v>25.77</v>
      </c>
    </row>
    <row r="9" spans="1:15" x14ac:dyDescent="0.2">
      <c r="A9" t="s">
        <v>393</v>
      </c>
      <c r="B9">
        <v>1.1100000000000001</v>
      </c>
      <c r="C9">
        <v>-0.5</v>
      </c>
      <c r="D9">
        <v>82.8</v>
      </c>
      <c r="E9">
        <v>477</v>
      </c>
      <c r="F9">
        <v>1.4999999999999999E-2</v>
      </c>
      <c r="G9">
        <v>0.06</v>
      </c>
      <c r="H9">
        <v>-5.9</v>
      </c>
      <c r="I9">
        <v>10.5</v>
      </c>
      <c r="J9">
        <v>4.2999999999999997E-2</v>
      </c>
      <c r="K9">
        <v>1.25</v>
      </c>
      <c r="L9">
        <v>0</v>
      </c>
      <c r="M9">
        <v>5.7</v>
      </c>
      <c r="N9">
        <v>7.0000000000000007E-2</v>
      </c>
      <c r="O9">
        <v>8.93</v>
      </c>
    </row>
    <row r="10" spans="1:15" x14ac:dyDescent="0.2">
      <c r="A10" t="s">
        <v>394</v>
      </c>
      <c r="B10">
        <v>1.7</v>
      </c>
      <c r="C10">
        <v>15.2</v>
      </c>
      <c r="D10">
        <v>18.2</v>
      </c>
      <c r="E10">
        <v>55</v>
      </c>
      <c r="G10">
        <v>0.58820000000000006</v>
      </c>
      <c r="H10">
        <v>-1.1000000000000001</v>
      </c>
      <c r="I10">
        <v>14.2</v>
      </c>
      <c r="J10">
        <v>6.2E-2</v>
      </c>
      <c r="K10">
        <v>7.75</v>
      </c>
      <c r="L10">
        <v>7.2499999999999995E-2</v>
      </c>
      <c r="M10">
        <v>6</v>
      </c>
      <c r="N10">
        <v>6.2699999999999992E-2</v>
      </c>
      <c r="O10">
        <v>10.16</v>
      </c>
    </row>
    <row r="11" spans="1:15" x14ac:dyDescent="0.2">
      <c r="A11" t="s">
        <v>395</v>
      </c>
      <c r="B11">
        <v>1</v>
      </c>
      <c r="C11">
        <v>-20.9</v>
      </c>
      <c r="D11">
        <v>95.6</v>
      </c>
      <c r="E11">
        <v>11</v>
      </c>
      <c r="G11">
        <v>0.02</v>
      </c>
      <c r="H11">
        <v>-13.3</v>
      </c>
      <c r="I11">
        <v>6.2</v>
      </c>
      <c r="J11">
        <v>2.7E-2</v>
      </c>
      <c r="K11">
        <v>4</v>
      </c>
      <c r="L11">
        <v>0.04</v>
      </c>
      <c r="M11">
        <v>25.6</v>
      </c>
      <c r="N11">
        <v>0.25600000000000001</v>
      </c>
      <c r="O11">
        <v>0.4</v>
      </c>
    </row>
    <row r="12" spans="1:15" x14ac:dyDescent="0.2">
      <c r="A12" t="s">
        <v>396</v>
      </c>
      <c r="B12">
        <v>0.38</v>
      </c>
      <c r="C12">
        <v>-2.9</v>
      </c>
      <c r="D12">
        <v>128.30000000000001</v>
      </c>
      <c r="E12">
        <v>39</v>
      </c>
      <c r="F12">
        <v>5.0299999999999997E-2</v>
      </c>
      <c r="G12">
        <v>7.0000000000000007E-2</v>
      </c>
      <c r="H12">
        <v>-35</v>
      </c>
      <c r="I12">
        <v>4</v>
      </c>
      <c r="J12">
        <v>6.9999999999999993E-3</v>
      </c>
      <c r="K12">
        <v>4</v>
      </c>
      <c r="L12">
        <v>0.01</v>
      </c>
      <c r="M12">
        <v>4.9000000000000004</v>
      </c>
      <c r="N12">
        <v>4.9000000000000002E-2</v>
      </c>
      <c r="O12">
        <v>1.7</v>
      </c>
    </row>
    <row r="13" spans="1:15" x14ac:dyDescent="0.2">
      <c r="A13" t="s">
        <v>397</v>
      </c>
      <c r="B13">
        <v>84.8</v>
      </c>
      <c r="C13">
        <v>-1</v>
      </c>
      <c r="D13">
        <v>31.7</v>
      </c>
      <c r="E13">
        <v>416</v>
      </c>
      <c r="F13">
        <v>5.4699999999999999E-2</v>
      </c>
      <c r="G13">
        <v>5.4699999999999999E-2</v>
      </c>
      <c r="H13">
        <v>-5.35</v>
      </c>
      <c r="I13">
        <v>7.48</v>
      </c>
      <c r="J13">
        <v>5.7000000000000002E-2</v>
      </c>
      <c r="K13">
        <v>5.75</v>
      </c>
      <c r="L13">
        <v>4.7500000000000001E-2</v>
      </c>
      <c r="M13">
        <v>5.2</v>
      </c>
      <c r="N13">
        <v>5.2999999999999999E-2</v>
      </c>
      <c r="O13">
        <v>165</v>
      </c>
    </row>
    <row r="14" spans="1:15" x14ac:dyDescent="0.2">
      <c r="A14" t="s">
        <v>398</v>
      </c>
      <c r="B14">
        <v>2.57</v>
      </c>
      <c r="C14">
        <v>-2.7</v>
      </c>
      <c r="D14">
        <v>33.5</v>
      </c>
      <c r="E14">
        <v>68</v>
      </c>
      <c r="G14">
        <v>-4.0000000000000001E-3</v>
      </c>
      <c r="H14">
        <v>-0.3</v>
      </c>
      <c r="I14">
        <v>17.899999999999999</v>
      </c>
      <c r="J14">
        <v>0.10299999999999999</v>
      </c>
      <c r="K14">
        <v>12</v>
      </c>
      <c r="L14">
        <v>9.2499999999999999E-2</v>
      </c>
      <c r="M14">
        <v>3.9</v>
      </c>
      <c r="N14">
        <v>2E-3</v>
      </c>
      <c r="O14">
        <v>9.25</v>
      </c>
    </row>
    <row r="15" spans="1:15" x14ac:dyDescent="0.2">
      <c r="A15" t="s">
        <v>399</v>
      </c>
      <c r="B15">
        <v>1.1100000000000001</v>
      </c>
      <c r="C15">
        <v>-0.4</v>
      </c>
      <c r="D15">
        <v>108.2</v>
      </c>
      <c r="E15">
        <v>600</v>
      </c>
      <c r="F15">
        <v>2E-3</v>
      </c>
      <c r="G15">
        <v>3.3000000000000002E-2</v>
      </c>
      <c r="H15">
        <v>-5.5</v>
      </c>
      <c r="I15">
        <v>11.27</v>
      </c>
      <c r="J15">
        <v>5.6399999999999999E-2</v>
      </c>
      <c r="K15">
        <v>1.25</v>
      </c>
      <c r="L15">
        <v>0</v>
      </c>
      <c r="M15">
        <v>5.8</v>
      </c>
      <c r="N15">
        <v>6.3E-2</v>
      </c>
      <c r="O15">
        <v>11.55</v>
      </c>
    </row>
    <row r="16" spans="1:15" x14ac:dyDescent="0.2">
      <c r="A16" t="s">
        <v>400</v>
      </c>
      <c r="B16">
        <v>588.96</v>
      </c>
      <c r="C16">
        <v>-4.5</v>
      </c>
      <c r="D16">
        <v>47.2</v>
      </c>
      <c r="E16">
        <v>18</v>
      </c>
      <c r="G16">
        <v>0.06</v>
      </c>
      <c r="H16">
        <v>-6.1</v>
      </c>
      <c r="I16">
        <v>-0.3</v>
      </c>
      <c r="J16">
        <v>2.5000000000000001E-2</v>
      </c>
      <c r="K16">
        <v>4.5</v>
      </c>
      <c r="L16">
        <v>0.04</v>
      </c>
      <c r="M16">
        <v>1.6</v>
      </c>
      <c r="N16">
        <v>2.5000000000000001E-2</v>
      </c>
      <c r="O16">
        <v>12.45</v>
      </c>
    </row>
    <row r="17" spans="1:15" x14ac:dyDescent="0.2">
      <c r="A17" t="s">
        <v>401</v>
      </c>
      <c r="B17">
        <v>71.010000000000005</v>
      </c>
      <c r="C17">
        <v>-12.7</v>
      </c>
      <c r="D17">
        <v>134.94</v>
      </c>
      <c r="E17">
        <v>2</v>
      </c>
      <c r="G17">
        <v>-0.1008</v>
      </c>
      <c r="H17">
        <v>-6.3</v>
      </c>
      <c r="I17">
        <v>6.61</v>
      </c>
      <c r="J17">
        <v>4.9699999999999987E-2</v>
      </c>
      <c r="K17">
        <v>7.16</v>
      </c>
      <c r="L17">
        <v>7.1399999999999991E-2</v>
      </c>
      <c r="M17">
        <v>5</v>
      </c>
      <c r="N17">
        <v>0.05</v>
      </c>
      <c r="O17">
        <v>0.77</v>
      </c>
    </row>
    <row r="18" spans="1:15" x14ac:dyDescent="0.2">
      <c r="A18" t="s">
        <v>402</v>
      </c>
      <c r="B18">
        <v>6.83</v>
      </c>
      <c r="C18">
        <v>-2.2000000000000002</v>
      </c>
      <c r="D18">
        <v>82.6</v>
      </c>
      <c r="E18">
        <v>40</v>
      </c>
      <c r="F18">
        <v>0.1404</v>
      </c>
      <c r="G18">
        <v>4.3400000000000001E-2</v>
      </c>
      <c r="H18">
        <v>-9.5</v>
      </c>
      <c r="I18">
        <v>1.55</v>
      </c>
      <c r="J18">
        <v>9.5999999999999992E-3</v>
      </c>
      <c r="K18">
        <v>4.07</v>
      </c>
      <c r="L18">
        <v>3.85E-2</v>
      </c>
      <c r="M18">
        <v>6.9</v>
      </c>
      <c r="N18">
        <v>5.5999999999999987E-2</v>
      </c>
      <c r="O18">
        <v>11.83</v>
      </c>
    </row>
    <row r="19" spans="1:15" x14ac:dyDescent="0.2">
      <c r="A19" t="s">
        <v>403</v>
      </c>
      <c r="B19">
        <v>1.77</v>
      </c>
      <c r="C19">
        <v>-2.1</v>
      </c>
      <c r="D19">
        <v>24.8</v>
      </c>
      <c r="E19">
        <v>23</v>
      </c>
      <c r="F19">
        <v>1.4999999999999999E-2</v>
      </c>
      <c r="G19">
        <v>5.8999999999999997E-2</v>
      </c>
      <c r="H19">
        <v>-0.3</v>
      </c>
      <c r="I19">
        <v>16.8</v>
      </c>
      <c r="J19">
        <v>4.2999999999999997E-2</v>
      </c>
      <c r="K19">
        <v>3.63</v>
      </c>
      <c r="L19">
        <v>3.44E-2</v>
      </c>
      <c r="M19">
        <v>30.17</v>
      </c>
      <c r="N19">
        <v>0.31730000000000003</v>
      </c>
      <c r="O19">
        <v>3.46</v>
      </c>
    </row>
    <row r="20" spans="1:15" x14ac:dyDescent="0.2">
      <c r="A20" t="s">
        <v>404</v>
      </c>
      <c r="B20">
        <v>11.03</v>
      </c>
      <c r="C20">
        <v>-1.9</v>
      </c>
      <c r="D20">
        <v>24.2</v>
      </c>
      <c r="E20">
        <v>18</v>
      </c>
      <c r="F20">
        <v>-1.4999999999999999E-2</v>
      </c>
      <c r="G20">
        <v>5.5999999999999987E-2</v>
      </c>
      <c r="H20">
        <v>-5.0999999999999996</v>
      </c>
      <c r="I20">
        <v>14.6</v>
      </c>
      <c r="J20">
        <v>8.5999999999999993E-2</v>
      </c>
      <c r="K20">
        <v>2.65</v>
      </c>
      <c r="L20">
        <v>3.7499999999999999E-2</v>
      </c>
      <c r="M20">
        <v>24.5</v>
      </c>
      <c r="N20">
        <v>0.23300000000000001</v>
      </c>
      <c r="O20">
        <v>2.41</v>
      </c>
    </row>
    <row r="21" spans="1:15" x14ac:dyDescent="0.2">
      <c r="A21" t="s">
        <v>405</v>
      </c>
      <c r="B21">
        <v>5.69</v>
      </c>
      <c r="C21">
        <v>-1.8</v>
      </c>
      <c r="D21">
        <v>80.27</v>
      </c>
      <c r="E21">
        <v>1609</v>
      </c>
      <c r="F21">
        <v>1.2E-2</v>
      </c>
      <c r="G21">
        <v>3.2000000000000001E-2</v>
      </c>
      <c r="H21">
        <v>-4.5</v>
      </c>
      <c r="I21">
        <v>8.73</v>
      </c>
      <c r="J21">
        <v>0.1074</v>
      </c>
      <c r="K21">
        <v>13.75</v>
      </c>
      <c r="L21">
        <v>9.2499999999999999E-2</v>
      </c>
      <c r="M21">
        <v>8.9</v>
      </c>
      <c r="N21">
        <v>0.126</v>
      </c>
      <c r="O21">
        <v>213.32</v>
      </c>
    </row>
    <row r="22" spans="1:15" x14ac:dyDescent="0.2">
      <c r="A22" t="s">
        <v>406</v>
      </c>
      <c r="B22">
        <v>1.35</v>
      </c>
      <c r="C22">
        <v>5.6</v>
      </c>
      <c r="D22">
        <v>1.8</v>
      </c>
      <c r="E22">
        <v>14</v>
      </c>
      <c r="G22">
        <v>-4.2000000000000003E-2</v>
      </c>
      <c r="H22">
        <v>-19.3</v>
      </c>
      <c r="I22">
        <v>3.9</v>
      </c>
      <c r="J22">
        <v>2.1999999999999999E-2</v>
      </c>
      <c r="K22">
        <v>5.5</v>
      </c>
      <c r="L22">
        <v>5.5E-2</v>
      </c>
      <c r="M22">
        <v>7.4</v>
      </c>
      <c r="N22">
        <v>8.4000000000000005E-2</v>
      </c>
      <c r="O22">
        <v>0.43</v>
      </c>
    </row>
    <row r="23" spans="1:15" x14ac:dyDescent="0.2">
      <c r="A23" t="s">
        <v>407</v>
      </c>
      <c r="B23">
        <v>1.66</v>
      </c>
      <c r="C23">
        <v>-0.4</v>
      </c>
      <c r="D23">
        <v>20.7</v>
      </c>
      <c r="E23">
        <v>80</v>
      </c>
      <c r="F23">
        <v>8.0000000000000002E-3</v>
      </c>
      <c r="G23">
        <v>3.9600000000000003E-2</v>
      </c>
      <c r="H23">
        <v>-4.0999999999999996</v>
      </c>
      <c r="I23">
        <v>17.7</v>
      </c>
      <c r="J23">
        <v>7.2999999999999995E-2</v>
      </c>
      <c r="K23">
        <v>0</v>
      </c>
      <c r="L23">
        <v>0</v>
      </c>
      <c r="M23">
        <v>4.3</v>
      </c>
      <c r="N23">
        <v>4.7E-2</v>
      </c>
      <c r="O23">
        <v>6.84</v>
      </c>
    </row>
    <row r="24" spans="1:15" x14ac:dyDescent="0.2">
      <c r="A24" t="s">
        <v>408</v>
      </c>
      <c r="B24">
        <v>588.96</v>
      </c>
      <c r="C24">
        <v>5.2</v>
      </c>
      <c r="D24">
        <v>51</v>
      </c>
      <c r="E24">
        <v>20</v>
      </c>
      <c r="G24">
        <v>4.5999999999999999E-2</v>
      </c>
      <c r="H24">
        <v>-5.6</v>
      </c>
      <c r="I24">
        <v>18.100000000000001</v>
      </c>
      <c r="J24">
        <v>3.9E-2</v>
      </c>
      <c r="K24">
        <v>4.5</v>
      </c>
      <c r="L24">
        <v>0.04</v>
      </c>
      <c r="M24">
        <v>4.8</v>
      </c>
      <c r="N24">
        <v>0.05</v>
      </c>
      <c r="O24">
        <v>21.51</v>
      </c>
    </row>
    <row r="25" spans="1:15" x14ac:dyDescent="0.2">
      <c r="A25" t="s">
        <v>409</v>
      </c>
      <c r="B25">
        <v>1877.75</v>
      </c>
      <c r="C25">
        <v>-15</v>
      </c>
      <c r="D25">
        <v>17</v>
      </c>
      <c r="E25">
        <v>3</v>
      </c>
      <c r="G25">
        <v>2.1999999999999999E-2</v>
      </c>
      <c r="H25">
        <v>-4.5</v>
      </c>
      <c r="I25">
        <v>19.57</v>
      </c>
      <c r="J25">
        <v>9.8699999999999996E-2</v>
      </c>
      <c r="K25">
        <v>6.94</v>
      </c>
      <c r="L25">
        <v>7.0599999999999996E-2</v>
      </c>
      <c r="M25">
        <v>1.8</v>
      </c>
      <c r="N25">
        <v>8.0000000000000002E-3</v>
      </c>
      <c r="O25">
        <v>12.26</v>
      </c>
    </row>
    <row r="26" spans="1:15" x14ac:dyDescent="0.2">
      <c r="A26" t="s">
        <v>410</v>
      </c>
      <c r="B26">
        <v>4061</v>
      </c>
      <c r="C26">
        <v>-21.3</v>
      </c>
      <c r="D26">
        <v>38.700000000000003</v>
      </c>
      <c r="E26">
        <v>27</v>
      </c>
      <c r="G26">
        <v>0.03</v>
      </c>
      <c r="H26">
        <v>-2.6</v>
      </c>
      <c r="I26">
        <v>7.9</v>
      </c>
      <c r="J26">
        <v>2.9600000000000001E-2</v>
      </c>
      <c r="K26">
        <v>0.73</v>
      </c>
      <c r="L26">
        <v>8.8999999999999999E-3</v>
      </c>
      <c r="M26">
        <v>0.61</v>
      </c>
      <c r="N26">
        <v>3.0999999999999999E-3</v>
      </c>
      <c r="O26">
        <v>16.899999999999999</v>
      </c>
    </row>
    <row r="27" spans="1:15" x14ac:dyDescent="0.2">
      <c r="A27" t="s">
        <v>411</v>
      </c>
      <c r="B27">
        <v>551.32000000000005</v>
      </c>
      <c r="C27">
        <v>-4.0999999999999996</v>
      </c>
      <c r="D27">
        <v>46</v>
      </c>
      <c r="E27">
        <v>45</v>
      </c>
      <c r="F27">
        <v>2.7E-2</v>
      </c>
      <c r="G27">
        <v>3.7999999999999999E-2</v>
      </c>
      <c r="H27">
        <v>-3.1</v>
      </c>
      <c r="I27">
        <v>6.61</v>
      </c>
      <c r="J27">
        <v>2.3900000000000001E-2</v>
      </c>
      <c r="K27">
        <v>4.5</v>
      </c>
      <c r="L27">
        <v>3.2500000000000001E-2</v>
      </c>
      <c r="M27">
        <v>3.9</v>
      </c>
      <c r="N27">
        <v>3.5999999999999997E-2</v>
      </c>
      <c r="O27">
        <v>27.22</v>
      </c>
    </row>
    <row r="28" spans="1:15" x14ac:dyDescent="0.2">
      <c r="A28" t="s">
        <v>412</v>
      </c>
      <c r="B28">
        <v>1.33</v>
      </c>
      <c r="C28">
        <v>0.1</v>
      </c>
      <c r="D28">
        <v>117.8</v>
      </c>
      <c r="E28">
        <v>1991</v>
      </c>
      <c r="F28">
        <v>8.0000000000000002E-3</v>
      </c>
      <c r="G28">
        <v>2.9000000000000001E-2</v>
      </c>
      <c r="H28">
        <v>-4.7</v>
      </c>
      <c r="I28">
        <v>7</v>
      </c>
      <c r="J28">
        <v>4.7E-2</v>
      </c>
      <c r="K28">
        <v>3.25</v>
      </c>
      <c r="L28">
        <v>2.5000000000000001E-3</v>
      </c>
      <c r="M28">
        <v>5.2</v>
      </c>
      <c r="N28">
        <v>0.06</v>
      </c>
      <c r="O28">
        <v>38.44</v>
      </c>
    </row>
    <row r="29" spans="1:15" x14ac:dyDescent="0.2">
      <c r="A29" t="s">
        <v>413</v>
      </c>
      <c r="B29">
        <v>99.94</v>
      </c>
      <c r="C29">
        <v>-11</v>
      </c>
      <c r="D29">
        <v>157</v>
      </c>
      <c r="E29">
        <v>2</v>
      </c>
      <c r="F29">
        <v>1.4E-2</v>
      </c>
      <c r="G29">
        <v>0.17699999999999999</v>
      </c>
      <c r="H29">
        <v>-7.6</v>
      </c>
      <c r="I29">
        <v>8.6</v>
      </c>
      <c r="J29">
        <v>4.8000000000000001E-2</v>
      </c>
      <c r="K29">
        <v>0.25</v>
      </c>
      <c r="L29">
        <v>2.5000000000000001E-3</v>
      </c>
      <c r="M29">
        <v>14.5</v>
      </c>
      <c r="N29">
        <v>0.14499999999999999</v>
      </c>
      <c r="O29">
        <v>0.56000000000000005</v>
      </c>
    </row>
    <row r="30" spans="1:15" x14ac:dyDescent="0.2">
      <c r="A30" t="s">
        <v>414</v>
      </c>
      <c r="B30">
        <v>0.82</v>
      </c>
      <c r="C30">
        <v>-13.6</v>
      </c>
      <c r="D30">
        <v>5.3</v>
      </c>
      <c r="E30">
        <v>6</v>
      </c>
      <c r="G30">
        <v>3.2000000000000001E-2</v>
      </c>
      <c r="H30">
        <v>-2.2000000000000002</v>
      </c>
      <c r="I30">
        <v>12.1</v>
      </c>
      <c r="J30">
        <v>-0.01</v>
      </c>
      <c r="M30">
        <v>5.2</v>
      </c>
      <c r="N30">
        <v>5.1999999999999998E-2</v>
      </c>
      <c r="O30">
        <v>7.0000000000000007E-2</v>
      </c>
    </row>
    <row r="31" spans="1:15" x14ac:dyDescent="0.2">
      <c r="A31" t="s">
        <v>415</v>
      </c>
      <c r="B31">
        <v>551.32000000000005</v>
      </c>
      <c r="C31">
        <v>-9.6</v>
      </c>
      <c r="D31">
        <v>47.6</v>
      </c>
      <c r="E31">
        <v>3</v>
      </c>
      <c r="G31">
        <v>9.0000000000000011E-3</v>
      </c>
      <c r="H31">
        <v>-5.7</v>
      </c>
      <c r="I31">
        <v>2.7</v>
      </c>
      <c r="J31">
        <v>4.7800000000000002E-2</v>
      </c>
      <c r="K31">
        <v>4.5</v>
      </c>
      <c r="L31">
        <v>3.2500000000000001E-2</v>
      </c>
      <c r="M31">
        <v>6.6</v>
      </c>
      <c r="N31">
        <v>4.2999999999999997E-2</v>
      </c>
      <c r="O31">
        <v>4.92</v>
      </c>
    </row>
    <row r="32" spans="1:15" x14ac:dyDescent="0.2">
      <c r="A32" t="s">
        <v>416</v>
      </c>
      <c r="B32">
        <v>551.32000000000005</v>
      </c>
      <c r="C32">
        <v>-10.9</v>
      </c>
      <c r="D32">
        <v>58.2</v>
      </c>
      <c r="E32">
        <v>12</v>
      </c>
      <c r="G32">
        <v>-1.2E-2</v>
      </c>
      <c r="H32">
        <v>-0.2</v>
      </c>
      <c r="I32">
        <v>6.1</v>
      </c>
      <c r="J32">
        <v>-9.0000000000000011E-3</v>
      </c>
      <c r="K32">
        <v>4.5</v>
      </c>
      <c r="L32">
        <v>3.2500000000000001E-2</v>
      </c>
      <c r="M32">
        <v>1.9</v>
      </c>
      <c r="N32">
        <v>2.3E-2</v>
      </c>
      <c r="O32">
        <v>16.91</v>
      </c>
    </row>
    <row r="33" spans="1:15" x14ac:dyDescent="0.2">
      <c r="A33" t="s">
        <v>417</v>
      </c>
      <c r="B33">
        <v>749.27</v>
      </c>
      <c r="C33">
        <v>1.4</v>
      </c>
      <c r="D33">
        <v>33</v>
      </c>
      <c r="E33">
        <v>317</v>
      </c>
      <c r="F33">
        <v>0</v>
      </c>
      <c r="G33">
        <v>5.4000000000000013E-2</v>
      </c>
      <c r="H33">
        <v>-7.5</v>
      </c>
      <c r="I33">
        <v>13.7</v>
      </c>
      <c r="J33">
        <v>6.7000000000000004E-2</v>
      </c>
      <c r="K33">
        <v>10.75</v>
      </c>
      <c r="L33">
        <v>0.04</v>
      </c>
      <c r="M33">
        <v>7.9</v>
      </c>
      <c r="N33">
        <v>8.1000000000000003E-2</v>
      </c>
      <c r="O33">
        <v>19.690000000000001</v>
      </c>
    </row>
    <row r="34" spans="1:15" x14ac:dyDescent="0.2">
      <c r="A34" t="s">
        <v>418</v>
      </c>
      <c r="B34">
        <v>6.37</v>
      </c>
      <c r="C34">
        <v>1.8</v>
      </c>
      <c r="D34">
        <v>66.8</v>
      </c>
      <c r="E34">
        <v>17734</v>
      </c>
      <c r="F34">
        <v>-2.5999999999999999E-2</v>
      </c>
      <c r="G34">
        <v>4.0000000000000001E-3</v>
      </c>
      <c r="H34">
        <v>-3.7</v>
      </c>
      <c r="I34">
        <v>2.5</v>
      </c>
      <c r="J34">
        <v>2.3E-2</v>
      </c>
      <c r="K34">
        <v>3.65</v>
      </c>
      <c r="L34">
        <v>3.7999999999999999E-2</v>
      </c>
      <c r="M34">
        <v>5.3</v>
      </c>
      <c r="N34">
        <v>0.05</v>
      </c>
      <c r="O34">
        <v>1412.6</v>
      </c>
    </row>
    <row r="35" spans="1:15" x14ac:dyDescent="0.2">
      <c r="A35" t="s">
        <v>419</v>
      </c>
      <c r="B35">
        <v>3354</v>
      </c>
      <c r="C35">
        <v>-5.7</v>
      </c>
      <c r="D35">
        <v>64.5</v>
      </c>
      <c r="E35">
        <v>314</v>
      </c>
      <c r="F35">
        <v>1.4999999999999999E-2</v>
      </c>
      <c r="G35">
        <v>0.126</v>
      </c>
      <c r="H35">
        <v>-7.1</v>
      </c>
      <c r="I35">
        <v>11.44</v>
      </c>
      <c r="J35">
        <v>5.2600000000000001E-2</v>
      </c>
      <c r="K35">
        <v>10</v>
      </c>
      <c r="L35">
        <v>0.03</v>
      </c>
      <c r="M35">
        <v>10.6</v>
      </c>
      <c r="N35">
        <v>0.11799999999999999</v>
      </c>
      <c r="O35">
        <v>51.41</v>
      </c>
    </row>
    <row r="36" spans="1:15" x14ac:dyDescent="0.2">
      <c r="A36" t="s">
        <v>420</v>
      </c>
      <c r="B36">
        <v>417.02</v>
      </c>
      <c r="C36">
        <v>0.5</v>
      </c>
      <c r="D36">
        <v>31.1</v>
      </c>
      <c r="E36">
        <v>1</v>
      </c>
      <c r="G36">
        <v>2.1999999999999999E-2</v>
      </c>
      <c r="H36">
        <v>-2.9</v>
      </c>
      <c r="I36">
        <v>15.7</v>
      </c>
      <c r="J36">
        <v>-2.46E-2</v>
      </c>
      <c r="K36">
        <v>0.92</v>
      </c>
      <c r="L36">
        <v>9.3999999999999986E-3</v>
      </c>
      <c r="M36">
        <v>9.4</v>
      </c>
      <c r="N36">
        <v>8.4000000000000005E-2</v>
      </c>
      <c r="O36">
        <v>0.89</v>
      </c>
    </row>
    <row r="37" spans="1:15" x14ac:dyDescent="0.2">
      <c r="A37" t="s">
        <v>421</v>
      </c>
      <c r="B37">
        <v>1666.65</v>
      </c>
      <c r="C37">
        <v>-0.5</v>
      </c>
      <c r="D37">
        <v>12.7</v>
      </c>
      <c r="E37">
        <v>54</v>
      </c>
      <c r="G37">
        <v>5.7000000000000002E-2</v>
      </c>
      <c r="H37">
        <v>-1.6</v>
      </c>
      <c r="I37">
        <v>7.8</v>
      </c>
      <c r="J37">
        <v>4.9200000000000001E-2</v>
      </c>
      <c r="K37">
        <v>7.5</v>
      </c>
      <c r="L37">
        <v>8.5000000000000006E-2</v>
      </c>
      <c r="M37">
        <v>46.1</v>
      </c>
      <c r="N37">
        <v>0.46100000000000002</v>
      </c>
      <c r="O37">
        <v>92.08</v>
      </c>
    </row>
    <row r="38" spans="1:15" x14ac:dyDescent="0.2">
      <c r="A38" t="s">
        <v>422</v>
      </c>
      <c r="B38">
        <v>566.57000000000005</v>
      </c>
      <c r="C38">
        <v>-3.3</v>
      </c>
      <c r="D38">
        <v>79.260000000000005</v>
      </c>
      <c r="E38">
        <v>64</v>
      </c>
      <c r="F38">
        <v>-5.0000000000000001E-3</v>
      </c>
      <c r="G38">
        <v>6.9000000000000006E-2</v>
      </c>
      <c r="H38">
        <v>-5</v>
      </c>
      <c r="I38">
        <v>10.4</v>
      </c>
      <c r="J38">
        <v>3.3500000000000002E-2</v>
      </c>
      <c r="K38">
        <v>8.5</v>
      </c>
      <c r="L38">
        <v>7.4999999999999997E-3</v>
      </c>
      <c r="M38">
        <v>14</v>
      </c>
      <c r="N38">
        <v>0.153</v>
      </c>
      <c r="O38">
        <v>5.21</v>
      </c>
    </row>
    <row r="39" spans="1:15" x14ac:dyDescent="0.2">
      <c r="A39" t="s">
        <v>423</v>
      </c>
      <c r="B39">
        <v>6.68</v>
      </c>
      <c r="C39">
        <v>3.1</v>
      </c>
      <c r="D39">
        <v>79.8</v>
      </c>
      <c r="E39">
        <v>68</v>
      </c>
      <c r="F39">
        <v>0.02</v>
      </c>
      <c r="G39">
        <v>7.6999999999999999E-2</v>
      </c>
      <c r="H39">
        <v>-2.9</v>
      </c>
      <c r="I39">
        <v>12.3</v>
      </c>
      <c r="J39">
        <v>4.8000000000000001E-2</v>
      </c>
      <c r="K39">
        <v>2.5</v>
      </c>
      <c r="L39">
        <v>2.5000000000000001E-2</v>
      </c>
      <c r="M39">
        <v>6.3</v>
      </c>
      <c r="N39">
        <v>7.400000000000001E-2</v>
      </c>
      <c r="O39">
        <v>4.04</v>
      </c>
    </row>
    <row r="40" spans="1:15" x14ac:dyDescent="0.2">
      <c r="A40" t="s">
        <v>424</v>
      </c>
      <c r="B40">
        <v>1</v>
      </c>
      <c r="C40">
        <v>0.2</v>
      </c>
      <c r="D40">
        <v>19</v>
      </c>
      <c r="E40">
        <v>107</v>
      </c>
      <c r="G40">
        <v>0.109</v>
      </c>
      <c r="H40">
        <v>-11.7</v>
      </c>
      <c r="I40">
        <v>32.32</v>
      </c>
      <c r="J40">
        <v>4.2000000000000003E-2</v>
      </c>
      <c r="K40">
        <v>2.25</v>
      </c>
      <c r="L40">
        <v>2.2499999999999999E-2</v>
      </c>
      <c r="M40">
        <v>2.8</v>
      </c>
      <c r="N40">
        <v>3.8699999999999998E-2</v>
      </c>
      <c r="O40">
        <v>11.35</v>
      </c>
    </row>
    <row r="41" spans="1:15" x14ac:dyDescent="0.2">
      <c r="A41" t="s">
        <v>425</v>
      </c>
      <c r="B41">
        <v>1.1100000000000001</v>
      </c>
      <c r="C41">
        <v>-7.2</v>
      </c>
      <c r="D41">
        <v>103.6</v>
      </c>
      <c r="E41">
        <v>28</v>
      </c>
      <c r="F41">
        <v>6.0000000000000001E-3</v>
      </c>
      <c r="G41">
        <v>6.0999999999999999E-2</v>
      </c>
      <c r="H41">
        <v>-1.7</v>
      </c>
      <c r="I41">
        <v>8.74</v>
      </c>
      <c r="J41">
        <v>4.3400000000000001E-2</v>
      </c>
      <c r="K41">
        <v>1.25</v>
      </c>
      <c r="L41">
        <v>0</v>
      </c>
      <c r="M41">
        <v>8.6</v>
      </c>
      <c r="N41">
        <v>6.6000000000000003E-2</v>
      </c>
      <c r="O41">
        <v>0.9</v>
      </c>
    </row>
    <row r="42" spans="1:15" x14ac:dyDescent="0.2">
      <c r="A42" t="s">
        <v>426</v>
      </c>
      <c r="B42">
        <v>21.77</v>
      </c>
      <c r="C42">
        <v>-0.8</v>
      </c>
      <c r="D42">
        <v>41.9</v>
      </c>
      <c r="E42">
        <v>282</v>
      </c>
      <c r="F42">
        <v>5.0000000000000001E-3</v>
      </c>
      <c r="G42">
        <v>3.7000000000000012E-2</v>
      </c>
      <c r="H42">
        <v>-5.9</v>
      </c>
      <c r="I42">
        <v>17.2</v>
      </c>
      <c r="J42">
        <v>0.06</v>
      </c>
      <c r="K42">
        <v>7</v>
      </c>
      <c r="L42">
        <v>3.7499999999999999E-2</v>
      </c>
      <c r="M42">
        <v>3.4</v>
      </c>
      <c r="N42">
        <v>3.3000000000000002E-2</v>
      </c>
      <c r="O42">
        <v>10.5</v>
      </c>
    </row>
    <row r="43" spans="1:15" x14ac:dyDescent="0.2">
      <c r="A43" t="s">
        <v>427</v>
      </c>
      <c r="B43">
        <v>6.31</v>
      </c>
      <c r="C43">
        <v>8.8000000000000007</v>
      </c>
      <c r="D43">
        <v>36.700000000000003</v>
      </c>
      <c r="E43">
        <v>397</v>
      </c>
      <c r="F43">
        <v>9.0000000000000011E-3</v>
      </c>
      <c r="G43">
        <v>3.9E-2</v>
      </c>
      <c r="H43">
        <v>2.2999999999999998</v>
      </c>
      <c r="I43">
        <v>8.9</v>
      </c>
      <c r="J43">
        <v>3.4000000000000002E-2</v>
      </c>
      <c r="K43">
        <v>0.65</v>
      </c>
      <c r="L43">
        <v>-6.0000000000000001E-3</v>
      </c>
      <c r="M43">
        <v>2.7</v>
      </c>
      <c r="N43">
        <v>3.1E-2</v>
      </c>
      <c r="O43">
        <v>5.84</v>
      </c>
    </row>
    <row r="44" spans="1:15" x14ac:dyDescent="0.2">
      <c r="A44" t="s">
        <v>428</v>
      </c>
      <c r="B44">
        <v>177.5</v>
      </c>
      <c r="C44">
        <v>9.5</v>
      </c>
      <c r="D44">
        <v>43.2</v>
      </c>
      <c r="E44">
        <v>3</v>
      </c>
      <c r="G44">
        <v>3.9E-2</v>
      </c>
      <c r="H44">
        <v>-1.8</v>
      </c>
      <c r="I44">
        <v>5.9</v>
      </c>
      <c r="J44">
        <v>2.5499999999999998E-2</v>
      </c>
      <c r="K44">
        <v>11.2</v>
      </c>
      <c r="L44">
        <v>0.112</v>
      </c>
      <c r="M44">
        <v>28.4</v>
      </c>
      <c r="N44">
        <v>0.11600000000000001</v>
      </c>
      <c r="O44">
        <v>1</v>
      </c>
    </row>
    <row r="45" spans="1:15" x14ac:dyDescent="0.2">
      <c r="A45" t="s">
        <v>429</v>
      </c>
      <c r="B45">
        <v>52.98</v>
      </c>
      <c r="C45">
        <v>-2.9</v>
      </c>
      <c r="D45">
        <v>50.4</v>
      </c>
      <c r="E45">
        <v>94</v>
      </c>
      <c r="F45">
        <v>-5.1299999999999998E-2</v>
      </c>
      <c r="G45">
        <v>6.0999999999999999E-2</v>
      </c>
      <c r="H45">
        <v>-2.8</v>
      </c>
      <c r="I45">
        <v>8.8000000000000007</v>
      </c>
      <c r="J45">
        <v>8.2299999999999998E-2</v>
      </c>
      <c r="K45">
        <v>8.25</v>
      </c>
      <c r="L45">
        <v>0.03</v>
      </c>
      <c r="M45">
        <v>7.6</v>
      </c>
      <c r="N45">
        <v>7.5999999999999998E-2</v>
      </c>
      <c r="O45">
        <v>11.03</v>
      </c>
    </row>
    <row r="46" spans="1:15" x14ac:dyDescent="0.2">
      <c r="A46" t="s">
        <v>430</v>
      </c>
      <c r="C46">
        <v>-15</v>
      </c>
      <c r="E46">
        <v>2</v>
      </c>
      <c r="G46">
        <v>2.9000000000000001E-2</v>
      </c>
      <c r="H46">
        <v>-4.8</v>
      </c>
      <c r="I46">
        <v>7.9</v>
      </c>
      <c r="J46">
        <v>5.2999999999999999E-2</v>
      </c>
      <c r="M46">
        <v>5.0599999999999996</v>
      </c>
      <c r="N46">
        <v>5.0599999999999999E-2</v>
      </c>
      <c r="O46">
        <v>1.32</v>
      </c>
    </row>
    <row r="47" spans="1:15" x14ac:dyDescent="0.2">
      <c r="A47" t="s">
        <v>431</v>
      </c>
      <c r="B47">
        <v>98.56</v>
      </c>
      <c r="C47">
        <v>2.9</v>
      </c>
      <c r="D47">
        <v>59</v>
      </c>
      <c r="E47">
        <v>106</v>
      </c>
      <c r="F47">
        <v>1.1000000000000001E-3</v>
      </c>
      <c r="G47">
        <v>3.7999999999999999E-2</v>
      </c>
      <c r="H47">
        <v>-8.9</v>
      </c>
      <c r="I47">
        <v>4.12</v>
      </c>
      <c r="J47">
        <v>1.84E-2</v>
      </c>
      <c r="K47">
        <v>8.4499999999999993</v>
      </c>
      <c r="L47">
        <v>9.3299999999999994E-2</v>
      </c>
      <c r="M47">
        <v>5.4</v>
      </c>
      <c r="N47">
        <v>6.6000000000000003E-2</v>
      </c>
      <c r="O47">
        <v>17.73</v>
      </c>
    </row>
    <row r="48" spans="1:15" x14ac:dyDescent="0.2">
      <c r="A48" t="s">
        <v>432</v>
      </c>
      <c r="B48">
        <v>15.64</v>
      </c>
      <c r="C48">
        <v>-4.5999999999999996</v>
      </c>
      <c r="D48">
        <v>87.2</v>
      </c>
      <c r="E48">
        <v>404</v>
      </c>
      <c r="F48">
        <v>9.8000000000000004E-2</v>
      </c>
      <c r="G48">
        <v>5.4000000000000013E-2</v>
      </c>
      <c r="H48">
        <v>-6.1</v>
      </c>
      <c r="I48">
        <v>14.6</v>
      </c>
      <c r="J48">
        <v>5.5999999999999987E-2</v>
      </c>
      <c r="K48">
        <v>11.25</v>
      </c>
      <c r="L48">
        <v>8.2500000000000004E-2</v>
      </c>
      <c r="M48">
        <v>7.2</v>
      </c>
      <c r="N48">
        <v>7.4999999999999997E-2</v>
      </c>
      <c r="O48">
        <v>104.26</v>
      </c>
    </row>
    <row r="49" spans="1:15" x14ac:dyDescent="0.2">
      <c r="A49" t="s">
        <v>433</v>
      </c>
      <c r="B49">
        <v>98.56</v>
      </c>
      <c r="C49">
        <v>0.5</v>
      </c>
      <c r="D49">
        <v>90.17</v>
      </c>
      <c r="E49">
        <v>29</v>
      </c>
      <c r="F49">
        <v>2.5000000000000001E-3</v>
      </c>
      <c r="G49">
        <v>2.5999999999999999E-2</v>
      </c>
      <c r="H49">
        <v>-9.1999999999999993</v>
      </c>
      <c r="I49">
        <v>7.49</v>
      </c>
      <c r="J49">
        <v>6.2E-2</v>
      </c>
      <c r="K49">
        <v>4.95</v>
      </c>
      <c r="L49">
        <v>4.0099999999999997E-2</v>
      </c>
      <c r="M49">
        <v>6.9</v>
      </c>
      <c r="N49">
        <v>6.9000000000000006E-2</v>
      </c>
      <c r="O49">
        <v>6.52</v>
      </c>
    </row>
    <row r="50" spans="1:15" x14ac:dyDescent="0.2">
      <c r="A50" t="s">
        <v>434</v>
      </c>
      <c r="B50">
        <v>551.32000000000005</v>
      </c>
      <c r="C50">
        <v>-8.4</v>
      </c>
      <c r="D50">
        <v>39.9</v>
      </c>
      <c r="E50">
        <v>12</v>
      </c>
      <c r="G50">
        <v>-1.6E-2</v>
      </c>
      <c r="H50">
        <v>-1</v>
      </c>
      <c r="I50">
        <v>2.9</v>
      </c>
      <c r="J50">
        <v>0.03</v>
      </c>
      <c r="K50">
        <v>4.5</v>
      </c>
      <c r="L50">
        <v>3.2500000000000001E-2</v>
      </c>
      <c r="M50">
        <v>9.1999999999999993</v>
      </c>
      <c r="N50">
        <v>9.1999999999999998E-2</v>
      </c>
      <c r="O50">
        <v>1.45</v>
      </c>
    </row>
    <row r="51" spans="1:15" x14ac:dyDescent="0.2">
      <c r="A51" t="s">
        <v>435</v>
      </c>
      <c r="B51">
        <v>15</v>
      </c>
      <c r="C51">
        <v>13.5</v>
      </c>
      <c r="D51">
        <v>171</v>
      </c>
      <c r="E51">
        <v>2</v>
      </c>
      <c r="G51">
        <v>2.9000000000000001E-2</v>
      </c>
      <c r="H51">
        <v>-4</v>
      </c>
      <c r="I51">
        <v>4.5</v>
      </c>
      <c r="J51">
        <v>4.7E-2</v>
      </c>
      <c r="M51">
        <v>8</v>
      </c>
      <c r="N51">
        <v>7.400000000000001E-2</v>
      </c>
      <c r="O51">
        <v>3.21</v>
      </c>
    </row>
    <row r="52" spans="1:15" x14ac:dyDescent="0.2">
      <c r="A52" t="s">
        <v>436</v>
      </c>
      <c r="B52">
        <v>1.1100000000000001</v>
      </c>
      <c r="C52">
        <v>-1.6</v>
      </c>
      <c r="D52">
        <v>18.100000000000001</v>
      </c>
      <c r="E52">
        <v>36</v>
      </c>
      <c r="F52">
        <v>-1.2999999999999999E-2</v>
      </c>
      <c r="G52">
        <v>6.0000000000000001E-3</v>
      </c>
      <c r="H52">
        <v>-2.4</v>
      </c>
      <c r="I52">
        <v>23.7</v>
      </c>
      <c r="J52">
        <v>8.8000000000000009E-2</v>
      </c>
      <c r="K52">
        <v>1.25</v>
      </c>
      <c r="L52">
        <v>0</v>
      </c>
      <c r="M52">
        <v>5.8</v>
      </c>
      <c r="N52">
        <v>5.7000000000000002E-2</v>
      </c>
      <c r="O52">
        <v>1.33</v>
      </c>
    </row>
    <row r="53" spans="1:15" x14ac:dyDescent="0.2">
      <c r="A53" t="s">
        <v>437</v>
      </c>
      <c r="B53">
        <v>31.69</v>
      </c>
      <c r="C53">
        <v>-4.3</v>
      </c>
      <c r="D53">
        <v>57</v>
      </c>
      <c r="E53">
        <v>111</v>
      </c>
      <c r="G53">
        <v>8.6999999999999994E-2</v>
      </c>
      <c r="H53">
        <v>-2.7</v>
      </c>
      <c r="I53">
        <v>32.5</v>
      </c>
      <c r="J53">
        <v>0.33</v>
      </c>
      <c r="K53">
        <v>7</v>
      </c>
      <c r="L53">
        <v>7.0000000000000007E-2</v>
      </c>
      <c r="M53">
        <v>19.100000000000001</v>
      </c>
      <c r="N53">
        <v>0.191</v>
      </c>
      <c r="O53">
        <v>117.88</v>
      </c>
    </row>
    <row r="54" spans="1:15" x14ac:dyDescent="0.2">
      <c r="A54" t="s">
        <v>438</v>
      </c>
      <c r="B54">
        <v>1.1100000000000001</v>
      </c>
      <c r="C54">
        <v>2.5</v>
      </c>
      <c r="D54">
        <v>95.6</v>
      </c>
      <c r="E54">
        <v>14493</v>
      </c>
      <c r="F54">
        <v>8.0000000000000002E-3</v>
      </c>
      <c r="G54">
        <v>4.0999999999999988E-2</v>
      </c>
      <c r="H54">
        <v>-5.0999999999999996</v>
      </c>
      <c r="I54">
        <v>10</v>
      </c>
      <c r="J54">
        <v>4.9000000000000002E-2</v>
      </c>
      <c r="K54">
        <v>1.25</v>
      </c>
      <c r="L54">
        <v>0</v>
      </c>
      <c r="M54">
        <v>6.6</v>
      </c>
      <c r="N54">
        <v>7.2999999999999995E-2</v>
      </c>
      <c r="O54">
        <v>342.56</v>
      </c>
    </row>
    <row r="55" spans="1:15" x14ac:dyDescent="0.2">
      <c r="A55" t="s">
        <v>439</v>
      </c>
      <c r="B55">
        <v>2.17</v>
      </c>
      <c r="C55">
        <v>-12.9</v>
      </c>
      <c r="D55">
        <v>79.8</v>
      </c>
      <c r="E55">
        <v>5</v>
      </c>
      <c r="G55">
        <v>-4.0999999999999988E-2</v>
      </c>
      <c r="H55">
        <v>-11.5</v>
      </c>
      <c r="I55">
        <v>5.9</v>
      </c>
      <c r="J55">
        <v>8.0000000000000002E-3</v>
      </c>
      <c r="K55">
        <v>0.25</v>
      </c>
      <c r="L55">
        <v>2.5000000000000001E-3</v>
      </c>
      <c r="M55">
        <v>5.2</v>
      </c>
      <c r="N55">
        <v>4.8000000000000001E-2</v>
      </c>
      <c r="O55">
        <v>0.9</v>
      </c>
    </row>
    <row r="56" spans="1:15" x14ac:dyDescent="0.2">
      <c r="A56" t="s">
        <v>440</v>
      </c>
      <c r="B56">
        <v>1.1100000000000001</v>
      </c>
      <c r="C56">
        <v>0.9</v>
      </c>
      <c r="D56">
        <v>65.8</v>
      </c>
      <c r="E56">
        <v>299</v>
      </c>
      <c r="F56">
        <v>9.0000000000000011E-3</v>
      </c>
      <c r="G56">
        <v>0.03</v>
      </c>
      <c r="H56">
        <v>-2.6</v>
      </c>
      <c r="I56">
        <v>7.6</v>
      </c>
      <c r="J56">
        <v>3.7000000000000012E-2</v>
      </c>
      <c r="K56">
        <v>1.25</v>
      </c>
      <c r="L56">
        <v>0</v>
      </c>
      <c r="M56">
        <v>6.7</v>
      </c>
      <c r="N56">
        <v>0.06</v>
      </c>
      <c r="O56">
        <v>5.55</v>
      </c>
    </row>
    <row r="57" spans="1:15" x14ac:dyDescent="0.2">
      <c r="A57" t="s">
        <v>441</v>
      </c>
      <c r="B57">
        <v>1.1100000000000001</v>
      </c>
      <c r="C57">
        <v>0.4</v>
      </c>
      <c r="D57">
        <v>112.9</v>
      </c>
      <c r="E57">
        <v>2937</v>
      </c>
      <c r="F57">
        <v>5.0000000000000001E-3</v>
      </c>
      <c r="G57">
        <v>4.2000000000000003E-2</v>
      </c>
      <c r="H57">
        <v>-6.5</v>
      </c>
      <c r="I57">
        <v>5.6</v>
      </c>
      <c r="J57">
        <v>2.8000000000000001E-2</v>
      </c>
      <c r="K57">
        <v>1.25</v>
      </c>
      <c r="L57">
        <v>0</v>
      </c>
      <c r="M57">
        <v>7.4</v>
      </c>
      <c r="N57">
        <v>8.1000000000000003E-2</v>
      </c>
      <c r="O57">
        <v>67.63</v>
      </c>
    </row>
    <row r="58" spans="1:15" x14ac:dyDescent="0.2">
      <c r="A58" t="s">
        <v>442</v>
      </c>
      <c r="B58">
        <v>551.32000000000005</v>
      </c>
      <c r="C58">
        <v>0.3</v>
      </c>
      <c r="D58">
        <v>69.5</v>
      </c>
      <c r="E58">
        <v>18</v>
      </c>
      <c r="G58">
        <v>1.4999999999999999E-2</v>
      </c>
      <c r="H58">
        <v>2.2999999999999998</v>
      </c>
      <c r="I58">
        <v>3</v>
      </c>
      <c r="J58">
        <v>9.0000000000000011E-3</v>
      </c>
      <c r="K58">
        <v>4.5</v>
      </c>
      <c r="L58">
        <v>3.2500000000000001E-2</v>
      </c>
      <c r="M58">
        <v>22.3</v>
      </c>
      <c r="N58">
        <v>0.20499999999999999</v>
      </c>
      <c r="O58">
        <v>2.29</v>
      </c>
    </row>
    <row r="59" spans="1:15" x14ac:dyDescent="0.2">
      <c r="A59" t="s">
        <v>443</v>
      </c>
      <c r="B59">
        <v>51.35</v>
      </c>
      <c r="C59">
        <v>-9.3000000000000007</v>
      </c>
      <c r="D59">
        <v>82.9</v>
      </c>
      <c r="E59">
        <v>2</v>
      </c>
      <c r="G59">
        <v>5.5999999999999987E-2</v>
      </c>
      <c r="H59">
        <v>-4</v>
      </c>
      <c r="I59">
        <v>12.9</v>
      </c>
      <c r="J59">
        <v>7.3399999999999993E-2</v>
      </c>
      <c r="K59">
        <v>12</v>
      </c>
      <c r="L59">
        <v>0.1</v>
      </c>
      <c r="M59">
        <v>11.2</v>
      </c>
      <c r="N59">
        <v>9.6000000000000002E-2</v>
      </c>
      <c r="O59">
        <v>2.35</v>
      </c>
    </row>
    <row r="60" spans="1:15" x14ac:dyDescent="0.2">
      <c r="A60" t="s">
        <v>444</v>
      </c>
      <c r="B60">
        <v>2.89</v>
      </c>
      <c r="C60">
        <v>-9.8000000000000007</v>
      </c>
      <c r="D60">
        <v>57.1</v>
      </c>
      <c r="E60">
        <v>19</v>
      </c>
      <c r="G60">
        <v>7.0999999999999994E-2</v>
      </c>
      <c r="H60">
        <v>-6</v>
      </c>
      <c r="I60">
        <v>11.5</v>
      </c>
      <c r="J60">
        <v>0.125</v>
      </c>
      <c r="K60">
        <v>11</v>
      </c>
      <c r="L60">
        <v>0.105</v>
      </c>
      <c r="M60">
        <v>20.6</v>
      </c>
      <c r="N60">
        <v>0.185</v>
      </c>
      <c r="O60">
        <v>3.69</v>
      </c>
    </row>
    <row r="61" spans="1:15" ht="16" customHeight="1" thickBot="1" x14ac:dyDescent="0.25">
      <c r="A61" t="s">
        <v>445</v>
      </c>
      <c r="B61">
        <v>1.1100000000000001</v>
      </c>
      <c r="C61">
        <v>7.4</v>
      </c>
      <c r="D61">
        <v>69.3</v>
      </c>
      <c r="E61">
        <v>4223</v>
      </c>
      <c r="F61">
        <v>1E-3</v>
      </c>
      <c r="G61">
        <v>1.7000000000000001E-2</v>
      </c>
      <c r="H61">
        <v>-3.7</v>
      </c>
      <c r="I61">
        <v>10</v>
      </c>
      <c r="J61">
        <v>5.1999999999999998E-2</v>
      </c>
      <c r="K61">
        <v>1.25</v>
      </c>
      <c r="L61">
        <v>0</v>
      </c>
      <c r="M61">
        <v>5.5</v>
      </c>
      <c r="N61">
        <v>5.2999999999999999E-2</v>
      </c>
      <c r="O61">
        <v>83.16</v>
      </c>
    </row>
    <row r="62" spans="1:15" x14ac:dyDescent="0.2">
      <c r="A62" t="s">
        <v>446</v>
      </c>
      <c r="B62">
        <v>5.88</v>
      </c>
      <c r="C62">
        <v>-2.1</v>
      </c>
      <c r="D62">
        <v>81.8</v>
      </c>
      <c r="E62">
        <v>78</v>
      </c>
      <c r="F62">
        <v>1.0999999999999999E-2</v>
      </c>
      <c r="G62">
        <v>4.8000000000000001E-2</v>
      </c>
      <c r="H62">
        <v>-12.1</v>
      </c>
      <c r="I62">
        <v>33.9</v>
      </c>
      <c r="J62">
        <v>0.122</v>
      </c>
      <c r="K62">
        <v>24.5</v>
      </c>
      <c r="L62">
        <v>0.14499999999999999</v>
      </c>
      <c r="M62">
        <v>4.7</v>
      </c>
      <c r="N62">
        <v>4.4999999999999998E-2</v>
      </c>
      <c r="O62">
        <v>30.96</v>
      </c>
    </row>
    <row r="63" spans="1:15" ht="16" customHeight="1" thickBot="1" x14ac:dyDescent="0.25">
      <c r="A63" t="s">
        <v>447</v>
      </c>
      <c r="B63">
        <v>1.1100000000000001</v>
      </c>
      <c r="C63">
        <v>-5.9</v>
      </c>
      <c r="D63">
        <v>193.3</v>
      </c>
      <c r="E63">
        <v>216</v>
      </c>
      <c r="F63">
        <v>1.2E-2</v>
      </c>
      <c r="G63">
        <v>7.6999999999999999E-2</v>
      </c>
      <c r="H63">
        <v>-7.4</v>
      </c>
      <c r="I63">
        <v>11.4</v>
      </c>
      <c r="J63">
        <v>4.8000000000000001E-2</v>
      </c>
      <c r="K63">
        <v>1.25</v>
      </c>
      <c r="L63">
        <v>0</v>
      </c>
      <c r="M63">
        <v>12.2</v>
      </c>
      <c r="N63">
        <v>0.13300000000000001</v>
      </c>
      <c r="O63">
        <v>10.68</v>
      </c>
    </row>
    <row r="64" spans="1:15" x14ac:dyDescent="0.2">
      <c r="A64" t="s">
        <v>448</v>
      </c>
      <c r="B64">
        <v>7.7</v>
      </c>
      <c r="C64">
        <v>5.5</v>
      </c>
      <c r="D64">
        <v>31.26</v>
      </c>
      <c r="E64">
        <v>86</v>
      </c>
      <c r="G64">
        <v>4.4800000000000013E-2</v>
      </c>
      <c r="H64">
        <v>-4.9000000000000004</v>
      </c>
      <c r="I64">
        <v>8.8699999999999992</v>
      </c>
      <c r="J64">
        <v>2.8899999999999999E-2</v>
      </c>
      <c r="K64">
        <v>3</v>
      </c>
      <c r="L64">
        <v>1.7500000000000002E-2</v>
      </c>
      <c r="M64">
        <v>2</v>
      </c>
      <c r="N64">
        <v>0.02</v>
      </c>
      <c r="O64">
        <v>18.38</v>
      </c>
    </row>
    <row r="65" spans="1:15" ht="16" customHeight="1" thickBot="1" x14ac:dyDescent="0.25">
      <c r="A65" t="s">
        <v>449</v>
      </c>
      <c r="B65">
        <v>9537</v>
      </c>
      <c r="C65">
        <v>-4</v>
      </c>
      <c r="D65">
        <v>43.3</v>
      </c>
      <c r="E65">
        <v>16</v>
      </c>
      <c r="G65">
        <v>4.9000000000000002E-2</v>
      </c>
      <c r="H65">
        <v>-2.2999999999999998</v>
      </c>
      <c r="I65">
        <v>12.41</v>
      </c>
      <c r="J65">
        <v>0.127</v>
      </c>
      <c r="K65">
        <v>11.5</v>
      </c>
      <c r="L65">
        <v>0.115</v>
      </c>
      <c r="M65">
        <v>4.4000000000000004</v>
      </c>
      <c r="N65">
        <v>4.3999999999999997E-2</v>
      </c>
      <c r="O65">
        <v>12.91</v>
      </c>
    </row>
    <row r="66" spans="1:15" ht="16" customHeight="1" thickBot="1" x14ac:dyDescent="0.25">
      <c r="A66" t="s">
        <v>450</v>
      </c>
      <c r="C66">
        <v>-6.9</v>
      </c>
      <c r="D66">
        <v>36.5</v>
      </c>
      <c r="E66">
        <v>2</v>
      </c>
      <c r="G66">
        <v>4.7E-2</v>
      </c>
      <c r="H66">
        <v>-5.6</v>
      </c>
      <c r="I66">
        <v>7.5</v>
      </c>
      <c r="J66">
        <v>4.2999999999999997E-2</v>
      </c>
      <c r="K66">
        <v>4.5</v>
      </c>
      <c r="L66">
        <v>0.04</v>
      </c>
      <c r="M66">
        <v>3.2</v>
      </c>
      <c r="N66">
        <v>3.2000000000000001E-2</v>
      </c>
      <c r="O66">
        <v>2.02</v>
      </c>
    </row>
    <row r="67" spans="1:15" x14ac:dyDescent="0.2">
      <c r="A67" t="s">
        <v>451</v>
      </c>
      <c r="B67">
        <v>209.34</v>
      </c>
      <c r="C67">
        <v>-8.1999999999999993</v>
      </c>
      <c r="D67">
        <v>43.7</v>
      </c>
      <c r="E67">
        <v>7</v>
      </c>
      <c r="G67">
        <v>0.20100000000000001</v>
      </c>
      <c r="H67">
        <v>-5.3</v>
      </c>
      <c r="I67">
        <v>5.73</v>
      </c>
      <c r="J67">
        <v>5.9900000000000002E-2</v>
      </c>
      <c r="K67">
        <v>5</v>
      </c>
      <c r="L67">
        <v>0.05</v>
      </c>
      <c r="M67">
        <v>15.8</v>
      </c>
      <c r="N67">
        <v>0.158</v>
      </c>
      <c r="O67">
        <v>0.79</v>
      </c>
    </row>
    <row r="68" spans="1:15" x14ac:dyDescent="0.2">
      <c r="A68" t="s">
        <v>452</v>
      </c>
      <c r="B68">
        <v>88.71</v>
      </c>
      <c r="C68">
        <v>5.5</v>
      </c>
      <c r="D68">
        <v>54.4</v>
      </c>
      <c r="E68">
        <v>21</v>
      </c>
      <c r="G68">
        <v>1.2E-2</v>
      </c>
      <c r="H68">
        <v>-5.9</v>
      </c>
      <c r="I68">
        <v>30.5</v>
      </c>
      <c r="J68">
        <v>0.1091</v>
      </c>
      <c r="K68">
        <v>17</v>
      </c>
      <c r="L68">
        <v>0.17</v>
      </c>
      <c r="M68">
        <v>14.5</v>
      </c>
      <c r="N68">
        <v>0.14499999999999999</v>
      </c>
      <c r="O68">
        <v>11.54</v>
      </c>
    </row>
    <row r="69" spans="1:15" x14ac:dyDescent="0.2">
      <c r="A69" t="s">
        <v>453</v>
      </c>
      <c r="B69">
        <v>24.6</v>
      </c>
      <c r="C69">
        <v>-4.3</v>
      </c>
      <c r="D69">
        <v>51.46</v>
      </c>
      <c r="E69">
        <v>28</v>
      </c>
      <c r="F69">
        <v>9.0000000000000011E-3</v>
      </c>
      <c r="G69">
        <v>6.0999999999999999E-2</v>
      </c>
      <c r="H69">
        <v>-6.9</v>
      </c>
      <c r="I69">
        <v>10.4</v>
      </c>
      <c r="J69">
        <v>4.9500000000000002E-2</v>
      </c>
      <c r="K69">
        <v>3</v>
      </c>
      <c r="L69">
        <v>0.03</v>
      </c>
      <c r="M69">
        <v>10.9</v>
      </c>
      <c r="N69">
        <v>0.109</v>
      </c>
      <c r="O69">
        <v>9.43</v>
      </c>
    </row>
    <row r="70" spans="1:15" ht="16" customHeight="1" thickBot="1" x14ac:dyDescent="0.25">
      <c r="A70" t="s">
        <v>454</v>
      </c>
      <c r="B70">
        <v>7.83</v>
      </c>
      <c r="C70">
        <v>6.6</v>
      </c>
      <c r="D70">
        <v>38.4</v>
      </c>
      <c r="E70">
        <v>368</v>
      </c>
      <c r="F70">
        <v>0.01</v>
      </c>
      <c r="G70">
        <v>-1.2999999999999999E-2</v>
      </c>
      <c r="H70">
        <v>-12</v>
      </c>
      <c r="I70">
        <v>1.9</v>
      </c>
      <c r="J70">
        <v>1.7999999999999999E-2</v>
      </c>
      <c r="K70">
        <v>3.5</v>
      </c>
      <c r="L70">
        <v>8.6E-3</v>
      </c>
      <c r="M70">
        <v>4.0999999999999996</v>
      </c>
      <c r="N70">
        <v>4.0999999999999988E-2</v>
      </c>
      <c r="O70">
        <v>7.47</v>
      </c>
    </row>
    <row r="71" spans="1:15" x14ac:dyDescent="0.2">
      <c r="A71" t="s">
        <v>455</v>
      </c>
      <c r="B71">
        <v>302.98</v>
      </c>
      <c r="C71">
        <v>-2.9</v>
      </c>
      <c r="D71">
        <v>76.8</v>
      </c>
      <c r="E71">
        <v>182</v>
      </c>
      <c r="F71">
        <v>0.01</v>
      </c>
      <c r="G71">
        <v>6.5000000000000002E-2</v>
      </c>
      <c r="H71">
        <v>-6.8</v>
      </c>
      <c r="I71">
        <v>15.6</v>
      </c>
      <c r="J71">
        <v>7.400000000000001E-2</v>
      </c>
      <c r="K71">
        <v>13</v>
      </c>
      <c r="L71">
        <v>2.4E-2</v>
      </c>
      <c r="M71">
        <v>3.4</v>
      </c>
      <c r="N71">
        <v>3.7999999999999999E-2</v>
      </c>
      <c r="O71">
        <v>9.73</v>
      </c>
    </row>
    <row r="72" spans="1:15" ht="16" customHeight="1" thickBot="1" x14ac:dyDescent="0.25">
      <c r="A72" t="s">
        <v>456</v>
      </c>
      <c r="B72">
        <v>124.24</v>
      </c>
      <c r="C72">
        <v>-2.7</v>
      </c>
      <c r="D72">
        <v>75</v>
      </c>
      <c r="E72">
        <v>25</v>
      </c>
      <c r="F72">
        <v>3.9E-2</v>
      </c>
      <c r="G72">
        <v>6.0999999999999999E-2</v>
      </c>
      <c r="H72">
        <v>-8.9</v>
      </c>
      <c r="I72">
        <v>9.3000000000000007</v>
      </c>
      <c r="J72">
        <v>5.0999999999999997E-2</v>
      </c>
      <c r="K72">
        <v>5.75</v>
      </c>
      <c r="L72">
        <v>0.02</v>
      </c>
      <c r="M72">
        <v>4.5</v>
      </c>
      <c r="N72">
        <v>4.2000000000000003E-2</v>
      </c>
      <c r="O72">
        <v>0.37</v>
      </c>
    </row>
    <row r="73" spans="1:15" ht="16" customHeight="1" thickBot="1" x14ac:dyDescent="0.25">
      <c r="A73" t="s">
        <v>457</v>
      </c>
      <c r="B73">
        <v>71.010000000000005</v>
      </c>
      <c r="C73">
        <v>-1.7</v>
      </c>
      <c r="D73">
        <v>73.95</v>
      </c>
      <c r="E73">
        <v>3173</v>
      </c>
      <c r="F73">
        <v>-1.4E-2</v>
      </c>
      <c r="G73">
        <v>0.13500000000000001</v>
      </c>
      <c r="H73">
        <v>-9.4</v>
      </c>
      <c r="I73">
        <v>7</v>
      </c>
      <c r="J73">
        <v>4.9099999999999998E-2</v>
      </c>
      <c r="K73">
        <v>5.9</v>
      </c>
      <c r="L73">
        <v>0.04</v>
      </c>
      <c r="M73">
        <v>6.4</v>
      </c>
      <c r="N73">
        <v>6.9000000000000006E-2</v>
      </c>
      <c r="O73">
        <v>1380</v>
      </c>
    </row>
    <row r="74" spans="1:15" x14ac:dyDescent="0.2">
      <c r="A74" t="s">
        <v>458</v>
      </c>
      <c r="B74">
        <v>14462</v>
      </c>
      <c r="C74">
        <v>0.3</v>
      </c>
      <c r="D74">
        <v>38.5</v>
      </c>
      <c r="E74">
        <v>1186</v>
      </c>
      <c r="F74">
        <v>3.7199999999999997E-2</v>
      </c>
      <c r="G74">
        <v>5.4399999999999997E-2</v>
      </c>
      <c r="H74">
        <v>-4.6500000000000004</v>
      </c>
      <c r="I74">
        <v>5.95</v>
      </c>
      <c r="J74">
        <v>1.7500000000000002E-2</v>
      </c>
      <c r="K74">
        <v>4.25</v>
      </c>
      <c r="L74">
        <v>3.5000000000000003E-2</v>
      </c>
      <c r="M74">
        <v>5.83</v>
      </c>
      <c r="N74">
        <v>6.4899999999999999E-2</v>
      </c>
      <c r="O74">
        <v>272.7</v>
      </c>
    </row>
    <row r="75" spans="1:15" x14ac:dyDescent="0.2">
      <c r="A75" t="s">
        <v>459</v>
      </c>
      <c r="B75">
        <v>42000</v>
      </c>
      <c r="C75">
        <v>2</v>
      </c>
      <c r="D75">
        <v>41.5</v>
      </c>
      <c r="E75">
        <v>232</v>
      </c>
      <c r="G75">
        <v>-5.7000000000000002E-2</v>
      </c>
      <c r="H75">
        <v>-3.9</v>
      </c>
      <c r="I75">
        <v>52.2</v>
      </c>
      <c r="J75">
        <v>0.35699999999999998</v>
      </c>
      <c r="K75">
        <v>18</v>
      </c>
      <c r="L75">
        <v>0.18</v>
      </c>
      <c r="M75">
        <v>9.1999999999999993</v>
      </c>
      <c r="N75">
        <v>9.6000000000000002E-2</v>
      </c>
      <c r="O75">
        <v>84.1</v>
      </c>
    </row>
    <row r="76" spans="1:15" x14ac:dyDescent="0.2">
      <c r="A76" t="s">
        <v>460</v>
      </c>
      <c r="B76">
        <v>1193.81</v>
      </c>
      <c r="C76">
        <v>5.9</v>
      </c>
      <c r="D76">
        <v>59.3</v>
      </c>
      <c r="E76">
        <v>208</v>
      </c>
      <c r="G76">
        <v>5.8999999999999997E-2</v>
      </c>
      <c r="H76">
        <v>1.9</v>
      </c>
      <c r="I76">
        <v>5.4</v>
      </c>
      <c r="J76">
        <v>6.8000000000000005E-2</v>
      </c>
      <c r="K76">
        <v>4</v>
      </c>
      <c r="L76">
        <v>0.04</v>
      </c>
      <c r="M76">
        <v>14.2</v>
      </c>
      <c r="N76">
        <v>0.13739999999999999</v>
      </c>
      <c r="O76">
        <v>41.2</v>
      </c>
    </row>
    <row r="77" spans="1:15" ht="16" customHeight="1" thickBot="1" x14ac:dyDescent="0.25">
      <c r="A77" t="s">
        <v>461</v>
      </c>
      <c r="B77">
        <v>1.1100000000000001</v>
      </c>
      <c r="C77">
        <v>13.9</v>
      </c>
      <c r="D77">
        <v>56</v>
      </c>
      <c r="E77">
        <v>499</v>
      </c>
      <c r="F77">
        <v>1.7999999999999999E-2</v>
      </c>
      <c r="G77">
        <v>0.111</v>
      </c>
      <c r="H77">
        <v>-0.1</v>
      </c>
      <c r="I77">
        <v>8.6999999999999993</v>
      </c>
      <c r="J77">
        <v>5.2999999999999999E-2</v>
      </c>
      <c r="K77">
        <v>1.25</v>
      </c>
      <c r="L77">
        <v>0</v>
      </c>
      <c r="M77">
        <v>4.3</v>
      </c>
      <c r="N77">
        <v>5.1999999999999998E-2</v>
      </c>
      <c r="O77">
        <v>5.01</v>
      </c>
    </row>
    <row r="78" spans="1:15" x14ac:dyDescent="0.2">
      <c r="A78" t="s">
        <v>462</v>
      </c>
      <c r="B78">
        <v>3.28</v>
      </c>
      <c r="C78">
        <v>4.9000000000000004</v>
      </c>
      <c r="D78">
        <v>68.8</v>
      </c>
      <c r="E78">
        <v>482</v>
      </c>
      <c r="F78">
        <v>1.7000000000000001E-2</v>
      </c>
      <c r="G78">
        <v>7.4400000000000008E-2</v>
      </c>
      <c r="H78">
        <v>-5.5</v>
      </c>
      <c r="I78">
        <v>4.5999999999999996</v>
      </c>
      <c r="J78">
        <v>2.4E-2</v>
      </c>
      <c r="K78">
        <v>2.75</v>
      </c>
      <c r="L78">
        <v>1E-3</v>
      </c>
      <c r="M78">
        <v>3.4</v>
      </c>
      <c r="N78">
        <v>0.05</v>
      </c>
      <c r="O78">
        <v>9.4499999999999993</v>
      </c>
    </row>
    <row r="79" spans="1:15" x14ac:dyDescent="0.2">
      <c r="A79" t="s">
        <v>463</v>
      </c>
      <c r="B79">
        <v>1.1100000000000001</v>
      </c>
      <c r="C79">
        <v>2.5</v>
      </c>
      <c r="D79">
        <v>150.80000000000001</v>
      </c>
      <c r="E79">
        <v>2100</v>
      </c>
      <c r="F79">
        <v>1.0999999999999999E-2</v>
      </c>
      <c r="G79">
        <v>0.05</v>
      </c>
      <c r="H79">
        <v>-7.2</v>
      </c>
      <c r="I79">
        <v>8.9</v>
      </c>
      <c r="J79">
        <v>3.7000000000000012E-2</v>
      </c>
      <c r="K79">
        <v>1.25</v>
      </c>
      <c r="L79">
        <v>0</v>
      </c>
      <c r="M79">
        <v>7.8</v>
      </c>
      <c r="N79">
        <v>9.4E-2</v>
      </c>
      <c r="O79">
        <v>59.24</v>
      </c>
    </row>
    <row r="80" spans="1:15" ht="16" customHeight="1" thickBot="1" x14ac:dyDescent="0.25">
      <c r="A80" t="s">
        <v>464</v>
      </c>
      <c r="B80">
        <v>588.96</v>
      </c>
      <c r="C80">
        <v>-3.8</v>
      </c>
      <c r="D80">
        <v>51.4</v>
      </c>
      <c r="E80">
        <v>70</v>
      </c>
      <c r="G80">
        <v>6.4000000000000001E-2</v>
      </c>
      <c r="H80">
        <v>-5</v>
      </c>
      <c r="I80">
        <v>6.2</v>
      </c>
      <c r="J80">
        <v>4.4999999999999998E-2</v>
      </c>
      <c r="K80">
        <v>4.5</v>
      </c>
      <c r="L80">
        <v>0.04</v>
      </c>
      <c r="M80">
        <v>3.5</v>
      </c>
      <c r="N80">
        <v>3.5000000000000003E-2</v>
      </c>
      <c r="O80">
        <v>29.39</v>
      </c>
    </row>
    <row r="81" spans="1:15" ht="16" customHeight="1" thickBot="1" x14ac:dyDescent="0.25">
      <c r="A81" t="s">
        <v>465</v>
      </c>
      <c r="B81">
        <v>133.91</v>
      </c>
      <c r="C81">
        <v>0.7</v>
      </c>
      <c r="D81">
        <v>91.5</v>
      </c>
      <c r="E81">
        <v>14</v>
      </c>
      <c r="F81">
        <v>1.2999999999999999E-2</v>
      </c>
      <c r="G81">
        <v>4.8000000000000001E-2</v>
      </c>
      <c r="H81">
        <v>0.3</v>
      </c>
      <c r="I81">
        <v>10.199999999999999</v>
      </c>
      <c r="J81">
        <v>8.5000000000000006E-2</v>
      </c>
      <c r="K81">
        <v>6.5</v>
      </c>
      <c r="L81">
        <v>2.5000000000000001E-2</v>
      </c>
      <c r="M81">
        <v>6</v>
      </c>
      <c r="N81">
        <v>8.5000000000000006E-2</v>
      </c>
      <c r="O81">
        <v>2.98</v>
      </c>
    </row>
    <row r="82" spans="1:15" ht="16" customHeight="1" thickBot="1" x14ac:dyDescent="0.25">
      <c r="A82" t="s">
        <v>466</v>
      </c>
      <c r="B82">
        <v>108.19</v>
      </c>
      <c r="C82">
        <v>3.2</v>
      </c>
      <c r="D82">
        <v>266.2</v>
      </c>
      <c r="E82">
        <v>4937</v>
      </c>
      <c r="F82">
        <v>9.0000000000000011E-3</v>
      </c>
      <c r="G82">
        <v>1.6E-2</v>
      </c>
      <c r="H82">
        <v>-12.6</v>
      </c>
      <c r="I82">
        <v>3</v>
      </c>
      <c r="J82">
        <v>1E-3</v>
      </c>
      <c r="K82">
        <v>-0.1</v>
      </c>
      <c r="L82">
        <v>-1E-3</v>
      </c>
      <c r="M82">
        <v>2.5</v>
      </c>
      <c r="N82">
        <v>2.7E-2</v>
      </c>
      <c r="O82">
        <v>125.31</v>
      </c>
    </row>
    <row r="83" spans="1:15" x14ac:dyDescent="0.2">
      <c r="A83" t="s">
        <v>467</v>
      </c>
      <c r="B83">
        <v>0.71</v>
      </c>
      <c r="C83">
        <v>-8.8000000000000007</v>
      </c>
      <c r="D83">
        <v>89.4</v>
      </c>
      <c r="E83">
        <v>45</v>
      </c>
      <c r="G83">
        <v>2.9000000000000001E-2</v>
      </c>
      <c r="H83">
        <v>-5.4</v>
      </c>
      <c r="I83">
        <v>5.4</v>
      </c>
      <c r="J83">
        <v>1.7000000000000001E-2</v>
      </c>
      <c r="K83">
        <v>4.5</v>
      </c>
      <c r="L83">
        <v>2.5000000000000001E-2</v>
      </c>
      <c r="M83">
        <v>22.6</v>
      </c>
      <c r="N83">
        <v>0.23200000000000001</v>
      </c>
      <c r="O83">
        <v>11.07</v>
      </c>
    </row>
    <row r="84" spans="1:15" x14ac:dyDescent="0.2">
      <c r="A84" t="s">
        <v>468</v>
      </c>
      <c r="B84">
        <v>427.38</v>
      </c>
      <c r="C84">
        <v>-3</v>
      </c>
      <c r="D84">
        <v>27.4</v>
      </c>
      <c r="E84">
        <v>191</v>
      </c>
      <c r="F84">
        <v>1.26E-2</v>
      </c>
      <c r="G84">
        <v>3.4000000000000002E-2</v>
      </c>
      <c r="H84">
        <v>-4</v>
      </c>
      <c r="I84">
        <v>17.7</v>
      </c>
      <c r="J84">
        <v>8.6999999999999994E-2</v>
      </c>
      <c r="K84">
        <v>14.5</v>
      </c>
      <c r="L84">
        <v>9.7500000000000003E-2</v>
      </c>
      <c r="M84">
        <v>4.9000000000000004</v>
      </c>
      <c r="N84">
        <v>4.9000000000000002E-2</v>
      </c>
      <c r="O84">
        <v>19.12</v>
      </c>
    </row>
    <row r="85" spans="1:15" x14ac:dyDescent="0.2">
      <c r="A85" t="s">
        <v>469</v>
      </c>
      <c r="B85">
        <v>107.9</v>
      </c>
      <c r="C85">
        <v>-5.4</v>
      </c>
      <c r="D85">
        <v>68.400000000000006</v>
      </c>
      <c r="E85">
        <v>110</v>
      </c>
      <c r="F85">
        <v>1.17E-2</v>
      </c>
      <c r="G85">
        <v>6.8000000000000005E-2</v>
      </c>
      <c r="H85">
        <v>-8.1</v>
      </c>
      <c r="I85">
        <v>9.1999999999999993</v>
      </c>
      <c r="J85">
        <v>5.8000000000000003E-2</v>
      </c>
      <c r="K85">
        <v>8.25</v>
      </c>
      <c r="L85">
        <v>7.0000000000000007E-2</v>
      </c>
      <c r="M85">
        <v>6.6</v>
      </c>
      <c r="N85">
        <v>6.6000000000000003E-2</v>
      </c>
      <c r="O85">
        <v>49.4</v>
      </c>
    </row>
    <row r="86" spans="1:15" x14ac:dyDescent="0.2">
      <c r="A86" t="s">
        <v>470</v>
      </c>
      <c r="B86">
        <v>462.8</v>
      </c>
      <c r="C86">
        <v>-8.6</v>
      </c>
      <c r="D86">
        <v>23.34</v>
      </c>
      <c r="E86">
        <v>9</v>
      </c>
      <c r="G86">
        <v>2.1399999999999999E-2</v>
      </c>
      <c r="H86">
        <v>-0.9</v>
      </c>
      <c r="I86">
        <v>13</v>
      </c>
      <c r="J86">
        <v>6.9000000000000006E-2</v>
      </c>
      <c r="M86">
        <v>20.5</v>
      </c>
      <c r="N86">
        <v>0.25800000000000001</v>
      </c>
      <c r="O86">
        <v>1.77</v>
      </c>
    </row>
    <row r="87" spans="1:15" x14ac:dyDescent="0.2">
      <c r="A87" t="s">
        <v>471</v>
      </c>
      <c r="B87">
        <v>0.3</v>
      </c>
      <c r="C87">
        <v>16.100000000000001</v>
      </c>
      <c r="D87">
        <v>8.6999999999999993</v>
      </c>
      <c r="E87">
        <v>106</v>
      </c>
      <c r="F87">
        <v>4.7E-2</v>
      </c>
      <c r="G87">
        <v>1.2999999999999999E-2</v>
      </c>
      <c r="H87">
        <v>-0.5</v>
      </c>
      <c r="I87">
        <v>4.1500000000000004</v>
      </c>
      <c r="J87">
        <v>3.3599999999999998E-2</v>
      </c>
      <c r="K87">
        <v>3</v>
      </c>
      <c r="L87">
        <v>1.4999999999999999E-2</v>
      </c>
      <c r="M87">
        <v>2.2999999999999998</v>
      </c>
      <c r="N87">
        <v>2.3E-2</v>
      </c>
      <c r="O87">
        <v>4.33</v>
      </c>
    </row>
    <row r="88" spans="1:15" x14ac:dyDescent="0.2">
      <c r="A88" t="s">
        <v>472</v>
      </c>
      <c r="B88">
        <v>69.989999999999995</v>
      </c>
      <c r="C88">
        <v>-8.5</v>
      </c>
      <c r="D88">
        <v>60.3</v>
      </c>
      <c r="E88">
        <v>9</v>
      </c>
      <c r="G88">
        <v>6.3399999999999998E-2</v>
      </c>
      <c r="H88">
        <v>-0.2</v>
      </c>
      <c r="I88">
        <v>15.6</v>
      </c>
      <c r="J88">
        <v>0.123</v>
      </c>
      <c r="K88">
        <v>14</v>
      </c>
      <c r="L88">
        <v>0.08</v>
      </c>
      <c r="M88">
        <v>2.8</v>
      </c>
      <c r="N88">
        <v>3.1E-2</v>
      </c>
      <c r="O88">
        <v>6.7</v>
      </c>
    </row>
    <row r="89" spans="1:15" ht="16" customHeight="1" thickBot="1" x14ac:dyDescent="0.25">
      <c r="A89" t="s">
        <v>473</v>
      </c>
      <c r="B89">
        <v>9485</v>
      </c>
      <c r="C89">
        <v>-0.6</v>
      </c>
      <c r="D89">
        <v>55.66</v>
      </c>
      <c r="E89">
        <v>19</v>
      </c>
      <c r="G89">
        <v>4.0000000000000001E-3</v>
      </c>
      <c r="H89">
        <v>-5.22</v>
      </c>
      <c r="I89">
        <v>30.1</v>
      </c>
      <c r="J89">
        <v>4.7199999999999999E-2</v>
      </c>
      <c r="K89">
        <v>3.1</v>
      </c>
      <c r="L89">
        <v>0.03</v>
      </c>
      <c r="M89">
        <v>1.3</v>
      </c>
      <c r="N89">
        <v>0.01</v>
      </c>
      <c r="O89">
        <v>7.3</v>
      </c>
    </row>
    <row r="90" spans="1:15" x14ac:dyDescent="0.2">
      <c r="A90" t="s">
        <v>474</v>
      </c>
      <c r="B90">
        <v>1.1100000000000001</v>
      </c>
      <c r="C90">
        <v>-2.9</v>
      </c>
      <c r="D90">
        <v>44.8</v>
      </c>
      <c r="E90">
        <v>39</v>
      </c>
      <c r="F90">
        <v>-0.01</v>
      </c>
      <c r="G90">
        <v>2.9000000000000001E-2</v>
      </c>
      <c r="H90">
        <v>-7.3</v>
      </c>
      <c r="I90">
        <v>21.5</v>
      </c>
      <c r="J90">
        <v>7.4999999999999997E-2</v>
      </c>
      <c r="K90">
        <v>1.25</v>
      </c>
      <c r="L90">
        <v>0</v>
      </c>
      <c r="M90">
        <v>6.6</v>
      </c>
      <c r="N90">
        <v>7.2000000000000008E-2</v>
      </c>
      <c r="O90">
        <v>1.89</v>
      </c>
    </row>
    <row r="91" spans="1:15" x14ac:dyDescent="0.2">
      <c r="A91" t="s">
        <v>475</v>
      </c>
      <c r="B91">
        <v>1512</v>
      </c>
      <c r="C91">
        <v>-11.4</v>
      </c>
      <c r="D91">
        <v>171.7</v>
      </c>
      <c r="E91">
        <v>18</v>
      </c>
      <c r="G91">
        <v>-0.20300000000000001</v>
      </c>
      <c r="H91">
        <v>-5.8</v>
      </c>
      <c r="I91">
        <v>161.88999999999999</v>
      </c>
      <c r="J91">
        <v>2.0106999999999999</v>
      </c>
      <c r="K91">
        <v>7.75</v>
      </c>
      <c r="L91">
        <v>0.1</v>
      </c>
      <c r="M91">
        <v>6.6</v>
      </c>
      <c r="N91">
        <v>6.6000000000000003E-2</v>
      </c>
      <c r="O91">
        <v>6.77</v>
      </c>
    </row>
    <row r="92" spans="1:15" ht="16" customHeight="1" thickBot="1" x14ac:dyDescent="0.25">
      <c r="A92" t="s">
        <v>476</v>
      </c>
      <c r="B92">
        <v>14.36</v>
      </c>
      <c r="C92">
        <v>-2.8</v>
      </c>
      <c r="D92">
        <v>54.7</v>
      </c>
      <c r="E92">
        <v>3</v>
      </c>
      <c r="F92">
        <v>-1.4E-3</v>
      </c>
      <c r="G92">
        <v>2.86E-2</v>
      </c>
      <c r="H92">
        <v>-5.8</v>
      </c>
      <c r="I92">
        <v>9.4</v>
      </c>
      <c r="J92">
        <v>5.4000000000000013E-2</v>
      </c>
      <c r="K92">
        <v>5.5</v>
      </c>
      <c r="L92">
        <v>3.5000000000000003E-2</v>
      </c>
      <c r="M92">
        <v>24.6</v>
      </c>
      <c r="N92">
        <v>0.247</v>
      </c>
      <c r="O92">
        <v>2.16</v>
      </c>
    </row>
    <row r="93" spans="1:15" ht="16" customHeight="1" thickBot="1" x14ac:dyDescent="0.25">
      <c r="A93" t="s">
        <v>477</v>
      </c>
      <c r="B93">
        <v>186.3</v>
      </c>
      <c r="C93">
        <v>-17.399999999999999</v>
      </c>
      <c r="D93">
        <v>55</v>
      </c>
      <c r="E93">
        <v>3</v>
      </c>
      <c r="G93">
        <v>0.04</v>
      </c>
      <c r="H93">
        <v>-3.3</v>
      </c>
      <c r="I93">
        <v>6.48</v>
      </c>
      <c r="J93">
        <v>7.0000000000000007E-2</v>
      </c>
      <c r="K93">
        <v>15</v>
      </c>
      <c r="L93">
        <v>0.2</v>
      </c>
      <c r="M93">
        <v>4.0999999999999996</v>
      </c>
      <c r="N93">
        <v>2.7E-2</v>
      </c>
      <c r="O93">
        <v>5.18</v>
      </c>
    </row>
    <row r="94" spans="1:15" x14ac:dyDescent="0.2">
      <c r="A94" t="s">
        <v>478</v>
      </c>
      <c r="B94">
        <v>1.39</v>
      </c>
      <c r="C94">
        <v>21.6</v>
      </c>
      <c r="D94">
        <v>155</v>
      </c>
      <c r="E94">
        <v>42</v>
      </c>
      <c r="G94">
        <v>1.77</v>
      </c>
      <c r="H94">
        <v>13.8</v>
      </c>
      <c r="I94">
        <v>5</v>
      </c>
      <c r="J94">
        <v>2.0799999999999999E-2</v>
      </c>
      <c r="K94">
        <v>3</v>
      </c>
      <c r="L94">
        <v>0.03</v>
      </c>
      <c r="M94">
        <v>19.600000000000001</v>
      </c>
      <c r="N94">
        <v>0.18629999999999999</v>
      </c>
      <c r="O94">
        <v>6.96</v>
      </c>
    </row>
    <row r="95" spans="1:15" ht="16" customHeight="1" thickBot="1" x14ac:dyDescent="0.25">
      <c r="A95" t="s">
        <v>479</v>
      </c>
      <c r="B95">
        <v>0.92</v>
      </c>
      <c r="E95">
        <v>6</v>
      </c>
      <c r="G95">
        <v>-0.10100000000000001</v>
      </c>
      <c r="I95">
        <v>3.5</v>
      </c>
      <c r="J95">
        <v>9.0000000000000011E-3</v>
      </c>
      <c r="M95">
        <v>1.9</v>
      </c>
      <c r="N95">
        <v>1.9E-2</v>
      </c>
      <c r="O95">
        <v>0.04</v>
      </c>
    </row>
    <row r="96" spans="1:15" x14ac:dyDescent="0.2">
      <c r="A96" t="s">
        <v>480</v>
      </c>
      <c r="B96">
        <v>1.1100000000000001</v>
      </c>
      <c r="C96">
        <v>1.4</v>
      </c>
      <c r="D96">
        <v>44.3</v>
      </c>
      <c r="E96">
        <v>66</v>
      </c>
      <c r="F96">
        <v>-5.0000000000000001E-3</v>
      </c>
      <c r="G96">
        <v>1.7999999999999999E-2</v>
      </c>
      <c r="H96">
        <v>-1</v>
      </c>
      <c r="I96">
        <v>22.4</v>
      </c>
      <c r="J96">
        <v>9.1999999999999998E-2</v>
      </c>
      <c r="K96">
        <v>1.25</v>
      </c>
      <c r="L96">
        <v>0</v>
      </c>
      <c r="M96">
        <v>8.6</v>
      </c>
      <c r="N96">
        <v>0.109</v>
      </c>
      <c r="O96">
        <v>2.8</v>
      </c>
    </row>
    <row r="97" spans="1:15" x14ac:dyDescent="0.2">
      <c r="A97" t="s">
        <v>481</v>
      </c>
      <c r="B97">
        <v>1.1100000000000001</v>
      </c>
      <c r="C97">
        <v>4.8</v>
      </c>
      <c r="D97">
        <v>24.4</v>
      </c>
      <c r="E97">
        <v>87</v>
      </c>
      <c r="F97">
        <v>-5.0000000000000001E-3</v>
      </c>
      <c r="G97">
        <v>1.6E-2</v>
      </c>
      <c r="H97">
        <v>0.9</v>
      </c>
      <c r="I97">
        <v>6.9</v>
      </c>
      <c r="J97">
        <v>4.4999999999999998E-2</v>
      </c>
      <c r="K97">
        <v>1.25</v>
      </c>
      <c r="L97">
        <v>0</v>
      </c>
      <c r="M97">
        <v>4.8</v>
      </c>
      <c r="N97">
        <v>5.2999999999999999E-2</v>
      </c>
      <c r="O97">
        <v>0.63</v>
      </c>
    </row>
    <row r="98" spans="1:15" x14ac:dyDescent="0.2">
      <c r="A98" t="s">
        <v>482</v>
      </c>
      <c r="B98">
        <v>8.0299999999999994</v>
      </c>
      <c r="C98">
        <v>15.2</v>
      </c>
      <c r="E98">
        <v>30</v>
      </c>
      <c r="G98">
        <v>-0.39300000000000002</v>
      </c>
      <c r="I98">
        <v>1.1299999999999999</v>
      </c>
      <c r="J98">
        <v>1.21E-2</v>
      </c>
      <c r="K98">
        <v>3.5</v>
      </c>
      <c r="L98">
        <v>5.0000000000000001E-3</v>
      </c>
      <c r="M98">
        <v>4.3</v>
      </c>
      <c r="N98">
        <v>2.8000000000000001E-2</v>
      </c>
      <c r="O98">
        <v>0.68</v>
      </c>
    </row>
    <row r="99" spans="1:15" x14ac:dyDescent="0.2">
      <c r="A99" t="s">
        <v>483</v>
      </c>
      <c r="B99">
        <v>51.93</v>
      </c>
      <c r="C99">
        <v>-3.5</v>
      </c>
      <c r="D99">
        <v>51.8</v>
      </c>
      <c r="E99">
        <v>14</v>
      </c>
      <c r="F99">
        <v>3.9E-2</v>
      </c>
      <c r="G99">
        <v>2.8000000000000001E-2</v>
      </c>
      <c r="H99">
        <v>-5.4</v>
      </c>
      <c r="I99">
        <v>18.7</v>
      </c>
      <c r="J99">
        <v>4.8000000000000001E-2</v>
      </c>
      <c r="K99">
        <v>3</v>
      </c>
      <c r="L99">
        <v>1.2500000000000001E-2</v>
      </c>
      <c r="M99">
        <v>14.5</v>
      </c>
      <c r="N99">
        <v>0.157</v>
      </c>
      <c r="O99">
        <v>2.0699999999999998</v>
      </c>
    </row>
    <row r="100" spans="1:15" x14ac:dyDescent="0.2">
      <c r="A100" t="s">
        <v>484</v>
      </c>
      <c r="B100">
        <v>3680.5</v>
      </c>
      <c r="C100">
        <v>-5.5</v>
      </c>
      <c r="D100">
        <v>44.8</v>
      </c>
      <c r="E100">
        <v>15</v>
      </c>
      <c r="G100">
        <v>4.3999999999999997E-2</v>
      </c>
      <c r="H100">
        <v>-5.4</v>
      </c>
      <c r="I100">
        <v>8.4</v>
      </c>
      <c r="J100">
        <v>6.2899999999999998E-2</v>
      </c>
      <c r="K100">
        <v>9.5</v>
      </c>
      <c r="L100">
        <v>9.5000000000000001E-2</v>
      </c>
      <c r="M100">
        <v>2.6</v>
      </c>
      <c r="N100">
        <v>1.9E-2</v>
      </c>
      <c r="O100">
        <v>28.43</v>
      </c>
    </row>
    <row r="101" spans="1:15" ht="16" customHeight="1" thickBot="1" x14ac:dyDescent="0.25">
      <c r="A101" t="s">
        <v>485</v>
      </c>
      <c r="B101">
        <v>734.11</v>
      </c>
      <c r="C101">
        <v>-13.1</v>
      </c>
      <c r="D101">
        <v>58.8</v>
      </c>
      <c r="E101">
        <v>13</v>
      </c>
      <c r="G101">
        <v>3.7999999999999999E-2</v>
      </c>
      <c r="H101">
        <v>-8.3000000000000007</v>
      </c>
      <c r="I101">
        <v>25.5</v>
      </c>
      <c r="J101">
        <v>0.111</v>
      </c>
      <c r="K101">
        <v>14</v>
      </c>
      <c r="L101">
        <v>0.12</v>
      </c>
      <c r="M101">
        <v>7</v>
      </c>
      <c r="N101">
        <v>0.06</v>
      </c>
      <c r="O101">
        <v>19.649999999999999</v>
      </c>
    </row>
    <row r="102" spans="1:15" x14ac:dyDescent="0.2">
      <c r="A102" t="s">
        <v>486</v>
      </c>
      <c r="B102">
        <v>4.1900000000000004</v>
      </c>
      <c r="C102">
        <v>3.5</v>
      </c>
      <c r="D102">
        <v>63.3</v>
      </c>
      <c r="E102">
        <v>373</v>
      </c>
      <c r="F102">
        <v>3.5000000000000003E-2</v>
      </c>
      <c r="G102">
        <v>8.900000000000001E-2</v>
      </c>
      <c r="H102">
        <v>-6.5</v>
      </c>
      <c r="I102">
        <v>4.7</v>
      </c>
      <c r="J102">
        <v>3.3000000000000002E-2</v>
      </c>
      <c r="K102">
        <v>2.5</v>
      </c>
      <c r="L102">
        <v>1.7500000000000002E-2</v>
      </c>
      <c r="M102">
        <v>3.7</v>
      </c>
      <c r="N102">
        <v>4.2999999999999997E-2</v>
      </c>
      <c r="O102">
        <v>32.6</v>
      </c>
    </row>
    <row r="103" spans="1:15" ht="16" customHeight="1" thickBot="1" x14ac:dyDescent="0.25">
      <c r="A103" t="s">
        <v>487</v>
      </c>
      <c r="B103">
        <v>15.46</v>
      </c>
      <c r="C103">
        <v>-9</v>
      </c>
      <c r="D103">
        <v>66.599999999999994</v>
      </c>
      <c r="E103">
        <v>5</v>
      </c>
      <c r="G103">
        <v>0.193</v>
      </c>
      <c r="H103">
        <v>-16.600000000000001</v>
      </c>
      <c r="I103">
        <v>2.5</v>
      </c>
      <c r="J103">
        <v>-2E-3</v>
      </c>
      <c r="K103">
        <v>7</v>
      </c>
      <c r="L103">
        <v>7.0000000000000007E-2</v>
      </c>
      <c r="M103">
        <v>6.1</v>
      </c>
      <c r="N103">
        <v>6.4000000000000001E-2</v>
      </c>
      <c r="O103">
        <v>0.56999999999999995</v>
      </c>
    </row>
    <row r="104" spans="1:15" x14ac:dyDescent="0.2">
      <c r="A104" t="s">
        <v>488</v>
      </c>
      <c r="B104">
        <v>588.96</v>
      </c>
      <c r="C104">
        <v>-4.5</v>
      </c>
      <c r="E104">
        <v>19</v>
      </c>
      <c r="G104">
        <v>3.5999999999999997E-2</v>
      </c>
      <c r="H104">
        <v>-4.7</v>
      </c>
      <c r="I104">
        <v>7.5</v>
      </c>
      <c r="J104">
        <v>2.9000000000000001E-2</v>
      </c>
      <c r="K104">
        <v>4.5</v>
      </c>
      <c r="L104">
        <v>0.04</v>
      </c>
      <c r="M104">
        <v>7.7</v>
      </c>
      <c r="N104">
        <v>7.4999999999999997E-2</v>
      </c>
      <c r="O104">
        <v>20.86</v>
      </c>
    </row>
    <row r="105" spans="1:15" x14ac:dyDescent="0.2">
      <c r="A105" t="s">
        <v>489</v>
      </c>
      <c r="B105">
        <v>1.1100000000000001</v>
      </c>
      <c r="C105">
        <v>-4.9000000000000004</v>
      </c>
      <c r="D105">
        <v>57</v>
      </c>
      <c r="E105">
        <v>17</v>
      </c>
      <c r="F105">
        <v>0.01</v>
      </c>
      <c r="G105">
        <v>8.900000000000001E-2</v>
      </c>
      <c r="H105">
        <v>-8</v>
      </c>
      <c r="I105">
        <v>7</v>
      </c>
      <c r="J105">
        <v>2.4E-2</v>
      </c>
      <c r="K105">
        <v>1.25</v>
      </c>
      <c r="L105">
        <v>0</v>
      </c>
      <c r="M105">
        <v>2.9</v>
      </c>
      <c r="N105">
        <v>3.5999999999999997E-2</v>
      </c>
      <c r="O105">
        <v>0.52</v>
      </c>
    </row>
    <row r="106" spans="1:15" x14ac:dyDescent="0.2">
      <c r="A106" t="s">
        <v>490</v>
      </c>
      <c r="B106">
        <v>357.3</v>
      </c>
      <c r="C106">
        <v>-7.6</v>
      </c>
      <c r="D106">
        <v>44.2</v>
      </c>
      <c r="E106">
        <v>8</v>
      </c>
      <c r="G106">
        <v>3.9E-2</v>
      </c>
      <c r="H106">
        <v>-0.4</v>
      </c>
      <c r="I106">
        <v>11.1</v>
      </c>
      <c r="J106">
        <v>4.7E-2</v>
      </c>
      <c r="K106">
        <v>7</v>
      </c>
      <c r="L106">
        <v>0.05</v>
      </c>
      <c r="M106">
        <v>11.5</v>
      </c>
      <c r="N106">
        <v>0.107</v>
      </c>
      <c r="O106">
        <v>4.78</v>
      </c>
    </row>
    <row r="107" spans="1:15" x14ac:dyDescent="0.2">
      <c r="A107" t="s">
        <v>491</v>
      </c>
      <c r="B107">
        <v>42.9</v>
      </c>
      <c r="C107">
        <v>-13.6</v>
      </c>
      <c r="D107">
        <v>89</v>
      </c>
      <c r="E107">
        <v>11</v>
      </c>
      <c r="F107">
        <v>5.0999999999999997E-2</v>
      </c>
      <c r="G107">
        <v>0.159</v>
      </c>
      <c r="H107">
        <v>-5</v>
      </c>
      <c r="I107">
        <v>11.9</v>
      </c>
      <c r="J107">
        <v>6.4000000000000001E-2</v>
      </c>
      <c r="K107">
        <v>3</v>
      </c>
      <c r="L107">
        <v>1.8499999999999999E-2</v>
      </c>
      <c r="M107">
        <v>8.1</v>
      </c>
      <c r="N107">
        <v>0.105</v>
      </c>
      <c r="O107">
        <v>1.27</v>
      </c>
    </row>
    <row r="108" spans="1:15" ht="16" customHeight="1" thickBot="1" x14ac:dyDescent="0.25">
      <c r="A108" t="s">
        <v>492</v>
      </c>
      <c r="B108">
        <v>19.36</v>
      </c>
      <c r="C108">
        <v>2.4</v>
      </c>
      <c r="D108">
        <v>52.1</v>
      </c>
      <c r="E108">
        <v>1293</v>
      </c>
      <c r="F108">
        <v>9.0000000000000011E-3</v>
      </c>
      <c r="G108">
        <v>0.02</v>
      </c>
      <c r="H108">
        <v>-3.8</v>
      </c>
      <c r="I108">
        <v>8.6999999999999993</v>
      </c>
      <c r="J108">
        <v>7.3700000000000002E-2</v>
      </c>
      <c r="K108">
        <v>9.25</v>
      </c>
      <c r="L108">
        <v>5.5E-2</v>
      </c>
      <c r="M108">
        <v>3.5</v>
      </c>
      <c r="N108">
        <v>3.9E-2</v>
      </c>
      <c r="O108">
        <v>126.25</v>
      </c>
    </row>
    <row r="109" spans="1:15" x14ac:dyDescent="0.2">
      <c r="A109" t="s">
        <v>493</v>
      </c>
      <c r="B109">
        <v>17.97</v>
      </c>
      <c r="C109">
        <v>-11.6</v>
      </c>
      <c r="D109">
        <v>32.1</v>
      </c>
      <c r="E109">
        <v>14</v>
      </c>
      <c r="F109">
        <v>-2.3E-2</v>
      </c>
      <c r="G109">
        <v>-9.0000000000000011E-3</v>
      </c>
      <c r="H109">
        <v>-8</v>
      </c>
      <c r="I109">
        <v>34.29</v>
      </c>
      <c r="J109">
        <v>0.1244</v>
      </c>
      <c r="K109">
        <v>21.5</v>
      </c>
      <c r="L109">
        <v>6.5000000000000002E-2</v>
      </c>
      <c r="M109">
        <v>2.4</v>
      </c>
      <c r="N109">
        <v>2.5000000000000001E-2</v>
      </c>
      <c r="O109">
        <v>2.6</v>
      </c>
    </row>
    <row r="110" spans="1:15" ht="16" customHeight="1" thickBot="1" x14ac:dyDescent="0.25">
      <c r="A110" t="s">
        <v>494</v>
      </c>
      <c r="B110">
        <v>1.1100000000000001</v>
      </c>
      <c r="E110">
        <v>7</v>
      </c>
      <c r="G110">
        <v>-0.11799999999999999</v>
      </c>
      <c r="O110">
        <v>0.04</v>
      </c>
    </row>
    <row r="111" spans="1:15" x14ac:dyDescent="0.2">
      <c r="A111" t="s">
        <v>495</v>
      </c>
      <c r="B111">
        <v>2728</v>
      </c>
      <c r="C111">
        <v>-12.3</v>
      </c>
      <c r="D111">
        <v>66</v>
      </c>
      <c r="E111">
        <v>15</v>
      </c>
      <c r="F111">
        <v>6.0999999999999999E-2</v>
      </c>
      <c r="G111">
        <v>1.9E-2</v>
      </c>
      <c r="H111">
        <v>-11.5</v>
      </c>
      <c r="I111">
        <v>14.4</v>
      </c>
      <c r="J111">
        <v>0.105</v>
      </c>
      <c r="K111">
        <v>12</v>
      </c>
      <c r="L111">
        <v>0.06</v>
      </c>
      <c r="M111">
        <v>8.1</v>
      </c>
      <c r="N111">
        <v>8.4000000000000005E-2</v>
      </c>
      <c r="O111">
        <v>3.27</v>
      </c>
    </row>
    <row r="112" spans="1:15" x14ac:dyDescent="0.2">
      <c r="A112" t="s">
        <v>496</v>
      </c>
      <c r="B112">
        <v>1.1100000000000001</v>
      </c>
      <c r="C112">
        <v>-9.3000000000000007</v>
      </c>
      <c r="D112">
        <v>103.28</v>
      </c>
      <c r="E112">
        <v>6</v>
      </c>
      <c r="G112">
        <v>0.127</v>
      </c>
      <c r="H112">
        <v>-10.1</v>
      </c>
      <c r="I112">
        <v>15</v>
      </c>
      <c r="J112">
        <v>4.3999999999999997E-2</v>
      </c>
      <c r="M112">
        <v>19.16</v>
      </c>
      <c r="N112">
        <v>0.23810000000000001</v>
      </c>
      <c r="O112">
        <v>0.62</v>
      </c>
    </row>
    <row r="113" spans="1:15" ht="16" customHeight="1" thickBot="1" x14ac:dyDescent="0.25">
      <c r="A113" t="s">
        <v>497</v>
      </c>
      <c r="B113">
        <v>8.9600000000000009</v>
      </c>
      <c r="C113">
        <v>-2.2999999999999998</v>
      </c>
      <c r="D113">
        <v>77.900000000000006</v>
      </c>
      <c r="E113">
        <v>133</v>
      </c>
      <c r="F113">
        <v>1.0999999999999999E-2</v>
      </c>
      <c r="G113">
        <v>0.02</v>
      </c>
      <c r="H113">
        <v>-5.9</v>
      </c>
      <c r="I113">
        <v>8</v>
      </c>
      <c r="J113">
        <v>2.5999999999999999E-2</v>
      </c>
      <c r="K113">
        <v>2</v>
      </c>
      <c r="L113">
        <v>1.4999999999999999E-2</v>
      </c>
      <c r="M113">
        <v>11.2</v>
      </c>
      <c r="N113">
        <v>0.11799999999999999</v>
      </c>
      <c r="O113">
        <v>36.31</v>
      </c>
    </row>
    <row r="114" spans="1:15" ht="16" customHeight="1" thickBot="1" x14ac:dyDescent="0.25">
      <c r="A114" t="s">
        <v>498</v>
      </c>
      <c r="B114">
        <v>63</v>
      </c>
      <c r="C114">
        <v>-30.8</v>
      </c>
      <c r="D114">
        <v>130</v>
      </c>
      <c r="E114">
        <v>16</v>
      </c>
      <c r="F114">
        <v>0.02</v>
      </c>
      <c r="G114">
        <v>4.5900000000000003E-2</v>
      </c>
      <c r="H114">
        <v>-4.8</v>
      </c>
      <c r="I114">
        <v>12.1</v>
      </c>
      <c r="J114">
        <v>6.7699999999999996E-2</v>
      </c>
      <c r="K114">
        <v>17.25</v>
      </c>
      <c r="L114">
        <v>0.13250000000000001</v>
      </c>
      <c r="M114">
        <v>25.04</v>
      </c>
      <c r="N114">
        <v>0.25040000000000001</v>
      </c>
      <c r="O114">
        <v>30.06</v>
      </c>
    </row>
    <row r="115" spans="1:15" x14ac:dyDescent="0.2">
      <c r="A115" t="s">
        <v>499</v>
      </c>
      <c r="B115">
        <v>1500</v>
      </c>
      <c r="C115">
        <v>-4</v>
      </c>
      <c r="D115">
        <v>42.4</v>
      </c>
      <c r="E115">
        <v>65</v>
      </c>
      <c r="G115">
        <v>-0.18</v>
      </c>
      <c r="H115">
        <v>-5.6</v>
      </c>
      <c r="I115">
        <v>18.149999999999999</v>
      </c>
      <c r="J115">
        <v>6.5099999999999991E-2</v>
      </c>
      <c r="K115">
        <v>7</v>
      </c>
      <c r="L115">
        <v>7.0000000000000007E-2</v>
      </c>
      <c r="M115">
        <v>1.79</v>
      </c>
      <c r="N115">
        <v>1.7899999999999999E-2</v>
      </c>
      <c r="O115">
        <v>54.53</v>
      </c>
    </row>
    <row r="116" spans="1:15" ht="16" customHeight="1" thickBot="1" x14ac:dyDescent="0.25">
      <c r="A116" t="s">
        <v>500</v>
      </c>
      <c r="B116">
        <v>14.72</v>
      </c>
      <c r="C116">
        <v>-9.1</v>
      </c>
      <c r="D116">
        <v>76</v>
      </c>
      <c r="E116">
        <v>12</v>
      </c>
      <c r="F116">
        <v>2.7199999999999998E-2</v>
      </c>
      <c r="G116">
        <v>5.5999999999999987E-2</v>
      </c>
      <c r="H116">
        <v>-8.6999999999999993</v>
      </c>
      <c r="I116">
        <v>7.3</v>
      </c>
      <c r="J116">
        <v>4.0999999999999988E-2</v>
      </c>
      <c r="K116">
        <v>5.5</v>
      </c>
      <c r="L116">
        <v>3.7499999999999999E-2</v>
      </c>
      <c r="M116">
        <v>33.4</v>
      </c>
      <c r="N116">
        <v>0.33400000000000002</v>
      </c>
      <c r="O116">
        <v>2.5499999999999998</v>
      </c>
    </row>
    <row r="117" spans="1:15" ht="16" customHeight="1" thickBot="1" x14ac:dyDescent="0.25">
      <c r="A117" t="s">
        <v>501</v>
      </c>
      <c r="B117">
        <v>113.59</v>
      </c>
      <c r="C117">
        <v>-0.9</v>
      </c>
      <c r="D117">
        <v>37.700000000000003</v>
      </c>
      <c r="E117">
        <v>36</v>
      </c>
      <c r="G117">
        <v>5.8000000000000003E-2</v>
      </c>
      <c r="H117">
        <v>-4.3</v>
      </c>
      <c r="I117">
        <v>8.26</v>
      </c>
      <c r="J117">
        <v>5.3199999999999997E-2</v>
      </c>
      <c r="K117">
        <v>8.5</v>
      </c>
      <c r="L117">
        <v>0.05</v>
      </c>
      <c r="M117">
        <v>4.4400000000000004</v>
      </c>
      <c r="N117">
        <v>4.4400000000000002E-2</v>
      </c>
      <c r="O117">
        <v>29.13</v>
      </c>
    </row>
    <row r="118" spans="1:15" ht="16" customHeight="1" thickBot="1" x14ac:dyDescent="0.25">
      <c r="A118" t="s">
        <v>502</v>
      </c>
      <c r="B118">
        <v>1.1100000000000001</v>
      </c>
      <c r="C118">
        <v>9</v>
      </c>
      <c r="D118">
        <v>52.4</v>
      </c>
      <c r="E118">
        <v>1018</v>
      </c>
      <c r="F118">
        <v>2.5999999999999999E-2</v>
      </c>
      <c r="G118">
        <v>5.0999999999999997E-2</v>
      </c>
      <c r="H118">
        <v>-2.6</v>
      </c>
      <c r="I118">
        <v>14.5</v>
      </c>
      <c r="J118">
        <v>5.1999999999999998E-2</v>
      </c>
      <c r="K118">
        <v>1.25</v>
      </c>
      <c r="L118">
        <v>0</v>
      </c>
      <c r="M118">
        <v>3.8</v>
      </c>
      <c r="N118">
        <v>2.7E-2</v>
      </c>
      <c r="O118">
        <v>17.48</v>
      </c>
    </row>
    <row r="119" spans="1:15" ht="16" customHeight="1" thickBot="1" x14ac:dyDescent="0.25">
      <c r="A119" t="s">
        <v>503</v>
      </c>
      <c r="B119">
        <v>107</v>
      </c>
      <c r="E119">
        <v>9</v>
      </c>
      <c r="G119">
        <v>-2.5999999999999999E-2</v>
      </c>
      <c r="I119">
        <v>3.9</v>
      </c>
      <c r="J119">
        <v>6.3E-3</v>
      </c>
      <c r="K119">
        <v>0.75</v>
      </c>
      <c r="L119">
        <v>2.5000000000000001E-3</v>
      </c>
      <c r="M119">
        <v>16.5</v>
      </c>
      <c r="N119">
        <v>0.16500000000000001</v>
      </c>
      <c r="O119">
        <v>0.27</v>
      </c>
    </row>
    <row r="120" spans="1:15" ht="16" customHeight="1" thickBot="1" x14ac:dyDescent="0.25">
      <c r="A120" t="s">
        <v>504</v>
      </c>
      <c r="B120">
        <v>0.63</v>
      </c>
      <c r="C120">
        <v>-2.7</v>
      </c>
      <c r="D120">
        <v>30.1</v>
      </c>
      <c r="E120">
        <v>250</v>
      </c>
      <c r="F120">
        <v>1.7000000000000001E-2</v>
      </c>
      <c r="G120">
        <v>4.0000000000000001E-3</v>
      </c>
      <c r="H120">
        <v>-1.3</v>
      </c>
      <c r="I120">
        <v>7.3</v>
      </c>
      <c r="J120">
        <v>4.9000000000000002E-2</v>
      </c>
      <c r="K120">
        <v>3.5</v>
      </c>
      <c r="L120">
        <v>7.4999999999999997E-3</v>
      </c>
      <c r="M120">
        <v>3.3</v>
      </c>
      <c r="N120">
        <v>3.4000000000000002E-2</v>
      </c>
      <c r="O120">
        <v>5.12</v>
      </c>
    </row>
    <row r="121" spans="1:15" ht="16" customHeight="1" thickBot="1" x14ac:dyDescent="0.25">
      <c r="A121" t="s">
        <v>505</v>
      </c>
      <c r="B121">
        <v>33.47</v>
      </c>
      <c r="C121">
        <v>7.6</v>
      </c>
      <c r="D121">
        <v>64.8</v>
      </c>
      <c r="E121">
        <v>14</v>
      </c>
      <c r="G121">
        <v>0.10100000000000001</v>
      </c>
      <c r="H121">
        <v>-1</v>
      </c>
      <c r="I121">
        <v>12.15</v>
      </c>
      <c r="J121">
        <v>6.4100000000000004E-2</v>
      </c>
      <c r="K121">
        <v>8.43</v>
      </c>
      <c r="L121">
        <v>8.6199999999999999E-2</v>
      </c>
      <c r="M121">
        <v>3.7</v>
      </c>
      <c r="N121">
        <v>4.9000000000000002E-2</v>
      </c>
      <c r="O121">
        <v>6.75</v>
      </c>
    </row>
    <row r="122" spans="1:15" ht="16" customHeight="1" thickBot="1" x14ac:dyDescent="0.25">
      <c r="A122" t="s">
        <v>506</v>
      </c>
      <c r="B122">
        <v>588.96</v>
      </c>
      <c r="C122">
        <v>-13.6</v>
      </c>
      <c r="D122">
        <v>50.9</v>
      </c>
      <c r="E122">
        <v>15</v>
      </c>
      <c r="G122">
        <v>4.8000000000000001E-2</v>
      </c>
      <c r="H122">
        <v>-5.2</v>
      </c>
      <c r="I122">
        <v>3.8</v>
      </c>
      <c r="J122">
        <v>3.61E-2</v>
      </c>
      <c r="K122">
        <v>4.5</v>
      </c>
      <c r="L122">
        <v>0.04</v>
      </c>
      <c r="M122">
        <v>0.8</v>
      </c>
      <c r="N122">
        <v>6.9999999999999993E-3</v>
      </c>
      <c r="O122">
        <v>25.13</v>
      </c>
    </row>
    <row r="123" spans="1:15" x14ac:dyDescent="0.2">
      <c r="A123" t="s">
        <v>507</v>
      </c>
      <c r="B123">
        <v>411</v>
      </c>
      <c r="C123">
        <v>-2.8</v>
      </c>
      <c r="D123">
        <v>37</v>
      </c>
      <c r="E123">
        <v>441</v>
      </c>
      <c r="F123">
        <v>-3.7000000000000002E-3</v>
      </c>
      <c r="G123">
        <v>3.5400000000000001E-2</v>
      </c>
      <c r="H123">
        <v>-4.7</v>
      </c>
      <c r="I123">
        <v>20.52</v>
      </c>
      <c r="J123">
        <v>0.154</v>
      </c>
      <c r="K123">
        <v>15.5</v>
      </c>
      <c r="L123">
        <v>0.115</v>
      </c>
      <c r="M123">
        <v>33.299999999999997</v>
      </c>
      <c r="N123">
        <v>0.33300000000000002</v>
      </c>
      <c r="O123">
        <v>211.4</v>
      </c>
    </row>
    <row r="124" spans="1:15" ht="16" customHeight="1" thickBot="1" x14ac:dyDescent="0.25">
      <c r="A124" t="s">
        <v>508</v>
      </c>
      <c r="B124">
        <v>8.93</v>
      </c>
      <c r="C124">
        <v>15</v>
      </c>
      <c r="D124">
        <v>43.2</v>
      </c>
      <c r="E124">
        <v>482</v>
      </c>
      <c r="F124">
        <v>6.9999999999999993E-3</v>
      </c>
      <c r="G124">
        <v>3.9E-2</v>
      </c>
      <c r="H124">
        <v>9.1</v>
      </c>
      <c r="I124">
        <v>6.5</v>
      </c>
      <c r="J124">
        <v>5.0999999999999997E-2</v>
      </c>
      <c r="K124">
        <v>2.25</v>
      </c>
      <c r="L124">
        <v>5.0000000000000001E-3</v>
      </c>
      <c r="M124">
        <v>3.3</v>
      </c>
      <c r="N124">
        <v>4.2000000000000003E-2</v>
      </c>
      <c r="O124">
        <v>5.43</v>
      </c>
    </row>
    <row r="125" spans="1:15" ht="16" customHeight="1" thickBot="1" x14ac:dyDescent="0.25">
      <c r="A125" t="s">
        <v>509</v>
      </c>
      <c r="B125">
        <v>0.38</v>
      </c>
      <c r="C125">
        <v>-12</v>
      </c>
      <c r="D125">
        <v>55.9</v>
      </c>
      <c r="E125">
        <v>86</v>
      </c>
      <c r="G125">
        <v>2.1000000000000001E-2</v>
      </c>
      <c r="H125">
        <v>-16</v>
      </c>
      <c r="I125">
        <v>2.41</v>
      </c>
      <c r="J125">
        <v>3.56E-2</v>
      </c>
      <c r="K125">
        <v>3.75</v>
      </c>
      <c r="L125">
        <v>5.0000000000000001E-3</v>
      </c>
      <c r="M125">
        <v>3.1</v>
      </c>
      <c r="N125">
        <v>0.05</v>
      </c>
      <c r="O125">
        <v>4.53</v>
      </c>
    </row>
    <row r="126" spans="1:15" ht="16" customHeight="1" thickBot="1" x14ac:dyDescent="0.25">
      <c r="A126" t="s">
        <v>510</v>
      </c>
      <c r="B126">
        <v>159</v>
      </c>
      <c r="C126">
        <v>-4.5999999999999996</v>
      </c>
      <c r="D126">
        <v>84</v>
      </c>
      <c r="E126">
        <v>346</v>
      </c>
      <c r="F126">
        <v>5.79E-2</v>
      </c>
      <c r="G126">
        <v>3.9399999999999998E-2</v>
      </c>
      <c r="H126">
        <v>-7.1</v>
      </c>
      <c r="I126">
        <v>23.2</v>
      </c>
      <c r="J126">
        <v>0.115</v>
      </c>
      <c r="K126">
        <v>15</v>
      </c>
      <c r="L126">
        <v>9.7500000000000003E-2</v>
      </c>
      <c r="M126">
        <v>6.5</v>
      </c>
      <c r="N126">
        <v>4.3999999999999997E-2</v>
      </c>
      <c r="O126">
        <v>225.2</v>
      </c>
    </row>
    <row r="127" spans="1:15" x14ac:dyDescent="0.2">
      <c r="A127" t="s">
        <v>511</v>
      </c>
      <c r="C127">
        <v>-8.1999999999999993</v>
      </c>
      <c r="D127">
        <v>21.3</v>
      </c>
      <c r="E127">
        <v>16</v>
      </c>
      <c r="G127">
        <v>0.03</v>
      </c>
      <c r="H127">
        <v>1.9</v>
      </c>
      <c r="I127">
        <v>3.16</v>
      </c>
      <c r="J127">
        <v>1.38E-2</v>
      </c>
      <c r="M127">
        <v>24</v>
      </c>
      <c r="N127">
        <v>0.27</v>
      </c>
      <c r="O127">
        <v>5.3</v>
      </c>
    </row>
    <row r="128" spans="1:15" ht="16" customHeight="1" thickBot="1" x14ac:dyDescent="0.25">
      <c r="A128" t="s">
        <v>512</v>
      </c>
      <c r="B128">
        <v>1</v>
      </c>
      <c r="C128">
        <v>-2.2000000000000002</v>
      </c>
      <c r="D128">
        <v>63.66</v>
      </c>
      <c r="E128">
        <v>64</v>
      </c>
      <c r="G128">
        <v>9.8000000000000004E-2</v>
      </c>
      <c r="H128">
        <v>-7.12</v>
      </c>
      <c r="I128">
        <v>2.0699999999999998</v>
      </c>
      <c r="J128">
        <v>3.3599999999999998E-2</v>
      </c>
      <c r="K128">
        <v>1.36</v>
      </c>
      <c r="L128">
        <v>1.3599999999999999E-2</v>
      </c>
      <c r="M128">
        <v>14.5</v>
      </c>
      <c r="N128">
        <v>0.185</v>
      </c>
      <c r="O128">
        <v>4.38</v>
      </c>
    </row>
    <row r="129" spans="1:15" x14ac:dyDescent="0.2">
      <c r="A129" t="s">
        <v>513</v>
      </c>
      <c r="B129">
        <v>3.41</v>
      </c>
      <c r="C129">
        <v>18.600000000000001</v>
      </c>
      <c r="D129">
        <v>51.5</v>
      </c>
      <c r="E129">
        <v>27</v>
      </c>
      <c r="G129">
        <v>-2.4E-2</v>
      </c>
      <c r="H129">
        <v>-6</v>
      </c>
      <c r="I129">
        <v>5.47</v>
      </c>
      <c r="J129">
        <v>3.3099999999999997E-2</v>
      </c>
      <c r="K129">
        <v>3.25</v>
      </c>
      <c r="L129">
        <v>0.03</v>
      </c>
      <c r="M129">
        <v>2.8</v>
      </c>
      <c r="N129">
        <v>2.7E-2</v>
      </c>
      <c r="O129">
        <v>9.1199999999999992</v>
      </c>
    </row>
    <row r="130" spans="1:15" x14ac:dyDescent="0.2">
      <c r="A130" t="s">
        <v>514</v>
      </c>
      <c r="B130">
        <v>6838.31</v>
      </c>
      <c r="C130">
        <v>3</v>
      </c>
      <c r="D130">
        <v>34.6</v>
      </c>
      <c r="E130">
        <v>39</v>
      </c>
      <c r="F130">
        <v>-1.8200000000000001E-2</v>
      </c>
      <c r="G130">
        <v>-3.4000000000000002E-2</v>
      </c>
      <c r="H130">
        <v>-5.5</v>
      </c>
      <c r="I130">
        <v>9.3000000000000007</v>
      </c>
      <c r="J130">
        <v>7.400000000000001E-2</v>
      </c>
      <c r="K130">
        <v>8.5</v>
      </c>
      <c r="L130">
        <v>5.2499999999999998E-2</v>
      </c>
      <c r="M130">
        <v>6.7</v>
      </c>
      <c r="N130">
        <v>8.5999999999999993E-2</v>
      </c>
      <c r="O130">
        <v>7.35</v>
      </c>
    </row>
    <row r="131" spans="1:15" ht="16" customHeight="1" thickBot="1" x14ac:dyDescent="0.25">
      <c r="A131" t="s">
        <v>515</v>
      </c>
      <c r="B131">
        <v>3.96</v>
      </c>
      <c r="C131">
        <v>-2.9</v>
      </c>
      <c r="D131">
        <v>36</v>
      </c>
      <c r="E131">
        <v>223</v>
      </c>
      <c r="F131">
        <v>9.0000000000000011E-3</v>
      </c>
      <c r="G131">
        <v>3.3000000000000002E-2</v>
      </c>
      <c r="H131">
        <v>-2.6</v>
      </c>
      <c r="I131">
        <v>8.5299999999999994</v>
      </c>
      <c r="J131">
        <v>5.6599999999999998E-2</v>
      </c>
      <c r="K131">
        <v>7</v>
      </c>
      <c r="L131">
        <v>2.5000000000000001E-2</v>
      </c>
      <c r="M131">
        <v>7.3</v>
      </c>
      <c r="N131">
        <v>9.0999999999999998E-2</v>
      </c>
      <c r="O131">
        <v>32.78</v>
      </c>
    </row>
    <row r="132" spans="1:15" x14ac:dyDescent="0.2">
      <c r="A132" t="s">
        <v>516</v>
      </c>
      <c r="B132">
        <v>50.07</v>
      </c>
      <c r="C132">
        <v>-1.8</v>
      </c>
      <c r="D132">
        <v>60.4</v>
      </c>
      <c r="E132">
        <v>394</v>
      </c>
      <c r="F132">
        <v>-1E-3</v>
      </c>
      <c r="G132">
        <v>7.400000000000001E-2</v>
      </c>
      <c r="H132">
        <v>-8.6</v>
      </c>
      <c r="I132">
        <v>6.9</v>
      </c>
      <c r="J132">
        <v>4.2000000000000003E-2</v>
      </c>
      <c r="K132">
        <v>4.25</v>
      </c>
      <c r="L132">
        <v>0.02</v>
      </c>
      <c r="M132">
        <v>5.3</v>
      </c>
      <c r="N132">
        <v>7.400000000000001E-2</v>
      </c>
      <c r="O132">
        <v>110.2</v>
      </c>
    </row>
    <row r="133" spans="1:15" x14ac:dyDescent="0.2">
      <c r="A133" t="s">
        <v>517</v>
      </c>
      <c r="B133">
        <v>3.89</v>
      </c>
      <c r="C133">
        <v>-0.7</v>
      </c>
      <c r="D133">
        <v>53.8</v>
      </c>
      <c r="E133">
        <v>674</v>
      </c>
      <c r="F133">
        <v>-2.1000000000000001E-2</v>
      </c>
      <c r="G133">
        <v>5.5E-2</v>
      </c>
      <c r="H133">
        <v>-1.9</v>
      </c>
      <c r="I133">
        <v>17.2</v>
      </c>
      <c r="J133">
        <v>7.8E-2</v>
      </c>
      <c r="K133">
        <v>6.75</v>
      </c>
      <c r="L133">
        <v>1.7500000000000002E-2</v>
      </c>
      <c r="M133">
        <v>4.8</v>
      </c>
      <c r="N133">
        <v>5.5E-2</v>
      </c>
      <c r="O133">
        <v>37.840000000000003</v>
      </c>
    </row>
    <row r="134" spans="1:15" x14ac:dyDescent="0.2">
      <c r="A134" t="s">
        <v>518</v>
      </c>
      <c r="B134">
        <v>1.1100000000000001</v>
      </c>
      <c r="C134">
        <v>-1.1000000000000001</v>
      </c>
      <c r="D134">
        <v>127.4</v>
      </c>
      <c r="E134">
        <v>250</v>
      </c>
      <c r="F134">
        <v>0</v>
      </c>
      <c r="G134">
        <v>7.0999999999999994E-2</v>
      </c>
      <c r="H134">
        <v>-2.8</v>
      </c>
      <c r="I134">
        <v>9.3000000000000007</v>
      </c>
      <c r="J134">
        <v>2.5999999999999999E-2</v>
      </c>
      <c r="K134">
        <v>1.25</v>
      </c>
      <c r="L134">
        <v>0</v>
      </c>
      <c r="M134">
        <v>5.7</v>
      </c>
      <c r="N134">
        <v>6.0999999999999999E-2</v>
      </c>
      <c r="O134">
        <v>10.3</v>
      </c>
    </row>
    <row r="135" spans="1:15" x14ac:dyDescent="0.2">
      <c r="A135" t="s">
        <v>519</v>
      </c>
      <c r="B135">
        <v>98.56</v>
      </c>
      <c r="E135">
        <v>103</v>
      </c>
      <c r="G135">
        <v>1.0999999999999999E-2</v>
      </c>
      <c r="I135">
        <v>7.2</v>
      </c>
      <c r="J135">
        <v>3.5000000000000003E-2</v>
      </c>
      <c r="M135">
        <v>6</v>
      </c>
      <c r="N135">
        <v>7.2000000000000008E-2</v>
      </c>
      <c r="O135">
        <v>3.21</v>
      </c>
    </row>
    <row r="136" spans="1:15" ht="16" customHeight="1" thickBot="1" x14ac:dyDescent="0.25">
      <c r="A136" t="s">
        <v>520</v>
      </c>
      <c r="B136">
        <v>3.7</v>
      </c>
      <c r="C136">
        <v>-14.7</v>
      </c>
      <c r="D136">
        <v>71.8</v>
      </c>
      <c r="E136">
        <v>180</v>
      </c>
      <c r="F136">
        <v>3.5999999999999997E-2</v>
      </c>
      <c r="G136">
        <v>6.3E-2</v>
      </c>
      <c r="H136">
        <v>0.24</v>
      </c>
      <c r="I136">
        <v>4.8</v>
      </c>
      <c r="J136">
        <v>6.0900000000000003E-2</v>
      </c>
      <c r="K136">
        <v>4.5</v>
      </c>
      <c r="L136">
        <v>2.5000000000000001E-2</v>
      </c>
      <c r="M136">
        <v>0.1</v>
      </c>
      <c r="N136">
        <v>1E-3</v>
      </c>
      <c r="O136">
        <v>2.75</v>
      </c>
    </row>
    <row r="137" spans="1:15" x14ac:dyDescent="0.2">
      <c r="A137" t="s">
        <v>521</v>
      </c>
      <c r="B137">
        <v>551.32000000000005</v>
      </c>
      <c r="C137">
        <v>15.5</v>
      </c>
      <c r="D137">
        <v>85</v>
      </c>
      <c r="E137">
        <v>13</v>
      </c>
      <c r="G137">
        <v>-2E-3</v>
      </c>
      <c r="H137">
        <v>1.4</v>
      </c>
      <c r="I137">
        <v>1.1000000000000001</v>
      </c>
      <c r="J137">
        <v>1.0999999999999999E-2</v>
      </c>
      <c r="K137">
        <v>4.5</v>
      </c>
      <c r="L137">
        <v>3.2500000000000001E-2</v>
      </c>
      <c r="M137">
        <v>23</v>
      </c>
      <c r="N137">
        <v>0.10299999999999999</v>
      </c>
      <c r="O137">
        <v>5.66</v>
      </c>
    </row>
    <row r="138" spans="1:15" ht="16" customHeight="1" thickBot="1" x14ac:dyDescent="0.25">
      <c r="A138" t="s">
        <v>522</v>
      </c>
      <c r="B138">
        <v>4.18</v>
      </c>
      <c r="C138">
        <v>-7</v>
      </c>
      <c r="D138">
        <v>48.8</v>
      </c>
      <c r="E138">
        <v>284</v>
      </c>
      <c r="F138">
        <v>2.1000000000000001E-2</v>
      </c>
      <c r="G138">
        <v>5.2999999999999999E-2</v>
      </c>
      <c r="H138">
        <v>-7.1</v>
      </c>
      <c r="I138">
        <v>15.32</v>
      </c>
      <c r="J138">
        <v>7.8E-2</v>
      </c>
      <c r="K138">
        <v>6.25</v>
      </c>
      <c r="L138">
        <v>1.7500000000000002E-2</v>
      </c>
      <c r="M138">
        <v>5.0999999999999996</v>
      </c>
      <c r="N138">
        <v>5.2999999999999999E-2</v>
      </c>
      <c r="O138">
        <v>19.2</v>
      </c>
    </row>
    <row r="139" spans="1:15" ht="16" customHeight="1" thickBot="1" x14ac:dyDescent="0.25">
      <c r="A139" t="s">
        <v>523</v>
      </c>
      <c r="B139">
        <v>64.349999999999994</v>
      </c>
      <c r="C139">
        <v>6.8</v>
      </c>
      <c r="D139">
        <v>18.2</v>
      </c>
      <c r="E139">
        <v>1776</v>
      </c>
      <c r="F139">
        <v>-8.0000000000000002E-3</v>
      </c>
      <c r="G139">
        <v>-4.0999999999999988E-2</v>
      </c>
      <c r="H139">
        <v>0.8</v>
      </c>
      <c r="I139">
        <v>13.7</v>
      </c>
      <c r="J139">
        <v>8.4000000000000005E-2</v>
      </c>
      <c r="K139">
        <v>7.5</v>
      </c>
      <c r="L139">
        <v>8.5000000000000006E-2</v>
      </c>
      <c r="M139">
        <v>3.8</v>
      </c>
      <c r="N139">
        <v>4.2999999999999997E-2</v>
      </c>
      <c r="O139">
        <v>145.55000000000001</v>
      </c>
    </row>
    <row r="140" spans="1:15" x14ac:dyDescent="0.2">
      <c r="A140" t="s">
        <v>524</v>
      </c>
      <c r="B140">
        <v>934.59</v>
      </c>
      <c r="C140">
        <v>12.1</v>
      </c>
      <c r="D140">
        <v>61</v>
      </c>
      <c r="E140">
        <v>11</v>
      </c>
      <c r="F140">
        <v>4.0999999999999988E-2</v>
      </c>
      <c r="G140">
        <v>7.4999999999999997E-2</v>
      </c>
      <c r="H140">
        <v>-8.5</v>
      </c>
      <c r="I140">
        <v>20.399999999999999</v>
      </c>
      <c r="J140">
        <v>-3.4000000000000002E-2</v>
      </c>
      <c r="K140">
        <v>6</v>
      </c>
      <c r="L140">
        <v>4.4999999999999998E-2</v>
      </c>
      <c r="M140">
        <v>23</v>
      </c>
      <c r="N140">
        <v>0.23499999999999999</v>
      </c>
      <c r="O140">
        <v>13.28</v>
      </c>
    </row>
    <row r="141" spans="1:15" x14ac:dyDescent="0.2">
      <c r="A141" t="s">
        <v>525</v>
      </c>
      <c r="B141">
        <v>20.8</v>
      </c>
      <c r="C141">
        <v>-9.3000000000000007</v>
      </c>
      <c r="D141">
        <v>88</v>
      </c>
      <c r="E141">
        <v>1</v>
      </c>
      <c r="G141">
        <v>1.7999999999999999E-2</v>
      </c>
      <c r="H141">
        <v>-1.5</v>
      </c>
      <c r="I141">
        <v>18.5</v>
      </c>
      <c r="J141">
        <v>8.4000000000000005E-2</v>
      </c>
      <c r="K141">
        <v>10</v>
      </c>
      <c r="L141">
        <v>0.09</v>
      </c>
      <c r="M141">
        <v>15.9</v>
      </c>
      <c r="N141">
        <v>0.13900000000000001</v>
      </c>
      <c r="O141">
        <v>0.22</v>
      </c>
    </row>
    <row r="142" spans="1:15" x14ac:dyDescent="0.2">
      <c r="A142" t="s">
        <v>526</v>
      </c>
      <c r="B142">
        <v>3.75</v>
      </c>
      <c r="C142">
        <v>6.6</v>
      </c>
      <c r="D142">
        <v>32.5</v>
      </c>
      <c r="E142">
        <v>834</v>
      </c>
      <c r="F142">
        <v>2.1999999999999999E-2</v>
      </c>
      <c r="G142">
        <v>0.122</v>
      </c>
      <c r="H142">
        <v>-11.2</v>
      </c>
      <c r="I142">
        <v>3</v>
      </c>
      <c r="J142">
        <v>1.0999999999999999E-2</v>
      </c>
      <c r="K142">
        <v>3.75</v>
      </c>
      <c r="L142">
        <v>0.01</v>
      </c>
      <c r="M142">
        <v>5.8</v>
      </c>
      <c r="N142">
        <v>6.6000000000000003E-2</v>
      </c>
      <c r="O142">
        <v>34.11</v>
      </c>
    </row>
    <row r="143" spans="1:15" x14ac:dyDescent="0.2">
      <c r="A143" t="s">
        <v>527</v>
      </c>
      <c r="B143">
        <v>588.96</v>
      </c>
      <c r="C143">
        <v>-10.4</v>
      </c>
      <c r="D143">
        <v>73</v>
      </c>
      <c r="E143">
        <v>28</v>
      </c>
      <c r="F143">
        <v>1.6E-2</v>
      </c>
      <c r="G143">
        <v>2.9000000000000001E-2</v>
      </c>
      <c r="H143">
        <v>-5.9</v>
      </c>
      <c r="I143">
        <v>11.3</v>
      </c>
      <c r="J143">
        <v>0.03</v>
      </c>
      <c r="K143">
        <v>4.5</v>
      </c>
      <c r="L143">
        <v>0.04</v>
      </c>
      <c r="M143">
        <v>24.1</v>
      </c>
      <c r="N143">
        <v>0.22600000000000001</v>
      </c>
      <c r="O143">
        <v>17.2</v>
      </c>
    </row>
    <row r="144" spans="1:15" x14ac:dyDescent="0.2">
      <c r="A144" t="s">
        <v>528</v>
      </c>
      <c r="B144">
        <v>105.49</v>
      </c>
      <c r="C144">
        <v>-4.4000000000000004</v>
      </c>
      <c r="D144">
        <v>56.5</v>
      </c>
      <c r="E144">
        <v>63</v>
      </c>
      <c r="F144">
        <v>-5.0000000000000001E-3</v>
      </c>
      <c r="G144">
        <v>3.9E-2</v>
      </c>
      <c r="H144">
        <v>-4.5999999999999996</v>
      </c>
      <c r="I144">
        <v>13.2</v>
      </c>
      <c r="J144">
        <v>7.4999999999999997E-2</v>
      </c>
      <c r="K144">
        <v>4</v>
      </c>
      <c r="L144">
        <v>0.01</v>
      </c>
      <c r="M144">
        <v>8.9</v>
      </c>
      <c r="N144">
        <v>0.105</v>
      </c>
      <c r="O144">
        <v>6.87</v>
      </c>
    </row>
    <row r="145" spans="1:15" ht="16" customHeight="1" thickBot="1" x14ac:dyDescent="0.25">
      <c r="A145" t="s">
        <v>529</v>
      </c>
      <c r="B145">
        <v>13.7</v>
      </c>
      <c r="C145">
        <v>-20</v>
      </c>
      <c r="D145">
        <v>94</v>
      </c>
      <c r="E145">
        <v>1</v>
      </c>
      <c r="G145">
        <v>4.7E-2</v>
      </c>
      <c r="H145">
        <v>-3</v>
      </c>
      <c r="I145">
        <v>2.96</v>
      </c>
      <c r="J145">
        <v>9.3699999999999992E-2</v>
      </c>
      <c r="K145">
        <v>2</v>
      </c>
      <c r="L145">
        <v>0.02</v>
      </c>
      <c r="M145">
        <v>3</v>
      </c>
      <c r="N145">
        <v>0.04</v>
      </c>
      <c r="O145">
        <v>0.1</v>
      </c>
    </row>
    <row r="146" spans="1:15" ht="16" customHeight="1" thickBot="1" x14ac:dyDescent="0.25">
      <c r="A146" t="s">
        <v>530</v>
      </c>
      <c r="B146">
        <v>9800</v>
      </c>
      <c r="C146">
        <v>-13.9</v>
      </c>
      <c r="D146">
        <v>75</v>
      </c>
      <c r="E146">
        <v>4</v>
      </c>
      <c r="G146">
        <v>0.03</v>
      </c>
      <c r="H146">
        <v>-7.1</v>
      </c>
      <c r="I146">
        <v>28.2</v>
      </c>
      <c r="J146">
        <v>0.14549999999999999</v>
      </c>
      <c r="K146">
        <v>17</v>
      </c>
      <c r="L146">
        <v>0.14000000000000001</v>
      </c>
      <c r="M146">
        <v>5.6</v>
      </c>
      <c r="N146">
        <v>4.5999999999999999E-2</v>
      </c>
      <c r="O146">
        <v>8.14</v>
      </c>
    </row>
    <row r="147" spans="1:15" ht="16" customHeight="1" thickBot="1" x14ac:dyDescent="0.25">
      <c r="A147" t="s">
        <v>531</v>
      </c>
      <c r="B147">
        <v>1.37</v>
      </c>
      <c r="C147">
        <v>17.600000000000001</v>
      </c>
      <c r="D147">
        <v>131</v>
      </c>
      <c r="E147">
        <v>397</v>
      </c>
      <c r="F147">
        <v>-2E-3</v>
      </c>
      <c r="G147">
        <v>4.3999999999999997E-2</v>
      </c>
      <c r="H147">
        <v>-13.9</v>
      </c>
      <c r="I147">
        <v>7.5</v>
      </c>
      <c r="J147">
        <v>3.2000000000000001E-2</v>
      </c>
      <c r="K147">
        <v>3.89</v>
      </c>
      <c r="L147">
        <v>2.2000000000000001E-3</v>
      </c>
      <c r="M147">
        <v>2.1</v>
      </c>
      <c r="N147">
        <v>2.5999999999999999E-2</v>
      </c>
      <c r="O147">
        <v>5.45</v>
      </c>
    </row>
    <row r="148" spans="1:15" ht="16" customHeight="1" thickBot="1" x14ac:dyDescent="0.25">
      <c r="A148" t="s">
        <v>532</v>
      </c>
      <c r="B148">
        <v>1.1100000000000001</v>
      </c>
      <c r="C148">
        <v>-2</v>
      </c>
      <c r="D148">
        <v>63.1</v>
      </c>
      <c r="E148">
        <v>115</v>
      </c>
      <c r="F148">
        <v>5.0000000000000001E-3</v>
      </c>
      <c r="G148">
        <v>1.7999999999999999E-2</v>
      </c>
      <c r="H148">
        <v>-6.2</v>
      </c>
      <c r="I148">
        <v>14.07</v>
      </c>
      <c r="J148">
        <v>5.5999999999999987E-2</v>
      </c>
      <c r="K148">
        <v>1.25</v>
      </c>
      <c r="L148">
        <v>0</v>
      </c>
      <c r="M148">
        <v>6.1</v>
      </c>
      <c r="N148">
        <v>6.6000000000000003E-2</v>
      </c>
      <c r="O148">
        <v>5.46</v>
      </c>
    </row>
    <row r="149" spans="1:15" x14ac:dyDescent="0.2">
      <c r="A149" t="s">
        <v>533</v>
      </c>
      <c r="B149">
        <v>1.1100000000000001</v>
      </c>
      <c r="C149">
        <v>3.3</v>
      </c>
      <c r="D149">
        <v>74.7</v>
      </c>
      <c r="E149">
        <v>62</v>
      </c>
      <c r="F149">
        <v>9.0000000000000011E-3</v>
      </c>
      <c r="G149">
        <v>8.199999999999999E-2</v>
      </c>
      <c r="H149">
        <v>-5.2</v>
      </c>
      <c r="I149">
        <v>10</v>
      </c>
      <c r="J149">
        <v>4.5999999999999999E-2</v>
      </c>
      <c r="K149">
        <v>1.25</v>
      </c>
      <c r="L149">
        <v>0</v>
      </c>
      <c r="M149">
        <v>5.6</v>
      </c>
      <c r="N149">
        <v>6.8000000000000005E-2</v>
      </c>
      <c r="O149">
        <v>2.11</v>
      </c>
    </row>
    <row r="150" spans="1:15" ht="16" customHeight="1" thickBot="1" x14ac:dyDescent="0.25">
      <c r="A150" t="s">
        <v>534</v>
      </c>
      <c r="B150">
        <v>578.5</v>
      </c>
      <c r="E150">
        <v>7</v>
      </c>
      <c r="G150">
        <v>0.02</v>
      </c>
      <c r="I150">
        <v>7.6</v>
      </c>
      <c r="J150">
        <v>5.0299999999999997E-2</v>
      </c>
      <c r="O150">
        <v>16.36</v>
      </c>
    </row>
    <row r="151" spans="1:15" ht="16" customHeight="1" thickBot="1" x14ac:dyDescent="0.25">
      <c r="A151" t="s">
        <v>535</v>
      </c>
      <c r="B151">
        <v>14.73</v>
      </c>
      <c r="C151">
        <v>3.7</v>
      </c>
      <c r="D151">
        <v>69.900000000000006</v>
      </c>
      <c r="E151">
        <v>420</v>
      </c>
      <c r="F151">
        <v>-6.9999999999999993E-3</v>
      </c>
      <c r="G151">
        <v>2E-3</v>
      </c>
      <c r="H151">
        <v>-5.7</v>
      </c>
      <c r="I151">
        <v>7.6</v>
      </c>
      <c r="J151">
        <v>5.5E-2</v>
      </c>
      <c r="K151">
        <v>6.25</v>
      </c>
      <c r="L151">
        <v>3.7499999999999999E-2</v>
      </c>
      <c r="M151">
        <v>33.9</v>
      </c>
      <c r="N151">
        <v>0.34899999999999998</v>
      </c>
      <c r="O151">
        <v>60.14</v>
      </c>
    </row>
    <row r="152" spans="1:15" ht="16" customHeight="1" thickBot="1" x14ac:dyDescent="0.25">
      <c r="A152" t="s">
        <v>536</v>
      </c>
      <c r="B152">
        <v>1145.8499999999999</v>
      </c>
      <c r="C152">
        <v>4.9000000000000004</v>
      </c>
      <c r="D152">
        <v>42.6</v>
      </c>
      <c r="E152">
        <v>1799</v>
      </c>
      <c r="F152">
        <v>6.9999999999999993E-3</v>
      </c>
      <c r="G152">
        <v>2.9000000000000001E-2</v>
      </c>
      <c r="H152">
        <v>-6.1</v>
      </c>
      <c r="I152">
        <v>5.6</v>
      </c>
      <c r="J152">
        <v>3.7000000000000012E-2</v>
      </c>
      <c r="K152">
        <v>2.5</v>
      </c>
      <c r="L152">
        <v>0.01</v>
      </c>
      <c r="M152">
        <v>2.5</v>
      </c>
      <c r="N152">
        <v>3.1E-2</v>
      </c>
      <c r="O152">
        <v>51.74</v>
      </c>
    </row>
    <row r="153" spans="1:15" ht="16" customHeight="1" thickBot="1" x14ac:dyDescent="0.25">
      <c r="A153" t="s">
        <v>537</v>
      </c>
      <c r="B153">
        <v>175.31</v>
      </c>
      <c r="E153">
        <v>1</v>
      </c>
      <c r="G153">
        <v>-0.06</v>
      </c>
      <c r="I153">
        <v>6.43</v>
      </c>
      <c r="J153">
        <v>5.8099999999999999E-2</v>
      </c>
      <c r="K153">
        <v>12</v>
      </c>
      <c r="L153">
        <v>0.15</v>
      </c>
      <c r="M153">
        <v>13.9</v>
      </c>
      <c r="N153">
        <v>0.127</v>
      </c>
      <c r="O153">
        <v>11.19</v>
      </c>
    </row>
    <row r="154" spans="1:15" ht="16" customHeight="1" thickBot="1" x14ac:dyDescent="0.25">
      <c r="A154" t="s">
        <v>538</v>
      </c>
      <c r="B154">
        <v>1.1100000000000001</v>
      </c>
      <c r="C154">
        <v>0.9</v>
      </c>
      <c r="D154">
        <v>118.4</v>
      </c>
      <c r="E154">
        <v>1425</v>
      </c>
      <c r="F154">
        <v>1.4999999999999999E-2</v>
      </c>
      <c r="G154">
        <v>6.8000000000000005E-2</v>
      </c>
      <c r="H154">
        <v>-6.9</v>
      </c>
      <c r="I154">
        <v>9</v>
      </c>
      <c r="J154">
        <v>5.5E-2</v>
      </c>
      <c r="K154">
        <v>1.25</v>
      </c>
      <c r="L154">
        <v>0</v>
      </c>
      <c r="M154">
        <v>12.48</v>
      </c>
      <c r="N154">
        <v>0.1457</v>
      </c>
      <c r="O154">
        <v>47.4</v>
      </c>
    </row>
    <row r="155" spans="1:15" ht="16" customHeight="1" thickBot="1" x14ac:dyDescent="0.25">
      <c r="A155" t="s">
        <v>539</v>
      </c>
      <c r="B155">
        <v>199</v>
      </c>
      <c r="C155">
        <v>-1.3</v>
      </c>
      <c r="D155">
        <v>101</v>
      </c>
      <c r="E155">
        <v>85</v>
      </c>
      <c r="F155">
        <v>1.4E-2</v>
      </c>
      <c r="G155">
        <v>-8.4000000000000005E-2</v>
      </c>
      <c r="H155">
        <v>-11.1</v>
      </c>
      <c r="I155">
        <v>69.8</v>
      </c>
      <c r="J155">
        <v>9.9000000000000005E-2</v>
      </c>
      <c r="K155">
        <v>14.5</v>
      </c>
      <c r="L155">
        <v>0.05</v>
      </c>
      <c r="M155">
        <v>4.5999999999999996</v>
      </c>
      <c r="N155">
        <v>5.0999999999999997E-2</v>
      </c>
      <c r="O155">
        <v>21.92</v>
      </c>
    </row>
    <row r="156" spans="1:15" ht="16" customHeight="1" thickBot="1" x14ac:dyDescent="0.25">
      <c r="A156" t="s">
        <v>540</v>
      </c>
      <c r="B156">
        <v>45.11</v>
      </c>
      <c r="C156">
        <v>-10</v>
      </c>
      <c r="D156">
        <v>259.39999999999998</v>
      </c>
      <c r="E156">
        <v>34</v>
      </c>
      <c r="G156">
        <v>5.0000000000000001E-3</v>
      </c>
      <c r="H156">
        <v>-4.5</v>
      </c>
      <c r="I156">
        <v>125.4</v>
      </c>
      <c r="J156">
        <v>3.3959999999999999</v>
      </c>
      <c r="K156">
        <v>22.9</v>
      </c>
      <c r="L156">
        <v>0.17100000000000001</v>
      </c>
      <c r="M156">
        <v>19.809999999999999</v>
      </c>
      <c r="N156">
        <v>0.17699999999999999</v>
      </c>
      <c r="O156">
        <v>44.91</v>
      </c>
    </row>
    <row r="157" spans="1:15" ht="16" customHeight="1" thickBot="1" x14ac:dyDescent="0.25">
      <c r="A157" t="s">
        <v>541</v>
      </c>
      <c r="B157">
        <v>7.46</v>
      </c>
      <c r="C157">
        <v>5.2</v>
      </c>
      <c r="D157">
        <v>123.8</v>
      </c>
      <c r="E157">
        <v>3</v>
      </c>
      <c r="G157">
        <v>-3.3000000000000002E-2</v>
      </c>
      <c r="H157">
        <v>-12.9</v>
      </c>
      <c r="I157">
        <v>49.2</v>
      </c>
      <c r="J157">
        <v>0.69499999999999995</v>
      </c>
      <c r="K157">
        <v>10</v>
      </c>
      <c r="L157">
        <v>0.1</v>
      </c>
      <c r="M157">
        <v>10.1</v>
      </c>
      <c r="N157">
        <v>0.112</v>
      </c>
      <c r="O157">
        <v>0.6</v>
      </c>
    </row>
    <row r="158" spans="1:15" ht="16" customHeight="1" thickBot="1" x14ac:dyDescent="0.25">
      <c r="A158" t="s">
        <v>542</v>
      </c>
      <c r="B158">
        <v>14.36</v>
      </c>
      <c r="C158">
        <v>7.4</v>
      </c>
      <c r="D158">
        <v>15.49</v>
      </c>
      <c r="E158">
        <v>5</v>
      </c>
      <c r="G158">
        <v>7.9000000000000001E-2</v>
      </c>
      <c r="H158">
        <v>-4.5999999999999996</v>
      </c>
      <c r="I158">
        <v>5.8</v>
      </c>
      <c r="J158">
        <v>3.3000000000000002E-2</v>
      </c>
      <c r="K158">
        <v>6</v>
      </c>
      <c r="L158">
        <v>3.7499999999999999E-2</v>
      </c>
      <c r="M158">
        <v>25.8</v>
      </c>
      <c r="N158">
        <v>0.23400000000000001</v>
      </c>
      <c r="O158">
        <v>1.17</v>
      </c>
    </row>
    <row r="159" spans="1:15" ht="16" customHeight="1" thickBot="1" x14ac:dyDescent="0.25">
      <c r="A159" t="s">
        <v>543</v>
      </c>
      <c r="B159">
        <v>8.65</v>
      </c>
      <c r="C159">
        <v>5.3</v>
      </c>
      <c r="D159">
        <v>36.700000000000003</v>
      </c>
      <c r="E159">
        <v>627</v>
      </c>
      <c r="F159">
        <v>9.0000000000000011E-3</v>
      </c>
      <c r="G159">
        <v>3.7999999999999999E-2</v>
      </c>
      <c r="H159">
        <v>-0.2</v>
      </c>
      <c r="I159">
        <v>9.8000000000000007</v>
      </c>
      <c r="J159">
        <v>3.3000000000000002E-2</v>
      </c>
      <c r="K159">
        <v>1.75</v>
      </c>
      <c r="L159">
        <v>0</v>
      </c>
      <c r="M159">
        <v>6.6</v>
      </c>
      <c r="N159">
        <v>7.4999999999999997E-2</v>
      </c>
      <c r="O159">
        <v>10.38</v>
      </c>
    </row>
    <row r="160" spans="1:15" ht="16" customHeight="1" thickBot="1" x14ac:dyDescent="0.25">
      <c r="A160" t="s">
        <v>544</v>
      </c>
      <c r="B160">
        <v>0.92</v>
      </c>
      <c r="C160">
        <v>9.3000000000000007</v>
      </c>
      <c r="D160">
        <v>41.4</v>
      </c>
      <c r="E160">
        <v>813</v>
      </c>
      <c r="F160">
        <v>3.0000000000000001E-3</v>
      </c>
      <c r="G160">
        <v>2.8000000000000001E-2</v>
      </c>
      <c r="H160">
        <v>-0.7</v>
      </c>
      <c r="I160">
        <v>3.3</v>
      </c>
      <c r="J160">
        <v>1.4999999999999999E-2</v>
      </c>
      <c r="K160">
        <v>0.5</v>
      </c>
      <c r="L160">
        <v>-7.4999999999999997E-3</v>
      </c>
      <c r="M160">
        <v>1.9</v>
      </c>
      <c r="N160">
        <v>2.5000000000000001E-2</v>
      </c>
      <c r="O160">
        <v>8.67</v>
      </c>
    </row>
    <row r="161" spans="1:15" ht="16" customHeight="1" thickBot="1" x14ac:dyDescent="0.25">
      <c r="A161" t="s">
        <v>545</v>
      </c>
      <c r="B161">
        <v>436.5</v>
      </c>
      <c r="C161">
        <v>-0.62</v>
      </c>
      <c r="D161">
        <v>30.01</v>
      </c>
      <c r="E161">
        <v>65</v>
      </c>
      <c r="G161">
        <v>-3.9E-2</v>
      </c>
      <c r="H161">
        <v>-11.4</v>
      </c>
      <c r="I161">
        <v>139.46</v>
      </c>
      <c r="J161">
        <v>1.3946000000000001</v>
      </c>
      <c r="M161">
        <v>9</v>
      </c>
      <c r="N161">
        <v>0.09</v>
      </c>
      <c r="O161">
        <v>18.27</v>
      </c>
    </row>
    <row r="162" spans="1:15" ht="16" customHeight="1" thickBot="1" x14ac:dyDescent="0.25">
      <c r="A162" t="s">
        <v>546</v>
      </c>
      <c r="B162">
        <v>28.02</v>
      </c>
      <c r="C162">
        <v>9.5</v>
      </c>
      <c r="D162">
        <v>28.2</v>
      </c>
      <c r="E162">
        <v>669</v>
      </c>
      <c r="F162">
        <v>-1.7999999999999999E-2</v>
      </c>
      <c r="G162">
        <v>3.0499999999999999E-2</v>
      </c>
      <c r="H162">
        <v>-4.5</v>
      </c>
      <c r="I162">
        <v>2.75</v>
      </c>
      <c r="J162">
        <v>2.8400000000000002E-2</v>
      </c>
      <c r="K162">
        <v>1.63</v>
      </c>
      <c r="L162">
        <v>1.1299999999999999E-2</v>
      </c>
      <c r="M162">
        <v>3.67</v>
      </c>
      <c r="N162">
        <v>3.7100000000000001E-2</v>
      </c>
      <c r="O162">
        <v>23.55</v>
      </c>
    </row>
    <row r="163" spans="1:15" ht="16" customHeight="1" thickBot="1" x14ac:dyDescent="0.25">
      <c r="A163" t="s">
        <v>547</v>
      </c>
      <c r="B163">
        <v>9.68</v>
      </c>
      <c r="C163">
        <v>0.1</v>
      </c>
      <c r="D163">
        <v>53.67</v>
      </c>
      <c r="E163">
        <v>9</v>
      </c>
      <c r="G163">
        <v>9.1999999999999998E-2</v>
      </c>
      <c r="H163">
        <v>0.2</v>
      </c>
      <c r="I163">
        <v>8.3000000000000007</v>
      </c>
      <c r="J163">
        <v>8.6999999999999994E-2</v>
      </c>
      <c r="K163">
        <v>13.5</v>
      </c>
      <c r="L163">
        <v>0.13250000000000001</v>
      </c>
      <c r="M163">
        <v>7.5</v>
      </c>
      <c r="N163">
        <v>7.4999999999999997E-2</v>
      </c>
      <c r="O163">
        <v>9.89</v>
      </c>
    </row>
    <row r="164" spans="1:15" ht="16" customHeight="1" thickBot="1" x14ac:dyDescent="0.25">
      <c r="A164" t="s">
        <v>548</v>
      </c>
      <c r="B164">
        <v>2314</v>
      </c>
      <c r="C164">
        <v>-1.5</v>
      </c>
      <c r="D164">
        <v>37.799999999999997</v>
      </c>
      <c r="E164">
        <v>68</v>
      </c>
      <c r="F164">
        <v>1.4999999999999999E-2</v>
      </c>
      <c r="G164">
        <v>5.4000000000000013E-2</v>
      </c>
      <c r="H164">
        <v>-2.6</v>
      </c>
      <c r="I164">
        <v>4.5999999999999996</v>
      </c>
      <c r="J164">
        <v>4.0999999999999988E-2</v>
      </c>
      <c r="K164">
        <v>5</v>
      </c>
      <c r="L164">
        <v>0.05</v>
      </c>
      <c r="M164">
        <v>9.3000000000000007</v>
      </c>
      <c r="N164">
        <v>9.5000000000000001E-2</v>
      </c>
      <c r="O164">
        <v>61.5</v>
      </c>
    </row>
    <row r="165" spans="1:15" ht="16" customHeight="1" thickBot="1" x14ac:dyDescent="0.25">
      <c r="A165" t="s">
        <v>549</v>
      </c>
      <c r="B165">
        <v>32.64</v>
      </c>
      <c r="C165">
        <v>-2.2000000000000002</v>
      </c>
      <c r="D165">
        <v>59.61</v>
      </c>
      <c r="E165">
        <v>506</v>
      </c>
      <c r="F165">
        <v>6.9999999999999993E-3</v>
      </c>
      <c r="G165">
        <v>2.5000000000000001E-2</v>
      </c>
      <c r="H165">
        <v>-4.9000000000000004</v>
      </c>
      <c r="I165">
        <v>6.41</v>
      </c>
      <c r="J165">
        <v>2.7099999999999999E-2</v>
      </c>
      <c r="K165">
        <v>1</v>
      </c>
      <c r="L165">
        <v>5.0000000000000001E-3</v>
      </c>
      <c r="M165">
        <v>1.37</v>
      </c>
      <c r="N165">
        <v>2.2499999999999999E-2</v>
      </c>
      <c r="O165">
        <v>66.17</v>
      </c>
    </row>
    <row r="166" spans="1:15" ht="16" customHeight="1" thickBot="1" x14ac:dyDescent="0.25">
      <c r="A166" t="s">
        <v>550</v>
      </c>
      <c r="B166">
        <v>588.96</v>
      </c>
      <c r="C166">
        <v>-5</v>
      </c>
      <c r="D166">
        <v>61</v>
      </c>
      <c r="E166">
        <v>8</v>
      </c>
      <c r="G166">
        <v>5.5E-2</v>
      </c>
      <c r="H166">
        <v>-6</v>
      </c>
      <c r="I166">
        <v>7</v>
      </c>
      <c r="J166">
        <v>5.8999999999999997E-2</v>
      </c>
      <c r="K166">
        <v>4.5</v>
      </c>
      <c r="L166">
        <v>0.04</v>
      </c>
      <c r="M166">
        <v>4</v>
      </c>
      <c r="N166">
        <v>4.0999999999999988E-2</v>
      </c>
      <c r="O166">
        <v>8.5</v>
      </c>
    </row>
    <row r="167" spans="1:15" ht="16" customHeight="1" thickBot="1" x14ac:dyDescent="0.25">
      <c r="A167" t="s">
        <v>551</v>
      </c>
      <c r="B167">
        <v>6.74</v>
      </c>
      <c r="C167">
        <v>10.199999999999999</v>
      </c>
      <c r="D167">
        <v>83.3</v>
      </c>
      <c r="E167">
        <v>21</v>
      </c>
      <c r="F167">
        <v>-0.04</v>
      </c>
      <c r="G167">
        <v>-1E-3</v>
      </c>
      <c r="H167">
        <v>-11</v>
      </c>
      <c r="I167">
        <v>4.9000000000000004</v>
      </c>
      <c r="J167">
        <v>2.1999999999999999E-2</v>
      </c>
      <c r="K167">
        <v>3.5</v>
      </c>
      <c r="L167">
        <v>3.5000000000000003E-2</v>
      </c>
      <c r="M167">
        <v>5.0999999999999996</v>
      </c>
      <c r="N167">
        <v>5.0999999999999997E-2</v>
      </c>
      <c r="O167">
        <v>1.38</v>
      </c>
    </row>
    <row r="168" spans="1:15" ht="16" customHeight="1" thickBot="1" x14ac:dyDescent="0.25">
      <c r="A168" t="s">
        <v>552</v>
      </c>
      <c r="B168">
        <v>2.8</v>
      </c>
      <c r="C168">
        <v>-5.9</v>
      </c>
      <c r="D168">
        <v>80</v>
      </c>
      <c r="E168">
        <v>47</v>
      </c>
      <c r="F168">
        <v>-0.01</v>
      </c>
      <c r="G168">
        <v>2.8000000000000001E-2</v>
      </c>
      <c r="H168">
        <v>-11.4</v>
      </c>
      <c r="I168">
        <v>9.1</v>
      </c>
      <c r="J168">
        <v>6.4000000000000001E-2</v>
      </c>
      <c r="K168">
        <v>7.25</v>
      </c>
      <c r="L168">
        <v>6.25E-2</v>
      </c>
      <c r="M168">
        <v>15.3</v>
      </c>
      <c r="N168">
        <v>0.17799999999999999</v>
      </c>
      <c r="O168">
        <v>11.94</v>
      </c>
    </row>
    <row r="169" spans="1:15" ht="16" customHeight="1" thickBot="1" x14ac:dyDescent="0.25">
      <c r="A169" t="s">
        <v>553</v>
      </c>
      <c r="B169">
        <v>8.6199999999999992</v>
      </c>
      <c r="C169">
        <v>-1.7</v>
      </c>
      <c r="D169">
        <v>42</v>
      </c>
      <c r="E169">
        <v>815</v>
      </c>
      <c r="F169">
        <v>2.1000000000000001E-2</v>
      </c>
      <c r="G169">
        <v>7.5999999999999998E-2</v>
      </c>
      <c r="H169">
        <v>-2.7</v>
      </c>
      <c r="I169">
        <v>83.45</v>
      </c>
      <c r="J169">
        <v>0.21310000000000001</v>
      </c>
      <c r="K169">
        <v>12</v>
      </c>
      <c r="L169">
        <v>0.14000000000000001</v>
      </c>
      <c r="M169">
        <v>10.1</v>
      </c>
      <c r="N169">
        <v>0.112</v>
      </c>
      <c r="O169">
        <v>84.68</v>
      </c>
    </row>
    <row r="170" spans="1:15" ht="16" customHeight="1" thickBot="1" x14ac:dyDescent="0.25">
      <c r="A170" t="s">
        <v>554</v>
      </c>
      <c r="B170">
        <v>3.5</v>
      </c>
      <c r="C170">
        <v>0.6</v>
      </c>
      <c r="D170">
        <v>30.9</v>
      </c>
      <c r="E170">
        <v>45</v>
      </c>
      <c r="G170">
        <v>6.2E-2</v>
      </c>
      <c r="H170">
        <v>0.1</v>
      </c>
      <c r="I170">
        <v>14.95</v>
      </c>
      <c r="J170">
        <v>0.1</v>
      </c>
      <c r="M170">
        <v>4.38</v>
      </c>
      <c r="N170">
        <v>4.3799999999999999E-2</v>
      </c>
      <c r="O170">
        <v>6</v>
      </c>
    </row>
    <row r="171" spans="1:15" ht="16" customHeight="1" thickBot="1" x14ac:dyDescent="0.25">
      <c r="A171" t="s">
        <v>555</v>
      </c>
      <c r="B171">
        <v>3665</v>
      </c>
      <c r="C171">
        <v>-9.8000000000000007</v>
      </c>
      <c r="D171">
        <v>49.8</v>
      </c>
      <c r="E171">
        <v>40</v>
      </c>
      <c r="F171">
        <v>0.13700000000000001</v>
      </c>
      <c r="G171">
        <v>5.8999999999999997E-2</v>
      </c>
      <c r="H171">
        <v>-7.3</v>
      </c>
      <c r="I171">
        <v>10</v>
      </c>
      <c r="J171">
        <v>2.5999999999999999E-2</v>
      </c>
      <c r="K171">
        <v>10</v>
      </c>
      <c r="L171">
        <v>6.5000000000000002E-2</v>
      </c>
      <c r="M171">
        <v>2.9</v>
      </c>
      <c r="N171">
        <v>2.4400000000000002E-2</v>
      </c>
      <c r="O171">
        <v>47.12</v>
      </c>
    </row>
    <row r="172" spans="1:15" ht="16" customHeight="1" thickBot="1" x14ac:dyDescent="0.25">
      <c r="A172" t="s">
        <v>556</v>
      </c>
      <c r="B172">
        <v>27.25</v>
      </c>
      <c r="C172">
        <v>-1.3</v>
      </c>
      <c r="D172">
        <v>48.9</v>
      </c>
      <c r="E172">
        <v>200</v>
      </c>
      <c r="F172">
        <v>-0.192</v>
      </c>
      <c r="G172">
        <v>-0.37200000000000011</v>
      </c>
      <c r="H172">
        <v>-3.4</v>
      </c>
      <c r="I172">
        <v>23.8</v>
      </c>
      <c r="J172">
        <v>0.10299999999999999</v>
      </c>
      <c r="K172">
        <v>25</v>
      </c>
      <c r="L172">
        <v>0.09</v>
      </c>
      <c r="M172">
        <v>10.6</v>
      </c>
      <c r="N172">
        <v>9.3000000000000013E-2</v>
      </c>
      <c r="O172">
        <v>41</v>
      </c>
    </row>
    <row r="173" spans="1:15" ht="16" customHeight="1" thickBot="1" x14ac:dyDescent="0.25">
      <c r="A173" t="s">
        <v>557</v>
      </c>
      <c r="B173">
        <v>3.67</v>
      </c>
      <c r="C173">
        <v>11.7</v>
      </c>
      <c r="D173">
        <v>38.299999999999997</v>
      </c>
      <c r="E173">
        <v>359</v>
      </c>
      <c r="F173">
        <v>0.02</v>
      </c>
      <c r="G173">
        <v>3.9E-2</v>
      </c>
      <c r="H173">
        <v>0.8</v>
      </c>
      <c r="I173">
        <v>2.5</v>
      </c>
      <c r="J173">
        <v>1.2E-2</v>
      </c>
      <c r="K173">
        <v>4.5</v>
      </c>
      <c r="L173">
        <v>1.4999999999999999E-2</v>
      </c>
      <c r="M173">
        <v>3.9</v>
      </c>
      <c r="N173">
        <v>0.05</v>
      </c>
      <c r="O173">
        <v>9.99</v>
      </c>
    </row>
    <row r="174" spans="1:15" ht="16" customHeight="1" thickBot="1" x14ac:dyDescent="0.25">
      <c r="A174" t="s">
        <v>558</v>
      </c>
      <c r="B174">
        <v>1.25</v>
      </c>
      <c r="C174">
        <v>-2.6</v>
      </c>
      <c r="D174">
        <v>95.9</v>
      </c>
      <c r="E174">
        <v>3187</v>
      </c>
      <c r="F174">
        <v>2E-3</v>
      </c>
      <c r="G174">
        <v>4.3999999999999997E-2</v>
      </c>
      <c r="H174">
        <v>-6</v>
      </c>
      <c r="I174">
        <v>9.9</v>
      </c>
      <c r="J174">
        <v>5.0999999999999997E-2</v>
      </c>
      <c r="K174">
        <v>2.25</v>
      </c>
      <c r="L174">
        <v>2.5000000000000001E-3</v>
      </c>
      <c r="M174">
        <v>3.6</v>
      </c>
      <c r="N174">
        <v>4.2000000000000003E-2</v>
      </c>
      <c r="O174">
        <v>67.53</v>
      </c>
    </row>
    <row r="175" spans="1:15" ht="16" customHeight="1" thickBot="1" x14ac:dyDescent="0.25">
      <c r="A175" t="s">
        <v>559</v>
      </c>
      <c r="B175">
        <v>98.56</v>
      </c>
      <c r="C175">
        <v>-3.6</v>
      </c>
      <c r="D175">
        <v>137.19999999999999</v>
      </c>
      <c r="E175">
        <v>22996</v>
      </c>
      <c r="F175">
        <v>-6.0000000000000001E-3</v>
      </c>
      <c r="G175">
        <v>1.7999999999999999E-2</v>
      </c>
      <c r="H175">
        <v>-16.7</v>
      </c>
      <c r="I175">
        <v>8.3000000000000007</v>
      </c>
      <c r="J175">
        <v>6.8000000000000005E-2</v>
      </c>
      <c r="K175">
        <v>3.25</v>
      </c>
      <c r="L175">
        <v>2.5000000000000001E-3</v>
      </c>
      <c r="M175">
        <v>3.5</v>
      </c>
      <c r="N175">
        <v>4.2000000000000003E-2</v>
      </c>
      <c r="O175">
        <v>332.4</v>
      </c>
    </row>
    <row r="176" spans="1:15" ht="16" customHeight="1" thickBot="1" x14ac:dyDescent="0.25">
      <c r="A176" t="s">
        <v>560</v>
      </c>
      <c r="B176">
        <v>37.81</v>
      </c>
      <c r="C176">
        <v>-1.8</v>
      </c>
      <c r="D176">
        <v>71.5</v>
      </c>
      <c r="E176">
        <v>59</v>
      </c>
      <c r="F176">
        <v>6.0000000000000001E-3</v>
      </c>
      <c r="G176">
        <v>7.6999999999999999E-2</v>
      </c>
      <c r="H176">
        <v>-3.8</v>
      </c>
      <c r="I176">
        <v>9.9499999999999993</v>
      </c>
      <c r="J176">
        <v>8.0700000000000008E-2</v>
      </c>
      <c r="K176">
        <v>10.75</v>
      </c>
      <c r="L176">
        <v>5.2499999999999998E-2</v>
      </c>
      <c r="M176">
        <v>7.9</v>
      </c>
      <c r="N176">
        <v>0.08</v>
      </c>
      <c r="O176">
        <v>3.54</v>
      </c>
    </row>
    <row r="177" spans="1:15" ht="16" customHeight="1" thickBot="1" x14ac:dyDescent="0.25">
      <c r="A177" t="s">
        <v>561</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25">
      <c r="A178" t="s">
        <v>562</v>
      </c>
      <c r="B178">
        <v>971748.8</v>
      </c>
      <c r="C178">
        <v>-3.5</v>
      </c>
      <c r="D178">
        <v>350</v>
      </c>
      <c r="E178">
        <v>106</v>
      </c>
      <c r="F178">
        <v>-0.23699999999999999</v>
      </c>
      <c r="G178">
        <v>-1.4999999999999999E-2</v>
      </c>
      <c r="H178">
        <v>-4.5</v>
      </c>
      <c r="I178">
        <v>114.1</v>
      </c>
      <c r="J178">
        <v>11.975</v>
      </c>
      <c r="K178">
        <v>57.63</v>
      </c>
      <c r="L178">
        <v>0.56859999999999999</v>
      </c>
      <c r="M178">
        <v>6.4</v>
      </c>
      <c r="N178">
        <v>6.4000000000000001E-2</v>
      </c>
      <c r="O178">
        <v>32.979999999999997</v>
      </c>
    </row>
    <row r="179" spans="1:15" x14ac:dyDescent="0.2">
      <c r="A179" t="s">
        <v>563</v>
      </c>
      <c r="B179">
        <v>23170</v>
      </c>
      <c r="C179">
        <v>3.6</v>
      </c>
      <c r="D179">
        <v>46.7</v>
      </c>
      <c r="E179">
        <v>363</v>
      </c>
      <c r="F179">
        <v>6.88E-2</v>
      </c>
      <c r="G179">
        <v>0.13669999999999999</v>
      </c>
      <c r="H179">
        <v>-3.41</v>
      </c>
      <c r="I179">
        <v>3.94</v>
      </c>
      <c r="J179">
        <v>2.1000000000000001E-2</v>
      </c>
      <c r="K179">
        <v>5</v>
      </c>
      <c r="L179">
        <v>0.04</v>
      </c>
      <c r="M179">
        <v>2.46</v>
      </c>
      <c r="N179">
        <v>3.7199999999999997E-2</v>
      </c>
      <c r="O179">
        <v>98.51</v>
      </c>
    </row>
    <row r="180" spans="1:15" ht="16" customHeight="1" thickBot="1" x14ac:dyDescent="0.25">
      <c r="A180" t="s">
        <v>564</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25">
      <c r="A181" t="s">
        <v>565</v>
      </c>
      <c r="B181">
        <v>22.64</v>
      </c>
      <c r="C181">
        <v>11.1</v>
      </c>
      <c r="D181">
        <v>123.17</v>
      </c>
      <c r="E181">
        <v>21</v>
      </c>
      <c r="G181">
        <v>2.1000000000000001E-2</v>
      </c>
      <c r="H181">
        <v>-9</v>
      </c>
      <c r="I181">
        <v>9.9</v>
      </c>
      <c r="J181">
        <v>0.193</v>
      </c>
      <c r="K181">
        <v>9</v>
      </c>
      <c r="L181">
        <v>0.09</v>
      </c>
      <c r="M181">
        <v>13</v>
      </c>
      <c r="N181">
        <v>0.122</v>
      </c>
      <c r="O181">
        <v>18.920000000000002</v>
      </c>
    </row>
    <row r="182" spans="1:15" x14ac:dyDescent="0.2">
      <c r="A182" t="s">
        <v>566</v>
      </c>
      <c r="B182">
        <v>16.36</v>
      </c>
      <c r="C182">
        <v>-1.89</v>
      </c>
      <c r="D182">
        <v>77.2</v>
      </c>
      <c r="E182">
        <v>26</v>
      </c>
      <c r="G182">
        <v>5.8000000000000003E-2</v>
      </c>
      <c r="H182">
        <v>-1.5</v>
      </c>
      <c r="I182">
        <v>280.39999999999998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x14ac:dyDescent="0.2"/>
  <cols>
    <col min="1" max="1" width="9.1640625" style="73" customWidth="1"/>
    <col min="2" max="2" width="13" style="67" bestFit="1" customWidth="1"/>
    <col min="3" max="26" width="9" style="67" bestFit="1" customWidth="1"/>
    <col min="27" max="27" width="9" style="67" customWidth="1"/>
    <col min="28" max="28" width="6.1640625" style="67" customWidth="1"/>
    <col min="29" max="29" width="8" style="73" bestFit="1" customWidth="1"/>
    <col min="30" max="30" width="16.33203125" style="73" bestFit="1" customWidth="1"/>
    <col min="31" max="31" width="8" style="73" bestFit="1" customWidth="1"/>
    <col min="32" max="32" width="5.33203125" style="73" bestFit="1" customWidth="1"/>
    <col min="33" max="33" width="37" style="73" bestFit="1" customWidth="1"/>
    <col min="34" max="34" width="41" style="73" bestFit="1" customWidth="1"/>
    <col min="35" max="72" width="9.1640625" style="73"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567</v>
      </c>
    </row>
    <row r="2" spans="2:34" s="73" customFormat="1" x14ac:dyDescent="0.2">
      <c r="AD2" s="73" t="s">
        <v>568</v>
      </c>
      <c r="AE2" s="63" t="s">
        <v>366</v>
      </c>
      <c r="AH2" s="66" t="s">
        <v>569</v>
      </c>
    </row>
    <row r="3" spans="2: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B3" s="73"/>
      <c r="AD3" s="11" t="s">
        <v>578</v>
      </c>
      <c r="AE3" s="64" t="s">
        <v>365</v>
      </c>
    </row>
    <row r="4" spans="2:34" ht="16" customHeight="1" thickBot="1" x14ac:dyDescent="0.25">
      <c r="B4" s="4" t="s">
        <v>579</v>
      </c>
      <c r="C4" s="13">
        <f t="shared" ref="C4:AA4" ca="1" si="0">MAX(OFFSET(C$71,COUNT(C$71:C$150),0,-13,1))</f>
        <v>12.460854405999999</v>
      </c>
      <c r="D4" s="13">
        <f t="shared" ca="1" si="0"/>
        <v>18.3</v>
      </c>
      <c r="E4" s="13">
        <f t="shared" ca="1" si="0"/>
        <v>14.376851167</v>
      </c>
      <c r="F4" s="13">
        <f t="shared" ca="1" si="0"/>
        <v>7.26929216</v>
      </c>
      <c r="G4" s="13">
        <f t="shared" ca="1" si="0"/>
        <v>10.156264054999999</v>
      </c>
      <c r="H4" s="13">
        <f t="shared" ca="1" si="0"/>
        <v>18.646468769999998</v>
      </c>
      <c r="I4" s="13">
        <f t="shared" ca="1" si="0"/>
        <v>24.274075138000001</v>
      </c>
      <c r="J4" s="13">
        <f t="shared" ca="1" si="0"/>
        <v>16.667008710000001</v>
      </c>
      <c r="K4" s="13">
        <f t="shared" ca="1" si="0"/>
        <v>17.875245591999999</v>
      </c>
      <c r="L4" s="13">
        <f t="shared" ca="1" si="0"/>
        <v>9.8904094610000008</v>
      </c>
      <c r="M4" s="13">
        <f t="shared" ca="1" si="0"/>
        <v>19.512244189</v>
      </c>
      <c r="N4" s="13" t="e">
        <f t="shared" ca="1" si="0"/>
        <v>#N/A</v>
      </c>
      <c r="O4" s="13">
        <f t="shared" ca="1" si="0"/>
        <v>19.922979999999999</v>
      </c>
      <c r="P4" s="13">
        <f t="shared" ca="1" si="0"/>
        <v>11.698831984</v>
      </c>
      <c r="Q4" s="13">
        <f t="shared" ca="1" si="0"/>
        <v>9.7791374139999991</v>
      </c>
      <c r="R4" s="13">
        <f t="shared" ca="1" si="0"/>
        <v>9.6135937570000003</v>
      </c>
      <c r="S4" s="13">
        <f t="shared" ca="1" si="0"/>
        <v>6.2541347370000002</v>
      </c>
      <c r="T4" s="13">
        <f t="shared" ca="1" si="0"/>
        <v>12.29464308</v>
      </c>
      <c r="U4" s="13">
        <f t="shared" ca="1" si="0"/>
        <v>15.022411736</v>
      </c>
      <c r="V4" s="13">
        <f t="shared" ca="1" si="0"/>
        <v>19.470430607000001</v>
      </c>
      <c r="W4" s="13">
        <f t="shared" ca="1" si="0"/>
        <v>22.355880781</v>
      </c>
      <c r="X4" s="13">
        <f t="shared" ca="1" si="0"/>
        <v>9.1293429489999998</v>
      </c>
      <c r="Y4" s="13">
        <f t="shared" ca="1" si="0"/>
        <v>10.956546573000001</v>
      </c>
      <c r="Z4" s="13">
        <f t="shared" ca="1" si="0"/>
        <v>20.084307076000002</v>
      </c>
      <c r="AA4" s="13">
        <f t="shared" ca="1" si="0"/>
        <v>17.854048997</v>
      </c>
      <c r="AB4" s="73"/>
      <c r="AD4" s="14" t="s">
        <v>580</v>
      </c>
      <c r="AE4" s="65" t="s">
        <v>362</v>
      </c>
    </row>
    <row r="5" spans="2:34" x14ac:dyDescent="0.2">
      <c r="B5" s="4" t="s">
        <v>581</v>
      </c>
      <c r="C5" s="13">
        <f t="shared" ref="C5:AA5" ca="1" si="1">MIN(OFFSET(C$71,COUNT(C$71:C$150),0,-13,1))</f>
        <v>-8.3506401560000008</v>
      </c>
      <c r="D5" s="13">
        <f t="shared" ca="1" si="1"/>
        <v>-6.9</v>
      </c>
      <c r="E5" s="13">
        <f t="shared" ca="1" si="1"/>
        <v>-14.343991969999999</v>
      </c>
      <c r="F5" s="13">
        <f t="shared" ca="1" si="1"/>
        <v>-10.266544911</v>
      </c>
      <c r="G5" s="13">
        <f t="shared" ca="1" si="1"/>
        <v>-10.435831326000001</v>
      </c>
      <c r="H5" s="13">
        <f t="shared" ca="1" si="1"/>
        <v>-18.593578764</v>
      </c>
      <c r="I5" s="13">
        <f t="shared" ca="1" si="1"/>
        <v>-22.627407624</v>
      </c>
      <c r="J5" s="13">
        <f t="shared" ca="1" si="1"/>
        <v>-17.887970238000001</v>
      </c>
      <c r="K5" s="13">
        <f t="shared" ca="1" si="1"/>
        <v>-21.937066645000002</v>
      </c>
      <c r="L5" s="13">
        <f t="shared" ca="1" si="1"/>
        <v>-7.6953849840000004</v>
      </c>
      <c r="M5" s="13">
        <f t="shared" ca="1" si="1"/>
        <v>-18.876815884999999</v>
      </c>
      <c r="N5" s="13" t="e">
        <f t="shared" ca="1" si="1"/>
        <v>#N/A</v>
      </c>
      <c r="O5" s="13">
        <f t="shared" ca="1" si="1"/>
        <v>-22.99906</v>
      </c>
      <c r="P5" s="13">
        <f t="shared" ca="1" si="1"/>
        <v>-12.414749165</v>
      </c>
      <c r="Q5" s="13">
        <f t="shared" ca="1" si="1"/>
        <v>-5.9748465519999998</v>
      </c>
      <c r="R5" s="13">
        <f t="shared" ca="1" si="1"/>
        <v>-7.4210790480000002</v>
      </c>
      <c r="S5" s="13">
        <f t="shared" ca="1" si="1"/>
        <v>-2.5967072330000001</v>
      </c>
      <c r="T5" s="13">
        <f t="shared" ca="1" si="1"/>
        <v>-10.706649822999999</v>
      </c>
      <c r="U5" s="13">
        <f t="shared" ca="1" si="1"/>
        <v>-15.481819508999999</v>
      </c>
      <c r="V5" s="13">
        <f t="shared" ca="1" si="1"/>
        <v>-0.18581857299999999</v>
      </c>
      <c r="W5" s="13">
        <f t="shared" ca="1" si="1"/>
        <v>-8.6301506089999993</v>
      </c>
      <c r="X5" s="13">
        <f t="shared" ca="1" si="1"/>
        <v>-10.782890147</v>
      </c>
      <c r="Y5" s="13">
        <f t="shared" ca="1" si="1"/>
        <v>-7.4666263480000001</v>
      </c>
      <c r="Z5" s="13">
        <f t="shared" ca="1" si="1"/>
        <v>-19.678730972</v>
      </c>
      <c r="AA5" s="13">
        <f t="shared" ca="1" si="1"/>
        <v>-10.392473452000001</v>
      </c>
      <c r="AB5" s="73"/>
      <c r="AC5" s="16" t="s">
        <v>582</v>
      </c>
      <c r="AE5" s="17"/>
    </row>
    <row r="6" spans="2:34" x14ac:dyDescent="0.2">
      <c r="B6" s="4" t="s">
        <v>583</v>
      </c>
      <c r="C6" s="13">
        <f t="shared" ref="C6:AA6" ca="1" si="2">AVERAGE(OFFSET(C$71,COUNT(C$71:C$150),0,-13,1))</f>
        <v>1.9677114139999994</v>
      </c>
      <c r="D6" s="13">
        <f t="shared" ca="1" si="2"/>
        <v>4.95</v>
      </c>
      <c r="E6" s="13">
        <f t="shared" ca="1" si="2"/>
        <v>0.7907123623333332</v>
      </c>
      <c r="F6" s="13">
        <f t="shared" ca="1" si="2"/>
        <v>-0.85749281724999993</v>
      </c>
      <c r="G6" s="13">
        <f t="shared" ca="1" si="2"/>
        <v>0.19683379791666664</v>
      </c>
      <c r="H6" s="13">
        <f t="shared" ca="1" si="2"/>
        <v>0.76676332791666668</v>
      </c>
      <c r="I6" s="13">
        <f t="shared" ca="1" si="2"/>
        <v>0.65990900458333301</v>
      </c>
      <c r="J6" s="13">
        <f t="shared" ca="1" si="2"/>
        <v>0.2944048049166666</v>
      </c>
      <c r="K6" s="13">
        <f t="shared" ca="1" si="2"/>
        <v>-0.34802265716666708</v>
      </c>
      <c r="L6" s="13">
        <f t="shared" ca="1" si="2"/>
        <v>1.9061711130000001</v>
      </c>
      <c r="M6" s="13">
        <f t="shared" ca="1" si="2"/>
        <v>-0.62911017099999977</v>
      </c>
      <c r="N6" s="13" t="e">
        <f t="shared" ca="1" si="2"/>
        <v>#N/A</v>
      </c>
      <c r="O6" s="13">
        <f t="shared" ca="1" si="2"/>
        <v>2.8623583333333333</v>
      </c>
      <c r="P6" s="13">
        <f t="shared" ca="1" si="2"/>
        <v>0.74563638191666681</v>
      </c>
      <c r="Q6" s="13">
        <f t="shared" ca="1" si="2"/>
        <v>1.8895589545</v>
      </c>
      <c r="R6" s="13">
        <f t="shared" ca="1" si="2"/>
        <v>1.4255069191666667</v>
      </c>
      <c r="S6" s="13">
        <f t="shared" ca="1" si="2"/>
        <v>2.0514573375833334</v>
      </c>
      <c r="T6" s="13">
        <f t="shared" ca="1" si="2"/>
        <v>0.90367596475000012</v>
      </c>
      <c r="U6" s="13">
        <f t="shared" ca="1" si="2"/>
        <v>1.5041064706666669</v>
      </c>
      <c r="V6" s="13">
        <f t="shared" ca="1" si="2"/>
        <v>9.2649222825833331</v>
      </c>
      <c r="W6" s="13">
        <f t="shared" ca="1" si="2"/>
        <v>6.3020284314166668</v>
      </c>
      <c r="X6" s="13">
        <f t="shared" ca="1" si="2"/>
        <v>0.54224481700000005</v>
      </c>
      <c r="Y6" s="13">
        <f t="shared" ca="1" si="2"/>
        <v>3.1539595364999999</v>
      </c>
      <c r="Z6" s="13">
        <f t="shared" ca="1" si="2"/>
        <v>1.3791335135</v>
      </c>
      <c r="AA6" s="13">
        <f t="shared" ca="1" si="2"/>
        <v>1.8433142658333335</v>
      </c>
      <c r="AB6" s="73"/>
      <c r="AC6" s="18"/>
      <c r="AD6" s="73" t="s">
        <v>584</v>
      </c>
      <c r="AE6" s="17" t="s">
        <v>40</v>
      </c>
      <c r="AG6" s="73" t="str">
        <f>AE6&amp;" Growth yoy% vs "&amp;AE7&amp;" Growth yoy %"</f>
        <v>GBR Growth yoy% vs EA19 Growth yoy %</v>
      </c>
    </row>
    <row r="7" spans="2:34" ht="16" customHeight="1" thickBot="1" x14ac:dyDescent="0.25">
      <c r="B7" s="4" t="s">
        <v>585</v>
      </c>
      <c r="C7" s="13" t="str">
        <f t="shared" ref="C7:AA7" ca="1" si="3">IF((VLOOKUP($AE$2,$B:$Y,MATCH(C3,$B$3:$Y$3,),))&gt;C6,"above","below")</f>
        <v>below</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above</v>
      </c>
      <c r="S7" s="13" t="str">
        <f t="shared" ca="1" si="3"/>
        <v>above</v>
      </c>
      <c r="T7" s="13" t="str">
        <f t="shared" ca="1" si="3"/>
        <v>above</v>
      </c>
      <c r="U7" s="13" t="str">
        <f t="shared" ca="1" si="3"/>
        <v>above</v>
      </c>
      <c r="V7" s="13" t="str">
        <f t="shared" ca="1" si="3"/>
        <v>above</v>
      </c>
      <c r="W7" s="13" t="str">
        <f t="shared" ca="1" si="3"/>
        <v>above</v>
      </c>
      <c r="X7" s="13" t="str">
        <f t="shared" ca="1" si="3"/>
        <v>above</v>
      </c>
      <c r="Y7" s="13" t="str">
        <f t="shared" ca="1" si="3"/>
        <v>above</v>
      </c>
      <c r="Z7" s="13" t="e">
        <f t="shared" ca="1" si="3"/>
        <v>#N/A</v>
      </c>
      <c r="AA7" s="13" t="e">
        <f t="shared" ca="1" si="3"/>
        <v>#N/A</v>
      </c>
      <c r="AB7" s="73"/>
      <c r="AC7" s="19"/>
      <c r="AD7" s="20" t="s">
        <v>586</v>
      </c>
      <c r="AE7" s="21" t="s">
        <v>33</v>
      </c>
    </row>
    <row r="8" spans="2:34" x14ac:dyDescent="0.2">
      <c r="B8" s="4" t="s">
        <v>587</v>
      </c>
      <c r="C8" s="13">
        <f t="shared" ref="C8:AA8" si="4">VLOOKUP($AE$2,$B:$Y,MATCH(C3,$B$3:$Y$3,),)-VLOOKUP($AE$4,$B:$Y,MATCH(C3,$B$3:$Y$3,),)</f>
        <v>-10.664811907999999</v>
      </c>
      <c r="D8" s="13">
        <f t="shared" si="4"/>
        <v>-7.5</v>
      </c>
      <c r="E8" s="13">
        <f t="shared" si="4"/>
        <v>-10.227849053</v>
      </c>
      <c r="F8" s="13">
        <f t="shared" si="4"/>
        <v>-5.8537066260000001</v>
      </c>
      <c r="G8" s="13">
        <f t="shared" si="4"/>
        <v>-8.4533347140000004</v>
      </c>
      <c r="H8" s="13">
        <f t="shared" si="4"/>
        <v>-14.432698476999999</v>
      </c>
      <c r="I8" s="13">
        <f t="shared" si="4"/>
        <v>-19.898255173000003</v>
      </c>
      <c r="J8" s="13">
        <f t="shared" si="4"/>
        <v>-11.687987468000001</v>
      </c>
      <c r="K8" s="13">
        <f t="shared" si="4"/>
        <v>-11.095003487</v>
      </c>
      <c r="L8" s="13">
        <f t="shared" si="4"/>
        <v>-5.7947421350000008</v>
      </c>
      <c r="M8" s="13">
        <f t="shared" si="4"/>
        <v>-17.659999681999999</v>
      </c>
      <c r="N8" s="13" t="e">
        <f t="shared" si="4"/>
        <v>#N/A</v>
      </c>
      <c r="O8" s="13">
        <f t="shared" si="4"/>
        <v>-6.4560799999999983</v>
      </c>
      <c r="P8" s="13">
        <f t="shared" si="4"/>
        <v>-7.1429749930000002</v>
      </c>
      <c r="Q8" s="13">
        <f t="shared" si="4"/>
        <v>-6.1842575769999986</v>
      </c>
      <c r="R8" s="13">
        <f t="shared" si="4"/>
        <v>-7.1151792189999998</v>
      </c>
      <c r="S8" s="13">
        <f t="shared" si="4"/>
        <v>-3.3009349280000002</v>
      </c>
      <c r="T8" s="13">
        <f t="shared" si="4"/>
        <v>-9.0713724080000002</v>
      </c>
      <c r="U8" s="13">
        <f t="shared" si="4"/>
        <v>-7.36666328</v>
      </c>
      <c r="V8" s="13">
        <f t="shared" si="4"/>
        <v>-8.6863113220000017</v>
      </c>
      <c r="W8" s="13">
        <f t="shared" si="4"/>
        <v>-15.145694985999999</v>
      </c>
      <c r="X8" s="13">
        <f t="shared" si="4"/>
        <v>-5.4670855039999999</v>
      </c>
      <c r="Y8" s="13">
        <f t="shared" si="4"/>
        <v>-6.2160136140000004</v>
      </c>
      <c r="Z8" s="13" t="e">
        <f t="shared" si="4"/>
        <v>#N/A</v>
      </c>
      <c r="AA8" s="13" t="e">
        <f t="shared" si="4"/>
        <v>#N/A</v>
      </c>
      <c r="AB8" s="73"/>
    </row>
    <row r="9" spans="2:34" x14ac:dyDescent="0.2">
      <c r="B9" s="4" t="s">
        <v>588</v>
      </c>
      <c r="C9" s="13">
        <f t="shared" ref="C9:AA9" si="5">VLOOKUP($AE$2,$B:$Y,MATCH(C3,$B$3:$Y$3,),)-VLOOKUP($AE$3,$B:$Y,MATCH(C3,$B$3:$Y$3,),)</f>
        <v>-1.8876364599999997</v>
      </c>
      <c r="D9" s="13">
        <f t="shared" si="5"/>
        <v>-4.3999999999999995</v>
      </c>
      <c r="E9" s="13">
        <f t="shared" si="5"/>
        <v>-1.2564823169999997</v>
      </c>
      <c r="F9" s="13">
        <f t="shared" si="5"/>
        <v>0.49776108600000013</v>
      </c>
      <c r="G9" s="13">
        <f t="shared" si="5"/>
        <v>-1.8168445310000001</v>
      </c>
      <c r="H9" s="13">
        <f t="shared" si="5"/>
        <v>-0.51447988500000008</v>
      </c>
      <c r="I9" s="13">
        <f t="shared" si="5"/>
        <v>-6.5666157510000005</v>
      </c>
      <c r="J9" s="13">
        <f t="shared" si="5"/>
        <v>-1.4533877479999999</v>
      </c>
      <c r="K9" s="13">
        <f t="shared" si="5"/>
        <v>0.11236789199999997</v>
      </c>
      <c r="L9" s="13">
        <f t="shared" si="5"/>
        <v>-6.1869059999999365E-3</v>
      </c>
      <c r="M9" s="13">
        <f t="shared" si="5"/>
        <v>-2.266368299999999E-2</v>
      </c>
      <c r="N9" s="13" t="e">
        <f t="shared" si="5"/>
        <v>#N/A</v>
      </c>
      <c r="O9" s="13">
        <f t="shared" si="5"/>
        <v>9.8966900000000013</v>
      </c>
      <c r="P9" s="13">
        <f t="shared" si="5"/>
        <v>1.6586310839999996</v>
      </c>
      <c r="Q9" s="13">
        <f t="shared" si="5"/>
        <v>0.31271448000000035</v>
      </c>
      <c r="R9" s="13">
        <f t="shared" si="5"/>
        <v>-1.7595663209999999</v>
      </c>
      <c r="S9" s="13">
        <f t="shared" si="5"/>
        <v>-9.6148781000000128E-2</v>
      </c>
      <c r="T9" s="13">
        <f t="shared" si="5"/>
        <v>1.5414744759999999</v>
      </c>
      <c r="U9" s="13">
        <f t="shared" si="5"/>
        <v>-0.3036699589999996</v>
      </c>
      <c r="V9" s="13">
        <f t="shared" si="5"/>
        <v>-0.17890036100000017</v>
      </c>
      <c r="W9" s="13">
        <f t="shared" si="5"/>
        <v>7.8745910000000308E-2</v>
      </c>
      <c r="X9" s="13">
        <f t="shared" si="5"/>
        <v>-0.986274345</v>
      </c>
      <c r="Y9" s="13">
        <f t="shared" si="5"/>
        <v>-4.4232875890000001</v>
      </c>
      <c r="Z9" s="13" t="e">
        <f t="shared" si="5"/>
        <v>#N/A</v>
      </c>
      <c r="AA9" s="13" t="e">
        <f t="shared" si="5"/>
        <v>#N/A</v>
      </c>
      <c r="AB9" s="73"/>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3"/>
    </row>
    <row r="11" spans="2:34" hidden="1" x14ac:dyDescent="0.2">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3"/>
      <c r="AC11" s="26" t="str">
        <f t="shared" ref="AC11:AC42" si="6">B11</f>
        <v>2000-Q1</v>
      </c>
      <c r="AD11" s="27" t="e">
        <f t="shared" ref="AD11:AD42" si="7">(VLOOKUP(AC11,B:Y,MATCH($AE$6,$B$1:$Y$1,),))</f>
        <v>#REF!</v>
      </c>
      <c r="AE11" s="27" t="e">
        <f t="shared" ref="AE11:AE42" si="8">(VLOOKUP(AC11,B:Y,MATCH($AE$7,$B$1:$Y$1,),))</f>
        <v>#REF!</v>
      </c>
    </row>
    <row r="12" spans="2:34" hidden="1" x14ac:dyDescent="0.2">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3"/>
      <c r="AC12" s="26" t="str">
        <f t="shared" si="6"/>
        <v>2000-Q2</v>
      </c>
      <c r="AD12" s="27" t="e">
        <f t="shared" si="7"/>
        <v>#REF!</v>
      </c>
      <c r="AE12" s="27" t="e">
        <f t="shared" si="8"/>
        <v>#REF!</v>
      </c>
    </row>
    <row r="13" spans="2:34" hidden="1" x14ac:dyDescent="0.2">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3"/>
      <c r="AC13" s="26" t="str">
        <f t="shared" si="6"/>
        <v>2000-Q3</v>
      </c>
      <c r="AD13" s="27" t="e">
        <f t="shared" si="7"/>
        <v>#REF!</v>
      </c>
      <c r="AE13" s="27" t="e">
        <f t="shared" si="8"/>
        <v>#REF!</v>
      </c>
    </row>
    <row r="14" spans="2:34" hidden="1" x14ac:dyDescent="0.2">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3"/>
      <c r="AC14" s="26" t="str">
        <f t="shared" si="6"/>
        <v>2000-Q4</v>
      </c>
      <c r="AD14" s="27" t="e">
        <f t="shared" si="7"/>
        <v>#REF!</v>
      </c>
      <c r="AE14" s="27" t="e">
        <f t="shared" si="8"/>
        <v>#REF!</v>
      </c>
    </row>
    <row r="15" spans="2:34" hidden="1" x14ac:dyDescent="0.2">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3"/>
      <c r="AC15" s="26" t="str">
        <f t="shared" si="6"/>
        <v>2001-Q1</v>
      </c>
      <c r="AD15" s="27" t="e">
        <f t="shared" si="7"/>
        <v>#REF!</v>
      </c>
      <c r="AE15" s="27" t="e">
        <f t="shared" si="8"/>
        <v>#REF!</v>
      </c>
    </row>
    <row r="16" spans="2:34" hidden="1" x14ac:dyDescent="0.2">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3"/>
      <c r="AC16" s="26" t="str">
        <f t="shared" si="6"/>
        <v>2001-Q2</v>
      </c>
      <c r="AD16" s="27" t="e">
        <f t="shared" si="7"/>
        <v>#REF!</v>
      </c>
      <c r="AE16" s="27" t="e">
        <f t="shared" si="8"/>
        <v>#REF!</v>
      </c>
    </row>
    <row r="17" spans="2:31" hidden="1" x14ac:dyDescent="0.2">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3"/>
      <c r="AC17" s="26" t="str">
        <f t="shared" si="6"/>
        <v>2001-Q3</v>
      </c>
      <c r="AD17" s="27" t="e">
        <f t="shared" si="7"/>
        <v>#REF!</v>
      </c>
      <c r="AE17" s="27" t="e">
        <f t="shared" si="8"/>
        <v>#REF!</v>
      </c>
    </row>
    <row r="18" spans="2:31" hidden="1" x14ac:dyDescent="0.2">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3"/>
      <c r="AC18" s="26" t="str">
        <f t="shared" si="6"/>
        <v>2001-Q4</v>
      </c>
      <c r="AD18" s="27" t="e">
        <f t="shared" si="7"/>
        <v>#REF!</v>
      </c>
      <c r="AE18" s="27" t="e">
        <f t="shared" si="8"/>
        <v>#REF!</v>
      </c>
    </row>
    <row r="19" spans="2:31" hidden="1" x14ac:dyDescent="0.2">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3"/>
      <c r="AC19" s="26" t="str">
        <f t="shared" si="6"/>
        <v>2002-Q1</v>
      </c>
      <c r="AD19" s="27" t="e">
        <f t="shared" si="7"/>
        <v>#REF!</v>
      </c>
      <c r="AE19" s="27" t="e">
        <f t="shared" si="8"/>
        <v>#REF!</v>
      </c>
    </row>
    <row r="20" spans="2:31" hidden="1" x14ac:dyDescent="0.2">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3"/>
      <c r="AC20" s="26" t="str">
        <f t="shared" si="6"/>
        <v>2002-Q2</v>
      </c>
      <c r="AD20" s="27" t="e">
        <f t="shared" si="7"/>
        <v>#REF!</v>
      </c>
      <c r="AE20" s="27" t="e">
        <f t="shared" si="8"/>
        <v>#REF!</v>
      </c>
    </row>
    <row r="21" spans="2:31" hidden="1" x14ac:dyDescent="0.2">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3"/>
      <c r="AC21" s="26" t="str">
        <f t="shared" si="6"/>
        <v>2002-Q3</v>
      </c>
      <c r="AD21" s="27" t="e">
        <f t="shared" si="7"/>
        <v>#REF!</v>
      </c>
      <c r="AE21" s="27" t="e">
        <f t="shared" si="8"/>
        <v>#REF!</v>
      </c>
    </row>
    <row r="22" spans="2:31" hidden="1" x14ac:dyDescent="0.2">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3"/>
      <c r="AC22" s="26" t="str">
        <f t="shared" si="6"/>
        <v>2002-Q4</v>
      </c>
      <c r="AD22" s="27" t="e">
        <f t="shared" si="7"/>
        <v>#REF!</v>
      </c>
      <c r="AE22" s="27" t="e">
        <f t="shared" si="8"/>
        <v>#REF!</v>
      </c>
    </row>
    <row r="23" spans="2:31" hidden="1" x14ac:dyDescent="0.2">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3"/>
      <c r="AC23" s="26" t="str">
        <f t="shared" si="6"/>
        <v>2003-Q1</v>
      </c>
      <c r="AD23" s="27" t="e">
        <f t="shared" si="7"/>
        <v>#REF!</v>
      </c>
      <c r="AE23" s="27" t="e">
        <f t="shared" si="8"/>
        <v>#REF!</v>
      </c>
    </row>
    <row r="24" spans="2:31" hidden="1" x14ac:dyDescent="0.2">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3"/>
      <c r="AC24" s="26" t="str">
        <f t="shared" si="6"/>
        <v>2003-Q2</v>
      </c>
      <c r="AD24" s="27" t="e">
        <f t="shared" si="7"/>
        <v>#REF!</v>
      </c>
      <c r="AE24" s="27" t="e">
        <f t="shared" si="8"/>
        <v>#REF!</v>
      </c>
    </row>
    <row r="25" spans="2:31" hidden="1" x14ac:dyDescent="0.2">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3"/>
      <c r="AC25" s="26" t="str">
        <f t="shared" si="6"/>
        <v>2003-Q3</v>
      </c>
      <c r="AD25" s="27" t="e">
        <f t="shared" si="7"/>
        <v>#REF!</v>
      </c>
      <c r="AE25" s="27" t="e">
        <f t="shared" si="8"/>
        <v>#REF!</v>
      </c>
    </row>
    <row r="26" spans="2:31" hidden="1" x14ac:dyDescent="0.2">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3"/>
      <c r="AC26" s="26" t="str">
        <f t="shared" si="6"/>
        <v>2003-Q4</v>
      </c>
      <c r="AD26" s="27" t="e">
        <f t="shared" si="7"/>
        <v>#REF!</v>
      </c>
      <c r="AE26" s="27" t="e">
        <f t="shared" si="8"/>
        <v>#REF!</v>
      </c>
    </row>
    <row r="27" spans="2:31" hidden="1" x14ac:dyDescent="0.2">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3"/>
      <c r="AC27" s="26" t="str">
        <f t="shared" si="6"/>
        <v>2004-Q1</v>
      </c>
      <c r="AD27" s="27" t="e">
        <f t="shared" si="7"/>
        <v>#REF!</v>
      </c>
      <c r="AE27" s="27" t="e">
        <f t="shared" si="8"/>
        <v>#REF!</v>
      </c>
    </row>
    <row r="28" spans="2:31" hidden="1" x14ac:dyDescent="0.2">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3"/>
      <c r="AC28" s="26" t="str">
        <f t="shared" si="6"/>
        <v>2004-Q2</v>
      </c>
      <c r="AD28" s="27" t="e">
        <f t="shared" si="7"/>
        <v>#REF!</v>
      </c>
      <c r="AE28" s="27" t="e">
        <f t="shared" si="8"/>
        <v>#REF!</v>
      </c>
    </row>
    <row r="29" spans="2:31" hidden="1" x14ac:dyDescent="0.2">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3"/>
      <c r="AC29" s="26" t="str">
        <f t="shared" si="6"/>
        <v>2004-Q3</v>
      </c>
      <c r="AD29" s="27" t="e">
        <f t="shared" si="7"/>
        <v>#REF!</v>
      </c>
      <c r="AE29" s="27" t="e">
        <f t="shared" si="8"/>
        <v>#REF!</v>
      </c>
    </row>
    <row r="30" spans="2:31" hidden="1" x14ac:dyDescent="0.2">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3"/>
      <c r="AC30" s="26" t="str">
        <f t="shared" si="6"/>
        <v>2004-Q4</v>
      </c>
      <c r="AD30" s="27" t="e">
        <f t="shared" si="7"/>
        <v>#REF!</v>
      </c>
      <c r="AE30" s="27" t="e">
        <f t="shared" si="8"/>
        <v>#REF!</v>
      </c>
    </row>
    <row r="31" spans="2:31" hidden="1" x14ac:dyDescent="0.2">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3"/>
      <c r="AC31" s="26" t="str">
        <f t="shared" si="6"/>
        <v>2005-Q1</v>
      </c>
      <c r="AD31" s="27" t="e">
        <f t="shared" si="7"/>
        <v>#REF!</v>
      </c>
      <c r="AE31" s="27" t="e">
        <f t="shared" si="8"/>
        <v>#REF!</v>
      </c>
    </row>
    <row r="32" spans="2:31" hidden="1" x14ac:dyDescent="0.2">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3"/>
      <c r="AC32" s="26" t="str">
        <f t="shared" si="6"/>
        <v>2005-Q2</v>
      </c>
      <c r="AD32" s="27" t="e">
        <f t="shared" si="7"/>
        <v>#REF!</v>
      </c>
      <c r="AE32" s="27" t="e">
        <f t="shared" si="8"/>
        <v>#REF!</v>
      </c>
    </row>
    <row r="33" spans="2:32" hidden="1" x14ac:dyDescent="0.2">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3"/>
      <c r="AC33" s="26" t="str">
        <f t="shared" si="6"/>
        <v>2005-Q3</v>
      </c>
      <c r="AD33" s="27" t="e">
        <f t="shared" si="7"/>
        <v>#REF!</v>
      </c>
      <c r="AE33" s="27" t="e">
        <f t="shared" si="8"/>
        <v>#REF!</v>
      </c>
    </row>
    <row r="34" spans="2:32" hidden="1" x14ac:dyDescent="0.2">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3"/>
      <c r="AC34" s="26" t="str">
        <f t="shared" si="6"/>
        <v>2005-Q4</v>
      </c>
      <c r="AD34" s="27" t="e">
        <f t="shared" si="7"/>
        <v>#REF!</v>
      </c>
      <c r="AE34" s="27" t="e">
        <f t="shared" si="8"/>
        <v>#REF!</v>
      </c>
    </row>
    <row r="35" spans="2:32" hidden="1" x14ac:dyDescent="0.2">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3"/>
      <c r="AC35" s="26" t="str">
        <f t="shared" si="6"/>
        <v>2006-Q1</v>
      </c>
      <c r="AD35" s="27" t="e">
        <f t="shared" si="7"/>
        <v>#REF!</v>
      </c>
      <c r="AE35" s="27" t="e">
        <f t="shared" si="8"/>
        <v>#REF!</v>
      </c>
    </row>
    <row r="36" spans="2:32" hidden="1" x14ac:dyDescent="0.2">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3"/>
      <c r="AC36" s="26" t="str">
        <f t="shared" si="6"/>
        <v>2006-Q2</v>
      </c>
      <c r="AD36" s="27" t="e">
        <f t="shared" si="7"/>
        <v>#REF!</v>
      </c>
      <c r="AE36" s="27" t="e">
        <f t="shared" si="8"/>
        <v>#REF!</v>
      </c>
    </row>
    <row r="37" spans="2:32" hidden="1" x14ac:dyDescent="0.2">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3"/>
      <c r="AC37" s="26" t="str">
        <f t="shared" si="6"/>
        <v>2006-Q3</v>
      </c>
      <c r="AD37" s="27" t="e">
        <f t="shared" si="7"/>
        <v>#REF!</v>
      </c>
      <c r="AE37" s="27" t="e">
        <f t="shared" si="8"/>
        <v>#REF!</v>
      </c>
    </row>
    <row r="38" spans="2:32" hidden="1" x14ac:dyDescent="0.2">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3"/>
      <c r="AC38" s="26" t="str">
        <f t="shared" si="6"/>
        <v>2006-Q4</v>
      </c>
      <c r="AD38" s="27" t="e">
        <f t="shared" si="7"/>
        <v>#REF!</v>
      </c>
      <c r="AE38" s="27" t="e">
        <f t="shared" si="8"/>
        <v>#REF!</v>
      </c>
    </row>
    <row r="39" spans="2:32" hidden="1" x14ac:dyDescent="0.2">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3"/>
      <c r="AC39" s="26" t="str">
        <f t="shared" si="6"/>
        <v>2007-Q1</v>
      </c>
      <c r="AD39" s="27" t="e">
        <f t="shared" si="7"/>
        <v>#REF!</v>
      </c>
      <c r="AE39" s="27" t="e">
        <f t="shared" si="8"/>
        <v>#REF!</v>
      </c>
    </row>
    <row r="40" spans="2:32" hidden="1" x14ac:dyDescent="0.2">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3"/>
      <c r="AC40" s="26" t="str">
        <f t="shared" si="6"/>
        <v>2007-Q2</v>
      </c>
      <c r="AD40" s="27" t="e">
        <f t="shared" si="7"/>
        <v>#REF!</v>
      </c>
      <c r="AE40" s="27" t="e">
        <f t="shared" si="8"/>
        <v>#REF!</v>
      </c>
    </row>
    <row r="41" spans="2:32" hidden="1" x14ac:dyDescent="0.2">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3"/>
      <c r="AC41" s="26" t="str">
        <f t="shared" si="6"/>
        <v>2007-Q3</v>
      </c>
      <c r="AD41" s="27" t="e">
        <f t="shared" si="7"/>
        <v>#REF!</v>
      </c>
      <c r="AE41" s="27" t="e">
        <f t="shared" si="8"/>
        <v>#REF!</v>
      </c>
    </row>
    <row r="42" spans="2:32" hidden="1" x14ac:dyDescent="0.2">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3"/>
      <c r="AC42" s="26" t="str">
        <f t="shared" si="6"/>
        <v>2007-Q4</v>
      </c>
      <c r="AD42" s="27" t="e">
        <f t="shared" si="7"/>
        <v>#REF!</v>
      </c>
      <c r="AE42" s="27" t="e">
        <f t="shared" si="8"/>
        <v>#REF!</v>
      </c>
    </row>
    <row r="43" spans="2:32" hidden="1" x14ac:dyDescent="0.2">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3"/>
      <c r="AC43" s="26" t="str">
        <f t="shared" ref="AC43:AC74" si="9">B43</f>
        <v>2008-Q1</v>
      </c>
      <c r="AD43" s="27" t="e">
        <f t="shared" ref="AD43:AD74" si="10">(VLOOKUP(AC43,B:Y,MATCH($AE$6,$B$1:$Y$1,),))</f>
        <v>#REF!</v>
      </c>
      <c r="AE43" s="27" t="e">
        <f t="shared" ref="AE43:AE74" si="11">(VLOOKUP(AC43,B:Y,MATCH($AE$7,$B$1:$Y$1,),))</f>
        <v>#REF!</v>
      </c>
    </row>
    <row r="44" spans="2:32" hidden="1" x14ac:dyDescent="0.2">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3"/>
      <c r="AC44" s="26" t="str">
        <f t="shared" si="9"/>
        <v>2008-Q2</v>
      </c>
      <c r="AD44" s="27" t="e">
        <f t="shared" si="10"/>
        <v>#REF!</v>
      </c>
      <c r="AE44" s="27" t="e">
        <f t="shared" si="11"/>
        <v>#REF!</v>
      </c>
    </row>
    <row r="45" spans="2:32" hidden="1" x14ac:dyDescent="0.2">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3"/>
      <c r="AC45" s="26" t="str">
        <f t="shared" si="9"/>
        <v>2008-Q3</v>
      </c>
      <c r="AD45" s="27" t="e">
        <f t="shared" si="10"/>
        <v>#REF!</v>
      </c>
      <c r="AE45" s="27" t="e">
        <f t="shared" si="11"/>
        <v>#REF!</v>
      </c>
    </row>
    <row r="46" spans="2:32" hidden="1" x14ac:dyDescent="0.2">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3"/>
      <c r="AC46" s="26" t="str">
        <f t="shared" si="9"/>
        <v>2008-Q4</v>
      </c>
      <c r="AD46" s="27" t="e">
        <f t="shared" si="10"/>
        <v>#REF!</v>
      </c>
      <c r="AE46" s="27" t="e">
        <f t="shared" si="11"/>
        <v>#REF!</v>
      </c>
      <c r="AF46" s="27" t="e">
        <f t="shared" ref="AF46:AF77" si="12">AD46-AE46</f>
        <v>#REF!</v>
      </c>
    </row>
    <row r="47" spans="2:32" hidden="1" x14ac:dyDescent="0.2">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3"/>
      <c r="AC47" s="26" t="str">
        <f t="shared" si="9"/>
        <v>2009-Q1</v>
      </c>
      <c r="AD47" s="27" t="e">
        <f t="shared" si="10"/>
        <v>#REF!</v>
      </c>
      <c r="AE47" s="27" t="e">
        <f t="shared" si="11"/>
        <v>#REF!</v>
      </c>
      <c r="AF47" s="27" t="e">
        <f t="shared" si="12"/>
        <v>#REF!</v>
      </c>
    </row>
    <row r="48" spans="2:32" hidden="1" x14ac:dyDescent="0.2">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3"/>
      <c r="AC48" s="26" t="str">
        <f t="shared" si="9"/>
        <v>2009-Q2</v>
      </c>
      <c r="AD48" s="27" t="e">
        <f t="shared" si="10"/>
        <v>#REF!</v>
      </c>
      <c r="AE48" s="27" t="e">
        <f t="shared" si="11"/>
        <v>#REF!</v>
      </c>
      <c r="AF48" s="27" t="e">
        <f t="shared" si="12"/>
        <v>#REF!</v>
      </c>
    </row>
    <row r="49" spans="2:32" hidden="1" x14ac:dyDescent="0.2">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3"/>
      <c r="AC49" s="26" t="str">
        <f t="shared" si="9"/>
        <v>2009-Q3</v>
      </c>
      <c r="AD49" s="27" t="e">
        <f t="shared" si="10"/>
        <v>#REF!</v>
      </c>
      <c r="AE49" s="27" t="e">
        <f t="shared" si="11"/>
        <v>#REF!</v>
      </c>
      <c r="AF49" s="27" t="e">
        <f t="shared" si="12"/>
        <v>#REF!</v>
      </c>
    </row>
    <row r="50" spans="2:32" hidden="1" x14ac:dyDescent="0.2">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3"/>
      <c r="AC50" s="26" t="str">
        <f t="shared" si="9"/>
        <v>2009-Q4</v>
      </c>
      <c r="AD50" s="27" t="e">
        <f t="shared" si="10"/>
        <v>#REF!</v>
      </c>
      <c r="AE50" s="27" t="e">
        <f t="shared" si="11"/>
        <v>#REF!</v>
      </c>
      <c r="AF50" s="27" t="e">
        <f t="shared" si="12"/>
        <v>#REF!</v>
      </c>
    </row>
    <row r="51" spans="2:32" hidden="1" x14ac:dyDescent="0.2">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3"/>
      <c r="AC51" s="26" t="str">
        <f t="shared" si="9"/>
        <v>2010-Q1</v>
      </c>
      <c r="AD51" s="27" t="e">
        <f t="shared" si="10"/>
        <v>#REF!</v>
      </c>
      <c r="AE51" s="27" t="e">
        <f t="shared" si="11"/>
        <v>#REF!</v>
      </c>
      <c r="AF51" s="27" t="e">
        <f t="shared" si="12"/>
        <v>#REF!</v>
      </c>
    </row>
    <row r="52" spans="2:32" hidden="1" x14ac:dyDescent="0.2">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3"/>
      <c r="AC52" s="26" t="str">
        <f t="shared" si="9"/>
        <v>2010-Q2</v>
      </c>
      <c r="AD52" s="27" t="e">
        <f t="shared" si="10"/>
        <v>#REF!</v>
      </c>
      <c r="AE52" s="27" t="e">
        <f t="shared" si="11"/>
        <v>#REF!</v>
      </c>
      <c r="AF52" s="27" t="e">
        <f t="shared" si="12"/>
        <v>#REF!</v>
      </c>
    </row>
    <row r="53" spans="2:32" hidden="1" x14ac:dyDescent="0.2">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3"/>
      <c r="AC53" s="26" t="str">
        <f t="shared" si="9"/>
        <v>2010-Q3</v>
      </c>
      <c r="AD53" s="27" t="e">
        <f t="shared" si="10"/>
        <v>#REF!</v>
      </c>
      <c r="AE53" s="27" t="e">
        <f t="shared" si="11"/>
        <v>#REF!</v>
      </c>
      <c r="AF53" s="27" t="e">
        <f t="shared" si="12"/>
        <v>#REF!</v>
      </c>
    </row>
    <row r="54" spans="2:32" hidden="1" x14ac:dyDescent="0.2">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3"/>
      <c r="AC54" s="26" t="str">
        <f t="shared" si="9"/>
        <v>2010-Q4</v>
      </c>
      <c r="AD54" s="27" t="e">
        <f t="shared" si="10"/>
        <v>#REF!</v>
      </c>
      <c r="AE54" s="27" t="e">
        <f t="shared" si="11"/>
        <v>#REF!</v>
      </c>
      <c r="AF54" s="27" t="e">
        <f t="shared" si="12"/>
        <v>#REF!</v>
      </c>
    </row>
    <row r="55" spans="2:32" hidden="1" x14ac:dyDescent="0.2">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3"/>
      <c r="AC55" s="26" t="str">
        <f t="shared" si="9"/>
        <v>2011-Q1</v>
      </c>
      <c r="AD55" s="27" t="e">
        <f t="shared" si="10"/>
        <v>#REF!</v>
      </c>
      <c r="AE55" s="27" t="e">
        <f t="shared" si="11"/>
        <v>#REF!</v>
      </c>
      <c r="AF55" s="27" t="e">
        <f t="shared" si="12"/>
        <v>#REF!</v>
      </c>
    </row>
    <row r="56" spans="2:32" hidden="1" x14ac:dyDescent="0.2">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3"/>
      <c r="AC56" s="26" t="str">
        <f t="shared" si="9"/>
        <v>2011-Q2</v>
      </c>
      <c r="AD56" s="27" t="e">
        <f t="shared" si="10"/>
        <v>#REF!</v>
      </c>
      <c r="AE56" s="27" t="e">
        <f t="shared" si="11"/>
        <v>#REF!</v>
      </c>
      <c r="AF56" s="27" t="e">
        <f t="shared" si="12"/>
        <v>#REF!</v>
      </c>
    </row>
    <row r="57" spans="2:32" hidden="1" x14ac:dyDescent="0.2">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3"/>
      <c r="AC57" s="26" t="str">
        <f t="shared" si="9"/>
        <v>2011-Q3</v>
      </c>
      <c r="AD57" s="27" t="e">
        <f t="shared" si="10"/>
        <v>#REF!</v>
      </c>
      <c r="AE57" s="27" t="e">
        <f t="shared" si="11"/>
        <v>#REF!</v>
      </c>
      <c r="AF57" s="27" t="e">
        <f t="shared" si="12"/>
        <v>#REF!</v>
      </c>
    </row>
    <row r="58" spans="2:32" hidden="1" x14ac:dyDescent="0.2">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3"/>
      <c r="AC58" s="26" t="str">
        <f t="shared" si="9"/>
        <v>2011-Q4</v>
      </c>
      <c r="AD58" s="27" t="e">
        <f t="shared" si="10"/>
        <v>#REF!</v>
      </c>
      <c r="AE58" s="27" t="e">
        <f t="shared" si="11"/>
        <v>#REF!</v>
      </c>
      <c r="AF58" s="27" t="e">
        <f t="shared" si="12"/>
        <v>#REF!</v>
      </c>
    </row>
    <row r="59" spans="2:32" hidden="1" x14ac:dyDescent="0.2">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3"/>
      <c r="AC59" s="26" t="str">
        <f t="shared" si="9"/>
        <v>2012-Q1</v>
      </c>
      <c r="AD59" s="27" t="e">
        <f t="shared" si="10"/>
        <v>#REF!</v>
      </c>
      <c r="AE59" s="27" t="e">
        <f t="shared" si="11"/>
        <v>#REF!</v>
      </c>
      <c r="AF59" s="27" t="e">
        <f t="shared" si="12"/>
        <v>#REF!</v>
      </c>
    </row>
    <row r="60" spans="2:32" hidden="1" x14ac:dyDescent="0.2">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3"/>
      <c r="AC60" s="26" t="str">
        <f t="shared" si="9"/>
        <v>2012-Q2</v>
      </c>
      <c r="AD60" s="27" t="e">
        <f t="shared" si="10"/>
        <v>#REF!</v>
      </c>
      <c r="AE60" s="27" t="e">
        <f t="shared" si="11"/>
        <v>#REF!</v>
      </c>
      <c r="AF60" s="27" t="e">
        <f t="shared" si="12"/>
        <v>#REF!</v>
      </c>
    </row>
    <row r="61" spans="2:32" hidden="1" x14ac:dyDescent="0.2">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3"/>
      <c r="AC61" s="26" t="str">
        <f t="shared" si="9"/>
        <v>2012-Q3</v>
      </c>
      <c r="AD61" s="27" t="e">
        <f t="shared" si="10"/>
        <v>#REF!</v>
      </c>
      <c r="AE61" s="27" t="e">
        <f t="shared" si="11"/>
        <v>#REF!</v>
      </c>
      <c r="AF61" s="27" t="e">
        <f t="shared" si="12"/>
        <v>#REF!</v>
      </c>
    </row>
    <row r="62" spans="2:32" hidden="1" x14ac:dyDescent="0.2">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3"/>
      <c r="AC62" s="26" t="str">
        <f t="shared" si="9"/>
        <v>2012-Q4</v>
      </c>
      <c r="AD62" s="27" t="e">
        <f t="shared" si="10"/>
        <v>#REF!</v>
      </c>
      <c r="AE62" s="27" t="e">
        <f t="shared" si="11"/>
        <v>#REF!</v>
      </c>
      <c r="AF62" s="27" t="e">
        <f t="shared" si="12"/>
        <v>#REF!</v>
      </c>
    </row>
    <row r="63" spans="2:32" hidden="1" x14ac:dyDescent="0.2">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3"/>
      <c r="AC63" s="26" t="str">
        <f t="shared" si="9"/>
        <v>2013-Q1</v>
      </c>
      <c r="AD63" s="27" t="e">
        <f t="shared" si="10"/>
        <v>#REF!</v>
      </c>
      <c r="AE63" s="27" t="e">
        <f t="shared" si="11"/>
        <v>#REF!</v>
      </c>
      <c r="AF63" s="27" t="e">
        <f t="shared" si="12"/>
        <v>#REF!</v>
      </c>
    </row>
    <row r="64" spans="2:32" hidden="1" x14ac:dyDescent="0.2">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3"/>
      <c r="AC64" s="26" t="str">
        <f t="shared" si="9"/>
        <v>2013-Q2</v>
      </c>
      <c r="AD64" s="27" t="e">
        <f t="shared" si="10"/>
        <v>#REF!</v>
      </c>
      <c r="AE64" s="27" t="e">
        <f t="shared" si="11"/>
        <v>#REF!</v>
      </c>
      <c r="AF64" s="27" t="e">
        <f t="shared" si="12"/>
        <v>#REF!</v>
      </c>
    </row>
    <row r="65" spans="2:32" hidden="1" x14ac:dyDescent="0.2">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3"/>
      <c r="AC65" s="26" t="str">
        <f t="shared" si="9"/>
        <v>2013-Q3</v>
      </c>
      <c r="AD65" s="27" t="e">
        <f t="shared" si="10"/>
        <v>#REF!</v>
      </c>
      <c r="AE65" s="27" t="e">
        <f t="shared" si="11"/>
        <v>#REF!</v>
      </c>
      <c r="AF65" s="27" t="e">
        <f t="shared" si="12"/>
        <v>#REF!</v>
      </c>
    </row>
    <row r="66" spans="2:32" hidden="1" x14ac:dyDescent="0.2">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3"/>
      <c r="AC66" s="26" t="str">
        <f t="shared" si="9"/>
        <v>2013-Q4</v>
      </c>
      <c r="AD66" s="27" t="e">
        <f t="shared" si="10"/>
        <v>#REF!</v>
      </c>
      <c r="AE66" s="27" t="e">
        <f t="shared" si="11"/>
        <v>#REF!</v>
      </c>
      <c r="AF66" s="27" t="e">
        <f t="shared" si="12"/>
        <v>#REF!</v>
      </c>
    </row>
    <row r="67" spans="2:32" hidden="1" x14ac:dyDescent="0.2">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3"/>
      <c r="AC67" s="26" t="str">
        <f t="shared" si="9"/>
        <v>2014-Q1</v>
      </c>
      <c r="AD67" s="27" t="e">
        <f t="shared" si="10"/>
        <v>#REF!</v>
      </c>
      <c r="AE67" s="27" t="e">
        <f t="shared" si="11"/>
        <v>#REF!</v>
      </c>
      <c r="AF67" s="27" t="e">
        <f t="shared" si="12"/>
        <v>#REF!</v>
      </c>
    </row>
    <row r="68" spans="2:32" hidden="1" x14ac:dyDescent="0.2">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3"/>
      <c r="AC68" s="26" t="str">
        <f t="shared" si="9"/>
        <v>2014-Q2</v>
      </c>
      <c r="AD68" s="27" t="e">
        <f t="shared" si="10"/>
        <v>#REF!</v>
      </c>
      <c r="AE68" s="27" t="e">
        <f t="shared" si="11"/>
        <v>#REF!</v>
      </c>
      <c r="AF68" s="27" t="e">
        <f t="shared" si="12"/>
        <v>#REF!</v>
      </c>
    </row>
    <row r="69" spans="2:32" hidden="1" x14ac:dyDescent="0.2">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3"/>
      <c r="AC69" s="26" t="str">
        <f t="shared" si="9"/>
        <v>2014-Q3</v>
      </c>
      <c r="AD69" s="27" t="e">
        <f t="shared" si="10"/>
        <v>#REF!</v>
      </c>
      <c r="AE69" s="27" t="e">
        <f t="shared" si="11"/>
        <v>#REF!</v>
      </c>
      <c r="AF69" s="27" t="e">
        <f t="shared" si="12"/>
        <v>#REF!</v>
      </c>
    </row>
    <row r="70" spans="2:32" hidden="1" x14ac:dyDescent="0.2">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3"/>
      <c r="AC70" s="26" t="str">
        <f t="shared" si="9"/>
        <v>2014-Q4</v>
      </c>
      <c r="AD70" s="27" t="e">
        <f t="shared" si="10"/>
        <v>#REF!</v>
      </c>
      <c r="AE70" s="27" t="e">
        <f t="shared" si="11"/>
        <v>#REF!</v>
      </c>
      <c r="AF70" s="27" t="e">
        <f t="shared" si="12"/>
        <v>#REF!</v>
      </c>
    </row>
    <row r="71" spans="2:32" x14ac:dyDescent="0.2">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1.6880259799999999</v>
      </c>
      <c r="F71" s="25">
        <f>IF(VLOOKUP(B71,'Data yoy'!$A:$AW,MATCH($F$1,'Data yoy'!$A$1:$AW$1,),)=0,#N/A,VLOOKUP(B71,'Data yoy'!$A:$AW,MATCH($F$1,'Data yoy'!$A$1:$AW$1,),))</f>
        <v>0.25943617499999999</v>
      </c>
      <c r="G71" s="25">
        <f>IF(VLOOKUP(B71,'Data yoy'!$A:$AW,MATCH($G$1,'Data yoy'!$A$1:$AW$1,),)=0,#N/A,VLOOKUP(B71,'Data yoy'!$A:$AW,MATCH($G$1,'Data yoy'!$A$1:$AW$1,),))</f>
        <v>0.80418888300000002</v>
      </c>
      <c r="H71" s="25">
        <f>IF(VLOOKUP(B71,'Data yoy'!$A:$AW,MATCH($H$1,'Data yoy'!$A$1:$AW$1,),)=0,#N/A,VLOOKUP(B71,'Data yoy'!$A:$AW,MATCH($H$1,'Data yoy'!$A$1:$AW$1,),))</f>
        <v>1.152407586</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3.768394529</v>
      </c>
      <c r="M71" s="25">
        <f>IF(VLOOKUP(B71,'Data yoy'!$A:$AW,MATCH($M$1,'Data yoy'!$A$1:$AW$1,),)=0,#N/A,VLOOKUP(B71,'Data yoy'!$A:$AW,MATCH($M$1,'Data yoy'!$A$1:$AW$1,),))</f>
        <v>3.252811414</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2.2386300260000001</v>
      </c>
      <c r="R71" s="25">
        <f>IF(VLOOKUP(B71,'Data yoy'!$A:$AW,MATCH($R$1,'Data yoy'!$A$1:$AW$1,),)=0,#N/A,VLOOKUP(B71,'Data yoy'!$A:$AW,MATCH($R$1,'Data yoy'!$A$1:$AW$1,),))</f>
        <v>1.8815493860000001</v>
      </c>
      <c r="S71" s="25">
        <f>IF(VLOOKUP(B71,'Data yoy'!$A:$AW,MATCH($S$1,'Data yoy'!$A$1:$AW$1,),)=0,#N/A,VLOOKUP(B71,'Data yoy'!$A:$AW,MATCH($S$1,'Data yoy'!$A$1:$AW$1,),))</f>
        <v>2.4768505649999999</v>
      </c>
      <c r="T71" s="25">
        <f>IF(VLOOKUP(B71,'Data yoy'!$A:$AW,MATCH($T$1,'Data yoy'!$A$1:$AW$1,),)=0,#N/A,VLOOKUP(B71,'Data yoy'!$A:$AW,MATCH($T$1,'Data yoy'!$A$1:$AW$1,),))</f>
        <v>-1.819129698</v>
      </c>
      <c r="U71" s="25">
        <f>IF(VLOOKUP(B71,'Data yoy'!$A:$AW,MATCH($U$1,'Data yoy'!$A$1:$AW$1,),)=0,#N/A,VLOOKUP(B71,'Data yoy'!$A:$AW,MATCH($U$1,'Data yoy'!$A$1:$AW$1,),))</f>
        <v>0.316462309</v>
      </c>
      <c r="V71" s="25">
        <f>IF(VLOOKUP(B71,'Data yoy'!$A:$AW,MATCH($V$1,'Data yoy'!$A$1:$AW$1,),)=0,#N/A,VLOOKUP(B71,'Data yoy'!$A:$AW,MATCH($V$1,'Data yoy'!$A$1:$AW$1,),))</f>
        <v>26.64471378</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4.1051629079999996</v>
      </c>
      <c r="Z71" s="25">
        <f>IF(VLOOKUP(B71,'Data yoy'!$A:$AW,MATCH($Z$1,'Data yoy'!$A$1:$AW$1,),)=0,#N/A,VLOOKUP(B71,'Data yoy'!$A:$AW,MATCH($Z$1,'Data yoy'!$A$1:$AW$1,),))</f>
        <v>0.56111001100000002</v>
      </c>
      <c r="AA71" s="25">
        <f>IF(VLOOKUP(B71,'Data yoy'!$A:$AW,MATCH($AA$1,'Data yoy'!$A$1:$AW$1,),)=0,#N/A,VLOOKUP(B71,'Data yoy'!$A:$AW,MATCH($AA$1,'Data yoy'!$A$1:$AW$1,),))</f>
        <v>3.774147277</v>
      </c>
      <c r="AB71" s="73"/>
      <c r="AC71" s="26" t="str">
        <f t="shared" si="9"/>
        <v>2015-Q1</v>
      </c>
      <c r="AD71" s="27">
        <f t="shared" si="10"/>
        <v>2.7240463529999999</v>
      </c>
      <c r="AE71" s="27">
        <f t="shared" si="11"/>
        <v>1.6880259799999999</v>
      </c>
      <c r="AF71" s="27">
        <f t="shared" si="12"/>
        <v>1.0360203729999999</v>
      </c>
    </row>
    <row r="72" spans="2:32" x14ac:dyDescent="0.2">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1.958844692</v>
      </c>
      <c r="F72" s="25">
        <f>IF(VLOOKUP(B72,'Data yoy'!$A:$AW,MATCH($F$1,'Data yoy'!$A$1:$AW$1,),)=0,#N/A,VLOOKUP(B72,'Data yoy'!$A:$AW,MATCH($F$1,'Data yoy'!$A$1:$AW$1,),))</f>
        <v>2.2546608560000001</v>
      </c>
      <c r="G72" s="25">
        <f>IF(VLOOKUP(B72,'Data yoy'!$A:$AW,MATCH($G$1,'Data yoy'!$A$1:$AW$1,),)=0,#N/A,VLOOKUP(B72,'Data yoy'!$A:$AW,MATCH($G$1,'Data yoy'!$A$1:$AW$1,),))</f>
        <v>1.547263222</v>
      </c>
      <c r="H72" s="25">
        <f>IF(VLOOKUP(B72,'Data yoy'!$A:$AW,MATCH($H$1,'Data yoy'!$A$1:$AW$1,),)=0,#N/A,VLOOKUP(B72,'Data yoy'!$A:$AW,MATCH($H$1,'Data yoy'!$A$1:$AW$1,),))</f>
        <v>1.181815488</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3.9582855619999999</v>
      </c>
      <c r="M72" s="25">
        <f>IF(VLOOKUP(B72,'Data yoy'!$A:$AW,MATCH($M$1,'Data yoy'!$A$1:$AW$1,),)=0,#N/A,VLOOKUP(B72,'Data yoy'!$A:$AW,MATCH($M$1,'Data yoy'!$A$1:$AW$1,),))</f>
        <v>3.1501975889999998</v>
      </c>
      <c r="N72" s="25">
        <f>IF(VLOOKUP(B72,'Data yoy'!$A:$AW,MATCH($N$1,'Data yoy'!$A$1:$AW$1,),)=0,#N/A,VLOOKUP(B72,'Data yoy'!$A:$AW,MATCH($N$1,'Data yoy'!$A$1:$AW$1,),))</f>
        <v>-2.2235911339999999</v>
      </c>
      <c r="O72" s="25">
        <f>IF(VLOOKUP(B72,'Data yoy'!$A:$AW,MATCH($O$1,'Data yoy'!$A$1:$AW$1,),)=0,#N/A,VLOOKUP(B72,'Data yoy'!$A:$AW,MATCH($O$1,'Data yoy'!$A$1:$AW$1,),))</f>
        <v>7.3806200000000004</v>
      </c>
      <c r="P72" s="25">
        <f>IF(VLOOKUP(B72,'Data yoy'!$A:$AW,MATCH($P$1,'Data yoy'!$A$1:$AW$1,),)=0,#N/A,VLOOKUP(B72,'Data yoy'!$A:$AW,MATCH($P$1,'Data yoy'!$A$1:$AW$1,),))</f>
        <v>0.82387143900000004</v>
      </c>
      <c r="Q72" s="25">
        <f>IF(VLOOKUP(B72,'Data yoy'!$A:$AW,MATCH($Q$1,'Data yoy'!$A$1:$AW$1,),)=0,#N/A,VLOOKUP(B72,'Data yoy'!$A:$AW,MATCH($Q$1,'Data yoy'!$A$1:$AW$1,),))</f>
        <v>1.8733481249999999</v>
      </c>
      <c r="R72" s="25">
        <f>IF(VLOOKUP(B72,'Data yoy'!$A:$AW,MATCH($R$1,'Data yoy'!$A$1:$AW$1,),)=0,#N/A,VLOOKUP(B72,'Data yoy'!$A:$AW,MATCH($R$1,'Data yoy'!$A$1:$AW$1,),))</f>
        <v>1.518973661</v>
      </c>
      <c r="S72" s="25">
        <f>IF(VLOOKUP(B72,'Data yoy'!$A:$AW,MATCH($S$1,'Data yoy'!$A$1:$AW$1,),)=0,#N/A,VLOOKUP(B72,'Data yoy'!$A:$AW,MATCH($S$1,'Data yoy'!$A$1:$AW$1,),))</f>
        <v>2.07600271</v>
      </c>
      <c r="T72" s="25">
        <f>IF(VLOOKUP(B72,'Data yoy'!$A:$AW,MATCH($T$1,'Data yoy'!$A$1:$AW$1,),)=0,#N/A,VLOOKUP(B72,'Data yoy'!$A:$AW,MATCH($T$1,'Data yoy'!$A$1:$AW$1,),))</f>
        <v>-2.6892977870000001</v>
      </c>
      <c r="U72" s="25">
        <f>IF(VLOOKUP(B72,'Data yoy'!$A:$AW,MATCH($U$1,'Data yoy'!$A$1:$AW$1,),)=0,#N/A,VLOOKUP(B72,'Data yoy'!$A:$AW,MATCH($U$1,'Data yoy'!$A$1:$AW$1,),))</f>
        <v>0.51236092799999999</v>
      </c>
      <c r="V72" s="25">
        <f>IF(VLOOKUP(B72,'Data yoy'!$A:$AW,MATCH($V$1,'Data yoy'!$A$1:$AW$1,),)=0,#N/A,VLOOKUP(B72,'Data yoy'!$A:$AW,MATCH($V$1,'Data yoy'!$A$1:$AW$1,),))</f>
        <v>19.669272712000001</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3.7437809120000001</v>
      </c>
      <c r="Z72" s="25">
        <f>IF(VLOOKUP(B72,'Data yoy'!$A:$AW,MATCH($Z$1,'Data yoy'!$A$1:$AW$1,),)=0,#N/A,VLOOKUP(B72,'Data yoy'!$A:$AW,MATCH($Z$1,'Data yoy'!$A$1:$AW$1,),))</f>
        <v>3.4617489689999998</v>
      </c>
      <c r="AA72" s="25">
        <f>IF(VLOOKUP(B72,'Data yoy'!$A:$AW,MATCH($AA$1,'Data yoy'!$A$1:$AW$1,),)=0,#N/A,VLOOKUP(B72,'Data yoy'!$A:$AW,MATCH($AA$1,'Data yoy'!$A$1:$AW$1,),))</f>
        <v>3.9957003599999998</v>
      </c>
      <c r="AB72" s="73"/>
      <c r="AC72" s="26" t="str">
        <f t="shared" si="9"/>
        <v>2015-Q2</v>
      </c>
      <c r="AD72" s="27">
        <f t="shared" si="10"/>
        <v>2.4782640640000002</v>
      </c>
      <c r="AE72" s="27">
        <f t="shared" si="11"/>
        <v>1.958844692</v>
      </c>
      <c r="AF72" s="27">
        <f t="shared" si="12"/>
        <v>0.51941937200000021</v>
      </c>
    </row>
    <row r="73" spans="2:32" x14ac:dyDescent="0.2">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1.8966972769999999</v>
      </c>
      <c r="F73" s="25">
        <f>IF(VLOOKUP(B73,'Data yoy'!$A:$AW,MATCH($F$1,'Data yoy'!$A$1:$AW$1,),)=0,#N/A,VLOOKUP(B73,'Data yoy'!$A:$AW,MATCH($F$1,'Data yoy'!$A$1:$AW$1,),))</f>
        <v>2.263255746</v>
      </c>
      <c r="G73" s="25">
        <f>IF(VLOOKUP(B73,'Data yoy'!$A:$AW,MATCH($G$1,'Data yoy'!$A$1:$AW$1,),)=0,#N/A,VLOOKUP(B73,'Data yoy'!$A:$AW,MATCH($G$1,'Data yoy'!$A$1:$AW$1,),))</f>
        <v>1.4887932699999999</v>
      </c>
      <c r="H73" s="25">
        <f>IF(VLOOKUP(B73,'Data yoy'!$A:$AW,MATCH($H$1,'Data yoy'!$A$1:$AW$1,),)=0,#N/A,VLOOKUP(B73,'Data yoy'!$A:$AW,MATCH($H$1,'Data yoy'!$A$1:$AW$1,),))</f>
        <v>0.834213133</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4.6358705850000002</v>
      </c>
      <c r="M73" s="25">
        <f>IF(VLOOKUP(B73,'Data yoy'!$A:$AW,MATCH($M$1,'Data yoy'!$A$1:$AW$1,),)=0,#N/A,VLOOKUP(B73,'Data yoy'!$A:$AW,MATCH($M$1,'Data yoy'!$A$1:$AW$1,),))</f>
        <v>4.1380146910000004</v>
      </c>
      <c r="N73" s="25">
        <f>IF(VLOOKUP(B73,'Data yoy'!$A:$AW,MATCH($N$1,'Data yoy'!$A$1:$AW$1,),)=0,#N/A,VLOOKUP(B73,'Data yoy'!$A:$AW,MATCH($N$1,'Data yoy'!$A$1:$AW$1,),))</f>
        <v>-1.72172671</v>
      </c>
      <c r="O73" s="25">
        <f>IF(VLOOKUP(B73,'Data yoy'!$A:$AW,MATCH($O$1,'Data yoy'!$A$1:$AW$1,),)=0,#N/A,VLOOKUP(B73,'Data yoy'!$A:$AW,MATCH($O$1,'Data yoy'!$A$1:$AW$1,),))</f>
        <v>7.4021699999999999</v>
      </c>
      <c r="P73" s="25">
        <f>IF(VLOOKUP(B73,'Data yoy'!$A:$AW,MATCH($P$1,'Data yoy'!$A$1:$AW$1,),)=0,#N/A,VLOOKUP(B73,'Data yoy'!$A:$AW,MATCH($P$1,'Data yoy'!$A$1:$AW$1,),))</f>
        <v>0.21933249699999999</v>
      </c>
      <c r="Q73" s="25">
        <f>IF(VLOOKUP(B73,'Data yoy'!$A:$AW,MATCH($Q$1,'Data yoy'!$A$1:$AW$1,),)=0,#N/A,VLOOKUP(B73,'Data yoy'!$A:$AW,MATCH($Q$1,'Data yoy'!$A$1:$AW$1,),))</f>
        <v>2.4388545289999999</v>
      </c>
      <c r="R73" s="25">
        <f>IF(VLOOKUP(B73,'Data yoy'!$A:$AW,MATCH($R$1,'Data yoy'!$A$1:$AW$1,),)=0,#N/A,VLOOKUP(B73,'Data yoy'!$A:$AW,MATCH($R$1,'Data yoy'!$A$1:$AW$1,),))</f>
        <v>1.5610707239999999</v>
      </c>
      <c r="S73" s="25">
        <f>IF(VLOOKUP(B73,'Data yoy'!$A:$AW,MATCH($S$1,'Data yoy'!$A$1:$AW$1,),)=0,#N/A,VLOOKUP(B73,'Data yoy'!$A:$AW,MATCH($S$1,'Data yoy'!$A$1:$AW$1,),))</f>
        <v>3.2275622639999999</v>
      </c>
      <c r="T73" s="25">
        <f>IF(VLOOKUP(B73,'Data yoy'!$A:$AW,MATCH($T$1,'Data yoy'!$A$1:$AW$1,),)=0,#N/A,VLOOKUP(B73,'Data yoy'!$A:$AW,MATCH($T$1,'Data yoy'!$A$1:$AW$1,),))</f>
        <v>-4.206680607</v>
      </c>
      <c r="U73" s="25">
        <f>IF(VLOOKUP(B73,'Data yoy'!$A:$AW,MATCH($U$1,'Data yoy'!$A$1:$AW$1,),)=0,#N/A,VLOOKUP(B73,'Data yoy'!$A:$AW,MATCH($U$1,'Data yoy'!$A$1:$AW$1,),))</f>
        <v>-2.4188572110000002</v>
      </c>
      <c r="V73" s="25">
        <f>IF(VLOOKUP(B73,'Data yoy'!$A:$AW,MATCH($V$1,'Data yoy'!$A$1:$AW$1,),)=0,#N/A,VLOOKUP(B73,'Data yoy'!$A:$AW,MATCH($V$1,'Data yoy'!$A$1:$AW$1,),))</f>
        <v>21.764570633999998</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4.1839604980000002</v>
      </c>
      <c r="Z73" s="25">
        <f>IF(VLOOKUP(B73,'Data yoy'!$A:$AW,MATCH($Z$1,'Data yoy'!$A$1:$AW$1,),)=0,#N/A,VLOOKUP(B73,'Data yoy'!$A:$AW,MATCH($Z$1,'Data yoy'!$A$1:$AW$1,),))</f>
        <v>4.3468238250000004</v>
      </c>
      <c r="AA73" s="25">
        <f>IF(VLOOKUP(B73,'Data yoy'!$A:$AW,MATCH($AA$1,'Data yoy'!$A$1:$AW$1,),)=0,#N/A,VLOOKUP(B73,'Data yoy'!$A:$AW,MATCH($AA$1,'Data yoy'!$A$1:$AW$1,),))</f>
        <v>3.780905148</v>
      </c>
      <c r="AB73" s="73"/>
      <c r="AC73" s="26" t="str">
        <f t="shared" si="9"/>
        <v>2015-Q3</v>
      </c>
      <c r="AD73" s="27">
        <f t="shared" si="10"/>
        <v>2.1439057309999998</v>
      </c>
      <c r="AE73" s="27">
        <f t="shared" si="11"/>
        <v>1.8966972769999999</v>
      </c>
      <c r="AF73" s="27">
        <f t="shared" si="12"/>
        <v>0.24720845399999991</v>
      </c>
    </row>
    <row r="74" spans="2:32" x14ac:dyDescent="0.2">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1.9925432460000001</v>
      </c>
      <c r="F74" s="25">
        <f>IF(VLOOKUP(B74,'Data yoy'!$A:$AW,MATCH($F$1,'Data yoy'!$A$1:$AW$1,),)=0,#N/A,VLOOKUP(B74,'Data yoy'!$A:$AW,MATCH($F$1,'Data yoy'!$A$1:$AW$1,),))</f>
        <v>1.6201836999999999</v>
      </c>
      <c r="G74" s="25">
        <f>IF(VLOOKUP(B74,'Data yoy'!$A:$AW,MATCH($G$1,'Data yoy'!$A$1:$AW$1,),)=0,#N/A,VLOOKUP(B74,'Data yoy'!$A:$AW,MATCH($G$1,'Data yoy'!$A$1:$AW$1,),))</f>
        <v>1.115160562</v>
      </c>
      <c r="H74" s="25">
        <f>IF(VLOOKUP(B74,'Data yoy'!$A:$AW,MATCH($H$1,'Data yoy'!$A$1:$AW$1,),)=0,#N/A,VLOOKUP(B74,'Data yoy'!$A:$AW,MATCH($H$1,'Data yoy'!$A$1:$AW$1,),))</f>
        <v>1.0696154550000001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4.5867670340000002</v>
      </c>
      <c r="M74" s="25">
        <f>IF(VLOOKUP(B74,'Data yoy'!$A:$AW,MATCH($M$1,'Data yoy'!$A$1:$AW$1,),)=0,#N/A,VLOOKUP(B74,'Data yoy'!$A:$AW,MATCH($M$1,'Data yoy'!$A$1:$AW$1,),))</f>
        <v>2.7103524700000001</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2.6941980069999998</v>
      </c>
      <c r="R74" s="25">
        <f>IF(VLOOKUP(B74,'Data yoy'!$A:$AW,MATCH($R$1,'Data yoy'!$A$1:$AW$1,),)=0,#N/A,VLOOKUP(B74,'Data yoy'!$A:$AW,MATCH($R$1,'Data yoy'!$A$1:$AW$1,),))</f>
        <v>1.380458875</v>
      </c>
      <c r="S74" s="25">
        <f>IF(VLOOKUP(B74,'Data yoy'!$A:$AW,MATCH($S$1,'Data yoy'!$A$1:$AW$1,),)=0,#N/A,VLOOKUP(B74,'Data yoy'!$A:$AW,MATCH($S$1,'Data yoy'!$A$1:$AW$1,),))</f>
        <v>3.4466806430000001</v>
      </c>
      <c r="T74" s="25">
        <f>IF(VLOOKUP(B74,'Data yoy'!$A:$AW,MATCH($T$1,'Data yoy'!$A$1:$AW$1,),)=0,#N/A,VLOOKUP(B74,'Data yoy'!$A:$AW,MATCH($T$1,'Data yoy'!$A$1:$AW$1,),))</f>
        <v>-5.4501219010000002</v>
      </c>
      <c r="U74" s="25">
        <f>IF(VLOOKUP(B74,'Data yoy'!$A:$AW,MATCH($U$1,'Data yoy'!$A$1:$AW$1,),)=0,#N/A,VLOOKUP(B74,'Data yoy'!$A:$AW,MATCH($U$1,'Data yoy'!$A$1:$AW$1,),))</f>
        <v>0.39144111700000001</v>
      </c>
      <c r="V74" s="25">
        <f>IF(VLOOKUP(B74,'Data yoy'!$A:$AW,MATCH($V$1,'Data yoy'!$A$1:$AW$1,),)=0,#N/A,VLOOKUP(B74,'Data yoy'!$A:$AW,MATCH($V$1,'Data yoy'!$A$1:$AW$1,),))</f>
        <v>23.396748120000002</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4.7958291170000003</v>
      </c>
      <c r="Z74" s="25">
        <f>IF(VLOOKUP(B74,'Data yoy'!$A:$AW,MATCH($Z$1,'Data yoy'!$A$1:$AW$1,),)=0,#N/A,VLOOKUP(B74,'Data yoy'!$A:$AW,MATCH($Z$1,'Data yoy'!$A$1:$AW$1,),))</f>
        <v>2.5815807930000001</v>
      </c>
      <c r="AA74" s="25">
        <f>IF(VLOOKUP(B74,'Data yoy'!$A:$AW,MATCH($AA$1,'Data yoy'!$A$1:$AW$1,),)=0,#N/A,VLOOKUP(B74,'Data yoy'!$A:$AW,MATCH($AA$1,'Data yoy'!$A$1:$AW$1,),))</f>
        <v>3.1965279400000002</v>
      </c>
      <c r="AB74" s="73"/>
      <c r="AC74" s="26" t="str">
        <f t="shared" si="9"/>
        <v>2015-Q4</v>
      </c>
      <c r="AD74" s="27">
        <f t="shared" si="10"/>
        <v>2.2332205009999999</v>
      </c>
      <c r="AE74" s="27">
        <f t="shared" si="11"/>
        <v>1.9925432460000001</v>
      </c>
      <c r="AF74" s="27">
        <f t="shared" si="12"/>
        <v>0.24067725499999981</v>
      </c>
    </row>
    <row r="75" spans="2:32" x14ac:dyDescent="0.2">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1.913859939</v>
      </c>
      <c r="F75" s="25">
        <f>IF(VLOOKUP(B75,'Data yoy'!$A:$AW,MATCH($F$1,'Data yoy'!$A$1:$AW$1,),)=0,#N/A,VLOOKUP(B75,'Data yoy'!$A:$AW,MATCH($F$1,'Data yoy'!$A$1:$AW$1,),))</f>
        <v>0.81015161800000002</v>
      </c>
      <c r="G75" s="25">
        <f>IF(VLOOKUP(B75,'Data yoy'!$A:$AW,MATCH($G$1,'Data yoy'!$A$1:$AW$1,),)=0,#N/A,VLOOKUP(B75,'Data yoy'!$A:$AW,MATCH($G$1,'Data yoy'!$A$1:$AW$1,),))</f>
        <v>2.4891676359999999</v>
      </c>
      <c r="H75" s="25">
        <f>IF(VLOOKUP(B75,'Data yoy'!$A:$AW,MATCH($H$1,'Data yoy'!$A$1:$AW$1,),)=0,#N/A,VLOOKUP(B75,'Data yoy'!$A:$AW,MATCH($H$1,'Data yoy'!$A$1:$AW$1,),))</f>
        <v>1.1686864459999999</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3.0968378259999998</v>
      </c>
      <c r="M75" s="25">
        <f>IF(VLOOKUP(B75,'Data yoy'!$A:$AW,MATCH($M$1,'Data yoy'!$A$1:$AW$1,),)=0,#N/A,VLOOKUP(B75,'Data yoy'!$A:$AW,MATCH($M$1,'Data yoy'!$A$1:$AW$1,),))</f>
        <v>2.7424898259999999</v>
      </c>
      <c r="N75" s="25">
        <f>IF(VLOOKUP(B75,'Data yoy'!$A:$AW,MATCH($N$1,'Data yoy'!$A$1:$AW$1,),)=0,#N/A,VLOOKUP(B75,'Data yoy'!$A:$AW,MATCH($N$1,'Data yoy'!$A$1:$AW$1,),))</f>
        <v>-0.54547591600000001</v>
      </c>
      <c r="O75" s="25">
        <f>IF(VLOOKUP(B75,'Data yoy'!$A:$AW,MATCH($O$1,'Data yoy'!$A$1:$AW$1,),)=0,#N/A,VLOOKUP(B75,'Data yoy'!$A:$AW,MATCH($O$1,'Data yoy'!$A$1:$AW$1,),))</f>
        <v>9.2227399999999999</v>
      </c>
      <c r="P75" s="25">
        <f>IF(VLOOKUP(B75,'Data yoy'!$A:$AW,MATCH($P$1,'Data yoy'!$A$1:$AW$1,),)=0,#N/A,VLOOKUP(B75,'Data yoy'!$A:$AW,MATCH($P$1,'Data yoy'!$A$1:$AW$1,),))</f>
        <v>0.70485855600000002</v>
      </c>
      <c r="Q75" s="25">
        <f>IF(VLOOKUP(B75,'Data yoy'!$A:$AW,MATCH($Q$1,'Data yoy'!$A$1:$AW$1,),)=0,#N/A,VLOOKUP(B75,'Data yoy'!$A:$AW,MATCH($Q$1,'Data yoy'!$A$1:$AW$1,),))</f>
        <v>2.6454956059999999</v>
      </c>
      <c r="R75" s="25">
        <f>IF(VLOOKUP(B75,'Data yoy'!$A:$AW,MATCH($R$1,'Data yoy'!$A$1:$AW$1,),)=0,#N/A,VLOOKUP(B75,'Data yoy'!$A:$AW,MATCH($R$1,'Data yoy'!$A$1:$AW$1,),))</f>
        <v>1.9602627909999999</v>
      </c>
      <c r="S75" s="25">
        <f>IF(VLOOKUP(B75,'Data yoy'!$A:$AW,MATCH($S$1,'Data yoy'!$A$1:$AW$1,),)=0,#N/A,VLOOKUP(B75,'Data yoy'!$A:$AW,MATCH($S$1,'Data yoy'!$A$1:$AW$1,),))</f>
        <v>2.9442992979999998</v>
      </c>
      <c r="T75" s="25">
        <f>IF(VLOOKUP(B75,'Data yoy'!$A:$AW,MATCH($T$1,'Data yoy'!$A$1:$AW$1,),)=0,#N/A,VLOOKUP(B75,'Data yoy'!$A:$AW,MATCH($T$1,'Data yoy'!$A$1:$AW$1,),))</f>
        <v>-6.1331299259999996</v>
      </c>
      <c r="U75" s="25">
        <f>IF(VLOOKUP(B75,'Data yoy'!$A:$AW,MATCH($U$1,'Data yoy'!$A$1:$AW$1,),)=0,#N/A,VLOOKUP(B75,'Data yoy'!$A:$AW,MATCH($U$1,'Data yoy'!$A$1:$AW$1,),))</f>
        <v>-1.1324622049999999</v>
      </c>
      <c r="V75" s="25">
        <f>IF(VLOOKUP(B75,'Data yoy'!$A:$AW,MATCH($V$1,'Data yoy'!$A$1:$AW$1,),)=0,#N/A,VLOOKUP(B75,'Data yoy'!$A:$AW,MATCH($V$1,'Data yoy'!$A$1:$AW$1,),))</f>
        <v>-1.632729777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3.0221862389999998</v>
      </c>
      <c r="Z75" s="25">
        <f>IF(VLOOKUP(B75,'Data yoy'!$A:$AW,MATCH($Z$1,'Data yoy'!$A$1:$AW$1,),)=0,#N/A,VLOOKUP(B75,'Data yoy'!$A:$AW,MATCH($Z$1,'Data yoy'!$A$1:$AW$1,),))</f>
        <v>0.20242117400000001</v>
      </c>
      <c r="AA75" s="25">
        <f>IF(VLOOKUP(B75,'Data yoy'!$A:$AW,MATCH($AA$1,'Data yoy'!$A$1:$AW$1,),)=0,#N/A,VLOOKUP(B75,'Data yoy'!$A:$AW,MATCH($AA$1,'Data yoy'!$A$1:$AW$1,),))</f>
        <v>4.0623260989999999</v>
      </c>
      <c r="AB75" s="73"/>
      <c r="AC75" s="26" t="str">
        <f t="shared" ref="AC75:AC100" si="13">B75</f>
        <v>2016-Q1</v>
      </c>
      <c r="AD75" s="27">
        <f t="shared" ref="AD75:AD106" si="14">(VLOOKUP(AC75,B:Y,MATCH($AE$6,$B$1:$Y$1,),))</f>
        <v>2.1850476219999999</v>
      </c>
      <c r="AE75" s="27">
        <f t="shared" ref="AE75:AE100" si="15">(VLOOKUP(AC75,B:Y,MATCH($AE$7,$B$1:$Y$1,),))</f>
        <v>1.913859939</v>
      </c>
      <c r="AF75" s="27">
        <f t="shared" si="12"/>
        <v>0.27118768299999996</v>
      </c>
    </row>
    <row r="76" spans="2:32" x14ac:dyDescent="0.2">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1.673768597</v>
      </c>
      <c r="F76" s="25">
        <f>IF(VLOOKUP(B76,'Data yoy'!$A:$AW,MATCH($F$1,'Data yoy'!$A$1:$AW$1,),)=0,#N/A,VLOOKUP(B76,'Data yoy'!$A:$AW,MATCH($F$1,'Data yoy'!$A$1:$AW$1,),))</f>
        <v>0.52669115300000002</v>
      </c>
      <c r="G76" s="25">
        <f>IF(VLOOKUP(B76,'Data yoy'!$A:$AW,MATCH($G$1,'Data yoy'!$A$1:$AW$1,),)=0,#N/A,VLOOKUP(B76,'Data yoy'!$A:$AW,MATCH($G$1,'Data yoy'!$A$1:$AW$1,),))</f>
        <v>2.190305049</v>
      </c>
      <c r="H76" s="25">
        <f>IF(VLOOKUP(B76,'Data yoy'!$A:$AW,MATCH($H$1,'Data yoy'!$A$1:$AW$1,),)=0,#N/A,VLOOKUP(B76,'Data yoy'!$A:$AW,MATCH($H$1,'Data yoy'!$A$1:$AW$1,),))</f>
        <v>0.75045560300000003</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2.1164279050000001</v>
      </c>
      <c r="M76" s="25">
        <f>IF(VLOOKUP(B76,'Data yoy'!$A:$AW,MATCH($M$1,'Data yoy'!$A$1:$AW$1,),)=0,#N/A,VLOOKUP(B76,'Data yoy'!$A:$AW,MATCH($M$1,'Data yoy'!$A$1:$AW$1,),))</f>
        <v>1.9898427620000001</v>
      </c>
      <c r="N76" s="25">
        <f>IF(VLOOKUP(B76,'Data yoy'!$A:$AW,MATCH($N$1,'Data yoy'!$A$1:$AW$1,),)=0,#N/A,VLOOKUP(B76,'Data yoy'!$A:$AW,MATCH($N$1,'Data yoy'!$A$1:$AW$1,),))</f>
        <v>0.17908624300000001</v>
      </c>
      <c r="O76" s="25">
        <f>IF(VLOOKUP(B76,'Data yoy'!$A:$AW,MATCH($O$1,'Data yoy'!$A$1:$AW$1,),)=0,#N/A,VLOOKUP(B76,'Data yoy'!$A:$AW,MATCH($O$1,'Data yoy'!$A$1:$AW$1,),))</f>
        <v>8.8371200000000005</v>
      </c>
      <c r="P76" s="25">
        <f>IF(VLOOKUP(B76,'Data yoy'!$A:$AW,MATCH($P$1,'Data yoy'!$A$1:$AW$1,),)=0,#N/A,VLOOKUP(B76,'Data yoy'!$A:$AW,MATCH($P$1,'Data yoy'!$A$1:$AW$1,),))</f>
        <v>0.48316809100000002</v>
      </c>
      <c r="Q76" s="25">
        <f>IF(VLOOKUP(B76,'Data yoy'!$A:$AW,MATCH($Q$1,'Data yoy'!$A$1:$AW$1,),)=0,#N/A,VLOOKUP(B76,'Data yoy'!$A:$AW,MATCH($Q$1,'Data yoy'!$A$1:$AW$1,),))</f>
        <v>3.1832895030000001</v>
      </c>
      <c r="R76" s="25">
        <f>IF(VLOOKUP(B76,'Data yoy'!$A:$AW,MATCH($R$1,'Data yoy'!$A$1:$AW$1,),)=0,#N/A,VLOOKUP(B76,'Data yoy'!$A:$AW,MATCH($R$1,'Data yoy'!$A$1:$AW$1,),))</f>
        <v>2.1723722009999999</v>
      </c>
      <c r="S76" s="25">
        <f>IF(VLOOKUP(B76,'Data yoy'!$A:$AW,MATCH($S$1,'Data yoy'!$A$1:$AW$1,),)=0,#N/A,VLOOKUP(B76,'Data yoy'!$A:$AW,MATCH($S$1,'Data yoy'!$A$1:$AW$1,),))</f>
        <v>3.6852121050000002</v>
      </c>
      <c r="T76" s="25">
        <f>IF(VLOOKUP(B76,'Data yoy'!$A:$AW,MATCH($T$1,'Data yoy'!$A$1:$AW$1,),)=0,#N/A,VLOOKUP(B76,'Data yoy'!$A:$AW,MATCH($T$1,'Data yoy'!$A$1:$AW$1,),))</f>
        <v>-3.4907184299999998</v>
      </c>
      <c r="U76" s="25">
        <f>IF(VLOOKUP(B76,'Data yoy'!$A:$AW,MATCH($U$1,'Data yoy'!$A$1:$AW$1,),)=0,#N/A,VLOOKUP(B76,'Data yoy'!$A:$AW,MATCH($U$1,'Data yoy'!$A$1:$AW$1,),))</f>
        <v>-1.3121959860000001</v>
      </c>
      <c r="V76" s="25">
        <f>IF(VLOOKUP(B76,'Data yoy'!$A:$AW,MATCH($V$1,'Data yoy'!$A$1:$AW$1,),)=0,#N/A,VLOOKUP(B76,'Data yoy'!$A:$AW,MATCH($V$1,'Data yoy'!$A$1:$AW$1,),))</f>
        <v>2.3681613220000002</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3.5618179460000001</v>
      </c>
      <c r="Z76" s="25">
        <f>IF(VLOOKUP(B76,'Data yoy'!$A:$AW,MATCH($Z$1,'Data yoy'!$A$1:$AW$1,),)=0,#N/A,VLOOKUP(B76,'Data yoy'!$A:$AW,MATCH($Z$1,'Data yoy'!$A$1:$AW$1,),))</f>
        <v>-3.652596859</v>
      </c>
      <c r="AA76" s="25">
        <f>IF(VLOOKUP(B76,'Data yoy'!$A:$AW,MATCH($AA$1,'Data yoy'!$A$1:$AW$1,),)=0,#N/A,VLOOKUP(B76,'Data yoy'!$A:$AW,MATCH($AA$1,'Data yoy'!$A$1:$AW$1,),))</f>
        <v>4.2966104720000002</v>
      </c>
      <c r="AB76" s="73"/>
      <c r="AC76" s="26" t="str">
        <f t="shared" si="13"/>
        <v>2016-Q2</v>
      </c>
      <c r="AD76" s="27">
        <f t="shared" si="14"/>
        <v>2.181574415</v>
      </c>
      <c r="AE76" s="27">
        <f t="shared" si="15"/>
        <v>1.673768597</v>
      </c>
      <c r="AF76" s="27">
        <f t="shared" si="12"/>
        <v>0.50780581800000002</v>
      </c>
    </row>
    <row r="77" spans="2:32" x14ac:dyDescent="0.2">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1.7369750349999999</v>
      </c>
      <c r="F77" s="25">
        <f>IF(VLOOKUP(B77,'Data yoy'!$A:$AW,MATCH($F$1,'Data yoy'!$A$1:$AW$1,),)=0,#N/A,VLOOKUP(B77,'Data yoy'!$A:$AW,MATCH($F$1,'Data yoy'!$A$1:$AW$1,),))</f>
        <v>0.61620491200000005</v>
      </c>
      <c r="G77" s="25">
        <f>IF(VLOOKUP(B77,'Data yoy'!$A:$AW,MATCH($G$1,'Data yoy'!$A$1:$AW$1,),)=0,#N/A,VLOOKUP(B77,'Data yoy'!$A:$AW,MATCH($G$1,'Data yoy'!$A$1:$AW$1,),))</f>
        <v>1.990878004</v>
      </c>
      <c r="H77" s="25">
        <f>IF(VLOOKUP(B77,'Data yoy'!$A:$AW,MATCH($H$1,'Data yoy'!$A$1:$AW$1,),)=0,#N/A,VLOOKUP(B77,'Data yoy'!$A:$AW,MATCH($H$1,'Data yoy'!$A$1:$AW$1,),))</f>
        <v>0.80755813300000001</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1.046353654</v>
      </c>
      <c r="M77" s="25">
        <f>IF(VLOOKUP(B77,'Data yoy'!$A:$AW,MATCH($M$1,'Data yoy'!$A$1:$AW$1,),)=0,#N/A,VLOOKUP(B77,'Data yoy'!$A:$AW,MATCH($M$1,'Data yoy'!$A$1:$AW$1,),))</f>
        <v>1.7285582559999999</v>
      </c>
      <c r="N77" s="25">
        <f>IF(VLOOKUP(B77,'Data yoy'!$A:$AW,MATCH($N$1,'Data yoy'!$A$1:$AW$1,),)=0,#N/A,VLOOKUP(B77,'Data yoy'!$A:$AW,MATCH($N$1,'Data yoy'!$A$1:$AW$1,),))</f>
        <v>8.6290206999999994E-2</v>
      </c>
      <c r="O77" s="25">
        <f>IF(VLOOKUP(B77,'Data yoy'!$A:$AW,MATCH($O$1,'Data yoy'!$A$1:$AW$1,),)=0,#N/A,VLOOKUP(B77,'Data yoy'!$A:$AW,MATCH($O$1,'Data yoy'!$A$1:$AW$1,),))</f>
        <v>9.31297</v>
      </c>
      <c r="P77" s="25">
        <f>IF(VLOOKUP(B77,'Data yoy'!$A:$AW,MATCH($P$1,'Data yoy'!$A$1:$AW$1,),)=0,#N/A,VLOOKUP(B77,'Data yoy'!$A:$AW,MATCH($P$1,'Data yoy'!$A$1:$AW$1,),))</f>
        <v>1.1615540019999999</v>
      </c>
      <c r="Q77" s="25">
        <f>IF(VLOOKUP(B77,'Data yoy'!$A:$AW,MATCH($Q$1,'Data yoy'!$A$1:$AW$1,),)=0,#N/A,VLOOKUP(B77,'Data yoy'!$A:$AW,MATCH($Q$1,'Data yoy'!$A$1:$AW$1,),))</f>
        <v>2.2586368349999999</v>
      </c>
      <c r="R77" s="25">
        <f>IF(VLOOKUP(B77,'Data yoy'!$A:$AW,MATCH($R$1,'Data yoy'!$A$1:$AW$1,),)=0,#N/A,VLOOKUP(B77,'Data yoy'!$A:$AW,MATCH($R$1,'Data yoy'!$A$1:$AW$1,),))</f>
        <v>2.263813013</v>
      </c>
      <c r="S77" s="25">
        <f>IF(VLOOKUP(B77,'Data yoy'!$A:$AW,MATCH($S$1,'Data yoy'!$A$1:$AW$1,),)=0,#N/A,VLOOKUP(B77,'Data yoy'!$A:$AW,MATCH($S$1,'Data yoy'!$A$1:$AW$1,),))</f>
        <v>2.6354831160000001</v>
      </c>
      <c r="T77" s="25">
        <f>IF(VLOOKUP(B77,'Data yoy'!$A:$AW,MATCH($T$1,'Data yoy'!$A$1:$AW$1,),)=0,#N/A,VLOOKUP(B77,'Data yoy'!$A:$AW,MATCH($T$1,'Data yoy'!$A$1:$AW$1,),))</f>
        <v>-2.4246543630000001</v>
      </c>
      <c r="U77" s="25">
        <f>IF(VLOOKUP(B77,'Data yoy'!$A:$AW,MATCH($U$1,'Data yoy'!$A$1:$AW$1,),)=0,#N/A,VLOOKUP(B77,'Data yoy'!$A:$AW,MATCH($U$1,'Data yoy'!$A$1:$AW$1,),))</f>
        <v>0.86927354800000001</v>
      </c>
      <c r="V77" s="25">
        <f>IF(VLOOKUP(B77,'Data yoy'!$A:$AW,MATCH($V$1,'Data yoy'!$A$1:$AW$1,),)=0,#N/A,VLOOKUP(B77,'Data yoy'!$A:$AW,MATCH($V$1,'Data yoy'!$A$1:$AW$1,),))</f>
        <v>-0.70400092800000003</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2.5199999289999999</v>
      </c>
      <c r="Z77" s="25">
        <f>IF(VLOOKUP(B77,'Data yoy'!$A:$AW,MATCH($Z$1,'Data yoy'!$A$1:$AW$1,),)=0,#N/A,VLOOKUP(B77,'Data yoy'!$A:$AW,MATCH($Z$1,'Data yoy'!$A$1:$AW$1,),))</f>
        <v>-3.241330552</v>
      </c>
      <c r="AA77" s="25">
        <f>IF(VLOOKUP(B77,'Data yoy'!$A:$AW,MATCH($AA$1,'Data yoy'!$A$1:$AW$1,),)=0,#N/A,VLOOKUP(B77,'Data yoy'!$A:$AW,MATCH($AA$1,'Data yoy'!$A$1:$AW$1,),))</f>
        <v>4.1139854339999999</v>
      </c>
      <c r="AB77" s="73"/>
      <c r="AC77" s="26" t="str">
        <f t="shared" si="13"/>
        <v>2016-Q3</v>
      </c>
      <c r="AD77" s="27">
        <f t="shared" si="14"/>
        <v>2.192470556</v>
      </c>
      <c r="AE77" s="27">
        <f t="shared" si="15"/>
        <v>1.7369750349999999</v>
      </c>
      <c r="AF77" s="27">
        <f t="shared" si="12"/>
        <v>0.45549552100000001</v>
      </c>
    </row>
    <row r="78" spans="2:32" x14ac:dyDescent="0.2">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2.0261839780000002</v>
      </c>
      <c r="F78" s="25">
        <f>IF(VLOOKUP(B78,'Data yoy'!$A:$AW,MATCH($F$1,'Data yoy'!$A$1:$AW$1,),)=0,#N/A,VLOOKUP(B78,'Data yoy'!$A:$AW,MATCH($F$1,'Data yoy'!$A$1:$AW$1,),))</f>
        <v>0.91783700300000004</v>
      </c>
      <c r="G78" s="25">
        <f>IF(VLOOKUP(B78,'Data yoy'!$A:$AW,MATCH($G$1,'Data yoy'!$A$1:$AW$1,),)=0,#N/A,VLOOKUP(B78,'Data yoy'!$A:$AW,MATCH($G$1,'Data yoy'!$A$1:$AW$1,),))</f>
        <v>1.9126448899999999</v>
      </c>
      <c r="H78" s="25">
        <f>IF(VLOOKUP(B78,'Data yoy'!$A:$AW,MATCH($H$1,'Data yoy'!$A$1:$AW$1,),)=0,#N/A,VLOOKUP(B78,'Data yoy'!$A:$AW,MATCH($H$1,'Data yoy'!$A$1:$AW$1,),))</f>
        <v>1.204382681</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1.1613296799999999</v>
      </c>
      <c r="M78" s="25">
        <f>IF(VLOOKUP(B78,'Data yoy'!$A:$AW,MATCH($M$1,'Data yoy'!$A$1:$AW$1,),)=0,#N/A,VLOOKUP(B78,'Data yoy'!$A:$AW,MATCH($M$1,'Data yoy'!$A$1:$AW$1,),))</f>
        <v>3.130269116</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2.7250735530000001</v>
      </c>
      <c r="R78" s="25">
        <f>IF(VLOOKUP(B78,'Data yoy'!$A:$AW,MATCH($R$1,'Data yoy'!$A$1:$AW$1,),)=0,#N/A,VLOOKUP(B78,'Data yoy'!$A:$AW,MATCH($R$1,'Data yoy'!$A$1:$AW$1,),))</f>
        <v>1.935801689</v>
      </c>
      <c r="S78" s="25">
        <f>IF(VLOOKUP(B78,'Data yoy'!$A:$AW,MATCH($S$1,'Data yoy'!$A$1:$AW$1,),)=0,#N/A,VLOOKUP(B78,'Data yoy'!$A:$AW,MATCH($S$1,'Data yoy'!$A$1:$AW$1,),))</f>
        <v>2.5358551390000001</v>
      </c>
      <c r="T78" s="25">
        <f>IF(VLOOKUP(B78,'Data yoy'!$A:$AW,MATCH($T$1,'Data yoy'!$A$1:$AW$1,),)=0,#N/A,VLOOKUP(B78,'Data yoy'!$A:$AW,MATCH($T$1,'Data yoy'!$A$1:$AW$1,),))</f>
        <v>-1.858164758</v>
      </c>
      <c r="U78" s="25">
        <f>IF(VLOOKUP(B78,'Data yoy'!$A:$AW,MATCH($U$1,'Data yoy'!$A$1:$AW$1,),)=0,#N/A,VLOOKUP(B78,'Data yoy'!$A:$AW,MATCH($U$1,'Data yoy'!$A$1:$AW$1,),))</f>
        <v>-0.29026818399999998</v>
      </c>
      <c r="V78" s="25">
        <f>IF(VLOOKUP(B78,'Data yoy'!$A:$AW,MATCH($V$1,'Data yoy'!$A$1:$AW$1,),)=0,#N/A,VLOOKUP(B78,'Data yoy'!$A:$AW,MATCH($V$1,'Data yoy'!$A$1:$AW$1,),))</f>
        <v>8.8997194420000003</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3.5897645420000002</v>
      </c>
      <c r="Z78" s="25">
        <f>IF(VLOOKUP(B78,'Data yoy'!$A:$AW,MATCH($Z$1,'Data yoy'!$A$1:$AW$1,),)=0,#N/A,VLOOKUP(B78,'Data yoy'!$A:$AW,MATCH($Z$1,'Data yoy'!$A$1:$AW$1,),))</f>
        <v>-1.573593692</v>
      </c>
      <c r="AA78" s="25">
        <f>IF(VLOOKUP(B78,'Data yoy'!$A:$AW,MATCH($AA$1,'Data yoy'!$A$1:$AW$1,),)=0,#N/A,VLOOKUP(B78,'Data yoy'!$A:$AW,MATCH($AA$1,'Data yoy'!$A$1:$AW$1,),))</f>
        <v>3.418609521</v>
      </c>
      <c r="AB78" s="73"/>
      <c r="AC78" s="26" t="str">
        <f t="shared" si="13"/>
        <v>2016-Q4</v>
      </c>
      <c r="AD78" s="27">
        <f t="shared" si="14"/>
        <v>2.1024753249999999</v>
      </c>
      <c r="AE78" s="27">
        <f t="shared" si="15"/>
        <v>2.0261839780000002</v>
      </c>
      <c r="AF78" s="27">
        <f t="shared" ref="AF78:AF109" si="16">AD78-AE78</f>
        <v>7.6291346999999732E-2</v>
      </c>
    </row>
    <row r="79" spans="2:32" x14ac:dyDescent="0.2">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2.1725400530000001</v>
      </c>
      <c r="F79" s="25">
        <f>IF(VLOOKUP(B79,'Data yoy'!$A:$AW,MATCH($F$1,'Data yoy'!$A$1:$AW$1,),)=0,#N/A,VLOOKUP(B79,'Data yoy'!$A:$AW,MATCH($F$1,'Data yoy'!$A$1:$AW$1,),))</f>
        <v>1.0084355540000001</v>
      </c>
      <c r="G79" s="25">
        <f>IF(VLOOKUP(B79,'Data yoy'!$A:$AW,MATCH($G$1,'Data yoy'!$A$1:$AW$1,),)=0,#N/A,VLOOKUP(B79,'Data yoy'!$A:$AW,MATCH($G$1,'Data yoy'!$A$1:$AW$1,),))</f>
        <v>2.2810004309999998</v>
      </c>
      <c r="H79" s="25">
        <f>IF(VLOOKUP(B79,'Data yoy'!$A:$AW,MATCH($H$1,'Data yoy'!$A$1:$AW$1,),)=0,#N/A,VLOOKUP(B79,'Data yoy'!$A:$AW,MATCH($H$1,'Data yoy'!$A$1:$AW$1,),))</f>
        <v>1.32449269</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1.7199110660000001</v>
      </c>
      <c r="M79" s="25">
        <f>IF(VLOOKUP(B79,'Data yoy'!$A:$AW,MATCH($M$1,'Data yoy'!$A$1:$AW$1,),)=0,#N/A,VLOOKUP(B79,'Data yoy'!$A:$AW,MATCH($M$1,'Data yoy'!$A$1:$AW$1,),))</f>
        <v>3.0301900929999999</v>
      </c>
      <c r="N79" s="25">
        <f>IF(VLOOKUP(B79,'Data yoy'!$A:$AW,MATCH($N$1,'Data yoy'!$A$1:$AW$1,),)=0,#N/A,VLOOKUP(B79,'Data yoy'!$A:$AW,MATCH($N$1,'Data yoy'!$A$1:$AW$1,),))</f>
        <v>1.1846646649999999</v>
      </c>
      <c r="O79" s="25">
        <f>IF(VLOOKUP(B79,'Data yoy'!$A:$AW,MATCH($O$1,'Data yoy'!$A$1:$AW$1,),)=0,#N/A,VLOOKUP(B79,'Data yoy'!$A:$AW,MATCH($O$1,'Data yoy'!$A$1:$AW$1,),))</f>
        <v>6.3765099999999997</v>
      </c>
      <c r="P79" s="25">
        <f>IF(VLOOKUP(B79,'Data yoy'!$A:$AW,MATCH($P$1,'Data yoy'!$A$1:$AW$1,),)=0,#N/A,VLOOKUP(B79,'Data yoy'!$A:$AW,MATCH($P$1,'Data yoy'!$A$1:$AW$1,),))</f>
        <v>2.1977790920000002</v>
      </c>
      <c r="Q79" s="25">
        <f>IF(VLOOKUP(B79,'Data yoy'!$A:$AW,MATCH($Q$1,'Data yoy'!$A$1:$AW$1,),)=0,#N/A,VLOOKUP(B79,'Data yoy'!$A:$AW,MATCH($Q$1,'Data yoy'!$A$1:$AW$1,),))</f>
        <v>2.1169781649999999</v>
      </c>
      <c r="R79" s="25">
        <f>IF(VLOOKUP(B79,'Data yoy'!$A:$AW,MATCH($R$1,'Data yoy'!$A$1:$AW$1,),)=0,#N/A,VLOOKUP(B79,'Data yoy'!$A:$AW,MATCH($R$1,'Data yoy'!$A$1:$AW$1,),))</f>
        <v>1.6697427439999999</v>
      </c>
      <c r="S79" s="25">
        <f>IF(VLOOKUP(B79,'Data yoy'!$A:$AW,MATCH($S$1,'Data yoy'!$A$1:$AW$1,),)=0,#N/A,VLOOKUP(B79,'Data yoy'!$A:$AW,MATCH($S$1,'Data yoy'!$A$1:$AW$1,),))</f>
        <v>3.2503629809999999</v>
      </c>
      <c r="T79" s="25">
        <f>IF(VLOOKUP(B79,'Data yoy'!$A:$AW,MATCH($T$1,'Data yoy'!$A$1:$AW$1,),)=0,#N/A,VLOOKUP(B79,'Data yoy'!$A:$AW,MATCH($T$1,'Data yoy'!$A$1:$AW$1,),))</f>
        <v>0.74643699900000005</v>
      </c>
      <c r="U79" s="25">
        <f>IF(VLOOKUP(B79,'Data yoy'!$A:$AW,MATCH($U$1,'Data yoy'!$A$1:$AW$1,),)=0,#N/A,VLOOKUP(B79,'Data yoy'!$A:$AW,MATCH($U$1,'Data yoy'!$A$1:$AW$1,),))</f>
        <v>0.47825783500000002</v>
      </c>
      <c r="V79" s="25">
        <f>IF(VLOOKUP(B79,'Data yoy'!$A:$AW,MATCH($V$1,'Data yoy'!$A$1:$AW$1,),)=0,#N/A,VLOOKUP(B79,'Data yoy'!$A:$AW,MATCH($V$1,'Data yoy'!$A$1:$AW$1,),))</f>
        <v>8.0748199930000002</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4.8713845600000001</v>
      </c>
      <c r="Z79" s="25">
        <f>IF(VLOOKUP(B79,'Data yoy'!$A:$AW,MATCH($Z$1,'Data yoy'!$A$1:$AW$1,),)=0,#N/A,VLOOKUP(B79,'Data yoy'!$A:$AW,MATCH($Z$1,'Data yoy'!$A$1:$AW$1,),))</f>
        <v>0.20602689399999999</v>
      </c>
      <c r="AA79" s="25">
        <f>IF(VLOOKUP(B79,'Data yoy'!$A:$AW,MATCH($AA$1,'Data yoy'!$A$1:$AW$1,),)=0,#N/A,VLOOKUP(B79,'Data yoy'!$A:$AW,MATCH($AA$1,'Data yoy'!$A$1:$AW$1,),))</f>
        <v>3.2913575989999999</v>
      </c>
      <c r="AB79" s="73"/>
      <c r="AC79" s="26" t="str">
        <f t="shared" si="13"/>
        <v>2017-Q1</v>
      </c>
      <c r="AD79" s="27">
        <f t="shared" si="14"/>
        <v>2.4827228290000001</v>
      </c>
      <c r="AE79" s="27">
        <f t="shared" si="15"/>
        <v>2.1725400530000001</v>
      </c>
      <c r="AF79" s="27">
        <f t="shared" si="16"/>
        <v>0.31018277599999999</v>
      </c>
    </row>
    <row r="80" spans="2:32" x14ac:dyDescent="0.2">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2.738547778</v>
      </c>
      <c r="F80" s="25">
        <f>IF(VLOOKUP(B80,'Data yoy'!$A:$AW,MATCH($F$1,'Data yoy'!$A$1:$AW$1,),)=0,#N/A,VLOOKUP(B80,'Data yoy'!$A:$AW,MATCH($F$1,'Data yoy'!$A$1:$AW$1,),))</f>
        <v>1.5535550140000001</v>
      </c>
      <c r="G80" s="25">
        <f>IF(VLOOKUP(B80,'Data yoy'!$A:$AW,MATCH($G$1,'Data yoy'!$A$1:$AW$1,),)=0,#N/A,VLOOKUP(B80,'Data yoy'!$A:$AW,MATCH($G$1,'Data yoy'!$A$1:$AW$1,),))</f>
        <v>2.6927048450000002</v>
      </c>
      <c r="H80" s="25">
        <f>IF(VLOOKUP(B80,'Data yoy'!$A:$AW,MATCH($H$1,'Data yoy'!$A$1:$AW$1,),)=0,#N/A,VLOOKUP(B80,'Data yoy'!$A:$AW,MATCH($H$1,'Data yoy'!$A$1:$AW$1,),))</f>
        <v>2.4215310080000001</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2.98713213</v>
      </c>
      <c r="M80" s="25">
        <f>IF(VLOOKUP(B80,'Data yoy'!$A:$AW,MATCH($M$1,'Data yoy'!$A$1:$AW$1,),)=0,#N/A,VLOOKUP(B80,'Data yoy'!$A:$AW,MATCH($M$1,'Data yoy'!$A$1:$AW$1,),))</f>
        <v>2.9114302539999999</v>
      </c>
      <c r="N80" s="25">
        <f>IF(VLOOKUP(B80,'Data yoy'!$A:$AW,MATCH($N$1,'Data yoy'!$A$1:$AW$1,),)=0,#N/A,VLOOKUP(B80,'Data yoy'!$A:$AW,MATCH($N$1,'Data yoy'!$A$1:$AW$1,),))</f>
        <v>1.828467195</v>
      </c>
      <c r="O80" s="25">
        <f>IF(VLOOKUP(B80,'Data yoy'!$A:$AW,MATCH($O$1,'Data yoy'!$A$1:$AW$1,),)=0,#N/A,VLOOKUP(B80,'Data yoy'!$A:$AW,MATCH($O$1,'Data yoy'!$A$1:$AW$1,),))</f>
        <v>6.6658799999999996</v>
      </c>
      <c r="P80" s="25">
        <f>IF(VLOOKUP(B80,'Data yoy'!$A:$AW,MATCH($P$1,'Data yoy'!$A$1:$AW$1,),)=0,#N/A,VLOOKUP(B80,'Data yoy'!$A:$AW,MATCH($P$1,'Data yoy'!$A$1:$AW$1,),))</f>
        <v>3.75347556</v>
      </c>
      <c r="Q80" s="25">
        <f>IF(VLOOKUP(B80,'Data yoy'!$A:$AW,MATCH($Q$1,'Data yoy'!$A$1:$AW$1,),)=0,#N/A,VLOOKUP(B80,'Data yoy'!$A:$AW,MATCH($Q$1,'Data yoy'!$A$1:$AW$1,),))</f>
        <v>2.0872832680000002</v>
      </c>
      <c r="R80" s="25">
        <f>IF(VLOOKUP(B80,'Data yoy'!$A:$AW,MATCH($R$1,'Data yoy'!$A$1:$AW$1,),)=0,#N/A,VLOOKUP(B80,'Data yoy'!$A:$AW,MATCH($R$1,'Data yoy'!$A$1:$AW$1,),))</f>
        <v>1.1667018840000001</v>
      </c>
      <c r="S80" s="25">
        <f>IF(VLOOKUP(B80,'Data yoy'!$A:$AW,MATCH($S$1,'Data yoy'!$A$1:$AW$1,),)=0,#N/A,VLOOKUP(B80,'Data yoy'!$A:$AW,MATCH($S$1,'Data yoy'!$A$1:$AW$1,),))</f>
        <v>2.7486129250000002</v>
      </c>
      <c r="T80" s="25">
        <f>IF(VLOOKUP(B80,'Data yoy'!$A:$AW,MATCH($T$1,'Data yoy'!$A$1:$AW$1,),)=0,#N/A,VLOOKUP(B80,'Data yoy'!$A:$AW,MATCH($T$1,'Data yoy'!$A$1:$AW$1,),))</f>
        <v>1.151342917</v>
      </c>
      <c r="U80" s="25">
        <f>IF(VLOOKUP(B80,'Data yoy'!$A:$AW,MATCH($U$1,'Data yoy'!$A$1:$AW$1,),)=0,#N/A,VLOOKUP(B80,'Data yoy'!$A:$AW,MATCH($U$1,'Data yoy'!$A$1:$AW$1,),))</f>
        <v>1.2515601970000001</v>
      </c>
      <c r="V80" s="25">
        <f>IF(VLOOKUP(B80,'Data yoy'!$A:$AW,MATCH($V$1,'Data yoy'!$A$1:$AW$1,),)=0,#N/A,VLOOKUP(B80,'Data yoy'!$A:$AW,MATCH($V$1,'Data yoy'!$A$1:$AW$1,),))</f>
        <v>8.5276120070000001</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4.4324834790000001</v>
      </c>
      <c r="Z80" s="25">
        <f>IF(VLOOKUP(B80,'Data yoy'!$A:$AW,MATCH($Z$1,'Data yoy'!$A$1:$AW$1,),)=0,#N/A,VLOOKUP(B80,'Data yoy'!$A:$AW,MATCH($Z$1,'Data yoy'!$A$1:$AW$1,),))</f>
        <v>2.9815329099999999</v>
      </c>
      <c r="AA80" s="25">
        <f>IF(VLOOKUP(B80,'Data yoy'!$A:$AW,MATCH($AA$1,'Data yoy'!$A$1:$AW$1,),)=0,#N/A,VLOOKUP(B80,'Data yoy'!$A:$AW,MATCH($AA$1,'Data yoy'!$A$1:$AW$1,),))</f>
        <v>3.4241777020000002</v>
      </c>
      <c r="AB80" s="73"/>
      <c r="AC80" s="26" t="str">
        <f t="shared" si="13"/>
        <v>2017-Q2</v>
      </c>
      <c r="AD80" s="27">
        <f t="shared" si="14"/>
        <v>2.3877467050000001</v>
      </c>
      <c r="AE80" s="27">
        <f t="shared" si="15"/>
        <v>2.738547778</v>
      </c>
      <c r="AF80" s="27">
        <f t="shared" si="16"/>
        <v>-0.35080107299999996</v>
      </c>
    </row>
    <row r="81" spans="2:32" x14ac:dyDescent="0.2">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3.0222048720000001</v>
      </c>
      <c r="F81" s="25">
        <f>IF(VLOOKUP(B81,'Data yoy'!$A:$AW,MATCH($F$1,'Data yoy'!$A$1:$AW$1,),)=0,#N/A,VLOOKUP(B81,'Data yoy'!$A:$AW,MATCH($F$1,'Data yoy'!$A$1:$AW$1,),))</f>
        <v>2.1597807530000002</v>
      </c>
      <c r="G81" s="25">
        <f>IF(VLOOKUP(B81,'Data yoy'!$A:$AW,MATCH($G$1,'Data yoy'!$A$1:$AW$1,),)=0,#N/A,VLOOKUP(B81,'Data yoy'!$A:$AW,MATCH($G$1,'Data yoy'!$A$1:$AW$1,),))</f>
        <v>3.1848497670000002</v>
      </c>
      <c r="H81" s="25">
        <f>IF(VLOOKUP(B81,'Data yoy'!$A:$AW,MATCH($H$1,'Data yoy'!$A$1:$AW$1,),)=0,#N/A,VLOOKUP(B81,'Data yoy'!$A:$AW,MATCH($H$1,'Data yoy'!$A$1:$AW$1,),))</f>
        <v>3.0082575149999999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3.6245969310000001</v>
      </c>
      <c r="M81" s="25">
        <f>IF(VLOOKUP(B81,'Data yoy'!$A:$AW,MATCH($M$1,'Data yoy'!$A$1:$AW$1,),)=0,#N/A,VLOOKUP(B81,'Data yoy'!$A:$AW,MATCH($M$1,'Data yoy'!$A$1:$AW$1,),))</f>
        <v>1.585817966</v>
      </c>
      <c r="N81" s="25">
        <f>IF(VLOOKUP(B81,'Data yoy'!$A:$AW,MATCH($N$1,'Data yoy'!$A$1:$AW$1,),)=0,#N/A,VLOOKUP(B81,'Data yoy'!$A:$AW,MATCH($N$1,'Data yoy'!$A$1:$AW$1,),))</f>
        <v>2.4172248299999999</v>
      </c>
      <c r="O81" s="25">
        <f>IF(VLOOKUP(B81,'Data yoy'!$A:$AW,MATCH($O$1,'Data yoy'!$A$1:$AW$1,),)=0,#N/A,VLOOKUP(B81,'Data yoy'!$A:$AW,MATCH($O$1,'Data yoy'!$A$1:$AW$1,),))</f>
        <v>5.9959899999999999</v>
      </c>
      <c r="P81" s="25">
        <f>IF(VLOOKUP(B81,'Data yoy'!$A:$AW,MATCH($P$1,'Data yoy'!$A$1:$AW$1,),)=0,#N/A,VLOOKUP(B81,'Data yoy'!$A:$AW,MATCH($P$1,'Data yoy'!$A$1:$AW$1,),))</f>
        <v>3.12771636</v>
      </c>
      <c r="Q81" s="25">
        <f>IF(VLOOKUP(B81,'Data yoy'!$A:$AW,MATCH($Q$1,'Data yoy'!$A$1:$AW$1,),)=0,#N/A,VLOOKUP(B81,'Data yoy'!$A:$AW,MATCH($Q$1,'Data yoy'!$A$1:$AW$1,),))</f>
        <v>2.9587245489999998</v>
      </c>
      <c r="R81" s="25">
        <f>IF(VLOOKUP(B81,'Data yoy'!$A:$AW,MATCH($R$1,'Data yoy'!$A$1:$AW$1,),)=0,#N/A,VLOOKUP(B81,'Data yoy'!$A:$AW,MATCH($R$1,'Data yoy'!$A$1:$AW$1,),))</f>
        <v>0.99234039900000004</v>
      </c>
      <c r="S81" s="25">
        <f>IF(VLOOKUP(B81,'Data yoy'!$A:$AW,MATCH($S$1,'Data yoy'!$A$1:$AW$1,),)=0,#N/A,VLOOKUP(B81,'Data yoy'!$A:$AW,MATCH($S$1,'Data yoy'!$A$1:$AW$1,),))</f>
        <v>3.7983424289999999</v>
      </c>
      <c r="T81" s="25">
        <f>IF(VLOOKUP(B81,'Data yoy'!$A:$AW,MATCH($T$1,'Data yoy'!$A$1:$AW$1,),)=0,#N/A,VLOOKUP(B81,'Data yoy'!$A:$AW,MATCH($T$1,'Data yoy'!$A$1:$AW$1,),))</f>
        <v>1.9776421200000001</v>
      </c>
      <c r="U81" s="25">
        <f>IF(VLOOKUP(B81,'Data yoy'!$A:$AW,MATCH($U$1,'Data yoy'!$A$1:$AW$1,),)=0,#N/A,VLOOKUP(B81,'Data yoy'!$A:$AW,MATCH($U$1,'Data yoy'!$A$1:$AW$1,),))</f>
        <v>2.0255130229999998</v>
      </c>
      <c r="V81" s="25">
        <f>IF(VLOOKUP(B81,'Data yoy'!$A:$AW,MATCH($V$1,'Data yoy'!$A$1:$AW$1,),)=0,#N/A,VLOOKUP(B81,'Data yoy'!$A:$AW,MATCH($V$1,'Data yoy'!$A$1:$AW$1,),))</f>
        <v>13.761330845</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5.3241680269999998</v>
      </c>
      <c r="Z81" s="25">
        <f>IF(VLOOKUP(B81,'Data yoy'!$A:$AW,MATCH($Z$1,'Data yoy'!$A$1:$AW$1,),)=0,#N/A,VLOOKUP(B81,'Data yoy'!$A:$AW,MATCH($Z$1,'Data yoy'!$A$1:$AW$1,),))</f>
        <v>3.858284319</v>
      </c>
      <c r="AA81" s="25">
        <f>IF(VLOOKUP(B81,'Data yoy'!$A:$AW,MATCH($AA$1,'Data yoy'!$A$1:$AW$1,),)=0,#N/A,VLOOKUP(B81,'Data yoy'!$A:$AW,MATCH($AA$1,'Data yoy'!$A$1:$AW$1,),))</f>
        <v>3.3941939639999998</v>
      </c>
      <c r="AB81" s="73"/>
      <c r="AC81" s="26" t="str">
        <f t="shared" si="13"/>
        <v>2017-Q3</v>
      </c>
      <c r="AD81" s="27">
        <f t="shared" si="14"/>
        <v>2.4635191509999999</v>
      </c>
      <c r="AE81" s="27">
        <f t="shared" si="15"/>
        <v>3.0222048720000001</v>
      </c>
      <c r="AF81" s="27">
        <f t="shared" si="16"/>
        <v>-0.55868572100000025</v>
      </c>
    </row>
    <row r="82" spans="2:32" x14ac:dyDescent="0.2">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3.0993441160000001</v>
      </c>
      <c r="F82" s="25">
        <f>IF(VLOOKUP(B82,'Data yoy'!$A:$AW,MATCH($F$1,'Data yoy'!$A$1:$AW$1,),)=0,#N/A,VLOOKUP(B82,'Data yoy'!$A:$AW,MATCH($F$1,'Data yoy'!$A$1:$AW$1,),))</f>
        <v>2.0857971790000001</v>
      </c>
      <c r="G82" s="25">
        <f>IF(VLOOKUP(B82,'Data yoy'!$A:$AW,MATCH($G$1,'Data yoy'!$A$1:$AW$1,),)=0,#N/A,VLOOKUP(B82,'Data yoy'!$A:$AW,MATCH($G$1,'Data yoy'!$A$1:$AW$1,),))</f>
        <v>3.7485309409999998</v>
      </c>
      <c r="H82" s="25">
        <f>IF(VLOOKUP(B82,'Data yoy'!$A:$AW,MATCH($H$1,'Data yoy'!$A$1:$AW$1,),)=0,#N/A,VLOOKUP(B82,'Data yoy'!$A:$AW,MATCH($H$1,'Data yoy'!$A$1:$AW$1,),))</f>
        <v>3.0341978529999998</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2.9005455269999998</v>
      </c>
      <c r="M82" s="25">
        <f>IF(VLOOKUP(B82,'Data yoy'!$A:$AW,MATCH($M$1,'Data yoy'!$A$1:$AW$1,),)=0,#N/A,VLOOKUP(B82,'Data yoy'!$A:$AW,MATCH($M$1,'Data yoy'!$A$1:$AW$1,),))</f>
        <v>1.8330079420000001</v>
      </c>
      <c r="N82" s="25">
        <f>IF(VLOOKUP(B82,'Data yoy'!$A:$AW,MATCH($N$1,'Data yoy'!$A$1:$AW$1,),)=0,#N/A,VLOOKUP(B82,'Data yoy'!$A:$AW,MATCH($N$1,'Data yoy'!$A$1:$AW$1,),))</f>
        <v>1.6004158959999999</v>
      </c>
      <c r="O82" s="25">
        <f>IF(VLOOKUP(B82,'Data yoy'!$A:$AW,MATCH($O$1,'Data yoy'!$A$1:$AW$1,),)=0,#N/A,VLOOKUP(B82,'Data yoy'!$A:$AW,MATCH($O$1,'Data yoy'!$A$1:$AW$1,),))</f>
        <v>6.5372199999999996</v>
      </c>
      <c r="P82" s="25">
        <f>IF(VLOOKUP(B82,'Data yoy'!$A:$AW,MATCH($P$1,'Data yoy'!$A$1:$AW$1,),)=0,#N/A,VLOOKUP(B82,'Data yoy'!$A:$AW,MATCH($P$1,'Data yoy'!$A$1:$AW$1,),))</f>
        <v>3.0831140669999999</v>
      </c>
      <c r="Q82" s="25">
        <f>IF(VLOOKUP(B82,'Data yoy'!$A:$AW,MATCH($Q$1,'Data yoy'!$A$1:$AW$1,),)=0,#N/A,VLOOKUP(B82,'Data yoy'!$A:$AW,MATCH($Q$1,'Data yoy'!$A$1:$AW$1,),))</f>
        <v>2.3466439239999999</v>
      </c>
      <c r="R82" s="25">
        <f>IF(VLOOKUP(B82,'Data yoy'!$A:$AW,MATCH($R$1,'Data yoy'!$A$1:$AW$1,),)=0,#N/A,VLOOKUP(B82,'Data yoy'!$A:$AW,MATCH($R$1,'Data yoy'!$A$1:$AW$1,),))</f>
        <v>1.886506163</v>
      </c>
      <c r="S82" s="25">
        <f>IF(VLOOKUP(B82,'Data yoy'!$A:$AW,MATCH($S$1,'Data yoy'!$A$1:$AW$1,),)=0,#N/A,VLOOKUP(B82,'Data yoy'!$A:$AW,MATCH($S$1,'Data yoy'!$A$1:$AW$1,),))</f>
        <v>2.8428957659999998</v>
      </c>
      <c r="T82" s="25">
        <f>IF(VLOOKUP(B82,'Data yoy'!$A:$AW,MATCH($T$1,'Data yoy'!$A$1:$AW$1,),)=0,#N/A,VLOOKUP(B82,'Data yoy'!$A:$AW,MATCH($T$1,'Data yoy'!$A$1:$AW$1,),))</f>
        <v>2.614861463</v>
      </c>
      <c r="U82" s="25">
        <f>IF(VLOOKUP(B82,'Data yoy'!$A:$AW,MATCH($U$1,'Data yoy'!$A$1:$AW$1,),)=0,#N/A,VLOOKUP(B82,'Data yoy'!$A:$AW,MATCH($U$1,'Data yoy'!$A$1:$AW$1,),))</f>
        <v>0.47712413799999998</v>
      </c>
      <c r="V82" s="25">
        <f>IF(VLOOKUP(B82,'Data yoy'!$A:$AW,MATCH($V$1,'Data yoy'!$A$1:$AW$1,),)=0,#N/A,VLOOKUP(B82,'Data yoy'!$A:$AW,MATCH($V$1,'Data yoy'!$A$1:$AW$1,),))</f>
        <v>7.7682426339999999</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4.7967032630000004</v>
      </c>
      <c r="Z82" s="25">
        <f>IF(VLOOKUP(B82,'Data yoy'!$A:$AW,MATCH($Z$1,'Data yoy'!$A$1:$AW$1,),)=0,#N/A,VLOOKUP(B82,'Data yoy'!$A:$AW,MATCH($Z$1,'Data yoy'!$A$1:$AW$1,),))</f>
        <v>4.2540972869999996</v>
      </c>
      <c r="AA82" s="25">
        <f>IF(VLOOKUP(B82,'Data yoy'!$A:$AW,MATCH($AA$1,'Data yoy'!$A$1:$AW$1,),)=0,#N/A,VLOOKUP(B82,'Data yoy'!$A:$AW,MATCH($AA$1,'Data yoy'!$A$1:$AW$1,),))</f>
        <v>3.879317618</v>
      </c>
      <c r="AB82" s="73"/>
      <c r="AC82" s="26" t="str">
        <f t="shared" si="13"/>
        <v>2017-Q4</v>
      </c>
      <c r="AD82" s="27">
        <f t="shared" si="14"/>
        <v>2.4404836699999999</v>
      </c>
      <c r="AE82" s="27">
        <f t="shared" si="15"/>
        <v>3.0993441160000001</v>
      </c>
      <c r="AF82" s="27">
        <f t="shared" si="16"/>
        <v>-0.65886044600000027</v>
      </c>
    </row>
    <row r="83" spans="2:32" x14ac:dyDescent="0.2">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2.4004412980000001</v>
      </c>
      <c r="F83" s="25">
        <f>IF(VLOOKUP(B83,'Data yoy'!$A:$AW,MATCH($F$1,'Data yoy'!$A$1:$AW$1,),)=0,#N/A,VLOOKUP(B83,'Data yoy'!$A:$AW,MATCH($F$1,'Data yoy'!$A$1:$AW$1,),))</f>
        <v>1.4432558390000001</v>
      </c>
      <c r="G83" s="25">
        <f>IF(VLOOKUP(B83,'Data yoy'!$A:$AW,MATCH($G$1,'Data yoy'!$A$1:$AW$1,),)=0,#N/A,VLOOKUP(B83,'Data yoy'!$A:$AW,MATCH($G$1,'Data yoy'!$A$1:$AW$1,),))</f>
        <v>1.9193858720000001</v>
      </c>
      <c r="H83" s="25">
        <f>IF(VLOOKUP(B83,'Data yoy'!$A:$AW,MATCH($H$1,'Data yoy'!$A$1:$AW$1,),)=0,#N/A,VLOOKUP(B83,'Data yoy'!$A:$AW,MATCH($H$1,'Data yoy'!$A$1:$AW$1,),))</f>
        <v>2.3367923570000002</v>
      </c>
      <c r="I83" s="25">
        <f>IF(VLOOKUP(B83,'Data yoy'!$A:$AW,MATCH($I$1,'Data yoy'!$A$1:$AW$1,),)=0,#N/A,VLOOKUP(B83,'Data yoy'!$A:$AW,MATCH($I$1,'Data yoy'!$A$1:$AW$1,),))</f>
        <v>1.841136146</v>
      </c>
      <c r="J83" s="25">
        <f>IF(VLOOKUP(B83,'Data yoy'!$A:$AW,MATCH($J$1,'Data yoy'!$A$1:$AW$1,),)=0,#N/A,VLOOKUP(B83,'Data yoy'!$A:$AW,MATCH($J$1,'Data yoy'!$A$1:$AW$1,),))</f>
        <v>1.3023369499999999</v>
      </c>
      <c r="K83" s="25">
        <f>IF(VLOOKUP(B83,'Data yoy'!$A:$AW,MATCH($K$1,'Data yoy'!$A$1:$AW$1,),)=0,#N/A,VLOOKUP(B83,'Data yoy'!$A:$AW,MATCH($K$1,'Data yoy'!$A$1:$AW$1,),))</f>
        <v>2.6451411949999999</v>
      </c>
      <c r="L83" s="25">
        <f>IF(VLOOKUP(B83,'Data yoy'!$A:$AW,MATCH($L$1,'Data yoy'!$A$1:$AW$1,),)=0,#N/A,VLOOKUP(B83,'Data yoy'!$A:$AW,MATCH($L$1,'Data yoy'!$A$1:$AW$1,),))</f>
        <v>2.8277047909999999</v>
      </c>
      <c r="M83" s="25">
        <f>IF(VLOOKUP(B83,'Data yoy'!$A:$AW,MATCH($M$1,'Data yoy'!$A$1:$AW$1,),)=0,#N/A,VLOOKUP(B83,'Data yoy'!$A:$AW,MATCH($M$1,'Data yoy'!$A$1:$AW$1,),))</f>
        <v>2.4896003919999998</v>
      </c>
      <c r="N83" s="25">
        <f>IF(VLOOKUP(B83,'Data yoy'!$A:$AW,MATCH($N$1,'Data yoy'!$A$1:$AW$1,),)=0,#N/A,VLOOKUP(B83,'Data yoy'!$A:$AW,MATCH($N$1,'Data yoy'!$A$1:$AW$1,),))</f>
        <v>2.770876817</v>
      </c>
      <c r="O83" s="25">
        <f>IF(VLOOKUP(B83,'Data yoy'!$A:$AW,MATCH($O$1,'Data yoy'!$A$1:$AW$1,),)=0,#N/A,VLOOKUP(B83,'Data yoy'!$A:$AW,MATCH($O$1,'Data yoy'!$A$1:$AW$1,),))</f>
        <v>7.9577799999999996</v>
      </c>
      <c r="P83" s="25">
        <f>IF(VLOOKUP(B83,'Data yoy'!$A:$AW,MATCH($P$1,'Data yoy'!$A$1:$AW$1,),)=0,#N/A,VLOOKUP(B83,'Data yoy'!$A:$AW,MATCH($P$1,'Data yoy'!$A$1:$AW$1,),))</f>
        <v>2.8672536530000001</v>
      </c>
      <c r="Q83" s="25">
        <f>IF(VLOOKUP(B83,'Data yoy'!$A:$AW,MATCH($Q$1,'Data yoy'!$A$1:$AW$1,),)=0,#N/A,VLOOKUP(B83,'Data yoy'!$A:$AW,MATCH($Q$1,'Data yoy'!$A$1:$AW$1,),))</f>
        <v>3.009578528</v>
      </c>
      <c r="R83" s="25">
        <f>IF(VLOOKUP(B83,'Data yoy'!$A:$AW,MATCH($R$1,'Data yoy'!$A$1:$AW$1,),)=0,#N/A,VLOOKUP(B83,'Data yoy'!$A:$AW,MATCH($R$1,'Data yoy'!$A$1:$AW$1,),))</f>
        <v>2.897957227</v>
      </c>
      <c r="S83" s="25">
        <f>IF(VLOOKUP(B83,'Data yoy'!$A:$AW,MATCH($S$1,'Data yoy'!$A$1:$AW$1,),)=0,#N/A,VLOOKUP(B83,'Data yoy'!$A:$AW,MATCH($S$1,'Data yoy'!$A$1:$AW$1,),))</f>
        <v>3.0680296739999999</v>
      </c>
      <c r="T83" s="25">
        <f>IF(VLOOKUP(B83,'Data yoy'!$A:$AW,MATCH($T$1,'Data yoy'!$A$1:$AW$1,),)=0,#N/A,VLOOKUP(B83,'Data yoy'!$A:$AW,MATCH($T$1,'Data yoy'!$A$1:$AW$1,),))</f>
        <v>2.1415053049999999</v>
      </c>
      <c r="U83" s="25">
        <f>IF(VLOOKUP(B83,'Data yoy'!$A:$AW,MATCH($U$1,'Data yoy'!$A$1:$AW$1,),)=0,#N/A,VLOOKUP(B83,'Data yoy'!$A:$AW,MATCH($U$1,'Data yoy'!$A$1:$AW$1,),))</f>
        <v>2.104759778</v>
      </c>
      <c r="V83" s="25">
        <f>IF(VLOOKUP(B83,'Data yoy'!$A:$AW,MATCH($V$1,'Data yoy'!$A$1:$AW$1,),)=0,#N/A,VLOOKUP(B83,'Data yoy'!$A:$AW,MATCH($V$1,'Data yoy'!$A$1:$AW$1,),))</f>
        <v>12.316537002</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5.115134995</v>
      </c>
      <c r="Z83" s="25">
        <f>IF(VLOOKUP(B83,'Data yoy'!$A:$AW,MATCH($Z$1,'Data yoy'!$A$1:$AW$1,),)=0,#N/A,VLOOKUP(B83,'Data yoy'!$A:$AW,MATCH($Z$1,'Data yoy'!$A$1:$AW$1,),))</f>
        <v>2.9849730349999999</v>
      </c>
      <c r="AA83" s="25">
        <f>IF(VLOOKUP(B83,'Data yoy'!$A:$AW,MATCH($AA$1,'Data yoy'!$A$1:$AW$1,),)=0,#N/A,VLOOKUP(B83,'Data yoy'!$A:$AW,MATCH($AA$1,'Data yoy'!$A$1:$AW$1,),))</f>
        <v>3.6006546639999999</v>
      </c>
      <c r="AB83" s="73"/>
      <c r="AC83" s="26" t="str">
        <f t="shared" si="13"/>
        <v>2018-Q1</v>
      </c>
      <c r="AD83" s="27">
        <f t="shared" si="14"/>
        <v>1.841136146</v>
      </c>
      <c r="AE83" s="27">
        <f t="shared" si="15"/>
        <v>2.4004412980000001</v>
      </c>
      <c r="AF83" s="27">
        <f t="shared" si="16"/>
        <v>-0.55930515200000008</v>
      </c>
    </row>
    <row r="84" spans="2:32" s="73" customFormat="1" x14ac:dyDescent="0.2">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2.1434648670000001</v>
      </c>
      <c r="F84" s="25">
        <f>IF(VLOOKUP(B84,'Data yoy'!$A:$AW,MATCH($F$1,'Data yoy'!$A$1:$AW$1,),)=0,#N/A,VLOOKUP(B84,'Data yoy'!$A:$AW,MATCH($F$1,'Data yoy'!$A$1:$AW$1,),))</f>
        <v>1.4229333310000001</v>
      </c>
      <c r="G84" s="25">
        <f>IF(VLOOKUP(B84,'Data yoy'!$A:$AW,MATCH($G$1,'Data yoy'!$A$1:$AW$1,),)=0,#N/A,VLOOKUP(B84,'Data yoy'!$A:$AW,MATCH($G$1,'Data yoy'!$A$1:$AW$1,),))</f>
        <v>1.7790967040000001</v>
      </c>
      <c r="H84" s="25">
        <f>IF(VLOOKUP(B84,'Data yoy'!$A:$AW,MATCH($H$1,'Data yoy'!$A$1:$AW$1,),)=0,#N/A,VLOOKUP(B84,'Data yoy'!$A:$AW,MATCH($H$1,'Data yoy'!$A$1:$AW$1,),))</f>
        <v>1.9722671899999999</v>
      </c>
      <c r="I84" s="25">
        <f>IF(VLOOKUP(B84,'Data yoy'!$A:$AW,MATCH($I$1,'Data yoy'!$A$1:$AW$1,),)=0,#N/A,VLOOKUP(B84,'Data yoy'!$A:$AW,MATCH($I$1,'Data yoy'!$A$1:$AW$1,),))</f>
        <v>1.7587232450000001</v>
      </c>
      <c r="J84" s="25">
        <f>IF(VLOOKUP(B84,'Data yoy'!$A:$AW,MATCH($J$1,'Data yoy'!$A$1:$AW$1,),)=0,#N/A,VLOOKUP(B84,'Data yoy'!$A:$AW,MATCH($J$1,'Data yoy'!$A$1:$AW$1,),))</f>
        <v>0.90781299400000004</v>
      </c>
      <c r="K84" s="25">
        <f>IF(VLOOKUP(B84,'Data yoy'!$A:$AW,MATCH($K$1,'Data yoy'!$A$1:$AW$1,),)=0,#N/A,VLOOKUP(B84,'Data yoy'!$A:$AW,MATCH($K$1,'Data yoy'!$A$1:$AW$1,),))</f>
        <v>2.1996272060000002</v>
      </c>
      <c r="L84" s="25">
        <f>IF(VLOOKUP(B84,'Data yoy'!$A:$AW,MATCH($L$1,'Data yoy'!$A$1:$AW$1,),)=0,#N/A,VLOOKUP(B84,'Data yoy'!$A:$AW,MATCH($L$1,'Data yoy'!$A$1:$AW$1,),))</f>
        <v>2.5537577389999999</v>
      </c>
      <c r="M84" s="25">
        <f>IF(VLOOKUP(B84,'Data yoy'!$A:$AW,MATCH($M$1,'Data yoy'!$A$1:$AW$1,),)=0,#N/A,VLOOKUP(B84,'Data yoy'!$A:$AW,MATCH($M$1,'Data yoy'!$A$1:$AW$1,),))</f>
        <v>2.139032786</v>
      </c>
      <c r="N84" s="25">
        <f>IF(VLOOKUP(B84,'Data yoy'!$A:$AW,MATCH($N$1,'Data yoy'!$A$1:$AW$1,),)=0,#N/A,VLOOKUP(B84,'Data yoy'!$A:$AW,MATCH($N$1,'Data yoy'!$A$1:$AW$1,),))</f>
        <v>2.6356292149999998</v>
      </c>
      <c r="O84" s="25">
        <f>IF(VLOOKUP(B84,'Data yoy'!$A:$AW,MATCH($O$1,'Data yoy'!$A$1:$AW$1,),)=0,#N/A,VLOOKUP(B84,'Data yoy'!$A:$AW,MATCH($O$1,'Data yoy'!$A$1:$AW$1,),))</f>
        <v>7.2048500000000004</v>
      </c>
      <c r="P84" s="25">
        <f>IF(VLOOKUP(B84,'Data yoy'!$A:$AW,MATCH($P$1,'Data yoy'!$A$1:$AW$1,),)=0,#N/A,VLOOKUP(B84,'Data yoy'!$A:$AW,MATCH($P$1,'Data yoy'!$A$1:$AW$1,),))</f>
        <v>2.6249711279999999</v>
      </c>
      <c r="Q84" s="25">
        <f>IF(VLOOKUP(B84,'Data yoy'!$A:$AW,MATCH($Q$1,'Data yoy'!$A$1:$AW$1,),)=0,#N/A,VLOOKUP(B84,'Data yoy'!$A:$AW,MATCH($Q$1,'Data yoy'!$A$1:$AW$1,),))</f>
        <v>3.167341822</v>
      </c>
      <c r="R84" s="25">
        <f>IF(VLOOKUP(B84,'Data yoy'!$A:$AW,MATCH($R$1,'Data yoy'!$A$1:$AW$1,),)=0,#N/A,VLOOKUP(B84,'Data yoy'!$A:$AW,MATCH($R$1,'Data yoy'!$A$1:$AW$1,),))</f>
        <v>3.721859093</v>
      </c>
      <c r="S84" s="25">
        <f>IF(VLOOKUP(B84,'Data yoy'!$A:$AW,MATCH($S$1,'Data yoy'!$A$1:$AW$1,),)=0,#N/A,VLOOKUP(B84,'Data yoy'!$A:$AW,MATCH($S$1,'Data yoy'!$A$1:$AW$1,),))</f>
        <v>2.9881552349999998</v>
      </c>
      <c r="T84" s="25">
        <f>IF(VLOOKUP(B84,'Data yoy'!$A:$AW,MATCH($T$1,'Data yoy'!$A$1:$AW$1,),)=0,#N/A,VLOOKUP(B84,'Data yoy'!$A:$AW,MATCH($T$1,'Data yoy'!$A$1:$AW$1,),))</f>
        <v>1.304909748</v>
      </c>
      <c r="U84" s="25">
        <f>IF(VLOOKUP(B84,'Data yoy'!$A:$AW,MATCH($U$1,'Data yoy'!$A$1:$AW$1,),)=0,#N/A,VLOOKUP(B84,'Data yoy'!$A:$AW,MATCH($U$1,'Data yoy'!$A$1:$AW$1,),))</f>
        <v>1.714518459</v>
      </c>
      <c r="V84" s="25">
        <f>IF(VLOOKUP(B84,'Data yoy'!$A:$AW,MATCH($V$1,'Data yoy'!$A$1:$AW$1,),)=0,#N/A,VLOOKUP(B84,'Data yoy'!$A:$AW,MATCH($V$1,'Data yoy'!$A$1:$AW$1,),))</f>
        <v>12.827360401</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5.5933285679999996</v>
      </c>
      <c r="Z84" s="25">
        <f>IF(VLOOKUP(B84,'Data yoy'!$A:$AW,MATCH($Z$1,'Data yoy'!$A$1:$AW$1,),)=0,#N/A,VLOOKUP(B84,'Data yoy'!$A:$AW,MATCH($Z$1,'Data yoy'!$A$1:$AW$1,),))</f>
        <v>-2.696524825</v>
      </c>
      <c r="AA84" s="25">
        <f>IF(VLOOKUP(B84,'Data yoy'!$A:$AW,MATCH($AA$1,'Data yoy'!$A$1:$AW$1,),)=0,#N/A,VLOOKUP(B84,'Data yoy'!$A:$AW,MATCH($AA$1,'Data yoy'!$A$1:$AW$1,),))</f>
        <v>3.6296651190000002</v>
      </c>
      <c r="AC84" s="26" t="str">
        <f t="shared" si="13"/>
        <v>2018-Q2</v>
      </c>
      <c r="AD84" s="27">
        <f t="shared" si="14"/>
        <v>1.7587232450000001</v>
      </c>
      <c r="AE84" s="27">
        <f t="shared" si="15"/>
        <v>2.1434648670000001</v>
      </c>
      <c r="AF84" s="27">
        <f t="shared" si="16"/>
        <v>-0.38474162199999995</v>
      </c>
    </row>
    <row r="85" spans="2:32" s="73" customFormat="1" x14ac:dyDescent="0.2">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1.374257058</v>
      </c>
      <c r="F85" s="25">
        <f>IF(VLOOKUP(B85,'Data yoy'!$A:$AW,MATCH($F$1,'Data yoy'!$A$1:$AW$1,),)=0,#N/A,VLOOKUP(B85,'Data yoy'!$A:$AW,MATCH($F$1,'Data yoy'!$A$1:$AW$1,),))</f>
        <v>-8.1084499999999997E-3</v>
      </c>
      <c r="G85" s="25">
        <f>IF(VLOOKUP(B85,'Data yoy'!$A:$AW,MATCH($G$1,'Data yoy'!$A$1:$AW$1,),)=0,#N/A,VLOOKUP(B85,'Data yoy'!$A:$AW,MATCH($G$1,'Data yoy'!$A$1:$AW$1,),))</f>
        <v>0.239433443</v>
      </c>
      <c r="H85" s="25">
        <f>IF(VLOOKUP(B85,'Data yoy'!$A:$AW,MATCH($H$1,'Data yoy'!$A$1:$AW$1,),)=0,#N/A,VLOOKUP(B85,'Data yoy'!$A:$AW,MATCH($H$1,'Data yoy'!$A$1:$AW$1,),))</f>
        <v>1.4975048070000001</v>
      </c>
      <c r="I85" s="25">
        <f>IF(VLOOKUP(B85,'Data yoy'!$A:$AW,MATCH($I$1,'Data yoy'!$A$1:$AW$1,),)=0,#N/A,VLOOKUP(B85,'Data yoy'!$A:$AW,MATCH($I$1,'Data yoy'!$A$1:$AW$1,),))</f>
        <v>1.799071447</v>
      </c>
      <c r="J85" s="25">
        <f>IF(VLOOKUP(B85,'Data yoy'!$A:$AW,MATCH($J$1,'Data yoy'!$A$1:$AW$1,),)=0,#N/A,VLOOKUP(B85,'Data yoy'!$A:$AW,MATCH($J$1,'Data yoy'!$A$1:$AW$1,),))</f>
        <v>0.60090036800000002</v>
      </c>
      <c r="K85" s="25">
        <f>IF(VLOOKUP(B85,'Data yoy'!$A:$AW,MATCH($K$1,'Data yoy'!$A$1:$AW$1,),)=0,#N/A,VLOOKUP(B85,'Data yoy'!$A:$AW,MATCH($K$1,'Data yoy'!$A$1:$AW$1,),))</f>
        <v>2.088722846</v>
      </c>
      <c r="L85" s="25">
        <f>IF(VLOOKUP(B85,'Data yoy'!$A:$AW,MATCH($L$1,'Data yoy'!$A$1:$AW$1,),)=0,#N/A,VLOOKUP(B85,'Data yoy'!$A:$AW,MATCH($L$1,'Data yoy'!$A$1:$AW$1,),))</f>
        <v>0.83795012800000002</v>
      </c>
      <c r="M85" s="25">
        <f>IF(VLOOKUP(B85,'Data yoy'!$A:$AW,MATCH($M$1,'Data yoy'!$A$1:$AW$1,),)=0,#N/A,VLOOKUP(B85,'Data yoy'!$A:$AW,MATCH($M$1,'Data yoy'!$A$1:$AW$1,),))</f>
        <v>2.8554728260000002</v>
      </c>
      <c r="N85" s="25">
        <f>IF(VLOOKUP(B85,'Data yoy'!$A:$AW,MATCH($N$1,'Data yoy'!$A$1:$AW$1,),)=0,#N/A,VLOOKUP(B85,'Data yoy'!$A:$AW,MATCH($N$1,'Data yoy'!$A$1:$AW$1,),))</f>
        <v>2.1890012080000001</v>
      </c>
      <c r="O85" s="25">
        <f>IF(VLOOKUP(B85,'Data yoy'!$A:$AW,MATCH($O$1,'Data yoy'!$A$1:$AW$1,),)=0,#N/A,VLOOKUP(B85,'Data yoy'!$A:$AW,MATCH($O$1,'Data yoy'!$A$1:$AW$1,),))</f>
        <v>6.9065399999999997</v>
      </c>
      <c r="P85" s="25">
        <f>IF(VLOOKUP(B85,'Data yoy'!$A:$AW,MATCH($P$1,'Data yoy'!$A$1:$AW$1,),)=0,#N/A,VLOOKUP(B85,'Data yoy'!$A:$AW,MATCH($P$1,'Data yoy'!$A$1:$AW$1,),))</f>
        <v>2.8991055860000001</v>
      </c>
      <c r="Q85" s="25">
        <f>IF(VLOOKUP(B85,'Data yoy'!$A:$AW,MATCH($Q$1,'Data yoy'!$A$1:$AW$1,),)=0,#N/A,VLOOKUP(B85,'Data yoy'!$A:$AW,MATCH($Q$1,'Data yoy'!$A$1:$AW$1,),))</f>
        <v>2.604993355</v>
      </c>
      <c r="R85" s="25">
        <f>IF(VLOOKUP(B85,'Data yoy'!$A:$AW,MATCH($R$1,'Data yoy'!$A$1:$AW$1,),)=0,#N/A,VLOOKUP(B85,'Data yoy'!$A:$AW,MATCH($R$1,'Data yoy'!$A$1:$AW$1,),))</f>
        <v>2.830439894</v>
      </c>
      <c r="S85" s="25">
        <f>IF(VLOOKUP(B85,'Data yoy'!$A:$AW,MATCH($S$1,'Data yoy'!$A$1:$AW$1,),)=0,#N/A,VLOOKUP(B85,'Data yoy'!$A:$AW,MATCH($S$1,'Data yoy'!$A$1:$AW$1,),))</f>
        <v>2.2663272550000002</v>
      </c>
      <c r="T85" s="25">
        <f>IF(VLOOKUP(B85,'Data yoy'!$A:$AW,MATCH($T$1,'Data yoy'!$A$1:$AW$1,),)=0,#N/A,VLOOKUP(B85,'Data yoy'!$A:$AW,MATCH($T$1,'Data yoy'!$A$1:$AW$1,),))</f>
        <v>2.0330408069999999</v>
      </c>
      <c r="U85" s="25">
        <f>IF(VLOOKUP(B85,'Data yoy'!$A:$AW,MATCH($U$1,'Data yoy'!$A$1:$AW$1,),)=0,#N/A,VLOOKUP(B85,'Data yoy'!$A:$AW,MATCH($U$1,'Data yoy'!$A$1:$AW$1,),))</f>
        <v>0.376488186</v>
      </c>
      <c r="V85" s="25">
        <f>IF(VLOOKUP(B85,'Data yoy'!$A:$AW,MATCH($V$1,'Data yoy'!$A$1:$AW$1,),)=0,#N/A,VLOOKUP(B85,'Data yoy'!$A:$AW,MATCH($V$1,'Data yoy'!$A$1:$AW$1,),))</f>
        <v>7.5619708049999996</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5.8250283029999999</v>
      </c>
      <c r="Z85" s="25">
        <f>IF(VLOOKUP(B85,'Data yoy'!$A:$AW,MATCH($Z$1,'Data yoy'!$A$1:$AW$1,),)=0,#N/A,VLOOKUP(B85,'Data yoy'!$A:$AW,MATCH($Z$1,'Data yoy'!$A$1:$AW$1,),))</f>
        <v>-4.1403685010000002</v>
      </c>
      <c r="AA85" s="25">
        <f>IF(VLOOKUP(B85,'Data yoy'!$A:$AW,MATCH($AA$1,'Data yoy'!$A$1:$AW$1,),)=0,#N/A,VLOOKUP(B85,'Data yoy'!$A:$AW,MATCH($AA$1,'Data yoy'!$A$1:$AW$1,),))</f>
        <v>3.043606461</v>
      </c>
      <c r="AC85" s="26" t="str">
        <f t="shared" si="13"/>
        <v>2018-Q3</v>
      </c>
      <c r="AD85" s="27">
        <f t="shared" si="14"/>
        <v>1.799071447</v>
      </c>
      <c r="AE85" s="27">
        <f t="shared" si="15"/>
        <v>1.374257058</v>
      </c>
      <c r="AF85" s="27">
        <f t="shared" si="16"/>
        <v>0.42481438900000001</v>
      </c>
    </row>
    <row r="86" spans="2:32" s="73" customFormat="1" x14ac:dyDescent="0.2">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1.195137484</v>
      </c>
      <c r="F86" s="25">
        <f>IF(VLOOKUP(B86,'Data yoy'!$A:$AW,MATCH($F$1,'Data yoy'!$A$1:$AW$1,),)=0,#N/A,VLOOKUP(B86,'Data yoy'!$A:$AW,MATCH($F$1,'Data yoy'!$A$1:$AW$1,),))</f>
        <v>-0.33189727800000002</v>
      </c>
      <c r="G86" s="25">
        <f>IF(VLOOKUP(B86,'Data yoy'!$A:$AW,MATCH($G$1,'Data yoy'!$A$1:$AW$1,),)=0,#N/A,VLOOKUP(B86,'Data yoy'!$A:$AW,MATCH($G$1,'Data yoy'!$A$1:$AW$1,),))</f>
        <v>0.124539175</v>
      </c>
      <c r="H86" s="25">
        <f>IF(VLOOKUP(B86,'Data yoy'!$A:$AW,MATCH($H$1,'Data yoy'!$A$1:$AW$1,),)=0,#N/A,VLOOKUP(B86,'Data yoy'!$A:$AW,MATCH($H$1,'Data yoy'!$A$1:$AW$1,),))</f>
        <v>1.4958397210000001</v>
      </c>
      <c r="I86" s="25">
        <f>IF(VLOOKUP(B86,'Data yoy'!$A:$AW,MATCH($I$1,'Data yoy'!$A$1:$AW$1,),)=0,#N/A,VLOOKUP(B86,'Data yoy'!$A:$AW,MATCH($I$1,'Data yoy'!$A$1:$AW$1,),))</f>
        <v>1.4246088779999999</v>
      </c>
      <c r="J86" s="25">
        <f>IF(VLOOKUP(B86,'Data yoy'!$A:$AW,MATCH($J$1,'Data yoy'!$A$1:$AW$1,),)=0,#N/A,VLOOKUP(B86,'Data yoy'!$A:$AW,MATCH($J$1,'Data yoy'!$A$1:$AW$1,),))</f>
        <v>0.36328394200000003</v>
      </c>
      <c r="K86" s="25">
        <f>IF(VLOOKUP(B86,'Data yoy'!$A:$AW,MATCH($K$1,'Data yoy'!$A$1:$AW$1,),)=0,#N/A,VLOOKUP(B86,'Data yoy'!$A:$AW,MATCH($K$1,'Data yoy'!$A$1:$AW$1,),))</f>
        <v>2.2105015269999999</v>
      </c>
      <c r="L86" s="25">
        <f>IF(VLOOKUP(B86,'Data yoy'!$A:$AW,MATCH($L$1,'Data yoy'!$A$1:$AW$1,),)=0,#N/A,VLOOKUP(B86,'Data yoy'!$A:$AW,MATCH($L$1,'Data yoy'!$A$1:$AW$1,),))</f>
        <v>1.902351747</v>
      </c>
      <c r="M86" s="25">
        <f>IF(VLOOKUP(B86,'Data yoy'!$A:$AW,MATCH($M$1,'Data yoy'!$A$1:$AW$1,),)=0,#N/A,VLOOKUP(B86,'Data yoy'!$A:$AW,MATCH($M$1,'Data yoy'!$A$1:$AW$1,),))</f>
        <v>1.2717121790000001</v>
      </c>
      <c r="N86" s="25">
        <f>IF(VLOOKUP(B86,'Data yoy'!$A:$AW,MATCH($N$1,'Data yoy'!$A$1:$AW$1,),)=0,#N/A,VLOOKUP(B86,'Data yoy'!$A:$AW,MATCH($N$1,'Data yoy'!$A$1:$AW$1,),))</f>
        <v>2.8459098599999999</v>
      </c>
      <c r="O86" s="25">
        <f>IF(VLOOKUP(B86,'Data yoy'!$A:$AW,MATCH($O$1,'Data yoy'!$A$1:$AW$1,),)=0,#N/A,VLOOKUP(B86,'Data yoy'!$A:$AW,MATCH($O$1,'Data yoy'!$A$1:$AW$1,),))</f>
        <v>6.4484700000000004</v>
      </c>
      <c r="P86" s="25">
        <f>IF(VLOOKUP(B86,'Data yoy'!$A:$AW,MATCH($P$1,'Data yoy'!$A$1:$AW$1,),)=0,#N/A,VLOOKUP(B86,'Data yoy'!$A:$AW,MATCH($P$1,'Data yoy'!$A$1:$AW$1,),))</f>
        <v>2.717788724</v>
      </c>
      <c r="Q86" s="25">
        <f>IF(VLOOKUP(B86,'Data yoy'!$A:$AW,MATCH($Q$1,'Data yoy'!$A$1:$AW$1,),)=0,#N/A,VLOOKUP(B86,'Data yoy'!$A:$AW,MATCH($Q$1,'Data yoy'!$A$1:$AW$1,),))</f>
        <v>2.3345045240000002</v>
      </c>
      <c r="R86" s="25">
        <f>IF(VLOOKUP(B86,'Data yoy'!$A:$AW,MATCH($R$1,'Data yoy'!$A$1:$AW$1,),)=0,#N/A,VLOOKUP(B86,'Data yoy'!$A:$AW,MATCH($R$1,'Data yoy'!$A$1:$AW$1,),))</f>
        <v>2.0152405980000001</v>
      </c>
      <c r="S86" s="25">
        <f>IF(VLOOKUP(B86,'Data yoy'!$A:$AW,MATCH($S$1,'Data yoy'!$A$1:$AW$1,),)=0,#N/A,VLOOKUP(B86,'Data yoy'!$A:$AW,MATCH($S$1,'Data yoy'!$A$1:$AW$1,),))</f>
        <v>3.3129777570000001</v>
      </c>
      <c r="T86" s="25">
        <f>IF(VLOOKUP(B86,'Data yoy'!$A:$AW,MATCH($T$1,'Data yoy'!$A$1:$AW$1,),)=0,#N/A,VLOOKUP(B86,'Data yoy'!$A:$AW,MATCH($T$1,'Data yoy'!$A$1:$AW$1,),))</f>
        <v>1.2710083169999999</v>
      </c>
      <c r="U86" s="25">
        <f>IF(VLOOKUP(B86,'Data yoy'!$A:$AW,MATCH($U$1,'Data yoy'!$A$1:$AW$1,),)=0,#N/A,VLOOKUP(B86,'Data yoy'!$A:$AW,MATCH($U$1,'Data yoy'!$A$1:$AW$1,),))</f>
        <v>1.969465051</v>
      </c>
      <c r="V86" s="25">
        <f>IF(VLOOKUP(B86,'Data yoy'!$A:$AW,MATCH($V$1,'Data yoy'!$A$1:$AW$1,),)=0,#N/A,VLOOKUP(B86,'Data yoy'!$A:$AW,MATCH($V$1,'Data yoy'!$A$1:$AW$1,),))</f>
        <v>3.3090213180000001</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4.9463500030000001</v>
      </c>
      <c r="Z86" s="25">
        <f>IF(VLOOKUP(B86,'Data yoy'!$A:$AW,MATCH($Z$1,'Data yoy'!$A$1:$AW$1,),)=0,#N/A,VLOOKUP(B86,'Data yoy'!$A:$AW,MATCH($Z$1,'Data yoy'!$A$1:$AW$1,),))</f>
        <v>-6.4542700149999996</v>
      </c>
      <c r="AA86" s="25">
        <f>IF(VLOOKUP(B86,'Data yoy'!$A:$AW,MATCH($AA$1,'Data yoy'!$A$1:$AW$1,),)=0,#N/A,VLOOKUP(B86,'Data yoy'!$A:$AW,MATCH($AA$1,'Data yoy'!$A$1:$AW$1,),))</f>
        <v>3.4745459859999999</v>
      </c>
      <c r="AC86" s="26" t="str">
        <f t="shared" si="13"/>
        <v>2018-Q4</v>
      </c>
      <c r="AD86" s="27">
        <f t="shared" si="14"/>
        <v>1.4246088779999999</v>
      </c>
      <c r="AE86" s="27">
        <f t="shared" si="15"/>
        <v>1.195137484</v>
      </c>
      <c r="AF86" s="27">
        <f t="shared" si="16"/>
        <v>0.22947139399999994</v>
      </c>
    </row>
    <row r="87" spans="2:32" s="73" customFormat="1" x14ac:dyDescent="0.2">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1.8343825760000001</v>
      </c>
      <c r="F87" s="25">
        <f>IF(VLOOKUP(B87,'Data yoy'!$A:$AW,MATCH($F$1,'Data yoy'!$A$1:$AW$1,),)=0,#N/A,VLOOKUP(B87,'Data yoy'!$A:$AW,MATCH($F$1,'Data yoy'!$A$1:$AW$1,),))</f>
        <v>-3.9980299999999996E-3</v>
      </c>
      <c r="G87" s="25">
        <f>IF(VLOOKUP(B87,'Data yoy'!$A:$AW,MATCH($G$1,'Data yoy'!$A$1:$AW$1,),)=0,#N/A,VLOOKUP(B87,'Data yoy'!$A:$AW,MATCH($G$1,'Data yoy'!$A$1:$AW$1,),))</f>
        <v>1.429591262</v>
      </c>
      <c r="H87" s="25">
        <f>IF(VLOOKUP(B87,'Data yoy'!$A:$AW,MATCH($H$1,'Data yoy'!$A$1:$AW$1,),)=0,#N/A,VLOOKUP(B87,'Data yoy'!$A:$AW,MATCH($H$1,'Data yoy'!$A$1:$AW$1,),))</f>
        <v>2.1146012129999998</v>
      </c>
      <c r="I87" s="25">
        <f>IF(VLOOKUP(B87,'Data yoy'!$A:$AW,MATCH($I$1,'Data yoy'!$A$1:$AW$1,),)=0,#N/A,VLOOKUP(B87,'Data yoy'!$A:$AW,MATCH($I$1,'Data yoy'!$A$1:$AW$1,),))</f>
        <v>1.91132407</v>
      </c>
      <c r="J87" s="25">
        <f>IF(VLOOKUP(B87,'Data yoy'!$A:$AW,MATCH($J$1,'Data yoy'!$A$1:$AW$1,),)=0,#N/A,VLOOKUP(B87,'Data yoy'!$A:$AW,MATCH($J$1,'Data yoy'!$A$1:$AW$1,),))</f>
        <v>0.66475852899999999</v>
      </c>
      <c r="K87" s="25">
        <f>IF(VLOOKUP(B87,'Data yoy'!$A:$AW,MATCH($K$1,'Data yoy'!$A$1:$AW$1,),)=0,#N/A,VLOOKUP(B87,'Data yoy'!$A:$AW,MATCH($K$1,'Data yoy'!$A$1:$AW$1,),))</f>
        <v>2.3955915870000002</v>
      </c>
      <c r="L87" s="25">
        <f>IF(VLOOKUP(B87,'Data yoy'!$A:$AW,MATCH($L$1,'Data yoy'!$A$1:$AW$1,),)=0,#N/A,VLOOKUP(B87,'Data yoy'!$A:$AW,MATCH($L$1,'Data yoy'!$A$1:$AW$1,),))</f>
        <v>2.0987110750000002</v>
      </c>
      <c r="M87" s="25">
        <f>IF(VLOOKUP(B87,'Data yoy'!$A:$AW,MATCH($M$1,'Data yoy'!$A$1:$AW$1,),)=0,#N/A,VLOOKUP(B87,'Data yoy'!$A:$AW,MATCH($M$1,'Data yoy'!$A$1:$AW$1,),))</f>
        <v>0.192323616</v>
      </c>
      <c r="N87" s="25">
        <f>IF(VLOOKUP(B87,'Data yoy'!$A:$AW,MATCH($N$1,'Data yoy'!$A$1:$AW$1,),)=0,#N/A,VLOOKUP(B87,'Data yoy'!$A:$AW,MATCH($N$1,'Data yoy'!$A$1:$AW$1,),))</f>
        <v>1.4313071719999999</v>
      </c>
      <c r="O87" s="25">
        <f>IF(VLOOKUP(B87,'Data yoy'!$A:$AW,MATCH($O$1,'Data yoy'!$A$1:$AW$1,),)=0,#N/A,VLOOKUP(B87,'Data yoy'!$A:$AW,MATCH($O$1,'Data yoy'!$A$1:$AW$1,),))</f>
        <v>5.3142199999999997</v>
      </c>
      <c r="P87" s="25">
        <f>IF(VLOOKUP(B87,'Data yoy'!$A:$AW,MATCH($P$1,'Data yoy'!$A$1:$AW$1,),)=0,#N/A,VLOOKUP(B87,'Data yoy'!$A:$AW,MATCH($P$1,'Data yoy'!$A$1:$AW$1,),))</f>
        <v>1.918859114</v>
      </c>
      <c r="Q87" s="25">
        <f>IF(VLOOKUP(B87,'Data yoy'!$A:$AW,MATCH($Q$1,'Data yoy'!$A$1:$AW$1,),)=0,#N/A,VLOOKUP(B87,'Data yoy'!$A:$AW,MATCH($Q$1,'Data yoy'!$A$1:$AW$1,),))</f>
        <v>1.8870481830000001</v>
      </c>
      <c r="R87" s="25">
        <f>IF(VLOOKUP(B87,'Data yoy'!$A:$AW,MATCH($R$1,'Data yoy'!$A$1:$AW$1,),)=0,#N/A,VLOOKUP(B87,'Data yoy'!$A:$AW,MATCH($R$1,'Data yoy'!$A$1:$AW$1,),))</f>
        <v>1.03378196</v>
      </c>
      <c r="S87" s="25">
        <f>IF(VLOOKUP(B87,'Data yoy'!$A:$AW,MATCH($S$1,'Data yoy'!$A$1:$AW$1,),)=0,#N/A,VLOOKUP(B87,'Data yoy'!$A:$AW,MATCH($S$1,'Data yoy'!$A$1:$AW$1,),))</f>
        <v>1.879306135</v>
      </c>
      <c r="T87" s="25">
        <f>IF(VLOOKUP(B87,'Data yoy'!$A:$AW,MATCH($T$1,'Data yoy'!$A$1:$AW$1,),)=0,#N/A,VLOOKUP(B87,'Data yoy'!$A:$AW,MATCH($T$1,'Data yoy'!$A$1:$AW$1,),))</f>
        <v>1.0450203250000001</v>
      </c>
      <c r="U87" s="25">
        <f>IF(VLOOKUP(B87,'Data yoy'!$A:$AW,MATCH($U$1,'Data yoy'!$A$1:$AW$1,),)=0,#N/A,VLOOKUP(B87,'Data yoy'!$A:$AW,MATCH($U$1,'Data yoy'!$A$1:$AW$1,),))</f>
        <v>1.176969224</v>
      </c>
      <c r="V87" s="25">
        <f>IF(VLOOKUP(B87,'Data yoy'!$A:$AW,MATCH($V$1,'Data yoy'!$A$1:$AW$1,),)=0,#N/A,VLOOKUP(B87,'Data yoy'!$A:$AW,MATCH($V$1,'Data yoy'!$A$1:$AW$1,),))</f>
        <v>5.1714744389999998</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5.5259554919999996</v>
      </c>
      <c r="Z87" s="25">
        <f>IF(VLOOKUP(B87,'Data yoy'!$A:$AW,MATCH($Z$1,'Data yoy'!$A$1:$AW$1,),)=0,#N/A,VLOOKUP(B87,'Data yoy'!$A:$AW,MATCH($Z$1,'Data yoy'!$A$1:$AW$1,),))</f>
        <v>-6.075449334</v>
      </c>
      <c r="AA87" s="25">
        <f>IF(VLOOKUP(B87,'Data yoy'!$A:$AW,MATCH($AA$1,'Data yoy'!$A$1:$AW$1,),)=0,#N/A,VLOOKUP(B87,'Data yoy'!$A:$AW,MATCH($AA$1,'Data yoy'!$A$1:$AW$1,),))</f>
        <v>3.2756230450000001</v>
      </c>
      <c r="AC87" s="26" t="str">
        <f t="shared" si="13"/>
        <v>2019-Q1</v>
      </c>
      <c r="AD87" s="27">
        <f t="shared" si="14"/>
        <v>1.91132407</v>
      </c>
      <c r="AE87" s="27">
        <f t="shared" si="15"/>
        <v>1.8343825760000001</v>
      </c>
      <c r="AF87" s="27">
        <f t="shared" si="16"/>
        <v>7.6941493999999944E-2</v>
      </c>
    </row>
    <row r="88" spans="2:32" s="73" customFormat="1" x14ac:dyDescent="0.2">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1.6087486790000001</v>
      </c>
      <c r="F88" s="25">
        <f>IF(VLOOKUP(B88,'Data yoy'!$A:$AW,MATCH($F$1,'Data yoy'!$A$1:$AW$1,),)=0,#N/A,VLOOKUP(B88,'Data yoy'!$A:$AW,MATCH($F$1,'Data yoy'!$A$1:$AW$1,),))</f>
        <v>-9.9579040000000001E-3</v>
      </c>
      <c r="G88" s="25">
        <f>IF(VLOOKUP(B88,'Data yoy'!$A:$AW,MATCH($G$1,'Data yoy'!$A$1:$AW$1,),)=0,#N/A,VLOOKUP(B88,'Data yoy'!$A:$AW,MATCH($G$1,'Data yoy'!$A$1:$AW$1,),))</f>
        <v>0.54668740400000004</v>
      </c>
      <c r="H88" s="25">
        <f>IF(VLOOKUP(B88,'Data yoy'!$A:$AW,MATCH($H$1,'Data yoy'!$A$1:$AW$1,),)=0,#N/A,VLOOKUP(B88,'Data yoy'!$A:$AW,MATCH($H$1,'Data yoy'!$A$1:$AW$1,),))</f>
        <v>2.3647017379999999</v>
      </c>
      <c r="I88" s="25">
        <f>IF(VLOOKUP(B88,'Data yoy'!$A:$AW,MATCH($I$1,'Data yoy'!$A$1:$AW$1,),)=0,#N/A,VLOOKUP(B88,'Data yoy'!$A:$AW,MATCH($I$1,'Data yoy'!$A$1:$AW$1,),))</f>
        <v>1.561445046</v>
      </c>
      <c r="J88" s="25">
        <f>IF(VLOOKUP(B88,'Data yoy'!$A:$AW,MATCH($J$1,'Data yoy'!$A$1:$AW$1,),)=0,#N/A,VLOOKUP(B88,'Data yoy'!$A:$AW,MATCH($J$1,'Data yoy'!$A$1:$AW$1,),))</f>
        <v>0.84684742199999996</v>
      </c>
      <c r="K88" s="25">
        <f>IF(VLOOKUP(B88,'Data yoy'!$A:$AW,MATCH($K$1,'Data yoy'!$A$1:$AW$1,),)=0,#N/A,VLOOKUP(B88,'Data yoy'!$A:$AW,MATCH($K$1,'Data yoy'!$A$1:$AW$1,),))</f>
        <v>2.1515993010000001</v>
      </c>
      <c r="L88" s="25">
        <f>IF(VLOOKUP(B88,'Data yoy'!$A:$AW,MATCH($L$1,'Data yoy'!$A$1:$AW$1,),)=0,#N/A,VLOOKUP(B88,'Data yoy'!$A:$AW,MATCH($L$1,'Data yoy'!$A$1:$AW$1,),))</f>
        <v>1.67019523</v>
      </c>
      <c r="M88" s="25">
        <f>IF(VLOOKUP(B88,'Data yoy'!$A:$AW,MATCH($M$1,'Data yoy'!$A$1:$AW$1,),)=0,#N/A,VLOOKUP(B88,'Data yoy'!$A:$AW,MATCH($M$1,'Data yoy'!$A$1:$AW$1,),))</f>
        <v>-0.22664424499999999</v>
      </c>
      <c r="N88" s="25">
        <f>IF(VLOOKUP(B88,'Data yoy'!$A:$AW,MATCH($N$1,'Data yoy'!$A$1:$AW$1,),)=0,#N/A,VLOOKUP(B88,'Data yoy'!$A:$AW,MATCH($N$1,'Data yoy'!$A$1:$AW$1,),))</f>
        <v>3.1498777059999998</v>
      </c>
      <c r="O88" s="25">
        <f>IF(VLOOKUP(B88,'Data yoy'!$A:$AW,MATCH($O$1,'Data yoy'!$A$1:$AW$1,),)=0,#N/A,VLOOKUP(B88,'Data yoy'!$A:$AW,MATCH($O$1,'Data yoy'!$A$1:$AW$1,),))</f>
        <v>5.0676500000000004</v>
      </c>
      <c r="P88" s="25">
        <f>IF(VLOOKUP(B88,'Data yoy'!$A:$AW,MATCH($P$1,'Data yoy'!$A$1:$AW$1,),)=0,#N/A,VLOOKUP(B88,'Data yoy'!$A:$AW,MATCH($P$1,'Data yoy'!$A$1:$AW$1,),))</f>
        <v>2.1268048070000001</v>
      </c>
      <c r="Q88" s="25">
        <f>IF(VLOOKUP(B88,'Data yoy'!$A:$AW,MATCH($Q$1,'Data yoy'!$A$1:$AW$1,),)=0,#N/A,VLOOKUP(B88,'Data yoy'!$A:$AW,MATCH($Q$1,'Data yoy'!$A$1:$AW$1,),))</f>
        <v>1.6381076649999999</v>
      </c>
      <c r="R88" s="25">
        <f>IF(VLOOKUP(B88,'Data yoy'!$A:$AW,MATCH($R$1,'Data yoy'!$A$1:$AW$1,),)=0,#N/A,VLOOKUP(B88,'Data yoy'!$A:$AW,MATCH($R$1,'Data yoy'!$A$1:$AW$1,),))</f>
        <v>0.50572937200000001</v>
      </c>
      <c r="S88" s="25">
        <f>IF(VLOOKUP(B88,'Data yoy'!$A:$AW,MATCH($S$1,'Data yoy'!$A$1:$AW$1,),)=0,#N/A,VLOOKUP(B88,'Data yoy'!$A:$AW,MATCH($S$1,'Data yoy'!$A$1:$AW$1,),))</f>
        <v>2.3078417999999998</v>
      </c>
      <c r="T88" s="25">
        <f>IF(VLOOKUP(B88,'Data yoy'!$A:$AW,MATCH($T$1,'Data yoy'!$A$1:$AW$1,),)=0,#N/A,VLOOKUP(B88,'Data yoy'!$A:$AW,MATCH($T$1,'Data yoy'!$A$1:$AW$1,),))</f>
        <v>1.663446537</v>
      </c>
      <c r="U88" s="25">
        <f>IF(VLOOKUP(B88,'Data yoy'!$A:$AW,MATCH($U$1,'Data yoy'!$A$1:$AW$1,),)=0,#N/A,VLOOKUP(B88,'Data yoy'!$A:$AW,MATCH($U$1,'Data yoy'!$A$1:$AW$1,),))</f>
        <v>2.1532966149999999</v>
      </c>
      <c r="V88" s="25">
        <f>IF(VLOOKUP(B88,'Data yoy'!$A:$AW,MATCH($V$1,'Data yoy'!$A$1:$AW$1,),)=0,#N/A,VLOOKUP(B88,'Data yoy'!$A:$AW,MATCH($V$1,'Data yoy'!$A$1:$AW$1,),))</f>
        <v>4.6543360680000001</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4.9535901280000001</v>
      </c>
      <c r="Z88" s="25">
        <f>IF(VLOOKUP(B88,'Data yoy'!$A:$AW,MATCH($Z$1,'Data yoy'!$A$1:$AW$1,),)=0,#N/A,VLOOKUP(B88,'Data yoy'!$A:$AW,MATCH($Z$1,'Data yoy'!$A$1:$AW$1,),))</f>
        <v>-0.77441722000000002</v>
      </c>
      <c r="AA88" s="25">
        <f>IF(VLOOKUP(B88,'Data yoy'!$A:$AW,MATCH($AA$1,'Data yoy'!$A$1:$AW$1,),)=0,#N/A,VLOOKUP(B88,'Data yoy'!$A:$AW,MATCH($AA$1,'Data yoy'!$A$1:$AW$1,),))</f>
        <v>2.6878806239999999</v>
      </c>
      <c r="AC88" s="26" t="str">
        <f t="shared" si="13"/>
        <v>2019-Q2</v>
      </c>
      <c r="AD88" s="27">
        <f t="shared" si="14"/>
        <v>1.561445046</v>
      </c>
      <c r="AE88" s="27">
        <f t="shared" si="15"/>
        <v>1.6087486790000001</v>
      </c>
      <c r="AF88" s="27">
        <f t="shared" si="16"/>
        <v>-4.7303633000000067E-2</v>
      </c>
    </row>
    <row r="89" spans="2:32" s="73" customFormat="1" x14ac:dyDescent="0.2">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1.816280557</v>
      </c>
      <c r="F89" s="25">
        <f>IF(VLOOKUP(B89,'Data yoy'!$A:$AW,MATCH($F$1,'Data yoy'!$A$1:$AW$1,),)=0,#N/A,VLOOKUP(B89,'Data yoy'!$A:$AW,MATCH($F$1,'Data yoy'!$A$1:$AW$1,),))</f>
        <v>0.645640298</v>
      </c>
      <c r="G89" s="25">
        <f>IF(VLOOKUP(B89,'Data yoy'!$A:$AW,MATCH($G$1,'Data yoy'!$A$1:$AW$1,),)=0,#N/A,VLOOKUP(B89,'Data yoy'!$A:$AW,MATCH($G$1,'Data yoy'!$A$1:$AW$1,),))</f>
        <v>1.4591850049999999</v>
      </c>
      <c r="H89" s="25">
        <f>IF(VLOOKUP(B89,'Data yoy'!$A:$AW,MATCH($H$1,'Data yoy'!$A$1:$AW$1,),)=0,#N/A,VLOOKUP(B89,'Data yoy'!$A:$AW,MATCH($H$1,'Data yoy'!$A$1:$AW$1,),))</f>
        <v>1.9832480539999999</v>
      </c>
      <c r="I89" s="25">
        <f>IF(VLOOKUP(B89,'Data yoy'!$A:$AW,MATCH($I$1,'Data yoy'!$A$1:$AW$1,),)=0,#N/A,VLOOKUP(B89,'Data yoy'!$A:$AW,MATCH($I$1,'Data yoy'!$A$1:$AW$1,),))</f>
        <v>1.617062864</v>
      </c>
      <c r="J89" s="25">
        <f>IF(VLOOKUP(B89,'Data yoy'!$A:$AW,MATCH($J$1,'Data yoy'!$A$1:$AW$1,),)=0,#N/A,VLOOKUP(B89,'Data yoy'!$A:$AW,MATCH($J$1,'Data yoy'!$A$1:$AW$1,),))</f>
        <v>0.752962609</v>
      </c>
      <c r="K89" s="25">
        <f>IF(VLOOKUP(B89,'Data yoy'!$A:$AW,MATCH($K$1,'Data yoy'!$A$1:$AW$1,),)=0,#N/A,VLOOKUP(B89,'Data yoy'!$A:$AW,MATCH($K$1,'Data yoy'!$A$1:$AW$1,),))</f>
        <v>1.9225259880000001</v>
      </c>
      <c r="L89" s="25">
        <f>IF(VLOOKUP(B89,'Data yoy'!$A:$AW,MATCH($L$1,'Data yoy'!$A$1:$AW$1,),)=0,#N/A,VLOOKUP(B89,'Data yoy'!$A:$AW,MATCH($L$1,'Data yoy'!$A$1:$AW$1,),))</f>
        <v>2.6196232080000001</v>
      </c>
      <c r="M89" s="25">
        <f>IF(VLOOKUP(B89,'Data yoy'!$A:$AW,MATCH($M$1,'Data yoy'!$A$1:$AW$1,),)=0,#N/A,VLOOKUP(B89,'Data yoy'!$A:$AW,MATCH($M$1,'Data yoy'!$A$1:$AW$1,),))</f>
        <v>-0.11585323</v>
      </c>
      <c r="N89" s="25">
        <f>IF(VLOOKUP(B89,'Data yoy'!$A:$AW,MATCH($N$1,'Data yoy'!$A$1:$AW$1,),)=0,#N/A,VLOOKUP(B89,'Data yoy'!$A:$AW,MATCH($N$1,'Data yoy'!$A$1:$AW$1,),))</f>
        <v>1.894762912</v>
      </c>
      <c r="O89" s="25">
        <f>IF(VLOOKUP(B89,'Data yoy'!$A:$AW,MATCH($O$1,'Data yoy'!$A$1:$AW$1,),)=0,#N/A,VLOOKUP(B89,'Data yoy'!$A:$AW,MATCH($O$1,'Data yoy'!$A$1:$AW$1,),))</f>
        <v>4.3304799999999997</v>
      </c>
      <c r="P89" s="25">
        <f>IF(VLOOKUP(B89,'Data yoy'!$A:$AW,MATCH($P$1,'Data yoy'!$A$1:$AW$1,),)=0,#N/A,VLOOKUP(B89,'Data yoy'!$A:$AW,MATCH($P$1,'Data yoy'!$A$1:$AW$1,),))</f>
        <v>1.7581388549999999</v>
      </c>
      <c r="Q89" s="25">
        <f>IF(VLOOKUP(B89,'Data yoy'!$A:$AW,MATCH($Q$1,'Data yoy'!$A$1:$AW$1,),)=0,#N/A,VLOOKUP(B89,'Data yoy'!$A:$AW,MATCH($Q$1,'Data yoy'!$A$1:$AW$1,),))</f>
        <v>2.0508177289999998</v>
      </c>
      <c r="R89" s="25">
        <f>IF(VLOOKUP(B89,'Data yoy'!$A:$AW,MATCH($R$1,'Data yoy'!$A$1:$AW$1,),)=0,#N/A,VLOOKUP(B89,'Data yoy'!$A:$AW,MATCH($R$1,'Data yoy'!$A$1:$AW$1,),))</f>
        <v>1.39423319</v>
      </c>
      <c r="S89" s="25">
        <f>IF(VLOOKUP(B89,'Data yoy'!$A:$AW,MATCH($S$1,'Data yoy'!$A$1:$AW$1,),)=0,#N/A,VLOOKUP(B89,'Data yoy'!$A:$AW,MATCH($S$1,'Data yoy'!$A$1:$AW$1,),))</f>
        <v>2.1012468540000002</v>
      </c>
      <c r="T89" s="25">
        <f>IF(VLOOKUP(B89,'Data yoy'!$A:$AW,MATCH($T$1,'Data yoy'!$A$1:$AW$1,),)=0,#N/A,VLOOKUP(B89,'Data yoy'!$A:$AW,MATCH($T$1,'Data yoy'!$A$1:$AW$1,),))</f>
        <v>0.73116845699999999</v>
      </c>
      <c r="U89" s="25">
        <f>IF(VLOOKUP(B89,'Data yoy'!$A:$AW,MATCH($U$1,'Data yoy'!$A$1:$AW$1,),)=0,#N/A,VLOOKUP(B89,'Data yoy'!$A:$AW,MATCH($U$1,'Data yoy'!$A$1:$AW$1,),))</f>
        <v>2.3330118240000002</v>
      </c>
      <c r="V89" s="25">
        <f>IF(VLOOKUP(B89,'Data yoy'!$A:$AW,MATCH($V$1,'Data yoy'!$A$1:$AW$1,),)=0,#N/A,VLOOKUP(B89,'Data yoy'!$A:$AW,MATCH($V$1,'Data yoy'!$A$1:$AW$1,),))</f>
        <v>6.234417316</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4.5171936620000004</v>
      </c>
      <c r="Z89" s="25">
        <f>IF(VLOOKUP(B89,'Data yoy'!$A:$AW,MATCH($Z$1,'Data yoy'!$A$1:$AW$1,),)=0,#N/A,VLOOKUP(B89,'Data yoy'!$A:$AW,MATCH($Z$1,'Data yoy'!$A$1:$AW$1,),))</f>
        <v>-0.36389459800000001</v>
      </c>
      <c r="AA89" s="25">
        <f>IF(VLOOKUP(B89,'Data yoy'!$A:$AW,MATCH($AA$1,'Data yoy'!$A$1:$AW$1,),)=0,#N/A,VLOOKUP(B89,'Data yoy'!$A:$AW,MATCH($AA$1,'Data yoy'!$A$1:$AW$1,),))</f>
        <v>3.2493959050000001</v>
      </c>
      <c r="AC89" s="26" t="str">
        <f t="shared" si="13"/>
        <v>2019-Q3</v>
      </c>
      <c r="AD89" s="27">
        <f t="shared" si="14"/>
        <v>1.617062864</v>
      </c>
      <c r="AE89" s="27">
        <f t="shared" si="15"/>
        <v>1.816280557</v>
      </c>
      <c r="AF89" s="27">
        <f t="shared" si="16"/>
        <v>-0.19921769300000003</v>
      </c>
    </row>
    <row r="90" spans="2:32" s="73" customFormat="1" x14ac:dyDescent="0.2">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1.1981313709999999</v>
      </c>
      <c r="F90" s="25">
        <f>IF(VLOOKUP(B90,'Data yoy'!$A:$AW,MATCH($F$1,'Data yoy'!$A$1:$AW$1,),)=0,#N/A,VLOOKUP(B90,'Data yoy'!$A:$AW,MATCH($F$1,'Data yoy'!$A$1:$AW$1,),))</f>
        <v>-2.0609396389999999</v>
      </c>
      <c r="G90" s="25">
        <f>IF(VLOOKUP(B90,'Data yoy'!$A:$AW,MATCH($G$1,'Data yoy'!$A$1:$AW$1,),)=0,#N/A,VLOOKUP(B90,'Data yoy'!$A:$AW,MATCH($G$1,'Data yoy'!$A$1:$AW$1,),))</f>
        <v>0.922106651</v>
      </c>
      <c r="H90" s="25">
        <f>IF(VLOOKUP(B90,'Data yoy'!$A:$AW,MATCH($H$1,'Data yoy'!$A$1:$AW$1,),)=0,#N/A,VLOOKUP(B90,'Data yoy'!$A:$AW,MATCH($H$1,'Data yoy'!$A$1:$AW$1,),))</f>
        <v>1.080592907</v>
      </c>
      <c r="I90" s="25">
        <f>IF(VLOOKUP(B90,'Data yoy'!$A:$AW,MATCH($I$1,'Data yoy'!$A$1:$AW$1,),)=0,#N/A,VLOOKUP(B90,'Data yoy'!$A:$AW,MATCH($I$1,'Data yoy'!$A$1:$AW$1,),))</f>
        <v>1.3309481089999999</v>
      </c>
      <c r="J90" s="25">
        <f>IF(VLOOKUP(B90,'Data yoy'!$A:$AW,MATCH($J$1,'Data yoy'!$A$1:$AW$1,),)=0,#N/A,VLOOKUP(B90,'Data yoy'!$A:$AW,MATCH($J$1,'Data yoy'!$A$1:$AW$1,),))</f>
        <v>-0.33807104100000002</v>
      </c>
      <c r="K90" s="25">
        <f>IF(VLOOKUP(B90,'Data yoy'!$A:$AW,MATCH($K$1,'Data yoy'!$A$1:$AW$1,),)=0,#N/A,VLOOKUP(B90,'Data yoy'!$A:$AW,MATCH($K$1,'Data yoy'!$A$1:$AW$1,),))</f>
        <v>1.474888274</v>
      </c>
      <c r="L90" s="25">
        <f>IF(VLOOKUP(B90,'Data yoy'!$A:$AW,MATCH($L$1,'Data yoy'!$A$1:$AW$1,),)=0,#N/A,VLOOKUP(B90,'Data yoy'!$A:$AW,MATCH($L$1,'Data yoy'!$A$1:$AW$1,),))</f>
        <v>1.668987883</v>
      </c>
      <c r="M90" s="25">
        <f>IF(VLOOKUP(B90,'Data yoy'!$A:$AW,MATCH($M$1,'Data yoy'!$A$1:$AW$1,),)=0,#N/A,VLOOKUP(B90,'Data yoy'!$A:$AW,MATCH($M$1,'Data yoy'!$A$1:$AW$1,),))</f>
        <v>-0.598109322</v>
      </c>
      <c r="N90" s="25">
        <f>IF(VLOOKUP(B90,'Data yoy'!$A:$AW,MATCH($N$1,'Data yoy'!$A$1:$AW$1,),)=0,#N/A,VLOOKUP(B90,'Data yoy'!$A:$AW,MATCH($N$1,'Data yoy'!$A$1:$AW$1,),))</f>
        <v>0.76465798799999996</v>
      </c>
      <c r="O90" s="25">
        <f>IF(VLOOKUP(B90,'Data yoy'!$A:$AW,MATCH($O$1,'Data yoy'!$A$1:$AW$1,),)=0,#N/A,VLOOKUP(B90,'Data yoy'!$A:$AW,MATCH($O$1,'Data yoy'!$A$1:$AW$1,),))</f>
        <v>3.3297599999999998</v>
      </c>
      <c r="P90" s="25">
        <f>IF(VLOOKUP(B90,'Data yoy'!$A:$AW,MATCH($P$1,'Data yoy'!$A$1:$AW$1,),)=0,#N/A,VLOOKUP(B90,'Data yoy'!$A:$AW,MATCH($P$1,'Data yoy'!$A$1:$AW$1,),))</f>
        <v>1.717385462</v>
      </c>
      <c r="Q90" s="25">
        <f>IF(VLOOKUP(B90,'Data yoy'!$A:$AW,MATCH($Q$1,'Data yoy'!$A$1:$AW$1,),)=0,#N/A,VLOOKUP(B90,'Data yoy'!$A:$AW,MATCH($Q$1,'Data yoy'!$A$1:$AW$1,),))</f>
        <v>2.3509298589999998</v>
      </c>
      <c r="R90" s="25">
        <f>IF(VLOOKUP(B90,'Data yoy'!$A:$AW,MATCH($R$1,'Data yoy'!$A$1:$AW$1,),)=0,#N/A,VLOOKUP(B90,'Data yoy'!$A:$AW,MATCH($R$1,'Data yoy'!$A$1:$AW$1,),))</f>
        <v>1.72164154</v>
      </c>
      <c r="S90" s="25">
        <f>IF(VLOOKUP(B90,'Data yoy'!$A:$AW,MATCH($S$1,'Data yoy'!$A$1:$AW$1,),)=0,#N/A,VLOOKUP(B90,'Data yoy'!$A:$AW,MATCH($S$1,'Data yoy'!$A$1:$AW$1,),))</f>
        <v>2.679990632</v>
      </c>
      <c r="T90" s="25">
        <f>IF(VLOOKUP(B90,'Data yoy'!$A:$AW,MATCH($T$1,'Data yoy'!$A$1:$AW$1,),)=0,#N/A,VLOOKUP(B90,'Data yoy'!$A:$AW,MATCH($T$1,'Data yoy'!$A$1:$AW$1,),))</f>
        <v>1.433918896</v>
      </c>
      <c r="U90" s="25">
        <f>IF(VLOOKUP(B90,'Data yoy'!$A:$AW,MATCH($U$1,'Data yoy'!$A$1:$AW$1,),)=0,#N/A,VLOOKUP(B90,'Data yoy'!$A:$AW,MATCH($U$1,'Data yoy'!$A$1:$AW$1,),))</f>
        <v>1.3769598750000001</v>
      </c>
      <c r="V90" s="25">
        <f>IF(VLOOKUP(B90,'Data yoy'!$A:$AW,MATCH($V$1,'Data yoy'!$A$1:$AW$1,),)=0,#N/A,VLOOKUP(B90,'Data yoy'!$A:$AW,MATCH($V$1,'Data yoy'!$A$1:$AW$1,),))</f>
        <v>6.4242964469999997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4.0468652220000001</v>
      </c>
      <c r="Z90" s="25">
        <f>IF(VLOOKUP(B90,'Data yoy'!$A:$AW,MATCH($Z$1,'Data yoy'!$A$1:$AW$1,),)=0,#N/A,VLOOKUP(B90,'Data yoy'!$A:$AW,MATCH($Z$1,'Data yoy'!$A$1:$AW$1,),))</f>
        <v>-0.56832523400000001</v>
      </c>
      <c r="AA90" s="25">
        <f>IF(VLOOKUP(B90,'Data yoy'!$A:$AW,MATCH($AA$1,'Data yoy'!$A$1:$AW$1,),)=0,#N/A,VLOOKUP(B90,'Data yoy'!$A:$AW,MATCH($AA$1,'Data yoy'!$A$1:$AW$1,),))</f>
        <v>2.2903879059999999</v>
      </c>
      <c r="AC90" s="26" t="str">
        <f t="shared" si="13"/>
        <v>2019-Q4</v>
      </c>
      <c r="AD90" s="27">
        <f t="shared" si="14"/>
        <v>1.3309481089999999</v>
      </c>
      <c r="AE90" s="27">
        <f t="shared" si="15"/>
        <v>1.1981313709999999</v>
      </c>
      <c r="AF90" s="27">
        <f t="shared" si="16"/>
        <v>0.13281673800000005</v>
      </c>
    </row>
    <row r="91" spans="2:32" s="73" customFormat="1" x14ac:dyDescent="0.2">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-2.8618423659999999</v>
      </c>
      <c r="F91" s="25">
        <f>IF(VLOOKUP(B91,'Data yoy'!$A:$AW,MATCH($F$1,'Data yoy'!$A$1:$AW$1,),)=0,#N/A,VLOOKUP(B91,'Data yoy'!$A:$AW,MATCH($F$1,'Data yoy'!$A$1:$AW$1,),))</f>
        <v>-2.0426967029999998</v>
      </c>
      <c r="G91" s="25">
        <f>IF(VLOOKUP(B91,'Data yoy'!$A:$AW,MATCH($G$1,'Data yoy'!$A$1:$AW$1,),)=0,#N/A,VLOOKUP(B91,'Data yoy'!$A:$AW,MATCH($G$1,'Data yoy'!$A$1:$AW$1,),))</f>
        <v>-1.220669794</v>
      </c>
      <c r="H91" s="25">
        <f>IF(VLOOKUP(B91,'Data yoy'!$A:$AW,MATCH($H$1,'Data yoy'!$A$1:$AW$1,),)=0,#N/A,VLOOKUP(B91,'Data yoy'!$A:$AW,MATCH($H$1,'Data yoy'!$A$1:$AW$1,),))</f>
        <v>-5.2076835910000003</v>
      </c>
      <c r="I91" s="25">
        <f>IF(VLOOKUP(B91,'Data yoy'!$A:$AW,MATCH($I$1,'Data yoy'!$A$1:$AW$1,),)=0,#N/A,VLOOKUP(B91,'Data yoy'!$A:$AW,MATCH($I$1,'Data yoy'!$A$1:$AW$1,),))</f>
        <v>-1.963017842</v>
      </c>
      <c r="J91" s="25">
        <f>IF(VLOOKUP(B91,'Data yoy'!$A:$AW,MATCH($J$1,'Data yoy'!$A$1:$AW$1,),)=0,#N/A,VLOOKUP(B91,'Data yoy'!$A:$AW,MATCH($J$1,'Data yoy'!$A$1:$AW$1,),))</f>
        <v>-6.3775178520000004</v>
      </c>
      <c r="K91" s="25">
        <f>IF(VLOOKUP(B91,'Data yoy'!$A:$AW,MATCH($K$1,'Data yoy'!$A$1:$AW$1,),)=0,#N/A,VLOOKUP(B91,'Data yoy'!$A:$AW,MATCH($K$1,'Data yoy'!$A$1:$AW$1,),))</f>
        <v>-4.673702928</v>
      </c>
      <c r="L91" s="25">
        <f>IF(VLOOKUP(B91,'Data yoy'!$A:$AW,MATCH($L$1,'Data yoy'!$A$1:$AW$1,),)=0,#N/A,VLOOKUP(B91,'Data yoy'!$A:$AW,MATCH($L$1,'Data yoy'!$A$1:$AW$1,),))</f>
        <v>0.996559902</v>
      </c>
      <c r="M91" s="25">
        <f>IF(VLOOKUP(B91,'Data yoy'!$A:$AW,MATCH($M$1,'Data yoy'!$A$1:$AW$1,),)=0,#N/A,VLOOKUP(B91,'Data yoy'!$A:$AW,MATCH($M$1,'Data yoy'!$A$1:$AW$1,),))</f>
        <v>-1.571524862</v>
      </c>
      <c r="N91" s="25">
        <f>IF(VLOOKUP(B91,'Data yoy'!$A:$AW,MATCH($N$1,'Data yoy'!$A$1:$AW$1,),)=0,#N/A,VLOOKUP(B91,'Data yoy'!$A:$AW,MATCH($N$1,'Data yoy'!$A$1:$AW$1,),))</f>
        <v>0.60514174399999998</v>
      </c>
      <c r="O91" s="25">
        <f>IF(VLOOKUP(B91,'Data yoy'!$A:$AW,MATCH($O$1,'Data yoy'!$A$1:$AW$1,),)=0,#N/A,VLOOKUP(B91,'Data yoy'!$A:$AW,MATCH($O$1,'Data yoy'!$A$1:$AW$1,),))</f>
        <v>2.2841</v>
      </c>
      <c r="P91" s="25">
        <f>IF(VLOOKUP(B91,'Data yoy'!$A:$AW,MATCH($P$1,'Data yoy'!$A$1:$AW$1,),)=0,#N/A,VLOOKUP(B91,'Data yoy'!$A:$AW,MATCH($P$1,'Data yoy'!$A$1:$AW$1,),))</f>
        <v>-0.567093183</v>
      </c>
      <c r="Q91" s="25">
        <f>IF(VLOOKUP(B91,'Data yoy'!$A:$AW,MATCH($Q$1,'Data yoy'!$A$1:$AW$1,),)=0,#N/A,VLOOKUP(B91,'Data yoy'!$A:$AW,MATCH($Q$1,'Data yoy'!$A$1:$AW$1,),))</f>
        <v>1.613254323</v>
      </c>
      <c r="R91" s="25">
        <f>IF(VLOOKUP(B91,'Data yoy'!$A:$AW,MATCH($R$1,'Data yoy'!$A$1:$AW$1,),)=0,#N/A,VLOOKUP(B91,'Data yoy'!$A:$AW,MATCH($R$1,'Data yoy'!$A$1:$AW$1,),))</f>
        <v>4.0369119000000002E-2</v>
      </c>
      <c r="S91" s="25">
        <f>IF(VLOOKUP(B91,'Data yoy'!$A:$AW,MATCH($S$1,'Data yoy'!$A$1:$AW$1,),)=0,#N/A,VLOOKUP(B91,'Data yoy'!$A:$AW,MATCH($S$1,'Data yoy'!$A$1:$AW$1,),))</f>
        <v>1.5082656480000001</v>
      </c>
      <c r="T91" s="25">
        <f>IF(VLOOKUP(B91,'Data yoy'!$A:$AW,MATCH($T$1,'Data yoy'!$A$1:$AW$1,),)=0,#N/A,VLOOKUP(B91,'Data yoy'!$A:$AW,MATCH($T$1,'Data yoy'!$A$1:$AW$1,),))</f>
        <v>-1.3643969709999999</v>
      </c>
      <c r="U91" s="25">
        <f>IF(VLOOKUP(B91,'Data yoy'!$A:$AW,MATCH($U$1,'Data yoy'!$A$1:$AW$1,),)=0,#N/A,VLOOKUP(B91,'Data yoy'!$A:$AW,MATCH($U$1,'Data yoy'!$A$1:$AW$1,),))</f>
        <v>-1.415553364</v>
      </c>
      <c r="V91" s="25">
        <f>IF(VLOOKUP(B91,'Data yoy'!$A:$AW,MATCH($V$1,'Data yoy'!$A$1:$AW$1,),)=0,#N/A,VLOOKUP(B91,'Data yoy'!$A:$AW,MATCH($V$1,'Data yoy'!$A$1:$AW$1,),))</f>
        <v>7.5467265440000002</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2.6065272159999999</v>
      </c>
      <c r="Z91" s="25">
        <f>IF(VLOOKUP(B91,'Data yoy'!$A:$AW,MATCH($Z$1,'Data yoy'!$A$1:$AW$1,),)=0,#N/A,VLOOKUP(B91,'Data yoy'!$A:$AW,MATCH($Z$1,'Data yoy'!$A$1:$AW$1,),))</f>
        <v>-4.8504516300000002</v>
      </c>
      <c r="AA91" s="25">
        <f>IF(VLOOKUP(B91,'Data yoy'!$A:$AW,MATCH($AA$1,'Data yoy'!$A$1:$AW$1,),)=0,#N/A,VLOOKUP(B91,'Data yoy'!$A:$AW,MATCH($AA$1,'Data yoy'!$A$1:$AW$1,),))</f>
        <v>0.54162894500000003</v>
      </c>
      <c r="AC91" s="26" t="str">
        <f t="shared" si="13"/>
        <v>2020-Q1</v>
      </c>
      <c r="AD91" s="27">
        <f t="shared" si="14"/>
        <v>-1.963017842</v>
      </c>
      <c r="AE91" s="27">
        <f t="shared" si="15"/>
        <v>-2.8618423659999999</v>
      </c>
      <c r="AF91" s="27">
        <f t="shared" si="16"/>
        <v>0.8988245239999999</v>
      </c>
    </row>
    <row r="92" spans="2:32" s="73" customFormat="1" x14ac:dyDescent="0.2">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-14.343991969999999</v>
      </c>
      <c r="F92" s="25">
        <f>IF(VLOOKUP(B92,'Data yoy'!$A:$AW,MATCH($F$1,'Data yoy'!$A$1:$AW$1,),)=0,#N/A,VLOOKUP(B92,'Data yoy'!$A:$AW,MATCH($F$1,'Data yoy'!$A$1:$AW$1,),))</f>
        <v>-10.266544911</v>
      </c>
      <c r="G92" s="25">
        <f>IF(VLOOKUP(B92,'Data yoy'!$A:$AW,MATCH($G$1,'Data yoy'!$A$1:$AW$1,),)=0,#N/A,VLOOKUP(B92,'Data yoy'!$A:$AW,MATCH($G$1,'Data yoy'!$A$1:$AW$1,),))</f>
        <v>-10.435831326000001</v>
      </c>
      <c r="H92" s="25">
        <f>IF(VLOOKUP(B92,'Data yoy'!$A:$AW,MATCH($H$1,'Data yoy'!$A$1:$AW$1,),)=0,#N/A,VLOOKUP(B92,'Data yoy'!$A:$AW,MATCH($H$1,'Data yoy'!$A$1:$AW$1,),))</f>
        <v>-18.593578764</v>
      </c>
      <c r="I92" s="25">
        <f>IF(VLOOKUP(B92,'Data yoy'!$A:$AW,MATCH($I$1,'Data yoy'!$A$1:$AW$1,),)=0,#N/A,VLOOKUP(B92,'Data yoy'!$A:$AW,MATCH($I$1,'Data yoy'!$A$1:$AW$1,),))</f>
        <v>-22.627407624</v>
      </c>
      <c r="J92" s="25">
        <f>IF(VLOOKUP(B92,'Data yoy'!$A:$AW,MATCH($J$1,'Data yoy'!$A$1:$AW$1,),)=0,#N/A,VLOOKUP(B92,'Data yoy'!$A:$AW,MATCH($J$1,'Data yoy'!$A$1:$AW$1,),))</f>
        <v>-17.887970238000001</v>
      </c>
      <c r="K92" s="25">
        <f>IF(VLOOKUP(B92,'Data yoy'!$A:$AW,MATCH($K$1,'Data yoy'!$A$1:$AW$1,),)=0,#N/A,VLOOKUP(B92,'Data yoy'!$A:$AW,MATCH($K$1,'Data yoy'!$A$1:$AW$1,),))</f>
        <v>-21.937066645000002</v>
      </c>
      <c r="L92" s="25">
        <f>IF(VLOOKUP(B92,'Data yoy'!$A:$AW,MATCH($L$1,'Data yoy'!$A$1:$AW$1,),)=0,#N/A,VLOOKUP(B92,'Data yoy'!$A:$AW,MATCH($L$1,'Data yoy'!$A$1:$AW$1,),))</f>
        <v>-7.6953849840000004</v>
      </c>
      <c r="M92" s="25">
        <f>IF(VLOOKUP(B92,'Data yoy'!$A:$AW,MATCH($M$1,'Data yoy'!$A$1:$AW$1,),)=0,#N/A,VLOOKUP(B92,'Data yoy'!$A:$AW,MATCH($M$1,'Data yoy'!$A$1:$AW$1,),))</f>
        <v>-18.876815884999999</v>
      </c>
      <c r="N92" s="25">
        <f>IF(VLOOKUP(B92,'Data yoy'!$A:$AW,MATCH($N$1,'Data yoy'!$A$1:$AW$1,),)=0,#N/A,VLOOKUP(B92,'Data yoy'!$A:$AW,MATCH($N$1,'Data yoy'!$A$1:$AW$1,),))</f>
        <v>-6.0322870870000003</v>
      </c>
      <c r="O92" s="25">
        <f>IF(VLOOKUP(B92,'Data yoy'!$A:$AW,MATCH($O$1,'Data yoy'!$A$1:$AW$1,),)=0,#N/A,VLOOKUP(B92,'Data yoy'!$A:$AW,MATCH($O$1,'Data yoy'!$A$1:$AW$1,),))</f>
        <v>-22.99906</v>
      </c>
      <c r="P92" s="25">
        <f>IF(VLOOKUP(B92,'Data yoy'!$A:$AW,MATCH($P$1,'Data yoy'!$A$1:$AW$1,),)=0,#N/A,VLOOKUP(B92,'Data yoy'!$A:$AW,MATCH($P$1,'Data yoy'!$A$1:$AW$1,),))</f>
        <v>-12.414749165</v>
      </c>
      <c r="Q92" s="25">
        <f>IF(VLOOKUP(B92,'Data yoy'!$A:$AW,MATCH($Q$1,'Data yoy'!$A$1:$AW$1,),)=0,#N/A,VLOOKUP(B92,'Data yoy'!$A:$AW,MATCH($Q$1,'Data yoy'!$A$1:$AW$1,),))</f>
        <v>-5.9748465519999998</v>
      </c>
      <c r="R92" s="25">
        <f>IF(VLOOKUP(B92,'Data yoy'!$A:$AW,MATCH($R$1,'Data yoy'!$A$1:$AW$1,),)=0,#N/A,VLOOKUP(B92,'Data yoy'!$A:$AW,MATCH($R$1,'Data yoy'!$A$1:$AW$1,),))</f>
        <v>-7.4210790480000002</v>
      </c>
      <c r="S92" s="25">
        <f>IF(VLOOKUP(B92,'Data yoy'!$A:$AW,MATCH($S$1,'Data yoy'!$A$1:$AW$1,),)=0,#N/A,VLOOKUP(B92,'Data yoy'!$A:$AW,MATCH($S$1,'Data yoy'!$A$1:$AW$1,),))</f>
        <v>-2.5967072330000001</v>
      </c>
      <c r="T92" s="25">
        <f>IF(VLOOKUP(B92,'Data yoy'!$A:$AW,MATCH($T$1,'Data yoy'!$A$1:$AW$1,),)=0,#N/A,VLOOKUP(B92,'Data yoy'!$A:$AW,MATCH($T$1,'Data yoy'!$A$1:$AW$1,),))</f>
        <v>-10.706649822999999</v>
      </c>
      <c r="U92" s="25">
        <f>IF(VLOOKUP(B92,'Data yoy'!$A:$AW,MATCH($U$1,'Data yoy'!$A$1:$AW$1,),)=0,#N/A,VLOOKUP(B92,'Data yoy'!$A:$AW,MATCH($U$1,'Data yoy'!$A$1:$AW$1,),))</f>
        <v>-15.481819508999999</v>
      </c>
      <c r="V92" s="25">
        <f>IF(VLOOKUP(B92,'Data yoy'!$A:$AW,MATCH($V$1,'Data yoy'!$A$1:$AW$1,),)=0,#N/A,VLOOKUP(B92,'Data yoy'!$A:$AW,MATCH($V$1,'Data yoy'!$A$1:$AW$1,),))</f>
        <v>-0.18581857299999999</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-7.4666263480000001</v>
      </c>
      <c r="Z92" s="25">
        <f>IF(VLOOKUP(B92,'Data yoy'!$A:$AW,MATCH($Z$1,'Data yoy'!$A$1:$AW$1,),)=0,#N/A,VLOOKUP(B92,'Data yoy'!$A:$AW,MATCH($Z$1,'Data yoy'!$A$1:$AW$1,),))</f>
        <v>-19.678730972</v>
      </c>
      <c r="AA92" s="25">
        <f>IF(VLOOKUP(B92,'Data yoy'!$A:$AW,MATCH($AA$1,'Data yoy'!$A$1:$AW$1,),)=0,#N/A,VLOOKUP(B92,'Data yoy'!$A:$AW,MATCH($AA$1,'Data yoy'!$A$1:$AW$1,),))</f>
        <v>-10.392473452000001</v>
      </c>
      <c r="AC92" s="26" t="str">
        <f t="shared" si="13"/>
        <v>2020-Q2</v>
      </c>
      <c r="AD92" s="27">
        <f t="shared" si="14"/>
        <v>-22.627407624</v>
      </c>
      <c r="AE92" s="27">
        <f t="shared" si="15"/>
        <v>-14.343991969999999</v>
      </c>
      <c r="AF92" s="27">
        <f t="shared" si="16"/>
        <v>-8.2834156540000006</v>
      </c>
    </row>
    <row r="93" spans="2:32" s="73" customFormat="1" x14ac:dyDescent="0.2">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-3.7136426199999999</v>
      </c>
      <c r="F93" s="25">
        <f>IF(VLOOKUP(B93,'Data yoy'!$A:$AW,MATCH($F$1,'Data yoy'!$A$1:$AW$1,),)=0,#N/A,VLOOKUP(B93,'Data yoy'!$A:$AW,MATCH($F$1,'Data yoy'!$A$1:$AW$1,),))</f>
        <v>-5.3139635439999999</v>
      </c>
      <c r="G93" s="25">
        <f>IF(VLOOKUP(B93,'Data yoy'!$A:$AW,MATCH($G$1,'Data yoy'!$A$1:$AW$1,),)=0,#N/A,VLOOKUP(B93,'Data yoy'!$A:$AW,MATCH($G$1,'Data yoy'!$A$1:$AW$1,),))</f>
        <v>-2.4800895889999999</v>
      </c>
      <c r="H93" s="25">
        <f>IF(VLOOKUP(B93,'Data yoy'!$A:$AW,MATCH($H$1,'Data yoy'!$A$1:$AW$1,),)=0,#N/A,VLOOKUP(B93,'Data yoy'!$A:$AW,MATCH($H$1,'Data yoy'!$A$1:$AW$1,),))</f>
        <v>-3.588460102</v>
      </c>
      <c r="I93" s="25">
        <f>IF(VLOOKUP(B93,'Data yoy'!$A:$AW,MATCH($I$1,'Data yoy'!$A$1:$AW$1,),)=0,#N/A,VLOOKUP(B93,'Data yoy'!$A:$AW,MATCH($I$1,'Data yoy'!$A$1:$AW$1,),))</f>
        <v>-10.324677638000001</v>
      </c>
      <c r="J93" s="25">
        <f>IF(VLOOKUP(B93,'Data yoy'!$A:$AW,MATCH($J$1,'Data yoy'!$A$1:$AW$1,),)=0,#N/A,VLOOKUP(B93,'Data yoy'!$A:$AW,MATCH($J$1,'Data yoy'!$A$1:$AW$1,),))</f>
        <v>-6.038217554</v>
      </c>
      <c r="K93" s="25">
        <f>IF(VLOOKUP(B93,'Data yoy'!$A:$AW,MATCH($K$1,'Data yoy'!$A$1:$AW$1,),)=0,#N/A,VLOOKUP(B93,'Data yoy'!$A:$AW,MATCH($K$1,'Data yoy'!$A$1:$AW$1,),))</f>
        <v>-9.2168180829999997</v>
      </c>
      <c r="L93" s="25">
        <f>IF(VLOOKUP(B93,'Data yoy'!$A:$AW,MATCH($L$1,'Data yoy'!$A$1:$AW$1,),)=0,#N/A,VLOOKUP(B93,'Data yoy'!$A:$AW,MATCH($L$1,'Data yoy'!$A$1:$AW$1,),))</f>
        <v>-1.095142786</v>
      </c>
      <c r="M93" s="25">
        <f>IF(VLOOKUP(B93,'Data yoy'!$A:$AW,MATCH($M$1,'Data yoy'!$A$1:$AW$1,),)=0,#N/A,VLOOKUP(B93,'Data yoy'!$A:$AW,MATCH($M$1,'Data yoy'!$A$1:$AW$1,),))</f>
        <v>-8.3292146670000005</v>
      </c>
      <c r="N93" s="25">
        <f>IF(VLOOKUP(B93,'Data yoy'!$A:$AW,MATCH($N$1,'Data yoy'!$A$1:$AW$1,),)=0,#N/A,VLOOKUP(B93,'Data yoy'!$A:$AW,MATCH($N$1,'Data yoy'!$A$1:$AW$1,),))</f>
        <v>-2.467576233</v>
      </c>
      <c r="O93" s="25">
        <f>IF(VLOOKUP(B93,'Data yoy'!$A:$AW,MATCH($O$1,'Data yoy'!$A$1:$AW$1,),)=0,#N/A,VLOOKUP(B93,'Data yoy'!$A:$AW,MATCH($O$1,'Data yoy'!$A$1:$AW$1,),))</f>
        <v>-6.0288899999999996</v>
      </c>
      <c r="P93" s="25">
        <f>IF(VLOOKUP(B93,'Data yoy'!$A:$AW,MATCH($P$1,'Data yoy'!$A$1:$AW$1,),)=0,#N/A,VLOOKUP(B93,'Data yoy'!$A:$AW,MATCH($P$1,'Data yoy'!$A$1:$AW$1,),))</f>
        <v>-4.8569047669999996</v>
      </c>
      <c r="Q93" s="25">
        <f>IF(VLOOKUP(B93,'Data yoy'!$A:$AW,MATCH($Q$1,'Data yoy'!$A$1:$AW$1,),)=0,#N/A,VLOOKUP(B93,'Data yoy'!$A:$AW,MATCH($Q$1,'Data yoy'!$A$1:$AW$1,),))</f>
        <v>-3.4922396880000002</v>
      </c>
      <c r="R93" s="25">
        <f>IF(VLOOKUP(B93,'Data yoy'!$A:$AW,MATCH($R$1,'Data yoy'!$A$1:$AW$1,),)=0,#N/A,VLOOKUP(B93,'Data yoy'!$A:$AW,MATCH($R$1,'Data yoy'!$A$1:$AW$1,),))</f>
        <v>-1.1985316189999999</v>
      </c>
      <c r="S93" s="25">
        <f>IF(VLOOKUP(B93,'Data yoy'!$A:$AW,MATCH($S$1,'Data yoy'!$A$1:$AW$1,),)=0,#N/A,VLOOKUP(B93,'Data yoy'!$A:$AW,MATCH($S$1,'Data yoy'!$A$1:$AW$1,),))</f>
        <v>-0.83293149700000002</v>
      </c>
      <c r="T93" s="25">
        <f>IF(VLOOKUP(B93,'Data yoy'!$A:$AW,MATCH($T$1,'Data yoy'!$A$1:$AW$1,),)=0,#N/A,VLOOKUP(B93,'Data yoy'!$A:$AW,MATCH($T$1,'Data yoy'!$A$1:$AW$1,),))</f>
        <v>-3.6740588860000001</v>
      </c>
      <c r="U93" s="25">
        <f>IF(VLOOKUP(B93,'Data yoy'!$A:$AW,MATCH($U$1,'Data yoy'!$A$1:$AW$1,),)=0,#N/A,VLOOKUP(B93,'Data yoy'!$A:$AW,MATCH($U$1,'Data yoy'!$A$1:$AW$1,),))</f>
        <v>-10.799349328</v>
      </c>
      <c r="V93" s="25">
        <f>IF(VLOOKUP(B93,'Data yoy'!$A:$AW,MATCH($V$1,'Data yoy'!$A$1:$AW$1,),)=0,#N/A,VLOOKUP(B93,'Data yoy'!$A:$AW,MATCH($V$1,'Data yoy'!$A$1:$AW$1,),))</f>
        <v>10.912805689000001</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-1.563538417</v>
      </c>
      <c r="Z93" s="25">
        <f>IF(VLOOKUP(B93,'Data yoy'!$A:$AW,MATCH($Z$1,'Data yoy'!$A$1:$AW$1,),)=0,#N/A,VLOOKUP(B93,'Data yoy'!$A:$AW,MATCH($Z$1,'Data yoy'!$A$1:$AW$1,),))</f>
        <v>-10.27124396</v>
      </c>
      <c r="AA93" s="25">
        <f>IF(VLOOKUP(B93,'Data yoy'!$A:$AW,MATCH($AA$1,'Data yoy'!$A$1:$AW$1,),)=0,#N/A,VLOOKUP(B93,'Data yoy'!$A:$AW,MATCH($AA$1,'Data yoy'!$A$1:$AW$1,),))</f>
        <v>1.020816653</v>
      </c>
      <c r="AC93" s="26" t="str">
        <f t="shared" si="13"/>
        <v>2020-Q3</v>
      </c>
      <c r="AD93" s="27">
        <f t="shared" si="14"/>
        <v>-10.324677638000001</v>
      </c>
      <c r="AE93" s="27">
        <f t="shared" si="15"/>
        <v>-3.7136426199999999</v>
      </c>
      <c r="AF93" s="27">
        <f t="shared" si="16"/>
        <v>-6.6110350180000008</v>
      </c>
    </row>
    <row r="94" spans="2:32" s="73" customFormat="1" x14ac:dyDescent="0.2">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-4.0767567959999997</v>
      </c>
      <c r="F94" s="25">
        <f>IF(VLOOKUP(B94,'Data yoy'!$A:$AW,MATCH($F$1,'Data yoy'!$A$1:$AW$1,),)=0,#N/A,VLOOKUP(B94,'Data yoy'!$A:$AW,MATCH($F$1,'Data yoy'!$A$1:$AW$1,),))</f>
        <v>-0.85435114700000003</v>
      </c>
      <c r="G94" s="25">
        <f>IF(VLOOKUP(B94,'Data yoy'!$A:$AW,MATCH($G$1,'Data yoy'!$A$1:$AW$1,),)=0,#N/A,VLOOKUP(B94,'Data yoy'!$A:$AW,MATCH($G$1,'Data yoy'!$A$1:$AW$1,),))</f>
        <v>-2.1295454679999999</v>
      </c>
      <c r="H94" s="25">
        <f>IF(VLOOKUP(B94,'Data yoy'!$A:$AW,MATCH($H$1,'Data yoy'!$A$1:$AW$1,),)=0,#N/A,VLOOKUP(B94,'Data yoy'!$A:$AW,MATCH($H$1,'Data yoy'!$A$1:$AW$1,),))</f>
        <v>-4.1909825959999996</v>
      </c>
      <c r="I94" s="25">
        <f>IF(VLOOKUP(B94,'Data yoy'!$A:$AW,MATCH($I$1,'Data yoy'!$A$1:$AW$1,),)=0,#N/A,VLOOKUP(B94,'Data yoy'!$A:$AW,MATCH($I$1,'Data yoy'!$A$1:$AW$1,),))</f>
        <v>-9.2133274190000005</v>
      </c>
      <c r="J94" s="25">
        <f>IF(VLOOKUP(B94,'Data yoy'!$A:$AW,MATCH($J$1,'Data yoy'!$A$1:$AW$1,),)=0,#N/A,VLOOKUP(B94,'Data yoy'!$A:$AW,MATCH($J$1,'Data yoy'!$A$1:$AW$1,),))</f>
        <v>-6.0748716680000001</v>
      </c>
      <c r="K94" s="25">
        <f>IF(VLOOKUP(B94,'Data yoy'!$A:$AW,MATCH($K$1,'Data yoy'!$A$1:$AW$1,),)=0,#N/A,VLOOKUP(B94,'Data yoy'!$A:$AW,MATCH($K$1,'Data yoy'!$A$1:$AW$1,),))</f>
        <v>-9.4669676190000001</v>
      </c>
      <c r="L94" s="25">
        <f>IF(VLOOKUP(B94,'Data yoy'!$A:$AW,MATCH($L$1,'Data yoy'!$A$1:$AW$1,),)=0,#N/A,VLOOKUP(B94,'Data yoy'!$A:$AW,MATCH($L$1,'Data yoy'!$A$1:$AW$1,),))</f>
        <v>-1.549915377</v>
      </c>
      <c r="M94" s="25">
        <f>IF(VLOOKUP(B94,'Data yoy'!$A:$AW,MATCH($M$1,'Data yoy'!$A$1:$AW$1,),)=0,#N/A,VLOOKUP(B94,'Data yoy'!$A:$AW,MATCH($M$1,'Data yoy'!$A$1:$AW$1,),))</f>
        <v>-4.2390200619999998</v>
      </c>
      <c r="N94" s="25">
        <f>IF(VLOOKUP(B94,'Data yoy'!$A:$AW,MATCH($N$1,'Data yoy'!$A$1:$AW$1,),)=0,#N/A,VLOOKUP(B94,'Data yoy'!$A:$AW,MATCH($N$1,'Data yoy'!$A$1:$AW$1,),))</f>
        <v>-1.2994789870000001</v>
      </c>
      <c r="O94" s="25">
        <f>IF(VLOOKUP(B94,'Data yoy'!$A:$AW,MATCH($O$1,'Data yoy'!$A$1:$AW$1,),)=0,#N/A,VLOOKUP(B94,'Data yoy'!$A:$AW,MATCH($O$1,'Data yoy'!$A$1:$AW$1,),))</f>
        <v>1.0043899999999999</v>
      </c>
      <c r="P94" s="25">
        <f>IF(VLOOKUP(B94,'Data yoy'!$A:$AW,MATCH($P$1,'Data yoy'!$A$1:$AW$1,),)=0,#N/A,VLOOKUP(B94,'Data yoy'!$A:$AW,MATCH($P$1,'Data yoy'!$A$1:$AW$1,),))</f>
        <v>-3.0624428049999999</v>
      </c>
      <c r="Q94" s="25">
        <f>IF(VLOOKUP(B94,'Data yoy'!$A:$AW,MATCH($Q$1,'Data yoy'!$A$1:$AW$1,),)=0,#N/A,VLOOKUP(B94,'Data yoy'!$A:$AW,MATCH($Q$1,'Data yoy'!$A$1:$AW$1,),))</f>
        <v>-0.68674386399999998</v>
      </c>
      <c r="R94" s="25">
        <f>IF(VLOOKUP(B94,'Data yoy'!$A:$AW,MATCH($R$1,'Data yoy'!$A$1:$AW$1,),)=0,#N/A,VLOOKUP(B94,'Data yoy'!$A:$AW,MATCH($R$1,'Data yoy'!$A$1:$AW$1,),))</f>
        <v>-1.484938841</v>
      </c>
      <c r="S94" s="25">
        <f>IF(VLOOKUP(B94,'Data yoy'!$A:$AW,MATCH($S$1,'Data yoy'!$A$1:$AW$1,),)=0,#N/A,VLOOKUP(B94,'Data yoy'!$A:$AW,MATCH($S$1,'Data yoy'!$A$1:$AW$1,),))</f>
        <v>-0.88911242599999996</v>
      </c>
      <c r="T94" s="25">
        <f>IF(VLOOKUP(B94,'Data yoy'!$A:$AW,MATCH($T$1,'Data yoy'!$A$1:$AW$1,),)=0,#N/A,VLOOKUP(B94,'Data yoy'!$A:$AW,MATCH($T$1,'Data yoy'!$A$1:$AW$1,),))</f>
        <v>-0.96356350400000002</v>
      </c>
      <c r="U94" s="25">
        <f>IF(VLOOKUP(B94,'Data yoy'!$A:$AW,MATCH($U$1,'Data yoy'!$A$1:$AW$1,),)=0,#N/A,VLOOKUP(B94,'Data yoy'!$A:$AW,MATCH($U$1,'Data yoy'!$A$1:$AW$1,),))</f>
        <v>-6.8607796949999997</v>
      </c>
      <c r="V94" s="25">
        <f>IF(VLOOKUP(B94,'Data yoy'!$A:$AW,MATCH($V$1,'Data yoy'!$A$1:$AW$1,),)=0,#N/A,VLOOKUP(B94,'Data yoy'!$A:$AW,MATCH($V$1,'Data yoy'!$A$1:$AW$1,),))</f>
        <v>4.2375851090000003</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-2.0684468819999999</v>
      </c>
      <c r="Z94" s="25">
        <f>IF(VLOOKUP(B94,'Data yoy'!$A:$AW,MATCH($Z$1,'Data yoy'!$A$1:$AW$1,),)=0,#N/A,VLOOKUP(B94,'Data yoy'!$A:$AW,MATCH($Z$1,'Data yoy'!$A$1:$AW$1,),))</f>
        <v>-4.8511772820000001</v>
      </c>
      <c r="AA94" s="25">
        <f>IF(VLOOKUP(B94,'Data yoy'!$A:$AW,MATCH($AA$1,'Data yoy'!$A$1:$AW$1,),)=0,#N/A,VLOOKUP(B94,'Data yoy'!$A:$AW,MATCH($AA$1,'Data yoy'!$A$1:$AW$1,),))</f>
        <v>0.27010435900000002</v>
      </c>
      <c r="AC94" s="26" t="str">
        <f t="shared" si="13"/>
        <v>2020-Q4</v>
      </c>
      <c r="AD94" s="27">
        <f t="shared" si="14"/>
        <v>-9.2133274190000005</v>
      </c>
      <c r="AE94" s="27">
        <f t="shared" si="15"/>
        <v>-4.0767567959999997</v>
      </c>
      <c r="AF94" s="27">
        <f t="shared" si="16"/>
        <v>-5.1365706230000008</v>
      </c>
    </row>
    <row r="95" spans="2:32" s="73" customFormat="1" x14ac:dyDescent="0.2">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-0.80290243900000002</v>
      </c>
      <c r="F95" s="25">
        <f>IF(VLOOKUP(B95,'Data yoy'!$A:$AW,MATCH($F$1,'Data yoy'!$A$1:$AW$1,),)=0,#N/A,VLOOKUP(B95,'Data yoy'!$A:$AW,MATCH($F$1,'Data yoy'!$A$1:$AW$1,),))</f>
        <v>-1.7353631819999999</v>
      </c>
      <c r="G95" s="25">
        <f>IF(VLOOKUP(B95,'Data yoy'!$A:$AW,MATCH($G$1,'Data yoy'!$A$1:$AW$1,),)=0,#N/A,VLOOKUP(B95,'Data yoy'!$A:$AW,MATCH($G$1,'Data yoy'!$A$1:$AW$1,),))</f>
        <v>-2.1745039080000002</v>
      </c>
      <c r="H95" s="25">
        <f>IF(VLOOKUP(B95,'Data yoy'!$A:$AW,MATCH($H$1,'Data yoy'!$A$1:$AW$1,),)=0,#N/A,VLOOKUP(B95,'Data yoy'!$A:$AW,MATCH($H$1,'Data yoy'!$A$1:$AW$1,),))</f>
        <v>1.527283344</v>
      </c>
      <c r="I95" s="25">
        <f>IF(VLOOKUP(B95,'Data yoy'!$A:$AW,MATCH($I$1,'Data yoy'!$A$1:$AW$1,),)=0,#N/A,VLOOKUP(B95,'Data yoy'!$A:$AW,MATCH($I$1,'Data yoy'!$A$1:$AW$1,),))</f>
        <v>-7.8409558749999997</v>
      </c>
      <c r="J95" s="25">
        <f>IF(VLOOKUP(B95,'Data yoy'!$A:$AW,MATCH($J$1,'Data yoy'!$A$1:$AW$1,),)=0,#N/A,VLOOKUP(B95,'Data yoy'!$A:$AW,MATCH($J$1,'Data yoy'!$A$1:$AW$1,),))</f>
        <v>5.6934296000000002E-2</v>
      </c>
      <c r="K95" s="25">
        <f>IF(VLOOKUP(B95,'Data yoy'!$A:$AW,MATCH($K$1,'Data yoy'!$A$1:$AW$1,),)=0,#N/A,VLOOKUP(B95,'Data yoy'!$A:$AW,MATCH($K$1,'Data yoy'!$A$1:$AW$1,),))</f>
        <v>-4.4298028690000004</v>
      </c>
      <c r="L95" s="25">
        <f>IF(VLOOKUP(B95,'Data yoy'!$A:$AW,MATCH($L$1,'Data yoy'!$A$1:$AW$1,),)=0,#N/A,VLOOKUP(B95,'Data yoy'!$A:$AW,MATCH($L$1,'Data yoy'!$A$1:$AW$1,),))</f>
        <v>0.12839677399999999</v>
      </c>
      <c r="M95" s="25">
        <f>IF(VLOOKUP(B95,'Data yoy'!$A:$AW,MATCH($M$1,'Data yoy'!$A$1:$AW$1,),)=0,#N/A,VLOOKUP(B95,'Data yoy'!$A:$AW,MATCH($M$1,'Data yoy'!$A$1:$AW$1,),))</f>
        <v>-2.8708536690000002</v>
      </c>
      <c r="N95" s="25">
        <f>IF(VLOOKUP(B95,'Data yoy'!$A:$AW,MATCH($N$1,'Data yoy'!$A$1:$AW$1,),)=0,#N/A,VLOOKUP(B95,'Data yoy'!$A:$AW,MATCH($N$1,'Data yoy'!$A$1:$AW$1,),))</f>
        <v>-0.43206129399999998</v>
      </c>
      <c r="O95" s="25">
        <f>IF(VLOOKUP(B95,'Data yoy'!$A:$AW,MATCH($O$1,'Data yoy'!$A$1:$AW$1,),)=0,#N/A,VLOOKUP(B95,'Data yoy'!$A:$AW,MATCH($O$1,'Data yoy'!$A$1:$AW$1,),))</f>
        <v>1.4560599999999999</v>
      </c>
      <c r="P95" s="25">
        <f>IF(VLOOKUP(B95,'Data yoy'!$A:$AW,MATCH($P$1,'Data yoy'!$A$1:$AW$1,),)=0,#N/A,VLOOKUP(B95,'Data yoy'!$A:$AW,MATCH($P$1,'Data yoy'!$A$1:$AW$1,),))</f>
        <v>0.15774503100000001</v>
      </c>
      <c r="Q95" s="25">
        <f>IF(VLOOKUP(B95,'Data yoy'!$A:$AW,MATCH($Q$1,'Data yoy'!$A$1:$AW$1,),)=0,#N/A,VLOOKUP(B95,'Data yoy'!$A:$AW,MATCH($Q$1,'Data yoy'!$A$1:$AW$1,),))</f>
        <v>1.475570472</v>
      </c>
      <c r="R95" s="25">
        <f>IF(VLOOKUP(B95,'Data yoy'!$A:$AW,MATCH($R$1,'Data yoy'!$A$1:$AW$1,),)=0,#N/A,VLOOKUP(B95,'Data yoy'!$A:$AW,MATCH($R$1,'Data yoy'!$A$1:$AW$1,),))</f>
        <v>-0.100505185</v>
      </c>
      <c r="S95" s="25">
        <f>IF(VLOOKUP(B95,'Data yoy'!$A:$AW,MATCH($S$1,'Data yoy'!$A$1:$AW$1,),)=0,#N/A,VLOOKUP(B95,'Data yoy'!$A:$AW,MATCH($S$1,'Data yoy'!$A$1:$AW$1,),))</f>
        <v>2.1863227329999999</v>
      </c>
      <c r="T95" s="25">
        <f>IF(VLOOKUP(B95,'Data yoy'!$A:$AW,MATCH($T$1,'Data yoy'!$A$1:$AW$1,),)=0,#N/A,VLOOKUP(B95,'Data yoy'!$A:$AW,MATCH($T$1,'Data yoy'!$A$1:$AW$1,),))</f>
        <v>2.5140877480000001</v>
      </c>
      <c r="U95" s="25">
        <f>IF(VLOOKUP(B95,'Data yoy'!$A:$AW,MATCH($U$1,'Data yoy'!$A$1:$AW$1,),)=0,#N/A,VLOOKUP(B95,'Data yoy'!$A:$AW,MATCH($U$1,'Data yoy'!$A$1:$AW$1,),))</f>
        <v>-1.7830701410000001</v>
      </c>
      <c r="V95" s="25">
        <f>IF(VLOOKUP(B95,'Data yoy'!$A:$AW,MATCH($V$1,'Data yoy'!$A$1:$AW$1,),)=0,#N/A,VLOOKUP(B95,'Data yoy'!$A:$AW,MATCH($V$1,'Data yoy'!$A$1:$AW$1,),))</f>
        <v>10.709855393</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-1.1277082140000001</v>
      </c>
      <c r="Z95" s="25">
        <f>IF(VLOOKUP(B95,'Data yoy'!$A:$AW,MATCH($Z$1,'Data yoy'!$A$1:$AW$1,),)=0,#N/A,VLOOKUP(B95,'Data yoy'!$A:$AW,MATCH($Z$1,'Data yoy'!$A$1:$AW$1,),))</f>
        <v>2.8849033400000001</v>
      </c>
      <c r="AA95" s="25">
        <f>IF(VLOOKUP(B95,'Data yoy'!$A:$AW,MATCH($AA$1,'Data yoy'!$A$1:$AW$1,),)=0,#N/A,VLOOKUP(B95,'Data yoy'!$A:$AW,MATCH($AA$1,'Data yoy'!$A$1:$AW$1,),))</f>
        <v>3.1825873659999999</v>
      </c>
      <c r="AC95" s="26" t="str">
        <f t="shared" si="13"/>
        <v>2021-Q1</v>
      </c>
      <c r="AD95" s="27">
        <f t="shared" si="14"/>
        <v>-7.8409558749999997</v>
      </c>
      <c r="AE95" s="27">
        <f t="shared" si="15"/>
        <v>-0.80290243900000002</v>
      </c>
      <c r="AF95" s="27">
        <f t="shared" si="16"/>
        <v>-7.0380534359999993</v>
      </c>
    </row>
    <row r="96" spans="2:32" s="73" customFormat="1" x14ac:dyDescent="0.2">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14.376851167</v>
      </c>
      <c r="F96" s="25">
        <f>IF(VLOOKUP(B96,'Data yoy'!$A:$AW,MATCH($F$1,'Data yoy'!$A$1:$AW$1,),)=0,#N/A,VLOOKUP(B96,'Data yoy'!$A:$AW,MATCH($F$1,'Data yoy'!$A$1:$AW$1,),))</f>
        <v>7.26929216</v>
      </c>
      <c r="G96" s="25">
        <f>IF(VLOOKUP(B96,'Data yoy'!$A:$AW,MATCH($G$1,'Data yoy'!$A$1:$AW$1,),)=0,#N/A,VLOOKUP(B96,'Data yoy'!$A:$AW,MATCH($G$1,'Data yoy'!$A$1:$AW$1,),))</f>
        <v>10.156264054999999</v>
      </c>
      <c r="H96" s="25">
        <f>IF(VLOOKUP(B96,'Data yoy'!$A:$AW,MATCH($H$1,'Data yoy'!$A$1:$AW$1,),)=0,#N/A,VLOOKUP(B96,'Data yoy'!$A:$AW,MATCH($H$1,'Data yoy'!$A$1:$AW$1,),))</f>
        <v>18.646468769999998</v>
      </c>
      <c r="I96" s="25">
        <f>IF(VLOOKUP(B96,'Data yoy'!$A:$AW,MATCH($I$1,'Data yoy'!$A$1:$AW$1,),)=0,#N/A,VLOOKUP(B96,'Data yoy'!$A:$AW,MATCH($I$1,'Data yoy'!$A$1:$AW$1,),))</f>
        <v>24.274075138000001</v>
      </c>
      <c r="J96" s="25">
        <f>IF(VLOOKUP(B96,'Data yoy'!$A:$AW,MATCH($J$1,'Data yoy'!$A$1:$AW$1,),)=0,#N/A,VLOOKUP(B96,'Data yoy'!$A:$AW,MATCH($J$1,'Data yoy'!$A$1:$AW$1,),))</f>
        <v>16.667008710000001</v>
      </c>
      <c r="K96" s="25">
        <f>IF(VLOOKUP(B96,'Data yoy'!$A:$AW,MATCH($K$1,'Data yoy'!$A$1:$AW$1,),)=0,#N/A,VLOOKUP(B96,'Data yoy'!$A:$AW,MATCH($K$1,'Data yoy'!$A$1:$AW$1,),))</f>
        <v>17.875245591999999</v>
      </c>
      <c r="L96" s="25">
        <f>IF(VLOOKUP(B96,'Data yoy'!$A:$AW,MATCH($L$1,'Data yoy'!$A$1:$AW$1,),)=0,#N/A,VLOOKUP(B96,'Data yoy'!$A:$AW,MATCH($L$1,'Data yoy'!$A$1:$AW$1,),))</f>
        <v>9.8904094610000008</v>
      </c>
      <c r="M96" s="25">
        <f>IF(VLOOKUP(B96,'Data yoy'!$A:$AW,MATCH($M$1,'Data yoy'!$A$1:$AW$1,),)=0,#N/A,VLOOKUP(B96,'Data yoy'!$A:$AW,MATCH($M$1,'Data yoy'!$A$1:$AW$1,),))</f>
        <v>19.512244189</v>
      </c>
      <c r="N96" s="25">
        <f>IF(VLOOKUP(B96,'Data yoy'!$A:$AW,MATCH($N$1,'Data yoy'!$A$1:$AW$1,),)=0,#N/A,VLOOKUP(B96,'Data yoy'!$A:$AW,MATCH($N$1,'Data yoy'!$A$1:$AW$1,),))</f>
        <v>7.5695837170000004</v>
      </c>
      <c r="O96" s="25">
        <f>IF(VLOOKUP(B96,'Data yoy'!$A:$AW,MATCH($O$1,'Data yoy'!$A$1:$AW$1,),)=0,#N/A,VLOOKUP(B96,'Data yoy'!$A:$AW,MATCH($O$1,'Data yoy'!$A$1:$AW$1,),))</f>
        <v>19.922979999999999</v>
      </c>
      <c r="P96" s="25">
        <f>IF(VLOOKUP(B96,'Data yoy'!$A:$AW,MATCH($P$1,'Data yoy'!$A$1:$AW$1,),)=0,#N/A,VLOOKUP(B96,'Data yoy'!$A:$AW,MATCH($P$1,'Data yoy'!$A$1:$AW$1,),))</f>
        <v>11.698831984</v>
      </c>
      <c r="Q96" s="25">
        <f>IF(VLOOKUP(B96,'Data yoy'!$A:$AW,MATCH($Q$1,'Data yoy'!$A$1:$AW$1,),)=0,#N/A,VLOOKUP(B96,'Data yoy'!$A:$AW,MATCH($Q$1,'Data yoy'!$A$1:$AW$1,),))</f>
        <v>9.7791374139999991</v>
      </c>
      <c r="R96" s="25">
        <f>IF(VLOOKUP(B96,'Data yoy'!$A:$AW,MATCH($R$1,'Data yoy'!$A$1:$AW$1,),)=0,#N/A,VLOOKUP(B96,'Data yoy'!$A:$AW,MATCH($R$1,'Data yoy'!$A$1:$AW$1,),))</f>
        <v>9.6135937570000003</v>
      </c>
      <c r="S96" s="25">
        <f>IF(VLOOKUP(B96,'Data yoy'!$A:$AW,MATCH($S$1,'Data yoy'!$A$1:$AW$1,),)=0,#N/A,VLOOKUP(B96,'Data yoy'!$A:$AW,MATCH($S$1,'Data yoy'!$A$1:$AW$1,),))</f>
        <v>6.2541347370000002</v>
      </c>
      <c r="T96" s="25">
        <f>IF(VLOOKUP(B96,'Data yoy'!$A:$AW,MATCH($T$1,'Data yoy'!$A$1:$AW$1,),)=0,#N/A,VLOOKUP(B96,'Data yoy'!$A:$AW,MATCH($T$1,'Data yoy'!$A$1:$AW$1,),))</f>
        <v>12.29464308</v>
      </c>
      <c r="U96" s="25">
        <f>IF(VLOOKUP(B96,'Data yoy'!$A:$AW,MATCH($U$1,'Data yoy'!$A$1:$AW$1,),)=0,#N/A,VLOOKUP(B96,'Data yoy'!$A:$AW,MATCH($U$1,'Data yoy'!$A$1:$AW$1,),))</f>
        <v>15.022411736</v>
      </c>
      <c r="V96" s="25">
        <f>IF(VLOOKUP(B96,'Data yoy'!$A:$AW,MATCH($V$1,'Data yoy'!$A$1:$AW$1,),)=0,#N/A,VLOOKUP(B96,'Data yoy'!$A:$AW,MATCH($V$1,'Data yoy'!$A$1:$AW$1,),))</f>
        <v>19.470430607000001</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10.956546573000001</v>
      </c>
      <c r="Z96" s="25">
        <f>IF(VLOOKUP(B96,'Data yoy'!$A:$AW,MATCH($Z$1,'Data yoy'!$A$1:$AW$1,),)=0,#N/A,VLOOKUP(B96,'Data yoy'!$A:$AW,MATCH($Z$1,'Data yoy'!$A$1:$AW$1,),))</f>
        <v>20.084307076000002</v>
      </c>
      <c r="AA96" s="25">
        <f>IF(VLOOKUP(B96,'Data yoy'!$A:$AW,MATCH($AA$1,'Data yoy'!$A$1:$AW$1,),)=0,#N/A,VLOOKUP(B96,'Data yoy'!$A:$AW,MATCH($AA$1,'Data yoy'!$A$1:$AW$1,),))</f>
        <v>17.854048997</v>
      </c>
      <c r="AC96" s="26" t="str">
        <f t="shared" si="13"/>
        <v>2021-Q2</v>
      </c>
      <c r="AD96" s="27">
        <f t="shared" si="14"/>
        <v>24.274075138000001</v>
      </c>
      <c r="AE96" s="27">
        <f t="shared" si="15"/>
        <v>14.376851167</v>
      </c>
      <c r="AF96" s="27">
        <f t="shared" si="16"/>
        <v>9.8972239710000007</v>
      </c>
    </row>
    <row r="97" spans="2:32" s="73" customFormat="1" x14ac:dyDescent="0.2">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3.7386762930000002</v>
      </c>
      <c r="F97" s="25">
        <f>IF(VLOOKUP(B97,'Data yoy'!$A:$AW,MATCH($F$1,'Data yoy'!$A$1:$AW$1,),)=0,#N/A,VLOOKUP(B97,'Data yoy'!$A:$AW,MATCH($F$1,'Data yoy'!$A$1:$AW$1,),))</f>
        <v>1.2042792710000001</v>
      </c>
      <c r="G97" s="25">
        <f>IF(VLOOKUP(B97,'Data yoy'!$A:$AW,MATCH($G$1,'Data yoy'!$A$1:$AW$1,),)=0,#N/A,VLOOKUP(B97,'Data yoy'!$A:$AW,MATCH($G$1,'Data yoy'!$A$1:$AW$1,),))</f>
        <v>1.849972384</v>
      </c>
      <c r="H97" s="25">
        <f>IF(VLOOKUP(B97,'Data yoy'!$A:$AW,MATCH($H$1,'Data yoy'!$A$1:$AW$1,),)=0,#N/A,VLOOKUP(B97,'Data yoy'!$A:$AW,MATCH($H$1,'Data yoy'!$A$1:$AW$1,),))</f>
        <v>3.5644573849999999</v>
      </c>
      <c r="I97" s="25">
        <f>IF(VLOOKUP(B97,'Data yoy'!$A:$AW,MATCH($I$1,'Data yoy'!$A$1:$AW$1,),)=0,#N/A,VLOOKUP(B97,'Data yoy'!$A:$AW,MATCH($I$1,'Data yoy'!$A$1:$AW$1,),))</f>
        <v>8.4556581909999995</v>
      </c>
      <c r="J97" s="25">
        <f>IF(VLOOKUP(B97,'Data yoy'!$A:$AW,MATCH($J$1,'Data yoy'!$A$1:$AW$1,),)=0,#N/A,VLOOKUP(B97,'Data yoy'!$A:$AW,MATCH($J$1,'Data yoy'!$A$1:$AW$1,),))</f>
        <v>4.7976086369999997</v>
      </c>
      <c r="K97" s="25">
        <f>IF(VLOOKUP(B97,'Data yoy'!$A:$AW,MATCH($K$1,'Data yoy'!$A$1:$AW$1,),)=0,#N/A,VLOOKUP(B97,'Data yoy'!$A:$AW,MATCH($K$1,'Data yoy'!$A$1:$AW$1,),))</f>
        <v>4.2019749280000003</v>
      </c>
      <c r="L97" s="25">
        <f>IF(VLOOKUP(B97,'Data yoy'!$A:$AW,MATCH($L$1,'Data yoy'!$A$1:$AW$1,),)=0,#N/A,VLOOKUP(B97,'Data yoy'!$A:$AW,MATCH($L$1,'Data yoy'!$A$1:$AW$1,),))</f>
        <v>4.0584145219999996</v>
      </c>
      <c r="M97" s="25">
        <f>IF(VLOOKUP(B97,'Data yoy'!$A:$AW,MATCH($M$1,'Data yoy'!$A$1:$AW$1,),)=0,#N/A,VLOOKUP(B97,'Data yoy'!$A:$AW,MATCH($M$1,'Data yoy'!$A$1:$AW$1,),))</f>
        <v>4.5986288310000001</v>
      </c>
      <c r="N97" s="25">
        <f>IF(VLOOKUP(B97,'Data yoy'!$A:$AW,MATCH($N$1,'Data yoy'!$A$1:$AW$1,),)=0,#N/A,VLOOKUP(B97,'Data yoy'!$A:$AW,MATCH($N$1,'Data yoy'!$A$1:$AW$1,),))</f>
        <v>3.830445643</v>
      </c>
      <c r="O97" s="25">
        <f>IF(VLOOKUP(B97,'Data yoy'!$A:$AW,MATCH($O$1,'Data yoy'!$A$1:$AW$1,),)=0,#N/A,VLOOKUP(B97,'Data yoy'!$A:$AW,MATCH($O$1,'Data yoy'!$A$1:$AW$1,),))</f>
        <v>8.5166900000000005</v>
      </c>
      <c r="P97" s="25">
        <f>IF(VLOOKUP(B97,'Data yoy'!$A:$AW,MATCH($P$1,'Data yoy'!$A$1:$AW$1,),)=0,#N/A,VLOOKUP(B97,'Data yoy'!$A:$AW,MATCH($P$1,'Data yoy'!$A$1:$AW$1,),))</f>
        <v>3.8314741250000002</v>
      </c>
      <c r="Q97" s="25">
        <f>IF(VLOOKUP(B97,'Data yoy'!$A:$AW,MATCH($Q$1,'Data yoy'!$A$1:$AW$1,),)=0,#N/A,VLOOKUP(B97,'Data yoy'!$A:$AW,MATCH($Q$1,'Data yoy'!$A$1:$AW$1,),))</f>
        <v>4.1320797889999996</v>
      </c>
      <c r="R97" s="25">
        <f>IF(VLOOKUP(B97,'Data yoy'!$A:$AW,MATCH($R$1,'Data yoy'!$A$1:$AW$1,),)=0,#N/A,VLOOKUP(B97,'Data yoy'!$A:$AW,MATCH($R$1,'Data yoy'!$A$1:$AW$1,),))</f>
        <v>3.9755077139999999</v>
      </c>
      <c r="S97" s="25">
        <f>IF(VLOOKUP(B97,'Data yoy'!$A:$AW,MATCH($S$1,'Data yoy'!$A$1:$AW$1,),)=0,#N/A,VLOOKUP(B97,'Data yoy'!$A:$AW,MATCH($S$1,'Data yoy'!$A$1:$AW$1,),))</f>
        <v>4.0381180829999996</v>
      </c>
      <c r="T97" s="25">
        <f>IF(VLOOKUP(B97,'Data yoy'!$A:$AW,MATCH($T$1,'Data yoy'!$A$1:$AW$1,),)=0,#N/A,VLOOKUP(B97,'Data yoy'!$A:$AW,MATCH($T$1,'Data yoy'!$A$1:$AW$1,),))</f>
        <v>4.0470448149999996</v>
      </c>
      <c r="U97" s="25">
        <f>IF(VLOOKUP(B97,'Data yoy'!$A:$AW,MATCH($U$1,'Data yoy'!$A$1:$AW$1,),)=0,#N/A,VLOOKUP(B97,'Data yoy'!$A:$AW,MATCH($U$1,'Data yoy'!$A$1:$AW$1,),))</f>
        <v>11.744111022</v>
      </c>
      <c r="V97" s="25">
        <f>IF(VLOOKUP(B97,'Data yoy'!$A:$AW,MATCH($V$1,'Data yoy'!$A$1:$AW$1,),)=0,#N/A,VLOOKUP(B97,'Data yoy'!$A:$AW,MATCH($V$1,'Data yoy'!$A$1:$AW$1,),))</f>
        <v>10.154665889</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6.0625869449999996</v>
      </c>
      <c r="Z97" s="25">
        <f>IF(VLOOKUP(B97,'Data yoy'!$A:$AW,MATCH($Z$1,'Data yoy'!$A$1:$AW$1,),)=0,#N/A,VLOOKUP(B97,'Data yoy'!$A:$AW,MATCH($Z$1,'Data yoy'!$A$1:$AW$1,),))</f>
        <v>11.450830641</v>
      </c>
      <c r="AA97" s="25">
        <f>IF(VLOOKUP(B97,'Data yoy'!$A:$AW,MATCH($AA$1,'Data yoy'!$A$1:$AW$1,),)=0,#N/A,VLOOKUP(B97,'Data yoy'!$A:$AW,MATCH($AA$1,'Data yoy'!$A$1:$AW$1,),))</f>
        <v>-0.40389568799999997</v>
      </c>
      <c r="AC97" s="26" t="str">
        <f t="shared" si="13"/>
        <v>2021-Q3</v>
      </c>
      <c r="AD97" s="27">
        <f t="shared" si="14"/>
        <v>8.4556581909999995</v>
      </c>
      <c r="AE97" s="27">
        <f t="shared" si="15"/>
        <v>3.7386762930000002</v>
      </c>
      <c r="AF97" s="27">
        <f t="shared" si="16"/>
        <v>4.7169818979999993</v>
      </c>
    </row>
    <row r="98" spans="2:32" s="73" customFormat="1" x14ac:dyDescent="0.2">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4.6032586059999998</v>
      </c>
      <c r="F98" s="25">
        <f>IF(VLOOKUP(B98,'Data yoy'!$A:$AW,MATCH($F$1,'Data yoy'!$A$1:$AW$1,),)=0,#N/A,VLOOKUP(B98,'Data yoy'!$A:$AW,MATCH($F$1,'Data yoy'!$A$1:$AW$1,),))</f>
        <v>0.531323608</v>
      </c>
      <c r="G98" s="25">
        <f>IF(VLOOKUP(B98,'Data yoy'!$A:$AW,MATCH($G$1,'Data yoy'!$A$1:$AW$1,),)=0,#N/A,VLOOKUP(B98,'Data yoy'!$A:$AW,MATCH($G$1,'Data yoy'!$A$1:$AW$1,),))</f>
        <v>1.1924143519999999</v>
      </c>
      <c r="H98" s="25">
        <f>IF(VLOOKUP(B98,'Data yoy'!$A:$AW,MATCH($H$1,'Data yoy'!$A$1:$AW$1,),)=0,#N/A,VLOOKUP(B98,'Data yoy'!$A:$AW,MATCH($H$1,'Data yoy'!$A$1:$AW$1,),))</f>
        <v>5.0377940570000002</v>
      </c>
      <c r="I98" s="25">
        <f>IF(VLOOKUP(B98,'Data yoy'!$A:$AW,MATCH($I$1,'Data yoy'!$A$1:$AW$1,),)=0,#N/A,VLOOKUP(B98,'Data yoy'!$A:$AW,MATCH($I$1,'Data yoy'!$A$1:$AW$1,),))</f>
        <v>8.8922944699999995</v>
      </c>
      <c r="J98" s="25">
        <f>IF(VLOOKUP(B98,'Data yoy'!$A:$AW,MATCH($J$1,'Data yoy'!$A$1:$AW$1,),)=0,#N/A,VLOOKUP(B98,'Data yoy'!$A:$AW,MATCH($J$1,'Data yoy'!$A$1:$AW$1,),))</f>
        <v>6.5635615280000001</v>
      </c>
      <c r="K98" s="25">
        <f>IF(VLOOKUP(B98,'Data yoy'!$A:$AW,MATCH($K$1,'Data yoy'!$A$1:$AW$1,),)=0,#N/A,VLOOKUP(B98,'Data yoy'!$A:$AW,MATCH($K$1,'Data yoy'!$A$1:$AW$1,),))</f>
        <v>6.6253351580000004</v>
      </c>
      <c r="L98" s="25">
        <f>IF(VLOOKUP(B98,'Data yoy'!$A:$AW,MATCH($L$1,'Data yoy'!$A$1:$AW$1,),)=0,#N/A,VLOOKUP(B98,'Data yoy'!$A:$AW,MATCH($L$1,'Data yoy'!$A$1:$AW$1,),))</f>
        <v>5.6545831949999998</v>
      </c>
      <c r="M98" s="25">
        <f>IF(VLOOKUP(B98,'Data yoy'!$A:$AW,MATCH($M$1,'Data yoy'!$A$1:$AW$1,),)=0,#N/A,VLOOKUP(B98,'Data yoy'!$A:$AW,MATCH($M$1,'Data yoy'!$A$1:$AW$1,),))</f>
        <v>1.2140439279999999</v>
      </c>
      <c r="N98" s="25" t="e">
        <f>IF(VLOOKUP(B98,'Data yoy'!$A:$AW,MATCH($N$1,'Data yoy'!$A$1:$AW$1,),)=0,#N/A,VLOOKUP(B98,'Data yoy'!$A:$AW,MATCH($N$1,'Data yoy'!$A$1:$AW$1,),))</f>
        <v>#N/A</v>
      </c>
      <c r="O98" s="25">
        <f>IF(VLOOKUP(B98,'Data yoy'!$A:$AW,MATCH($O$1,'Data yoy'!$A$1:$AW$1,),)=0,#N/A,VLOOKUP(B98,'Data yoy'!$A:$AW,MATCH($O$1,'Data yoy'!$A$1:$AW$1,),))</f>
        <v>5.4946799999999998</v>
      </c>
      <c r="P98" s="25">
        <f>IF(VLOOKUP(B98,'Data yoy'!$A:$AW,MATCH($P$1,'Data yoy'!$A$1:$AW$1,),)=0,#N/A,VLOOKUP(B98,'Data yoy'!$A:$AW,MATCH($P$1,'Data yoy'!$A$1:$AW$1,),))</f>
        <v>3.232168148</v>
      </c>
      <c r="Q98" s="25">
        <f>IF(VLOOKUP(B98,'Data yoy'!$A:$AW,MATCH($Q$1,'Data yoy'!$A$1:$AW$1,),)=0,#N/A,VLOOKUP(B98,'Data yoy'!$A:$AW,MATCH($Q$1,'Data yoy'!$A$1:$AW$1,),))</f>
        <v>4.5497027780000003</v>
      </c>
      <c r="R98" s="25">
        <f>IF(VLOOKUP(B98,'Data yoy'!$A:$AW,MATCH($R$1,'Data yoy'!$A$1:$AW$1,),)=0,#N/A,VLOOKUP(B98,'Data yoy'!$A:$AW,MATCH($R$1,'Data yoy'!$A$1:$AW$1,),))</f>
        <v>3.8093970060000002</v>
      </c>
      <c r="S98" s="25">
        <f>IF(VLOOKUP(B98,'Data yoy'!$A:$AW,MATCH($S$1,'Data yoy'!$A$1:$AW$1,),)=0,#N/A,VLOOKUP(B98,'Data yoy'!$A:$AW,MATCH($S$1,'Data yoy'!$A$1:$AW$1,),))</f>
        <v>4.1656121209999997</v>
      </c>
      <c r="T98" s="25">
        <f>IF(VLOOKUP(B98,'Data yoy'!$A:$AW,MATCH($T$1,'Data yoy'!$A$1:$AW$1,),)=0,#N/A,VLOOKUP(B98,'Data yoy'!$A:$AW,MATCH($T$1,'Data yoy'!$A$1:$AW$1,),))</f>
        <v>1.626850897</v>
      </c>
      <c r="U98" s="25">
        <f>IF(VLOOKUP(B98,'Data yoy'!$A:$AW,MATCH($U$1,'Data yoy'!$A$1:$AW$1,),)=0,#N/A,VLOOKUP(B98,'Data yoy'!$A:$AW,MATCH($U$1,'Data yoy'!$A$1:$AW$1,),))</f>
        <v>8.2981883570000008</v>
      </c>
      <c r="V98" s="25">
        <f>IF(VLOOKUP(B98,'Data yoy'!$A:$AW,MATCH($V$1,'Data yoy'!$A$1:$AW$1,),)=0,#N/A,VLOOKUP(B98,'Data yoy'!$A:$AW,MATCH($V$1,'Data yoy'!$A$1:$AW$1,),))</f>
        <v>13.926964039</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7.9797611740000001</v>
      </c>
      <c r="Z98" s="25">
        <f>IF(VLOOKUP(B98,'Data yoy'!$A:$AW,MATCH($Z$1,'Data yoy'!$A$1:$AW$1,),)=0,#N/A,VLOOKUP(B98,'Data yoy'!$A:$AW,MATCH($Z$1,'Data yoy'!$A$1:$AW$1,),))</f>
        <v>8.6495924829999993</v>
      </c>
      <c r="AA98" s="25">
        <f>IF(VLOOKUP(B98,'Data yoy'!$A:$AW,MATCH($AA$1,'Data yoy'!$A$1:$AW$1,),)=0,#N/A,VLOOKUP(B98,'Data yoy'!$A:$AW,MATCH($AA$1,'Data yoy'!$A$1:$AW$1,),))</f>
        <v>3.035080201</v>
      </c>
      <c r="AC98" s="26" t="str">
        <f t="shared" si="13"/>
        <v>2021-Q4</v>
      </c>
      <c r="AD98" s="27">
        <f t="shared" si="14"/>
        <v>8.8922944699999995</v>
      </c>
      <c r="AE98" s="27">
        <f t="shared" si="15"/>
        <v>4.6032586059999998</v>
      </c>
      <c r="AF98" s="27">
        <f t="shared" si="16"/>
        <v>4.2890358639999997</v>
      </c>
    </row>
    <row r="99" spans="2:32" s="73" customFormat="1" x14ac:dyDescent="0.2">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5.4054844309999996</v>
      </c>
      <c r="F99" s="25">
        <f>IF(VLOOKUP(B99,'Data yoy'!$A:$AW,MATCH($F$1,'Data yoy'!$A$1:$AW$1,),)=0,#N/A,VLOOKUP(B99,'Data yoy'!$A:$AW,MATCH($F$1,'Data yoy'!$A$1:$AW$1,),))</f>
        <v>0.91782444799999996</v>
      </c>
      <c r="G99" s="25">
        <f>IF(VLOOKUP(B99,'Data yoy'!$A:$AW,MATCH($G$1,'Data yoy'!$A$1:$AW$1,),)=0,#N/A,VLOOKUP(B99,'Data yoy'!$A:$AW,MATCH($G$1,'Data yoy'!$A$1:$AW$1,),))</f>
        <v>3.519773872</v>
      </c>
      <c r="H99" s="25">
        <f>IF(VLOOKUP(B99,'Data yoy'!$A:$AW,MATCH($H$1,'Data yoy'!$A$1:$AW$1,),)=0,#N/A,VLOOKUP(B99,'Data yoy'!$A:$AW,MATCH($H$1,'Data yoy'!$A$1:$AW$1,),))</f>
        <v>4.7282501779999997</v>
      </c>
      <c r="I99" s="25">
        <f>IF(VLOOKUP(B99,'Data yoy'!$A:$AW,MATCH($I$1,'Data yoy'!$A$1:$AW$1,),)=0,#N/A,VLOOKUP(B99,'Data yoy'!$A:$AW,MATCH($I$1,'Data yoy'!$A$1:$AW$1,),))</f>
        <v>10.942435716</v>
      </c>
      <c r="J99" s="25">
        <f>IF(VLOOKUP(B99,'Data yoy'!$A:$AW,MATCH($J$1,'Data yoy'!$A$1:$AW$1,),)=0,#N/A,VLOOKUP(B99,'Data yoy'!$A:$AW,MATCH($J$1,'Data yoy'!$A$1:$AW$1,),))</f>
        <v>6.4324089899999999</v>
      </c>
      <c r="K99" s="25">
        <f>IF(VLOOKUP(B99,'Data yoy'!$A:$AW,MATCH($K$1,'Data yoy'!$A$1:$AW$1,),)=0,#N/A,VLOOKUP(B99,'Data yoy'!$A:$AW,MATCH($K$1,'Data yoy'!$A$1:$AW$1,),))</f>
        <v>6.6678742130000002</v>
      </c>
      <c r="L99" s="25">
        <f>IF(VLOOKUP(B99,'Data yoy'!$A:$AW,MATCH($L$1,'Data yoy'!$A$1:$AW$1,),)=0,#N/A,VLOOKUP(B99,'Data yoy'!$A:$AW,MATCH($L$1,'Data yoy'!$A$1:$AW$1,),))</f>
        <v>4.101854232</v>
      </c>
      <c r="M99" s="25">
        <f>IF(VLOOKUP(B99,'Data yoy'!$A:$AW,MATCH($M$1,'Data yoy'!$A$1:$AW$1,),)=0,#N/A,VLOOKUP(B99,'Data yoy'!$A:$AW,MATCH($M$1,'Data yoy'!$A$1:$AW$1,),))</f>
        <v>1.87490819</v>
      </c>
      <c r="N99" s="25" t="e">
        <f>IF(VLOOKUP(B99,'Data yoy'!$A:$AW,MATCH($N$1,'Data yoy'!$A$1:$AW$1,),)=0,#N/A,VLOOKUP(B99,'Data yoy'!$A:$AW,MATCH($N$1,'Data yoy'!$A$1:$AW$1,),))</f>
        <v>#N/A</v>
      </c>
      <c r="O99" s="25">
        <f>IF(VLOOKUP(B99,'Data yoy'!$A:$AW,MATCH($O$1,'Data yoy'!$A$1:$AW$1,),)=0,#N/A,VLOOKUP(B99,'Data yoy'!$A:$AW,MATCH($O$1,'Data yoy'!$A$1:$AW$1,),))</f>
        <v>3.5702099999999999</v>
      </c>
      <c r="P99" s="25">
        <f>IF(VLOOKUP(B99,'Data yoy'!$A:$AW,MATCH($P$1,'Data yoy'!$A$1:$AW$1,),)=0,#N/A,VLOOKUP(B99,'Data yoy'!$A:$AW,MATCH($P$1,'Data yoy'!$A$1:$AW$1,),))</f>
        <v>2.8972259070000002</v>
      </c>
      <c r="Q99" s="25">
        <f>IF(VLOOKUP(B99,'Data yoy'!$A:$AW,MATCH($Q$1,'Data yoy'!$A$1:$AW$1,),)=0,#N/A,VLOOKUP(B99,'Data yoy'!$A:$AW,MATCH($Q$1,'Data yoy'!$A$1:$AW$1,),))</f>
        <v>3.2821653569999998</v>
      </c>
      <c r="R99" s="25">
        <f>IF(VLOOKUP(B99,'Data yoy'!$A:$AW,MATCH($R$1,'Data yoy'!$A$1:$AW$1,),)=0,#N/A,VLOOKUP(B99,'Data yoy'!$A:$AW,MATCH($R$1,'Data yoy'!$A$1:$AW$1,),))</f>
        <v>4.2579808589999999</v>
      </c>
      <c r="S99" s="25">
        <f>IF(VLOOKUP(B99,'Data yoy'!$A:$AW,MATCH($S$1,'Data yoy'!$A$1:$AW$1,),)=0,#N/A,VLOOKUP(B99,'Data yoy'!$A:$AW,MATCH($S$1,'Data yoy'!$A$1:$AW$1,),))</f>
        <v>3.0493485900000001</v>
      </c>
      <c r="T99" s="25">
        <f>IF(VLOOKUP(B99,'Data yoy'!$A:$AW,MATCH($T$1,'Data yoy'!$A$1:$AW$1,),)=0,#N/A,VLOOKUP(B99,'Data yoy'!$A:$AW,MATCH($T$1,'Data yoy'!$A$1:$AW$1,),))</f>
        <v>1.6817961960000001</v>
      </c>
      <c r="U99" s="25">
        <f>IF(VLOOKUP(B99,'Data yoy'!$A:$AW,MATCH($U$1,'Data yoy'!$A$1:$AW$1,),)=0,#N/A,VLOOKUP(B99,'Data yoy'!$A:$AW,MATCH($U$1,'Data yoy'!$A$1:$AW$1,),))</f>
        <v>7.959418415</v>
      </c>
      <c r="V99" s="25">
        <f>IF(VLOOKUP(B99,'Data yoy'!$A:$AW,MATCH($V$1,'Data yoy'!$A$1:$AW$1,),)=0,#N/A,VLOOKUP(B99,'Data yoy'!$A:$AW,MATCH($V$1,'Data yoy'!$A$1:$AW$1,),))</f>
        <v>10.963019645999999</v>
      </c>
      <c r="W99" s="25">
        <f>IF(VLOOKUP(B99,'Data yoy'!$A:$AW,MATCH($W$1,'Data yoy'!$A$1:$AW$1,),)=0,#N/A,VLOOKUP(B99,'Data yoy'!$A:$AW,MATCH($W$1,'Data yoy'!$A$1:$AW$1,),))</f>
        <v>7.1314398849999998</v>
      </c>
      <c r="X99" s="25">
        <f>IF(VLOOKUP(B99,'Data yoy'!$A:$AW,MATCH($X$1,'Data yoy'!$A$1:$AW$1,),)=0,#N/A,VLOOKUP(B99,'Data yoy'!$A:$AW,MATCH($X$1,'Data yoy'!$A$1:$AW$1,),))</f>
        <v>4.6485317899999998</v>
      </c>
      <c r="Y99" s="25">
        <f>IF(VLOOKUP(B99,'Data yoy'!$A:$AW,MATCH($Y$1,'Data yoy'!$A$1:$AW$1,),)=0,#N/A,VLOOKUP(B99,'Data yoy'!$A:$AW,MATCH($Y$1,'Data yoy'!$A$1:$AW$1,),))</f>
        <v>9.1638205480000003</v>
      </c>
      <c r="Z99" s="25">
        <f>IF(VLOOKUP(B99,'Data yoy'!$A:$AW,MATCH($Z$1,'Data yoy'!$A$1:$AW$1,),)=0,#N/A,VLOOKUP(B99,'Data yoy'!$A:$AW,MATCH($Z$1,'Data yoy'!$A$1:$AW$1,),))</f>
        <v>6.1452764159999997</v>
      </c>
      <c r="AA99" s="25">
        <f>IF(VLOOKUP(B99,'Data yoy'!$A:$AW,MATCH($AA$1,'Data yoy'!$A$1:$AW$1,),)=0,#N/A,VLOOKUP(B99,'Data yoy'!$A:$AW,MATCH($AA$1,'Data yoy'!$A$1:$AW$1,),))</f>
        <v>1.04870379</v>
      </c>
      <c r="AC99" s="26" t="str">
        <f t="shared" si="13"/>
        <v>2022-Q1</v>
      </c>
      <c r="AD99" s="27">
        <f t="shared" si="14"/>
        <v>10.942435716</v>
      </c>
      <c r="AE99" s="27">
        <f t="shared" si="15"/>
        <v>5.4054844309999996</v>
      </c>
      <c r="AF99" s="27">
        <f t="shared" si="16"/>
        <v>5.5369512850000007</v>
      </c>
    </row>
    <row r="100" spans="2:32" s="73" customFormat="1" x14ac:dyDescent="0.2">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4.149002114</v>
      </c>
      <c r="F100" s="25">
        <f>IF(VLOOKUP(B100,'Data yoy'!$A:$AW,MATCH($F$1,'Data yoy'!$A$1:$AW$1,),)=0,#N/A,VLOOKUP(B100,'Data yoy'!$A:$AW,MATCH($F$1,'Data yoy'!$A$1:$AW$1,),))</f>
        <v>1.4155855340000001</v>
      </c>
      <c r="G100" s="25">
        <f>IF(VLOOKUP(B100,'Data yoy'!$A:$AW,MATCH($G$1,'Data yoy'!$A$1:$AW$1,),)=0,#N/A,VLOOKUP(B100,'Data yoy'!$A:$AW,MATCH($G$1,'Data yoy'!$A$1:$AW$1,),))</f>
        <v>1.7029293409999999</v>
      </c>
      <c r="H100" s="25">
        <f>IF(VLOOKUP(B100,'Data yoy'!$A:$AW,MATCH($H$1,'Data yoy'!$A$1:$AW$1,),)=0,#N/A,VLOOKUP(B100,'Data yoy'!$A:$AW,MATCH($H$1,'Data yoy'!$A$1:$AW$1,),))</f>
        <v>4.2137702929999996</v>
      </c>
      <c r="I100" s="25">
        <f>IF(VLOOKUP(B100,'Data yoy'!$A:$AW,MATCH($I$1,'Data yoy'!$A$1:$AW$1,),)=0,#N/A,VLOOKUP(B100,'Data yoy'!$A:$AW,MATCH($I$1,'Data yoy'!$A$1:$AW$1,),))</f>
        <v>4.3758199649999998</v>
      </c>
      <c r="J100" s="25">
        <f>IF(VLOOKUP(B100,'Data yoy'!$A:$AW,MATCH($J$1,'Data yoy'!$A$1:$AW$1,),)=0,#N/A,VLOOKUP(B100,'Data yoy'!$A:$AW,MATCH($J$1,'Data yoy'!$A$1:$AW$1,),))</f>
        <v>4.979021242</v>
      </c>
      <c r="K100" s="25">
        <f>IF(VLOOKUP(B100,'Data yoy'!$A:$AW,MATCH($K$1,'Data yoy'!$A$1:$AW$1,),)=0,#N/A,VLOOKUP(B100,'Data yoy'!$A:$AW,MATCH($K$1,'Data yoy'!$A$1:$AW$1,),))</f>
        <v>6.7802421050000001</v>
      </c>
      <c r="L100" s="25">
        <f>IF(VLOOKUP(B100,'Data yoy'!$A:$AW,MATCH($L$1,'Data yoy'!$A$1:$AW$1,),)=0,#N/A,VLOOKUP(B100,'Data yoy'!$A:$AW,MATCH($L$1,'Data yoy'!$A$1:$AW$1,),))</f>
        <v>4.0956673260000001</v>
      </c>
      <c r="M100" s="25">
        <f>IF(VLOOKUP(B100,'Data yoy'!$A:$AW,MATCH($M$1,'Data yoy'!$A$1:$AW$1,),)=0,#N/A,VLOOKUP(B100,'Data yoy'!$A:$AW,MATCH($M$1,'Data yoy'!$A$1:$AW$1,),))</f>
        <v>1.852244507</v>
      </c>
      <c r="N100" s="25" t="e">
        <f>IF(VLOOKUP(B100,'Data yoy'!$A:$AW,MATCH($N$1,'Data yoy'!$A$1:$AW$1,),)=0,#N/A,VLOOKUP(B100,'Data yoy'!$A:$AW,MATCH($N$1,'Data yoy'!$A$1:$AW$1,),))</f>
        <v>#N/A</v>
      </c>
      <c r="O100" s="25">
        <f>IF(VLOOKUP(B100,'Data yoy'!$A:$AW,MATCH($O$1,'Data yoy'!$A$1:$AW$1,),)=0,#N/A,VLOOKUP(B100,'Data yoy'!$A:$AW,MATCH($O$1,'Data yoy'!$A$1:$AW$1,),))</f>
        <v>13.466900000000001</v>
      </c>
      <c r="P100" s="25">
        <f>IF(VLOOKUP(B100,'Data yoy'!$A:$AW,MATCH($P$1,'Data yoy'!$A$1:$AW$1,),)=0,#N/A,VLOOKUP(B100,'Data yoy'!$A:$AW,MATCH($P$1,'Data yoy'!$A$1:$AW$1,),))</f>
        <v>4.5558569909999997</v>
      </c>
      <c r="Q100" s="25">
        <f>IF(VLOOKUP(B100,'Data yoy'!$A:$AW,MATCH($Q$1,'Data yoy'!$A$1:$AW$1,),)=0,#N/A,VLOOKUP(B100,'Data yoy'!$A:$AW,MATCH($Q$1,'Data yoy'!$A$1:$AW$1,),))</f>
        <v>3.5948798370000001</v>
      </c>
      <c r="R100" s="25">
        <f>IF(VLOOKUP(B100,'Data yoy'!$A:$AW,MATCH($R$1,'Data yoy'!$A$1:$AW$1,),)=0,#N/A,VLOOKUP(B100,'Data yoy'!$A:$AW,MATCH($R$1,'Data yoy'!$A$1:$AW$1,),))</f>
        <v>2.498414538</v>
      </c>
      <c r="S100" s="25">
        <f>IF(VLOOKUP(B100,'Data yoy'!$A:$AW,MATCH($S$1,'Data yoy'!$A$1:$AW$1,),)=0,#N/A,VLOOKUP(B100,'Data yoy'!$A:$AW,MATCH($S$1,'Data yoy'!$A$1:$AW$1,),))</f>
        <v>2.953199809</v>
      </c>
      <c r="T100" s="25">
        <f>IF(VLOOKUP(B100,'Data yoy'!$A:$AW,MATCH($T$1,'Data yoy'!$A$1:$AW$1,),)=0,#N/A,VLOOKUP(B100,'Data yoy'!$A:$AW,MATCH($T$1,'Data yoy'!$A$1:$AW$1,),))</f>
        <v>3.2232706719999999</v>
      </c>
      <c r="U100" s="25">
        <f>IF(VLOOKUP(B100,'Data yoy'!$A:$AW,MATCH($U$1,'Data yoy'!$A$1:$AW$1,),)=0,#N/A,VLOOKUP(B100,'Data yoy'!$A:$AW,MATCH($U$1,'Data yoy'!$A$1:$AW$1,),))</f>
        <v>7.6557484560000004</v>
      </c>
      <c r="V100" s="25">
        <f>IF(VLOOKUP(B100,'Data yoy'!$A:$AW,MATCH($V$1,'Data yoy'!$A$1:$AW$1,),)=0,#N/A,VLOOKUP(B100,'Data yoy'!$A:$AW,MATCH($V$1,'Data yoy'!$A$1:$AW$1,),))</f>
        <v>10.784119284999999</v>
      </c>
      <c r="W100" s="25">
        <f>IF(VLOOKUP(B100,'Data yoy'!$A:$AW,MATCH($W$1,'Data yoy'!$A$1:$AW$1,),)=0,#N/A,VLOOKUP(B100,'Data yoy'!$A:$AW,MATCH($W$1,'Data yoy'!$A$1:$AW$1,),))</f>
        <v>7.2101857950000001</v>
      </c>
      <c r="X100" s="25">
        <f>IF(VLOOKUP(B100,'Data yoy'!$A:$AW,MATCH($X$1,'Data yoy'!$A$1:$AW$1,),)=0,#N/A,VLOOKUP(B100,'Data yoy'!$A:$AW,MATCH($X$1,'Data yoy'!$A$1:$AW$1,),))</f>
        <v>3.6622574449999998</v>
      </c>
      <c r="Y100" s="25">
        <f>IF(VLOOKUP(B100,'Data yoy'!$A:$AW,MATCH($Y$1,'Data yoy'!$A$1:$AW$1,),)=0,#N/A,VLOOKUP(B100,'Data yoy'!$A:$AW,MATCH($Y$1,'Data yoy'!$A$1:$AW$1,),))</f>
        <v>4.7405329590000003</v>
      </c>
      <c r="Z100" s="25">
        <f>IF(VLOOKUP(B100,'Data yoy'!$A:$AW,MATCH($Z$1,'Data yoy'!$A$1:$AW$1,),)=0,#N/A,VLOOKUP(B100,'Data yoy'!$A:$AW,MATCH($Z$1,'Data yoy'!$A$1:$AW$1,),))</f>
        <v>7.9185158820000003</v>
      </c>
      <c r="AA100" s="25">
        <f>IF(VLOOKUP(B100,'Data yoy'!$A:$AW,MATCH($AA$1,'Data yoy'!$A$1:$AW$1,),)=0,#N/A,VLOOKUP(B100,'Data yoy'!$A:$AW,MATCH($AA$1,'Data yoy'!$A$1:$AW$1,),))</f>
        <v>0.42338620799999999</v>
      </c>
      <c r="AC100" s="26" t="str">
        <f t="shared" si="13"/>
        <v>2022-Q2</v>
      </c>
      <c r="AD100" s="27">
        <f t="shared" si="14"/>
        <v>4.3758199649999998</v>
      </c>
      <c r="AE100" s="27">
        <f t="shared" si="15"/>
        <v>4.149002114</v>
      </c>
      <c r="AF100" s="27">
        <f t="shared" si="16"/>
        <v>0.22681785099999985</v>
      </c>
    </row>
    <row r="101" spans="2:32" s="73" customFormat="1" x14ac:dyDescent="0.2"/>
    <row r="102" spans="2:32" s="73" customFormat="1" x14ac:dyDescent="0.2"/>
    <row r="103" spans="2:32" s="73" customFormat="1" x14ac:dyDescent="0.2"/>
    <row r="104" spans="2:32" s="73" customFormat="1" x14ac:dyDescent="0.2"/>
    <row r="105" spans="2:32" s="73" customFormat="1" x14ac:dyDescent="0.2"/>
    <row r="106" spans="2:32" s="73" customFormat="1" x14ac:dyDescent="0.2"/>
    <row r="107" spans="2:32" s="73" customFormat="1" x14ac:dyDescent="0.2"/>
    <row r="108" spans="2:32" s="73" customFormat="1" x14ac:dyDescent="0.2"/>
    <row r="109" spans="2:32" s="73" customFormat="1" x14ac:dyDescent="0.2"/>
    <row r="110" spans="2:32" s="73" customFormat="1" x14ac:dyDescent="0.2"/>
    <row r="111" spans="2:32" s="73" customFormat="1" x14ac:dyDescent="0.2"/>
    <row r="112" spans="2:32"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75" activePane="bottomLeft" state="frozen"/>
      <selection pane="bottomLeft" activeCell="AE2" sqref="AE2"/>
    </sheetView>
  </sheetViews>
  <sheetFormatPr baseColWidth="10" defaultColWidth="8.83203125" defaultRowHeight="15" x14ac:dyDescent="0.2"/>
  <cols>
    <col min="1" max="1" width="9.1640625" style="73" customWidth="1"/>
    <col min="2" max="2" width="13.6640625" style="67" customWidth="1"/>
    <col min="3" max="27" width="6.1640625" style="67" customWidth="1"/>
    <col min="28" max="28" width="6.1640625" style="73" customWidth="1"/>
    <col min="29" max="30" width="15.33203125" style="73" customWidth="1"/>
    <col min="31" max="31" width="10.6640625" style="73" bestFit="1" customWidth="1"/>
    <col min="32" max="72" width="9.1640625" style="73"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3" customFormat="1" x14ac:dyDescent="0.2">
      <c r="AD2" s="73" t="s">
        <v>568</v>
      </c>
      <c r="AE2" s="3" t="str">
        <f>'Table yoy'!AE2</f>
        <v>2022-Q2</v>
      </c>
      <c r="AH2" s="73" t="s">
        <v>589</v>
      </c>
    </row>
    <row r="3" spans="2: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2022-Q1</v>
      </c>
    </row>
    <row r="4" spans="2:34" ht="16" customHeight="1" thickBot="1" x14ac:dyDescent="0.25">
      <c r="B4" s="4" t="s">
        <v>579</v>
      </c>
      <c r="C4" s="13">
        <f t="shared" ref="C4:AA4" ca="1" si="0">MAX(OFFSET(C$71,COUNT(C$71:C$150),0,-13,1))</f>
        <v>7.854483117</v>
      </c>
      <c r="D4" s="13">
        <f t="shared" ca="1" si="0"/>
        <v>11.7</v>
      </c>
      <c r="E4" s="13">
        <f t="shared" ca="1" si="0"/>
        <v>12.648902</v>
      </c>
      <c r="F4" s="13">
        <f t="shared" ca="1" si="0"/>
        <v>5.5159193740000001</v>
      </c>
      <c r="G4" s="13">
        <f t="shared" ca="1" si="0"/>
        <v>9.0046949089999995</v>
      </c>
      <c r="H4" s="13">
        <f t="shared" ca="1" si="0"/>
        <v>18.440755679999999</v>
      </c>
      <c r="I4" s="13">
        <f t="shared" ca="1" si="0"/>
        <v>16.608614292999999</v>
      </c>
      <c r="J4" s="13">
        <f t="shared" ca="1" si="0"/>
        <v>14.476293182999999</v>
      </c>
      <c r="K4" s="13">
        <f t="shared" ca="1" si="0"/>
        <v>16.637933628999999</v>
      </c>
      <c r="L4" s="13">
        <f t="shared" ca="1" si="0"/>
        <v>7.3253525760000002</v>
      </c>
      <c r="M4" s="13">
        <f t="shared" ca="1" si="0"/>
        <v>13.653574603999999</v>
      </c>
      <c r="N4" s="13" t="e">
        <f t="shared" ca="1" si="0"/>
        <v>#N/A</v>
      </c>
      <c r="O4" s="13">
        <f t="shared" ca="1" si="0"/>
        <v>16.637933628999999</v>
      </c>
      <c r="P4" s="13">
        <f t="shared" ca="1" si="0"/>
        <v>8.9839583770000004</v>
      </c>
      <c r="Q4" s="13">
        <f t="shared" ca="1" si="0"/>
        <v>3.8535008519999998</v>
      </c>
      <c r="R4" s="13">
        <f t="shared" ca="1" si="0"/>
        <v>7.3159250309999999</v>
      </c>
      <c r="S4" s="13">
        <f t="shared" ca="1" si="0"/>
        <v>2.3477855380000001</v>
      </c>
      <c r="T4" s="13">
        <f t="shared" ca="1" si="0"/>
        <v>7.9909373539999997</v>
      </c>
      <c r="U4" s="13">
        <f t="shared" ca="1" si="0"/>
        <v>5.4375338400000004</v>
      </c>
      <c r="V4" s="13">
        <f t="shared" ca="1" si="0"/>
        <v>13.269687138</v>
      </c>
      <c r="W4" s="13">
        <f t="shared" ca="1" si="0"/>
        <v>15.649317805000001</v>
      </c>
      <c r="X4" s="13">
        <f t="shared" ca="1" si="0"/>
        <v>6.953208665</v>
      </c>
      <c r="Y4" s="13">
        <f t="shared" ca="1" si="0"/>
        <v>7.3365250270000004</v>
      </c>
      <c r="Z4" s="13">
        <f t="shared" ca="1" si="0"/>
        <v>11.911785776</v>
      </c>
      <c r="AA4" s="13">
        <f t="shared" ca="1" si="0"/>
        <v>13.675110018</v>
      </c>
      <c r="AD4" s="14" t="s">
        <v>580</v>
      </c>
      <c r="AE4" s="15" t="str">
        <f>'Table yoy'!AE4</f>
        <v>2021-Q2</v>
      </c>
    </row>
    <row r="5" spans="2:34" x14ac:dyDescent="0.2">
      <c r="B5" s="4" t="s">
        <v>581</v>
      </c>
      <c r="C5" s="13">
        <f t="shared" ref="C5:AA5" ca="1" si="1">MIN(OFFSET(C$71,COUNT(C$71:C$150),0,-13,1))</f>
        <v>-8.4843361539999993</v>
      </c>
      <c r="D5" s="13">
        <f t="shared" ca="1" si="1"/>
        <v>-10.3</v>
      </c>
      <c r="E5" s="13">
        <f t="shared" ca="1" si="1"/>
        <v>-11.548246000000001</v>
      </c>
      <c r="F5" s="13">
        <f t="shared" ca="1" si="1"/>
        <v>-8.0588818870000001</v>
      </c>
      <c r="G5" s="13">
        <f t="shared" ca="1" si="1"/>
        <v>-9.4811335119999995</v>
      </c>
      <c r="H5" s="13">
        <f t="shared" ca="1" si="1"/>
        <v>-13.544258243</v>
      </c>
      <c r="I5" s="13">
        <f t="shared" ca="1" si="1"/>
        <v>-20.991372605999999</v>
      </c>
      <c r="J5" s="13">
        <f t="shared" ca="1" si="1"/>
        <v>-12.101330196999999</v>
      </c>
      <c r="K5" s="13">
        <f t="shared" ca="1" si="1"/>
        <v>-17.826255917000001</v>
      </c>
      <c r="L5" s="13">
        <f t="shared" ca="1" si="1"/>
        <v>-8.0588298859999998</v>
      </c>
      <c r="M5" s="13">
        <f t="shared" ca="1" si="1"/>
        <v>-17.959203546000001</v>
      </c>
      <c r="N5" s="13" t="e">
        <f t="shared" ca="1" si="1"/>
        <v>#N/A</v>
      </c>
      <c r="O5" s="13">
        <f t="shared" ca="1" si="1"/>
        <v>-17.826255917000001</v>
      </c>
      <c r="P5" s="13">
        <f t="shared" ca="1" si="1"/>
        <v>-11.042537245</v>
      </c>
      <c r="Q5" s="13">
        <f t="shared" ca="1" si="1"/>
        <v>-7.0200180899999998</v>
      </c>
      <c r="R5" s="13">
        <f t="shared" ca="1" si="1"/>
        <v>-7.0472094900000002</v>
      </c>
      <c r="S5" s="13">
        <f t="shared" ca="1" si="1"/>
        <v>-3.026935758</v>
      </c>
      <c r="T5" s="13">
        <f t="shared" ca="1" si="1"/>
        <v>-8.9646241829999997</v>
      </c>
      <c r="U5" s="13">
        <f t="shared" ca="1" si="1"/>
        <v>-13.317788502000001</v>
      </c>
      <c r="V5" s="13">
        <f t="shared" ca="1" si="1"/>
        <v>-5.5297497379999996</v>
      </c>
      <c r="W5" s="13">
        <f t="shared" ca="1" si="1"/>
        <v>-10.371752592</v>
      </c>
      <c r="X5" s="13">
        <f t="shared" ca="1" si="1"/>
        <v>-8.8487394629999994</v>
      </c>
      <c r="Y5" s="13">
        <f t="shared" ca="1" si="1"/>
        <v>-9.0947213579999993</v>
      </c>
      <c r="Z5" s="13">
        <f t="shared" ca="1" si="1"/>
        <v>-14.851950391999999</v>
      </c>
      <c r="AA5" s="13">
        <f t="shared" ca="1" si="1"/>
        <v>-10.393864593</v>
      </c>
      <c r="AC5" s="16" t="s">
        <v>582</v>
      </c>
      <c r="AE5" s="17"/>
    </row>
    <row r="6" spans="2:34" x14ac:dyDescent="0.2">
      <c r="B6" s="4" t="s">
        <v>583</v>
      </c>
      <c r="C6" s="13">
        <f t="shared" ref="C6:AA6" ca="1" si="2">AVERAGE(OFFSET(C$71,COUNT(C$71:C$150),0,-13,1))</f>
        <v>0.43735327716666667</v>
      </c>
      <c r="D6" s="13">
        <f t="shared" ca="1" si="2"/>
        <v>0.94166666666666654</v>
      </c>
      <c r="E6" s="13">
        <f t="shared" ca="1" si="2"/>
        <v>0.3532109166666666</v>
      </c>
      <c r="F6" s="13">
        <f t="shared" ca="1" si="2"/>
        <v>-0.25918611366666666</v>
      </c>
      <c r="G6" s="13">
        <f t="shared" ca="1" si="2"/>
        <v>3.8472189833333385E-2</v>
      </c>
      <c r="H6" s="13">
        <f t="shared" ca="1" si="2"/>
        <v>0.41493453683333326</v>
      </c>
      <c r="I6" s="13">
        <f t="shared" ca="1" si="2"/>
        <v>0.27982924016666655</v>
      </c>
      <c r="J6" s="13">
        <f t="shared" ca="1" si="2"/>
        <v>0.30257445241666653</v>
      </c>
      <c r="K6" s="13">
        <f t="shared" ca="1" si="2"/>
        <v>0.16249407374999988</v>
      </c>
      <c r="L6" s="13">
        <f t="shared" ca="1" si="2"/>
        <v>0.57338500758333344</v>
      </c>
      <c r="M6" s="13">
        <f t="shared" ca="1" si="2"/>
        <v>-0.21659296766666677</v>
      </c>
      <c r="N6" s="13" t="e">
        <f t="shared" ca="1" si="2"/>
        <v>#N/A</v>
      </c>
      <c r="O6" s="13">
        <f t="shared" ca="1" si="2"/>
        <v>0.16249407374999988</v>
      </c>
      <c r="P6" s="13">
        <f t="shared" ca="1" si="2"/>
        <v>0.18212898375000011</v>
      </c>
      <c r="Q6" s="13">
        <f t="shared" ca="1" si="2"/>
        <v>0.35361700133333335</v>
      </c>
      <c r="R6" s="13">
        <f t="shared" ca="1" si="2"/>
        <v>0.38992578408333345</v>
      </c>
      <c r="S6" s="13">
        <f t="shared" ca="1" si="2"/>
        <v>0.52695981575000006</v>
      </c>
      <c r="T6" s="13">
        <f t="shared" ca="1" si="2"/>
        <v>0.13839787233333331</v>
      </c>
      <c r="U6" s="13">
        <f t="shared" ca="1" si="2"/>
        <v>0.24100726433333333</v>
      </c>
      <c r="V6" s="13">
        <f t="shared" ca="1" si="2"/>
        <v>3.0511613619166664</v>
      </c>
      <c r="W6" s="13">
        <f t="shared" ca="1" si="2"/>
        <v>1.7698494733333332</v>
      </c>
      <c r="X6" s="13">
        <f t="shared" ca="1" si="2"/>
        <v>9.9917998500000105E-2</v>
      </c>
      <c r="Y6" s="13">
        <f t="shared" ca="1" si="2"/>
        <v>0.74395852691666686</v>
      </c>
      <c r="Z6" s="13">
        <f t="shared" ca="1" si="2"/>
        <v>0.23876440725000006</v>
      </c>
      <c r="AA6" s="13">
        <f t="shared" ca="1" si="2"/>
        <v>0.70558922783333322</v>
      </c>
      <c r="AC6" s="18"/>
      <c r="AD6" s="73" t="s">
        <v>584</v>
      </c>
      <c r="AE6" s="17" t="s">
        <v>64</v>
      </c>
    </row>
    <row r="7" spans="2:34" ht="16" customHeight="1" thickBot="1" x14ac:dyDescent="0.25">
      <c r="B7" s="4" t="s">
        <v>585</v>
      </c>
      <c r="C7" s="13" t="str">
        <f ca="1">IF((VLOOKUP($AE$2,$B:$AA,MATCH(C3,$B$3:$AA$3,),))&gt;C6,"above","below")</f>
        <v>below</v>
      </c>
      <c r="D7" s="13" t="str">
        <f t="shared" ref="D7:Y7" ca="1" si="3">IF((VLOOKUP($AE$2,$B:$Y,MATCH(D3,$B$3:$Y$3,),))&gt;D6,"above","below")</f>
        <v>below</v>
      </c>
      <c r="E7" s="13" t="str">
        <f t="shared" ca="1" si="3"/>
        <v>above</v>
      </c>
      <c r="F7" s="13" t="str">
        <f t="shared" ca="1" si="3"/>
        <v>above</v>
      </c>
      <c r="G7" s="13" t="str">
        <f t="shared" ca="1" si="3"/>
        <v>above</v>
      </c>
      <c r="H7" s="13" t="str">
        <f t="shared" ca="1" si="3"/>
        <v>above</v>
      </c>
      <c r="I7" s="13" t="str">
        <f t="shared" ca="1" si="3"/>
        <v>below</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below</v>
      </c>
      <c r="W7" s="13" t="str">
        <f t="shared" ca="1" si="3"/>
        <v>above</v>
      </c>
      <c r="X7" s="13" t="str">
        <f t="shared" ca="1" si="3"/>
        <v>above</v>
      </c>
      <c r="Y7" s="13" t="str">
        <f t="shared" ca="1" si="3"/>
        <v>below</v>
      </c>
      <c r="Z7" s="13" t="str">
        <f ca="1">IF((VLOOKUP($AE$2,$B:$Z,MATCH(Z3,$B$3:$Z$3,),))&gt;Z6,"above","below")</f>
        <v>above</v>
      </c>
      <c r="AA7" s="13" t="str">
        <f ca="1">IF((VLOOKUP($AE$2,$B:$AA,MATCH(AA3,$B$3:$AA$3,),))&gt;AA6,"above","below")</f>
        <v>above</v>
      </c>
      <c r="AC7" s="19"/>
      <c r="AD7" s="20" t="s">
        <v>586</v>
      </c>
      <c r="AE7" s="21" t="s">
        <v>31</v>
      </c>
    </row>
    <row r="8" spans="2:34" x14ac:dyDescent="0.2">
      <c r="B8" s="4" t="s">
        <v>587</v>
      </c>
      <c r="C8" s="13">
        <f>VLOOKUP($AE$2,$B:$AA,MATCH(C3,$B$3:$AA$3,),)-VLOOKUP($AE$4,$B:$AA,MATCH(C3,$B$3:$AA$3,),)</f>
        <v>-1.8516498779999999</v>
      </c>
      <c r="D8" s="13">
        <f t="shared" ref="D8:Y8" si="4">VLOOKUP($AE$2,$B:$Y,MATCH(D3,$B$3:$Y$3,),)-VLOOKUP($AE$4,$B:$Y,MATCH(D3,$B$3:$Y$3,),)</f>
        <v>-4.0999999999999996</v>
      </c>
      <c r="E8" s="13">
        <f t="shared" si="4"/>
        <v>-1.2157340000000001</v>
      </c>
      <c r="F8" s="13">
        <f t="shared" si="4"/>
        <v>0.49504081199999994</v>
      </c>
      <c r="G8" s="13">
        <f t="shared" si="4"/>
        <v>-1.7889190859999999</v>
      </c>
      <c r="H8" s="13">
        <f t="shared" si="4"/>
        <v>-0.49632990600000004</v>
      </c>
      <c r="I8" s="13">
        <f t="shared" si="4"/>
        <v>-6.3061021680000007</v>
      </c>
      <c r="J8" s="13">
        <f t="shared" si="4"/>
        <v>-1.3995575990000002</v>
      </c>
      <c r="K8" s="13">
        <f t="shared" si="4"/>
        <v>0.10676816899999997</v>
      </c>
      <c r="L8" s="13">
        <f t="shared" si="4"/>
        <v>-5.9969120000000764E-3</v>
      </c>
      <c r="M8" s="13">
        <f t="shared" si="4"/>
        <v>-2.2457217000000029E-2</v>
      </c>
      <c r="N8" s="13" t="e">
        <f t="shared" si="4"/>
        <v>#N/A</v>
      </c>
      <c r="O8" s="13">
        <f t="shared" si="4"/>
        <v>0.10676816899999997</v>
      </c>
      <c r="P8" s="13">
        <f t="shared" si="4"/>
        <v>1.599162564</v>
      </c>
      <c r="Q8" s="13">
        <f t="shared" si="4"/>
        <v>0.30455829000000001</v>
      </c>
      <c r="R8" s="13">
        <f t="shared" si="4"/>
        <v>-1.7213131540000002</v>
      </c>
      <c r="S8" s="13">
        <f t="shared" si="4"/>
        <v>-9.4081171000000019E-2</v>
      </c>
      <c r="T8" s="13">
        <f t="shared" si="4"/>
        <v>1.5117459230000001</v>
      </c>
      <c r="U8" s="13">
        <f t="shared" si="4"/>
        <v>-0.28554028699999989</v>
      </c>
      <c r="V8" s="13">
        <f t="shared" si="4"/>
        <v>-0.16436228199999992</v>
      </c>
      <c r="W8" s="13">
        <f t="shared" si="4"/>
        <v>7.4970388999999971E-2</v>
      </c>
      <c r="X8" s="13">
        <f t="shared" si="4"/>
        <v>-0.95572444499999998</v>
      </c>
      <c r="Y8" s="13">
        <f t="shared" si="4"/>
        <v>-4.1336517229999998</v>
      </c>
      <c r="Z8" s="13">
        <f>VLOOKUP($AE$2,$B:$Z,MATCH(Z3,$B$3:$Z$3,),)-VLOOKUP($AE$4,$B:$Z,MATCH(Z3,$B$3:$Z$3,),)</f>
        <v>1.6602596890000001</v>
      </c>
      <c r="AA8" s="13">
        <f>VLOOKUP($AE$2,$B:$AA,MATCH(AA3,$B$3:$AA$3,),)-VLOOKUP($AE$4,$B:$AA,MATCH(AA3,$B$3:$AA$3,),)</f>
        <v>-0.63335285700000021</v>
      </c>
    </row>
    <row r="9" spans="2:34" x14ac:dyDescent="0.2">
      <c r="B9" s="4" t="s">
        <v>588</v>
      </c>
      <c r="C9" s="13">
        <f t="shared" ref="C9:Y9" si="5">VLOOKUP($AE$2,$B:$Y,MATCH(C3,$B$3:$Y$3,),)-VLOOKUP($AE$3,$B:$Y,MATCH(C3,$B$3:$Y$3,),)</f>
        <v>0.26570421200000005</v>
      </c>
      <c r="D9" s="13">
        <f t="shared" si="5"/>
        <v>-4</v>
      </c>
      <c r="E9" s="13">
        <f t="shared" si="5"/>
        <v>0.10560599999999998</v>
      </c>
      <c r="F9" s="13">
        <f t="shared" si="5"/>
        <v>0.80922294299999997</v>
      </c>
      <c r="G9" s="13">
        <f t="shared" si="5"/>
        <v>-0.65839715700000001</v>
      </c>
      <c r="H9" s="13">
        <f t="shared" si="5"/>
        <v>0.78620625700000002</v>
      </c>
      <c r="I9" s="13">
        <f t="shared" si="5"/>
        <v>-0.45663091200000006</v>
      </c>
      <c r="J9" s="13">
        <f t="shared" si="5"/>
        <v>0.94997573599999996</v>
      </c>
      <c r="K9" s="13">
        <f t="shared" si="5"/>
        <v>1.6478324469999999</v>
      </c>
      <c r="L9" s="13">
        <f t="shared" si="5"/>
        <v>0.71808840799999996</v>
      </c>
      <c r="M9" s="13">
        <f t="shared" si="5"/>
        <v>-0.21753521900000006</v>
      </c>
      <c r="N9" s="13" t="e">
        <f t="shared" si="5"/>
        <v>#N/A</v>
      </c>
      <c r="O9" s="13">
        <f t="shared" si="5"/>
        <v>1.6478324469999999</v>
      </c>
      <c r="P9" s="13">
        <f t="shared" si="5"/>
        <v>4.2161999000000061E-2</v>
      </c>
      <c r="Q9" s="13">
        <f t="shared" si="5"/>
        <v>0.18196982699999997</v>
      </c>
      <c r="R9" s="13">
        <f t="shared" si="5"/>
        <v>-4.0044902000000049E-2</v>
      </c>
      <c r="S9" s="13">
        <f t="shared" si="5"/>
        <v>0.10529887299999996</v>
      </c>
      <c r="T9" s="13">
        <f t="shared" si="5"/>
        <v>0.11016735200000016</v>
      </c>
      <c r="U9" s="13">
        <f t="shared" si="5"/>
        <v>-1.6447618159999999</v>
      </c>
      <c r="V9" s="13">
        <f t="shared" si="5"/>
        <v>-4.4073442119999999</v>
      </c>
      <c r="W9" s="13">
        <f t="shared" si="5"/>
        <v>1.3960029139999999</v>
      </c>
      <c r="X9" s="13">
        <f t="shared" si="5"/>
        <v>-0.16926138000000002</v>
      </c>
      <c r="Y9" s="13">
        <f t="shared" si="5"/>
        <v>-4.5835979889999994</v>
      </c>
      <c r="Z9" s="13">
        <f>VLOOKUP($AE$2,$B:$Z,MATCH(Z3,$B$3:$Z$3,),)-VLOOKUP($AE$3,$B:$Z,MATCH(Z3,$B$3:$Z$3,),)</f>
        <v>-0.13633653999999984</v>
      </c>
      <c r="AA9" s="13">
        <f>VLOOKUP($AE$2,$B:$AA,MATCH(AA3,$B$3:$AA$3,),)-VLOOKUP($AE$3,$B:$AA,MATCH(AA3,$B$3:$AA$3,),)</f>
        <v>1.9500066409999999</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277</v>
      </c>
      <c r="C11" s="25">
        <f>VLOOKUP(B11,'Data qoq'!$A:$AT,MATCH($C$1,'Data qoq'!$A$1:$AT$1,),)</f>
        <v>0.36444736100000003</v>
      </c>
      <c r="D11" s="25">
        <f>VLOOKUP(B11,'Data qoq'!$A:$AT,MATCH($D$1,'Data qoq'!$A$1:$AT$1,),)</f>
        <v>0</v>
      </c>
      <c r="E11" s="25">
        <f>VLOOKUP(B11,'Data qoq'!$A:$AT,MATCH($E$1,'Data qoq'!$A$1:$AT$1,),)</f>
        <v>1.2311380000000001</v>
      </c>
      <c r="F11" s="25">
        <f>VLOOKUP(B11,'Data qoq'!$A:$AT,MATCH($F$1,'Data qoq'!$A$1:$AT$1,),)</f>
        <v>1.6986506800000001</v>
      </c>
      <c r="G11" s="25">
        <f>VLOOKUP(B11,'Data qoq'!$A:$AT,MATCH($G$1,'Data qoq'!$A$1:$AT$1,),)</f>
        <v>1.430528223</v>
      </c>
      <c r="H11" s="25">
        <f>VLOOKUP(B11,'Data qoq'!$A:$AT,MATCH($H$1,'Data qoq'!$A$1:$AT$1,),)</f>
        <v>1.049786927</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0.71128082000000004</v>
      </c>
      <c r="M11" s="25">
        <f>VLOOKUP(B11,'Data qoq'!$A:$AT,MATCH($M$1,'Data qoq'!$A$1:$AT$1,),)</f>
        <v>1.880614011</v>
      </c>
      <c r="N11" s="25">
        <f>VLOOKUP(B11,'Data qoq'!$A:$AT,MATCH($N$1,'Data qoq'!$A$1:$AT$1,),)</f>
        <v>0</v>
      </c>
      <c r="O11" s="25">
        <f>VLOOKUP(B11,'Data qoq'!$A:$AT,MATCH($C$1,'Data qoq'!$J$1:$AT$1,),)</f>
        <v>1.455051221</v>
      </c>
      <c r="P11" s="25">
        <f>VLOOKUP(B11,'Data qoq'!$A:$AT,MATCH($P$1,'Data qoq'!$A$1:$AT$1,),)</f>
        <v>1.59973568</v>
      </c>
      <c r="Q11" s="25">
        <f>VLOOKUP(B11,'Data qoq'!$A:$AT,MATCH($Q$1,'Data qoq'!$A$1:$AT$1,),)</f>
        <v>0.39996410999999998</v>
      </c>
      <c r="R11" s="25">
        <f>VLOOKUP(B11,'Data qoq'!$A:$AT,MATCH($E$1,'Data qoq'!$A$1:$AT$1,),)</f>
        <v>1.2311380000000001</v>
      </c>
      <c r="S11" s="25">
        <f>VLOOKUP(B11,'Data qoq'!$A:$AT,MATCH($S$1,'Data qoq'!$A$1:$AT$1,),)</f>
        <v>1.895051738</v>
      </c>
      <c r="T11" s="25">
        <f>VLOOKUP(B11,'Data qoq'!$A:$AT,MATCH($T$1,'Data qoq'!$A$1:$AT$1,),)</f>
        <v>1.0578220199999999</v>
      </c>
      <c r="U11" s="25">
        <f>VLOOKUP(B11,'Data qoq'!$A:$AT,MATCH($U$1,'Data qoq'!$A$1:$AT$1,),)</f>
        <v>0.37966255999999998</v>
      </c>
      <c r="V11" s="25">
        <f>VLOOKUP(B11,'Data qoq'!$A:$AT,MATCH($V$1,'Data qoq'!$A$1:$AT$1,),)</f>
        <v>0.96555506000000002</v>
      </c>
      <c r="W11" s="25">
        <f>VLOOKUP(B11,'Data qoq'!$A:$AT,MATCH($W$1,'Data qoq'!$A$1:$AT$1,),)</f>
        <v>1.5748513790000001</v>
      </c>
      <c r="X11" s="25">
        <f>VLOOKUP(B11,'Data qoq'!$A:$AT,MATCH($X$1,'Data qoq'!$A$1:$AT$1,),)</f>
        <v>1.3260170120000001</v>
      </c>
      <c r="Y11" s="25">
        <f>VLOOKUP(B11,'Data qoq'!$A:$AT,MATCH($Y$1,'Data qoq'!$A$1:$AT$1,),)</f>
        <v>-0.340982059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2">
      <c r="B12" s="24" t="s">
        <v>278</v>
      </c>
      <c r="C12" s="25">
        <f>VLOOKUP(B12,'Data qoq'!$A:$AT,MATCH($C$1,'Data qoq'!$A$1:$AT$1,),)</f>
        <v>1.8205830080000001</v>
      </c>
      <c r="D12" s="25">
        <f>VLOOKUP(B12,'Data qoq'!$A:$AT,MATCH($D$1,'Data qoq'!$A$1:$AT$1,),)</f>
        <v>0</v>
      </c>
      <c r="E12" s="25">
        <f>VLOOKUP(B12,'Data qoq'!$A:$AT,MATCH($E$1,'Data qoq'!$A$1:$AT$1,),)</f>
        <v>0.91153399999999996</v>
      </c>
      <c r="F12" s="25">
        <f>VLOOKUP(B12,'Data qoq'!$A:$AT,MATCH($F$1,'Data qoq'!$A$1:$AT$1,),)</f>
        <v>0.47276279100000002</v>
      </c>
      <c r="G12" s="25">
        <f>VLOOKUP(B12,'Data qoq'!$A:$AT,MATCH($G$1,'Data qoq'!$A$1:$AT$1,),)</f>
        <v>0.809332948</v>
      </c>
      <c r="H12" s="25">
        <f>VLOOKUP(B12,'Data qoq'!$A:$AT,MATCH($H$1,'Data qoq'!$A$1:$AT$1,),)</f>
        <v>1.026471506</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2.480264289</v>
      </c>
      <c r="M12" s="25">
        <f>VLOOKUP(B12,'Data qoq'!$A:$AT,MATCH($M$1,'Data qoq'!$A$1:$AT$1,),)</f>
        <v>1.506734641</v>
      </c>
      <c r="N12" s="25">
        <f>VLOOKUP(B12,'Data qoq'!$A:$AT,MATCH($N$1,'Data qoq'!$A$1:$AT$1,),)</f>
        <v>0</v>
      </c>
      <c r="O12" s="25">
        <f>VLOOKUP(B12,'Data qoq'!$A:$AT,MATCH($C$1,'Data qoq'!$J$1:$AT$1,),)</f>
        <v>4.7454588999999998E-2</v>
      </c>
      <c r="P12" s="25">
        <f>VLOOKUP(B12,'Data qoq'!$A:$AT,MATCH($P$1,'Data qoq'!$A$1:$AT$1,),)</f>
        <v>1.1885847089999999</v>
      </c>
      <c r="Q12" s="25">
        <f>VLOOKUP(B12,'Data qoq'!$A:$AT,MATCH($Q$1,'Data qoq'!$A$1:$AT$1,),)</f>
        <v>0.94075996399999995</v>
      </c>
      <c r="R12" s="25">
        <f>VLOOKUP(B12,'Data qoq'!$A:$AT,MATCH($E$1,'Data qoq'!$A$1:$AT$1,),)</f>
        <v>0.91153399999999996</v>
      </c>
      <c r="S12" s="25">
        <f>VLOOKUP(B12,'Data qoq'!$A:$AT,MATCH($S$1,'Data qoq'!$A$1:$AT$1,),)</f>
        <v>1.3325102150000001</v>
      </c>
      <c r="T12" s="25">
        <f>VLOOKUP(B12,'Data qoq'!$A:$AT,MATCH($T$1,'Data qoq'!$A$1:$AT$1,),)</f>
        <v>1.395147664</v>
      </c>
      <c r="U12" s="25">
        <f>VLOOKUP(B12,'Data qoq'!$A:$AT,MATCH($U$1,'Data qoq'!$A$1:$AT$1,),)</f>
        <v>0.92199407799999999</v>
      </c>
      <c r="V12" s="25">
        <f>VLOOKUP(B12,'Data qoq'!$A:$AT,MATCH($V$1,'Data qoq'!$A$1:$AT$1,),)</f>
        <v>2.624052372</v>
      </c>
      <c r="W12" s="25">
        <f>VLOOKUP(B12,'Data qoq'!$A:$AT,MATCH($W$1,'Data qoq'!$A$1:$AT$1,),)</f>
        <v>3.8933703569999998</v>
      </c>
      <c r="X12" s="25">
        <f>VLOOKUP(B12,'Data qoq'!$A:$AT,MATCH($X$1,'Data qoq'!$A$1:$AT$1,),)</f>
        <v>0.95429668599999995</v>
      </c>
      <c r="Y12" s="25">
        <f>VLOOKUP(B12,'Data qoq'!$A:$AT,MATCH($Y$1,'Data qoq'!$A$1:$AT$1,),)</f>
        <v>1.204555729</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2">
      <c r="B13" s="24" t="s">
        <v>279</v>
      </c>
      <c r="C13" s="25">
        <f>VLOOKUP(B13,'Data qoq'!$A:$AT,MATCH($C$1,'Data qoq'!$A$1:$AT$1,),)</f>
        <v>9.9774128000000004E-2</v>
      </c>
      <c r="D13" s="25">
        <f>VLOOKUP(B13,'Data qoq'!$A:$AT,MATCH($D$1,'Data qoq'!$A$1:$AT$1,),)</f>
        <v>0</v>
      </c>
      <c r="E13" s="25">
        <f>VLOOKUP(B13,'Data qoq'!$A:$AT,MATCH($E$1,'Data qoq'!$A$1:$AT$1,),)</f>
        <v>0.55191999999999997</v>
      </c>
      <c r="F13" s="25">
        <f>VLOOKUP(B13,'Data qoq'!$A:$AT,MATCH($F$1,'Data qoq'!$A$1:$AT$1,),)</f>
        <v>2.5594826000000001E-2</v>
      </c>
      <c r="G13" s="25">
        <f>VLOOKUP(B13,'Data qoq'!$A:$AT,MATCH($G$1,'Data qoq'!$A$1:$AT$1,),)</f>
        <v>-4.7224414999999999E-2</v>
      </c>
      <c r="H13" s="25">
        <f>VLOOKUP(B13,'Data qoq'!$A:$AT,MATCH($H$1,'Data qoq'!$A$1:$AT$1,),)</f>
        <v>0.68155839299999998</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0.799453203</v>
      </c>
      <c r="M13" s="25">
        <f>VLOOKUP(B13,'Data qoq'!$A:$AT,MATCH($M$1,'Data qoq'!$A$1:$AT$1,),)</f>
        <v>1.020507802</v>
      </c>
      <c r="N13" s="25">
        <f>VLOOKUP(B13,'Data qoq'!$A:$AT,MATCH($N$1,'Data qoq'!$A$1:$AT$1,),)</f>
        <v>0</v>
      </c>
      <c r="O13" s="25">
        <f>VLOOKUP(B13,'Data qoq'!$A:$AT,MATCH($C$1,'Data qoq'!$J$1:$AT$1,),)</f>
        <v>0.39263221700000001</v>
      </c>
      <c r="P13" s="25">
        <f>VLOOKUP(B13,'Data qoq'!$A:$AT,MATCH($P$1,'Data qoq'!$A$1:$AT$1,),)</f>
        <v>1.0169817880000001</v>
      </c>
      <c r="Q13" s="25">
        <f>VLOOKUP(B13,'Data qoq'!$A:$AT,MATCH($Q$1,'Data qoq'!$A$1:$AT$1,),)</f>
        <v>0.248236127</v>
      </c>
      <c r="R13" s="25">
        <f>VLOOKUP(B13,'Data qoq'!$A:$AT,MATCH($E$1,'Data qoq'!$A$1:$AT$1,),)</f>
        <v>0.55191999999999997</v>
      </c>
      <c r="S13" s="25">
        <f>VLOOKUP(B13,'Data qoq'!$A:$AT,MATCH($S$1,'Data qoq'!$A$1:$AT$1,),)</f>
        <v>2.754591172</v>
      </c>
      <c r="T13" s="25">
        <f>VLOOKUP(B13,'Data qoq'!$A:$AT,MATCH($T$1,'Data qoq'!$A$1:$AT$1,),)</f>
        <v>1.168724404</v>
      </c>
      <c r="U13" s="25">
        <f>VLOOKUP(B13,'Data qoq'!$A:$AT,MATCH($U$1,'Data qoq'!$A$1:$AT$1,),)</f>
        <v>1.8684096670000001</v>
      </c>
      <c r="V13" s="25">
        <f>VLOOKUP(B13,'Data qoq'!$A:$AT,MATCH($V$1,'Data qoq'!$A$1:$AT$1,),)</f>
        <v>2.182679152</v>
      </c>
      <c r="W13" s="25">
        <f>VLOOKUP(B13,'Data qoq'!$A:$AT,MATCH($W$1,'Data qoq'!$A$1:$AT$1,),)</f>
        <v>1.4893164219999999</v>
      </c>
      <c r="X13" s="25">
        <f>VLOOKUP(B13,'Data qoq'!$A:$AT,MATCH($X$1,'Data qoq'!$A$1:$AT$1,),)</f>
        <v>1.2986223240000001</v>
      </c>
      <c r="Y13" s="25">
        <f>VLOOKUP(B13,'Data qoq'!$A:$AT,MATCH($Y$1,'Data qoq'!$A$1:$AT$1,),)</f>
        <v>0.387268422</v>
      </c>
      <c r="Z13" s="25">
        <f>VLOOKUP(B13,'Data qoq'!$A:$AU,MATCH($Z$1,'Data qoq'!$A$1:$AU$1,),)</f>
        <v>-0.25518508200000001</v>
      </c>
      <c r="AA13" s="25">
        <f>VLOOKUP(B13,'Data qoq'!$A:$AU,MATCH($AA$1,'Data qoq'!$A$1:$AU$1,),)</f>
        <v>0.39263221700000001</v>
      </c>
      <c r="AC13" s="26" t="str">
        <f t="shared" si="6"/>
        <v>2000-Q3</v>
      </c>
      <c r="AD13" s="27">
        <f t="shared" si="7"/>
        <v>0.14699854300000001</v>
      </c>
      <c r="AE13" s="27"/>
    </row>
    <row r="14" spans="2:34" hidden="1" x14ac:dyDescent="0.2">
      <c r="B14" s="24" t="s">
        <v>280</v>
      </c>
      <c r="C14" s="25">
        <f>VLOOKUP(B14,'Data qoq'!$A:$AT,MATCH($C$1,'Data qoq'!$A$1:$AT$1,),)</f>
        <v>0.59436175499999999</v>
      </c>
      <c r="D14" s="25">
        <f>VLOOKUP(B14,'Data qoq'!$A:$AT,MATCH($D$1,'Data qoq'!$A$1:$AT$1,),)</f>
        <v>0</v>
      </c>
      <c r="E14" s="25">
        <f>VLOOKUP(B14,'Data qoq'!$A:$AT,MATCH($E$1,'Data qoq'!$A$1:$AT$1,),)</f>
        <v>0.68252000000000002</v>
      </c>
      <c r="F14" s="25">
        <f>VLOOKUP(B14,'Data qoq'!$A:$AT,MATCH($F$1,'Data qoq'!$A$1:$AT$1,),)</f>
        <v>0.97198125199999996</v>
      </c>
      <c r="G14" s="25">
        <f>VLOOKUP(B14,'Data qoq'!$A:$AT,MATCH($G$1,'Data qoq'!$A$1:$AT$1,),)</f>
        <v>-0.29530531300000001</v>
      </c>
      <c r="H14" s="25">
        <f>VLOOKUP(B14,'Data qoq'!$A:$AT,MATCH($H$1,'Data qoq'!$A$1:$AT$1,),)</f>
        <v>0.82507058700000002</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-0.28427459900000002</v>
      </c>
      <c r="M14" s="25">
        <f>VLOOKUP(B14,'Data qoq'!$A:$AT,MATCH($M$1,'Data qoq'!$A$1:$AT$1,),)</f>
        <v>-0.86249240299999996</v>
      </c>
      <c r="N14" s="25">
        <f>VLOOKUP(B14,'Data qoq'!$A:$AT,MATCH($N$1,'Data qoq'!$A$1:$AT$1,),)</f>
        <v>0</v>
      </c>
      <c r="O14" s="25">
        <f>VLOOKUP(B14,'Data qoq'!$A:$AT,MATCH($C$1,'Data qoq'!$J$1:$AT$1,),)</f>
        <v>0.19686072800000001</v>
      </c>
      <c r="P14" s="25">
        <f>VLOOKUP(B14,'Data qoq'!$A:$AT,MATCH($P$1,'Data qoq'!$A$1:$AT$1,),)</f>
        <v>0.17120740000000001</v>
      </c>
      <c r="Q14" s="25">
        <f>VLOOKUP(B14,'Data qoq'!$A:$AT,MATCH($Q$1,'Data qoq'!$A$1:$AT$1,),)</f>
        <v>-0.36277050700000002</v>
      </c>
      <c r="R14" s="25">
        <f>VLOOKUP(B14,'Data qoq'!$A:$AT,MATCH($E$1,'Data qoq'!$A$1:$AT$1,),)</f>
        <v>0.68252000000000002</v>
      </c>
      <c r="S14" s="25">
        <f>VLOOKUP(B14,'Data qoq'!$A:$AT,MATCH($S$1,'Data qoq'!$A$1:$AT$1,),)</f>
        <v>-0.32445797199999998</v>
      </c>
      <c r="T14" s="25">
        <f>VLOOKUP(B14,'Data qoq'!$A:$AT,MATCH($T$1,'Data qoq'!$A$1:$AT$1,),)</f>
        <v>1.220764124</v>
      </c>
      <c r="U14" s="25">
        <f>VLOOKUP(B14,'Data qoq'!$A:$AT,MATCH($U$1,'Data qoq'!$A$1:$AT$1,),)</f>
        <v>1.418925598</v>
      </c>
      <c r="V14" s="25">
        <f>VLOOKUP(B14,'Data qoq'!$A:$AT,MATCH($V$1,'Data qoq'!$A$1:$AT$1,),)</f>
        <v>1.042830205</v>
      </c>
      <c r="W14" s="25">
        <f>VLOOKUP(B14,'Data qoq'!$A:$AT,MATCH($W$1,'Data qoq'!$A$1:$AT$1,),)</f>
        <v>1.436633405</v>
      </c>
      <c r="X14" s="25">
        <f>VLOOKUP(B14,'Data qoq'!$A:$AT,MATCH($X$1,'Data qoq'!$A$1:$AT$1,),)</f>
        <v>0.475647341</v>
      </c>
      <c r="Y14" s="25">
        <f>VLOOKUP(B14,'Data qoq'!$A:$AT,MATCH($Y$1,'Data qoq'!$A$1:$AT$1,),)</f>
        <v>2.9320749410000002</v>
      </c>
      <c r="Z14" s="25">
        <f>VLOOKUP(B14,'Data qoq'!$A:$AU,MATCH($Z$1,'Data qoq'!$A$1:$AU$1,),)</f>
        <v>0.30685813499999998</v>
      </c>
      <c r="AA14" s="25">
        <f>VLOOKUP(B14,'Data qoq'!$A:$AU,MATCH($AA$1,'Data qoq'!$A$1:$AU$1,),)</f>
        <v>0.19686072800000001</v>
      </c>
      <c r="AC14" s="26" t="str">
        <f t="shared" si="6"/>
        <v>2000-Q4</v>
      </c>
      <c r="AD14" s="27">
        <f t="shared" si="7"/>
        <v>0.88966706800000006</v>
      </c>
      <c r="AE14" s="27"/>
    </row>
    <row r="15" spans="2:34" hidden="1" x14ac:dyDescent="0.2">
      <c r="B15" s="24" t="s">
        <v>281</v>
      </c>
      <c r="C15" s="25">
        <f>VLOOKUP(B15,'Data qoq'!$A:$AT,MATCH($C$1,'Data qoq'!$A$1:$AT$1,),)</f>
        <v>-0.32422100300000001</v>
      </c>
      <c r="D15" s="25">
        <f>VLOOKUP(B15,'Data qoq'!$A:$AT,MATCH($D$1,'Data qoq'!$A$1:$AT$1,),)</f>
        <v>0</v>
      </c>
      <c r="E15" s="25">
        <f>VLOOKUP(B15,'Data qoq'!$A:$AT,MATCH($E$1,'Data qoq'!$A$1:$AT$1,),)</f>
        <v>1.007034</v>
      </c>
      <c r="F15" s="25">
        <f>VLOOKUP(B15,'Data qoq'!$A:$AT,MATCH($F$1,'Data qoq'!$A$1:$AT$1,),)</f>
        <v>0.74187861099999997</v>
      </c>
      <c r="G15" s="25">
        <f>VLOOKUP(B15,'Data qoq'!$A:$AT,MATCH($G$1,'Data qoq'!$A$1:$AT$1,),)</f>
        <v>2.0228069799999999</v>
      </c>
      <c r="H15" s="25">
        <f>VLOOKUP(B15,'Data qoq'!$A:$AT,MATCH($H$1,'Data qoq'!$A$1:$AT$1,),)</f>
        <v>0.51122201300000003</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0.351507128</v>
      </c>
      <c r="M15" s="25">
        <f>VLOOKUP(B15,'Data qoq'!$A:$AT,MATCH($M$1,'Data qoq'!$A$1:$AT$1,),)</f>
        <v>2.6937256999999999E-2</v>
      </c>
      <c r="N15" s="25">
        <f>VLOOKUP(B15,'Data qoq'!$A:$AT,MATCH($N$1,'Data qoq'!$A$1:$AT$1,),)</f>
        <v>0</v>
      </c>
      <c r="O15" s="25">
        <f>VLOOKUP(B15,'Data qoq'!$A:$AT,MATCH($C$1,'Data qoq'!$J$1:$AT$1,),)</f>
        <v>0.3484138</v>
      </c>
      <c r="P15" s="25">
        <f>VLOOKUP(B15,'Data qoq'!$A:$AT,MATCH($P$1,'Data qoq'!$A$1:$AT$1,),)</f>
        <v>0.529651011</v>
      </c>
      <c r="Q15" s="25">
        <f>VLOOKUP(B15,'Data qoq'!$A:$AT,MATCH($Q$1,'Data qoq'!$A$1:$AT$1,),)</f>
        <v>1.0411375469999999</v>
      </c>
      <c r="R15" s="25">
        <f>VLOOKUP(B15,'Data qoq'!$A:$AT,MATCH($E$1,'Data qoq'!$A$1:$AT$1,),)</f>
        <v>1.007034</v>
      </c>
      <c r="S15" s="25">
        <f>VLOOKUP(B15,'Data qoq'!$A:$AT,MATCH($S$1,'Data qoq'!$A$1:$AT$1,),)</f>
        <v>1.2255548009999999</v>
      </c>
      <c r="T15" s="25">
        <f>VLOOKUP(B15,'Data qoq'!$A:$AT,MATCH($T$1,'Data qoq'!$A$1:$AT$1,),)</f>
        <v>0.41595031500000001</v>
      </c>
      <c r="U15" s="25">
        <f>VLOOKUP(B15,'Data qoq'!$A:$AT,MATCH($U$1,'Data qoq'!$A$1:$AT$1,),)</f>
        <v>1.237878102</v>
      </c>
      <c r="V15" s="25">
        <f>VLOOKUP(B15,'Data qoq'!$A:$AT,MATCH($V$1,'Data qoq'!$A$1:$AT$1,),)</f>
        <v>1.5772180499999999</v>
      </c>
      <c r="W15" s="25">
        <f>VLOOKUP(B15,'Data qoq'!$A:$AT,MATCH($W$1,'Data qoq'!$A$1:$AT$1,),)</f>
        <v>-5.1251296079999999</v>
      </c>
      <c r="X15" s="25">
        <f>VLOOKUP(B15,'Data qoq'!$A:$AT,MATCH($X$1,'Data qoq'!$A$1:$AT$1,),)</f>
        <v>1.186158643</v>
      </c>
      <c r="Y15" s="25">
        <f>VLOOKUP(B15,'Data qoq'!$A:$AT,MATCH($Y$1,'Data qoq'!$A$1:$AT$1,),)</f>
        <v>-1.348308576</v>
      </c>
      <c r="Z15" s="25">
        <f>VLOOKUP(B15,'Data qoq'!$A:$AU,MATCH($Z$1,'Data qoq'!$A$1:$AU$1,),)</f>
        <v>0.16364615900000001</v>
      </c>
      <c r="AA15" s="25">
        <f>VLOOKUP(B15,'Data qoq'!$A:$AU,MATCH($AA$1,'Data qoq'!$A$1:$AU$1,),)</f>
        <v>0.3484138</v>
      </c>
      <c r="AC15" s="26" t="str">
        <f t="shared" si="6"/>
        <v>2001-Q1</v>
      </c>
      <c r="AD15" s="27">
        <f t="shared" si="7"/>
        <v>-2.3470279829999998</v>
      </c>
      <c r="AE15" s="27"/>
    </row>
    <row r="16" spans="2:34" hidden="1" x14ac:dyDescent="0.2">
      <c r="B16" s="24" t="s">
        <v>282</v>
      </c>
      <c r="C16" s="25">
        <f>VLOOKUP(B16,'Data qoq'!$A:$AT,MATCH($C$1,'Data qoq'!$A$1:$AT$1,),)</f>
        <v>0.62138921499999999</v>
      </c>
      <c r="D16" s="25">
        <f>VLOOKUP(B16,'Data qoq'!$A:$AT,MATCH($D$1,'Data qoq'!$A$1:$AT$1,),)</f>
        <v>0</v>
      </c>
      <c r="E16" s="25">
        <f>VLOOKUP(B16,'Data qoq'!$A:$AT,MATCH($E$1,'Data qoq'!$A$1:$AT$1,),)</f>
        <v>7.5332999999999997E-2</v>
      </c>
      <c r="F16" s="25">
        <f>VLOOKUP(B16,'Data qoq'!$A:$AT,MATCH($F$1,'Data qoq'!$A$1:$AT$1,),)</f>
        <v>-0.75039955000000003</v>
      </c>
      <c r="G16" s="25">
        <f>VLOOKUP(B16,'Data qoq'!$A:$AT,MATCH($G$1,'Data qoq'!$A$1:$AT$1,),)</f>
        <v>-4.6445592000000001E-2</v>
      </c>
      <c r="H16" s="25">
        <f>VLOOKUP(B16,'Data qoq'!$A:$AT,MATCH($H$1,'Data qoq'!$A$1:$AT$1,),)</f>
        <v>0.115154376</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2.1463809E-2</v>
      </c>
      <c r="M16" s="25">
        <f>VLOOKUP(B16,'Data qoq'!$A:$AT,MATCH($M$1,'Data qoq'!$A$1:$AT$1,),)</f>
        <v>-0.53798702700000001</v>
      </c>
      <c r="N16" s="25">
        <f>VLOOKUP(B16,'Data qoq'!$A:$AT,MATCH($N$1,'Data qoq'!$A$1:$AT$1,),)</f>
        <v>0</v>
      </c>
      <c r="O16" s="25">
        <f>VLOOKUP(B16,'Data qoq'!$A:$AT,MATCH($C$1,'Data qoq'!$J$1:$AT$1,),)</f>
        <v>1.4227536160000001</v>
      </c>
      <c r="P16" s="25">
        <f>VLOOKUP(B16,'Data qoq'!$A:$AT,MATCH($P$1,'Data qoq'!$A$1:$AT$1,),)</f>
        <v>0.26949002500000002</v>
      </c>
      <c r="Q16" s="25">
        <f>VLOOKUP(B16,'Data qoq'!$A:$AT,MATCH($Q$1,'Data qoq'!$A$1:$AT$1,),)</f>
        <v>0.81683744599999997</v>
      </c>
      <c r="R16" s="25">
        <f>VLOOKUP(B16,'Data qoq'!$A:$AT,MATCH($E$1,'Data qoq'!$A$1:$AT$1,),)</f>
        <v>7.5332999999999997E-2</v>
      </c>
      <c r="S16" s="25">
        <f>VLOOKUP(B16,'Data qoq'!$A:$AT,MATCH($S$1,'Data qoq'!$A$1:$AT$1,),)</f>
        <v>1.2988810260000001</v>
      </c>
      <c r="T16" s="25">
        <f>VLOOKUP(B16,'Data qoq'!$A:$AT,MATCH($T$1,'Data qoq'!$A$1:$AT$1,),)</f>
        <v>-0.51583572899999997</v>
      </c>
      <c r="U16" s="25">
        <f>VLOOKUP(B16,'Data qoq'!$A:$AT,MATCH($U$1,'Data qoq'!$A$1:$AT$1,),)</f>
        <v>-0.26357386700000002</v>
      </c>
      <c r="V16" s="25">
        <f>VLOOKUP(B16,'Data qoq'!$A:$AT,MATCH($V$1,'Data qoq'!$A$1:$AT$1,),)</f>
        <v>1.159099732</v>
      </c>
      <c r="W16" s="25">
        <f>VLOOKUP(B16,'Data qoq'!$A:$AT,MATCH($W$1,'Data qoq'!$A$1:$AT$1,),)</f>
        <v>-4.8440387170000001</v>
      </c>
      <c r="X16" s="25">
        <f>VLOOKUP(B16,'Data qoq'!$A:$AT,MATCH($X$1,'Data qoq'!$A$1:$AT$1,),)</f>
        <v>0.23166178400000001</v>
      </c>
      <c r="Y16" s="25">
        <f>VLOOKUP(B16,'Data qoq'!$A:$AT,MATCH($Y$1,'Data qoq'!$A$1:$AT$1,),)</f>
        <v>-0.45309452500000003</v>
      </c>
      <c r="Z16" s="25">
        <f>VLOOKUP(B16,'Data qoq'!$A:$AU,MATCH($Z$1,'Data qoq'!$A$1:$AU$1,),)</f>
        <v>-0.82981777400000001</v>
      </c>
      <c r="AA16" s="25">
        <f>VLOOKUP(B16,'Data qoq'!$A:$AU,MATCH($AA$1,'Data qoq'!$A$1:$AU$1,),)</f>
        <v>1.4227536160000001</v>
      </c>
      <c r="AC16" s="26" t="str">
        <f t="shared" si="6"/>
        <v>2001-Q2</v>
      </c>
      <c r="AD16" s="27">
        <f t="shared" si="7"/>
        <v>0.66783480699999997</v>
      </c>
      <c r="AE16" s="27"/>
    </row>
    <row r="17" spans="2:31" hidden="1" x14ac:dyDescent="0.2">
      <c r="B17" s="24" t="s">
        <v>283</v>
      </c>
      <c r="C17" s="25">
        <f>VLOOKUP(B17,'Data qoq'!$A:$AT,MATCH($C$1,'Data qoq'!$A$1:$AT$1,),)</f>
        <v>-0.400349016</v>
      </c>
      <c r="D17" s="25">
        <f>VLOOKUP(B17,'Data qoq'!$A:$AT,MATCH($D$1,'Data qoq'!$A$1:$AT$1,),)</f>
        <v>0</v>
      </c>
      <c r="E17" s="25">
        <f>VLOOKUP(B17,'Data qoq'!$A:$AT,MATCH($E$1,'Data qoq'!$A$1:$AT$1,),)</f>
        <v>8.8467000000000004E-2</v>
      </c>
      <c r="F17" s="25">
        <f>VLOOKUP(B17,'Data qoq'!$A:$AT,MATCH($F$1,'Data qoq'!$A$1:$AT$1,),)</f>
        <v>-1.0892209820000001</v>
      </c>
      <c r="G17" s="25">
        <f>VLOOKUP(B17,'Data qoq'!$A:$AT,MATCH($G$1,'Data qoq'!$A$1:$AT$1,),)</f>
        <v>-0.209109191</v>
      </c>
      <c r="H17" s="25">
        <f>VLOOKUP(B17,'Data qoq'!$A:$AT,MATCH($H$1,'Data qoq'!$A$1:$AT$1,),)</f>
        <v>0.25867563700000001</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0.38222099399999998</v>
      </c>
      <c r="M17" s="25">
        <f>VLOOKUP(B17,'Data qoq'!$A:$AT,MATCH($M$1,'Data qoq'!$A$1:$AT$1,),)</f>
        <v>0.219593551</v>
      </c>
      <c r="N17" s="25">
        <f>VLOOKUP(B17,'Data qoq'!$A:$AT,MATCH($N$1,'Data qoq'!$A$1:$AT$1,),)</f>
        <v>0</v>
      </c>
      <c r="O17" s="25">
        <f>VLOOKUP(B17,'Data qoq'!$A:$AT,MATCH($C$1,'Data qoq'!$J$1:$AT$1,),)</f>
        <v>0.76188515099999998</v>
      </c>
      <c r="P17" s="25">
        <f>VLOOKUP(B17,'Data qoq'!$A:$AT,MATCH($P$1,'Data qoq'!$A$1:$AT$1,),)</f>
        <v>-6.6614244000000003E-2</v>
      </c>
      <c r="Q17" s="25">
        <f>VLOOKUP(B17,'Data qoq'!$A:$AT,MATCH($Q$1,'Data qoq'!$A$1:$AT$1,),)</f>
        <v>1.193073813</v>
      </c>
      <c r="R17" s="25">
        <f>VLOOKUP(B17,'Data qoq'!$A:$AT,MATCH($E$1,'Data qoq'!$A$1:$AT$1,),)</f>
        <v>8.8467000000000004E-2</v>
      </c>
      <c r="S17" s="25">
        <f>VLOOKUP(B17,'Data qoq'!$A:$AT,MATCH($S$1,'Data qoq'!$A$1:$AT$1,),)</f>
        <v>1.3501936240000001</v>
      </c>
      <c r="T17" s="25">
        <f>VLOOKUP(B17,'Data qoq'!$A:$AT,MATCH($T$1,'Data qoq'!$A$1:$AT$1,),)</f>
        <v>-0.534132728</v>
      </c>
      <c r="U17" s="25">
        <f>VLOOKUP(B17,'Data qoq'!$A:$AT,MATCH($U$1,'Data qoq'!$A$1:$AT$1,),)</f>
        <v>1.621616296</v>
      </c>
      <c r="V17" s="25">
        <f>VLOOKUP(B17,'Data qoq'!$A:$AT,MATCH($V$1,'Data qoq'!$A$1:$AT$1,),)</f>
        <v>-0.50008184899999997</v>
      </c>
      <c r="W17" s="25">
        <f>VLOOKUP(B17,'Data qoq'!$A:$AT,MATCH($W$1,'Data qoq'!$A$1:$AT$1,),)</f>
        <v>1.2517857720000001</v>
      </c>
      <c r="X17" s="25">
        <f>VLOOKUP(B17,'Data qoq'!$A:$AT,MATCH($X$1,'Data qoq'!$A$1:$AT$1,),)</f>
        <v>0.43192050500000001</v>
      </c>
      <c r="Y17" s="25">
        <f>VLOOKUP(B17,'Data qoq'!$A:$AT,MATCH($Y$1,'Data qoq'!$A$1:$AT$1,),)</f>
        <v>0.78292662199999996</v>
      </c>
      <c r="Z17" s="25">
        <f>VLOOKUP(B17,'Data qoq'!$A:$AU,MATCH($Z$1,'Data qoq'!$A$1:$AU$1,),)</f>
        <v>-4.6458788760000003</v>
      </c>
      <c r="AA17" s="25">
        <f>VLOOKUP(B17,'Data qoq'!$A:$AU,MATCH($AA$1,'Data qoq'!$A$1:$AU$1,),)</f>
        <v>0.76188515099999998</v>
      </c>
      <c r="AC17" s="26" t="str">
        <f t="shared" si="6"/>
        <v>2001-Q3</v>
      </c>
      <c r="AD17" s="27">
        <f t="shared" si="7"/>
        <v>-0.191239825</v>
      </c>
      <c r="AE17" s="27"/>
    </row>
    <row r="18" spans="2:31" hidden="1" x14ac:dyDescent="0.2">
      <c r="B18" s="24" t="s">
        <v>284</v>
      </c>
      <c r="C18" s="25">
        <f>VLOOKUP(B18,'Data qoq'!$A:$AT,MATCH($C$1,'Data qoq'!$A$1:$AT$1,),)</f>
        <v>0.27731435799999998</v>
      </c>
      <c r="D18" s="25">
        <f>VLOOKUP(B18,'Data qoq'!$A:$AT,MATCH($D$1,'Data qoq'!$A$1:$AT$1,),)</f>
        <v>0</v>
      </c>
      <c r="E18" s="25">
        <f>VLOOKUP(B18,'Data qoq'!$A:$AT,MATCH($E$1,'Data qoq'!$A$1:$AT$1,),)</f>
        <v>0.113341</v>
      </c>
      <c r="F18" s="25">
        <f>VLOOKUP(B18,'Data qoq'!$A:$AT,MATCH($F$1,'Data qoq'!$A$1:$AT$1,),)</f>
        <v>-0.340803517</v>
      </c>
      <c r="G18" s="25">
        <f>VLOOKUP(B18,'Data qoq'!$A:$AT,MATCH($G$1,'Data qoq'!$A$1:$AT$1,),)</f>
        <v>-8.1492953000000007E-2</v>
      </c>
      <c r="H18" s="25">
        <f>VLOOKUP(B18,'Data qoq'!$A:$AT,MATCH($H$1,'Data qoq'!$A$1:$AT$1,),)</f>
        <v>-6.3638454999999997E-2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0.841556953</v>
      </c>
      <c r="M18" s="25">
        <f>VLOOKUP(B18,'Data qoq'!$A:$AT,MATCH($M$1,'Data qoq'!$A$1:$AT$1,),)</f>
        <v>-0.63512045900000003</v>
      </c>
      <c r="N18" s="25">
        <f>VLOOKUP(B18,'Data qoq'!$A:$AT,MATCH($N$1,'Data qoq'!$A$1:$AT$1,),)</f>
        <v>0</v>
      </c>
      <c r="O18" s="25">
        <f>VLOOKUP(B18,'Data qoq'!$A:$AT,MATCH($C$1,'Data qoq'!$J$1:$AT$1,),)</f>
        <v>1.4841494879999999</v>
      </c>
      <c r="P18" s="25">
        <f>VLOOKUP(B18,'Data qoq'!$A:$AT,MATCH($P$1,'Data qoq'!$A$1:$AT$1,),)</f>
        <v>0.60882924699999996</v>
      </c>
      <c r="Q18" s="25">
        <f>VLOOKUP(B18,'Data qoq'!$A:$AT,MATCH($Q$1,'Data qoq'!$A$1:$AT$1,),)</f>
        <v>1.209764099</v>
      </c>
      <c r="R18" s="25">
        <f>VLOOKUP(B18,'Data qoq'!$A:$AT,MATCH($E$1,'Data qoq'!$A$1:$AT$1,),)</f>
        <v>0.113341</v>
      </c>
      <c r="S18" s="25">
        <f>VLOOKUP(B18,'Data qoq'!$A:$AT,MATCH($S$1,'Data qoq'!$A$1:$AT$1,),)</f>
        <v>1.762585517</v>
      </c>
      <c r="T18" s="25">
        <f>VLOOKUP(B18,'Data qoq'!$A:$AT,MATCH($T$1,'Data qoq'!$A$1:$AT$1,),)</f>
        <v>-0.26248648099999999</v>
      </c>
      <c r="U18" s="25">
        <f>VLOOKUP(B18,'Data qoq'!$A:$AT,MATCH($U$1,'Data qoq'!$A$1:$AT$1,),)</f>
        <v>0.26489864099999999</v>
      </c>
      <c r="V18" s="25">
        <f>VLOOKUP(B18,'Data qoq'!$A:$AT,MATCH($V$1,'Data qoq'!$A$1:$AT$1,),)</f>
        <v>1.8951329139999999</v>
      </c>
      <c r="W18" s="25">
        <f>VLOOKUP(B18,'Data qoq'!$A:$AT,MATCH($W$1,'Data qoq'!$A$1:$AT$1,),)</f>
        <v>-1.6828962709999999</v>
      </c>
      <c r="X18" s="25">
        <f>VLOOKUP(B18,'Data qoq'!$A:$AT,MATCH($X$1,'Data qoq'!$A$1:$AT$1,),)</f>
        <v>0.74081654600000002</v>
      </c>
      <c r="Y18" s="25">
        <f>VLOOKUP(B18,'Data qoq'!$A:$AT,MATCH($Y$1,'Data qoq'!$A$1:$AT$1,),)</f>
        <v>0.295694911</v>
      </c>
      <c r="Z18" s="25">
        <f>VLOOKUP(B18,'Data qoq'!$A:$AU,MATCH($Z$1,'Data qoq'!$A$1:$AU$1,),)</f>
        <v>-5.6948729309999999</v>
      </c>
      <c r="AA18" s="25">
        <f>VLOOKUP(B18,'Data qoq'!$A:$AU,MATCH($AA$1,'Data qoq'!$A$1:$AU$1,),)</f>
        <v>1.4841494879999999</v>
      </c>
      <c r="AC18" s="26" t="str">
        <f t="shared" si="6"/>
        <v>2001-Q4</v>
      </c>
      <c r="AD18" s="27">
        <f t="shared" si="7"/>
        <v>0.35880731099999996</v>
      </c>
      <c r="AE18" s="27"/>
    </row>
    <row r="19" spans="2:31" hidden="1" x14ac:dyDescent="0.2">
      <c r="B19" s="24" t="s">
        <v>285</v>
      </c>
      <c r="C19" s="25">
        <f>VLOOKUP(B19,'Data qoq'!$A:$AT,MATCH($C$1,'Data qoq'!$A$1:$AT$1,),)</f>
        <v>0.82822721600000004</v>
      </c>
      <c r="D19" s="25">
        <f>VLOOKUP(B19,'Data qoq'!$A:$AT,MATCH($D$1,'Data qoq'!$A$1:$AT$1,),)</f>
        <v>0</v>
      </c>
      <c r="E19" s="25">
        <f>VLOOKUP(B19,'Data qoq'!$A:$AT,MATCH($E$1,'Data qoq'!$A$1:$AT$1,),)</f>
        <v>0.12773300000000001</v>
      </c>
      <c r="F19" s="25">
        <f>VLOOKUP(B19,'Data qoq'!$A:$AT,MATCH($F$1,'Data qoq'!$A$1:$AT$1,),)</f>
        <v>0.16808820299999999</v>
      </c>
      <c r="G19" s="25">
        <f>VLOOKUP(B19,'Data qoq'!$A:$AT,MATCH($G$1,'Data qoq'!$A$1:$AT$1,),)</f>
        <v>-0.51264006200000001</v>
      </c>
      <c r="H19" s="25">
        <f>VLOOKUP(B19,'Data qoq'!$A:$AT,MATCH($H$1,'Data qoq'!$A$1:$AT$1,),)</f>
        <v>0.57302493200000004</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-0.116650499</v>
      </c>
      <c r="M19" s="25">
        <f>VLOOKUP(B19,'Data qoq'!$A:$AT,MATCH($M$1,'Data qoq'!$A$1:$AT$1,),)</f>
        <v>-0.68113655299999998</v>
      </c>
      <c r="N19" s="25">
        <f>VLOOKUP(B19,'Data qoq'!$A:$AT,MATCH($N$1,'Data qoq'!$A$1:$AT$1,),)</f>
        <v>0</v>
      </c>
      <c r="O19" s="25">
        <f>VLOOKUP(B19,'Data qoq'!$A:$AT,MATCH($C$1,'Data qoq'!$J$1:$AT$1,),)</f>
        <v>0.89105920299999997</v>
      </c>
      <c r="P19" s="25">
        <f>VLOOKUP(B19,'Data qoq'!$A:$AT,MATCH($P$1,'Data qoq'!$A$1:$AT$1,),)</f>
        <v>1.4842260460000001</v>
      </c>
      <c r="Q19" s="25">
        <f>VLOOKUP(B19,'Data qoq'!$A:$AT,MATCH($Q$1,'Data qoq'!$A$1:$AT$1,),)</f>
        <v>0.76201430599999997</v>
      </c>
      <c r="R19" s="25">
        <f>VLOOKUP(B19,'Data qoq'!$A:$AT,MATCH($E$1,'Data qoq'!$A$1:$AT$1,),)</f>
        <v>0.12773300000000001</v>
      </c>
      <c r="S19" s="25">
        <f>VLOOKUP(B19,'Data qoq'!$A:$AT,MATCH($S$1,'Data qoq'!$A$1:$AT$1,),)</f>
        <v>2.5444815919999999</v>
      </c>
      <c r="T19" s="25">
        <f>VLOOKUP(B19,'Data qoq'!$A:$AT,MATCH($T$1,'Data qoq'!$A$1:$AT$1,),)</f>
        <v>2.4121098569999999</v>
      </c>
      <c r="U19" s="25">
        <f>VLOOKUP(B19,'Data qoq'!$A:$AT,MATCH($U$1,'Data qoq'!$A$1:$AT$1,),)</f>
        <v>0.81704766799999995</v>
      </c>
      <c r="V19" s="25">
        <f>VLOOKUP(B19,'Data qoq'!$A:$AT,MATCH($V$1,'Data qoq'!$A$1:$AT$1,),)</f>
        <v>1.957009869</v>
      </c>
      <c r="W19" s="25">
        <f>VLOOKUP(B19,'Data qoq'!$A:$AT,MATCH($W$1,'Data qoq'!$A$1:$AT$1,),)</f>
        <v>3.7775825539999999</v>
      </c>
      <c r="X19" s="25">
        <f>VLOOKUP(B19,'Data qoq'!$A:$AT,MATCH($X$1,'Data qoq'!$A$1:$AT$1,),)</f>
        <v>-0.196354374</v>
      </c>
      <c r="Y19" s="25">
        <f>VLOOKUP(B19,'Data qoq'!$A:$AT,MATCH($Y$1,'Data qoq'!$A$1:$AT$1,),)</f>
        <v>0.21149791700000001</v>
      </c>
      <c r="Z19" s="25">
        <f>VLOOKUP(B19,'Data qoq'!$A:$AU,MATCH($Z$1,'Data qoq'!$A$1:$AU$1,),)</f>
        <v>-4.9310185359999998</v>
      </c>
      <c r="AA19" s="25">
        <f>VLOOKUP(B19,'Data qoq'!$A:$AU,MATCH($AA$1,'Data qoq'!$A$1:$AU$1,),)</f>
        <v>0.89105920299999997</v>
      </c>
      <c r="AC19" s="26" t="str">
        <f t="shared" si="6"/>
        <v>2002-Q1</v>
      </c>
      <c r="AD19" s="27">
        <f t="shared" si="7"/>
        <v>1.3408672780000002</v>
      </c>
      <c r="AE19" s="27"/>
    </row>
    <row r="20" spans="2:31" hidden="1" x14ac:dyDescent="0.2">
      <c r="B20" s="24" t="s">
        <v>286</v>
      </c>
      <c r="C20" s="25">
        <f>VLOOKUP(B20,'Data qoq'!$A:$AT,MATCH($C$1,'Data qoq'!$A$1:$AT$1,),)</f>
        <v>0.61550245599999998</v>
      </c>
      <c r="D20" s="25">
        <f>VLOOKUP(B20,'Data qoq'!$A:$AT,MATCH($D$1,'Data qoq'!$A$1:$AT$1,),)</f>
        <v>0</v>
      </c>
      <c r="E20" s="25">
        <f>VLOOKUP(B20,'Data qoq'!$A:$AT,MATCH($E$1,'Data qoq'!$A$1:$AT$1,),)</f>
        <v>0.52427400000000002</v>
      </c>
      <c r="F20" s="25">
        <f>VLOOKUP(B20,'Data qoq'!$A:$AT,MATCH($F$1,'Data qoq'!$A$1:$AT$1,),)</f>
        <v>0.81032455999999997</v>
      </c>
      <c r="G20" s="25">
        <f>VLOOKUP(B20,'Data qoq'!$A:$AT,MATCH($G$1,'Data qoq'!$A$1:$AT$1,),)</f>
        <v>0.433303471</v>
      </c>
      <c r="H20" s="25">
        <f>VLOOKUP(B20,'Data qoq'!$A:$AT,MATCH($H$1,'Data qoq'!$A$1:$AT$1,),)</f>
        <v>0.41520544199999998</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1.542451588</v>
      </c>
      <c r="M20" s="25">
        <f>VLOOKUP(B20,'Data qoq'!$A:$AT,MATCH($M$1,'Data qoq'!$A$1:$AT$1,),)</f>
        <v>0.92430933699999995</v>
      </c>
      <c r="N20" s="25">
        <f>VLOOKUP(B20,'Data qoq'!$A:$AT,MATCH($N$1,'Data qoq'!$A$1:$AT$1,),)</f>
        <v>0</v>
      </c>
      <c r="O20" s="25">
        <f>VLOOKUP(B20,'Data qoq'!$A:$AT,MATCH($C$1,'Data qoq'!$J$1:$AT$1,),)</f>
        <v>1.3172995359999999</v>
      </c>
      <c r="P20" s="25">
        <f>VLOOKUP(B20,'Data qoq'!$A:$AT,MATCH($P$1,'Data qoq'!$A$1:$AT$1,),)</f>
        <v>0.58937331199999998</v>
      </c>
      <c r="Q20" s="25">
        <f>VLOOKUP(B20,'Data qoq'!$A:$AT,MATCH($Q$1,'Data qoq'!$A$1:$AT$1,),)</f>
        <v>1.714537736</v>
      </c>
      <c r="R20" s="25">
        <f>VLOOKUP(B20,'Data qoq'!$A:$AT,MATCH($E$1,'Data qoq'!$A$1:$AT$1,),)</f>
        <v>0.52427400000000002</v>
      </c>
      <c r="S20" s="25">
        <f>VLOOKUP(B20,'Data qoq'!$A:$AT,MATCH($S$1,'Data qoq'!$A$1:$AT$1,),)</f>
        <v>1.8121354160000001</v>
      </c>
      <c r="T20" s="25">
        <f>VLOOKUP(B20,'Data qoq'!$A:$AT,MATCH($T$1,'Data qoq'!$A$1:$AT$1,),)</f>
        <v>0.34861546399999999</v>
      </c>
      <c r="U20" s="25">
        <f>VLOOKUP(B20,'Data qoq'!$A:$AT,MATCH($U$1,'Data qoq'!$A$1:$AT$1,),)</f>
        <v>2.238306787</v>
      </c>
      <c r="V20" s="25">
        <f>VLOOKUP(B20,'Data qoq'!$A:$AT,MATCH($V$1,'Data qoq'!$A$1:$AT$1,),)</f>
        <v>0.46255972499999998</v>
      </c>
      <c r="W20" s="25">
        <f>VLOOKUP(B20,'Data qoq'!$A:$AT,MATCH($W$1,'Data qoq'!$A$1:$AT$1,),)</f>
        <v>4.3164154459999997</v>
      </c>
      <c r="X20" s="25">
        <f>VLOOKUP(B20,'Data qoq'!$A:$AT,MATCH($X$1,'Data qoq'!$A$1:$AT$1,),)</f>
        <v>0.50147152100000003</v>
      </c>
      <c r="Y20" s="25">
        <f>VLOOKUP(B20,'Data qoq'!$A:$AT,MATCH($Y$1,'Data qoq'!$A$1:$AT$1,),)</f>
        <v>0.90444327999999996</v>
      </c>
      <c r="Z20" s="25">
        <f>VLOOKUP(B20,'Data qoq'!$A:$AU,MATCH($Z$1,'Data qoq'!$A$1:$AU$1,),)</f>
        <v>0.42398614800000001</v>
      </c>
      <c r="AA20" s="25">
        <f>VLOOKUP(B20,'Data qoq'!$A:$AU,MATCH($AA$1,'Data qoq'!$A$1:$AU$1,),)</f>
        <v>1.3172995359999999</v>
      </c>
      <c r="AC20" s="26" t="str">
        <f t="shared" si="6"/>
        <v>2002-Q2</v>
      </c>
      <c r="AD20" s="27">
        <f t="shared" si="7"/>
        <v>0.18219898499999998</v>
      </c>
      <c r="AE20" s="27"/>
    </row>
    <row r="21" spans="2:31" hidden="1" x14ac:dyDescent="0.2">
      <c r="B21" s="24" t="s">
        <v>287</v>
      </c>
      <c r="C21" s="25">
        <f>VLOOKUP(B21,'Data qoq'!$A:$AT,MATCH($C$1,'Data qoq'!$A$1:$AT$1,),)</f>
        <v>0.40352870400000002</v>
      </c>
      <c r="D21" s="25">
        <f>VLOOKUP(B21,'Data qoq'!$A:$AT,MATCH($D$1,'Data qoq'!$A$1:$AT$1,),)</f>
        <v>0</v>
      </c>
      <c r="E21" s="25">
        <f>VLOOKUP(B21,'Data qoq'!$A:$AT,MATCH($E$1,'Data qoq'!$A$1:$AT$1,),)</f>
        <v>0.367925</v>
      </c>
      <c r="F21" s="25">
        <f>VLOOKUP(B21,'Data qoq'!$A:$AT,MATCH($F$1,'Data qoq'!$A$1:$AT$1,),)</f>
        <v>0.31463256000000001</v>
      </c>
      <c r="G21" s="25">
        <f>VLOOKUP(B21,'Data qoq'!$A:$AT,MATCH($G$1,'Data qoq'!$A$1:$AT$1,),)</f>
        <v>0.46642256399999998</v>
      </c>
      <c r="H21" s="25">
        <f>VLOOKUP(B21,'Data qoq'!$A:$AT,MATCH($H$1,'Data qoq'!$A$1:$AT$1,),)</f>
        <v>0.23268035400000001</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0.59465185399999998</v>
      </c>
      <c r="M21" s="25">
        <f>VLOOKUP(B21,'Data qoq'!$A:$AT,MATCH($M$1,'Data qoq'!$A$1:$AT$1,),)</f>
        <v>0.77800704600000004</v>
      </c>
      <c r="N21" s="25">
        <f>VLOOKUP(B21,'Data qoq'!$A:$AT,MATCH($N$1,'Data qoq'!$A$1:$AT$1,),)</f>
        <v>0</v>
      </c>
      <c r="O21" s="25">
        <f>VLOOKUP(B21,'Data qoq'!$A:$AT,MATCH($C$1,'Data qoq'!$J$1:$AT$1,),)</f>
        <v>1.1721250919999999</v>
      </c>
      <c r="P21" s="25">
        <f>VLOOKUP(B21,'Data qoq'!$A:$AT,MATCH($P$1,'Data qoq'!$A$1:$AT$1,),)</f>
        <v>0.86544944000000001</v>
      </c>
      <c r="Q21" s="25">
        <f>VLOOKUP(B21,'Data qoq'!$A:$AT,MATCH($Q$1,'Data qoq'!$A$1:$AT$1,),)</f>
        <v>0.30161007499999998</v>
      </c>
      <c r="R21" s="25">
        <f>VLOOKUP(B21,'Data qoq'!$A:$AT,MATCH($E$1,'Data qoq'!$A$1:$AT$1,),)</f>
        <v>0.367925</v>
      </c>
      <c r="S21" s="25">
        <f>VLOOKUP(B21,'Data qoq'!$A:$AT,MATCH($S$1,'Data qoq'!$A$1:$AT$1,),)</f>
        <v>2.0218129560000002</v>
      </c>
      <c r="T21" s="25">
        <f>VLOOKUP(B21,'Data qoq'!$A:$AT,MATCH($T$1,'Data qoq'!$A$1:$AT$1,),)</f>
        <v>1.3477487189999999</v>
      </c>
      <c r="U21" s="25">
        <f>VLOOKUP(B21,'Data qoq'!$A:$AT,MATCH($U$1,'Data qoq'!$A$1:$AT$1,),)</f>
        <v>0.57704490600000002</v>
      </c>
      <c r="V21" s="25">
        <f>VLOOKUP(B21,'Data qoq'!$A:$AT,MATCH($V$1,'Data qoq'!$A$1:$AT$1,),)</f>
        <v>1.9699272990000001</v>
      </c>
      <c r="W21" s="25">
        <f>VLOOKUP(B21,'Data qoq'!$A:$AT,MATCH($W$1,'Data qoq'!$A$1:$AT$1,),)</f>
        <v>1.366468032</v>
      </c>
      <c r="X21" s="25">
        <f>VLOOKUP(B21,'Data qoq'!$A:$AT,MATCH($X$1,'Data qoq'!$A$1:$AT$1,),)</f>
        <v>0.63705044899999996</v>
      </c>
      <c r="Y21" s="25">
        <f>VLOOKUP(B21,'Data qoq'!$A:$AT,MATCH($Y$1,'Data qoq'!$A$1:$AT$1,),)</f>
        <v>1.2326548610000001</v>
      </c>
      <c r="Z21" s="25">
        <f>VLOOKUP(B21,'Data qoq'!$A:$AU,MATCH($Z$1,'Data qoq'!$A$1:$AU$1,),)</f>
        <v>7.4497308999999998E-2</v>
      </c>
      <c r="AA21" s="25">
        <f>VLOOKUP(B21,'Data qoq'!$A:$AU,MATCH($AA$1,'Data qoq'!$A$1:$AU$1,),)</f>
        <v>1.1721250919999999</v>
      </c>
      <c r="AC21" s="26" t="str">
        <f t="shared" si="6"/>
        <v>2002-Q3</v>
      </c>
      <c r="AD21" s="27">
        <f t="shared" si="7"/>
        <v>-6.2893859999999968E-2</v>
      </c>
      <c r="AE21" s="27"/>
    </row>
    <row r="22" spans="2:31" hidden="1" x14ac:dyDescent="0.2">
      <c r="B22" s="24" t="s">
        <v>288</v>
      </c>
      <c r="C22" s="25">
        <f>VLOOKUP(B22,'Data qoq'!$A:$AT,MATCH($C$1,'Data qoq'!$A$1:$AT$1,),)</f>
        <v>0.13065576700000001</v>
      </c>
      <c r="D22" s="25">
        <f>VLOOKUP(B22,'Data qoq'!$A:$AT,MATCH($D$1,'Data qoq'!$A$1:$AT$1,),)</f>
        <v>0</v>
      </c>
      <c r="E22" s="25">
        <f>VLOOKUP(B22,'Data qoq'!$A:$AT,MATCH($E$1,'Data qoq'!$A$1:$AT$1,),)</f>
        <v>0.23078000000000001</v>
      </c>
      <c r="F22" s="25">
        <f>VLOOKUP(B22,'Data qoq'!$A:$AT,MATCH($F$1,'Data qoq'!$A$1:$AT$1,),)</f>
        <v>0.27847166000000001</v>
      </c>
      <c r="G22" s="25">
        <f>VLOOKUP(B22,'Data qoq'!$A:$AT,MATCH($G$1,'Data qoq'!$A$1:$AT$1,),)</f>
        <v>-0.12766492900000001</v>
      </c>
      <c r="H22" s="25">
        <f>VLOOKUP(B22,'Data qoq'!$A:$AT,MATCH($H$1,'Data qoq'!$A$1:$AT$1,),)</f>
        <v>0.234409648</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0.17840708599999999</v>
      </c>
      <c r="M22" s="25">
        <f>VLOOKUP(B22,'Data qoq'!$A:$AT,MATCH($M$1,'Data qoq'!$A$1:$AT$1,),)</f>
        <v>0.23594063300000001</v>
      </c>
      <c r="N22" s="25">
        <f>VLOOKUP(B22,'Data qoq'!$A:$AT,MATCH($N$1,'Data qoq'!$A$1:$AT$1,),)</f>
        <v>0</v>
      </c>
      <c r="O22" s="25">
        <f>VLOOKUP(B22,'Data qoq'!$A:$AT,MATCH($C$1,'Data qoq'!$J$1:$AT$1,),)</f>
        <v>1.331353746</v>
      </c>
      <c r="P22" s="25">
        <f>VLOOKUP(B22,'Data qoq'!$A:$AT,MATCH($P$1,'Data qoq'!$A$1:$AT$1,),)</f>
        <v>0.54862090500000005</v>
      </c>
      <c r="Q22" s="25">
        <f>VLOOKUP(B22,'Data qoq'!$A:$AT,MATCH($Q$1,'Data qoq'!$A$1:$AT$1,),)</f>
        <v>0.816602881</v>
      </c>
      <c r="R22" s="25">
        <f>VLOOKUP(B22,'Data qoq'!$A:$AT,MATCH($E$1,'Data qoq'!$A$1:$AT$1,),)</f>
        <v>0.23078000000000001</v>
      </c>
      <c r="S22" s="25">
        <f>VLOOKUP(B22,'Data qoq'!$A:$AT,MATCH($S$1,'Data qoq'!$A$1:$AT$1,),)</f>
        <v>1.0973539919999999</v>
      </c>
      <c r="T22" s="25">
        <f>VLOOKUP(B22,'Data qoq'!$A:$AT,MATCH($T$1,'Data qoq'!$A$1:$AT$1,),)</f>
        <v>1.010163886</v>
      </c>
      <c r="U22" s="25">
        <f>VLOOKUP(B22,'Data qoq'!$A:$AT,MATCH($U$1,'Data qoq'!$A$1:$AT$1,),)</f>
        <v>0.77102046599999996</v>
      </c>
      <c r="V22" s="25">
        <f>VLOOKUP(B22,'Data qoq'!$A:$AT,MATCH($V$1,'Data qoq'!$A$1:$AT$1,),)</f>
        <v>1.550262724</v>
      </c>
      <c r="W22" s="25">
        <f>VLOOKUP(B22,'Data qoq'!$A:$AT,MATCH($W$1,'Data qoq'!$A$1:$AT$1,),)</f>
        <v>2.13363529</v>
      </c>
      <c r="X22" s="25">
        <f>VLOOKUP(B22,'Data qoq'!$A:$AT,MATCH($X$1,'Data qoq'!$A$1:$AT$1,),)</f>
        <v>0.66296281300000004</v>
      </c>
      <c r="Y22" s="25">
        <f>VLOOKUP(B22,'Data qoq'!$A:$AT,MATCH($Y$1,'Data qoq'!$A$1:$AT$1,),)</f>
        <v>9.4280064999999996E-2</v>
      </c>
      <c r="Z22" s="25">
        <f>VLOOKUP(B22,'Data qoq'!$A:$AU,MATCH($Z$1,'Data qoq'!$A$1:$AU$1,),)</f>
        <v>1.019056942</v>
      </c>
      <c r="AA22" s="25">
        <f>VLOOKUP(B22,'Data qoq'!$A:$AU,MATCH($AA$1,'Data qoq'!$A$1:$AU$1,),)</f>
        <v>1.331353746</v>
      </c>
      <c r="AC22" s="26" t="str">
        <f t="shared" si="6"/>
        <v>2002-Q4</v>
      </c>
      <c r="AD22" s="27">
        <f t="shared" si="7"/>
        <v>0.25832069600000002</v>
      </c>
      <c r="AE22" s="27"/>
    </row>
    <row r="23" spans="2:31" hidden="1" x14ac:dyDescent="0.2">
      <c r="B23" s="24" t="s">
        <v>289</v>
      </c>
      <c r="C23" s="25">
        <f>VLOOKUP(B23,'Data qoq'!$A:$AT,MATCH($C$1,'Data qoq'!$A$1:$AT$1,),)</f>
        <v>0.51672318699999997</v>
      </c>
      <c r="D23" s="25">
        <f>VLOOKUP(B23,'Data qoq'!$A:$AT,MATCH($D$1,'Data qoq'!$A$1:$AT$1,),)</f>
        <v>0</v>
      </c>
      <c r="E23" s="25">
        <f>VLOOKUP(B23,'Data qoq'!$A:$AT,MATCH($E$1,'Data qoq'!$A$1:$AT$1,),)</f>
        <v>-0.315388</v>
      </c>
      <c r="F23" s="25">
        <f>VLOOKUP(B23,'Data qoq'!$A:$AT,MATCH($F$1,'Data qoq'!$A$1:$AT$1,),)</f>
        <v>6.1599065000000001E-2</v>
      </c>
      <c r="G23" s="25">
        <f>VLOOKUP(B23,'Data qoq'!$A:$AT,MATCH($G$1,'Data qoq'!$A$1:$AT$1,),)</f>
        <v>-1.478778285</v>
      </c>
      <c r="H23" s="25">
        <f>VLOOKUP(B23,'Data qoq'!$A:$AT,MATCH($H$1,'Data qoq'!$A$1:$AT$1,),)</f>
        <v>0.106668077</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1.140423462</v>
      </c>
      <c r="M23" s="25">
        <f>VLOOKUP(B23,'Data qoq'!$A:$AT,MATCH($M$1,'Data qoq'!$A$1:$AT$1,),)</f>
        <v>0.237213801</v>
      </c>
      <c r="N23" s="25">
        <f>VLOOKUP(B23,'Data qoq'!$A:$AT,MATCH($N$1,'Data qoq'!$A$1:$AT$1,),)</f>
        <v>0</v>
      </c>
      <c r="O23" s="25">
        <f>VLOOKUP(B23,'Data qoq'!$A:$AT,MATCH($C$1,'Data qoq'!$J$1:$AT$1,),)</f>
        <v>0.55244637699999999</v>
      </c>
      <c r="P23" s="25">
        <f>VLOOKUP(B23,'Data qoq'!$A:$AT,MATCH($P$1,'Data qoq'!$A$1:$AT$1,),)</f>
        <v>0.55332523499999997</v>
      </c>
      <c r="Q23" s="25">
        <f>VLOOKUP(B23,'Data qoq'!$A:$AT,MATCH($Q$1,'Data qoq'!$A$1:$AT$1,),)</f>
        <v>0.19674301999999999</v>
      </c>
      <c r="R23" s="25">
        <f>VLOOKUP(B23,'Data qoq'!$A:$AT,MATCH($E$1,'Data qoq'!$A$1:$AT$1,),)</f>
        <v>-0.315388</v>
      </c>
      <c r="S23" s="25">
        <f>VLOOKUP(B23,'Data qoq'!$A:$AT,MATCH($S$1,'Data qoq'!$A$1:$AT$1,),)</f>
        <v>-0.65915983499999997</v>
      </c>
      <c r="T23" s="25">
        <f>VLOOKUP(B23,'Data qoq'!$A:$AT,MATCH($T$1,'Data qoq'!$A$1:$AT$1,),)</f>
        <v>-0.44797816099999999</v>
      </c>
      <c r="U23" s="25">
        <f>VLOOKUP(B23,'Data qoq'!$A:$AT,MATCH($U$1,'Data qoq'!$A$1:$AT$1,),)</f>
        <v>2.0819525830000001</v>
      </c>
      <c r="V23" s="25">
        <f>VLOOKUP(B23,'Data qoq'!$A:$AT,MATCH($V$1,'Data qoq'!$A$1:$AT$1,),)</f>
        <v>-0.25258354900000002</v>
      </c>
      <c r="W23" s="25">
        <f>VLOOKUP(B23,'Data qoq'!$A:$AT,MATCH($W$1,'Data qoq'!$A$1:$AT$1,),)</f>
        <v>8.3600699000000001E-2</v>
      </c>
      <c r="X23" s="25">
        <f>VLOOKUP(B23,'Data qoq'!$A:$AT,MATCH($X$1,'Data qoq'!$A$1:$AT$1,),)</f>
        <v>1.055680792</v>
      </c>
      <c r="Y23" s="25">
        <f>VLOOKUP(B23,'Data qoq'!$A:$AT,MATCH($Y$1,'Data qoq'!$A$1:$AT$1,),)</f>
        <v>0.34951247200000002</v>
      </c>
      <c r="Z23" s="25">
        <f>VLOOKUP(B23,'Data qoq'!$A:$AU,MATCH($Z$1,'Data qoq'!$A$1:$AU$1,),)</f>
        <v>3.695017177</v>
      </c>
      <c r="AA23" s="25">
        <f>VLOOKUP(B23,'Data qoq'!$A:$AU,MATCH($AA$1,'Data qoq'!$A$1:$AU$1,),)</f>
        <v>0.55244637699999999</v>
      </c>
      <c r="AC23" s="26" t="str">
        <f t="shared" si="6"/>
        <v>2003-Q1</v>
      </c>
      <c r="AD23" s="27">
        <f t="shared" si="7"/>
        <v>1.9955014719999999</v>
      </c>
      <c r="AE23" s="27"/>
    </row>
    <row r="24" spans="2:31" hidden="1" x14ac:dyDescent="0.2">
      <c r="B24" s="24" t="s">
        <v>290</v>
      </c>
      <c r="C24" s="25">
        <f>VLOOKUP(B24,'Data qoq'!$A:$AT,MATCH($C$1,'Data qoq'!$A$1:$AT$1,),)</f>
        <v>0.89337780099999997</v>
      </c>
      <c r="D24" s="25">
        <f>VLOOKUP(B24,'Data qoq'!$A:$AT,MATCH($D$1,'Data qoq'!$A$1:$AT$1,),)</f>
        <v>0</v>
      </c>
      <c r="E24" s="25">
        <f>VLOOKUP(B24,'Data qoq'!$A:$AT,MATCH($E$1,'Data qoq'!$A$1:$AT$1,),)</f>
        <v>8.1633999999999998E-2</v>
      </c>
      <c r="F24" s="25">
        <f>VLOOKUP(B24,'Data qoq'!$A:$AT,MATCH($F$1,'Data qoq'!$A$1:$AT$1,),)</f>
        <v>0.68738152299999999</v>
      </c>
      <c r="G24" s="25">
        <f>VLOOKUP(B24,'Data qoq'!$A:$AT,MATCH($G$1,'Data qoq'!$A$1:$AT$1,),)</f>
        <v>0.10615703</v>
      </c>
      <c r="H24" s="25">
        <f>VLOOKUP(B24,'Data qoq'!$A:$AT,MATCH($H$1,'Data qoq'!$A$1:$AT$1,),)</f>
        <v>-0.21909076399999999</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-0.543919398</v>
      </c>
      <c r="M24" s="25">
        <f>VLOOKUP(B24,'Data qoq'!$A:$AT,MATCH($M$1,'Data qoq'!$A$1:$AT$1,),)</f>
        <v>0.22895806399999999</v>
      </c>
      <c r="N24" s="25">
        <f>VLOOKUP(B24,'Data qoq'!$A:$AT,MATCH($N$1,'Data qoq'!$A$1:$AT$1,),)</f>
        <v>1.1154365420000001</v>
      </c>
      <c r="O24" s="25">
        <f>VLOOKUP(B24,'Data qoq'!$A:$AT,MATCH($C$1,'Data qoq'!$J$1:$AT$1,),)</f>
        <v>0.43714019500000001</v>
      </c>
      <c r="P24" s="25">
        <f>VLOOKUP(B24,'Data qoq'!$A:$AT,MATCH($P$1,'Data qoq'!$A$1:$AT$1,),)</f>
        <v>-0.14746372799999999</v>
      </c>
      <c r="Q24" s="25">
        <f>VLOOKUP(B24,'Data qoq'!$A:$AT,MATCH($Q$1,'Data qoq'!$A$1:$AT$1,),)</f>
        <v>0.424495499</v>
      </c>
      <c r="R24" s="25">
        <f>VLOOKUP(B24,'Data qoq'!$A:$AT,MATCH($E$1,'Data qoq'!$A$1:$AT$1,),)</f>
        <v>8.1633999999999998E-2</v>
      </c>
      <c r="S24" s="25">
        <f>VLOOKUP(B24,'Data qoq'!$A:$AT,MATCH($S$1,'Data qoq'!$A$1:$AT$1,),)</f>
        <v>-0.154146863</v>
      </c>
      <c r="T24" s="25">
        <f>VLOOKUP(B24,'Data qoq'!$A:$AT,MATCH($T$1,'Data qoq'!$A$1:$AT$1,),)</f>
        <v>-0.83031463599999999</v>
      </c>
      <c r="U24" s="25">
        <f>VLOOKUP(B24,'Data qoq'!$A:$AT,MATCH($U$1,'Data qoq'!$A$1:$AT$1,),)</f>
        <v>1.771173645</v>
      </c>
      <c r="V24" s="25">
        <f>VLOOKUP(B24,'Data qoq'!$A:$AT,MATCH($V$1,'Data qoq'!$A$1:$AT$1,),)</f>
        <v>0.632379625</v>
      </c>
      <c r="W24" s="25">
        <f>VLOOKUP(B24,'Data qoq'!$A:$AT,MATCH($W$1,'Data qoq'!$A$1:$AT$1,),)</f>
        <v>0.336326982</v>
      </c>
      <c r="X24" s="25">
        <f>VLOOKUP(B24,'Data qoq'!$A:$AT,MATCH($X$1,'Data qoq'!$A$1:$AT$1,),)</f>
        <v>1.051891208</v>
      </c>
      <c r="Y24" s="25">
        <f>VLOOKUP(B24,'Data qoq'!$A:$AT,MATCH($Y$1,'Data qoq'!$A$1:$AT$1,),)</f>
        <v>2.096758334</v>
      </c>
      <c r="Z24" s="25">
        <f>VLOOKUP(B24,'Data qoq'!$A:$AU,MATCH($Z$1,'Data qoq'!$A$1:$AU$1,),)</f>
        <v>3.1643250489999999</v>
      </c>
      <c r="AA24" s="25">
        <f>VLOOKUP(B24,'Data qoq'!$A:$AU,MATCH($AA$1,'Data qoq'!$A$1:$AU$1,),)</f>
        <v>0.43714019500000001</v>
      </c>
      <c r="AC24" s="26" t="str">
        <f t="shared" si="6"/>
        <v>2003-Q2</v>
      </c>
      <c r="AD24" s="27">
        <f t="shared" si="7"/>
        <v>0.78722077099999999</v>
      </c>
      <c r="AE24" s="27"/>
    </row>
    <row r="25" spans="2:31" hidden="1" x14ac:dyDescent="0.2">
      <c r="B25" s="24" t="s">
        <v>291</v>
      </c>
      <c r="C25" s="25">
        <f>VLOOKUP(B25,'Data qoq'!$A:$AT,MATCH($C$1,'Data qoq'!$A$1:$AT$1,),)</f>
        <v>1.6668962700000001</v>
      </c>
      <c r="D25" s="25">
        <f>VLOOKUP(B25,'Data qoq'!$A:$AT,MATCH($D$1,'Data qoq'!$A$1:$AT$1,),)</f>
        <v>0</v>
      </c>
      <c r="E25" s="25">
        <f>VLOOKUP(B25,'Data qoq'!$A:$AT,MATCH($E$1,'Data qoq'!$A$1:$AT$1,),)</f>
        <v>0.52038799999999996</v>
      </c>
      <c r="F25" s="25">
        <f>VLOOKUP(B25,'Data qoq'!$A:$AT,MATCH($F$1,'Data qoq'!$A$1:$AT$1,),)</f>
        <v>0.29532079900000002</v>
      </c>
      <c r="G25" s="25">
        <f>VLOOKUP(B25,'Data qoq'!$A:$AT,MATCH($G$1,'Data qoq'!$A$1:$AT$1,),)</f>
        <v>0.76587593499999995</v>
      </c>
      <c r="H25" s="25">
        <f>VLOOKUP(B25,'Data qoq'!$A:$AT,MATCH($H$1,'Data qoq'!$A$1:$AT$1,),)</f>
        <v>0.66341831699999998</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1.414734833</v>
      </c>
      <c r="M25" s="25">
        <f>VLOOKUP(B25,'Data qoq'!$A:$AT,MATCH($M$1,'Data qoq'!$A$1:$AT$1,),)</f>
        <v>-3.7698450000000001E-2</v>
      </c>
      <c r="N25" s="25">
        <f>VLOOKUP(B25,'Data qoq'!$A:$AT,MATCH($N$1,'Data qoq'!$A$1:$AT$1,),)</f>
        <v>1.6881671840000001</v>
      </c>
      <c r="O25" s="25">
        <f>VLOOKUP(B25,'Data qoq'!$A:$AT,MATCH($C$1,'Data qoq'!$J$1:$AT$1,),)</f>
        <v>2.107215906</v>
      </c>
      <c r="P25" s="25">
        <f>VLOOKUP(B25,'Data qoq'!$A:$AT,MATCH($P$1,'Data qoq'!$A$1:$AT$1,),)</f>
        <v>0.373654347</v>
      </c>
      <c r="Q25" s="25">
        <f>VLOOKUP(B25,'Data qoq'!$A:$AT,MATCH($Q$1,'Data qoq'!$A$1:$AT$1,),)</f>
        <v>1.7343594309999999</v>
      </c>
      <c r="R25" s="25">
        <f>VLOOKUP(B25,'Data qoq'!$A:$AT,MATCH($E$1,'Data qoq'!$A$1:$AT$1,),)</f>
        <v>0.52038799999999996</v>
      </c>
      <c r="S25" s="25">
        <f>VLOOKUP(B25,'Data qoq'!$A:$AT,MATCH($S$1,'Data qoq'!$A$1:$AT$1,),)</f>
        <v>1.9326695089999999</v>
      </c>
      <c r="T25" s="25">
        <f>VLOOKUP(B25,'Data qoq'!$A:$AT,MATCH($T$1,'Data qoq'!$A$1:$AT$1,),)</f>
        <v>0.93498638099999998</v>
      </c>
      <c r="U25" s="25">
        <f>VLOOKUP(B25,'Data qoq'!$A:$AT,MATCH($U$1,'Data qoq'!$A$1:$AT$1,),)</f>
        <v>0.62731859400000001</v>
      </c>
      <c r="V25" s="25">
        <f>VLOOKUP(B25,'Data qoq'!$A:$AT,MATCH($V$1,'Data qoq'!$A$1:$AT$1,),)</f>
        <v>-9.1815679999999997E-2</v>
      </c>
      <c r="W25" s="25">
        <f>VLOOKUP(B25,'Data qoq'!$A:$AT,MATCH($W$1,'Data qoq'!$A$1:$AT$1,),)</f>
        <v>2.8512124029999999</v>
      </c>
      <c r="X25" s="25">
        <f>VLOOKUP(B25,'Data qoq'!$A:$AT,MATCH($X$1,'Data qoq'!$A$1:$AT$1,),)</f>
        <v>1.075444689</v>
      </c>
      <c r="Y25" s="25">
        <f>VLOOKUP(B25,'Data qoq'!$A:$AT,MATCH($Y$1,'Data qoq'!$A$1:$AT$1,),)</f>
        <v>1.1135982390000001</v>
      </c>
      <c r="Z25" s="25">
        <f>VLOOKUP(B25,'Data qoq'!$A:$AU,MATCH($Z$1,'Data qoq'!$A$1:$AU$1,),)</f>
        <v>2.4436381310000002</v>
      </c>
      <c r="AA25" s="25">
        <f>VLOOKUP(B25,'Data qoq'!$A:$AU,MATCH($AA$1,'Data qoq'!$A$1:$AU$1,),)</f>
        <v>2.107215906</v>
      </c>
      <c r="AC25" s="26" t="str">
        <f t="shared" si="6"/>
        <v>2003-Q3</v>
      </c>
      <c r="AD25" s="27">
        <f t="shared" si="7"/>
        <v>0.90102033500000012</v>
      </c>
      <c r="AE25" s="27"/>
    </row>
    <row r="26" spans="2:31" hidden="1" x14ac:dyDescent="0.2">
      <c r="B26" s="24" t="s">
        <v>292</v>
      </c>
      <c r="C26" s="25">
        <f>VLOOKUP(B26,'Data qoq'!$A:$AT,MATCH($C$1,'Data qoq'!$A$1:$AT$1,),)</f>
        <v>1.154045728</v>
      </c>
      <c r="D26" s="25">
        <f>VLOOKUP(B26,'Data qoq'!$A:$AT,MATCH($D$1,'Data qoq'!$A$1:$AT$1,),)</f>
        <v>0</v>
      </c>
      <c r="E26" s="25">
        <f>VLOOKUP(B26,'Data qoq'!$A:$AT,MATCH($E$1,'Data qoq'!$A$1:$AT$1,),)</f>
        <v>0.74763000000000002</v>
      </c>
      <c r="F26" s="25">
        <f>VLOOKUP(B26,'Data qoq'!$A:$AT,MATCH($F$1,'Data qoq'!$A$1:$AT$1,),)</f>
        <v>1.0887691779999999</v>
      </c>
      <c r="G26" s="25">
        <f>VLOOKUP(B26,'Data qoq'!$A:$AT,MATCH($G$1,'Data qoq'!$A$1:$AT$1,),)</f>
        <v>0.28063537799999999</v>
      </c>
      <c r="H26" s="25">
        <f>VLOOKUP(B26,'Data qoq'!$A:$AT,MATCH($H$1,'Data qoq'!$A$1:$AT$1,),)</f>
        <v>0.68326813799999997</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0.65657044099999995</v>
      </c>
      <c r="M26" s="25">
        <f>VLOOKUP(B26,'Data qoq'!$A:$AT,MATCH($M$1,'Data qoq'!$A$1:$AT$1,),)</f>
        <v>1.1002611529999999</v>
      </c>
      <c r="N26" s="25">
        <f>VLOOKUP(B26,'Data qoq'!$A:$AT,MATCH($N$1,'Data qoq'!$A$1:$AT$1,),)</f>
        <v>1.8238187690000001</v>
      </c>
      <c r="O26" s="25">
        <f>VLOOKUP(B26,'Data qoq'!$A:$AT,MATCH($C$1,'Data qoq'!$J$1:$AT$1,),)</f>
        <v>1.3043883350000001</v>
      </c>
      <c r="P26" s="25">
        <f>VLOOKUP(B26,'Data qoq'!$A:$AT,MATCH($P$1,'Data qoq'!$A$1:$AT$1,),)</f>
        <v>0.68995918099999998</v>
      </c>
      <c r="Q26" s="25">
        <f>VLOOKUP(B26,'Data qoq'!$A:$AT,MATCH($Q$1,'Data qoq'!$A$1:$AT$1,),)</f>
        <v>1.6388797340000001</v>
      </c>
      <c r="R26" s="25">
        <f>VLOOKUP(B26,'Data qoq'!$A:$AT,MATCH($E$1,'Data qoq'!$A$1:$AT$1,),)</f>
        <v>0.74763000000000002</v>
      </c>
      <c r="S26" s="25">
        <f>VLOOKUP(B26,'Data qoq'!$A:$AT,MATCH($S$1,'Data qoq'!$A$1:$AT$1,),)</f>
        <v>2.6394795860000002</v>
      </c>
      <c r="T26" s="25">
        <f>VLOOKUP(B26,'Data qoq'!$A:$AT,MATCH($T$1,'Data qoq'!$A$1:$AT$1,),)</f>
        <v>1.0386058300000001</v>
      </c>
      <c r="U26" s="25">
        <f>VLOOKUP(B26,'Data qoq'!$A:$AT,MATCH($U$1,'Data qoq'!$A$1:$AT$1,),)</f>
        <v>2.1371795480000002</v>
      </c>
      <c r="V26" s="25">
        <f>VLOOKUP(B26,'Data qoq'!$A:$AT,MATCH($V$1,'Data qoq'!$A$1:$AT$1,),)</f>
        <v>6.3088742340000001</v>
      </c>
      <c r="W26" s="25">
        <f>VLOOKUP(B26,'Data qoq'!$A:$AT,MATCH($W$1,'Data qoq'!$A$1:$AT$1,),)</f>
        <v>3.0230130769999999</v>
      </c>
      <c r="X26" s="25">
        <f>VLOOKUP(B26,'Data qoq'!$A:$AT,MATCH($X$1,'Data qoq'!$A$1:$AT$1,),)</f>
        <v>0.81300236800000003</v>
      </c>
      <c r="Y26" s="25">
        <f>VLOOKUP(B26,'Data qoq'!$A:$AT,MATCH($Y$1,'Data qoq'!$A$1:$AT$1,),)</f>
        <v>0.28006102900000002</v>
      </c>
      <c r="Z26" s="25">
        <f>VLOOKUP(B26,'Data qoq'!$A:$AU,MATCH($Z$1,'Data qoq'!$A$1:$AU$1,),)</f>
        <v>1.8764988899999999</v>
      </c>
      <c r="AA26" s="25">
        <f>VLOOKUP(B26,'Data qoq'!$A:$AU,MATCH($AA$1,'Data qoq'!$A$1:$AU$1,),)</f>
        <v>1.3043883350000001</v>
      </c>
      <c r="AC26" s="26" t="str">
        <f t="shared" si="6"/>
        <v>2003-Q4</v>
      </c>
      <c r="AD26" s="27">
        <f t="shared" si="7"/>
        <v>0.87341035000000011</v>
      </c>
      <c r="AE26" s="27"/>
    </row>
    <row r="27" spans="2:31" hidden="1" x14ac:dyDescent="0.2">
      <c r="B27" s="24" t="s">
        <v>293</v>
      </c>
      <c r="C27" s="25">
        <f>VLOOKUP(B27,'Data qoq'!$A:$AT,MATCH($C$1,'Data qoq'!$A$1:$AT$1,),)</f>
        <v>0.572916486</v>
      </c>
      <c r="D27" s="25">
        <f>VLOOKUP(B27,'Data qoq'!$A:$AT,MATCH($D$1,'Data qoq'!$A$1:$AT$1,),)</f>
        <v>0</v>
      </c>
      <c r="E27" s="25">
        <f>VLOOKUP(B27,'Data qoq'!$A:$AT,MATCH($E$1,'Data qoq'!$A$1:$AT$1,),)</f>
        <v>0.497193</v>
      </c>
      <c r="F27" s="25">
        <f>VLOOKUP(B27,'Data qoq'!$A:$AT,MATCH($F$1,'Data qoq'!$A$1:$AT$1,),)</f>
        <v>0.73499718000000003</v>
      </c>
      <c r="G27" s="25">
        <f>VLOOKUP(B27,'Data qoq'!$A:$AT,MATCH($G$1,'Data qoq'!$A$1:$AT$1,),)</f>
        <v>-0.17488757399999999</v>
      </c>
      <c r="H27" s="25">
        <f>VLOOKUP(B27,'Data qoq'!$A:$AT,MATCH($H$1,'Data qoq'!$A$1:$AT$1,),)</f>
        <v>0.98178723199999995</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1.808067936</v>
      </c>
      <c r="M27" s="25">
        <f>VLOOKUP(B27,'Data qoq'!$A:$AT,MATCH($M$1,'Data qoq'!$A$1:$AT$1,),)</f>
        <v>1.4083124499999999</v>
      </c>
      <c r="N27" s="25">
        <f>VLOOKUP(B27,'Data qoq'!$A:$AT,MATCH($N$1,'Data qoq'!$A$1:$AT$1,),)</f>
        <v>1.8786669309999999</v>
      </c>
      <c r="O27" s="25">
        <f>VLOOKUP(B27,'Data qoq'!$A:$AT,MATCH($C$1,'Data qoq'!$J$1:$AT$1,),)</f>
        <v>1.7060608850000001</v>
      </c>
      <c r="P27" s="25">
        <f>VLOOKUP(B27,'Data qoq'!$A:$AT,MATCH($P$1,'Data qoq'!$A$1:$AT$1,),)</f>
        <v>0.72026758700000004</v>
      </c>
      <c r="Q27" s="25">
        <f>VLOOKUP(B27,'Data qoq'!$A:$AT,MATCH($Q$1,'Data qoq'!$A$1:$AT$1,),)</f>
        <v>0.77971114600000002</v>
      </c>
      <c r="R27" s="25">
        <f>VLOOKUP(B27,'Data qoq'!$A:$AT,MATCH($E$1,'Data qoq'!$A$1:$AT$1,),)</f>
        <v>0.497193</v>
      </c>
      <c r="S27" s="25">
        <f>VLOOKUP(B27,'Data qoq'!$A:$AT,MATCH($S$1,'Data qoq'!$A$1:$AT$1,),)</f>
        <v>1.254800591</v>
      </c>
      <c r="T27" s="25">
        <f>VLOOKUP(B27,'Data qoq'!$A:$AT,MATCH($T$1,'Data qoq'!$A$1:$AT$1,),)</f>
        <v>1.385159196</v>
      </c>
      <c r="U27" s="25">
        <f>VLOOKUP(B27,'Data qoq'!$A:$AT,MATCH($U$1,'Data qoq'!$A$1:$AT$1,),)</f>
        <v>1.8285645370000001</v>
      </c>
      <c r="V27" s="25">
        <f>VLOOKUP(B27,'Data qoq'!$A:$AT,MATCH($V$1,'Data qoq'!$A$1:$AT$1,),)</f>
        <v>-0.56456397700000005</v>
      </c>
      <c r="W27" s="25">
        <f>VLOOKUP(B27,'Data qoq'!$A:$AT,MATCH($W$1,'Data qoq'!$A$1:$AT$1,),)</f>
        <v>2.7542829950000001</v>
      </c>
      <c r="X27" s="25">
        <f>VLOOKUP(B27,'Data qoq'!$A:$AT,MATCH($X$1,'Data qoq'!$A$1:$AT$1,),)</f>
        <v>1.0657318469999999</v>
      </c>
      <c r="Y27" s="25">
        <f>VLOOKUP(B27,'Data qoq'!$A:$AT,MATCH($Y$1,'Data qoq'!$A$1:$AT$1,),)</f>
        <v>2.9871741169999999</v>
      </c>
      <c r="Z27" s="25">
        <f>VLOOKUP(B27,'Data qoq'!$A:$AU,MATCH($Z$1,'Data qoq'!$A$1:$AU$1,),)</f>
        <v>3.215660867</v>
      </c>
      <c r="AA27" s="25">
        <f>VLOOKUP(B27,'Data qoq'!$A:$AU,MATCH($AA$1,'Data qoq'!$A$1:$AU$1,),)</f>
        <v>1.7060608850000001</v>
      </c>
      <c r="AC27" s="26" t="str">
        <f t="shared" si="6"/>
        <v>2004-Q1</v>
      </c>
      <c r="AD27" s="27">
        <f t="shared" si="7"/>
        <v>0.74780405999999999</v>
      </c>
      <c r="AE27" s="27"/>
    </row>
    <row r="28" spans="2:31" hidden="1" x14ac:dyDescent="0.2">
      <c r="B28" s="24" t="s">
        <v>294</v>
      </c>
      <c r="C28" s="25">
        <f>VLOOKUP(B28,'Data qoq'!$A:$AT,MATCH($C$1,'Data qoq'!$A$1:$AT$1,),)</f>
        <v>0.77873875800000003</v>
      </c>
      <c r="D28" s="25">
        <f>VLOOKUP(B28,'Data qoq'!$A:$AT,MATCH($D$1,'Data qoq'!$A$1:$AT$1,),)</f>
        <v>0</v>
      </c>
      <c r="E28" s="25">
        <f>VLOOKUP(B28,'Data qoq'!$A:$AT,MATCH($E$1,'Data qoq'!$A$1:$AT$1,),)</f>
        <v>0.619564</v>
      </c>
      <c r="F28" s="25">
        <f>VLOOKUP(B28,'Data qoq'!$A:$AT,MATCH($F$1,'Data qoq'!$A$1:$AT$1,),)</f>
        <v>1.4432810000000001E-2</v>
      </c>
      <c r="G28" s="25">
        <f>VLOOKUP(B28,'Data qoq'!$A:$AT,MATCH($G$1,'Data qoq'!$A$1:$AT$1,),)</f>
        <v>0.51396004799999995</v>
      </c>
      <c r="H28" s="25">
        <f>VLOOKUP(B28,'Data qoq'!$A:$AT,MATCH($H$1,'Data qoq'!$A$1:$AT$1,),)</f>
        <v>0.58363076800000002</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0.43087508800000002</v>
      </c>
      <c r="M28" s="25">
        <f>VLOOKUP(B28,'Data qoq'!$A:$AT,MATCH($M$1,'Data qoq'!$A$1:$AT$1,),)</f>
        <v>1.542205045</v>
      </c>
      <c r="N28" s="25">
        <f>VLOOKUP(B28,'Data qoq'!$A:$AT,MATCH($N$1,'Data qoq'!$A$1:$AT$1,),)</f>
        <v>1.9271840410000001</v>
      </c>
      <c r="O28" s="25">
        <f>VLOOKUP(B28,'Data qoq'!$A:$AT,MATCH($C$1,'Data qoq'!$J$1:$AT$1,),)</f>
        <v>0.86358909399999995</v>
      </c>
      <c r="P28" s="25">
        <f>VLOOKUP(B28,'Data qoq'!$A:$AT,MATCH($P$1,'Data qoq'!$A$1:$AT$1,),)</f>
        <v>1.1878190150000001</v>
      </c>
      <c r="Q28" s="25">
        <f>VLOOKUP(B28,'Data qoq'!$A:$AT,MATCH($Q$1,'Data qoq'!$A$1:$AT$1,),)</f>
        <v>0.67414987100000001</v>
      </c>
      <c r="R28" s="25">
        <f>VLOOKUP(B28,'Data qoq'!$A:$AT,MATCH($E$1,'Data qoq'!$A$1:$AT$1,),)</f>
        <v>0.619564</v>
      </c>
      <c r="S28" s="25">
        <f>VLOOKUP(B28,'Data qoq'!$A:$AT,MATCH($S$1,'Data qoq'!$A$1:$AT$1,),)</f>
        <v>0.76349936900000004</v>
      </c>
      <c r="T28" s="25">
        <f>VLOOKUP(B28,'Data qoq'!$A:$AT,MATCH($T$1,'Data qoq'!$A$1:$AT$1,),)</f>
        <v>2.7706686409999999</v>
      </c>
      <c r="U28" s="25">
        <f>VLOOKUP(B28,'Data qoq'!$A:$AT,MATCH($U$1,'Data qoq'!$A$1:$AT$1,),)</f>
        <v>-1.8592187999999999E-2</v>
      </c>
      <c r="V28" s="25">
        <f>VLOOKUP(B28,'Data qoq'!$A:$AT,MATCH($V$1,'Data qoq'!$A$1:$AT$1,),)</f>
        <v>2.1405485350000002</v>
      </c>
      <c r="W28" s="25">
        <f>VLOOKUP(B28,'Data qoq'!$A:$AT,MATCH($W$1,'Data qoq'!$A$1:$AT$1,),)</f>
        <v>2.328300885</v>
      </c>
      <c r="X28" s="25">
        <f>VLOOKUP(B28,'Data qoq'!$A:$AT,MATCH($X$1,'Data qoq'!$A$1:$AT$1,),)</f>
        <v>1.234532121</v>
      </c>
      <c r="Y28" s="25">
        <f>VLOOKUP(B28,'Data qoq'!$A:$AT,MATCH($Y$1,'Data qoq'!$A$1:$AT$1,),)</f>
        <v>0.809345804</v>
      </c>
      <c r="Z28" s="25">
        <f>VLOOKUP(B28,'Data qoq'!$A:$AU,MATCH($Z$1,'Data qoq'!$A$1:$AU$1,),)</f>
        <v>-1.0561061490000001</v>
      </c>
      <c r="AA28" s="25">
        <f>VLOOKUP(B28,'Data qoq'!$A:$AU,MATCH($AA$1,'Data qoq'!$A$1:$AU$1,),)</f>
        <v>0.86358909399999995</v>
      </c>
      <c r="AC28" s="26" t="str">
        <f t="shared" si="6"/>
        <v>2004-Q2</v>
      </c>
      <c r="AD28" s="27">
        <f t="shared" si="7"/>
        <v>0.26477871000000008</v>
      </c>
      <c r="AE28" s="27"/>
    </row>
    <row r="29" spans="2:31" hidden="1" x14ac:dyDescent="0.2">
      <c r="B29" s="24" t="s">
        <v>295</v>
      </c>
      <c r="C29" s="25">
        <f>VLOOKUP(B29,'Data qoq'!$A:$AT,MATCH($C$1,'Data qoq'!$A$1:$AT$1,),)</f>
        <v>0.94124722500000002</v>
      </c>
      <c r="D29" s="25">
        <f>VLOOKUP(B29,'Data qoq'!$A:$AT,MATCH($D$1,'Data qoq'!$A$1:$AT$1,),)</f>
        <v>0</v>
      </c>
      <c r="E29" s="25">
        <f>VLOOKUP(B29,'Data qoq'!$A:$AT,MATCH($E$1,'Data qoq'!$A$1:$AT$1,),)</f>
        <v>0.22869400000000001</v>
      </c>
      <c r="F29" s="25">
        <f>VLOOKUP(B29,'Data qoq'!$A:$AT,MATCH($F$1,'Data qoq'!$A$1:$AT$1,),)</f>
        <v>0.61179110000000003</v>
      </c>
      <c r="G29" s="25">
        <f>VLOOKUP(B29,'Data qoq'!$A:$AT,MATCH($G$1,'Data qoq'!$A$1:$AT$1,),)</f>
        <v>-0.209174363</v>
      </c>
      <c r="H29" s="25">
        <f>VLOOKUP(B29,'Data qoq'!$A:$AT,MATCH($H$1,'Data qoq'!$A$1:$AT$1,),)</f>
        <v>0.27089178800000002</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0.78223904700000002</v>
      </c>
      <c r="M29" s="25">
        <f>VLOOKUP(B29,'Data qoq'!$A:$AT,MATCH($M$1,'Data qoq'!$A$1:$AT$1,),)</f>
        <v>-0.213015965</v>
      </c>
      <c r="N29" s="25">
        <f>VLOOKUP(B29,'Data qoq'!$A:$AT,MATCH($N$1,'Data qoq'!$A$1:$AT$1,),)</f>
        <v>1.514535194</v>
      </c>
      <c r="O29" s="25">
        <f>VLOOKUP(B29,'Data qoq'!$A:$AT,MATCH($C$1,'Data qoq'!$J$1:$AT$1,),)</f>
        <v>0.28689259499999997</v>
      </c>
      <c r="P29" s="25">
        <f>VLOOKUP(B29,'Data qoq'!$A:$AT,MATCH($P$1,'Data qoq'!$A$1:$AT$1,),)</f>
        <v>1.1804355769999999</v>
      </c>
      <c r="Q29" s="25">
        <f>VLOOKUP(B29,'Data qoq'!$A:$AT,MATCH($Q$1,'Data qoq'!$A$1:$AT$1,),)</f>
        <v>0.76849785999999998</v>
      </c>
      <c r="R29" s="25">
        <f>VLOOKUP(B29,'Data qoq'!$A:$AT,MATCH($E$1,'Data qoq'!$A$1:$AT$1,),)</f>
        <v>0.22869400000000001</v>
      </c>
      <c r="S29" s="25">
        <f>VLOOKUP(B29,'Data qoq'!$A:$AT,MATCH($S$1,'Data qoq'!$A$1:$AT$1,),)</f>
        <v>0.40558612900000002</v>
      </c>
      <c r="T29" s="25">
        <f>VLOOKUP(B29,'Data qoq'!$A:$AT,MATCH($T$1,'Data qoq'!$A$1:$AT$1,),)</f>
        <v>1.2492307</v>
      </c>
      <c r="U29" s="25">
        <f>VLOOKUP(B29,'Data qoq'!$A:$AT,MATCH($U$1,'Data qoq'!$A$1:$AT$1,),)</f>
        <v>1.334459386</v>
      </c>
      <c r="V29" s="25">
        <f>VLOOKUP(B29,'Data qoq'!$A:$AT,MATCH($V$1,'Data qoq'!$A$1:$AT$1,),)</f>
        <v>-1.053925395</v>
      </c>
      <c r="W29" s="25">
        <f>VLOOKUP(B29,'Data qoq'!$A:$AT,MATCH($W$1,'Data qoq'!$A$1:$AT$1,),)</f>
        <v>1.1277305360000001</v>
      </c>
      <c r="X29" s="25">
        <f>VLOOKUP(B29,'Data qoq'!$A:$AT,MATCH($X$1,'Data qoq'!$A$1:$AT$1,),)</f>
        <v>1.4518295590000001</v>
      </c>
      <c r="Y29" s="25">
        <f>VLOOKUP(B29,'Data qoq'!$A:$AT,MATCH($Y$1,'Data qoq'!$A$1:$AT$1,),)</f>
        <v>-0.50365247700000004</v>
      </c>
      <c r="Z29" s="25">
        <f>VLOOKUP(B29,'Data qoq'!$A:$AU,MATCH($Z$1,'Data qoq'!$A$1:$AU$1,),)</f>
        <v>5.0429036299999996</v>
      </c>
      <c r="AA29" s="25">
        <f>VLOOKUP(B29,'Data qoq'!$A:$AU,MATCH($AA$1,'Data qoq'!$A$1:$AU$1,),)</f>
        <v>0.28689259499999997</v>
      </c>
      <c r="AC29" s="26" t="str">
        <f t="shared" si="6"/>
        <v>2004-Q3</v>
      </c>
      <c r="AD29" s="27">
        <f t="shared" si="7"/>
        <v>1.1504215879999999</v>
      </c>
      <c r="AE29" s="27"/>
    </row>
    <row r="30" spans="2:31" hidden="1" x14ac:dyDescent="0.2">
      <c r="B30" s="24" t="s">
        <v>296</v>
      </c>
      <c r="C30" s="25">
        <f>VLOOKUP(B30,'Data qoq'!$A:$AT,MATCH($C$1,'Data qoq'!$A$1:$AT$1,),)</f>
        <v>1.0220273689999999</v>
      </c>
      <c r="D30" s="25">
        <f>VLOOKUP(B30,'Data qoq'!$A:$AT,MATCH($D$1,'Data qoq'!$A$1:$AT$1,),)</f>
        <v>0</v>
      </c>
      <c r="E30" s="25">
        <f>VLOOKUP(B30,'Data qoq'!$A:$AT,MATCH($E$1,'Data qoq'!$A$1:$AT$1,),)</f>
        <v>0.38681599999999999</v>
      </c>
      <c r="F30" s="25">
        <f>VLOOKUP(B30,'Data qoq'!$A:$AT,MATCH($F$1,'Data qoq'!$A$1:$AT$1,),)</f>
        <v>-0.19250099900000001</v>
      </c>
      <c r="G30" s="25">
        <f>VLOOKUP(B30,'Data qoq'!$A:$AT,MATCH($G$1,'Data qoq'!$A$1:$AT$1,),)</f>
        <v>-9.3170488999999995E-2</v>
      </c>
      <c r="H30" s="25">
        <f>VLOOKUP(B30,'Data qoq'!$A:$AT,MATCH($H$1,'Data qoq'!$A$1:$AT$1,),)</f>
        <v>0.74936343900000002</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0.83333076800000006</v>
      </c>
      <c r="M30" s="25">
        <f>VLOOKUP(B30,'Data qoq'!$A:$AT,MATCH($M$1,'Data qoq'!$A$1:$AT$1,),)</f>
        <v>1.3261562689999999</v>
      </c>
      <c r="N30" s="25">
        <f>VLOOKUP(B30,'Data qoq'!$A:$AT,MATCH($N$1,'Data qoq'!$A$1:$AT$1,),)</f>
        <v>1.1181707839999999</v>
      </c>
      <c r="O30" s="25">
        <f>VLOOKUP(B30,'Data qoq'!$A:$AT,MATCH($C$1,'Data qoq'!$J$1:$AT$1,),)</f>
        <v>0.35088503500000001</v>
      </c>
      <c r="P30" s="25">
        <f>VLOOKUP(B30,'Data qoq'!$A:$AT,MATCH($P$1,'Data qoq'!$A$1:$AT$1,),)</f>
        <v>0.71842654399999994</v>
      </c>
      <c r="Q30" s="25">
        <f>VLOOKUP(B30,'Data qoq'!$A:$AT,MATCH($Q$1,'Data qoq'!$A$1:$AT$1,),)</f>
        <v>0.74959541399999996</v>
      </c>
      <c r="R30" s="25">
        <f>VLOOKUP(B30,'Data qoq'!$A:$AT,MATCH($E$1,'Data qoq'!$A$1:$AT$1,),)</f>
        <v>0.38681599999999999</v>
      </c>
      <c r="S30" s="25">
        <f>VLOOKUP(B30,'Data qoq'!$A:$AT,MATCH($S$1,'Data qoq'!$A$1:$AT$1,),)</f>
        <v>0.75793377399999995</v>
      </c>
      <c r="T30" s="25">
        <f>VLOOKUP(B30,'Data qoq'!$A:$AT,MATCH($T$1,'Data qoq'!$A$1:$AT$1,),)</f>
        <v>0.76905346900000005</v>
      </c>
      <c r="U30" s="25">
        <f>VLOOKUP(B30,'Data qoq'!$A:$AT,MATCH($U$1,'Data qoq'!$A$1:$AT$1,),)</f>
        <v>-0.381337288</v>
      </c>
      <c r="V30" s="25">
        <f>VLOOKUP(B30,'Data qoq'!$A:$AT,MATCH($V$1,'Data qoq'!$A$1:$AT$1,),)</f>
        <v>3.5362478589999999</v>
      </c>
      <c r="W30" s="25">
        <f>VLOOKUP(B30,'Data qoq'!$A:$AT,MATCH($W$1,'Data qoq'!$A$1:$AT$1,),)</f>
        <v>1.622484668</v>
      </c>
      <c r="X30" s="25">
        <f>VLOOKUP(B30,'Data qoq'!$A:$AT,MATCH($X$1,'Data qoq'!$A$1:$AT$1,),)</f>
        <v>1.8685639009999999</v>
      </c>
      <c r="Y30" s="25">
        <f>VLOOKUP(B30,'Data qoq'!$A:$AT,MATCH($Y$1,'Data qoq'!$A$1:$AT$1,),)</f>
        <v>1.0601645749999999</v>
      </c>
      <c r="Z30" s="25">
        <f>VLOOKUP(B30,'Data qoq'!$A:$AU,MATCH($Z$1,'Data qoq'!$A$1:$AU$1,),)</f>
        <v>1.3356787649999999</v>
      </c>
      <c r="AA30" s="25">
        <f>VLOOKUP(B30,'Data qoq'!$A:$AU,MATCH($AA$1,'Data qoq'!$A$1:$AU$1,),)</f>
        <v>0.35088503500000001</v>
      </c>
      <c r="AC30" s="26" t="str">
        <f t="shared" si="6"/>
        <v>2004-Q4</v>
      </c>
      <c r="AD30" s="27">
        <f t="shared" si="7"/>
        <v>1.1151978579999999</v>
      </c>
      <c r="AE30" s="27"/>
    </row>
    <row r="31" spans="2:31" hidden="1" x14ac:dyDescent="0.2">
      <c r="B31" s="24" t="s">
        <v>297</v>
      </c>
      <c r="C31" s="25">
        <f>VLOOKUP(B31,'Data qoq'!$A:$AT,MATCH($C$1,'Data qoq'!$A$1:$AT$1,),)</f>
        <v>1.110882508</v>
      </c>
      <c r="D31" s="25">
        <f>VLOOKUP(B31,'Data qoq'!$A:$AT,MATCH($D$1,'Data qoq'!$A$1:$AT$1,),)</f>
        <v>0</v>
      </c>
      <c r="E31" s="25">
        <f>VLOOKUP(B31,'Data qoq'!$A:$AT,MATCH($E$1,'Data qoq'!$A$1:$AT$1,),)</f>
        <v>0.22161400000000001</v>
      </c>
      <c r="F31" s="25">
        <f>VLOOKUP(B31,'Data qoq'!$A:$AT,MATCH($F$1,'Data qoq'!$A$1:$AT$1,),)</f>
        <v>0.51488185200000003</v>
      </c>
      <c r="G31" s="25">
        <f>VLOOKUP(B31,'Data qoq'!$A:$AT,MATCH($G$1,'Data qoq'!$A$1:$AT$1,),)</f>
        <v>2.9167009999999998E-3</v>
      </c>
      <c r="H31" s="25">
        <f>VLOOKUP(B31,'Data qoq'!$A:$AT,MATCH($H$1,'Data qoq'!$A$1:$AT$1,),)</f>
        <v>0.23631223400000001</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0.43937902699999998</v>
      </c>
      <c r="M31" s="25">
        <f>VLOOKUP(B31,'Data qoq'!$A:$AT,MATCH($M$1,'Data qoq'!$A$1:$AT$1,),)</f>
        <v>0.159291932</v>
      </c>
      <c r="N31" s="25">
        <f>VLOOKUP(B31,'Data qoq'!$A:$AT,MATCH($N$1,'Data qoq'!$A$1:$AT$1,),)</f>
        <v>1.7480820589999999</v>
      </c>
      <c r="O31" s="25">
        <f>VLOOKUP(B31,'Data qoq'!$A:$AT,MATCH($C$1,'Data qoq'!$J$1:$AT$1,),)</f>
        <v>1.1670118709999999</v>
      </c>
      <c r="P31" s="25">
        <f>VLOOKUP(B31,'Data qoq'!$A:$AT,MATCH($P$1,'Data qoq'!$A$1:$AT$1,),)</f>
        <v>0.34606659499999998</v>
      </c>
      <c r="Q31" s="25">
        <f>VLOOKUP(B31,'Data qoq'!$A:$AT,MATCH($Q$1,'Data qoq'!$A$1:$AT$1,),)</f>
        <v>0.759022215</v>
      </c>
      <c r="R31" s="25">
        <f>VLOOKUP(B31,'Data qoq'!$A:$AT,MATCH($E$1,'Data qoq'!$A$1:$AT$1,),)</f>
        <v>0.22161400000000001</v>
      </c>
      <c r="S31" s="25">
        <f>VLOOKUP(B31,'Data qoq'!$A:$AT,MATCH($S$1,'Data qoq'!$A$1:$AT$1,),)</f>
        <v>0.85090336899999997</v>
      </c>
      <c r="T31" s="25">
        <f>VLOOKUP(B31,'Data qoq'!$A:$AT,MATCH($T$1,'Data qoq'!$A$1:$AT$1,),)</f>
        <v>0.82399132799999997</v>
      </c>
      <c r="U31" s="25">
        <f>VLOOKUP(B31,'Data qoq'!$A:$AT,MATCH($U$1,'Data qoq'!$A$1:$AT$1,),)</f>
        <v>-0.588090483</v>
      </c>
      <c r="V31" s="25">
        <f>VLOOKUP(B31,'Data qoq'!$A:$AT,MATCH($V$1,'Data qoq'!$A$1:$AT$1,),)</f>
        <v>1.479469844</v>
      </c>
      <c r="W31" s="25">
        <f>VLOOKUP(B31,'Data qoq'!$A:$AT,MATCH($W$1,'Data qoq'!$A$1:$AT$1,),)</f>
        <v>4.6099516109999996</v>
      </c>
      <c r="X31" s="25">
        <f>VLOOKUP(B31,'Data qoq'!$A:$AT,MATCH($X$1,'Data qoq'!$A$1:$AT$1,),)</f>
        <v>1.718163938</v>
      </c>
      <c r="Y31" s="25">
        <f>VLOOKUP(B31,'Data qoq'!$A:$AT,MATCH($Y$1,'Data qoq'!$A$1:$AT$1,),)</f>
        <v>1.10186842</v>
      </c>
      <c r="Z31" s="25">
        <f>VLOOKUP(B31,'Data qoq'!$A:$AU,MATCH($Z$1,'Data qoq'!$A$1:$AU$1,),)</f>
        <v>2.9138186890000002</v>
      </c>
      <c r="AA31" s="25">
        <f>VLOOKUP(B31,'Data qoq'!$A:$AU,MATCH($AA$1,'Data qoq'!$A$1:$AU$1,),)</f>
        <v>1.1670118709999999</v>
      </c>
      <c r="AC31" s="26" t="str">
        <f t="shared" si="6"/>
        <v>2005-Q1</v>
      </c>
      <c r="AD31" s="27">
        <f t="shared" si="7"/>
        <v>1.107965807</v>
      </c>
      <c r="AE31" s="27"/>
    </row>
    <row r="32" spans="2:31" hidden="1" x14ac:dyDescent="0.2">
      <c r="B32" s="24" t="s">
        <v>298</v>
      </c>
      <c r="C32" s="25">
        <f>VLOOKUP(B32,'Data qoq'!$A:$AT,MATCH($C$1,'Data qoq'!$A$1:$AT$1,),)</f>
        <v>0.48660447800000001</v>
      </c>
      <c r="D32" s="25">
        <f>VLOOKUP(B32,'Data qoq'!$A:$AT,MATCH($D$1,'Data qoq'!$A$1:$AT$1,),)</f>
        <v>0</v>
      </c>
      <c r="E32" s="25">
        <f>VLOOKUP(B32,'Data qoq'!$A:$AT,MATCH($E$1,'Data qoq'!$A$1:$AT$1,),)</f>
        <v>0.59879700000000002</v>
      </c>
      <c r="F32" s="25">
        <f>VLOOKUP(B32,'Data qoq'!$A:$AT,MATCH($F$1,'Data qoq'!$A$1:$AT$1,),)</f>
        <v>0.77903012800000004</v>
      </c>
      <c r="G32" s="25">
        <f>VLOOKUP(B32,'Data qoq'!$A:$AT,MATCH($G$1,'Data qoq'!$A$1:$AT$1,),)</f>
        <v>0.53619039800000001</v>
      </c>
      <c r="H32" s="25">
        <f>VLOOKUP(B32,'Data qoq'!$A:$AT,MATCH($H$1,'Data qoq'!$A$1:$AT$1,),)</f>
        <v>0.276094216</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0.66170807799999998</v>
      </c>
      <c r="M32" s="25">
        <f>VLOOKUP(B32,'Data qoq'!$A:$AT,MATCH($M$1,'Data qoq'!$A$1:$AT$1,),)</f>
        <v>0.29375574799999998</v>
      </c>
      <c r="N32" s="25">
        <f>VLOOKUP(B32,'Data qoq'!$A:$AT,MATCH($N$1,'Data qoq'!$A$1:$AT$1,),)</f>
        <v>1.522295172</v>
      </c>
      <c r="O32" s="25">
        <f>VLOOKUP(B32,'Data qoq'!$A:$AT,MATCH($C$1,'Data qoq'!$J$1:$AT$1,),)</f>
        <v>1.598238855</v>
      </c>
      <c r="P32" s="25">
        <f>VLOOKUP(B32,'Data qoq'!$A:$AT,MATCH($P$1,'Data qoq'!$A$1:$AT$1,),)</f>
        <v>0.72552270699999999</v>
      </c>
      <c r="Q32" s="25">
        <f>VLOOKUP(B32,'Data qoq'!$A:$AT,MATCH($Q$1,'Data qoq'!$A$1:$AT$1,),)</f>
        <v>0.45198268000000003</v>
      </c>
      <c r="R32" s="25">
        <f>VLOOKUP(B32,'Data qoq'!$A:$AT,MATCH($E$1,'Data qoq'!$A$1:$AT$1,),)</f>
        <v>0.59879700000000002</v>
      </c>
      <c r="S32" s="25">
        <f>VLOOKUP(B32,'Data qoq'!$A:$AT,MATCH($S$1,'Data qoq'!$A$1:$AT$1,),)</f>
        <v>1.8870628620000001</v>
      </c>
      <c r="T32" s="25">
        <f>VLOOKUP(B32,'Data qoq'!$A:$AT,MATCH($T$1,'Data qoq'!$A$1:$AT$1,),)</f>
        <v>1.1863059979999999</v>
      </c>
      <c r="U32" s="25">
        <f>VLOOKUP(B32,'Data qoq'!$A:$AT,MATCH($U$1,'Data qoq'!$A$1:$AT$1,),)</f>
        <v>0.23781521799999999</v>
      </c>
      <c r="V32" s="25">
        <f>VLOOKUP(B32,'Data qoq'!$A:$AT,MATCH($V$1,'Data qoq'!$A$1:$AT$1,),)</f>
        <v>2.3771145599999999</v>
      </c>
      <c r="W32" s="25">
        <f>VLOOKUP(B32,'Data qoq'!$A:$AT,MATCH($W$1,'Data qoq'!$A$1:$AT$1,),)</f>
        <v>0.42215947599999998</v>
      </c>
      <c r="X32" s="25">
        <f>VLOOKUP(B32,'Data qoq'!$A:$AT,MATCH($X$1,'Data qoq'!$A$1:$AT$1,),)</f>
        <v>1.5272647260000001</v>
      </c>
      <c r="Y32" s="25">
        <f>VLOOKUP(B32,'Data qoq'!$A:$AT,MATCH($Y$1,'Data qoq'!$A$1:$AT$1,),)</f>
        <v>0.14735405500000001</v>
      </c>
      <c r="Z32" s="25">
        <f>VLOOKUP(B32,'Data qoq'!$A:$AU,MATCH($Z$1,'Data qoq'!$A$1:$AU$1,),)</f>
        <v>2.1763085590000002</v>
      </c>
      <c r="AA32" s="25">
        <f>VLOOKUP(B32,'Data qoq'!$A:$AU,MATCH($AA$1,'Data qoq'!$A$1:$AU$1,),)</f>
        <v>1.598238855</v>
      </c>
      <c r="AC32" s="26" t="str">
        <f t="shared" si="6"/>
        <v>2005-Q2</v>
      </c>
      <c r="AD32" s="27">
        <f t="shared" si="7"/>
        <v>-4.9585920000000006E-2</v>
      </c>
      <c r="AE32" s="27"/>
    </row>
    <row r="33" spans="2:31" hidden="1" x14ac:dyDescent="0.2">
      <c r="B33" s="24" t="s">
        <v>299</v>
      </c>
      <c r="C33" s="25">
        <f>VLOOKUP(B33,'Data qoq'!$A:$AT,MATCH($C$1,'Data qoq'!$A$1:$AT$1,),)</f>
        <v>0.78562198000000005</v>
      </c>
      <c r="D33" s="25">
        <f>VLOOKUP(B33,'Data qoq'!$A:$AT,MATCH($D$1,'Data qoq'!$A$1:$AT$1,),)</f>
        <v>0</v>
      </c>
      <c r="E33" s="25">
        <f>VLOOKUP(B33,'Data qoq'!$A:$AT,MATCH($E$1,'Data qoq'!$A$1:$AT$1,),)</f>
        <v>0.73130200000000001</v>
      </c>
      <c r="F33" s="25">
        <f>VLOOKUP(B33,'Data qoq'!$A:$AT,MATCH($F$1,'Data qoq'!$A$1:$AT$1,),)</f>
        <v>1.012846436</v>
      </c>
      <c r="G33" s="25">
        <f>VLOOKUP(B33,'Data qoq'!$A:$AT,MATCH($G$1,'Data qoq'!$A$1:$AT$1,),)</f>
        <v>0.84637551200000005</v>
      </c>
      <c r="H33" s="25">
        <f>VLOOKUP(B33,'Data qoq'!$A:$AT,MATCH($H$1,'Data qoq'!$A$1:$AT$1,),)</f>
        <v>0.53670478700000002</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1.1846542579999999</v>
      </c>
      <c r="M33" s="25">
        <f>VLOOKUP(B33,'Data qoq'!$A:$AT,MATCH($M$1,'Data qoq'!$A$1:$AT$1,),)</f>
        <v>0.83930148400000004</v>
      </c>
      <c r="N33" s="25">
        <f>VLOOKUP(B33,'Data qoq'!$A:$AT,MATCH($N$1,'Data qoq'!$A$1:$AT$1,),)</f>
        <v>1.762204946</v>
      </c>
      <c r="O33" s="25">
        <f>VLOOKUP(B33,'Data qoq'!$A:$AT,MATCH($C$1,'Data qoq'!$J$1:$AT$1,),)</f>
        <v>0.48753006399999999</v>
      </c>
      <c r="P33" s="25">
        <f>VLOOKUP(B33,'Data qoq'!$A:$AT,MATCH($P$1,'Data qoq'!$A$1:$AT$1,),)</f>
        <v>1.211374835</v>
      </c>
      <c r="Q33" s="25">
        <f>VLOOKUP(B33,'Data qoq'!$A:$AT,MATCH($Q$1,'Data qoq'!$A$1:$AT$1,),)</f>
        <v>1.1199311709999999</v>
      </c>
      <c r="R33" s="25">
        <f>VLOOKUP(B33,'Data qoq'!$A:$AT,MATCH($E$1,'Data qoq'!$A$1:$AT$1,),)</f>
        <v>0.73130200000000001</v>
      </c>
      <c r="S33" s="25">
        <f>VLOOKUP(B33,'Data qoq'!$A:$AT,MATCH($S$1,'Data qoq'!$A$1:$AT$1,),)</f>
        <v>1.5053308940000001</v>
      </c>
      <c r="T33" s="25">
        <f>VLOOKUP(B33,'Data qoq'!$A:$AT,MATCH($T$1,'Data qoq'!$A$1:$AT$1,),)</f>
        <v>-0.654208224</v>
      </c>
      <c r="U33" s="25">
        <f>VLOOKUP(B33,'Data qoq'!$A:$AT,MATCH($U$1,'Data qoq'!$A$1:$AT$1,),)</f>
        <v>1.3908431649999999</v>
      </c>
      <c r="V33" s="25">
        <f>VLOOKUP(B33,'Data qoq'!$A:$AT,MATCH($V$1,'Data qoq'!$A$1:$AT$1,),)</f>
        <v>-1.8900381049999999</v>
      </c>
      <c r="W33" s="25">
        <f>VLOOKUP(B33,'Data qoq'!$A:$AT,MATCH($W$1,'Data qoq'!$A$1:$AT$1,),)</f>
        <v>1.4119712600000001</v>
      </c>
      <c r="X33" s="25">
        <f>VLOOKUP(B33,'Data qoq'!$A:$AT,MATCH($X$1,'Data qoq'!$A$1:$AT$1,),)</f>
        <v>1.493346037</v>
      </c>
      <c r="Y33" s="25">
        <f>VLOOKUP(B33,'Data qoq'!$A:$AT,MATCH($Y$1,'Data qoq'!$A$1:$AT$1,),)</f>
        <v>1.932599951</v>
      </c>
      <c r="Z33" s="25">
        <f>VLOOKUP(B33,'Data qoq'!$A:$AU,MATCH($Z$1,'Data qoq'!$A$1:$AU$1,),)</f>
        <v>0.73796941100000002</v>
      </c>
      <c r="AA33" s="25">
        <f>VLOOKUP(B33,'Data qoq'!$A:$AU,MATCH($AA$1,'Data qoq'!$A$1:$AU$1,),)</f>
        <v>0.48753006399999999</v>
      </c>
      <c r="AC33" s="26" t="str">
        <f t="shared" si="6"/>
        <v>2005-Q3</v>
      </c>
      <c r="AD33" s="27">
        <f t="shared" si="7"/>
        <v>-6.0753531999999999E-2</v>
      </c>
      <c r="AE33" s="27"/>
    </row>
    <row r="34" spans="2:31" hidden="1" x14ac:dyDescent="0.2">
      <c r="B34" s="24" t="s">
        <v>300</v>
      </c>
      <c r="C34" s="25">
        <f>VLOOKUP(B34,'Data qoq'!$A:$AT,MATCH($C$1,'Data qoq'!$A$1:$AT$1,),)</f>
        <v>0.56792823800000003</v>
      </c>
      <c r="D34" s="25">
        <f>VLOOKUP(B34,'Data qoq'!$A:$AT,MATCH($D$1,'Data qoq'!$A$1:$AT$1,),)</f>
        <v>0</v>
      </c>
      <c r="E34" s="25">
        <f>VLOOKUP(B34,'Data qoq'!$A:$AT,MATCH($E$1,'Data qoq'!$A$1:$AT$1,),)</f>
        <v>0.64248099999999997</v>
      </c>
      <c r="F34" s="25">
        <f>VLOOKUP(B34,'Data qoq'!$A:$AT,MATCH($F$1,'Data qoq'!$A$1:$AT$1,),)</f>
        <v>0.176348642</v>
      </c>
      <c r="G34" s="25">
        <f>VLOOKUP(B34,'Data qoq'!$A:$AT,MATCH($G$1,'Data qoq'!$A$1:$AT$1,),)</f>
        <v>0.47137357299999999</v>
      </c>
      <c r="H34" s="25">
        <f>VLOOKUP(B34,'Data qoq'!$A:$AT,MATCH($H$1,'Data qoq'!$A$1:$AT$1,),)</f>
        <v>0.67272704900000002</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0.69303916499999996</v>
      </c>
      <c r="M34" s="25">
        <f>VLOOKUP(B34,'Data qoq'!$A:$AT,MATCH($M$1,'Data qoq'!$A$1:$AT$1,),)</f>
        <v>1.6706475949999999</v>
      </c>
      <c r="N34" s="25">
        <f>VLOOKUP(B34,'Data qoq'!$A:$AT,MATCH($N$1,'Data qoq'!$A$1:$AT$1,),)</f>
        <v>2.0628404740000001</v>
      </c>
      <c r="O34" s="25">
        <f>VLOOKUP(B34,'Data qoq'!$A:$AT,MATCH($C$1,'Data qoq'!$J$1:$AT$1,),)</f>
        <v>-0.40322580600000002</v>
      </c>
      <c r="P34" s="25">
        <f>VLOOKUP(B34,'Data qoq'!$A:$AT,MATCH($P$1,'Data qoq'!$A$1:$AT$1,),)</f>
        <v>0.988734322</v>
      </c>
      <c r="Q34" s="25">
        <f>VLOOKUP(B34,'Data qoq'!$A:$AT,MATCH($Q$1,'Data qoq'!$A$1:$AT$1,),)</f>
        <v>0.76144320700000001</v>
      </c>
      <c r="R34" s="25">
        <f>VLOOKUP(B34,'Data qoq'!$A:$AT,MATCH($E$1,'Data qoq'!$A$1:$AT$1,),)</f>
        <v>0.64248099999999997</v>
      </c>
      <c r="S34" s="25">
        <f>VLOOKUP(B34,'Data qoq'!$A:$AT,MATCH($S$1,'Data qoq'!$A$1:$AT$1,),)</f>
        <v>1.0124646660000001</v>
      </c>
      <c r="T34" s="25">
        <f>VLOOKUP(B34,'Data qoq'!$A:$AT,MATCH($T$1,'Data qoq'!$A$1:$AT$1,),)</f>
        <v>1.24381863</v>
      </c>
      <c r="U34" s="25">
        <f>VLOOKUP(B34,'Data qoq'!$A:$AT,MATCH($U$1,'Data qoq'!$A$1:$AT$1,),)</f>
        <v>0.50101551600000005</v>
      </c>
      <c r="V34" s="25">
        <f>VLOOKUP(B34,'Data qoq'!$A:$AT,MATCH($V$1,'Data qoq'!$A$1:$AT$1,),)</f>
        <v>3.9335204909999999</v>
      </c>
      <c r="W34" s="25">
        <f>VLOOKUP(B34,'Data qoq'!$A:$AT,MATCH($W$1,'Data qoq'!$A$1:$AT$1,),)</f>
        <v>3.3068041410000002</v>
      </c>
      <c r="X34" s="25">
        <f>VLOOKUP(B34,'Data qoq'!$A:$AT,MATCH($X$1,'Data qoq'!$A$1:$AT$1,),)</f>
        <v>1.8493126790000001</v>
      </c>
      <c r="Y34" s="25">
        <f>VLOOKUP(B34,'Data qoq'!$A:$AT,MATCH($Y$1,'Data qoq'!$A$1:$AT$1,),)</f>
        <v>1.8394144459999999</v>
      </c>
      <c r="Z34" s="25">
        <f>VLOOKUP(B34,'Data qoq'!$A:$AU,MATCH($Z$1,'Data qoq'!$A$1:$AU$1,),)</f>
        <v>1.8443513979999999</v>
      </c>
      <c r="AA34" s="25">
        <f>VLOOKUP(B34,'Data qoq'!$A:$AU,MATCH($AA$1,'Data qoq'!$A$1:$AU$1,),)</f>
        <v>-0.40322580600000002</v>
      </c>
      <c r="AC34" s="26" t="str">
        <f t="shared" si="6"/>
        <v>2005-Q4</v>
      </c>
      <c r="AD34" s="27">
        <f t="shared" si="7"/>
        <v>9.6554665000000039E-2</v>
      </c>
      <c r="AE34" s="27"/>
    </row>
    <row r="35" spans="2:31" hidden="1" x14ac:dyDescent="0.2">
      <c r="B35" s="24" t="s">
        <v>301</v>
      </c>
      <c r="C35" s="25">
        <f>VLOOKUP(B35,'Data qoq'!$A:$AT,MATCH($C$1,'Data qoq'!$A$1:$AT$1,),)</f>
        <v>1.3486661200000001</v>
      </c>
      <c r="D35" s="25">
        <f>VLOOKUP(B35,'Data qoq'!$A:$AT,MATCH($D$1,'Data qoq'!$A$1:$AT$1,),)</f>
        <v>0</v>
      </c>
      <c r="E35" s="25">
        <f>VLOOKUP(B35,'Data qoq'!$A:$AT,MATCH($E$1,'Data qoq'!$A$1:$AT$1,),)</f>
        <v>0.88203699999999996</v>
      </c>
      <c r="F35" s="25">
        <f>VLOOKUP(B35,'Data qoq'!$A:$AT,MATCH($F$1,'Data qoq'!$A$1:$AT$1,),)</f>
        <v>0.15878486999999999</v>
      </c>
      <c r="G35" s="25">
        <f>VLOOKUP(B35,'Data qoq'!$A:$AT,MATCH($G$1,'Data qoq'!$A$1:$AT$1,),)</f>
        <v>0.961211712</v>
      </c>
      <c r="H35" s="25">
        <f>VLOOKUP(B35,'Data qoq'!$A:$AT,MATCH($H$1,'Data qoq'!$A$1:$AT$1,),)</f>
        <v>0.78292412099999997</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1.538280651</v>
      </c>
      <c r="M35" s="25">
        <f>VLOOKUP(B35,'Data qoq'!$A:$AT,MATCH($M$1,'Data qoq'!$A$1:$AT$1,),)</f>
        <v>1.757056817</v>
      </c>
      <c r="N35" s="25">
        <f>VLOOKUP(B35,'Data qoq'!$A:$AT,MATCH($N$1,'Data qoq'!$A$1:$AT$1,),)</f>
        <v>1.930605205</v>
      </c>
      <c r="O35" s="25">
        <f>VLOOKUP(B35,'Data qoq'!$A:$AT,MATCH($C$1,'Data qoq'!$J$1:$AT$1,),)</f>
        <v>1.64541341</v>
      </c>
      <c r="P35" s="25">
        <f>VLOOKUP(B35,'Data qoq'!$A:$AT,MATCH($P$1,'Data qoq'!$A$1:$AT$1,),)</f>
        <v>0.81099541100000005</v>
      </c>
      <c r="Q35" s="25">
        <f>VLOOKUP(B35,'Data qoq'!$A:$AT,MATCH($Q$1,'Data qoq'!$A$1:$AT$1,),)</f>
        <v>9.9275119999999994E-2</v>
      </c>
      <c r="R35" s="25">
        <f>VLOOKUP(B35,'Data qoq'!$A:$AT,MATCH($E$1,'Data qoq'!$A$1:$AT$1,),)</f>
        <v>0.88203699999999996</v>
      </c>
      <c r="S35" s="25">
        <f>VLOOKUP(B35,'Data qoq'!$A:$AT,MATCH($S$1,'Data qoq'!$A$1:$AT$1,),)</f>
        <v>1.639117138</v>
      </c>
      <c r="T35" s="25">
        <f>VLOOKUP(B35,'Data qoq'!$A:$AT,MATCH($T$1,'Data qoq'!$A$1:$AT$1,),)</f>
        <v>1.7016735869999999</v>
      </c>
      <c r="U35" s="25">
        <f>VLOOKUP(B35,'Data qoq'!$A:$AT,MATCH($U$1,'Data qoq'!$A$1:$AT$1,),)</f>
        <v>3.2582208709999998</v>
      </c>
      <c r="V35" s="25">
        <f>VLOOKUP(B35,'Data qoq'!$A:$AT,MATCH($V$1,'Data qoq'!$A$1:$AT$1,),)</f>
        <v>1.9595168890000001</v>
      </c>
      <c r="W35" s="25">
        <f>VLOOKUP(B35,'Data qoq'!$A:$AT,MATCH($W$1,'Data qoq'!$A$1:$AT$1,),)</f>
        <v>1.1451332700000001</v>
      </c>
      <c r="X35" s="25">
        <f>VLOOKUP(B35,'Data qoq'!$A:$AT,MATCH($X$1,'Data qoq'!$A$1:$AT$1,),)</f>
        <v>1.839711359</v>
      </c>
      <c r="Y35" s="25">
        <f>VLOOKUP(B35,'Data qoq'!$A:$AT,MATCH($Y$1,'Data qoq'!$A$1:$AT$1,),)</f>
        <v>1.503304263</v>
      </c>
      <c r="Z35" s="25">
        <f>VLOOKUP(B35,'Data qoq'!$A:$AU,MATCH($Z$1,'Data qoq'!$A$1:$AU$1,),)</f>
        <v>2.625726454</v>
      </c>
      <c r="AA35" s="25">
        <f>VLOOKUP(B35,'Data qoq'!$A:$AU,MATCH($AA$1,'Data qoq'!$A$1:$AU$1,),)</f>
        <v>1.64541341</v>
      </c>
      <c r="AC35" s="26" t="str">
        <f t="shared" si="6"/>
        <v>2006-Q1</v>
      </c>
      <c r="AD35" s="27">
        <f t="shared" si="7"/>
        <v>0.38745440800000008</v>
      </c>
      <c r="AE35" s="27"/>
    </row>
    <row r="36" spans="2:31" hidden="1" x14ac:dyDescent="0.2">
      <c r="B36" s="24" t="s">
        <v>302</v>
      </c>
      <c r="C36" s="25">
        <f>VLOOKUP(B36,'Data qoq'!$A:$AT,MATCH($C$1,'Data qoq'!$A$1:$AT$1,),)</f>
        <v>0.245583731</v>
      </c>
      <c r="D36" s="25">
        <f>VLOOKUP(B36,'Data qoq'!$A:$AT,MATCH($D$1,'Data qoq'!$A$1:$AT$1,),)</f>
        <v>0</v>
      </c>
      <c r="E36" s="25">
        <f>VLOOKUP(B36,'Data qoq'!$A:$AT,MATCH($E$1,'Data qoq'!$A$1:$AT$1,),)</f>
        <v>1.102565</v>
      </c>
      <c r="F36" s="25">
        <f>VLOOKUP(B36,'Data qoq'!$A:$AT,MATCH($F$1,'Data qoq'!$A$1:$AT$1,),)</f>
        <v>0.15540114699999999</v>
      </c>
      <c r="G36" s="25">
        <f>VLOOKUP(B36,'Data qoq'!$A:$AT,MATCH($G$1,'Data qoq'!$A$1:$AT$1,),)</f>
        <v>1.7227678930000001</v>
      </c>
      <c r="H36" s="25">
        <f>VLOOKUP(B36,'Data qoq'!$A:$AT,MATCH($H$1,'Data qoq'!$A$1:$AT$1,),)</f>
        <v>1.034762891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1.647119268</v>
      </c>
      <c r="M36" s="25">
        <f>VLOOKUP(B36,'Data qoq'!$A:$AT,MATCH($M$1,'Data qoq'!$A$1:$AT$1,),)</f>
        <v>0.97157541300000005</v>
      </c>
      <c r="N36" s="25">
        <f>VLOOKUP(B36,'Data qoq'!$A:$AT,MATCH($N$1,'Data qoq'!$A$1:$AT$1,),)</f>
        <v>1.9251039539999999</v>
      </c>
      <c r="O36" s="25">
        <f>VLOOKUP(B36,'Data qoq'!$A:$AT,MATCH($C$1,'Data qoq'!$J$1:$AT$1,),)</f>
        <v>0.45581375499999999</v>
      </c>
      <c r="P36" s="25">
        <f>VLOOKUP(B36,'Data qoq'!$A:$AT,MATCH($P$1,'Data qoq'!$A$1:$AT$1,),)</f>
        <v>5.1646385000000003E-2</v>
      </c>
      <c r="Q36" s="25">
        <f>VLOOKUP(B36,'Data qoq'!$A:$AT,MATCH($Q$1,'Data qoq'!$A$1:$AT$1,),)</f>
        <v>0.228847299</v>
      </c>
      <c r="R36" s="25">
        <f>VLOOKUP(B36,'Data qoq'!$A:$AT,MATCH($E$1,'Data qoq'!$A$1:$AT$1,),)</f>
        <v>1.102565</v>
      </c>
      <c r="S36" s="25">
        <f>VLOOKUP(B36,'Data qoq'!$A:$AT,MATCH($S$1,'Data qoq'!$A$1:$AT$1,),)</f>
        <v>0.73060202799999996</v>
      </c>
      <c r="T36" s="25">
        <f>VLOOKUP(B36,'Data qoq'!$A:$AT,MATCH($T$1,'Data qoq'!$A$1:$AT$1,),)</f>
        <v>0.27272321300000002</v>
      </c>
      <c r="U36" s="25">
        <f>VLOOKUP(B36,'Data qoq'!$A:$AT,MATCH($U$1,'Data qoq'!$A$1:$AT$1,),)</f>
        <v>0.30705051100000003</v>
      </c>
      <c r="V36" s="25">
        <f>VLOOKUP(B36,'Data qoq'!$A:$AT,MATCH($V$1,'Data qoq'!$A$1:$AT$1,),)</f>
        <v>0.16254552</v>
      </c>
      <c r="W36" s="25">
        <f>VLOOKUP(B36,'Data qoq'!$A:$AT,MATCH($W$1,'Data qoq'!$A$1:$AT$1,),)</f>
        <v>3.0461220990000002</v>
      </c>
      <c r="X36" s="25">
        <f>VLOOKUP(B36,'Data qoq'!$A:$AT,MATCH($X$1,'Data qoq'!$A$1:$AT$1,),)</f>
        <v>1.944582606</v>
      </c>
      <c r="Y36" s="25">
        <f>VLOOKUP(B36,'Data qoq'!$A:$AT,MATCH($Y$1,'Data qoq'!$A$1:$AT$1,),)</f>
        <v>2.2997680140000001</v>
      </c>
      <c r="Z36" s="25">
        <f>VLOOKUP(B36,'Data qoq'!$A:$AU,MATCH($Z$1,'Data qoq'!$A$1:$AU$1,),)</f>
        <v>1.289231891</v>
      </c>
      <c r="AA36" s="25">
        <f>VLOOKUP(B36,'Data qoq'!$A:$AU,MATCH($AA$1,'Data qoq'!$A$1:$AU$1,),)</f>
        <v>0.45581375499999999</v>
      </c>
      <c r="AC36" s="26" t="str">
        <f t="shared" si="6"/>
        <v>2006-Q2</v>
      </c>
      <c r="AD36" s="27">
        <f t="shared" si="7"/>
        <v>-1.4771841620000001</v>
      </c>
      <c r="AE36" s="27"/>
    </row>
    <row r="37" spans="2:31" hidden="1" x14ac:dyDescent="0.2">
      <c r="B37" s="24" t="s">
        <v>303</v>
      </c>
      <c r="C37" s="25">
        <f>VLOOKUP(B37,'Data qoq'!$A:$AT,MATCH($C$1,'Data qoq'!$A$1:$AT$1,),)</f>
        <v>0.15045618799999999</v>
      </c>
      <c r="D37" s="25">
        <f>VLOOKUP(B37,'Data qoq'!$A:$AT,MATCH($D$1,'Data qoq'!$A$1:$AT$1,),)</f>
        <v>0</v>
      </c>
      <c r="E37" s="25">
        <f>VLOOKUP(B37,'Data qoq'!$A:$AT,MATCH($E$1,'Data qoq'!$A$1:$AT$1,),)</f>
        <v>0.58138100000000004</v>
      </c>
      <c r="F37" s="25">
        <f>VLOOKUP(B37,'Data qoq'!$A:$AT,MATCH($F$1,'Data qoq'!$A$1:$AT$1,),)</f>
        <v>-0.20544515599999999</v>
      </c>
      <c r="G37" s="25">
        <f>VLOOKUP(B37,'Data qoq'!$A:$AT,MATCH($G$1,'Data qoq'!$A$1:$AT$1,),)</f>
        <v>0.77994355000000004</v>
      </c>
      <c r="H37" s="25">
        <f>VLOOKUP(B37,'Data qoq'!$A:$AT,MATCH($H$1,'Data qoq'!$A$1:$AT$1,),)</f>
        <v>6.0447437E-2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1.1748994829999999</v>
      </c>
      <c r="M37" s="25">
        <f>VLOOKUP(B37,'Data qoq'!$A:$AT,MATCH($M$1,'Data qoq'!$A$1:$AT$1,),)</f>
        <v>0.28003435500000001</v>
      </c>
      <c r="N37" s="25">
        <f>VLOOKUP(B37,'Data qoq'!$A:$AT,MATCH($N$1,'Data qoq'!$A$1:$AT$1,),)</f>
        <v>2.2961291660000001</v>
      </c>
      <c r="O37" s="25">
        <f>VLOOKUP(B37,'Data qoq'!$A:$AT,MATCH($C$1,'Data qoq'!$J$1:$AT$1,),)</f>
        <v>0.64033246399999999</v>
      </c>
      <c r="P37" s="25">
        <f>VLOOKUP(B37,'Data qoq'!$A:$AT,MATCH($P$1,'Data qoq'!$A$1:$AT$1,),)</f>
        <v>0.27924548500000002</v>
      </c>
      <c r="Q37" s="25">
        <f>VLOOKUP(B37,'Data qoq'!$A:$AT,MATCH($Q$1,'Data qoq'!$A$1:$AT$1,),)</f>
        <v>1.4851062859999999</v>
      </c>
      <c r="R37" s="25">
        <f>VLOOKUP(B37,'Data qoq'!$A:$AT,MATCH($E$1,'Data qoq'!$A$1:$AT$1,),)</f>
        <v>0.58138100000000004</v>
      </c>
      <c r="S37" s="25">
        <f>VLOOKUP(B37,'Data qoq'!$A:$AT,MATCH($S$1,'Data qoq'!$A$1:$AT$1,),)</f>
        <v>1.613954951</v>
      </c>
      <c r="T37" s="25">
        <f>VLOOKUP(B37,'Data qoq'!$A:$AT,MATCH($T$1,'Data qoq'!$A$1:$AT$1,),)</f>
        <v>1.603146403</v>
      </c>
      <c r="U37" s="25">
        <f>VLOOKUP(B37,'Data qoq'!$A:$AT,MATCH($U$1,'Data qoq'!$A$1:$AT$1,),)</f>
        <v>0.47743896299999999</v>
      </c>
      <c r="V37" s="25">
        <f>VLOOKUP(B37,'Data qoq'!$A:$AT,MATCH($V$1,'Data qoq'!$A$1:$AT$1,),)</f>
        <v>0.62563652800000003</v>
      </c>
      <c r="W37" s="25">
        <f>VLOOKUP(B37,'Data qoq'!$A:$AT,MATCH($W$1,'Data qoq'!$A$1:$AT$1,),)</f>
        <v>-0.75348610900000002</v>
      </c>
      <c r="X37" s="25">
        <f>VLOOKUP(B37,'Data qoq'!$A:$AT,MATCH($X$1,'Data qoq'!$A$1:$AT$1,),)</f>
        <v>1.211839455</v>
      </c>
      <c r="Y37" s="25">
        <f>VLOOKUP(B37,'Data qoq'!$A:$AT,MATCH($Y$1,'Data qoq'!$A$1:$AT$1,),)</f>
        <v>1.6510320549999999</v>
      </c>
      <c r="Z37" s="25">
        <f>VLOOKUP(B37,'Data qoq'!$A:$AU,MATCH($Z$1,'Data qoq'!$A$1:$AU$1,),)</f>
        <v>2.791000082</v>
      </c>
      <c r="AA37" s="25">
        <f>VLOOKUP(B37,'Data qoq'!$A:$AU,MATCH($AA$1,'Data qoq'!$A$1:$AU$1,),)</f>
        <v>0.64033246399999999</v>
      </c>
      <c r="AC37" s="26" t="str">
        <f t="shared" si="6"/>
        <v>2006-Q3</v>
      </c>
      <c r="AD37" s="27">
        <f t="shared" si="7"/>
        <v>-0.62948736200000011</v>
      </c>
      <c r="AE37" s="27"/>
    </row>
    <row r="38" spans="2:31" hidden="1" x14ac:dyDescent="0.2">
      <c r="B38" s="24" t="s">
        <v>304</v>
      </c>
      <c r="C38" s="25">
        <f>VLOOKUP(B38,'Data qoq'!$A:$AT,MATCH($C$1,'Data qoq'!$A$1:$AT$1,),)</f>
        <v>0.84371169599999996</v>
      </c>
      <c r="D38" s="25">
        <f>VLOOKUP(B38,'Data qoq'!$A:$AT,MATCH($D$1,'Data qoq'!$A$1:$AT$1,),)</f>
        <v>0</v>
      </c>
      <c r="E38" s="25">
        <f>VLOOKUP(B38,'Data qoq'!$A:$AT,MATCH($E$1,'Data qoq'!$A$1:$AT$1,),)</f>
        <v>1.175613</v>
      </c>
      <c r="F38" s="25">
        <f>VLOOKUP(B38,'Data qoq'!$A:$AT,MATCH($F$1,'Data qoq'!$A$1:$AT$1,),)</f>
        <v>1.350880061</v>
      </c>
      <c r="G38" s="25">
        <f>VLOOKUP(B38,'Data qoq'!$A:$AT,MATCH($G$1,'Data qoq'!$A$1:$AT$1,),)</f>
        <v>1.514652417</v>
      </c>
      <c r="H38" s="25">
        <f>VLOOKUP(B38,'Data qoq'!$A:$AT,MATCH($H$1,'Data qoq'!$A$1:$AT$1,),)</f>
        <v>0.73845176700000004</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0.66110119199999995</v>
      </c>
      <c r="M38" s="25">
        <f>VLOOKUP(B38,'Data qoq'!$A:$AT,MATCH($M$1,'Data qoq'!$A$1:$AT$1,),)</f>
        <v>0.24868928500000001</v>
      </c>
      <c r="N38" s="25">
        <f>VLOOKUP(B38,'Data qoq'!$A:$AT,MATCH($N$1,'Data qoq'!$A$1:$AT$1,),)</f>
        <v>1.8992405130000001</v>
      </c>
      <c r="O38" s="25">
        <f>VLOOKUP(B38,'Data qoq'!$A:$AT,MATCH($C$1,'Data qoq'!$J$1:$AT$1,),)</f>
        <v>0.88275571500000005</v>
      </c>
      <c r="P38" s="25">
        <f>VLOOKUP(B38,'Data qoq'!$A:$AT,MATCH($P$1,'Data qoq'!$A$1:$AT$1,),)</f>
        <v>0.39859824199999999</v>
      </c>
      <c r="Q38" s="25">
        <f>VLOOKUP(B38,'Data qoq'!$A:$AT,MATCH($Q$1,'Data qoq'!$A$1:$AT$1,),)</f>
        <v>1.2851799450000001</v>
      </c>
      <c r="R38" s="25">
        <f>VLOOKUP(B38,'Data qoq'!$A:$AT,MATCH($E$1,'Data qoq'!$A$1:$AT$1,),)</f>
        <v>1.175613</v>
      </c>
      <c r="S38" s="25">
        <f>VLOOKUP(B38,'Data qoq'!$A:$AT,MATCH($S$1,'Data qoq'!$A$1:$AT$1,),)</f>
        <v>0.779357615</v>
      </c>
      <c r="T38" s="25">
        <f>VLOOKUP(B38,'Data qoq'!$A:$AT,MATCH($T$1,'Data qoq'!$A$1:$AT$1,),)</f>
        <v>1.1947315999999999</v>
      </c>
      <c r="U38" s="25">
        <f>VLOOKUP(B38,'Data qoq'!$A:$AT,MATCH($U$1,'Data qoq'!$A$1:$AT$1,),)</f>
        <v>2.5429404259999999</v>
      </c>
      <c r="V38" s="25">
        <f>VLOOKUP(B38,'Data qoq'!$A:$AT,MATCH($V$1,'Data qoq'!$A$1:$AT$1,),)</f>
        <v>0.90185918399999998</v>
      </c>
      <c r="W38" s="25">
        <f>VLOOKUP(B38,'Data qoq'!$A:$AT,MATCH($W$1,'Data qoq'!$A$1:$AT$1,),)</f>
        <v>2.2587130449999999</v>
      </c>
      <c r="X38" s="25">
        <f>VLOOKUP(B38,'Data qoq'!$A:$AT,MATCH($X$1,'Data qoq'!$A$1:$AT$1,),)</f>
        <v>1.34905802</v>
      </c>
      <c r="Y38" s="25">
        <f>VLOOKUP(B38,'Data qoq'!$A:$AT,MATCH($Y$1,'Data qoq'!$A$1:$AT$1,),)</f>
        <v>-1.498642882</v>
      </c>
      <c r="Z38" s="25">
        <f>VLOOKUP(B38,'Data qoq'!$A:$AU,MATCH($Z$1,'Data qoq'!$A$1:$AU$1,),)</f>
        <v>2.1024786560000002</v>
      </c>
      <c r="AA38" s="25">
        <f>VLOOKUP(B38,'Data qoq'!$A:$AU,MATCH($AA$1,'Data qoq'!$A$1:$AU$1,),)</f>
        <v>0.88275571500000005</v>
      </c>
      <c r="AC38" s="26" t="str">
        <f t="shared" si="6"/>
        <v>2006-Q4</v>
      </c>
      <c r="AD38" s="27">
        <f t="shared" si="7"/>
        <v>-0.67094072100000002</v>
      </c>
      <c r="AE38" s="27"/>
    </row>
    <row r="39" spans="2:31" hidden="1" x14ac:dyDescent="0.2">
      <c r="B39" s="24" t="s">
        <v>305</v>
      </c>
      <c r="C39" s="25">
        <f>VLOOKUP(B39,'Data qoq'!$A:$AT,MATCH($C$1,'Data qoq'!$A$1:$AT$1,),)</f>
        <v>0.29359886099999999</v>
      </c>
      <c r="D39" s="25">
        <f>VLOOKUP(B39,'Data qoq'!$A:$AT,MATCH($D$1,'Data qoq'!$A$1:$AT$1,),)</f>
        <v>0</v>
      </c>
      <c r="E39" s="25">
        <f>VLOOKUP(B39,'Data qoq'!$A:$AT,MATCH($E$1,'Data qoq'!$A$1:$AT$1,),)</f>
        <v>0.61285199999999995</v>
      </c>
      <c r="F39" s="25">
        <f>VLOOKUP(B39,'Data qoq'!$A:$AT,MATCH($F$1,'Data qoq'!$A$1:$AT$1,),)</f>
        <v>0.67172387200000006</v>
      </c>
      <c r="G39" s="25">
        <f>VLOOKUP(B39,'Data qoq'!$A:$AT,MATCH($G$1,'Data qoq'!$A$1:$AT$1,),)</f>
        <v>6.2645066999999999E-2</v>
      </c>
      <c r="H39" s="25">
        <f>VLOOKUP(B39,'Data qoq'!$A:$AT,MATCH($H$1,'Data qoq'!$A$1:$AT$1,),)</f>
        <v>0.73321420400000004</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0.95999473599999996</v>
      </c>
      <c r="M39" s="25">
        <f>VLOOKUP(B39,'Data qoq'!$A:$AT,MATCH($M$1,'Data qoq'!$A$1:$AT$1,),)</f>
        <v>0.70034732300000002</v>
      </c>
      <c r="N39" s="25">
        <f>VLOOKUP(B39,'Data qoq'!$A:$AT,MATCH($N$1,'Data qoq'!$A$1:$AT$1,),)</f>
        <v>1.8136509329999999</v>
      </c>
      <c r="O39" s="25">
        <f>VLOOKUP(B39,'Data qoq'!$A:$AT,MATCH($C$1,'Data qoq'!$J$1:$AT$1,),)</f>
        <v>1.2300559689999999</v>
      </c>
      <c r="P39" s="25">
        <f>VLOOKUP(B39,'Data qoq'!$A:$AT,MATCH($P$1,'Data qoq'!$A$1:$AT$1,),)</f>
        <v>0.63962664400000002</v>
      </c>
      <c r="Q39" s="25">
        <f>VLOOKUP(B39,'Data qoq'!$A:$AT,MATCH($Q$1,'Data qoq'!$A$1:$AT$1,),)</f>
        <v>1.3853312010000001</v>
      </c>
      <c r="R39" s="25">
        <f>VLOOKUP(B39,'Data qoq'!$A:$AT,MATCH($E$1,'Data qoq'!$A$1:$AT$1,),)</f>
        <v>0.61285199999999995</v>
      </c>
      <c r="S39" s="25">
        <f>VLOOKUP(B39,'Data qoq'!$A:$AT,MATCH($S$1,'Data qoq'!$A$1:$AT$1,),)</f>
        <v>1.674043596</v>
      </c>
      <c r="T39" s="25">
        <f>VLOOKUP(B39,'Data qoq'!$A:$AT,MATCH($T$1,'Data qoq'!$A$1:$AT$1,),)</f>
        <v>1.965644194</v>
      </c>
      <c r="U39" s="25">
        <f>VLOOKUP(B39,'Data qoq'!$A:$AT,MATCH($U$1,'Data qoq'!$A$1:$AT$1,),)</f>
        <v>-0.78528566200000005</v>
      </c>
      <c r="V39" s="25">
        <f>VLOOKUP(B39,'Data qoq'!$A:$AT,MATCH($V$1,'Data qoq'!$A$1:$AT$1,),)</f>
        <v>5.5160138879999998</v>
      </c>
      <c r="W39" s="25">
        <f>VLOOKUP(B39,'Data qoq'!$A:$AT,MATCH($W$1,'Data qoq'!$A$1:$AT$1,),)</f>
        <v>1.8230804439999999</v>
      </c>
      <c r="X39" s="25">
        <f>VLOOKUP(B39,'Data qoq'!$A:$AT,MATCH($X$1,'Data qoq'!$A$1:$AT$1,),)</f>
        <v>1.7111227849999999</v>
      </c>
      <c r="Y39" s="25">
        <f>VLOOKUP(B39,'Data qoq'!$A:$AT,MATCH($Y$1,'Data qoq'!$A$1:$AT$1,),)</f>
        <v>4.5899808440000003</v>
      </c>
      <c r="Z39" s="25">
        <f>VLOOKUP(B39,'Data qoq'!$A:$AU,MATCH($Z$1,'Data qoq'!$A$1:$AU$1,),)</f>
        <v>2.358168322</v>
      </c>
      <c r="AA39" s="25">
        <f>VLOOKUP(B39,'Data qoq'!$A:$AU,MATCH($AA$1,'Data qoq'!$A$1:$AU$1,),)</f>
        <v>1.2300559689999999</v>
      </c>
      <c r="AC39" s="26" t="str">
        <f t="shared" si="6"/>
        <v>2007-Q1</v>
      </c>
      <c r="AD39" s="27">
        <f t="shared" si="7"/>
        <v>0.23095379399999999</v>
      </c>
      <c r="AE39" s="27"/>
    </row>
    <row r="40" spans="2:31" hidden="1" x14ac:dyDescent="0.2">
      <c r="B40" s="24" t="s">
        <v>306</v>
      </c>
      <c r="C40" s="25">
        <f>VLOOKUP(B40,'Data qoq'!$A:$AT,MATCH($C$1,'Data qoq'!$A$1:$AT$1,),)</f>
        <v>0.63843452999999994</v>
      </c>
      <c r="D40" s="25">
        <f>VLOOKUP(B40,'Data qoq'!$A:$AT,MATCH($D$1,'Data qoq'!$A$1:$AT$1,),)</f>
        <v>0</v>
      </c>
      <c r="E40" s="25">
        <f>VLOOKUP(B40,'Data qoq'!$A:$AT,MATCH($E$1,'Data qoq'!$A$1:$AT$1,),)</f>
        <v>0.71019299999999996</v>
      </c>
      <c r="F40" s="25">
        <f>VLOOKUP(B40,'Data qoq'!$A:$AT,MATCH($F$1,'Data qoq'!$A$1:$AT$1,),)</f>
        <v>2.9270979999999999E-2</v>
      </c>
      <c r="G40" s="25">
        <f>VLOOKUP(B40,'Data qoq'!$A:$AT,MATCH($G$1,'Data qoq'!$A$1:$AT$1,),)</f>
        <v>0.83805258199999999</v>
      </c>
      <c r="H40" s="25">
        <f>VLOOKUP(B40,'Data qoq'!$A:$AT,MATCH($H$1,'Data qoq'!$A$1:$AT$1,),)</f>
        <v>0.67636330499999997</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0.52975914999999996</v>
      </c>
      <c r="M40" s="25">
        <f>VLOOKUP(B40,'Data qoq'!$A:$AT,MATCH($M$1,'Data qoq'!$A$1:$AT$1,),)</f>
        <v>0.77213515899999996</v>
      </c>
      <c r="N40" s="25">
        <f>VLOOKUP(B40,'Data qoq'!$A:$AT,MATCH($N$1,'Data qoq'!$A$1:$AT$1,),)</f>
        <v>2.5237981899999999</v>
      </c>
      <c r="O40" s="25">
        <f>VLOOKUP(B40,'Data qoq'!$A:$AT,MATCH($C$1,'Data qoq'!$J$1:$AT$1,),)</f>
        <v>0.90978482900000002</v>
      </c>
      <c r="P40" s="25">
        <f>VLOOKUP(B40,'Data qoq'!$A:$AT,MATCH($P$1,'Data qoq'!$A$1:$AT$1,),)</f>
        <v>0.96890726299999996</v>
      </c>
      <c r="Q40" s="25">
        <f>VLOOKUP(B40,'Data qoq'!$A:$AT,MATCH($Q$1,'Data qoq'!$A$1:$AT$1,),)</f>
        <v>0.64718561600000002</v>
      </c>
      <c r="R40" s="25">
        <f>VLOOKUP(B40,'Data qoq'!$A:$AT,MATCH($E$1,'Data qoq'!$A$1:$AT$1,),)</f>
        <v>0.71019299999999996</v>
      </c>
      <c r="S40" s="25">
        <f>VLOOKUP(B40,'Data qoq'!$A:$AT,MATCH($S$1,'Data qoq'!$A$1:$AT$1,),)</f>
        <v>1.730290857</v>
      </c>
      <c r="T40" s="25">
        <f>VLOOKUP(B40,'Data qoq'!$A:$AT,MATCH($T$1,'Data qoq'!$A$1:$AT$1,),)</f>
        <v>1.6252960380000001</v>
      </c>
      <c r="U40" s="25">
        <f>VLOOKUP(B40,'Data qoq'!$A:$AT,MATCH($U$1,'Data qoq'!$A$1:$AT$1,),)</f>
        <v>2.9117218239999998</v>
      </c>
      <c r="V40" s="25">
        <f>VLOOKUP(B40,'Data qoq'!$A:$AT,MATCH($V$1,'Data qoq'!$A$1:$AT$1,),)</f>
        <v>-1.1171500919999999</v>
      </c>
      <c r="W40" s="25">
        <f>VLOOKUP(B40,'Data qoq'!$A:$AT,MATCH($W$1,'Data qoq'!$A$1:$AT$1,),)</f>
        <v>3.0535506E-2</v>
      </c>
      <c r="X40" s="25">
        <f>VLOOKUP(B40,'Data qoq'!$A:$AT,MATCH($X$1,'Data qoq'!$A$1:$AT$1,),)</f>
        <v>0.81155748299999997</v>
      </c>
      <c r="Y40" s="25">
        <f>VLOOKUP(B40,'Data qoq'!$A:$AT,MATCH($Y$1,'Data qoq'!$A$1:$AT$1,),)</f>
        <v>1.1397468559999999</v>
      </c>
      <c r="Z40" s="25">
        <f>VLOOKUP(B40,'Data qoq'!$A:$AU,MATCH($Z$1,'Data qoq'!$A$1:$AU$1,),)</f>
        <v>2.1797396259999999</v>
      </c>
      <c r="AA40" s="25">
        <f>VLOOKUP(B40,'Data qoq'!$A:$AU,MATCH($AA$1,'Data qoq'!$A$1:$AU$1,),)</f>
        <v>0.90978482900000002</v>
      </c>
      <c r="AC40" s="26" t="str">
        <f t="shared" si="6"/>
        <v>2007-Q2</v>
      </c>
      <c r="AD40" s="27">
        <f t="shared" si="7"/>
        <v>-0.19961805200000005</v>
      </c>
      <c r="AE40" s="27"/>
    </row>
    <row r="41" spans="2:31" hidden="1" x14ac:dyDescent="0.2">
      <c r="B41" s="24" t="s">
        <v>307</v>
      </c>
      <c r="C41" s="25">
        <f>VLOOKUP(B41,'Data qoq'!$A:$AT,MATCH($C$1,'Data qoq'!$A$1:$AT$1,),)</f>
        <v>0.60230665699999997</v>
      </c>
      <c r="D41" s="25">
        <f>VLOOKUP(B41,'Data qoq'!$A:$AT,MATCH($D$1,'Data qoq'!$A$1:$AT$1,),)</f>
        <v>0</v>
      </c>
      <c r="E41" s="25">
        <f>VLOOKUP(B41,'Data qoq'!$A:$AT,MATCH($E$1,'Data qoq'!$A$1:$AT$1,),)</f>
        <v>0.457924</v>
      </c>
      <c r="F41" s="25">
        <f>VLOOKUP(B41,'Data qoq'!$A:$AT,MATCH($F$1,'Data qoq'!$A$1:$AT$1,),)</f>
        <v>-0.55265026699999997</v>
      </c>
      <c r="G41" s="25">
        <f>VLOOKUP(B41,'Data qoq'!$A:$AT,MATCH($G$1,'Data qoq'!$A$1:$AT$1,),)</f>
        <v>0.51807904400000004</v>
      </c>
      <c r="H41" s="25">
        <f>VLOOKUP(B41,'Data qoq'!$A:$AT,MATCH($H$1,'Data qoq'!$A$1:$AT$1,),)</f>
        <v>0.46079979700000001</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0.77943030099999999</v>
      </c>
      <c r="M41" s="25">
        <f>VLOOKUP(B41,'Data qoq'!$A:$AT,MATCH($M$1,'Data qoq'!$A$1:$AT$1,),)</f>
        <v>0.62939978799999996</v>
      </c>
      <c r="N41" s="25">
        <f>VLOOKUP(B41,'Data qoq'!$A:$AT,MATCH($N$1,'Data qoq'!$A$1:$AT$1,),)</f>
        <v>2.2051103799999998</v>
      </c>
      <c r="O41" s="25">
        <f>VLOOKUP(B41,'Data qoq'!$A:$AT,MATCH($C$1,'Data qoq'!$J$1:$AT$1,),)</f>
        <v>0.74416322499999998</v>
      </c>
      <c r="P41" s="25">
        <f>VLOOKUP(B41,'Data qoq'!$A:$AT,MATCH($P$1,'Data qoq'!$A$1:$AT$1,),)</f>
        <v>0.41985457500000001</v>
      </c>
      <c r="Q41" s="25">
        <f>VLOOKUP(B41,'Data qoq'!$A:$AT,MATCH($Q$1,'Data qoq'!$A$1:$AT$1,),)</f>
        <v>1.139659837</v>
      </c>
      <c r="R41" s="25">
        <f>VLOOKUP(B41,'Data qoq'!$A:$AT,MATCH($E$1,'Data qoq'!$A$1:$AT$1,),)</f>
        <v>0.457924</v>
      </c>
      <c r="S41" s="25">
        <f>VLOOKUP(B41,'Data qoq'!$A:$AT,MATCH($S$1,'Data qoq'!$A$1:$AT$1,),)</f>
        <v>1.173831453</v>
      </c>
      <c r="T41" s="25">
        <f>VLOOKUP(B41,'Data qoq'!$A:$AT,MATCH($T$1,'Data qoq'!$A$1:$AT$1,),)</f>
        <v>0.97813232000000006</v>
      </c>
      <c r="U41" s="25">
        <f>VLOOKUP(B41,'Data qoq'!$A:$AT,MATCH($U$1,'Data qoq'!$A$1:$AT$1,),)</f>
        <v>-0.62311345799999995</v>
      </c>
      <c r="V41" s="25">
        <f>VLOOKUP(B41,'Data qoq'!$A:$AT,MATCH($V$1,'Data qoq'!$A$1:$AT$1,),)</f>
        <v>-2.6280302500000001</v>
      </c>
      <c r="W41" s="25">
        <f>VLOOKUP(B41,'Data qoq'!$A:$AT,MATCH($W$1,'Data qoq'!$A$1:$AT$1,),)</f>
        <v>0.58639459900000002</v>
      </c>
      <c r="X41" s="25">
        <f>VLOOKUP(B41,'Data qoq'!$A:$AT,MATCH($X$1,'Data qoq'!$A$1:$AT$1,),)</f>
        <v>1.4058694810000001</v>
      </c>
      <c r="Y41" s="25">
        <f>VLOOKUP(B41,'Data qoq'!$A:$AT,MATCH($Y$1,'Data qoq'!$A$1:$AT$1,),)</f>
        <v>1.6971587260000001</v>
      </c>
      <c r="Z41" s="25">
        <f>VLOOKUP(B41,'Data qoq'!$A:$AU,MATCH($Z$1,'Data qoq'!$A$1:$AU$1,),)</f>
        <v>1.338005452</v>
      </c>
      <c r="AA41" s="25">
        <f>VLOOKUP(B41,'Data qoq'!$A:$AU,MATCH($AA$1,'Data qoq'!$A$1:$AU$1,),)</f>
        <v>0.74416322499999998</v>
      </c>
      <c r="AC41" s="26" t="str">
        <f t="shared" si="6"/>
        <v>2007-Q3</v>
      </c>
      <c r="AD41" s="27">
        <f t="shared" si="7"/>
        <v>8.4227612999999923E-2</v>
      </c>
      <c r="AE41" s="27"/>
    </row>
    <row r="42" spans="2:31" hidden="1" x14ac:dyDescent="0.2">
      <c r="B42" s="24" t="s">
        <v>308</v>
      </c>
      <c r="C42" s="25">
        <f>VLOOKUP(B42,'Data qoq'!$A:$AT,MATCH($C$1,'Data qoq'!$A$1:$AT$1,),)</f>
        <v>0.60964400299999999</v>
      </c>
      <c r="D42" s="25">
        <f>VLOOKUP(B42,'Data qoq'!$A:$AT,MATCH($D$1,'Data qoq'!$A$1:$AT$1,),)</f>
        <v>0</v>
      </c>
      <c r="E42" s="25">
        <f>VLOOKUP(B42,'Data qoq'!$A:$AT,MATCH($E$1,'Data qoq'!$A$1:$AT$1,),)</f>
        <v>0.51134400000000002</v>
      </c>
      <c r="F42" s="25">
        <f>VLOOKUP(B42,'Data qoq'!$A:$AT,MATCH($F$1,'Data qoq'!$A$1:$AT$1,),)</f>
        <v>0.44474868899999997</v>
      </c>
      <c r="G42" s="25">
        <f>VLOOKUP(B42,'Data qoq'!$A:$AT,MATCH($G$1,'Data qoq'!$A$1:$AT$1,),)</f>
        <v>0.64426386300000005</v>
      </c>
      <c r="H42" s="25">
        <f>VLOOKUP(B42,'Data qoq'!$A:$AT,MATCH($H$1,'Data qoq'!$A$1:$AT$1,),)</f>
        <v>0.19224417299999999</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1.1051490610000001</v>
      </c>
      <c r="M42" s="25">
        <f>VLOOKUP(B42,'Data qoq'!$A:$AT,MATCH($M$1,'Data qoq'!$A$1:$AT$1,),)</f>
        <v>0.39280005600000001</v>
      </c>
      <c r="N42" s="25">
        <f>VLOOKUP(B42,'Data qoq'!$A:$AT,MATCH($N$1,'Data qoq'!$A$1:$AT$1,),)</f>
        <v>3.193832161</v>
      </c>
      <c r="O42" s="25">
        <f>VLOOKUP(B42,'Data qoq'!$A:$AT,MATCH($C$1,'Data qoq'!$J$1:$AT$1,),)</f>
        <v>0.16437355400000001</v>
      </c>
      <c r="P42" s="25">
        <f>VLOOKUP(B42,'Data qoq'!$A:$AT,MATCH($P$1,'Data qoq'!$A$1:$AT$1,),)</f>
        <v>0.113617046</v>
      </c>
      <c r="Q42" s="25">
        <f>VLOOKUP(B42,'Data qoq'!$A:$AT,MATCH($Q$1,'Data qoq'!$A$1:$AT$1,),)</f>
        <v>0.40258814300000001</v>
      </c>
      <c r="R42" s="25">
        <f>VLOOKUP(B42,'Data qoq'!$A:$AT,MATCH($E$1,'Data qoq'!$A$1:$AT$1,),)</f>
        <v>0.51134400000000002</v>
      </c>
      <c r="S42" s="25">
        <f>VLOOKUP(B42,'Data qoq'!$A:$AT,MATCH($S$1,'Data qoq'!$A$1:$AT$1,),)</f>
        <v>2.156948555</v>
      </c>
      <c r="T42" s="25">
        <f>VLOOKUP(B42,'Data qoq'!$A:$AT,MATCH($T$1,'Data qoq'!$A$1:$AT$1,),)</f>
        <v>1.579871453</v>
      </c>
      <c r="U42" s="25">
        <f>VLOOKUP(B42,'Data qoq'!$A:$AT,MATCH($U$1,'Data qoq'!$A$1:$AT$1,),)</f>
        <v>-0.49587677200000002</v>
      </c>
      <c r="V42" s="25">
        <f>VLOOKUP(B42,'Data qoq'!$A:$AT,MATCH($V$1,'Data qoq'!$A$1:$AT$1,),)</f>
        <v>3.7226341399999998</v>
      </c>
      <c r="W42" s="25">
        <f>VLOOKUP(B42,'Data qoq'!$A:$AT,MATCH($W$1,'Data qoq'!$A$1:$AT$1,),)</f>
        <v>3.432599138</v>
      </c>
      <c r="X42" s="25">
        <f>VLOOKUP(B42,'Data qoq'!$A:$AT,MATCH($X$1,'Data qoq'!$A$1:$AT$1,),)</f>
        <v>1.303889735</v>
      </c>
      <c r="Y42" s="25">
        <f>VLOOKUP(B42,'Data qoq'!$A:$AT,MATCH($Y$1,'Data qoq'!$A$1:$AT$1,),)</f>
        <v>1.343488762</v>
      </c>
      <c r="Z42" s="25">
        <f>VLOOKUP(B42,'Data qoq'!$A:$AU,MATCH($Z$1,'Data qoq'!$A$1:$AU$1,),)</f>
        <v>3.0682279430000001</v>
      </c>
      <c r="AA42" s="25">
        <f>VLOOKUP(B42,'Data qoq'!$A:$AU,MATCH($AA$1,'Data qoq'!$A$1:$AU$1,),)</f>
        <v>0.16437355400000001</v>
      </c>
      <c r="AC42" s="26" t="str">
        <f t="shared" si="6"/>
        <v>2007-Q4</v>
      </c>
      <c r="AD42" s="27">
        <f t="shared" si="7"/>
        <v>-3.4619860000000058E-2</v>
      </c>
      <c r="AE42" s="27"/>
    </row>
    <row r="43" spans="2:31" hidden="1" x14ac:dyDescent="0.2">
      <c r="B43" s="24" t="s">
        <v>309</v>
      </c>
      <c r="C43" s="25">
        <f>VLOOKUP(B43,'Data qoq'!$A:$AT,MATCH($C$1,'Data qoq'!$A$1:$AT$1,),)</f>
        <v>-0.40742947400000001</v>
      </c>
      <c r="D43" s="25">
        <f>VLOOKUP(B43,'Data qoq'!$A:$AT,MATCH($D$1,'Data qoq'!$A$1:$AT$1,),)</f>
        <v>0</v>
      </c>
      <c r="E43" s="25">
        <f>VLOOKUP(B43,'Data qoq'!$A:$AT,MATCH($E$1,'Data qoq'!$A$1:$AT$1,),)</f>
        <v>0.50343199999999999</v>
      </c>
      <c r="F43" s="25">
        <f>VLOOKUP(B43,'Data qoq'!$A:$AT,MATCH($F$1,'Data qoq'!$A$1:$AT$1,),)</f>
        <v>0.369182081</v>
      </c>
      <c r="G43" s="25">
        <f>VLOOKUP(B43,'Data qoq'!$A:$AT,MATCH($G$1,'Data qoq'!$A$1:$AT$1,),)</f>
        <v>0.64015377699999998</v>
      </c>
      <c r="H43" s="25">
        <f>VLOOKUP(B43,'Data qoq'!$A:$AT,MATCH($H$1,'Data qoq'!$A$1:$AT$1,),)</f>
        <v>0.499162457</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-0.75449575300000005</v>
      </c>
      <c r="M43" s="25">
        <f>VLOOKUP(B43,'Data qoq'!$A:$AT,MATCH($M$1,'Data qoq'!$A$1:$AT$1,),)</f>
        <v>-0.20279578000000001</v>
      </c>
      <c r="N43" s="25">
        <f>VLOOKUP(B43,'Data qoq'!$A:$AT,MATCH($N$1,'Data qoq'!$A$1:$AT$1,),)</f>
        <v>2.653171822</v>
      </c>
      <c r="O43" s="25">
        <f>VLOOKUP(B43,'Data qoq'!$A:$AT,MATCH($C$1,'Data qoq'!$J$1:$AT$1,),)</f>
        <v>-0.31402581099999999</v>
      </c>
      <c r="P43" s="25">
        <f>VLOOKUP(B43,'Data qoq'!$A:$AT,MATCH($P$1,'Data qoq'!$A$1:$AT$1,),)</f>
        <v>7.6640567000000007E-2</v>
      </c>
      <c r="Q43" s="25">
        <f>VLOOKUP(B43,'Data qoq'!$A:$AT,MATCH($Q$1,'Data qoq'!$A$1:$AT$1,),)</f>
        <v>1.0502205090000001</v>
      </c>
      <c r="R43" s="25">
        <f>VLOOKUP(B43,'Data qoq'!$A:$AT,MATCH($E$1,'Data qoq'!$A$1:$AT$1,),)</f>
        <v>0.50343199999999999</v>
      </c>
      <c r="S43" s="25">
        <f>VLOOKUP(B43,'Data qoq'!$A:$AT,MATCH($S$1,'Data qoq'!$A$1:$AT$1,),)</f>
        <v>0.40239485800000002</v>
      </c>
      <c r="T43" s="25">
        <f>VLOOKUP(B43,'Data qoq'!$A:$AT,MATCH($T$1,'Data qoq'!$A$1:$AT$1,),)</f>
        <v>1.2308205860000001</v>
      </c>
      <c r="U43" s="25">
        <f>VLOOKUP(B43,'Data qoq'!$A:$AT,MATCH($U$1,'Data qoq'!$A$1:$AT$1,),)</f>
        <v>0.61159760600000002</v>
      </c>
      <c r="V43" s="25">
        <f>VLOOKUP(B43,'Data qoq'!$A:$AT,MATCH($V$1,'Data qoq'!$A$1:$AT$1,),)</f>
        <v>-2.5107349970000001</v>
      </c>
      <c r="W43" s="25">
        <f>VLOOKUP(B43,'Data qoq'!$A:$AT,MATCH($W$1,'Data qoq'!$A$1:$AT$1,),)</f>
        <v>2.1064921079999999</v>
      </c>
      <c r="X43" s="25">
        <f>VLOOKUP(B43,'Data qoq'!$A:$AT,MATCH($X$1,'Data qoq'!$A$1:$AT$1,),)</f>
        <v>0.47042799299999999</v>
      </c>
      <c r="Y43" s="25">
        <f>VLOOKUP(B43,'Data qoq'!$A:$AT,MATCH($Y$1,'Data qoq'!$A$1:$AT$1,),)</f>
        <v>1.9177004600000001</v>
      </c>
      <c r="Z43" s="25">
        <f>VLOOKUP(B43,'Data qoq'!$A:$AU,MATCH($Z$1,'Data qoq'!$A$1:$AU$1,),)</f>
        <v>0.94463542700000003</v>
      </c>
      <c r="AA43" s="25">
        <f>VLOOKUP(B43,'Data qoq'!$A:$AU,MATCH($AA$1,'Data qoq'!$A$1:$AU$1,),)</f>
        <v>-0.31402581099999999</v>
      </c>
      <c r="AC43" s="26" t="str">
        <f t="shared" ref="AC43:AC74" si="8">B43</f>
        <v>2008-Q1</v>
      </c>
      <c r="AD43" s="27">
        <f t="shared" ref="AD43:AD74" si="9">(VLOOKUP(AC43,B:Y,MATCH($AE$6,$B$1:$Y$1,),))-(VLOOKUP(AC43,B:Y,MATCH($AE$7,$B$1:$Y$1,),))</f>
        <v>-1.047583251</v>
      </c>
      <c r="AE43" s="27"/>
    </row>
    <row r="44" spans="2:31" hidden="1" x14ac:dyDescent="0.2">
      <c r="B44" s="24" t="s">
        <v>310</v>
      </c>
      <c r="C44" s="25">
        <f>VLOOKUP(B44,'Data qoq'!$A:$AT,MATCH($C$1,'Data qoq'!$A$1:$AT$1,),)</f>
        <v>0.57229534500000001</v>
      </c>
      <c r="D44" s="25">
        <f>VLOOKUP(B44,'Data qoq'!$A:$AT,MATCH($D$1,'Data qoq'!$A$1:$AT$1,),)</f>
        <v>0</v>
      </c>
      <c r="E44" s="25">
        <f>VLOOKUP(B44,'Data qoq'!$A:$AT,MATCH($E$1,'Data qoq'!$A$1:$AT$1,),)</f>
        <v>-0.33488899999999999</v>
      </c>
      <c r="F44" s="25">
        <f>VLOOKUP(B44,'Data qoq'!$A:$AT,MATCH($F$1,'Data qoq'!$A$1:$AT$1,),)</f>
        <v>-0.59561121400000006</v>
      </c>
      <c r="G44" s="25">
        <f>VLOOKUP(B44,'Data qoq'!$A:$AT,MATCH($G$1,'Data qoq'!$A$1:$AT$1,),)</f>
        <v>-0.243822487</v>
      </c>
      <c r="H44" s="25">
        <f>VLOOKUP(B44,'Data qoq'!$A:$AT,MATCH($H$1,'Data qoq'!$A$1:$AT$1,),)</f>
        <v>-0.54580195300000001</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-6.9511605000000004E-2</v>
      </c>
      <c r="M44" s="25">
        <f>VLOOKUP(B44,'Data qoq'!$A:$AT,MATCH($M$1,'Data qoq'!$A$1:$AT$1,),)</f>
        <v>0.77265633700000003</v>
      </c>
      <c r="N44" s="25">
        <f>VLOOKUP(B44,'Data qoq'!$A:$AT,MATCH($N$1,'Data qoq'!$A$1:$AT$1,),)</f>
        <v>0.62160239399999995</v>
      </c>
      <c r="O44" s="25">
        <f>VLOOKUP(B44,'Data qoq'!$A:$AT,MATCH($C$1,'Data qoq'!$J$1:$AT$1,),)</f>
        <v>-0.30078855399999999</v>
      </c>
      <c r="P44" s="25">
        <f>VLOOKUP(B44,'Data qoq'!$A:$AT,MATCH($P$1,'Data qoq'!$A$1:$AT$1,),)</f>
        <v>0.36167189700000002</v>
      </c>
      <c r="Q44" s="25">
        <f>VLOOKUP(B44,'Data qoq'!$A:$AT,MATCH($Q$1,'Data qoq'!$A$1:$AT$1,),)</f>
        <v>0.28901886799999998</v>
      </c>
      <c r="R44" s="25">
        <f>VLOOKUP(B44,'Data qoq'!$A:$AT,MATCH($E$1,'Data qoq'!$A$1:$AT$1,),)</f>
        <v>-0.33488899999999999</v>
      </c>
      <c r="S44" s="25">
        <f>VLOOKUP(B44,'Data qoq'!$A:$AT,MATCH($S$1,'Data qoq'!$A$1:$AT$1,),)</f>
        <v>0.52347300299999999</v>
      </c>
      <c r="T44" s="25">
        <f>VLOOKUP(B44,'Data qoq'!$A:$AT,MATCH($T$1,'Data qoq'!$A$1:$AT$1,),)</f>
        <v>2.0952152580000001</v>
      </c>
      <c r="U44" s="25">
        <f>VLOOKUP(B44,'Data qoq'!$A:$AT,MATCH($U$1,'Data qoq'!$A$1:$AT$1,),)</f>
        <v>-0.63973648299999997</v>
      </c>
      <c r="V44" s="25">
        <f>VLOOKUP(B44,'Data qoq'!$A:$AT,MATCH($V$1,'Data qoq'!$A$1:$AT$1,),)</f>
        <v>-1.6385712699999999</v>
      </c>
      <c r="W44" s="25">
        <f>VLOOKUP(B44,'Data qoq'!$A:$AT,MATCH($W$1,'Data qoq'!$A$1:$AT$1,),)</f>
        <v>-3.5485985709999999</v>
      </c>
      <c r="X44" s="25">
        <f>VLOOKUP(B44,'Data qoq'!$A:$AT,MATCH($X$1,'Data qoq'!$A$1:$AT$1,),)</f>
        <v>0.72075756000000002</v>
      </c>
      <c r="Y44" s="25">
        <f>VLOOKUP(B44,'Data qoq'!$A:$AT,MATCH($Y$1,'Data qoq'!$A$1:$AT$1,),)</f>
        <v>0.243079668</v>
      </c>
      <c r="Z44" s="25">
        <f>VLOOKUP(B44,'Data qoq'!$A:$AU,MATCH($Z$1,'Data qoq'!$A$1:$AU$1,),)</f>
        <v>0.51202974400000001</v>
      </c>
      <c r="AA44" s="25">
        <f>VLOOKUP(B44,'Data qoq'!$A:$AU,MATCH($AA$1,'Data qoq'!$A$1:$AU$1,),)</f>
        <v>-0.30078855399999999</v>
      </c>
      <c r="AC44" s="26" t="str">
        <f t="shared" si="8"/>
        <v>2008-Q2</v>
      </c>
      <c r="AD44" s="27">
        <f t="shared" si="9"/>
        <v>0.81611783199999999</v>
      </c>
      <c r="AE44" s="27"/>
    </row>
    <row r="45" spans="2:31" hidden="1" x14ac:dyDescent="0.2">
      <c r="B45" s="24" t="s">
        <v>311</v>
      </c>
      <c r="C45" s="25">
        <f>VLOOKUP(B45,'Data qoq'!$A:$AT,MATCH($C$1,'Data qoq'!$A$1:$AT$1,),)</f>
        <v>-0.52689290200000005</v>
      </c>
      <c r="D45" s="25">
        <f>VLOOKUP(B45,'Data qoq'!$A:$AT,MATCH($D$1,'Data qoq'!$A$1:$AT$1,),)</f>
        <v>0</v>
      </c>
      <c r="E45" s="25">
        <f>VLOOKUP(B45,'Data qoq'!$A:$AT,MATCH($E$1,'Data qoq'!$A$1:$AT$1,),)</f>
        <v>-0.52366000000000001</v>
      </c>
      <c r="F45" s="25">
        <f>VLOOKUP(B45,'Data qoq'!$A:$AT,MATCH($F$1,'Data qoq'!$A$1:$AT$1,),)</f>
        <v>-1.2621231829999999</v>
      </c>
      <c r="G45" s="25">
        <f>VLOOKUP(B45,'Data qoq'!$A:$AT,MATCH($G$1,'Data qoq'!$A$1:$AT$1,),)</f>
        <v>-0.63762393399999995</v>
      </c>
      <c r="H45" s="25">
        <f>VLOOKUP(B45,'Data qoq'!$A:$AT,MATCH($H$1,'Data qoq'!$A$1:$AT$1,),)</f>
        <v>-0.19585153399999999</v>
      </c>
      <c r="I45" s="25">
        <f>VLOOKUP(B45,'Data qoq'!$A:$AT,MATCH($I$1,'Data qoq'!$A$1:$AT$1,),)</f>
        <v>-1.513153285</v>
      </c>
      <c r="J45" s="25">
        <f>VLOOKUP(B45,'Data qoq'!$A:$AT,MATCH($J$1,'Data qoq'!$A$1:$AT$1,),)</f>
        <v>-1.26543473</v>
      </c>
      <c r="K45" s="25">
        <f>VLOOKUP(B45,'Data qoq'!$A:$AT,MATCH($K$1,'Data qoq'!$A$1:$AT$1,),)</f>
        <v>-0.18271267899999999</v>
      </c>
      <c r="L45" s="25">
        <f>VLOOKUP(B45,'Data qoq'!$A:$AT,MATCH($L$1,'Data qoq'!$A$1:$AT$1,),)</f>
        <v>-0.48261230199999999</v>
      </c>
      <c r="M45" s="25">
        <f>VLOOKUP(B45,'Data qoq'!$A:$AT,MATCH($M$1,'Data qoq'!$A$1:$AT$1,),)</f>
        <v>0.31633898900000001</v>
      </c>
      <c r="N45" s="25">
        <f>VLOOKUP(B45,'Data qoq'!$A:$AT,MATCH($N$1,'Data qoq'!$A$1:$AT$1,),)</f>
        <v>-1.490668597</v>
      </c>
      <c r="O45" s="25">
        <f>VLOOKUP(B45,'Data qoq'!$A:$AT,MATCH($C$1,'Data qoq'!$J$1:$AT$1,),)</f>
        <v>-0.34042726699999998</v>
      </c>
      <c r="P45" s="25">
        <f>VLOOKUP(B45,'Data qoq'!$A:$AT,MATCH($P$1,'Data qoq'!$A$1:$AT$1,),)</f>
        <v>0.82004401199999999</v>
      </c>
      <c r="Q45" s="25">
        <f>VLOOKUP(B45,'Data qoq'!$A:$AT,MATCH($Q$1,'Data qoq'!$A$1:$AT$1,),)</f>
        <v>0.72309913199999998</v>
      </c>
      <c r="R45" s="25">
        <f>VLOOKUP(B45,'Data qoq'!$A:$AT,MATCH($E$1,'Data qoq'!$A$1:$AT$1,),)</f>
        <v>-0.52366000000000001</v>
      </c>
      <c r="S45" s="25">
        <f>VLOOKUP(B45,'Data qoq'!$A:$AT,MATCH($S$1,'Data qoq'!$A$1:$AT$1,),)</f>
        <v>0.81588104299999997</v>
      </c>
      <c r="T45" s="25">
        <f>VLOOKUP(B45,'Data qoq'!$A:$AT,MATCH($T$1,'Data qoq'!$A$1:$AT$1,),)</f>
        <v>1.5759908789999999</v>
      </c>
      <c r="U45" s="25">
        <f>VLOOKUP(B45,'Data qoq'!$A:$AT,MATCH($U$1,'Data qoq'!$A$1:$AT$1,),)</f>
        <v>-9.7483140999999995E-2</v>
      </c>
      <c r="V45" s="25">
        <f>VLOOKUP(B45,'Data qoq'!$A:$AT,MATCH($V$1,'Data qoq'!$A$1:$AT$1,),)</f>
        <v>-1.2200550889999999</v>
      </c>
      <c r="W45" s="25">
        <f>VLOOKUP(B45,'Data qoq'!$A:$AT,MATCH($W$1,'Data qoq'!$A$1:$AT$1,),)</f>
        <v>-1.8168699740000001</v>
      </c>
      <c r="X45" s="25">
        <f>VLOOKUP(B45,'Data qoq'!$A:$AT,MATCH($X$1,'Data qoq'!$A$1:$AT$1,),)</f>
        <v>0.24770763000000001</v>
      </c>
      <c r="Y45" s="25">
        <f>VLOOKUP(B45,'Data qoq'!$A:$AT,MATCH($Y$1,'Data qoq'!$A$1:$AT$1,),)</f>
        <v>-0.33657292500000002</v>
      </c>
      <c r="Z45" s="25">
        <f>VLOOKUP(B45,'Data qoq'!$A:$AU,MATCH($Z$1,'Data qoq'!$A$1:$AU$1,),)</f>
        <v>0.77832267600000005</v>
      </c>
      <c r="AA45" s="25">
        <f>VLOOKUP(B45,'Data qoq'!$A:$AU,MATCH($AA$1,'Data qoq'!$A$1:$AU$1,),)</f>
        <v>-0.34042726699999998</v>
      </c>
      <c r="AC45" s="26" t="str">
        <f t="shared" si="8"/>
        <v>2008-Q3</v>
      </c>
      <c r="AD45" s="27">
        <f t="shared" si="9"/>
        <v>0.1107310319999999</v>
      </c>
      <c r="AE45" s="27"/>
    </row>
    <row r="46" spans="2:31" hidden="1" x14ac:dyDescent="0.2">
      <c r="B46" s="24" t="s">
        <v>312</v>
      </c>
      <c r="C46" s="25">
        <f>VLOOKUP(B46,'Data qoq'!$A:$AT,MATCH($C$1,'Data qoq'!$A$1:$AT$1,),)</f>
        <v>-2.1830971479999999</v>
      </c>
      <c r="D46" s="25">
        <f>VLOOKUP(B46,'Data qoq'!$A:$AT,MATCH($D$1,'Data qoq'!$A$1:$AT$1,),)</f>
        <v>0</v>
      </c>
      <c r="E46" s="25">
        <f>VLOOKUP(B46,'Data qoq'!$A:$AT,MATCH($E$1,'Data qoq'!$A$1:$AT$1,),)</f>
        <v>-1.8015369999999999</v>
      </c>
      <c r="F46" s="25">
        <f>VLOOKUP(B46,'Data qoq'!$A:$AT,MATCH($F$1,'Data qoq'!$A$1:$AT$1,),)</f>
        <v>-2.4427255680000002</v>
      </c>
      <c r="G46" s="25">
        <f>VLOOKUP(B46,'Data qoq'!$A:$AT,MATCH($G$1,'Data qoq'!$A$1:$AT$1,),)</f>
        <v>-1.5935872600000001</v>
      </c>
      <c r="H46" s="25">
        <f>VLOOKUP(B46,'Data qoq'!$A:$AT,MATCH($H$1,'Data qoq'!$A$1:$AT$1,),)</f>
        <v>-1.4978335119999999</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-3.582443348</v>
      </c>
      <c r="M46" s="25">
        <f>VLOOKUP(B46,'Data qoq'!$A:$AT,MATCH($M$1,'Data qoq'!$A$1:$AT$1,),)</f>
        <v>-1.632364902</v>
      </c>
      <c r="N46" s="25">
        <f>VLOOKUP(B46,'Data qoq'!$A:$AT,MATCH($N$1,'Data qoq'!$A$1:$AT$1,),)</f>
        <v>-3.252211484</v>
      </c>
      <c r="O46" s="25">
        <f>VLOOKUP(B46,'Data qoq'!$A:$AT,MATCH($C$1,'Data qoq'!$J$1:$AT$1,),)</f>
        <v>-0.67090756600000001</v>
      </c>
      <c r="P46" s="25">
        <f>VLOOKUP(B46,'Data qoq'!$A:$AT,MATCH($P$1,'Data qoq'!$A$1:$AT$1,),)</f>
        <v>-1.1595184890000001</v>
      </c>
      <c r="Q46" s="25">
        <f>VLOOKUP(B46,'Data qoq'!$A:$AT,MATCH($Q$1,'Data qoq'!$A$1:$AT$1,),)</f>
        <v>-0.46997471000000002</v>
      </c>
      <c r="R46" s="25">
        <f>VLOOKUP(B46,'Data qoq'!$A:$AT,MATCH($E$1,'Data qoq'!$A$1:$AT$1,),)</f>
        <v>-1.8015369999999999</v>
      </c>
      <c r="S46" s="25">
        <f>VLOOKUP(B46,'Data qoq'!$A:$AT,MATCH($S$1,'Data qoq'!$A$1:$AT$1,),)</f>
        <v>-3.2838893470000001</v>
      </c>
      <c r="T46" s="25">
        <f>VLOOKUP(B46,'Data qoq'!$A:$AT,MATCH($T$1,'Data qoq'!$A$1:$AT$1,),)</f>
        <v>-3.7670301849999999</v>
      </c>
      <c r="U46" s="25">
        <f>VLOOKUP(B46,'Data qoq'!$A:$AT,MATCH($U$1,'Data qoq'!$A$1:$AT$1,),)</f>
        <v>-1.397015176</v>
      </c>
      <c r="V46" s="25">
        <f>VLOOKUP(B46,'Data qoq'!$A:$AT,MATCH($V$1,'Data qoq'!$A$1:$AT$1,),)</f>
        <v>-4.6054847170000004</v>
      </c>
      <c r="W46" s="25">
        <f>VLOOKUP(B46,'Data qoq'!$A:$AT,MATCH($W$1,'Data qoq'!$A$1:$AT$1,),)</f>
        <v>-2.5400315510000002</v>
      </c>
      <c r="X46" s="25">
        <f>VLOOKUP(B46,'Data qoq'!$A:$AT,MATCH($X$1,'Data qoq'!$A$1:$AT$1,),)</f>
        <v>-1.975761103</v>
      </c>
      <c r="Y46" s="25">
        <f>VLOOKUP(B46,'Data qoq'!$A:$AT,MATCH($Y$1,'Data qoq'!$A$1:$AT$1,),)</f>
        <v>0.40488332599999999</v>
      </c>
      <c r="Z46" s="25">
        <f>VLOOKUP(B46,'Data qoq'!$A:$AU,MATCH($Z$1,'Data qoq'!$A$1:$AU$1,),)</f>
        <v>-4.6590209930000004</v>
      </c>
      <c r="AA46" s="25">
        <f>VLOOKUP(B46,'Data qoq'!$A:$AU,MATCH($AA$1,'Data qoq'!$A$1:$AU$1,),)</f>
        <v>-0.67090756600000001</v>
      </c>
      <c r="AC46" s="26" t="str">
        <f t="shared" si="8"/>
        <v>2008-Q4</v>
      </c>
      <c r="AD46" s="27">
        <f t="shared" si="9"/>
        <v>-0.58950988799999982</v>
      </c>
      <c r="AE46" s="27"/>
    </row>
    <row r="47" spans="2:31" hidden="1" x14ac:dyDescent="0.2">
      <c r="B47" s="24" t="s">
        <v>313</v>
      </c>
      <c r="C47" s="25">
        <f>VLOOKUP(B47,'Data qoq'!$A:$AT,MATCH($C$1,'Data qoq'!$A$1:$AT$1,),)</f>
        <v>-1.1657225309999999</v>
      </c>
      <c r="D47" s="25">
        <f>VLOOKUP(B47,'Data qoq'!$A:$AT,MATCH($D$1,'Data qoq'!$A$1:$AT$1,),)</f>
        <v>0</v>
      </c>
      <c r="E47" s="25">
        <f>VLOOKUP(B47,'Data qoq'!$A:$AT,MATCH($E$1,'Data qoq'!$A$1:$AT$1,),)</f>
        <v>-3.1257000000000001</v>
      </c>
      <c r="F47" s="25">
        <f>VLOOKUP(B47,'Data qoq'!$A:$AT,MATCH($F$1,'Data qoq'!$A$1:$AT$1,),)</f>
        <v>-4.7969516639999998</v>
      </c>
      <c r="G47" s="25">
        <f>VLOOKUP(B47,'Data qoq'!$A:$AT,MATCH($G$1,'Data qoq'!$A$1:$AT$1,),)</f>
        <v>-4.6844176649999998</v>
      </c>
      <c r="H47" s="25">
        <f>VLOOKUP(B47,'Data qoq'!$A:$AT,MATCH($H$1,'Data qoq'!$A$1:$AT$1,),)</f>
        <v>-1.6909278050000001</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-1.4389032049999999</v>
      </c>
      <c r="M47" s="25">
        <f>VLOOKUP(B47,'Data qoq'!$A:$AT,MATCH($M$1,'Data qoq'!$A$1:$AT$1,),)</f>
        <v>-5.1241096629999996</v>
      </c>
      <c r="N47" s="25">
        <f>VLOOKUP(B47,'Data qoq'!$A:$AT,MATCH($N$1,'Data qoq'!$A$1:$AT$1,),)</f>
        <v>-3.5269817579999998</v>
      </c>
      <c r="O47" s="25">
        <f>VLOOKUP(B47,'Data qoq'!$A:$AT,MATCH($C$1,'Data qoq'!$J$1:$AT$1,),)</f>
        <v>-1.0069809110000001</v>
      </c>
      <c r="P47" s="25">
        <f>VLOOKUP(B47,'Data qoq'!$A:$AT,MATCH($P$1,'Data qoq'!$A$1:$AT$1,),)</f>
        <v>-2.2596861829999999</v>
      </c>
      <c r="Q47" s="25">
        <f>VLOOKUP(B47,'Data qoq'!$A:$AT,MATCH($Q$1,'Data qoq'!$A$1:$AT$1,),)</f>
        <v>0.92257806799999997</v>
      </c>
      <c r="R47" s="25">
        <f>VLOOKUP(B47,'Data qoq'!$A:$AT,MATCH($E$1,'Data qoq'!$A$1:$AT$1,),)</f>
        <v>-3.1257000000000001</v>
      </c>
      <c r="S47" s="25">
        <f>VLOOKUP(B47,'Data qoq'!$A:$AT,MATCH($S$1,'Data qoq'!$A$1:$AT$1,),)</f>
        <v>8.9986722000000005E-2</v>
      </c>
      <c r="T47" s="25">
        <f>VLOOKUP(B47,'Data qoq'!$A:$AT,MATCH($T$1,'Data qoq'!$A$1:$AT$1,),)</f>
        <v>-1.3952588459999999</v>
      </c>
      <c r="U47" s="25">
        <f>VLOOKUP(B47,'Data qoq'!$A:$AT,MATCH($U$1,'Data qoq'!$A$1:$AT$1,),)</f>
        <v>-4.7477806170000001</v>
      </c>
      <c r="V47" s="25">
        <f>VLOOKUP(B47,'Data qoq'!$A:$AT,MATCH($V$1,'Data qoq'!$A$1:$AT$1,),)</f>
        <v>0.108674364</v>
      </c>
      <c r="W47" s="25">
        <f>VLOOKUP(B47,'Data qoq'!$A:$AT,MATCH($W$1,'Data qoq'!$A$1:$AT$1,),)</f>
        <v>-5.6640195660000003</v>
      </c>
      <c r="X47" s="25">
        <f>VLOOKUP(B47,'Data qoq'!$A:$AT,MATCH($X$1,'Data qoq'!$A$1:$AT$1,),)</f>
        <v>-3.3489163249999998</v>
      </c>
      <c r="Y47" s="25">
        <f>VLOOKUP(B47,'Data qoq'!$A:$AT,MATCH($Y$1,'Data qoq'!$A$1:$AT$1,),)</f>
        <v>1.5787712359999999</v>
      </c>
      <c r="Z47" s="25">
        <f>VLOOKUP(B47,'Data qoq'!$A:$AU,MATCH($Z$1,'Data qoq'!$A$1:$AU$1,),)</f>
        <v>-3.6752578250000001</v>
      </c>
      <c r="AA47" s="25">
        <f>VLOOKUP(B47,'Data qoq'!$A:$AU,MATCH($AA$1,'Data qoq'!$A$1:$AU$1,),)</f>
        <v>-1.0069809110000001</v>
      </c>
      <c r="AC47" s="26" t="str">
        <f t="shared" si="8"/>
        <v>2009-Q1</v>
      </c>
      <c r="AD47" s="27">
        <f t="shared" si="9"/>
        <v>3.5186951339999997</v>
      </c>
      <c r="AE47" s="27"/>
    </row>
    <row r="48" spans="2:31" hidden="1" x14ac:dyDescent="0.2">
      <c r="B48" s="24" t="s">
        <v>314</v>
      </c>
      <c r="C48" s="25">
        <f>VLOOKUP(B48,'Data qoq'!$A:$AT,MATCH($C$1,'Data qoq'!$A$1:$AT$1,),)</f>
        <v>-0.16923813900000001</v>
      </c>
      <c r="D48" s="25">
        <f>VLOOKUP(B48,'Data qoq'!$A:$AT,MATCH($D$1,'Data qoq'!$A$1:$AT$1,),)</f>
        <v>0</v>
      </c>
      <c r="E48" s="25">
        <f>VLOOKUP(B48,'Data qoq'!$A:$AT,MATCH($E$1,'Data qoq'!$A$1:$AT$1,),)</f>
        <v>8.1460000000000005E-3</v>
      </c>
      <c r="F48" s="25">
        <f>VLOOKUP(B48,'Data qoq'!$A:$AT,MATCH($F$1,'Data qoq'!$A$1:$AT$1,),)</f>
        <v>1.9355955819999999</v>
      </c>
      <c r="G48" s="25">
        <f>VLOOKUP(B48,'Data qoq'!$A:$AT,MATCH($G$1,'Data qoq'!$A$1:$AT$1,),)</f>
        <v>0.15963164899999999</v>
      </c>
      <c r="H48" s="25">
        <f>VLOOKUP(B48,'Data qoq'!$A:$AT,MATCH($H$1,'Data qoq'!$A$1:$AT$1,),)</f>
        <v>-1.2958452000000001E-2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4.3123790000000002E-2</v>
      </c>
      <c r="M48" s="25">
        <f>VLOOKUP(B48,'Data qoq'!$A:$AT,MATCH($M$1,'Data qoq'!$A$1:$AT$1,),)</f>
        <v>-1.476238894</v>
      </c>
      <c r="N48" s="25">
        <f>VLOOKUP(B48,'Data qoq'!$A:$AT,MATCH($N$1,'Data qoq'!$A$1:$AT$1,),)</f>
        <v>-1.4588607810000001</v>
      </c>
      <c r="O48" s="25">
        <f>VLOOKUP(B48,'Data qoq'!$A:$AT,MATCH($C$1,'Data qoq'!$J$1:$AT$1,),)</f>
        <v>-5.4085538000000002E-2</v>
      </c>
      <c r="P48" s="25">
        <f>VLOOKUP(B48,'Data qoq'!$A:$AT,MATCH($P$1,'Data qoq'!$A$1:$AT$1,),)</f>
        <v>-1.0912585960000001</v>
      </c>
      <c r="Q48" s="25">
        <f>VLOOKUP(B48,'Data qoq'!$A:$AT,MATCH($Q$1,'Data qoq'!$A$1:$AT$1,),)</f>
        <v>0.74178220399999995</v>
      </c>
      <c r="R48" s="25">
        <f>VLOOKUP(B48,'Data qoq'!$A:$AT,MATCH($E$1,'Data qoq'!$A$1:$AT$1,),)</f>
        <v>8.1460000000000005E-3</v>
      </c>
      <c r="S48" s="25">
        <f>VLOOKUP(B48,'Data qoq'!$A:$AT,MATCH($S$1,'Data qoq'!$A$1:$AT$1,),)</f>
        <v>1.332777638</v>
      </c>
      <c r="T48" s="25">
        <f>VLOOKUP(B48,'Data qoq'!$A:$AT,MATCH($T$1,'Data qoq'!$A$1:$AT$1,),)</f>
        <v>1.790765476</v>
      </c>
      <c r="U48" s="25">
        <f>VLOOKUP(B48,'Data qoq'!$A:$AT,MATCH($U$1,'Data qoq'!$A$1:$AT$1,),)</f>
        <v>2.7768419029999998</v>
      </c>
      <c r="V48" s="25">
        <f>VLOOKUP(B48,'Data qoq'!$A:$AT,MATCH($V$1,'Data qoq'!$A$1:$AT$1,),)</f>
        <v>4.0076638999999997E-2</v>
      </c>
      <c r="W48" s="25">
        <f>VLOOKUP(B48,'Data qoq'!$A:$AT,MATCH($W$1,'Data qoq'!$A$1:$AT$1,),)</f>
        <v>4.0069981370000001</v>
      </c>
      <c r="X48" s="25">
        <f>VLOOKUP(B48,'Data qoq'!$A:$AT,MATCH($X$1,'Data qoq'!$A$1:$AT$1,),)</f>
        <v>-0.38163602899999999</v>
      </c>
      <c r="Y48" s="25">
        <f>VLOOKUP(B48,'Data qoq'!$A:$AT,MATCH($Y$1,'Data qoq'!$A$1:$AT$1,),)</f>
        <v>4.6144546000000002E-2</v>
      </c>
      <c r="Z48" s="25">
        <f>VLOOKUP(B48,'Data qoq'!$A:$AU,MATCH($Z$1,'Data qoq'!$A$1:$AU$1,),)</f>
        <v>-2.2563163390000001</v>
      </c>
      <c r="AA48" s="25">
        <f>VLOOKUP(B48,'Data qoq'!$A:$AU,MATCH($AA$1,'Data qoq'!$A$1:$AU$1,),)</f>
        <v>-5.4085538000000002E-2</v>
      </c>
      <c r="AC48" s="26" t="str">
        <f t="shared" si="8"/>
        <v>2009-Q2</v>
      </c>
      <c r="AD48" s="27">
        <f t="shared" si="9"/>
        <v>-0.328869788</v>
      </c>
      <c r="AE48" s="27"/>
    </row>
    <row r="49" spans="2:31" hidden="1" x14ac:dyDescent="0.2">
      <c r="B49" s="24" t="s">
        <v>315</v>
      </c>
      <c r="C49" s="25">
        <f>VLOOKUP(B49,'Data qoq'!$A:$AT,MATCH($C$1,'Data qoq'!$A$1:$AT$1,),)</f>
        <v>0.36192999100000001</v>
      </c>
      <c r="D49" s="25">
        <f>VLOOKUP(B49,'Data qoq'!$A:$AT,MATCH($D$1,'Data qoq'!$A$1:$AT$1,),)</f>
        <v>0</v>
      </c>
      <c r="E49" s="25">
        <f>VLOOKUP(B49,'Data qoq'!$A:$AT,MATCH($E$1,'Data qoq'!$A$1:$AT$1,),)</f>
        <v>0.39462799999999998</v>
      </c>
      <c r="F49" s="25">
        <f>VLOOKUP(B49,'Data qoq'!$A:$AT,MATCH($F$1,'Data qoq'!$A$1:$AT$1,),)</f>
        <v>-6.1700505000000003E-2</v>
      </c>
      <c r="G49" s="25">
        <f>VLOOKUP(B49,'Data qoq'!$A:$AT,MATCH($G$1,'Data qoq'!$A$1:$AT$1,),)</f>
        <v>0.55783460900000004</v>
      </c>
      <c r="H49" s="25">
        <f>VLOOKUP(B49,'Data qoq'!$A:$AT,MATCH($H$1,'Data qoq'!$A$1:$AT$1,),)</f>
        <v>0.16482121599999999</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-4.5526841999999998E-2</v>
      </c>
      <c r="M49" s="25">
        <f>VLOOKUP(B49,'Data qoq'!$A:$AT,MATCH($M$1,'Data qoq'!$A$1:$AT$1,),)</f>
        <v>3.296504879</v>
      </c>
      <c r="N49" s="25">
        <f>VLOOKUP(B49,'Data qoq'!$A:$AT,MATCH($N$1,'Data qoq'!$A$1:$AT$1,),)</f>
        <v>0.41042516099999998</v>
      </c>
      <c r="O49" s="25">
        <f>VLOOKUP(B49,'Data qoq'!$A:$AT,MATCH($C$1,'Data qoq'!$J$1:$AT$1,),)</f>
        <v>0.495358615</v>
      </c>
      <c r="P49" s="25">
        <f>VLOOKUP(B49,'Data qoq'!$A:$AT,MATCH($P$1,'Data qoq'!$A$1:$AT$1,),)</f>
        <v>0.44993852000000001</v>
      </c>
      <c r="Q49" s="25">
        <f>VLOOKUP(B49,'Data qoq'!$A:$AT,MATCH($Q$1,'Data qoq'!$A$1:$AT$1,),)</f>
        <v>0.30471100299999998</v>
      </c>
      <c r="R49" s="25">
        <f>VLOOKUP(B49,'Data qoq'!$A:$AT,MATCH($E$1,'Data qoq'!$A$1:$AT$1,),)</f>
        <v>0.39462799999999998</v>
      </c>
      <c r="S49" s="25">
        <f>VLOOKUP(B49,'Data qoq'!$A:$AT,MATCH($S$1,'Data qoq'!$A$1:$AT$1,),)</f>
        <v>2.9926747850000002</v>
      </c>
      <c r="T49" s="25">
        <f>VLOOKUP(B49,'Data qoq'!$A:$AT,MATCH($T$1,'Data qoq'!$A$1:$AT$1,),)</f>
        <v>2.3513655880000002</v>
      </c>
      <c r="U49" s="25">
        <f>VLOOKUP(B49,'Data qoq'!$A:$AT,MATCH($U$1,'Data qoq'!$A$1:$AT$1,),)</f>
        <v>-0.72543689099999997</v>
      </c>
      <c r="V49" s="25">
        <f>VLOOKUP(B49,'Data qoq'!$A:$AT,MATCH($V$1,'Data qoq'!$A$1:$AT$1,),)</f>
        <v>-1.095576841</v>
      </c>
      <c r="W49" s="25">
        <f>VLOOKUP(B49,'Data qoq'!$A:$AT,MATCH($W$1,'Data qoq'!$A$1:$AT$1,),)</f>
        <v>2.3957610740000002</v>
      </c>
      <c r="X49" s="25">
        <f>VLOOKUP(B49,'Data qoq'!$A:$AT,MATCH($X$1,'Data qoq'!$A$1:$AT$1,),)</f>
        <v>0.47858265300000002</v>
      </c>
      <c r="Y49" s="25">
        <f>VLOOKUP(B49,'Data qoq'!$A:$AT,MATCH($Y$1,'Data qoq'!$A$1:$AT$1,),)</f>
        <v>0.57827747799999996</v>
      </c>
      <c r="Z49" s="25">
        <f>VLOOKUP(B49,'Data qoq'!$A:$AU,MATCH($Z$1,'Data qoq'!$A$1:$AU$1,),)</f>
        <v>3.9523638679999999</v>
      </c>
      <c r="AA49" s="25">
        <f>VLOOKUP(B49,'Data qoq'!$A:$AU,MATCH($AA$1,'Data qoq'!$A$1:$AU$1,),)</f>
        <v>0.495358615</v>
      </c>
      <c r="AC49" s="26" t="str">
        <f t="shared" si="8"/>
        <v>2009-Q3</v>
      </c>
      <c r="AD49" s="27">
        <f t="shared" si="9"/>
        <v>-0.19590461800000003</v>
      </c>
      <c r="AE49" s="27"/>
    </row>
    <row r="50" spans="2:31" hidden="1" x14ac:dyDescent="0.2">
      <c r="B50" s="24" t="s">
        <v>316</v>
      </c>
      <c r="C50" s="25">
        <f>VLOOKUP(B50,'Data qoq'!$A:$AT,MATCH($C$1,'Data qoq'!$A$1:$AT$1,),)</f>
        <v>1.0679619499999999</v>
      </c>
      <c r="D50" s="25">
        <f>VLOOKUP(B50,'Data qoq'!$A:$AT,MATCH($D$1,'Data qoq'!$A$1:$AT$1,),)</f>
        <v>0</v>
      </c>
      <c r="E50" s="25">
        <f>VLOOKUP(B50,'Data qoq'!$A:$AT,MATCH($E$1,'Data qoq'!$A$1:$AT$1,),)</f>
        <v>0.41628300000000001</v>
      </c>
      <c r="F50" s="25">
        <f>VLOOKUP(B50,'Data qoq'!$A:$AT,MATCH($F$1,'Data qoq'!$A$1:$AT$1,),)</f>
        <v>1.2645522330000001</v>
      </c>
      <c r="G50" s="25">
        <f>VLOOKUP(B50,'Data qoq'!$A:$AT,MATCH($G$1,'Data qoq'!$A$1:$AT$1,),)</f>
        <v>0.73587633399999997</v>
      </c>
      <c r="H50" s="25">
        <f>VLOOKUP(B50,'Data qoq'!$A:$AT,MATCH($H$1,'Data qoq'!$A$1:$AT$1,),)</f>
        <v>0.70713042800000003</v>
      </c>
      <c r="I50" s="25">
        <f>VLOOKUP(B50,'Data qoq'!$A:$AT,MATCH($I$1,'Data qoq'!$A$1:$AT$1,),)</f>
        <v>0.341005222</v>
      </c>
      <c r="J50" s="25">
        <f>VLOOKUP(B50,'Data qoq'!$A:$AT,MATCH($J$1,'Data qoq'!$A$1:$AT$1,),)</f>
        <v>0.32998136</v>
      </c>
      <c r="K50" s="25">
        <f>VLOOKUP(B50,'Data qoq'!$A:$AT,MATCH($K$1,'Data qoq'!$A$1:$AT$1,),)</f>
        <v>-3.523569E-2</v>
      </c>
      <c r="L50" s="25">
        <f>VLOOKUP(B50,'Data qoq'!$A:$AT,MATCH($L$1,'Data qoq'!$A$1:$AT$1,),)</f>
        <v>0.47456700699999999</v>
      </c>
      <c r="M50" s="25">
        <f>VLOOKUP(B50,'Data qoq'!$A:$AT,MATCH($M$1,'Data qoq'!$A$1:$AT$1,),)</f>
        <v>1.658656543</v>
      </c>
      <c r="N50" s="25">
        <f>VLOOKUP(B50,'Data qoq'!$A:$AT,MATCH($N$1,'Data qoq'!$A$1:$AT$1,),)</f>
        <v>1.0817084560000001</v>
      </c>
      <c r="O50" s="25">
        <f>VLOOKUP(B50,'Data qoq'!$A:$AT,MATCH($C$1,'Data qoq'!$J$1:$AT$1,),)</f>
        <v>1.2695717010000001</v>
      </c>
      <c r="P50" s="25">
        <f>VLOOKUP(B50,'Data qoq'!$A:$AT,MATCH($P$1,'Data qoq'!$A$1:$AT$1,),)</f>
        <v>1.1661570240000001</v>
      </c>
      <c r="Q50" s="25">
        <f>VLOOKUP(B50,'Data qoq'!$A:$AT,MATCH($Q$1,'Data qoq'!$A$1:$AT$1,),)</f>
        <v>0.75392357200000004</v>
      </c>
      <c r="R50" s="25">
        <f>VLOOKUP(B50,'Data qoq'!$A:$AT,MATCH($E$1,'Data qoq'!$A$1:$AT$1,),)</f>
        <v>0.41628300000000001</v>
      </c>
      <c r="S50" s="25">
        <f>VLOOKUP(B50,'Data qoq'!$A:$AT,MATCH($S$1,'Data qoq'!$A$1:$AT$1,),)</f>
        <v>0.74686754499999997</v>
      </c>
      <c r="T50" s="25">
        <f>VLOOKUP(B50,'Data qoq'!$A:$AT,MATCH($T$1,'Data qoq'!$A$1:$AT$1,),)</f>
        <v>2.5581032970000002</v>
      </c>
      <c r="U50" s="25">
        <f>VLOOKUP(B50,'Data qoq'!$A:$AT,MATCH($U$1,'Data qoq'!$A$1:$AT$1,),)</f>
        <v>0.128217041</v>
      </c>
      <c r="V50" s="25">
        <f>VLOOKUP(B50,'Data qoq'!$A:$AT,MATCH($V$1,'Data qoq'!$A$1:$AT$1,),)</f>
        <v>-3.5476147889999998</v>
      </c>
      <c r="W50" s="25">
        <f>VLOOKUP(B50,'Data qoq'!$A:$AT,MATCH($W$1,'Data qoq'!$A$1:$AT$1,),)</f>
        <v>1.9523571850000001</v>
      </c>
      <c r="X50" s="25">
        <f>VLOOKUP(B50,'Data qoq'!$A:$AT,MATCH($X$1,'Data qoq'!$A$1:$AT$1,),)</f>
        <v>6.8675372999999998E-2</v>
      </c>
      <c r="Y50" s="25">
        <f>VLOOKUP(B50,'Data qoq'!$A:$AT,MATCH($Y$1,'Data qoq'!$A$1:$AT$1,),)</f>
        <v>2.3966667359999998</v>
      </c>
      <c r="Z50" s="25">
        <f>VLOOKUP(B50,'Data qoq'!$A:$AU,MATCH($Z$1,'Data qoq'!$A$1:$AU$1,),)</f>
        <v>1.9148239840000001</v>
      </c>
      <c r="AA50" s="25">
        <f>VLOOKUP(B50,'Data qoq'!$A:$AU,MATCH($AA$1,'Data qoq'!$A$1:$AU$1,),)</f>
        <v>1.2695717010000001</v>
      </c>
      <c r="AC50" s="26" t="str">
        <f t="shared" si="8"/>
        <v>2009-Q4</v>
      </c>
      <c r="AD50" s="27">
        <f t="shared" si="9"/>
        <v>0.33208561599999997</v>
      </c>
      <c r="AE50" s="27"/>
    </row>
    <row r="51" spans="2:31" hidden="1" x14ac:dyDescent="0.2">
      <c r="B51" s="24" t="s">
        <v>317</v>
      </c>
      <c r="C51" s="25">
        <f>VLOOKUP(B51,'Data qoq'!$A:$AT,MATCH($C$1,'Data qoq'!$A$1:$AT$1,),)</f>
        <v>0.50005348100000002</v>
      </c>
      <c r="D51" s="25">
        <f>VLOOKUP(B51,'Data qoq'!$A:$AT,MATCH($D$1,'Data qoq'!$A$1:$AT$1,),)</f>
        <v>0</v>
      </c>
      <c r="E51" s="25">
        <f>VLOOKUP(B51,'Data qoq'!$A:$AT,MATCH($E$1,'Data qoq'!$A$1:$AT$1,),)</f>
        <v>0.429761</v>
      </c>
      <c r="F51" s="25">
        <f>VLOOKUP(B51,'Data qoq'!$A:$AT,MATCH($F$1,'Data qoq'!$A$1:$AT$1,),)</f>
        <v>1.062481067</v>
      </c>
      <c r="G51" s="25">
        <f>VLOOKUP(B51,'Data qoq'!$A:$AT,MATCH($G$1,'Data qoq'!$A$1:$AT$1,),)</f>
        <v>0.81202584799999999</v>
      </c>
      <c r="H51" s="25">
        <f>VLOOKUP(B51,'Data qoq'!$A:$AT,MATCH($H$1,'Data qoq'!$A$1:$AT$1,),)</f>
        <v>0.36070385599999999</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2.6502119529999999</v>
      </c>
      <c r="M51" s="25">
        <f>VLOOKUP(B51,'Data qoq'!$A:$AT,MATCH($M$1,'Data qoq'!$A$1:$AT$1,),)</f>
        <v>1.0468267120000001</v>
      </c>
      <c r="N51" s="25">
        <f>VLOOKUP(B51,'Data qoq'!$A:$AT,MATCH($N$1,'Data qoq'!$A$1:$AT$1,),)</f>
        <v>2.138462021</v>
      </c>
      <c r="O51" s="25">
        <f>VLOOKUP(B51,'Data qoq'!$A:$AT,MATCH($C$1,'Data qoq'!$J$1:$AT$1,),)</f>
        <v>0.32926355400000001</v>
      </c>
      <c r="P51" s="25">
        <f>VLOOKUP(B51,'Data qoq'!$A:$AT,MATCH($P$1,'Data qoq'!$A$1:$AT$1,),)</f>
        <v>1.206341487</v>
      </c>
      <c r="Q51" s="25">
        <f>VLOOKUP(B51,'Data qoq'!$A:$AT,MATCH($Q$1,'Data qoq'!$A$1:$AT$1,),)</f>
        <v>0.43654051199999999</v>
      </c>
      <c r="R51" s="25">
        <f>VLOOKUP(B51,'Data qoq'!$A:$AT,MATCH($E$1,'Data qoq'!$A$1:$AT$1,),)</f>
        <v>0.429761</v>
      </c>
      <c r="S51" s="25">
        <f>VLOOKUP(B51,'Data qoq'!$A:$AT,MATCH($S$1,'Data qoq'!$A$1:$AT$1,),)</f>
        <v>1.9590767389999999</v>
      </c>
      <c r="T51" s="25">
        <f>VLOOKUP(B51,'Data qoq'!$A:$AT,MATCH($T$1,'Data qoq'!$A$1:$AT$1,),)</f>
        <v>2.135050568</v>
      </c>
      <c r="U51" s="25">
        <f>VLOOKUP(B51,'Data qoq'!$A:$AT,MATCH($U$1,'Data qoq'!$A$1:$AT$1,),)</f>
        <v>-5.612631543</v>
      </c>
      <c r="V51" s="25">
        <f>VLOOKUP(B51,'Data qoq'!$A:$AT,MATCH($V$1,'Data qoq'!$A$1:$AT$1,),)</f>
        <v>4.351500562</v>
      </c>
      <c r="W51" s="25">
        <f>VLOOKUP(B51,'Data qoq'!$A:$AT,MATCH($W$1,'Data qoq'!$A$1:$AT$1,),)</f>
        <v>-0.29499498200000002</v>
      </c>
      <c r="X51" s="25">
        <f>VLOOKUP(B51,'Data qoq'!$A:$AT,MATCH($X$1,'Data qoq'!$A$1:$AT$1,),)</f>
        <v>0.68762807699999995</v>
      </c>
      <c r="Y51" s="25">
        <f>VLOOKUP(B51,'Data qoq'!$A:$AT,MATCH($Y$1,'Data qoq'!$A$1:$AT$1,),)</f>
        <v>-0.422487636</v>
      </c>
      <c r="Z51" s="25">
        <f>VLOOKUP(B51,'Data qoq'!$A:$AU,MATCH($Z$1,'Data qoq'!$A$1:$AU$1,),)</f>
        <v>3.002989388</v>
      </c>
      <c r="AA51" s="25">
        <f>VLOOKUP(B51,'Data qoq'!$A:$AU,MATCH($AA$1,'Data qoq'!$A$1:$AU$1,),)</f>
        <v>0.32926355400000001</v>
      </c>
      <c r="AC51" s="26" t="str">
        <f t="shared" si="8"/>
        <v>2010-Q1</v>
      </c>
      <c r="AD51" s="27">
        <f t="shared" si="9"/>
        <v>-0.31197236699999997</v>
      </c>
      <c r="AE51" s="27"/>
    </row>
    <row r="52" spans="2:31" hidden="1" x14ac:dyDescent="0.2">
      <c r="B52" s="24" t="s">
        <v>318</v>
      </c>
      <c r="C52" s="25">
        <f>VLOOKUP(B52,'Data qoq'!$A:$AT,MATCH($C$1,'Data qoq'!$A$1:$AT$1,),)</f>
        <v>0.96770463900000003</v>
      </c>
      <c r="D52" s="25">
        <f>VLOOKUP(B52,'Data qoq'!$A:$AT,MATCH($D$1,'Data qoq'!$A$1:$AT$1,),)</f>
        <v>0</v>
      </c>
      <c r="E52" s="25">
        <f>VLOOKUP(B52,'Data qoq'!$A:$AT,MATCH($E$1,'Data qoq'!$A$1:$AT$1,),)</f>
        <v>0.97653699999999999</v>
      </c>
      <c r="F52" s="25">
        <f>VLOOKUP(B52,'Data qoq'!$A:$AT,MATCH($F$1,'Data qoq'!$A$1:$AT$1,),)</f>
        <v>1.1806762909999999</v>
      </c>
      <c r="G52" s="25">
        <f>VLOOKUP(B52,'Data qoq'!$A:$AT,MATCH($G$1,'Data qoq'!$A$1:$AT$1,),)</f>
        <v>2.2519437099999999</v>
      </c>
      <c r="H52" s="25">
        <f>VLOOKUP(B52,'Data qoq'!$A:$AT,MATCH($H$1,'Data qoq'!$A$1:$AT$1,),)</f>
        <v>0.48054550000000001</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2.0598311319999998</v>
      </c>
      <c r="M52" s="25">
        <f>VLOOKUP(B52,'Data qoq'!$A:$AT,MATCH($M$1,'Data qoq'!$A$1:$AT$1,),)</f>
        <v>1.1066775339999999</v>
      </c>
      <c r="N52" s="25">
        <f>VLOOKUP(B52,'Data qoq'!$A:$AT,MATCH($N$1,'Data qoq'!$A$1:$AT$1,),)</f>
        <v>0.95009906200000005</v>
      </c>
      <c r="O52" s="25">
        <f>VLOOKUP(B52,'Data qoq'!$A:$AT,MATCH($C$1,'Data qoq'!$J$1:$AT$1,),)</f>
        <v>0.70732602200000005</v>
      </c>
      <c r="P52" s="25">
        <f>VLOOKUP(B52,'Data qoq'!$A:$AT,MATCH($P$1,'Data qoq'!$A$1:$AT$1,),)</f>
        <v>0.523260909</v>
      </c>
      <c r="Q52" s="25">
        <f>VLOOKUP(B52,'Data qoq'!$A:$AT,MATCH($Q$1,'Data qoq'!$A$1:$AT$1,),)</f>
        <v>0.67246190800000005</v>
      </c>
      <c r="R52" s="25">
        <f>VLOOKUP(B52,'Data qoq'!$A:$AT,MATCH($E$1,'Data qoq'!$A$1:$AT$1,),)</f>
        <v>0.97653699999999999</v>
      </c>
      <c r="S52" s="25">
        <f>VLOOKUP(B52,'Data qoq'!$A:$AT,MATCH($S$1,'Data qoq'!$A$1:$AT$1,),)</f>
        <v>1.899801372</v>
      </c>
      <c r="T52" s="25">
        <f>VLOOKUP(B52,'Data qoq'!$A:$AT,MATCH($T$1,'Data qoq'!$A$1:$AT$1,),)</f>
        <v>1.2096576530000001</v>
      </c>
      <c r="U52" s="25">
        <f>VLOOKUP(B52,'Data qoq'!$A:$AT,MATCH($U$1,'Data qoq'!$A$1:$AT$1,),)</f>
        <v>-3.7015732149999998</v>
      </c>
      <c r="V52" s="25">
        <f>VLOOKUP(B52,'Data qoq'!$A:$AT,MATCH($V$1,'Data qoq'!$A$1:$AT$1,),)</f>
        <v>0.68354005100000004</v>
      </c>
      <c r="W52" s="25">
        <f>VLOOKUP(B52,'Data qoq'!$A:$AT,MATCH($W$1,'Data qoq'!$A$1:$AT$1,),)</f>
        <v>3.8007093269999999</v>
      </c>
      <c r="X52" s="25">
        <f>VLOOKUP(B52,'Data qoq'!$A:$AT,MATCH($X$1,'Data qoq'!$A$1:$AT$1,),)</f>
        <v>1.2204761239999999</v>
      </c>
      <c r="Y52" s="25">
        <f>VLOOKUP(B52,'Data qoq'!$A:$AT,MATCH($Y$1,'Data qoq'!$A$1:$AT$1,),)</f>
        <v>1.5260696010000001</v>
      </c>
      <c r="Z52" s="25">
        <f>VLOOKUP(B52,'Data qoq'!$A:$AU,MATCH($Z$1,'Data qoq'!$A$1:$AU$1,),)</f>
        <v>4.436837487</v>
      </c>
      <c r="AA52" s="25">
        <f>VLOOKUP(B52,'Data qoq'!$A:$AU,MATCH($AA$1,'Data qoq'!$A$1:$AU$1,),)</f>
        <v>0.70732602200000005</v>
      </c>
      <c r="AC52" s="26" t="str">
        <f t="shared" si="8"/>
        <v>2010-Q2</v>
      </c>
      <c r="AD52" s="27">
        <f t="shared" si="9"/>
        <v>-1.284239071</v>
      </c>
      <c r="AE52" s="27"/>
    </row>
    <row r="53" spans="2:31" hidden="1" x14ac:dyDescent="0.2">
      <c r="B53" s="24" t="s">
        <v>319</v>
      </c>
      <c r="C53" s="25">
        <f>VLOOKUP(B53,'Data qoq'!$A:$AT,MATCH($C$1,'Data qoq'!$A$1:$AT$1,),)</f>
        <v>0.77314415000000003</v>
      </c>
      <c r="D53" s="25">
        <f>VLOOKUP(B53,'Data qoq'!$A:$AT,MATCH($D$1,'Data qoq'!$A$1:$AT$1,),)</f>
        <v>0</v>
      </c>
      <c r="E53" s="25">
        <f>VLOOKUP(B53,'Data qoq'!$A:$AT,MATCH($E$1,'Data qoq'!$A$1:$AT$1,),)</f>
        <v>0.42265399999999997</v>
      </c>
      <c r="F53" s="25">
        <f>VLOOKUP(B53,'Data qoq'!$A:$AT,MATCH($F$1,'Data qoq'!$A$1:$AT$1,),)</f>
        <v>1.7979798259999999</v>
      </c>
      <c r="G53" s="25">
        <f>VLOOKUP(B53,'Data qoq'!$A:$AT,MATCH($G$1,'Data qoq'!$A$1:$AT$1,),)</f>
        <v>0.81771223900000001</v>
      </c>
      <c r="H53" s="25">
        <f>VLOOKUP(B53,'Data qoq'!$A:$AT,MATCH($H$1,'Data qoq'!$A$1:$AT$1,),)</f>
        <v>0.61710960999999998</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1.235610173</v>
      </c>
      <c r="M53" s="25">
        <f>VLOOKUP(B53,'Data qoq'!$A:$AT,MATCH($M$1,'Data qoq'!$A$1:$AT$1,),)</f>
        <v>0.93904324100000003</v>
      </c>
      <c r="N53" s="25">
        <f>VLOOKUP(B53,'Data qoq'!$A:$AT,MATCH($N$1,'Data qoq'!$A$1:$AT$1,),)</f>
        <v>0.52351252500000001</v>
      </c>
      <c r="O53" s="25">
        <f>VLOOKUP(B53,'Data qoq'!$A:$AT,MATCH($C$1,'Data qoq'!$J$1:$AT$1,),)</f>
        <v>-0.248962656</v>
      </c>
      <c r="P53" s="25">
        <f>VLOOKUP(B53,'Data qoq'!$A:$AT,MATCH($P$1,'Data qoq'!$A$1:$AT$1,),)</f>
        <v>0.70869492199999995</v>
      </c>
      <c r="Q53" s="25">
        <f>VLOOKUP(B53,'Data qoq'!$A:$AT,MATCH($Q$1,'Data qoq'!$A$1:$AT$1,),)</f>
        <v>0.704138076</v>
      </c>
      <c r="R53" s="25">
        <f>VLOOKUP(B53,'Data qoq'!$A:$AT,MATCH($E$1,'Data qoq'!$A$1:$AT$1,),)</f>
        <v>0.42265399999999997</v>
      </c>
      <c r="S53" s="25">
        <f>VLOOKUP(B53,'Data qoq'!$A:$AT,MATCH($S$1,'Data qoq'!$A$1:$AT$1,),)</f>
        <v>1.1552150800000001</v>
      </c>
      <c r="T53" s="25">
        <f>VLOOKUP(B53,'Data qoq'!$A:$AT,MATCH($T$1,'Data qoq'!$A$1:$AT$1,),)</f>
        <v>0.90096897300000001</v>
      </c>
      <c r="U53" s="25">
        <f>VLOOKUP(B53,'Data qoq'!$A:$AT,MATCH($U$1,'Data qoq'!$A$1:$AT$1,),)</f>
        <v>-3.3031517180000001</v>
      </c>
      <c r="V53" s="25">
        <f>VLOOKUP(B53,'Data qoq'!$A:$AT,MATCH($V$1,'Data qoq'!$A$1:$AT$1,),)</f>
        <v>0.14018241000000001</v>
      </c>
      <c r="W53" s="25">
        <f>VLOOKUP(B53,'Data qoq'!$A:$AT,MATCH($W$1,'Data qoq'!$A$1:$AT$1,),)</f>
        <v>2.7707017839999999</v>
      </c>
      <c r="X53" s="25">
        <f>VLOOKUP(B53,'Data qoq'!$A:$AT,MATCH($X$1,'Data qoq'!$A$1:$AT$1,),)</f>
        <v>0.73307573999999998</v>
      </c>
      <c r="Y53" s="25">
        <f>VLOOKUP(B53,'Data qoq'!$A:$AT,MATCH($Y$1,'Data qoq'!$A$1:$AT$1,),)</f>
        <v>1.3185657150000001</v>
      </c>
      <c r="Z53" s="25">
        <f>VLOOKUP(B53,'Data qoq'!$A:$AU,MATCH($Z$1,'Data qoq'!$A$1:$AU$1,),)</f>
        <v>0.59966786699999997</v>
      </c>
      <c r="AA53" s="25">
        <f>VLOOKUP(B53,'Data qoq'!$A:$AU,MATCH($AA$1,'Data qoq'!$A$1:$AU$1,),)</f>
        <v>-0.248962656</v>
      </c>
      <c r="AC53" s="26" t="str">
        <f t="shared" si="8"/>
        <v>2010-Q3</v>
      </c>
      <c r="AD53" s="27">
        <f t="shared" si="9"/>
        <v>-4.4568088999999977E-2</v>
      </c>
      <c r="AE53" s="27"/>
    </row>
    <row r="54" spans="2:31" hidden="1" x14ac:dyDescent="0.2">
      <c r="B54" s="24" t="s">
        <v>320</v>
      </c>
      <c r="C54" s="25">
        <f>VLOOKUP(B54,'Data qoq'!$A:$AT,MATCH($C$1,'Data qoq'!$A$1:$AT$1,),)</f>
        <v>0.51959515899999997</v>
      </c>
      <c r="D54" s="25">
        <f>VLOOKUP(B54,'Data qoq'!$A:$AT,MATCH($D$1,'Data qoq'!$A$1:$AT$1,),)</f>
        <v>0</v>
      </c>
      <c r="E54" s="25">
        <f>VLOOKUP(B54,'Data qoq'!$A:$AT,MATCH($E$1,'Data qoq'!$A$1:$AT$1,),)</f>
        <v>0.594634</v>
      </c>
      <c r="F54" s="25">
        <f>VLOOKUP(B54,'Data qoq'!$A:$AT,MATCH($F$1,'Data qoq'!$A$1:$AT$1,),)</f>
        <v>-0.79450414700000005</v>
      </c>
      <c r="G54" s="25">
        <f>VLOOKUP(B54,'Data qoq'!$A:$AT,MATCH($G$1,'Data qoq'!$A$1:$AT$1,),)</f>
        <v>0.81107565000000004</v>
      </c>
      <c r="H54" s="25">
        <f>VLOOKUP(B54,'Data qoq'!$A:$AT,MATCH($H$1,'Data qoq'!$A$1:$AT$1,),)</f>
        <v>0.675902173</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1.592117169</v>
      </c>
      <c r="M54" s="25">
        <f>VLOOKUP(B54,'Data qoq'!$A:$AT,MATCH($M$1,'Data qoq'!$A$1:$AT$1,),)</f>
        <v>0.77312741299999999</v>
      </c>
      <c r="N54" s="25">
        <f>VLOOKUP(B54,'Data qoq'!$A:$AT,MATCH($N$1,'Data qoq'!$A$1:$AT$1,),)</f>
        <v>1.25698003</v>
      </c>
      <c r="O54" s="25">
        <f>VLOOKUP(B54,'Data qoq'!$A:$AT,MATCH($C$1,'Data qoq'!$J$1:$AT$1,),)</f>
        <v>-0.51945943800000005</v>
      </c>
      <c r="P54" s="25">
        <f>VLOOKUP(B54,'Data qoq'!$A:$AT,MATCH($P$1,'Data qoq'!$A$1:$AT$1,),)</f>
        <v>1.1175051540000001</v>
      </c>
      <c r="Q54" s="25">
        <f>VLOOKUP(B54,'Data qoq'!$A:$AT,MATCH($Q$1,'Data qoq'!$A$1:$AT$1,),)</f>
        <v>0.88004601199999999</v>
      </c>
      <c r="R54" s="25">
        <f>VLOOKUP(B54,'Data qoq'!$A:$AT,MATCH($E$1,'Data qoq'!$A$1:$AT$1,),)</f>
        <v>0.594634</v>
      </c>
      <c r="S54" s="25">
        <f>VLOOKUP(B54,'Data qoq'!$A:$AT,MATCH($S$1,'Data qoq'!$A$1:$AT$1,),)</f>
        <v>1.2193187110000001</v>
      </c>
      <c r="T54" s="25">
        <f>VLOOKUP(B54,'Data qoq'!$A:$AT,MATCH($T$1,'Data qoq'!$A$1:$AT$1,),)</f>
        <v>1.3897910609999999</v>
      </c>
      <c r="U54" s="25">
        <f>VLOOKUP(B54,'Data qoq'!$A:$AT,MATCH($U$1,'Data qoq'!$A$1:$AT$1,),)</f>
        <v>-0.76440787700000001</v>
      </c>
      <c r="V54" s="25">
        <f>VLOOKUP(B54,'Data qoq'!$A:$AT,MATCH($V$1,'Data qoq'!$A$1:$AT$1,),)</f>
        <v>-1.8373648339999999</v>
      </c>
      <c r="W54" s="25">
        <f>VLOOKUP(B54,'Data qoq'!$A:$AT,MATCH($W$1,'Data qoq'!$A$1:$AT$1,),)</f>
        <v>3.0231894029999999</v>
      </c>
      <c r="X54" s="25">
        <f>VLOOKUP(B54,'Data qoq'!$A:$AT,MATCH($X$1,'Data qoq'!$A$1:$AT$1,),)</f>
        <v>0.448272634</v>
      </c>
      <c r="Y54" s="25">
        <f>VLOOKUP(B54,'Data qoq'!$A:$AT,MATCH($Y$1,'Data qoq'!$A$1:$AT$1,),)</f>
        <v>0.97761131700000004</v>
      </c>
      <c r="Z54" s="25">
        <f>VLOOKUP(B54,'Data qoq'!$A:$AU,MATCH($Z$1,'Data qoq'!$A$1:$AU$1,),)</f>
        <v>1.3534866940000001</v>
      </c>
      <c r="AA54" s="25">
        <f>VLOOKUP(B54,'Data qoq'!$A:$AU,MATCH($AA$1,'Data qoq'!$A$1:$AU$1,),)</f>
        <v>-0.51945943800000005</v>
      </c>
      <c r="AC54" s="26" t="str">
        <f t="shared" si="8"/>
        <v>2010-Q4</v>
      </c>
      <c r="AD54" s="27">
        <f t="shared" si="9"/>
        <v>-0.29148049100000006</v>
      </c>
      <c r="AE54" s="27"/>
    </row>
    <row r="55" spans="2:31" hidden="1" x14ac:dyDescent="0.2">
      <c r="B55" s="24" t="s">
        <v>321</v>
      </c>
      <c r="C55" s="25">
        <f>VLOOKUP(B55,'Data qoq'!$A:$AT,MATCH($C$1,'Data qoq'!$A$1:$AT$1,),)</f>
        <v>-0.24091606800000001</v>
      </c>
      <c r="D55" s="25">
        <f>VLOOKUP(B55,'Data qoq'!$A:$AT,MATCH($D$1,'Data qoq'!$A$1:$AT$1,),)</f>
        <v>2.4</v>
      </c>
      <c r="E55" s="25">
        <f>VLOOKUP(B55,'Data qoq'!$A:$AT,MATCH($E$1,'Data qoq'!$A$1:$AT$1,),)</f>
        <v>0.90257699999999996</v>
      </c>
      <c r="F55" s="25">
        <f>VLOOKUP(B55,'Data qoq'!$A:$AT,MATCH($F$1,'Data qoq'!$A$1:$AT$1,),)</f>
        <v>-1.046482135</v>
      </c>
      <c r="G55" s="25">
        <f>VLOOKUP(B55,'Data qoq'!$A:$AT,MATCH($G$1,'Data qoq'!$A$1:$AT$1,),)</f>
        <v>1.9389699499999999</v>
      </c>
      <c r="H55" s="25">
        <f>VLOOKUP(B55,'Data qoq'!$A:$AT,MATCH($H$1,'Data qoq'!$A$1:$AT$1,),)</f>
        <v>1.0446347970000001</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0.37543236499999999</v>
      </c>
      <c r="M55" s="25">
        <f>VLOOKUP(B55,'Data qoq'!$A:$AT,MATCH($M$1,'Data qoq'!$A$1:$AT$1,),)</f>
        <v>0.75966126599999995</v>
      </c>
      <c r="N55" s="25">
        <f>VLOOKUP(B55,'Data qoq'!$A:$AT,MATCH($N$1,'Data qoq'!$A$1:$AT$1,),)</f>
        <v>1.155158313</v>
      </c>
      <c r="O55" s="25">
        <f>VLOOKUP(B55,'Data qoq'!$A:$AT,MATCH($C$1,'Data qoq'!$J$1:$AT$1,),)</f>
        <v>1.0912577000000001</v>
      </c>
      <c r="P55" s="25">
        <f>VLOOKUP(B55,'Data qoq'!$A:$AT,MATCH($P$1,'Data qoq'!$A$1:$AT$1,),)</f>
        <v>0.75534704399999997</v>
      </c>
      <c r="Q55" s="25">
        <f>VLOOKUP(B55,'Data qoq'!$A:$AT,MATCH($Q$1,'Data qoq'!$A$1:$AT$1,),)</f>
        <v>-0.29800953499999999</v>
      </c>
      <c r="R55" s="25">
        <f>VLOOKUP(B55,'Data qoq'!$A:$AT,MATCH($E$1,'Data qoq'!$A$1:$AT$1,),)</f>
        <v>0.90257699999999996</v>
      </c>
      <c r="S55" s="25">
        <f>VLOOKUP(B55,'Data qoq'!$A:$AT,MATCH($S$1,'Data qoq'!$A$1:$AT$1,),)</f>
        <v>0.933130719</v>
      </c>
      <c r="T55" s="25">
        <f>VLOOKUP(B55,'Data qoq'!$A:$AT,MATCH($T$1,'Data qoq'!$A$1:$AT$1,),)</f>
        <v>1.432717864</v>
      </c>
      <c r="U55" s="25">
        <f>VLOOKUP(B55,'Data qoq'!$A:$AT,MATCH($U$1,'Data qoq'!$A$1:$AT$1,),)</f>
        <v>-3.8776585739999998</v>
      </c>
      <c r="V55" s="25">
        <f>VLOOKUP(B55,'Data qoq'!$A:$AT,MATCH($V$1,'Data qoq'!$A$1:$AT$1,),)</f>
        <v>3.3726533820000002</v>
      </c>
      <c r="W55" s="25">
        <f>VLOOKUP(B55,'Data qoq'!$A:$AT,MATCH($W$1,'Data qoq'!$A$1:$AT$1,),)</f>
        <v>2.2538581770000001</v>
      </c>
      <c r="X55" s="25">
        <f>VLOOKUP(B55,'Data qoq'!$A:$AT,MATCH($X$1,'Data qoq'!$A$1:$AT$1,),)</f>
        <v>0.57303278599999996</v>
      </c>
      <c r="Y55" s="25">
        <f>VLOOKUP(B55,'Data qoq'!$A:$AT,MATCH($Y$1,'Data qoq'!$A$1:$AT$1,),)</f>
        <v>1.1280214770000001</v>
      </c>
      <c r="Z55" s="25">
        <f>VLOOKUP(B55,'Data qoq'!$A:$AU,MATCH($Z$1,'Data qoq'!$A$1:$AU$1,),)</f>
        <v>2.3419471039999999</v>
      </c>
      <c r="AA55" s="25">
        <f>VLOOKUP(B55,'Data qoq'!$A:$AU,MATCH($AA$1,'Data qoq'!$A$1:$AU$1,),)</f>
        <v>1.0912577000000001</v>
      </c>
      <c r="AC55" s="26" t="str">
        <f t="shared" si="8"/>
        <v>2011-Q1</v>
      </c>
      <c r="AD55" s="27">
        <f t="shared" si="9"/>
        <v>-2.1798860179999999</v>
      </c>
      <c r="AE55" s="27"/>
    </row>
    <row r="56" spans="2:31" hidden="1" x14ac:dyDescent="0.2">
      <c r="B56" s="24" t="s">
        <v>322</v>
      </c>
      <c r="C56" s="25">
        <f>VLOOKUP(B56,'Data qoq'!$A:$AT,MATCH($C$1,'Data qoq'!$A$1:$AT$1,),)</f>
        <v>0.67805075100000001</v>
      </c>
      <c r="D56" s="25">
        <f>VLOOKUP(B56,'Data qoq'!$A:$AT,MATCH($D$1,'Data qoq'!$A$1:$AT$1,),)</f>
        <v>2.2999999999999998</v>
      </c>
      <c r="E56" s="25">
        <f>VLOOKUP(B56,'Data qoq'!$A:$AT,MATCH($E$1,'Data qoq'!$A$1:$AT$1,),)</f>
        <v>-2.6318000000000001E-2</v>
      </c>
      <c r="F56" s="25">
        <f>VLOOKUP(B56,'Data qoq'!$A:$AT,MATCH($F$1,'Data qoq'!$A$1:$AT$1,),)</f>
        <v>-0.87494044500000001</v>
      </c>
      <c r="G56" s="25">
        <f>VLOOKUP(B56,'Data qoq'!$A:$AT,MATCH($G$1,'Data qoq'!$A$1:$AT$1,),)</f>
        <v>9.4706566000000006E-2</v>
      </c>
      <c r="H56" s="25">
        <f>VLOOKUP(B56,'Data qoq'!$A:$AT,MATCH($H$1,'Data qoq'!$A$1:$AT$1,),)</f>
        <v>-9.5778250999999995E-2</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0.33353964000000003</v>
      </c>
      <c r="M56" s="25">
        <f>VLOOKUP(B56,'Data qoq'!$A:$AT,MATCH($M$1,'Data qoq'!$A$1:$AT$1,),)</f>
        <v>0.53611136199999998</v>
      </c>
      <c r="N56" s="25">
        <f>VLOOKUP(B56,'Data qoq'!$A:$AT,MATCH($N$1,'Data qoq'!$A$1:$AT$1,),)</f>
        <v>0.94769094300000001</v>
      </c>
      <c r="O56" s="25">
        <f>VLOOKUP(B56,'Data qoq'!$A:$AT,MATCH($C$1,'Data qoq'!$J$1:$AT$1,),)</f>
        <v>0.50644660100000005</v>
      </c>
      <c r="P56" s="25">
        <f>VLOOKUP(B56,'Data qoq'!$A:$AT,MATCH($P$1,'Data qoq'!$A$1:$AT$1,),)</f>
        <v>0.19480650999999999</v>
      </c>
      <c r="Q56" s="25">
        <f>VLOOKUP(B56,'Data qoq'!$A:$AT,MATCH($Q$1,'Data qoq'!$A$1:$AT$1,),)</f>
        <v>1.296483115</v>
      </c>
      <c r="R56" s="25">
        <f>VLOOKUP(B56,'Data qoq'!$A:$AT,MATCH($E$1,'Data qoq'!$A$1:$AT$1,),)</f>
        <v>-2.6318000000000001E-2</v>
      </c>
      <c r="S56" s="25">
        <f>VLOOKUP(B56,'Data qoq'!$A:$AT,MATCH($S$1,'Data qoq'!$A$1:$AT$1,),)</f>
        <v>0.49079106099999997</v>
      </c>
      <c r="T56" s="25">
        <f>VLOOKUP(B56,'Data qoq'!$A:$AT,MATCH($T$1,'Data qoq'!$A$1:$AT$1,),)</f>
        <v>0.94131499500000004</v>
      </c>
      <c r="U56" s="25">
        <f>VLOOKUP(B56,'Data qoq'!$A:$AT,MATCH($U$1,'Data qoq'!$A$1:$AT$1,),)</f>
        <v>-1.7825298089999999</v>
      </c>
      <c r="V56" s="25">
        <f>VLOOKUP(B56,'Data qoq'!$A:$AT,MATCH($V$1,'Data qoq'!$A$1:$AT$1,),)</f>
        <v>1.1896815220000001</v>
      </c>
      <c r="W56" s="25">
        <f>VLOOKUP(B56,'Data qoq'!$A:$AT,MATCH($W$1,'Data qoq'!$A$1:$AT$1,),)</f>
        <v>2.7476908170000001</v>
      </c>
      <c r="X56" s="25">
        <f>VLOOKUP(B56,'Data qoq'!$A:$AT,MATCH($X$1,'Data qoq'!$A$1:$AT$1,),)</f>
        <v>0.31880308000000002</v>
      </c>
      <c r="Y56" s="25">
        <f>VLOOKUP(B56,'Data qoq'!$A:$AT,MATCH($Y$1,'Data qoq'!$A$1:$AT$1,),)</f>
        <v>1.335067633</v>
      </c>
      <c r="Z56" s="25">
        <f>VLOOKUP(B56,'Data qoq'!$A:$AU,MATCH($Z$1,'Data qoq'!$A$1:$AU$1,),)</f>
        <v>0.98135266200000004</v>
      </c>
      <c r="AA56" s="25">
        <f>VLOOKUP(B56,'Data qoq'!$A:$AU,MATCH($AA$1,'Data qoq'!$A$1:$AU$1,),)</f>
        <v>0.50644660100000005</v>
      </c>
      <c r="AC56" s="26" t="str">
        <f t="shared" si="8"/>
        <v>2011-Q2</v>
      </c>
      <c r="AD56" s="27">
        <f t="shared" si="9"/>
        <v>0.58334418499999996</v>
      </c>
      <c r="AE56" s="27"/>
    </row>
    <row r="57" spans="2:31" hidden="1" x14ac:dyDescent="0.2">
      <c r="B57" s="24" t="s">
        <v>323</v>
      </c>
      <c r="C57" s="25">
        <f>VLOOKUP(B57,'Data qoq'!$A:$AT,MATCH($C$1,'Data qoq'!$A$1:$AT$1,),)</f>
        <v>-3.8767163E-2</v>
      </c>
      <c r="D57" s="25">
        <f>VLOOKUP(B57,'Data qoq'!$A:$AT,MATCH($D$1,'Data qoq'!$A$1:$AT$1,),)</f>
        <v>1.8</v>
      </c>
      <c r="E57" s="25">
        <f>VLOOKUP(B57,'Data qoq'!$A:$AT,MATCH($E$1,'Data qoq'!$A$1:$AT$1,),)</f>
        <v>0.15035399999999999</v>
      </c>
      <c r="F57" s="25">
        <f>VLOOKUP(B57,'Data qoq'!$A:$AT,MATCH($F$1,'Data qoq'!$A$1:$AT$1,),)</f>
        <v>2.4146330229999999</v>
      </c>
      <c r="G57" s="25">
        <f>VLOOKUP(B57,'Data qoq'!$A:$AT,MATCH($G$1,'Data qoq'!$A$1:$AT$1,),)</f>
        <v>0.88310040000000001</v>
      </c>
      <c r="H57" s="25">
        <f>VLOOKUP(B57,'Data qoq'!$A:$AT,MATCH($H$1,'Data qoq'!$A$1:$AT$1,),)</f>
        <v>0.484334088</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1.2657260239999999</v>
      </c>
      <c r="M57" s="25">
        <f>VLOOKUP(B57,'Data qoq'!$A:$AT,MATCH($M$1,'Data qoq'!$A$1:$AT$1,),)</f>
        <v>1.9429750059999999</v>
      </c>
      <c r="N57" s="25">
        <f>VLOOKUP(B57,'Data qoq'!$A:$AT,MATCH($N$1,'Data qoq'!$A$1:$AT$1,),)</f>
        <v>1.151337174</v>
      </c>
      <c r="O57" s="25">
        <f>VLOOKUP(B57,'Data qoq'!$A:$AT,MATCH($C$1,'Data qoq'!$J$1:$AT$1,),)</f>
        <v>1.02987232</v>
      </c>
      <c r="P57" s="25">
        <f>VLOOKUP(B57,'Data qoq'!$A:$AT,MATCH($P$1,'Data qoq'!$A$1:$AT$1,),)</f>
        <v>1.3796395619999999</v>
      </c>
      <c r="Q57" s="25">
        <f>VLOOKUP(B57,'Data qoq'!$A:$AT,MATCH($Q$1,'Data qoq'!$A$1:$AT$1,),)</f>
        <v>1.3471873000000001</v>
      </c>
      <c r="R57" s="25">
        <f>VLOOKUP(B57,'Data qoq'!$A:$AT,MATCH($E$1,'Data qoq'!$A$1:$AT$1,),)</f>
        <v>0.15035399999999999</v>
      </c>
      <c r="S57" s="25">
        <f>VLOOKUP(B57,'Data qoq'!$A:$AT,MATCH($S$1,'Data qoq'!$A$1:$AT$1,),)</f>
        <v>0.52632363800000004</v>
      </c>
      <c r="T57" s="25">
        <f>VLOOKUP(B57,'Data qoq'!$A:$AT,MATCH($T$1,'Data qoq'!$A$1:$AT$1,),)</f>
        <v>-0.20088599600000001</v>
      </c>
      <c r="U57" s="25">
        <f>VLOOKUP(B57,'Data qoq'!$A:$AT,MATCH($U$1,'Data qoq'!$A$1:$AT$1,),)</f>
        <v>-2.0284864319999998</v>
      </c>
      <c r="V57" s="25">
        <f>VLOOKUP(B57,'Data qoq'!$A:$AT,MATCH($V$1,'Data qoq'!$A$1:$AT$1,),)</f>
        <v>-1.3961307940000001</v>
      </c>
      <c r="W57" s="25">
        <f>VLOOKUP(B57,'Data qoq'!$A:$AT,MATCH($W$1,'Data qoq'!$A$1:$AT$1,),)</f>
        <v>2.6588431219999999</v>
      </c>
      <c r="X57" s="25">
        <f>VLOOKUP(B57,'Data qoq'!$A:$AT,MATCH($X$1,'Data qoq'!$A$1:$AT$1,),)</f>
        <v>-0.18540826799999999</v>
      </c>
      <c r="Y57" s="25">
        <f>VLOOKUP(B57,'Data qoq'!$A:$AT,MATCH($Y$1,'Data qoq'!$A$1:$AT$1,),)</f>
        <v>1.2881018980000001</v>
      </c>
      <c r="Z57" s="25">
        <f>VLOOKUP(B57,'Data qoq'!$A:$AU,MATCH($Z$1,'Data qoq'!$A$1:$AU$1,),)</f>
        <v>0.82836771499999995</v>
      </c>
      <c r="AA57" s="25">
        <f>VLOOKUP(B57,'Data qoq'!$A:$AU,MATCH($AA$1,'Data qoq'!$A$1:$AU$1,),)</f>
        <v>1.02987232</v>
      </c>
      <c r="AC57" s="26" t="str">
        <f t="shared" si="8"/>
        <v>2011-Q3</v>
      </c>
      <c r="AD57" s="27">
        <f t="shared" si="9"/>
        <v>-0.92186756300000006</v>
      </c>
      <c r="AE57" s="27"/>
    </row>
    <row r="58" spans="2:31" hidden="1" x14ac:dyDescent="0.2">
      <c r="B58" s="24" t="s">
        <v>324</v>
      </c>
      <c r="C58" s="25">
        <f>VLOOKUP(B58,'Data qoq'!$A:$AT,MATCH($C$1,'Data qoq'!$A$1:$AT$1,),)</f>
        <v>1.121678183</v>
      </c>
      <c r="D58" s="25">
        <f>VLOOKUP(B58,'Data qoq'!$A:$AT,MATCH($D$1,'Data qoq'!$A$1:$AT$1,),)</f>
        <v>1.6</v>
      </c>
      <c r="E58" s="25">
        <f>VLOOKUP(B58,'Data qoq'!$A:$AT,MATCH($E$1,'Data qoq'!$A$1:$AT$1,),)</f>
        <v>-0.41825499999999999</v>
      </c>
      <c r="F58" s="25">
        <f>VLOOKUP(B58,'Data qoq'!$A:$AT,MATCH($F$1,'Data qoq'!$A$1:$AT$1,),)</f>
        <v>-0.12755915200000001</v>
      </c>
      <c r="G58" s="25">
        <f>VLOOKUP(B58,'Data qoq'!$A:$AT,MATCH($G$1,'Data qoq'!$A$1:$AT$1,),)</f>
        <v>-0.32305014900000001</v>
      </c>
      <c r="H58" s="25">
        <f>VLOOKUP(B58,'Data qoq'!$A:$AT,MATCH($H$1,'Data qoq'!$A$1:$AT$1,),)</f>
        <v>0.192595394</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-1.35646361</v>
      </c>
      <c r="M58" s="25">
        <f>VLOOKUP(B58,'Data qoq'!$A:$AT,MATCH($M$1,'Data qoq'!$A$1:$AT$1,),)</f>
        <v>0.65510707599999995</v>
      </c>
      <c r="N58" s="25">
        <f>VLOOKUP(B58,'Data qoq'!$A:$AT,MATCH($N$1,'Data qoq'!$A$1:$AT$1,),)</f>
        <v>1.2076822229999999</v>
      </c>
      <c r="O58" s="25">
        <f>VLOOKUP(B58,'Data qoq'!$A:$AT,MATCH($C$1,'Data qoq'!$J$1:$AT$1,),)</f>
        <v>0.57426726299999997</v>
      </c>
      <c r="P58" s="25">
        <f>VLOOKUP(B58,'Data qoq'!$A:$AT,MATCH($P$1,'Data qoq'!$A$1:$AT$1,),)</f>
        <v>0.78751324</v>
      </c>
      <c r="Q58" s="25">
        <f>VLOOKUP(B58,'Data qoq'!$A:$AT,MATCH($Q$1,'Data qoq'!$A$1:$AT$1,),)</f>
        <v>1.081422925</v>
      </c>
      <c r="R58" s="25">
        <f>VLOOKUP(B58,'Data qoq'!$A:$AT,MATCH($E$1,'Data qoq'!$A$1:$AT$1,),)</f>
        <v>-0.41825499999999999</v>
      </c>
      <c r="S58" s="25">
        <f>VLOOKUP(B58,'Data qoq'!$A:$AT,MATCH($S$1,'Data qoq'!$A$1:$AT$1,),)</f>
        <v>0.47229806800000002</v>
      </c>
      <c r="T58" s="25">
        <f>VLOOKUP(B58,'Data qoq'!$A:$AT,MATCH($T$1,'Data qoq'!$A$1:$AT$1,),)</f>
        <v>0.82931524499999998</v>
      </c>
      <c r="U58" s="25">
        <f>VLOOKUP(B58,'Data qoq'!$A:$AT,MATCH($U$1,'Data qoq'!$A$1:$AT$1,),)</f>
        <v>-4.4905177759999999</v>
      </c>
      <c r="V58" s="25">
        <f>VLOOKUP(B58,'Data qoq'!$A:$AT,MATCH($V$1,'Data qoq'!$A$1:$AT$1,),)</f>
        <v>-0.19658619499999999</v>
      </c>
      <c r="W58" s="25">
        <f>VLOOKUP(B58,'Data qoq'!$A:$AT,MATCH($W$1,'Data qoq'!$A$1:$AT$1,),)</f>
        <v>1.357311969</v>
      </c>
      <c r="X58" s="25">
        <f>VLOOKUP(B58,'Data qoq'!$A:$AT,MATCH($X$1,'Data qoq'!$A$1:$AT$1,),)</f>
        <v>0.103381032</v>
      </c>
      <c r="Y58" s="25">
        <f>VLOOKUP(B58,'Data qoq'!$A:$AT,MATCH($Y$1,'Data qoq'!$A$1:$AT$1,),)</f>
        <v>0.63377834499999997</v>
      </c>
      <c r="Z58" s="25">
        <f>VLOOKUP(B58,'Data qoq'!$A:$AU,MATCH($Z$1,'Data qoq'!$A$1:$AU$1,),)</f>
        <v>1.1892041000000001E-2</v>
      </c>
      <c r="AA58" s="25">
        <f>VLOOKUP(B58,'Data qoq'!$A:$AU,MATCH($AA$1,'Data qoq'!$A$1:$AU$1,),)</f>
        <v>0.57426726299999997</v>
      </c>
      <c r="AC58" s="26" t="str">
        <f t="shared" si="8"/>
        <v>2011-Q4</v>
      </c>
      <c r="AD58" s="27">
        <f t="shared" si="9"/>
        <v>1.4447283319999999</v>
      </c>
      <c r="AE58" s="27"/>
    </row>
    <row r="59" spans="2:31" hidden="1" x14ac:dyDescent="0.2">
      <c r="B59" s="24" t="s">
        <v>325</v>
      </c>
      <c r="C59" s="25">
        <f>VLOOKUP(B59,'Data qoq'!$A:$AT,MATCH($C$1,'Data qoq'!$A$1:$AT$1,),)</f>
        <v>0.81792284500000001</v>
      </c>
      <c r="D59" s="25">
        <f>VLOOKUP(B59,'Data qoq'!$A:$AT,MATCH($D$1,'Data qoq'!$A$1:$AT$1,),)</f>
        <v>1.6</v>
      </c>
      <c r="E59" s="25">
        <f>VLOOKUP(B59,'Data qoq'!$A:$AT,MATCH($E$1,'Data qoq'!$A$1:$AT$1,),)</f>
        <v>-0.208755</v>
      </c>
      <c r="F59" s="25">
        <f>VLOOKUP(B59,'Data qoq'!$A:$AT,MATCH($F$1,'Data qoq'!$A$1:$AT$1,),)</f>
        <v>1.3936703560000001</v>
      </c>
      <c r="G59" s="25">
        <f>VLOOKUP(B59,'Data qoq'!$A:$AT,MATCH($G$1,'Data qoq'!$A$1:$AT$1,),)</f>
        <v>0.20910942099999999</v>
      </c>
      <c r="H59" s="25">
        <f>VLOOKUP(B59,'Data qoq'!$A:$AT,MATCH($H$1,'Data qoq'!$A$1:$AT$1,),)</f>
        <v>2.8151711999999999E-2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0.158653607</v>
      </c>
      <c r="M59" s="25">
        <f>VLOOKUP(B59,'Data qoq'!$A:$AT,MATCH($M$1,'Data qoq'!$A$1:$AT$1,),)</f>
        <v>0.65332315600000002</v>
      </c>
      <c r="N59" s="25">
        <f>VLOOKUP(B59,'Data qoq'!$A:$AT,MATCH($N$1,'Data qoq'!$A$1:$AT$1,),)</f>
        <v>1.570296481</v>
      </c>
      <c r="O59" s="25">
        <f>VLOOKUP(B59,'Data qoq'!$A:$AT,MATCH($C$1,'Data qoq'!$J$1:$AT$1,),)</f>
        <v>0.61643023699999999</v>
      </c>
      <c r="P59" s="25">
        <f>VLOOKUP(B59,'Data qoq'!$A:$AT,MATCH($P$1,'Data qoq'!$A$1:$AT$1,),)</f>
        <v>6.4087343000000005E-2</v>
      </c>
      <c r="Q59" s="25">
        <f>VLOOKUP(B59,'Data qoq'!$A:$AT,MATCH($Q$1,'Data qoq'!$A$1:$AT$1,),)</f>
        <v>0.95699651799999996</v>
      </c>
      <c r="R59" s="25">
        <f>VLOOKUP(B59,'Data qoq'!$A:$AT,MATCH($E$1,'Data qoq'!$A$1:$AT$1,),)</f>
        <v>-0.208755</v>
      </c>
      <c r="S59" s="25">
        <f>VLOOKUP(B59,'Data qoq'!$A:$AT,MATCH($S$1,'Data qoq'!$A$1:$AT$1,),)</f>
        <v>0.86566595300000004</v>
      </c>
      <c r="T59" s="25">
        <f>VLOOKUP(B59,'Data qoq'!$A:$AT,MATCH($T$1,'Data qoq'!$A$1:$AT$1,),)</f>
        <v>-1.298996136</v>
      </c>
      <c r="U59" s="25">
        <f>VLOOKUP(B59,'Data qoq'!$A:$AT,MATCH($U$1,'Data qoq'!$A$1:$AT$1,),)</f>
        <v>-0.285873249</v>
      </c>
      <c r="V59" s="25">
        <f>VLOOKUP(B59,'Data qoq'!$A:$AT,MATCH($V$1,'Data qoq'!$A$1:$AT$1,),)</f>
        <v>-1.5094239000000001E-2</v>
      </c>
      <c r="W59" s="25">
        <f>VLOOKUP(B59,'Data qoq'!$A:$AT,MATCH($W$1,'Data qoq'!$A$1:$AT$1,),)</f>
        <v>-0.88977375700000005</v>
      </c>
      <c r="X59" s="25">
        <f>VLOOKUP(B59,'Data qoq'!$A:$AT,MATCH($X$1,'Data qoq'!$A$1:$AT$1,),)</f>
        <v>-0.169658261</v>
      </c>
      <c r="Y59" s="25">
        <f>VLOOKUP(B59,'Data qoq'!$A:$AT,MATCH($Y$1,'Data qoq'!$A$1:$AT$1,),)</f>
        <v>6.9013764000000005E-2</v>
      </c>
      <c r="Z59" s="25">
        <f>VLOOKUP(B59,'Data qoq'!$A:$AU,MATCH($Z$1,'Data qoq'!$A$1:$AU$1,),)</f>
        <v>-1.084249799</v>
      </c>
      <c r="AA59" s="25">
        <f>VLOOKUP(B59,'Data qoq'!$A:$AU,MATCH($AA$1,'Data qoq'!$A$1:$AU$1,),)</f>
        <v>0.61643023699999999</v>
      </c>
      <c r="AC59" s="26" t="str">
        <f t="shared" si="8"/>
        <v>2012-Q1</v>
      </c>
      <c r="AD59" s="27">
        <f t="shared" si="9"/>
        <v>0.60881342400000005</v>
      </c>
      <c r="AE59" s="27"/>
    </row>
    <row r="60" spans="2:31" hidden="1" x14ac:dyDescent="0.2">
      <c r="B60" s="24" t="s">
        <v>326</v>
      </c>
      <c r="C60" s="25">
        <f>VLOOKUP(B60,'Data qoq'!$A:$AT,MATCH($C$1,'Data qoq'!$A$1:$AT$1,),)</f>
        <v>0.45585998700000002</v>
      </c>
      <c r="D60" s="25">
        <f>VLOOKUP(B60,'Data qoq'!$A:$AT,MATCH($D$1,'Data qoq'!$A$1:$AT$1,),)</f>
        <v>2.2999999999999998</v>
      </c>
      <c r="E60" s="25">
        <f>VLOOKUP(B60,'Data qoq'!$A:$AT,MATCH($E$1,'Data qoq'!$A$1:$AT$1,),)</f>
        <v>-0.27380399999999999</v>
      </c>
      <c r="F60" s="25">
        <f>VLOOKUP(B60,'Data qoq'!$A:$AT,MATCH($F$1,'Data qoq'!$A$1:$AT$1,),)</f>
        <v>-0.90939672299999996</v>
      </c>
      <c r="G60" s="25">
        <f>VLOOKUP(B60,'Data qoq'!$A:$AT,MATCH($G$1,'Data qoq'!$A$1:$AT$1,),)</f>
        <v>0.20864962200000001</v>
      </c>
      <c r="H60" s="25">
        <f>VLOOKUP(B60,'Data qoq'!$A:$AT,MATCH($H$1,'Data qoq'!$A$1:$AT$1,),)</f>
        <v>-0.15071093299999999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0.14640885200000001</v>
      </c>
      <c r="M60" s="25">
        <f>VLOOKUP(B60,'Data qoq'!$A:$AT,MATCH($M$1,'Data qoq'!$A$1:$AT$1,),)</f>
        <v>0.86902611600000002</v>
      </c>
      <c r="N60" s="25">
        <f>VLOOKUP(B60,'Data qoq'!$A:$AT,MATCH($N$1,'Data qoq'!$A$1:$AT$1,),)</f>
        <v>0.38707392299999999</v>
      </c>
      <c r="O60" s="25">
        <f>VLOOKUP(B60,'Data qoq'!$A:$AT,MATCH($C$1,'Data qoq'!$J$1:$AT$1,),)</f>
        <v>0.33774496300000001</v>
      </c>
      <c r="P60" s="25">
        <f>VLOOKUP(B60,'Data qoq'!$A:$AT,MATCH($P$1,'Data qoq'!$A$1:$AT$1,),)</f>
        <v>0.32616373700000001</v>
      </c>
      <c r="Q60" s="25">
        <f>VLOOKUP(B60,'Data qoq'!$A:$AT,MATCH($Q$1,'Data qoq'!$A$1:$AT$1,),)</f>
        <v>0.73221657600000001</v>
      </c>
      <c r="R60" s="25">
        <f>VLOOKUP(B60,'Data qoq'!$A:$AT,MATCH($E$1,'Data qoq'!$A$1:$AT$1,),)</f>
        <v>-0.27380399999999999</v>
      </c>
      <c r="S60" s="25">
        <f>VLOOKUP(B60,'Data qoq'!$A:$AT,MATCH($S$1,'Data qoq'!$A$1:$AT$1,),)</f>
        <v>0.56597461800000004</v>
      </c>
      <c r="T60" s="25">
        <f>VLOOKUP(B60,'Data qoq'!$A:$AT,MATCH($T$1,'Data qoq'!$A$1:$AT$1,),)</f>
        <v>1.7367108200000001</v>
      </c>
      <c r="U60" s="25">
        <f>VLOOKUP(B60,'Data qoq'!$A:$AT,MATCH($U$1,'Data qoq'!$A$1:$AT$1,),)</f>
        <v>-1.7449891239999999</v>
      </c>
      <c r="V60" s="25">
        <f>VLOOKUP(B60,'Data qoq'!$A:$AT,MATCH($V$1,'Data qoq'!$A$1:$AT$1,),)</f>
        <v>1.298680308</v>
      </c>
      <c r="W60" s="25">
        <f>VLOOKUP(B60,'Data qoq'!$A:$AT,MATCH($W$1,'Data qoq'!$A$1:$AT$1,),)</f>
        <v>1.727526866</v>
      </c>
      <c r="X60" s="25">
        <f>VLOOKUP(B60,'Data qoq'!$A:$AT,MATCH($X$1,'Data qoq'!$A$1:$AT$1,),)</f>
        <v>-0.53614212900000002</v>
      </c>
      <c r="Y60" s="25">
        <f>VLOOKUP(B60,'Data qoq'!$A:$AT,MATCH($Y$1,'Data qoq'!$A$1:$AT$1,),)</f>
        <v>-0.24515392999999999</v>
      </c>
      <c r="Z60" s="25">
        <f>VLOOKUP(B60,'Data qoq'!$A:$AU,MATCH($Z$1,'Data qoq'!$A$1:$AU$1,),)</f>
        <v>-3.3586182299999998</v>
      </c>
      <c r="AA60" s="25">
        <f>VLOOKUP(B60,'Data qoq'!$A:$AU,MATCH($AA$1,'Data qoq'!$A$1:$AU$1,),)</f>
        <v>0.33774496300000001</v>
      </c>
      <c r="AC60" s="26" t="str">
        <f t="shared" si="8"/>
        <v>2012-Q2</v>
      </c>
      <c r="AD60" s="27">
        <f t="shared" si="9"/>
        <v>0.24721036500000002</v>
      </c>
      <c r="AE60" s="27"/>
    </row>
    <row r="61" spans="2:31" hidden="1" x14ac:dyDescent="0.2">
      <c r="B61" s="24" t="s">
        <v>327</v>
      </c>
      <c r="C61" s="25">
        <f>VLOOKUP(B61,'Data qoq'!$A:$AT,MATCH($C$1,'Data qoq'!$A$1:$AT$1,),)</f>
        <v>0.17488297799999999</v>
      </c>
      <c r="D61" s="25">
        <f>VLOOKUP(B61,'Data qoq'!$A:$AT,MATCH($D$1,'Data qoq'!$A$1:$AT$1,),)</f>
        <v>1.9</v>
      </c>
      <c r="E61" s="25">
        <f>VLOOKUP(B61,'Data qoq'!$A:$AT,MATCH($E$1,'Data qoq'!$A$1:$AT$1,),)</f>
        <v>-9.5765000000000003E-2</v>
      </c>
      <c r="F61" s="25">
        <f>VLOOKUP(B61,'Data qoq'!$A:$AT,MATCH($F$1,'Data qoq'!$A$1:$AT$1,),)</f>
        <v>-0.39334034600000001</v>
      </c>
      <c r="G61" s="25">
        <f>VLOOKUP(B61,'Data qoq'!$A:$AT,MATCH($G$1,'Data qoq'!$A$1:$AT$1,),)</f>
        <v>0.28111072500000001</v>
      </c>
      <c r="H61" s="25">
        <f>VLOOKUP(B61,'Data qoq'!$A:$AT,MATCH($H$1,'Data qoq'!$A$1:$AT$1,),)</f>
        <v>0.22550906500000001</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-0.13758989699999999</v>
      </c>
      <c r="M61" s="25">
        <f>VLOOKUP(B61,'Data qoq'!$A:$AT,MATCH($M$1,'Data qoq'!$A$1:$AT$1,),)</f>
        <v>0.56559060900000002</v>
      </c>
      <c r="N61" s="25">
        <f>VLOOKUP(B61,'Data qoq'!$A:$AT,MATCH($N$1,'Data qoq'!$A$1:$AT$1,),)</f>
        <v>0.51614756399999995</v>
      </c>
      <c r="O61" s="25">
        <f>VLOOKUP(B61,'Data qoq'!$A:$AT,MATCH($C$1,'Data qoq'!$J$1:$AT$1,),)</f>
        <v>0.25245606500000001</v>
      </c>
      <c r="P61" s="25">
        <f>VLOOKUP(B61,'Data qoq'!$A:$AT,MATCH($P$1,'Data qoq'!$A$1:$AT$1,),)</f>
        <v>0.136217106</v>
      </c>
      <c r="Q61" s="25">
        <f>VLOOKUP(B61,'Data qoq'!$A:$AT,MATCH($Q$1,'Data qoq'!$A$1:$AT$1,),)</f>
        <v>0.59296767800000005</v>
      </c>
      <c r="R61" s="25">
        <f>VLOOKUP(B61,'Data qoq'!$A:$AT,MATCH($E$1,'Data qoq'!$A$1:$AT$1,),)</f>
        <v>-9.5765000000000003E-2</v>
      </c>
      <c r="S61" s="25">
        <f>VLOOKUP(B61,'Data qoq'!$A:$AT,MATCH($S$1,'Data qoq'!$A$1:$AT$1,),)</f>
        <v>0.45177694000000002</v>
      </c>
      <c r="T61" s="25">
        <f>VLOOKUP(B61,'Data qoq'!$A:$AT,MATCH($T$1,'Data qoq'!$A$1:$AT$1,),)</f>
        <v>1.708277628</v>
      </c>
      <c r="U61" s="25">
        <f>VLOOKUP(B61,'Data qoq'!$A:$AT,MATCH($U$1,'Data qoq'!$A$1:$AT$1,),)</f>
        <v>-1.4537351949999999</v>
      </c>
      <c r="V61" s="25">
        <f>VLOOKUP(B61,'Data qoq'!$A:$AT,MATCH($V$1,'Data qoq'!$A$1:$AT$1,),)</f>
        <v>-0.96029231900000001</v>
      </c>
      <c r="W61" s="25">
        <f>VLOOKUP(B61,'Data qoq'!$A:$AT,MATCH($W$1,'Data qoq'!$A$1:$AT$1,),)</f>
        <v>1.7647938809999999</v>
      </c>
      <c r="X61" s="25">
        <f>VLOOKUP(B61,'Data qoq'!$A:$AT,MATCH($X$1,'Data qoq'!$A$1:$AT$1,),)</f>
        <v>-0.36099973699999999</v>
      </c>
      <c r="Y61" s="25">
        <f>VLOOKUP(B61,'Data qoq'!$A:$AT,MATCH($Y$1,'Data qoq'!$A$1:$AT$1,),)</f>
        <v>0.43764906799999997</v>
      </c>
      <c r="Z61" s="25">
        <f>VLOOKUP(B61,'Data qoq'!$A:$AU,MATCH($Z$1,'Data qoq'!$A$1:$AU$1,),)</f>
        <v>3.0843932760000001</v>
      </c>
      <c r="AA61" s="25">
        <f>VLOOKUP(B61,'Data qoq'!$A:$AU,MATCH($AA$1,'Data qoq'!$A$1:$AU$1,),)</f>
        <v>0.25245606500000001</v>
      </c>
      <c r="AC61" s="26" t="str">
        <f t="shared" si="8"/>
        <v>2012-Q3</v>
      </c>
      <c r="AD61" s="27">
        <f t="shared" si="9"/>
        <v>-0.10622774700000001</v>
      </c>
      <c r="AE61" s="27"/>
    </row>
    <row r="62" spans="2:31" hidden="1" x14ac:dyDescent="0.2">
      <c r="B62" s="24" t="s">
        <v>328</v>
      </c>
      <c r="C62" s="25">
        <f>VLOOKUP(B62,'Data qoq'!$A:$AT,MATCH($C$1,'Data qoq'!$A$1:$AT$1,),)</f>
        <v>0.109838067</v>
      </c>
      <c r="D62" s="25">
        <f>VLOOKUP(B62,'Data qoq'!$A:$AT,MATCH($D$1,'Data qoq'!$A$1:$AT$1,),)</f>
        <v>2</v>
      </c>
      <c r="E62" s="25">
        <f>VLOOKUP(B62,'Data qoq'!$A:$AT,MATCH($E$1,'Data qoq'!$A$1:$AT$1,),)</f>
        <v>-0.44678899999999999</v>
      </c>
      <c r="F62" s="25">
        <f>VLOOKUP(B62,'Data qoq'!$A:$AT,MATCH($F$1,'Data qoq'!$A$1:$AT$1,),)</f>
        <v>-6.8862592E-2</v>
      </c>
      <c r="G62" s="25">
        <f>VLOOKUP(B62,'Data qoq'!$A:$AT,MATCH($G$1,'Data qoq'!$A$1:$AT$1,),)</f>
        <v>-0.44642873700000002</v>
      </c>
      <c r="H62" s="25">
        <f>VLOOKUP(B62,'Data qoq'!$A:$AT,MATCH($H$1,'Data qoq'!$A$1:$AT$1,),)</f>
        <v>-0.106319468</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-0.67637193200000001</v>
      </c>
      <c r="M62" s="25">
        <f>VLOOKUP(B62,'Data qoq'!$A:$AT,MATCH($M$1,'Data qoq'!$A$1:$AT$1,),)</f>
        <v>0.85453918100000004</v>
      </c>
      <c r="N62" s="25">
        <f>VLOOKUP(B62,'Data qoq'!$A:$AT,MATCH($N$1,'Data qoq'!$A$1:$AT$1,),)</f>
        <v>6.7384631E-2</v>
      </c>
      <c r="O62" s="25">
        <f>VLOOKUP(B62,'Data qoq'!$A:$AT,MATCH($C$1,'Data qoq'!$J$1:$AT$1,),)</f>
        <v>1.5362992170000001</v>
      </c>
      <c r="P62" s="25">
        <f>VLOOKUP(B62,'Data qoq'!$A:$AT,MATCH($P$1,'Data qoq'!$A$1:$AT$1,),)</f>
        <v>0.20678147</v>
      </c>
      <c r="Q62" s="25">
        <f>VLOOKUP(B62,'Data qoq'!$A:$AT,MATCH($Q$1,'Data qoq'!$A$1:$AT$1,),)</f>
        <v>0.48832581400000002</v>
      </c>
      <c r="R62" s="25">
        <f>VLOOKUP(B62,'Data qoq'!$A:$AT,MATCH($E$1,'Data qoq'!$A$1:$AT$1,),)</f>
        <v>-0.44678899999999999</v>
      </c>
      <c r="S62" s="25">
        <f>VLOOKUP(B62,'Data qoq'!$A:$AT,MATCH($S$1,'Data qoq'!$A$1:$AT$1,),)</f>
        <v>0.50224872499999995</v>
      </c>
      <c r="T62" s="25">
        <f>VLOOKUP(B62,'Data qoq'!$A:$AT,MATCH($T$1,'Data qoq'!$A$1:$AT$1,),)</f>
        <v>2.0739090000000002E-2</v>
      </c>
      <c r="U62" s="25">
        <f>VLOOKUP(B62,'Data qoq'!$A:$AT,MATCH($U$1,'Data qoq'!$A$1:$AT$1,),)</f>
        <v>-0.79992615600000005</v>
      </c>
      <c r="V62" s="25">
        <f>VLOOKUP(B62,'Data qoq'!$A:$AT,MATCH($V$1,'Data qoq'!$A$1:$AT$1,),)</f>
        <v>-1.07899E-2</v>
      </c>
      <c r="W62" s="25">
        <f>VLOOKUP(B62,'Data qoq'!$A:$AT,MATCH($W$1,'Data qoq'!$A$1:$AT$1,),)</f>
        <v>1.602891829</v>
      </c>
      <c r="X62" s="25">
        <f>VLOOKUP(B62,'Data qoq'!$A:$AT,MATCH($X$1,'Data qoq'!$A$1:$AT$1,),)</f>
        <v>-0.122513632</v>
      </c>
      <c r="Y62" s="25">
        <f>VLOOKUP(B62,'Data qoq'!$A:$AT,MATCH($Y$1,'Data qoq'!$A$1:$AT$1,),)</f>
        <v>-0.52639492799999998</v>
      </c>
      <c r="Z62" s="25">
        <f>VLOOKUP(B62,'Data qoq'!$A:$AU,MATCH($Z$1,'Data qoq'!$A$1:$AU$1,),)</f>
        <v>1.7107077209999999</v>
      </c>
      <c r="AA62" s="25">
        <f>VLOOKUP(B62,'Data qoq'!$A:$AU,MATCH($AA$1,'Data qoq'!$A$1:$AU$1,),)</f>
        <v>1.5362992170000001</v>
      </c>
      <c r="AC62" s="26" t="str">
        <f t="shared" si="8"/>
        <v>2012-Q4</v>
      </c>
      <c r="AD62" s="27">
        <f t="shared" si="9"/>
        <v>0.55626680400000006</v>
      </c>
      <c r="AE62" s="27"/>
    </row>
    <row r="63" spans="2:31" hidden="1" x14ac:dyDescent="0.2">
      <c r="B63" s="24" t="s">
        <v>329</v>
      </c>
      <c r="C63" s="25">
        <f>VLOOKUP(B63,'Data qoq'!$A:$AT,MATCH($C$1,'Data qoq'!$A$1:$AT$1,),)</f>
        <v>0.86778954799999997</v>
      </c>
      <c r="D63" s="25">
        <f>VLOOKUP(B63,'Data qoq'!$A:$AT,MATCH($D$1,'Data qoq'!$A$1:$AT$1,),)</f>
        <v>1.8</v>
      </c>
      <c r="E63" s="25">
        <f>VLOOKUP(B63,'Data qoq'!$A:$AT,MATCH($E$1,'Data qoq'!$A$1:$AT$1,),)</f>
        <v>-0.33293699999999998</v>
      </c>
      <c r="F63" s="25">
        <f>VLOOKUP(B63,'Data qoq'!$A:$AT,MATCH($F$1,'Data qoq'!$A$1:$AT$1,),)</f>
        <v>1.3975818630000001</v>
      </c>
      <c r="G63" s="25">
        <f>VLOOKUP(B63,'Data qoq'!$A:$AT,MATCH($G$1,'Data qoq'!$A$1:$AT$1,),)</f>
        <v>-0.45626323299999999</v>
      </c>
      <c r="H63" s="25">
        <f>VLOOKUP(B63,'Data qoq'!$A:$AT,MATCH($H$1,'Data qoq'!$A$1:$AT$1,),)</f>
        <v>6.9928483999999999E-2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1.3518493009999999</v>
      </c>
      <c r="M63" s="25">
        <f>VLOOKUP(B63,'Data qoq'!$A:$AT,MATCH($M$1,'Data qoq'!$A$1:$AT$1,),)</f>
        <v>0.24457404799999999</v>
      </c>
      <c r="N63" s="25">
        <f>VLOOKUP(B63,'Data qoq'!$A:$AT,MATCH($N$1,'Data qoq'!$A$1:$AT$1,),)</f>
        <v>0.74066342200000002</v>
      </c>
      <c r="O63" s="25">
        <f>VLOOKUP(B63,'Data qoq'!$A:$AT,MATCH($C$1,'Data qoq'!$J$1:$AT$1,),)</f>
        <v>-0.31337716799999998</v>
      </c>
      <c r="P63" s="25">
        <f>VLOOKUP(B63,'Data qoq'!$A:$AT,MATCH($P$1,'Data qoq'!$A$1:$AT$1,),)</f>
        <v>0.89700485500000005</v>
      </c>
      <c r="Q63" s="25">
        <f>VLOOKUP(B63,'Data qoq'!$A:$AT,MATCH($Q$1,'Data qoq'!$A$1:$AT$1,),)</f>
        <v>0.43843427699999998</v>
      </c>
      <c r="R63" s="25">
        <f>VLOOKUP(B63,'Data qoq'!$A:$AT,MATCH($E$1,'Data qoq'!$A$1:$AT$1,),)</f>
        <v>-0.33293699999999998</v>
      </c>
      <c r="S63" s="25">
        <f>VLOOKUP(B63,'Data qoq'!$A:$AT,MATCH($S$1,'Data qoq'!$A$1:$AT$1,),)</f>
        <v>0.85942490599999999</v>
      </c>
      <c r="T63" s="25">
        <f>VLOOKUP(B63,'Data qoq'!$A:$AT,MATCH($T$1,'Data qoq'!$A$1:$AT$1,),)</f>
        <v>0.54901200500000003</v>
      </c>
      <c r="U63" s="25">
        <f>VLOOKUP(B63,'Data qoq'!$A:$AT,MATCH($U$1,'Data qoq'!$A$1:$AT$1,),)</f>
        <v>-0.99279602</v>
      </c>
      <c r="V63" s="25">
        <f>VLOOKUP(B63,'Data qoq'!$A:$AT,MATCH($V$1,'Data qoq'!$A$1:$AT$1,),)</f>
        <v>-0.79473962499999995</v>
      </c>
      <c r="W63" s="25">
        <f>VLOOKUP(B63,'Data qoq'!$A:$AT,MATCH($W$1,'Data qoq'!$A$1:$AT$1,),)</f>
        <v>2.9298856400000002</v>
      </c>
      <c r="X63" s="25">
        <f>VLOOKUP(B63,'Data qoq'!$A:$AT,MATCH($X$1,'Data qoq'!$A$1:$AT$1,),)</f>
        <v>-0.42478578299999997</v>
      </c>
      <c r="Y63" s="25">
        <f>VLOOKUP(B63,'Data qoq'!$A:$AT,MATCH($Y$1,'Data qoq'!$A$1:$AT$1,),)</f>
        <v>6.3739439999999994E-2</v>
      </c>
      <c r="Z63" s="25">
        <f>VLOOKUP(B63,'Data qoq'!$A:$AU,MATCH($Z$1,'Data qoq'!$A$1:$AU$1,),)</f>
        <v>-2.7687251999999999E-2</v>
      </c>
      <c r="AA63" s="25">
        <f>VLOOKUP(B63,'Data qoq'!$A:$AU,MATCH($AA$1,'Data qoq'!$A$1:$AU$1,),)</f>
        <v>-0.31337716799999998</v>
      </c>
      <c r="AC63" s="26" t="str">
        <f t="shared" si="8"/>
        <v>2013-Q1</v>
      </c>
      <c r="AD63" s="27">
        <f t="shared" si="9"/>
        <v>1.324052781</v>
      </c>
      <c r="AE63" s="27"/>
    </row>
    <row r="64" spans="2:31" hidden="1" x14ac:dyDescent="0.2">
      <c r="B64" s="24" t="s">
        <v>330</v>
      </c>
      <c r="C64" s="25">
        <f>VLOOKUP(B64,'Data qoq'!$A:$AT,MATCH($C$1,'Data qoq'!$A$1:$AT$1,),)</f>
        <v>0.13938522</v>
      </c>
      <c r="D64" s="25">
        <f>VLOOKUP(B64,'Data qoq'!$A:$AT,MATCH($D$1,'Data qoq'!$A$1:$AT$1,),)</f>
        <v>1.7</v>
      </c>
      <c r="E64" s="25">
        <f>VLOOKUP(B64,'Data qoq'!$A:$AT,MATCH($E$1,'Data qoq'!$A$1:$AT$1,),)</f>
        <v>0.51730600000000004</v>
      </c>
      <c r="F64" s="25">
        <f>VLOOKUP(B64,'Data qoq'!$A:$AT,MATCH($F$1,'Data qoq'!$A$1:$AT$1,),)</f>
        <v>0.90089417900000002</v>
      </c>
      <c r="G64" s="25">
        <f>VLOOKUP(B64,'Data qoq'!$A:$AT,MATCH($G$1,'Data qoq'!$A$1:$AT$1,),)</f>
        <v>1.0686154889999999</v>
      </c>
      <c r="H64" s="25">
        <f>VLOOKUP(B64,'Data qoq'!$A:$AT,MATCH($H$1,'Data qoq'!$A$1:$AT$1,),)</f>
        <v>0.67168266799999998</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-8.1361580000000003E-2</v>
      </c>
      <c r="M64" s="25">
        <f>VLOOKUP(B64,'Data qoq'!$A:$AT,MATCH($M$1,'Data qoq'!$A$1:$AT$1,),)</f>
        <v>-0.55010685299999995</v>
      </c>
      <c r="N64" s="25">
        <f>VLOOKUP(B64,'Data qoq'!$A:$AT,MATCH($N$1,'Data qoq'!$A$1:$AT$1,),)</f>
        <v>0.34051066600000002</v>
      </c>
      <c r="O64" s="25">
        <f>VLOOKUP(B64,'Data qoq'!$A:$AT,MATCH($C$1,'Data qoq'!$J$1:$AT$1,),)</f>
        <v>1.1745192959999999</v>
      </c>
      <c r="P64" s="25">
        <f>VLOOKUP(B64,'Data qoq'!$A:$AT,MATCH($P$1,'Data qoq'!$A$1:$AT$1,),)</f>
        <v>0.58035719100000005</v>
      </c>
      <c r="Q64" s="25">
        <f>VLOOKUP(B64,'Data qoq'!$A:$AT,MATCH($Q$1,'Data qoq'!$A$1:$AT$1,),)</f>
        <v>0.41484588900000002</v>
      </c>
      <c r="R64" s="25">
        <f>VLOOKUP(B64,'Data qoq'!$A:$AT,MATCH($E$1,'Data qoq'!$A$1:$AT$1,),)</f>
        <v>0.51730600000000004</v>
      </c>
      <c r="S64" s="25">
        <f>VLOOKUP(B64,'Data qoq'!$A:$AT,MATCH($S$1,'Data qoq'!$A$1:$AT$1,),)</f>
        <v>1.1661529509999999</v>
      </c>
      <c r="T64" s="25">
        <f>VLOOKUP(B64,'Data qoq'!$A:$AT,MATCH($T$1,'Data qoq'!$A$1:$AT$1,),)</f>
        <v>1.4484598580000001</v>
      </c>
      <c r="U64" s="25">
        <f>VLOOKUP(B64,'Data qoq'!$A:$AT,MATCH($U$1,'Data qoq'!$A$1:$AT$1,),)</f>
        <v>0.15844214200000001</v>
      </c>
      <c r="V64" s="25">
        <f>VLOOKUP(B64,'Data qoq'!$A:$AT,MATCH($V$1,'Data qoq'!$A$1:$AT$1,),)</f>
        <v>1.676549152</v>
      </c>
      <c r="W64" s="25">
        <f>VLOOKUP(B64,'Data qoq'!$A:$AT,MATCH($W$1,'Data qoq'!$A$1:$AT$1,),)</f>
        <v>2.9357761130000002</v>
      </c>
      <c r="X64" s="25">
        <f>VLOOKUP(B64,'Data qoq'!$A:$AT,MATCH($X$1,'Data qoq'!$A$1:$AT$1,),)</f>
        <v>0.36711851000000001</v>
      </c>
      <c r="Y64" s="25">
        <f>VLOOKUP(B64,'Data qoq'!$A:$AT,MATCH($Y$1,'Data qoq'!$A$1:$AT$1,),)</f>
        <v>1.0770850519999999</v>
      </c>
      <c r="Z64" s="25">
        <f>VLOOKUP(B64,'Data qoq'!$A:$AU,MATCH($Z$1,'Data qoq'!$A$1:$AU$1,),)</f>
        <v>0.60396878899999995</v>
      </c>
      <c r="AA64" s="25">
        <f>VLOOKUP(B64,'Data qoq'!$A:$AU,MATCH($AA$1,'Data qoq'!$A$1:$AU$1,),)</f>
        <v>1.1745192959999999</v>
      </c>
      <c r="AC64" s="26" t="str">
        <f t="shared" si="8"/>
        <v>2013-Q2</v>
      </c>
      <c r="AD64" s="27">
        <f t="shared" si="9"/>
        <v>-0.92923026899999994</v>
      </c>
      <c r="AE64" s="27"/>
    </row>
    <row r="65" spans="2:31" hidden="1" x14ac:dyDescent="0.2">
      <c r="B65" s="24" t="s">
        <v>331</v>
      </c>
      <c r="C65" s="25">
        <f>VLOOKUP(B65,'Data qoq'!$A:$AT,MATCH($C$1,'Data qoq'!$A$1:$AT$1,),)</f>
        <v>0.79165341099999997</v>
      </c>
      <c r="D65" s="25">
        <f>VLOOKUP(B65,'Data qoq'!$A:$AT,MATCH($D$1,'Data qoq'!$A$1:$AT$1,),)</f>
        <v>2.1</v>
      </c>
      <c r="E65" s="25">
        <f>VLOOKUP(B65,'Data qoq'!$A:$AT,MATCH($E$1,'Data qoq'!$A$1:$AT$1,),)</f>
        <v>0.30234299999999997</v>
      </c>
      <c r="F65" s="25">
        <f>VLOOKUP(B65,'Data qoq'!$A:$AT,MATCH($F$1,'Data qoq'!$A$1:$AT$1,),)</f>
        <v>0.944427515</v>
      </c>
      <c r="G65" s="25">
        <f>VLOOKUP(B65,'Data qoq'!$A:$AT,MATCH($G$1,'Data qoq'!$A$1:$AT$1,),)</f>
        <v>0.55975774599999994</v>
      </c>
      <c r="H65" s="25">
        <f>VLOOKUP(B65,'Data qoq'!$A:$AT,MATCH($H$1,'Data qoq'!$A$1:$AT$1,),)</f>
        <v>-0.108893296</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0.44785307000000002</v>
      </c>
      <c r="M65" s="25">
        <f>VLOOKUP(B65,'Data qoq'!$A:$AT,MATCH($M$1,'Data qoq'!$A$1:$AT$1,),)</f>
        <v>0.93304836899999999</v>
      </c>
      <c r="N65" s="25">
        <f>VLOOKUP(B65,'Data qoq'!$A:$AT,MATCH($N$1,'Data qoq'!$A$1:$AT$1,),)</f>
        <v>4.0528552000000002E-2</v>
      </c>
      <c r="O65" s="25">
        <f>VLOOKUP(B65,'Data qoq'!$A:$AT,MATCH($C$1,'Data qoq'!$J$1:$AT$1,),)</f>
        <v>0.57377049199999997</v>
      </c>
      <c r="P65" s="25">
        <f>VLOOKUP(B65,'Data qoq'!$A:$AT,MATCH($P$1,'Data qoq'!$A$1:$AT$1,),)</f>
        <v>0.81497340200000001</v>
      </c>
      <c r="Q65" s="25">
        <f>VLOOKUP(B65,'Data qoq'!$A:$AT,MATCH($Q$1,'Data qoq'!$A$1:$AT$1,),)</f>
        <v>0.78100521099999998</v>
      </c>
      <c r="R65" s="25">
        <f>VLOOKUP(B65,'Data qoq'!$A:$AT,MATCH($E$1,'Data qoq'!$A$1:$AT$1,),)</f>
        <v>0.30234299999999997</v>
      </c>
      <c r="S65" s="25">
        <f>VLOOKUP(B65,'Data qoq'!$A:$AT,MATCH($S$1,'Data qoq'!$A$1:$AT$1,),)</f>
        <v>0.85615175899999996</v>
      </c>
      <c r="T65" s="25">
        <f>VLOOKUP(B65,'Data qoq'!$A:$AT,MATCH($T$1,'Data qoq'!$A$1:$AT$1,),)</f>
        <v>0.44344361599999998</v>
      </c>
      <c r="U65" s="25">
        <f>VLOOKUP(B65,'Data qoq'!$A:$AT,MATCH($U$1,'Data qoq'!$A$1:$AT$1,),)</f>
        <v>9.3168580000000008E-3</v>
      </c>
      <c r="V65" s="25">
        <f>VLOOKUP(B65,'Data qoq'!$A:$AT,MATCH($V$1,'Data qoq'!$A$1:$AT$1,),)</f>
        <v>3.1662157479999999</v>
      </c>
      <c r="W65" s="25">
        <f>VLOOKUP(B65,'Data qoq'!$A:$AT,MATCH($W$1,'Data qoq'!$A$1:$AT$1,),)</f>
        <v>1.4659761549999999</v>
      </c>
      <c r="X65" s="25">
        <f>VLOOKUP(B65,'Data qoq'!$A:$AT,MATCH($X$1,'Data qoq'!$A$1:$AT$1,),)</f>
        <v>0.42962492800000002</v>
      </c>
      <c r="Y65" s="25">
        <f>VLOOKUP(B65,'Data qoq'!$A:$AT,MATCH($Y$1,'Data qoq'!$A$1:$AT$1,),)</f>
        <v>0.75561699000000004</v>
      </c>
      <c r="Z65" s="25">
        <f>VLOOKUP(B65,'Data qoq'!$A:$AU,MATCH($Z$1,'Data qoq'!$A$1:$AU$1,),)</f>
        <v>0.539067517</v>
      </c>
      <c r="AA65" s="25">
        <f>VLOOKUP(B65,'Data qoq'!$A:$AU,MATCH($AA$1,'Data qoq'!$A$1:$AU$1,),)</f>
        <v>0.57377049199999997</v>
      </c>
      <c r="AC65" s="26" t="str">
        <f t="shared" si="8"/>
        <v>2013-Q3</v>
      </c>
      <c r="AD65" s="27">
        <f t="shared" si="9"/>
        <v>0.23189566500000003</v>
      </c>
      <c r="AE65" s="27"/>
    </row>
    <row r="66" spans="2:31" hidden="1" x14ac:dyDescent="0.2">
      <c r="B66" s="24" t="s">
        <v>332</v>
      </c>
      <c r="C66" s="25">
        <f>VLOOKUP(B66,'Data qoq'!$A:$AT,MATCH($C$1,'Data qoq'!$A$1:$AT$1,),)</f>
        <v>0.71117100200000005</v>
      </c>
      <c r="D66" s="25">
        <f>VLOOKUP(B66,'Data qoq'!$A:$AT,MATCH($D$1,'Data qoq'!$A$1:$AT$1,),)</f>
        <v>1.6</v>
      </c>
      <c r="E66" s="25">
        <f>VLOOKUP(B66,'Data qoq'!$A:$AT,MATCH($E$1,'Data qoq'!$A$1:$AT$1,),)</f>
        <v>0.284611</v>
      </c>
      <c r="F66" s="25">
        <f>VLOOKUP(B66,'Data qoq'!$A:$AT,MATCH($F$1,'Data qoq'!$A$1:$AT$1,),)</f>
        <v>-0.121555893</v>
      </c>
      <c r="G66" s="25">
        <f>VLOOKUP(B66,'Data qoq'!$A:$AT,MATCH($G$1,'Data qoq'!$A$1:$AT$1,),)</f>
        <v>0.28863740900000001</v>
      </c>
      <c r="H66" s="25">
        <f>VLOOKUP(B66,'Data qoq'!$A:$AT,MATCH($H$1,'Data qoq'!$A$1:$AT$1,),)</f>
        <v>0.66595706799999999</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0.70645933299999997</v>
      </c>
      <c r="M66" s="25">
        <f>VLOOKUP(B66,'Data qoq'!$A:$AT,MATCH($M$1,'Data qoq'!$A$1:$AT$1,),)</f>
        <v>0.55846097299999997</v>
      </c>
      <c r="N66" s="25">
        <f>VLOOKUP(B66,'Data qoq'!$A:$AT,MATCH($N$1,'Data qoq'!$A$1:$AT$1,),)</f>
        <v>0.57735481700000002</v>
      </c>
      <c r="O66" s="25">
        <f>VLOOKUP(B66,'Data qoq'!$A:$AT,MATCH($C$1,'Data qoq'!$J$1:$AT$1,),)</f>
        <v>0.24070809900000001</v>
      </c>
      <c r="P66" s="25">
        <f>VLOOKUP(B66,'Data qoq'!$A:$AT,MATCH($P$1,'Data qoq'!$A$1:$AT$1,),)</f>
        <v>1.050559545</v>
      </c>
      <c r="Q66" s="25">
        <f>VLOOKUP(B66,'Data qoq'!$A:$AT,MATCH($Q$1,'Data qoq'!$A$1:$AT$1,),)</f>
        <v>0.81226106600000003</v>
      </c>
      <c r="R66" s="25">
        <f>VLOOKUP(B66,'Data qoq'!$A:$AT,MATCH($E$1,'Data qoq'!$A$1:$AT$1,),)</f>
        <v>0.284611</v>
      </c>
      <c r="S66" s="25">
        <f>VLOOKUP(B66,'Data qoq'!$A:$AT,MATCH($S$1,'Data qoq'!$A$1:$AT$1,),)</f>
        <v>0.87491575300000002</v>
      </c>
      <c r="T66" s="25">
        <f>VLOOKUP(B66,'Data qoq'!$A:$AT,MATCH($T$1,'Data qoq'!$A$1:$AT$1,),)</f>
        <v>0.12833346300000001</v>
      </c>
      <c r="U66" s="25">
        <f>VLOOKUP(B66,'Data qoq'!$A:$AT,MATCH($U$1,'Data qoq'!$A$1:$AT$1,),)</f>
        <v>0.63358375600000005</v>
      </c>
      <c r="V66" s="25">
        <f>VLOOKUP(B66,'Data qoq'!$A:$AT,MATCH($V$1,'Data qoq'!$A$1:$AT$1,),)</f>
        <v>-1.2225868150000001</v>
      </c>
      <c r="W66" s="25">
        <f>VLOOKUP(B66,'Data qoq'!$A:$AT,MATCH($W$1,'Data qoq'!$A$1:$AT$1,),)</f>
        <v>0.19382951800000001</v>
      </c>
      <c r="X66" s="25">
        <f>VLOOKUP(B66,'Data qoq'!$A:$AT,MATCH($X$1,'Data qoq'!$A$1:$AT$1,),)</f>
        <v>1.2076664210000001</v>
      </c>
      <c r="Y66" s="25">
        <f>VLOOKUP(B66,'Data qoq'!$A:$AT,MATCH($Y$1,'Data qoq'!$A$1:$AT$1,),)</f>
        <v>0.26459448200000002</v>
      </c>
      <c r="Z66" s="25">
        <f>VLOOKUP(B66,'Data qoq'!$A:$AU,MATCH($Z$1,'Data qoq'!$A$1:$AU$1,),)</f>
        <v>-0.95094292700000005</v>
      </c>
      <c r="AA66" s="25">
        <f>VLOOKUP(B66,'Data qoq'!$A:$AU,MATCH($AA$1,'Data qoq'!$A$1:$AU$1,),)</f>
        <v>0.24070809900000001</v>
      </c>
      <c r="AC66" s="26" t="str">
        <f t="shared" si="8"/>
        <v>2013-Q4</v>
      </c>
      <c r="AD66" s="27">
        <f t="shared" si="9"/>
        <v>0.42253359300000004</v>
      </c>
      <c r="AE66" s="27"/>
    </row>
    <row r="67" spans="2:31" hidden="1" x14ac:dyDescent="0.2">
      <c r="B67" s="24" t="s">
        <v>333</v>
      </c>
      <c r="C67" s="25">
        <f>VLOOKUP(B67,'Data qoq'!$A:$AT,MATCH($C$1,'Data qoq'!$A$1:$AT$1,),)</f>
        <v>-0.35010973699999998</v>
      </c>
      <c r="D67" s="25">
        <f>VLOOKUP(B67,'Data qoq'!$A:$AT,MATCH($D$1,'Data qoq'!$A$1:$AT$1,),)</f>
        <v>1.8</v>
      </c>
      <c r="E67" s="25">
        <f>VLOOKUP(B67,'Data qoq'!$A:$AT,MATCH($E$1,'Data qoq'!$A$1:$AT$1,),)</f>
        <v>0.411298</v>
      </c>
      <c r="F67" s="25">
        <f>VLOOKUP(B67,'Data qoq'!$A:$AT,MATCH($F$1,'Data qoq'!$A$1:$AT$1,),)</f>
        <v>0.83921289499999996</v>
      </c>
      <c r="G67" s="25">
        <f>VLOOKUP(B67,'Data qoq'!$A:$AT,MATCH($G$1,'Data qoq'!$A$1:$AT$1,),)</f>
        <v>0.973900086</v>
      </c>
      <c r="H67" s="25">
        <f>VLOOKUP(B67,'Data qoq'!$A:$AT,MATCH($H$1,'Data qoq'!$A$1:$AT$1,),)</f>
        <v>7.7776920000000001E-3</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0.82923213500000004</v>
      </c>
      <c r="M67" s="25">
        <f>VLOOKUP(B67,'Data qoq'!$A:$AT,MATCH($M$1,'Data qoq'!$A$1:$AT$1,),)</f>
        <v>0.69040215900000002</v>
      </c>
      <c r="N67" s="25">
        <f>VLOOKUP(B67,'Data qoq'!$A:$AT,MATCH($N$1,'Data qoq'!$A$1:$AT$1,),)</f>
        <v>-7.460833E-3</v>
      </c>
      <c r="O67" s="25">
        <f>VLOOKUP(B67,'Data qoq'!$A:$AT,MATCH($C$1,'Data qoq'!$J$1:$AT$1,),)</f>
        <v>1.4993949479999999</v>
      </c>
      <c r="P67" s="25">
        <f>VLOOKUP(B67,'Data qoq'!$A:$AT,MATCH($P$1,'Data qoq'!$A$1:$AT$1,),)</f>
        <v>0.163447761</v>
      </c>
      <c r="Q67" s="25">
        <f>VLOOKUP(B67,'Data qoq'!$A:$AT,MATCH($Q$1,'Data qoq'!$A$1:$AT$1,),)</f>
        <v>0.77007952099999999</v>
      </c>
      <c r="R67" s="25">
        <f>VLOOKUP(B67,'Data qoq'!$A:$AT,MATCH($E$1,'Data qoq'!$A$1:$AT$1,),)</f>
        <v>0.411298</v>
      </c>
      <c r="S67" s="25">
        <f>VLOOKUP(B67,'Data qoq'!$A:$AT,MATCH($S$1,'Data qoq'!$A$1:$AT$1,),)</f>
        <v>0.85697468899999996</v>
      </c>
      <c r="T67" s="25">
        <f>VLOOKUP(B67,'Data qoq'!$A:$AT,MATCH($T$1,'Data qoq'!$A$1:$AT$1,),)</f>
        <v>0.87579861299999995</v>
      </c>
      <c r="U67" s="25">
        <f>VLOOKUP(B67,'Data qoq'!$A:$AT,MATCH($U$1,'Data qoq'!$A$1:$AT$1,),)</f>
        <v>-3.0729065999999999E-2</v>
      </c>
      <c r="V67" s="25">
        <f>VLOOKUP(B67,'Data qoq'!$A:$AT,MATCH($V$1,'Data qoq'!$A$1:$AT$1,),)</f>
        <v>3.8078778089999998</v>
      </c>
      <c r="W67" s="25">
        <f>VLOOKUP(B67,'Data qoq'!$A:$AT,MATCH($W$1,'Data qoq'!$A$1:$AT$1,),)</f>
        <v>2.901075638</v>
      </c>
      <c r="X67" s="25">
        <f>VLOOKUP(B67,'Data qoq'!$A:$AT,MATCH($X$1,'Data qoq'!$A$1:$AT$1,),)</f>
        <v>-0.54767266699999995</v>
      </c>
      <c r="Y67" s="25">
        <f>VLOOKUP(B67,'Data qoq'!$A:$AT,MATCH($Y$1,'Data qoq'!$A$1:$AT$1,),)</f>
        <v>1.032811897</v>
      </c>
      <c r="Z67" s="25">
        <f>VLOOKUP(B67,'Data qoq'!$A:$AU,MATCH($Z$1,'Data qoq'!$A$1:$AU$1,),)</f>
        <v>-1.4919004410000001</v>
      </c>
      <c r="AA67" s="25">
        <f>VLOOKUP(B67,'Data qoq'!$A:$AU,MATCH($AA$1,'Data qoq'!$A$1:$AU$1,),)</f>
        <v>1.4993949479999999</v>
      </c>
      <c r="AC67" s="26" t="str">
        <f t="shared" si="8"/>
        <v>2014-Q1</v>
      </c>
      <c r="AD67" s="27">
        <f t="shared" si="9"/>
        <v>-1.3240098229999999</v>
      </c>
      <c r="AE67" s="27"/>
    </row>
    <row r="68" spans="2:31" hidden="1" x14ac:dyDescent="0.2">
      <c r="B68" s="24" t="s">
        <v>334</v>
      </c>
      <c r="C68" s="25">
        <f>VLOOKUP(B68,'Data qoq'!$A:$AT,MATCH($C$1,'Data qoq'!$A$1:$AT$1,),)</f>
        <v>1.2841289069999999</v>
      </c>
      <c r="D68" s="25">
        <f>VLOOKUP(B68,'Data qoq'!$A:$AT,MATCH($D$1,'Data qoq'!$A$1:$AT$1,),)</f>
        <v>1.8</v>
      </c>
      <c r="E68" s="25">
        <f>VLOOKUP(B68,'Data qoq'!$A:$AT,MATCH($E$1,'Data qoq'!$A$1:$AT$1,),)</f>
        <v>0.19892599999999999</v>
      </c>
      <c r="F68" s="25">
        <f>VLOOKUP(B68,'Data qoq'!$A:$AT,MATCH($F$1,'Data qoq'!$A$1:$AT$1,),)</f>
        <v>-1.8178250739999999</v>
      </c>
      <c r="G68" s="25">
        <f>VLOOKUP(B68,'Data qoq'!$A:$AT,MATCH($G$1,'Data qoq'!$A$1:$AT$1,),)</f>
        <v>0</v>
      </c>
      <c r="H68" s="25">
        <f>VLOOKUP(B68,'Data qoq'!$A:$AT,MATCH($H$1,'Data qoq'!$A$1:$AT$1,),)</f>
        <v>9.0229126000000007E-2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0.82241242699999995</v>
      </c>
      <c r="M68" s="25">
        <f>VLOOKUP(B68,'Data qoq'!$A:$AT,MATCH($M$1,'Data qoq'!$A$1:$AT$1,),)</f>
        <v>1.2603529499999999</v>
      </c>
      <c r="N68" s="25">
        <f>VLOOKUP(B68,'Data qoq'!$A:$AT,MATCH($N$1,'Data qoq'!$A$1:$AT$1,),)</f>
        <v>0.48161520000000002</v>
      </c>
      <c r="O68" s="25">
        <f>VLOOKUP(B68,'Data qoq'!$A:$AT,MATCH($C$1,'Data qoq'!$J$1:$AT$1,),)</f>
        <v>0.51601125199999998</v>
      </c>
      <c r="P68" s="25">
        <f>VLOOKUP(B68,'Data qoq'!$A:$AT,MATCH($P$1,'Data qoq'!$A$1:$AT$1,),)</f>
        <v>0.913329104</v>
      </c>
      <c r="Q68" s="25">
        <f>VLOOKUP(B68,'Data qoq'!$A:$AT,MATCH($Q$1,'Data qoq'!$A$1:$AT$1,),)</f>
        <v>0.43956492400000002</v>
      </c>
      <c r="R68" s="25">
        <f>VLOOKUP(B68,'Data qoq'!$A:$AT,MATCH($E$1,'Data qoq'!$A$1:$AT$1,),)</f>
        <v>0.19892599999999999</v>
      </c>
      <c r="S68" s="25">
        <f>VLOOKUP(B68,'Data qoq'!$A:$AT,MATCH($S$1,'Data qoq'!$A$1:$AT$1,),)</f>
        <v>0.87785840999999998</v>
      </c>
      <c r="T68" s="25">
        <f>VLOOKUP(B68,'Data qoq'!$A:$AT,MATCH($T$1,'Data qoq'!$A$1:$AT$1,),)</f>
        <v>-1.5049985880000001</v>
      </c>
      <c r="U68" s="25">
        <f>VLOOKUP(B68,'Data qoq'!$A:$AT,MATCH($U$1,'Data qoq'!$A$1:$AT$1,),)</f>
        <v>-0.254363377</v>
      </c>
      <c r="V68" s="25">
        <f>VLOOKUP(B68,'Data qoq'!$A:$AT,MATCH($V$1,'Data qoq'!$A$1:$AT$1,),)</f>
        <v>3.1203623569999999</v>
      </c>
      <c r="W68" s="25">
        <f>VLOOKUP(B68,'Data qoq'!$A:$AT,MATCH($W$1,'Data qoq'!$A$1:$AT$1,),)</f>
        <v>-1.62240622</v>
      </c>
      <c r="X68" s="25">
        <f>VLOOKUP(B68,'Data qoq'!$A:$AT,MATCH($X$1,'Data qoq'!$A$1:$AT$1,),)</f>
        <v>0.93476293799999999</v>
      </c>
      <c r="Y68" s="25">
        <f>VLOOKUP(B68,'Data qoq'!$A:$AT,MATCH($Y$1,'Data qoq'!$A$1:$AT$1,),)</f>
        <v>1.139115192</v>
      </c>
      <c r="Z68" s="25">
        <f>VLOOKUP(B68,'Data qoq'!$A:$AU,MATCH($Z$1,'Data qoq'!$A$1:$AU$1,),)</f>
        <v>-0.60265458500000002</v>
      </c>
      <c r="AA68" s="25">
        <f>VLOOKUP(B68,'Data qoq'!$A:$AU,MATCH($AA$1,'Data qoq'!$A$1:$AU$1,),)</f>
        <v>0.51601125199999998</v>
      </c>
      <c r="AC68" s="26" t="str">
        <f t="shared" si="8"/>
        <v>2014-Q2</v>
      </c>
      <c r="AD68" s="27">
        <f t="shared" si="9"/>
        <v>1.2841289069999999</v>
      </c>
      <c r="AE68" s="27"/>
    </row>
    <row r="69" spans="2:31" hidden="1" x14ac:dyDescent="0.2">
      <c r="B69" s="24" t="s">
        <v>335</v>
      </c>
      <c r="C69" s="25">
        <f>VLOOKUP(B69,'Data qoq'!$A:$AT,MATCH($C$1,'Data qoq'!$A$1:$AT$1,),)</f>
        <v>1.1649616439999999</v>
      </c>
      <c r="D69" s="25">
        <f>VLOOKUP(B69,'Data qoq'!$A:$AT,MATCH($D$1,'Data qoq'!$A$1:$AT$1,),)</f>
        <v>1.8</v>
      </c>
      <c r="E69" s="25">
        <f>VLOOKUP(B69,'Data qoq'!$A:$AT,MATCH($E$1,'Data qoq'!$A$1:$AT$1,),)</f>
        <v>0.48802099999999998</v>
      </c>
      <c r="F69" s="25">
        <f>VLOOKUP(B69,'Data qoq'!$A:$AT,MATCH($F$1,'Data qoq'!$A$1:$AT$1,),)</f>
        <v>7.1806301000000003E-2</v>
      </c>
      <c r="G69" s="25">
        <f>VLOOKUP(B69,'Data qoq'!$A:$AT,MATCH($G$1,'Data qoq'!$A$1:$AT$1,),)</f>
        <v>0.50895373600000005</v>
      </c>
      <c r="H69" s="25">
        <f>VLOOKUP(B69,'Data qoq'!$A:$AT,MATCH($H$1,'Data qoq'!$A$1:$AT$1,),)</f>
        <v>0.56494227500000005</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0.70998365699999999</v>
      </c>
      <c r="M69" s="25">
        <f>VLOOKUP(B69,'Data qoq'!$A:$AT,MATCH($M$1,'Data qoq'!$A$1:$AT$1,),)</f>
        <v>0.36558553799999999</v>
      </c>
      <c r="N69" s="25">
        <f>VLOOKUP(B69,'Data qoq'!$A:$AT,MATCH($N$1,'Data qoq'!$A$1:$AT$1,),)</f>
        <v>-0.318118911</v>
      </c>
      <c r="O69" s="25">
        <f>VLOOKUP(B69,'Data qoq'!$A:$AT,MATCH($C$1,'Data qoq'!$J$1:$AT$1,),)</f>
        <v>1.2695059120000001</v>
      </c>
      <c r="P69" s="25">
        <f>VLOOKUP(B69,'Data qoq'!$A:$AT,MATCH($P$1,'Data qoq'!$A$1:$AT$1,),)</f>
        <v>0.95905130800000005</v>
      </c>
      <c r="Q69" s="25">
        <f>VLOOKUP(B69,'Data qoq'!$A:$AT,MATCH($Q$1,'Data qoq'!$A$1:$AT$1,),)</f>
        <v>0.46720850800000002</v>
      </c>
      <c r="R69" s="25">
        <f>VLOOKUP(B69,'Data qoq'!$A:$AT,MATCH($E$1,'Data qoq'!$A$1:$AT$1,),)</f>
        <v>0.48802099999999998</v>
      </c>
      <c r="S69" s="25">
        <f>VLOOKUP(B69,'Data qoq'!$A:$AT,MATCH($S$1,'Data qoq'!$A$1:$AT$1,),)</f>
        <v>0.31131726599999998</v>
      </c>
      <c r="T69" s="25">
        <f>VLOOKUP(B69,'Data qoq'!$A:$AT,MATCH($T$1,'Data qoq'!$A$1:$AT$1,),)</f>
        <v>-2.8814091E-2</v>
      </c>
      <c r="U69" s="25">
        <f>VLOOKUP(B69,'Data qoq'!$A:$AT,MATCH($U$1,'Data qoq'!$A$1:$AT$1,),)</f>
        <v>1.068551037</v>
      </c>
      <c r="V69" s="25">
        <f>VLOOKUP(B69,'Data qoq'!$A:$AT,MATCH($V$1,'Data qoq'!$A$1:$AT$1,),)</f>
        <v>1.8151413430000001</v>
      </c>
      <c r="W69" s="25">
        <f>VLOOKUP(B69,'Data qoq'!$A:$AT,MATCH($W$1,'Data qoq'!$A$1:$AT$1,),)</f>
        <v>2.4581843989999999</v>
      </c>
      <c r="X69" s="25">
        <f>VLOOKUP(B69,'Data qoq'!$A:$AT,MATCH($X$1,'Data qoq'!$A$1:$AT$1,),)</f>
        <v>1.1888070820000001</v>
      </c>
      <c r="Y69" s="25">
        <f>VLOOKUP(B69,'Data qoq'!$A:$AT,MATCH($Y$1,'Data qoq'!$A$1:$AT$1,),)</f>
        <v>0.83409964400000003</v>
      </c>
      <c r="Z69" s="25">
        <f>VLOOKUP(B69,'Data qoq'!$A:$AU,MATCH($Z$1,'Data qoq'!$A$1:$AU$1,),)</f>
        <v>-0.86131206900000001</v>
      </c>
      <c r="AA69" s="25">
        <f>VLOOKUP(B69,'Data qoq'!$A:$AU,MATCH($AA$1,'Data qoq'!$A$1:$AU$1,),)</f>
        <v>1.2695059120000001</v>
      </c>
      <c r="AC69" s="26" t="str">
        <f t="shared" si="8"/>
        <v>2014-Q3</v>
      </c>
      <c r="AD69" s="27">
        <f t="shared" si="9"/>
        <v>0.65600790799999986</v>
      </c>
      <c r="AE69" s="27"/>
    </row>
    <row r="70" spans="2:31" hidden="1" x14ac:dyDescent="0.2">
      <c r="B70" s="24" t="s">
        <v>336</v>
      </c>
      <c r="C70" s="25">
        <f>VLOOKUP(B70,'Data qoq'!$A:$AT,MATCH($C$1,'Data qoq'!$A$1:$AT$1,),)</f>
        <v>0.44899340199999999</v>
      </c>
      <c r="D70" s="25">
        <f>VLOOKUP(B70,'Data qoq'!$A:$AT,MATCH($D$1,'Data qoq'!$A$1:$AT$1,),)</f>
        <v>1.8</v>
      </c>
      <c r="E70" s="25">
        <f>VLOOKUP(B70,'Data qoq'!$A:$AT,MATCH($E$1,'Data qoq'!$A$1:$AT$1,),)</f>
        <v>0.36652000000000001</v>
      </c>
      <c r="F70" s="25">
        <f>VLOOKUP(B70,'Data qoq'!$A:$AT,MATCH($F$1,'Data qoq'!$A$1:$AT$1,),)</f>
        <v>0.467089425</v>
      </c>
      <c r="G70" s="25">
        <f>VLOOKUP(B70,'Data qoq'!$A:$AT,MATCH($G$1,'Data qoq'!$A$1:$AT$1,),)</f>
        <v>0.81021447099999999</v>
      </c>
      <c r="H70" s="25">
        <f>VLOOKUP(B70,'Data qoq'!$A:$AT,MATCH($H$1,'Data qoq'!$A$1:$AT$1,),)</f>
        <v>-3.4314966000000002E-2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0.77865706999999995</v>
      </c>
      <c r="M70" s="25">
        <f>VLOOKUP(B70,'Data qoq'!$A:$AT,MATCH($M$1,'Data qoq'!$A$1:$AT$1,),)</f>
        <v>1.0442878920000001</v>
      </c>
      <c r="N70" s="25">
        <f>VLOOKUP(B70,'Data qoq'!$A:$AT,MATCH($N$1,'Data qoq'!$A$1:$AT$1,),)</f>
        <v>-0.23528992500000001</v>
      </c>
      <c r="O70" s="25">
        <f>VLOOKUP(B70,'Data qoq'!$A:$AT,MATCH($C$1,'Data qoq'!$J$1:$AT$1,),)</f>
        <v>1.621433669</v>
      </c>
      <c r="P70" s="25">
        <f>VLOOKUP(B70,'Data qoq'!$A:$AT,MATCH($P$1,'Data qoq'!$A$1:$AT$1,),)</f>
        <v>0.69197566799999999</v>
      </c>
      <c r="Q70" s="25">
        <f>VLOOKUP(B70,'Data qoq'!$A:$AT,MATCH($Q$1,'Data qoq'!$A$1:$AT$1,),)</f>
        <v>0.37854365200000001</v>
      </c>
      <c r="R70" s="25">
        <f>VLOOKUP(B70,'Data qoq'!$A:$AT,MATCH($E$1,'Data qoq'!$A$1:$AT$1,),)</f>
        <v>0.36652000000000001</v>
      </c>
      <c r="S70" s="25">
        <f>VLOOKUP(B70,'Data qoq'!$A:$AT,MATCH($S$1,'Data qoq'!$A$1:$AT$1,),)</f>
        <v>0.49063874800000001</v>
      </c>
      <c r="T70" s="25">
        <f>VLOOKUP(B70,'Data qoq'!$A:$AT,MATCH($T$1,'Data qoq'!$A$1:$AT$1,),)</f>
        <v>0.51088226800000003</v>
      </c>
      <c r="U70" s="25">
        <f>VLOOKUP(B70,'Data qoq'!$A:$AT,MATCH($U$1,'Data qoq'!$A$1:$AT$1,),)</f>
        <v>-1.0527102930000001</v>
      </c>
      <c r="V70" s="25">
        <f>VLOOKUP(B70,'Data qoq'!$A:$AT,MATCH($V$1,'Data qoq'!$A$1:$AT$1,),)</f>
        <v>-0.326633538</v>
      </c>
      <c r="W70" s="25">
        <f>VLOOKUP(B70,'Data qoq'!$A:$AT,MATCH($W$1,'Data qoq'!$A$1:$AT$1,),)</f>
        <v>1.3475593850000001</v>
      </c>
      <c r="X70" s="25">
        <f>VLOOKUP(B70,'Data qoq'!$A:$AT,MATCH($X$1,'Data qoq'!$A$1:$AT$1,),)</f>
        <v>1.146457887</v>
      </c>
      <c r="Y70" s="25">
        <f>VLOOKUP(B70,'Data qoq'!$A:$AT,MATCH($Y$1,'Data qoq'!$A$1:$AT$1,),)</f>
        <v>0.65556957599999999</v>
      </c>
      <c r="Z70" s="25">
        <f>VLOOKUP(B70,'Data qoq'!$A:$AU,MATCH($Z$1,'Data qoq'!$A$1:$AU$1,),)</f>
        <v>0.56610252500000002</v>
      </c>
      <c r="AA70" s="25">
        <f>VLOOKUP(B70,'Data qoq'!$A:$AU,MATCH($AA$1,'Data qoq'!$A$1:$AU$1,),)</f>
        <v>1.621433669</v>
      </c>
      <c r="AC70" s="26" t="str">
        <f t="shared" si="8"/>
        <v>2014-Q4</v>
      </c>
      <c r="AD70" s="27">
        <f t="shared" si="9"/>
        <v>-0.36122106900000001</v>
      </c>
      <c r="AE70" s="27"/>
    </row>
    <row r="71" spans="2:31" x14ac:dyDescent="0.2">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0.62446699999999999</v>
      </c>
      <c r="F71" s="25">
        <f>IF(VLOOKUP(B71,'Data qoq'!$A:$AT,MATCH($F$1,'Data qoq'!$A$1:$AT$1,),)=0,#N/A,VLOOKUP(B71,'Data qoq'!$A:$AT,MATCH($F$1,'Data qoq'!$A$1:$AT$1,),))</f>
        <v>1.568034905</v>
      </c>
      <c r="G71" s="25">
        <f>IF(VLOOKUP(B71,'Data qoq'!$A:$AT,MATCH($G$1,'Data qoq'!$A$1:$AT$1,),)=0,#N/A,VLOOKUP(B71,'Data qoq'!$A:$AT,MATCH($G$1,'Data qoq'!$A$1:$AT$1,),))</f>
        <v>-0.51232340700000001</v>
      </c>
      <c r="H71" s="25">
        <f>IF(VLOOKUP(B71,'Data qoq'!$A:$AT,MATCH($H$1,'Data qoq'!$A$1:$AT$1,),)=0,#N/A,VLOOKUP(B71,'Data qoq'!$A:$AT,MATCH($H$1,'Data qoq'!$A$1:$AT$1,),))</f>
        <v>0.527986862</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1.4067631249999999</v>
      </c>
      <c r="M71" s="25">
        <f>IF(VLOOKUP(B71,'Data qoq'!$A:$AT,MATCH($M$1,'Data qoq'!$A$1:$AT$1,),)=0,#N/A,VLOOKUP(B71,'Data qoq'!$A:$AT,MATCH($M$1,'Data qoq'!$A$1:$AT$1,),))</f>
        <v>0.54624559399999995</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0.93574031099999999</v>
      </c>
      <c r="R71" s="25">
        <f>IF(VLOOKUP(B71,'Data qoq'!$A:$AT,MATCH($R$1,'Data qoq'!$A$1:$AT$1,),)=0,#N/A,VLOOKUP(B71,'Data qoq'!$A:$AT,MATCH($R$1,'Data qoq'!$A$1:$AT$1,),))</f>
        <v>-0.180298606</v>
      </c>
      <c r="S71" s="25">
        <f>IF(VLOOKUP(B71,'Data qoq'!$A:$AT,MATCH($S$1,'Data qoq'!$A$1:$AT$1,),)=0,#N/A,VLOOKUP(B71,'Data qoq'!$A:$AT,MATCH($S$1,'Data qoq'!$A$1:$AT$1,),))</f>
        <v>0.77536404000000003</v>
      </c>
      <c r="T71" s="25">
        <f>IF(VLOOKUP(B71,'Data qoq'!$A:$AT,MATCH($T$1,'Data qoq'!$A$1:$AT$1,),)=0,#N/A,VLOOKUP(B71,'Data qoq'!$A:$AT,MATCH($T$1,'Data qoq'!$A$1:$AT$1,),))</f>
        <v>-0.79701102499999998</v>
      </c>
      <c r="U71" s="25">
        <f>IF(VLOOKUP(B71,'Data qoq'!$A:$AT,MATCH($U$1,'Data qoq'!$A$1:$AT$1,),)=0,#N/A,VLOOKUP(B71,'Data qoq'!$A:$AT,MATCH($U$1,'Data qoq'!$A$1:$AT$1,),))</f>
        <v>0.56766329599999998</v>
      </c>
      <c r="V71" s="25">
        <f>IF(VLOOKUP(B71,'Data qoq'!$A:$AT,MATCH($V$1,'Data qoq'!$A$1:$AT$1,),)=0,#N/A,VLOOKUP(B71,'Data qoq'!$A:$AT,MATCH($V$1,'Data qoq'!$A$1:$AT$1,),))</f>
        <v>21.018325974</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1.4163281750000001</v>
      </c>
      <c r="Z71" s="25">
        <f>IF(VLOOKUP(B71,'Data qoq'!$A:$AU,MATCH($Z$1,'Data qoq'!$A$1:$AU$1,),)=0,#N/A,VLOOKUP(B71,'Data qoq'!$A:$AU,MATCH($Z$1,'Data qoq'!$A$1:$AU$1,),))</f>
        <v>1.475333314</v>
      </c>
      <c r="AA71" s="25">
        <f>IF(VLOOKUP(B71,'Data qoq'!$A:$AU,MATCH($AA$1,'Data qoq'!$A$1:$AU$1,),)=0,#N/A,VLOOKUP(B71,'Data qoq'!$A:$AU,MATCH($AA$1,'Data qoq'!$A$1:$AU$1,),))</f>
        <v>0.32055322400000003</v>
      </c>
      <c r="AC71" s="26" t="str">
        <f t="shared" si="8"/>
        <v>2015-Q1</v>
      </c>
      <c r="AD71" s="27">
        <f t="shared" si="9"/>
        <v>1.325637033</v>
      </c>
      <c r="AE71" s="27"/>
    </row>
    <row r="72" spans="2:31" x14ac:dyDescent="0.2">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0.465779</v>
      </c>
      <c r="F72" s="25">
        <f>IF(VLOOKUP(B72,'Data qoq'!$A:$AT,MATCH($F$1,'Data qoq'!$A$1:$AT$1,),)=0,#N/A,VLOOKUP(B72,'Data qoq'!$A:$AT,MATCH($F$1,'Data qoq'!$A$1:$AT$1,),))</f>
        <v>0.136060825</v>
      </c>
      <c r="G72" s="25">
        <f>IF(VLOOKUP(B72,'Data qoq'!$A:$AT,MATCH($G$1,'Data qoq'!$A$1:$AT$1,),)=0,#N/A,VLOOKUP(B72,'Data qoq'!$A:$AT,MATCH($G$1,'Data qoq'!$A$1:$AT$1,),))</f>
        <v>0.73714628999999998</v>
      </c>
      <c r="H72" s="25">
        <f>IF(VLOOKUP(B72,'Data qoq'!$A:$AT,MATCH($H$1,'Data qoq'!$A$1:$AT$1,),)=0,#N/A,VLOOKUP(B72,'Data qoq'!$A:$AT,MATCH($H$1,'Data qoq'!$A$1:$AT$1,),))</f>
        <v>0.119328222</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1.006912458</v>
      </c>
      <c r="M72" s="25">
        <f>IF(VLOOKUP(B72,'Data qoq'!$A:$AT,MATCH($M$1,'Data qoq'!$A$1:$AT$1,),)=0,#N/A,VLOOKUP(B72,'Data qoq'!$A:$AT,MATCH($M$1,'Data qoq'!$A$1:$AT$1,),))</f>
        <v>1.159719253</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8.0710787000000006E-2</v>
      </c>
      <c r="R72" s="25">
        <f>IF(VLOOKUP(B72,'Data qoq'!$A:$AT,MATCH($R$1,'Data qoq'!$A$1:$AT$1,),)=0,#N/A,VLOOKUP(B72,'Data qoq'!$A:$AT,MATCH($R$1,'Data qoq'!$A$1:$AT$1,),))</f>
        <v>0.45914007699999998</v>
      </c>
      <c r="S72" s="25">
        <f>IF(VLOOKUP(B72,'Data qoq'!$A:$AT,MATCH($S$1,'Data qoq'!$A$1:$AT$1,),)=0,#N/A,VLOOKUP(B72,'Data qoq'!$A:$AT,MATCH($S$1,'Data qoq'!$A$1:$AT$1,),))</f>
        <v>0.483265163</v>
      </c>
      <c r="T72" s="25">
        <f>IF(VLOOKUP(B72,'Data qoq'!$A:$AT,MATCH($T$1,'Data qoq'!$A$1:$AT$1,),)=0,#N/A,VLOOKUP(B72,'Data qoq'!$A:$AT,MATCH($T$1,'Data qoq'!$A$1:$AT$1,),))</f>
        <v>-2.377950792</v>
      </c>
      <c r="U72" s="25">
        <f>IF(VLOOKUP(B72,'Data qoq'!$A:$AT,MATCH($U$1,'Data qoq'!$A$1:$AT$1,),)=0,#N/A,VLOOKUP(B72,'Data qoq'!$A:$AT,MATCH($U$1,'Data qoq'!$A$1:$AT$1,),))</f>
        <v>-5.9579470000000002E-2</v>
      </c>
      <c r="V72" s="25">
        <f>IF(VLOOKUP(B72,'Data qoq'!$A:$AT,MATCH($V$1,'Data qoq'!$A$1:$AT$1,),)=0,#N/A,VLOOKUP(B72,'Data qoq'!$A:$AT,MATCH($V$1,'Data qoq'!$A$1:$AT$1,),))</f>
        <v>-2.5593852539999999</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0.78802928800000005</v>
      </c>
      <c r="Z72" s="25">
        <f>IF(VLOOKUP(B72,'Data qoq'!$A:$AU,MATCH($Z$1,'Data qoq'!$A$1:$AU$1,),)=0,#N/A,VLOOKUP(B72,'Data qoq'!$A:$AU,MATCH($Z$1,'Data qoq'!$A$1:$AU$1,),))</f>
        <v>2.2644161189999998</v>
      </c>
      <c r="AA72" s="25">
        <f>IF(VLOOKUP(B72,'Data qoq'!$A:$AU,MATCH($AA$1,'Data qoq'!$A$1:$AU$1,),)=0,#N/A,VLOOKUP(B72,'Data qoq'!$A:$AU,MATCH($AA$1,'Data qoq'!$A$1:$AU$1,),))</f>
        <v>0.73060836200000001</v>
      </c>
      <c r="AC72" s="26" t="str">
        <f t="shared" si="8"/>
        <v>2015-Q2</v>
      </c>
      <c r="AD72" s="27">
        <f t="shared" si="9"/>
        <v>-0.157144858</v>
      </c>
      <c r="AE72" s="27"/>
    </row>
    <row r="73" spans="2:31" x14ac:dyDescent="0.2">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0.42676999999999998</v>
      </c>
      <c r="F73" s="25">
        <f>IF(VLOOKUP(B73,'Data qoq'!$A:$AT,MATCH($F$1,'Data qoq'!$A$1:$AT$1,),)=0,#N/A,VLOOKUP(B73,'Data qoq'!$A:$AT,MATCH($F$1,'Data qoq'!$A$1:$AT$1,),))</f>
        <v>8.0217713999999996E-2</v>
      </c>
      <c r="G73" s="25">
        <f>IF(VLOOKUP(B73,'Data qoq'!$A:$AT,MATCH($G$1,'Data qoq'!$A$1:$AT$1,),)=0,#N/A,VLOOKUP(B73,'Data qoq'!$A:$AT,MATCH($G$1,'Data qoq'!$A$1:$AT$1,),))</f>
        <v>0.45108163299999998</v>
      </c>
      <c r="H73" s="25">
        <f>IF(VLOOKUP(B73,'Data qoq'!$A:$AT,MATCH($H$1,'Data qoq'!$A$1:$AT$1,),)=0,#N/A,VLOOKUP(B73,'Data qoq'!$A:$AT,MATCH($H$1,'Data qoq'!$A$1:$AT$1,),))</f>
        <v>0.21945914</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1.3663967189999999</v>
      </c>
      <c r="M73" s="25">
        <f>IF(VLOOKUP(B73,'Data qoq'!$A:$AT,MATCH($M$1,'Data qoq'!$A$1:$AT$1,),)=0,#N/A,VLOOKUP(B73,'Data qoq'!$A:$AT,MATCH($M$1,'Data qoq'!$A$1:$AT$1,),))</f>
        <v>1.3267358229999999</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1.024909329</v>
      </c>
      <c r="R73" s="25">
        <f>IF(VLOOKUP(B73,'Data qoq'!$A:$AT,MATCH($R$1,'Data qoq'!$A$1:$AT$1,),)=0,#N/A,VLOOKUP(B73,'Data qoq'!$A:$AT,MATCH($R$1,'Data qoq'!$A$1:$AT$1,),))</f>
        <v>0.623565547</v>
      </c>
      <c r="S73" s="25">
        <f>IF(VLOOKUP(B73,'Data qoq'!$A:$AT,MATCH($S$1,'Data qoq'!$A$1:$AT$1,),)=0,#N/A,VLOOKUP(B73,'Data qoq'!$A:$AT,MATCH($S$1,'Data qoq'!$A$1:$AT$1,),))</f>
        <v>1.4429687099999999</v>
      </c>
      <c r="T73" s="25">
        <f>IF(VLOOKUP(B73,'Data qoq'!$A:$AT,MATCH($T$1,'Data qoq'!$A$1:$AT$1,),)=0,#N/A,VLOOKUP(B73,'Data qoq'!$A:$AT,MATCH($T$1,'Data qoq'!$A$1:$AT$1,),))</f>
        <v>-1.5876823</v>
      </c>
      <c r="U73" s="25">
        <f>IF(VLOOKUP(B73,'Data qoq'!$A:$AT,MATCH($U$1,'Data qoq'!$A$1:$AT$1,),)=0,#N/A,VLOOKUP(B73,'Data qoq'!$A:$AT,MATCH($U$1,'Data qoq'!$A$1:$AT$1,),))</f>
        <v>-1.878887142</v>
      </c>
      <c r="V73" s="25">
        <f>IF(VLOOKUP(B73,'Data qoq'!$A:$AT,MATCH($V$1,'Data qoq'!$A$1:$AT$1,),)=0,#N/A,VLOOKUP(B73,'Data qoq'!$A:$AT,MATCH($V$1,'Data qoq'!$A$1:$AT$1,),))</f>
        <v>3.5978299919999999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1.2619336000000001</v>
      </c>
      <c r="Z73" s="25">
        <f>IF(VLOOKUP(B73,'Data qoq'!$A:$AU,MATCH($Z$1,'Data qoq'!$A$1:$AU$1,),)=0,#N/A,VLOOKUP(B73,'Data qoq'!$A:$AU,MATCH($Z$1,'Data qoq'!$A$1:$AU$1,),))</f>
        <v>-1.3219312E-2</v>
      </c>
      <c r="AA73" s="25">
        <f>IF(VLOOKUP(B73,'Data qoq'!$A:$AU,MATCH($AA$1,'Data qoq'!$A$1:$AU$1,),)=0,#N/A,VLOOKUP(B73,'Data qoq'!$A:$AU,MATCH($AA$1,'Data qoq'!$A$1:$AU$1,),))</f>
        <v>1.060341448</v>
      </c>
      <c r="AC73" s="26" t="str">
        <f t="shared" si="8"/>
        <v>2015-Q3</v>
      </c>
      <c r="AD73" s="27">
        <f t="shared" si="9"/>
        <v>-0.12770895999999998</v>
      </c>
      <c r="AE73" s="27"/>
    </row>
    <row r="74" spans="2:31" x14ac:dyDescent="0.2">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0.460926</v>
      </c>
      <c r="F74" s="25">
        <f>IF(VLOOKUP(B74,'Data qoq'!$A:$AT,MATCH($F$1,'Data qoq'!$A$1:$AT$1,),)=0,#N/A,VLOOKUP(B74,'Data qoq'!$A:$AT,MATCH($F$1,'Data qoq'!$A$1:$AT$1,),))</f>
        <v>-0.16468761200000001</v>
      </c>
      <c r="G74" s="25">
        <f>IF(VLOOKUP(B74,'Data qoq'!$A:$AT,MATCH($G$1,'Data qoq'!$A$1:$AT$1,),)=0,#N/A,VLOOKUP(B74,'Data qoq'!$A:$AT,MATCH($G$1,'Data qoq'!$A$1:$AT$1,),))</f>
        <v>0.43907996199999999</v>
      </c>
      <c r="H74" s="25">
        <f>IF(VLOOKUP(B74,'Data qoq'!$A:$AT,MATCH($H$1,'Data qoq'!$A$1:$AT$1,),)=0,#N/A,VLOOKUP(B74,'Data qoq'!$A:$AT,MATCH($H$1,'Data qoq'!$A$1:$AT$1,),))</f>
        <v>0.19905973499999999</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0.73136363400000004</v>
      </c>
      <c r="M74" s="25">
        <f>IF(VLOOKUP(B74,'Data qoq'!$A:$AT,MATCH($M$1,'Data qoq'!$A$1:$AT$1,),)=0,#N/A,VLOOKUP(B74,'Data qoq'!$A:$AT,MATCH($M$1,'Data qoq'!$A$1:$AT$1,),))</f>
        <v>-0.34096141299999999</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0.62875150999999996</v>
      </c>
      <c r="R74" s="25">
        <f>IF(VLOOKUP(B74,'Data qoq'!$A:$AT,MATCH($R$1,'Data qoq'!$A$1:$AT$1,),)=0,#N/A,VLOOKUP(B74,'Data qoq'!$A:$AT,MATCH($R$1,'Data qoq'!$A$1:$AT$1,),))</f>
        <v>0.47287454499999998</v>
      </c>
      <c r="S74" s="25">
        <f>IF(VLOOKUP(B74,'Data qoq'!$A:$AT,MATCH($S$1,'Data qoq'!$A$1:$AT$1,),)=0,#N/A,VLOOKUP(B74,'Data qoq'!$A:$AT,MATCH($S$1,'Data qoq'!$A$1:$AT$1,),))</f>
        <v>0.70394753200000004</v>
      </c>
      <c r="T74" s="25">
        <f>IF(VLOOKUP(B74,'Data qoq'!$A:$AT,MATCH($T$1,'Data qoq'!$A$1:$AT$1,),)=0,#N/A,VLOOKUP(B74,'Data qoq'!$A:$AT,MATCH($T$1,'Data qoq'!$A$1:$AT$1,),))</f>
        <v>-0.79379515899999997</v>
      </c>
      <c r="U74" s="25">
        <f>IF(VLOOKUP(B74,'Data qoq'!$A:$AT,MATCH($U$1,'Data qoq'!$A$1:$AT$1,),)=0,#N/A,VLOOKUP(B74,'Data qoq'!$A:$AT,MATCH($U$1,'Data qoq'!$A$1:$AT$1,),))</f>
        <v>1.796932526</v>
      </c>
      <c r="V74" s="25">
        <f>IF(VLOOKUP(B74,'Data qoq'!$A:$AT,MATCH($V$1,'Data qoq'!$A$1:$AT$1,),)=0,#N/A,VLOOKUP(B74,'Data qoq'!$A:$AT,MATCH($V$1,'Data qoq'!$A$1:$AT$1,),))</f>
        <v>1.009425249</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1.2467160829999999</v>
      </c>
      <c r="Z74" s="25">
        <f>IF(VLOOKUP(B74,'Data qoq'!$A:$AU,MATCH($Z$1,'Data qoq'!$A$1:$AU$1,),)=0,#N/A,VLOOKUP(B74,'Data qoq'!$A:$AU,MATCH($Z$1,'Data qoq'!$A$1:$AU$1,),))</f>
        <v>-1.135181762</v>
      </c>
      <c r="AA74" s="25">
        <f>IF(VLOOKUP(B74,'Data qoq'!$A:$AU,MATCH($AA$1,'Data qoq'!$A$1:$AU$1,),)=0,#N/A,VLOOKUP(B74,'Data qoq'!$A:$AU,MATCH($AA$1,'Data qoq'!$A$1:$AU$1,),))</f>
        <v>1.0492161739999999</v>
      </c>
      <c r="AC74" s="26" t="str">
        <f t="shared" si="8"/>
        <v>2015-Q4</v>
      </c>
      <c r="AD74" s="27">
        <f t="shared" si="9"/>
        <v>-0.292845615</v>
      </c>
      <c r="AE74" s="27"/>
    </row>
    <row r="75" spans="2:31" x14ac:dyDescent="0.2">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0.54683999999999999</v>
      </c>
      <c r="F75" s="25">
        <f>IF(VLOOKUP(B75,'Data qoq'!$A:$AT,MATCH($F$1,'Data qoq'!$A$1:$AT$1,),)=0,#N/A,VLOOKUP(B75,'Data qoq'!$A:$AT,MATCH($F$1,'Data qoq'!$A$1:$AT$1,),))</f>
        <v>0.75841851100000002</v>
      </c>
      <c r="G75" s="25">
        <f>IF(VLOOKUP(B75,'Data qoq'!$A:$AT,MATCH($G$1,'Data qoq'!$A$1:$AT$1,),)=0,#N/A,VLOOKUP(B75,'Data qoq'!$A:$AT,MATCH($G$1,'Data qoq'!$A$1:$AT$1,),))</f>
        <v>0.839568541</v>
      </c>
      <c r="H75" s="25">
        <f>IF(VLOOKUP(B75,'Data qoq'!$A:$AT,MATCH($H$1,'Data qoq'!$A$1:$AT$1,),)=0,#N/A,VLOOKUP(B75,'Data qoq'!$A:$AT,MATCH($H$1,'Data qoq'!$A$1:$AT$1,),))</f>
        <v>0.62652693500000001</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-3.7864170000000003E-2</v>
      </c>
      <c r="M75" s="25">
        <f>IF(VLOOKUP(B75,'Data qoq'!$A:$AT,MATCH($M$1,'Data qoq'!$A$1:$AT$1,),)=0,#N/A,VLOOKUP(B75,'Data qoq'!$A:$AT,MATCH($M$1,'Data qoq'!$A$1:$AT$1,),))</f>
        <v>0.57770581600000004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0.88787185400000002</v>
      </c>
      <c r="R75" s="25">
        <f>IF(VLOOKUP(B75,'Data qoq'!$A:$AT,MATCH($R$1,'Data qoq'!$A$1:$AT$1,),)=0,#N/A,VLOOKUP(B75,'Data qoq'!$A:$AT,MATCH($R$1,'Data qoq'!$A$1:$AT$1,),))</f>
        <v>0.39057919899999999</v>
      </c>
      <c r="S75" s="25">
        <f>IF(VLOOKUP(B75,'Data qoq'!$A:$AT,MATCH($S$1,'Data qoq'!$A$1:$AT$1,),)=0,#N/A,VLOOKUP(B75,'Data qoq'!$A:$AT,MATCH($S$1,'Data qoq'!$A$1:$AT$1,),))</f>
        <v>0.28595575299999998</v>
      </c>
      <c r="T75" s="25">
        <f>IF(VLOOKUP(B75,'Data qoq'!$A:$AT,MATCH($T$1,'Data qoq'!$A$1:$AT$1,),)=0,#N/A,VLOOKUP(B75,'Data qoq'!$A:$AT,MATCH($T$1,'Data qoq'!$A$1:$AT$1,),))</f>
        <v>-1.5136321239999999</v>
      </c>
      <c r="U75" s="25">
        <f>IF(VLOOKUP(B75,'Data qoq'!$A:$AT,MATCH($U$1,'Data qoq'!$A$1:$AT$1,),)=0,#N/A,VLOOKUP(B75,'Data qoq'!$A:$AT,MATCH($U$1,'Data qoq'!$A$1:$AT$1,),))</f>
        <v>-0.95891501099999998</v>
      </c>
      <c r="V75" s="25">
        <f>IF(VLOOKUP(B75,'Data qoq'!$A:$AT,MATCH($V$1,'Data qoq'!$A$1:$AT$1,),)=0,#N/A,VLOOKUP(B75,'Data qoq'!$A:$AT,MATCH($V$1,'Data qoq'!$A$1:$AT$1,),))</f>
        <v>-3.5287189130000001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-0.30011750399999998</v>
      </c>
      <c r="Z75" s="25">
        <f>IF(VLOOKUP(B75,'Data qoq'!$A:$AU,MATCH($Z$1,'Data qoq'!$A$1:$AU$1,),)=0,#N/A,VLOOKUP(B75,'Data qoq'!$A:$AU,MATCH($Z$1,'Data qoq'!$A$1:$AU$1,),))</f>
        <v>-0.87816926900000003</v>
      </c>
      <c r="AA75" s="25">
        <f>IF(VLOOKUP(B75,'Data qoq'!$A:$AU,MATCH($AA$1,'Data qoq'!$A$1:$AU$1,),)=0,#N/A,VLOOKUP(B75,'Data qoq'!$A:$AU,MATCH($AA$1,'Data qoq'!$A$1:$AU$1,),))</f>
        <v>1.1622225319999999</v>
      </c>
      <c r="AC75" s="26" t="str">
        <f t="shared" ref="AC75:AC99" si="10">B75</f>
        <v>2016-Q1</v>
      </c>
      <c r="AD75" s="27">
        <f t="shared" ref="AD75:AD106" si="11">(VLOOKUP(AC75,B:Y,MATCH($AE$6,$B$1:$Y$1,),))-(VLOOKUP(AC75,B:Y,MATCH($AE$7,$B$1:$Y$1,),))</f>
        <v>-0.25038867200000003</v>
      </c>
      <c r="AE75" s="27"/>
    </row>
    <row r="76" spans="2:31" x14ac:dyDescent="0.2">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0.229099</v>
      </c>
      <c r="F76" s="25">
        <f>IF(VLOOKUP(B76,'Data qoq'!$A:$AT,MATCH($F$1,'Data qoq'!$A$1:$AT$1,),)=0,#N/A,VLOOKUP(B76,'Data qoq'!$A:$AT,MATCH($F$1,'Data qoq'!$A$1:$AT$1,),))</f>
        <v>-0.14550421499999999</v>
      </c>
      <c r="G76" s="25">
        <f>IF(VLOOKUP(B76,'Data qoq'!$A:$AT,MATCH($G$1,'Data qoq'!$A$1:$AT$1,),)=0,#N/A,VLOOKUP(B76,'Data qoq'!$A:$AT,MATCH($G$1,'Data qoq'!$A$1:$AT$1,),))</f>
        <v>0.44339266900000002</v>
      </c>
      <c r="H76" s="25">
        <f>IF(VLOOKUP(B76,'Data qoq'!$A:$AT,MATCH($H$1,'Data qoq'!$A$1:$AT$1,),)=0,#N/A,VLOOKUP(B76,'Data qoq'!$A:$AT,MATCH($H$1,'Data qoq'!$A$1:$AT$1,),))</f>
        <v>-0.29456457899999999</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4.6376896000000001E-2</v>
      </c>
      <c r="M76" s="25">
        <f>IF(VLOOKUP(B76,'Data qoq'!$A:$AT,MATCH($M$1,'Data qoq'!$A$1:$AT$1,),)=0,#N/A,VLOOKUP(B76,'Data qoq'!$A:$AT,MATCH($M$1,'Data qoq'!$A$1:$AT$1,),))</f>
        <v>0.41866688200000002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0.60506692200000001</v>
      </c>
      <c r="R76" s="25">
        <f>IF(VLOOKUP(B76,'Data qoq'!$A:$AT,MATCH($R$1,'Data qoq'!$A$1:$AT$1,),)=0,#N/A,VLOOKUP(B76,'Data qoq'!$A:$AT,MATCH($R$1,'Data qoq'!$A$1:$AT$1,),))</f>
        <v>0.66812667999999997</v>
      </c>
      <c r="S76" s="25">
        <f>IF(VLOOKUP(B76,'Data qoq'!$A:$AT,MATCH($S$1,'Data qoq'!$A$1:$AT$1,),)=0,#N/A,VLOOKUP(B76,'Data qoq'!$A:$AT,MATCH($S$1,'Data qoq'!$A$1:$AT$1,),))</f>
        <v>1.2064653649999999</v>
      </c>
      <c r="T76" s="25">
        <f>IF(VLOOKUP(B76,'Data qoq'!$A:$AT,MATCH($T$1,'Data qoq'!$A$1:$AT$1,),)=0,#N/A,VLOOKUP(B76,'Data qoq'!$A:$AT,MATCH($T$1,'Data qoq'!$A$1:$AT$1,),))</f>
        <v>0.37017136099999998</v>
      </c>
      <c r="U76" s="25">
        <f>IF(VLOOKUP(B76,'Data qoq'!$A:$AT,MATCH($U$1,'Data qoq'!$A$1:$AT$1,),)=0,#N/A,VLOOKUP(B76,'Data qoq'!$A:$AT,MATCH($U$1,'Data qoq'!$A$1:$AT$1,),))</f>
        <v>-0.24126367200000001</v>
      </c>
      <c r="V76" s="25">
        <f>IF(VLOOKUP(B76,'Data qoq'!$A:$AT,MATCH($V$1,'Data qoq'!$A$1:$AT$1,),)=0,#N/A,VLOOKUP(B76,'Data qoq'!$A:$AT,MATCH($V$1,'Data qoq'!$A$1:$AT$1,),))</f>
        <v>1.403815995</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1.3159584479999999</v>
      </c>
      <c r="Z76" s="25">
        <f>IF(VLOOKUP(B76,'Data qoq'!$A:$AU,MATCH($Z$1,'Data qoq'!$A$1:$AU$1,),)=0,#N/A,VLOOKUP(B76,'Data qoq'!$A:$AU,MATCH($Z$1,'Data qoq'!$A$1:$AU$1,),))</f>
        <v>-1.669931611</v>
      </c>
      <c r="AA76" s="25">
        <f>IF(VLOOKUP(B76,'Data qoq'!$A:$AU,MATCH($AA$1,'Data qoq'!$A$1:$AU$1,),)=0,#N/A,VLOOKUP(B76,'Data qoq'!$A:$AU,MATCH($AA$1,'Data qoq'!$A$1:$AU$1,),))</f>
        <v>0.95739175399999998</v>
      </c>
      <c r="AC76" s="26" t="str">
        <f t="shared" si="10"/>
        <v>2016-Q2</v>
      </c>
      <c r="AD76" s="27">
        <f t="shared" si="11"/>
        <v>-0.14100386200000004</v>
      </c>
      <c r="AE76" s="27"/>
    </row>
    <row r="77" spans="2:31" x14ac:dyDescent="0.2">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0.489201</v>
      </c>
      <c r="F77" s="25">
        <f>IF(VLOOKUP(B77,'Data qoq'!$A:$AT,MATCH($F$1,'Data qoq'!$A$1:$AT$1,),)=0,#N/A,VLOOKUP(B77,'Data qoq'!$A:$AT,MATCH($F$1,'Data qoq'!$A$1:$AT$1,),))</f>
        <v>0.169333911</v>
      </c>
      <c r="G77" s="25">
        <f>IF(VLOOKUP(B77,'Data qoq'!$A:$AT,MATCH($G$1,'Data qoq'!$A$1:$AT$1,),)=0,#N/A,VLOOKUP(B77,'Data qoq'!$A:$AT,MATCH($G$1,'Data qoq'!$A$1:$AT$1,),))</f>
        <v>0.255048728</v>
      </c>
      <c r="H77" s="25">
        <f>IF(VLOOKUP(B77,'Data qoq'!$A:$AT,MATCH($H$1,'Data qoq'!$A$1:$AT$1,),)=0,#N/A,VLOOKUP(B77,'Data qoq'!$A:$AT,MATCH($H$1,'Data qoq'!$A$1:$AT$1,),))</f>
        <v>0.27626071600000002</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0.30418201700000003</v>
      </c>
      <c r="M77" s="25">
        <f>IF(VLOOKUP(B77,'Data qoq'!$A:$AT,MATCH($M$1,'Data qoq'!$A$1:$AT$1,),)=0,#N/A,VLOOKUP(B77,'Data qoq'!$A:$AT,MATCH($M$1,'Data qoq'!$A$1:$AT$1,),))</f>
        <v>1.06715011</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0.119598475</v>
      </c>
      <c r="R77" s="25">
        <f>IF(VLOOKUP(B77,'Data qoq'!$A:$AT,MATCH($R$1,'Data qoq'!$A$1:$AT$1,),)=0,#N/A,VLOOKUP(B77,'Data qoq'!$A:$AT,MATCH($R$1,'Data qoq'!$A$1:$AT$1,),))</f>
        <v>0.71362022999999997</v>
      </c>
      <c r="S77" s="25">
        <f>IF(VLOOKUP(B77,'Data qoq'!$A:$AT,MATCH($S$1,'Data qoq'!$A$1:$AT$1,),)=0,#N/A,VLOOKUP(B77,'Data qoq'!$A:$AT,MATCH($S$1,'Data qoq'!$A$1:$AT$1,),))</f>
        <v>0.41594062300000001</v>
      </c>
      <c r="T77" s="25">
        <f>IF(VLOOKUP(B77,'Data qoq'!$A:$AT,MATCH($T$1,'Data qoq'!$A$1:$AT$1,),)=0,#N/A,VLOOKUP(B77,'Data qoq'!$A:$AT,MATCH($T$1,'Data qoq'!$A$1:$AT$1,),))</f>
        <v>-0.50059684999999998</v>
      </c>
      <c r="U77" s="25">
        <f>IF(VLOOKUP(B77,'Data qoq'!$A:$AT,MATCH($U$1,'Data qoq'!$A$1:$AT$1,),)=0,#N/A,VLOOKUP(B77,'Data qoq'!$A:$AT,MATCH($U$1,'Data qoq'!$A$1:$AT$1,),))</f>
        <v>0.29005582400000002</v>
      </c>
      <c r="V77" s="25">
        <f>IF(VLOOKUP(B77,'Data qoq'!$A:$AT,MATCH($V$1,'Data qoq'!$A$1:$AT$1,),)=0,#N/A,VLOOKUP(B77,'Data qoq'!$A:$AT,MATCH($V$1,'Data qoq'!$A$1:$AT$1,),))</f>
        <v>0.48876426000000001</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0.24325211199999999</v>
      </c>
      <c r="Z77" s="25">
        <f>IF(VLOOKUP(B77,'Data qoq'!$A:$AU,MATCH($Z$1,'Data qoq'!$A$1:$AU$1,),)=0,#N/A,VLOOKUP(B77,'Data qoq'!$A:$AU,MATCH($Z$1,'Data qoq'!$A$1:$AU$1,),))</f>
        <v>0.41358195800000003</v>
      </c>
      <c r="AA77" s="25">
        <f>IF(VLOOKUP(B77,'Data qoq'!$A:$AU,MATCH($AA$1,'Data qoq'!$A$1:$AU$1,),)=0,#N/A,VLOOKUP(B77,'Data qoq'!$A:$AU,MATCH($AA$1,'Data qoq'!$A$1:$AU$1,),))</f>
        <v>0.88338317</v>
      </c>
      <c r="AC77" s="26" t="str">
        <f t="shared" si="10"/>
        <v>2016-Q3</v>
      </c>
      <c r="AD77" s="27">
        <f t="shared" si="11"/>
        <v>0.346066651</v>
      </c>
      <c r="AE77" s="27"/>
    </row>
    <row r="78" spans="2:31" x14ac:dyDescent="0.2">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0.74650799999999995</v>
      </c>
      <c r="F78" s="25">
        <f>IF(VLOOKUP(B78,'Data qoq'!$A:$AT,MATCH($F$1,'Data qoq'!$A$1:$AT$1,),)=0,#N/A,VLOOKUP(B78,'Data qoq'!$A:$AT,MATCH($F$1,'Data qoq'!$A$1:$AT$1,),))</f>
        <v>0.134603481</v>
      </c>
      <c r="G78" s="25">
        <f>IF(VLOOKUP(B78,'Data qoq'!$A:$AT,MATCH($G$1,'Data qoq'!$A$1:$AT$1,),)=0,#N/A,VLOOKUP(B78,'Data qoq'!$A:$AT,MATCH($G$1,'Data qoq'!$A$1:$AT$1,),))</f>
        <v>0.36203717000000002</v>
      </c>
      <c r="H78" s="25">
        <f>IF(VLOOKUP(B78,'Data qoq'!$A:$AT,MATCH($H$1,'Data qoq'!$A$1:$AT$1,),)=0,#N/A,VLOOKUP(B78,'Data qoq'!$A:$AT,MATCH($H$1,'Data qoq'!$A$1:$AT$1,),))</f>
        <v>0.59348895599999996</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0.84598124600000002</v>
      </c>
      <c r="M78" s="25">
        <f>IF(VLOOKUP(B78,'Data qoq'!$A:$AT,MATCH($M$1,'Data qoq'!$A$1:$AT$1,),)=0,#N/A,VLOOKUP(B78,'Data qoq'!$A:$AT,MATCH($M$1,'Data qoq'!$A$1:$AT$1,),))</f>
        <v>1.032233677</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1.087753763</v>
      </c>
      <c r="R78" s="25">
        <f>IF(VLOOKUP(B78,'Data qoq'!$A:$AT,MATCH($R$1,'Data qoq'!$A$1:$AT$1,),)=0,#N/A,VLOOKUP(B78,'Data qoq'!$A:$AT,MATCH($R$1,'Data qoq'!$A$1:$AT$1,),))</f>
        <v>0.150607659</v>
      </c>
      <c r="S78" s="25">
        <f>IF(VLOOKUP(B78,'Data qoq'!$A:$AT,MATCH($S$1,'Data qoq'!$A$1:$AT$1,),)=0,#N/A,VLOOKUP(B78,'Data qoq'!$A:$AT,MATCH($S$1,'Data qoq'!$A$1:$AT$1,),))</f>
        <v>0.606194491</v>
      </c>
      <c r="T78" s="25">
        <f>IF(VLOOKUP(B78,'Data qoq'!$A:$AT,MATCH($T$1,'Data qoq'!$A$1:$AT$1,),)=0,#N/A,VLOOKUP(B78,'Data qoq'!$A:$AT,MATCH($T$1,'Data qoq'!$A$1:$AT$1,),))</f>
        <v>-0.21783733499999999</v>
      </c>
      <c r="U78" s="25">
        <f>IF(VLOOKUP(B78,'Data qoq'!$A:$AT,MATCH($U$1,'Data qoq'!$A$1:$AT$1,),)=0,#N/A,VLOOKUP(B78,'Data qoq'!$A:$AT,MATCH($U$1,'Data qoq'!$A$1:$AT$1,),))</f>
        <v>0.62672689999999998</v>
      </c>
      <c r="V78" s="25">
        <f>IF(VLOOKUP(B78,'Data qoq'!$A:$AT,MATCH($V$1,'Data qoq'!$A$1:$AT$1,),)=0,#N/A,VLOOKUP(B78,'Data qoq'!$A:$AT,MATCH($V$1,'Data qoq'!$A$1:$AT$1,),))</f>
        <v>10.778864943</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2.303194371</v>
      </c>
      <c r="Z78" s="25">
        <f>IF(VLOOKUP(B78,'Data qoq'!$A:$AU,MATCH($Z$1,'Data qoq'!$A$1:$AU$1,),)=0,#N/A,VLOOKUP(B78,'Data qoq'!$A:$AU,MATCH($Z$1,'Data qoq'!$A$1:$AU$1,),))</f>
        <v>0.56885677599999995</v>
      </c>
      <c r="AA78" s="25">
        <f>IF(VLOOKUP(B78,'Data qoq'!$A:$AU,MATCH($AA$1,'Data qoq'!$A$1:$AU$1,),)=0,#N/A,VLOOKUP(B78,'Data qoq'!$A:$AU,MATCH($AA$1,'Data qoq'!$A$1:$AU$1,),))</f>
        <v>0.37430981299999999</v>
      </c>
      <c r="AC78" s="26" t="str">
        <f t="shared" si="10"/>
        <v>2016-Q4</v>
      </c>
      <c r="AD78" s="27">
        <f t="shared" si="11"/>
        <v>0.134851626</v>
      </c>
      <c r="AE78" s="27"/>
    </row>
    <row r="79" spans="2:31" x14ac:dyDescent="0.2">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0.69107300000000005</v>
      </c>
      <c r="F79" s="25">
        <f>IF(VLOOKUP(B79,'Data qoq'!$A:$AT,MATCH($F$1,'Data qoq'!$A$1:$AT$1,),)=0,#N/A,VLOOKUP(B79,'Data qoq'!$A:$AT,MATCH($F$1,'Data qoq'!$A$1:$AT$1,),))</f>
        <v>0.84887394400000005</v>
      </c>
      <c r="G79" s="25">
        <f>IF(VLOOKUP(B79,'Data qoq'!$A:$AT,MATCH($G$1,'Data qoq'!$A$1:$AT$1,),)=0,#N/A,VLOOKUP(B79,'Data qoq'!$A:$AT,MATCH($G$1,'Data qoq'!$A$1:$AT$1,),))</f>
        <v>1.2040455290000001</v>
      </c>
      <c r="H79" s="25">
        <f>IF(VLOOKUP(B79,'Data qoq'!$A:$AT,MATCH($H$1,'Data qoq'!$A$1:$AT$1,),)=0,#N/A,VLOOKUP(B79,'Data qoq'!$A:$AT,MATCH($H$1,'Data qoq'!$A$1:$AT$1,),))</f>
        <v>0.74595114100000004</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0.51409564200000002</v>
      </c>
      <c r="M79" s="25">
        <f>IF(VLOOKUP(B79,'Data qoq'!$A:$AT,MATCH($M$1,'Data qoq'!$A$1:$AT$1,),)=0,#N/A,VLOOKUP(B79,'Data qoq'!$A:$AT,MATCH($M$1,'Data qoq'!$A$1:$AT$1,),))</f>
        <v>0.48010383499999998</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0.290652036</v>
      </c>
      <c r="R79" s="25">
        <f>IF(VLOOKUP(B79,'Data qoq'!$A:$AT,MATCH($R$1,'Data qoq'!$A$1:$AT$1,),)=0,#N/A,VLOOKUP(B79,'Data qoq'!$A:$AT,MATCH($R$1,'Data qoq'!$A$1:$AT$1,),))</f>
        <v>0.12855338399999999</v>
      </c>
      <c r="S79" s="25">
        <f>IF(VLOOKUP(B79,'Data qoq'!$A:$AT,MATCH($S$1,'Data qoq'!$A$1:$AT$1,),)=0,#N/A,VLOOKUP(B79,'Data qoq'!$A:$AT,MATCH($S$1,'Data qoq'!$A$1:$AT$1,),))</f>
        <v>0.98478546300000003</v>
      </c>
      <c r="T79" s="25">
        <f>IF(VLOOKUP(B79,'Data qoq'!$A:$AT,MATCH($T$1,'Data qoq'!$A$1:$AT$1,),)=0,#N/A,VLOOKUP(B79,'Data qoq'!$A:$AT,MATCH($T$1,'Data qoq'!$A$1:$AT$1,),))</f>
        <v>1.1001132389999999</v>
      </c>
      <c r="U79" s="25">
        <f>IF(VLOOKUP(B79,'Data qoq'!$A:$AT,MATCH($U$1,'Data qoq'!$A$1:$AT$1,),)=0,#N/A,VLOOKUP(B79,'Data qoq'!$A:$AT,MATCH($U$1,'Data qoq'!$A$1:$AT$1,),))</f>
        <v>-0.195542677</v>
      </c>
      <c r="V79" s="25">
        <f>IF(VLOOKUP(B79,'Data qoq'!$A:$AT,MATCH($V$1,'Data qoq'!$A$1:$AT$1,),)=0,#N/A,VLOOKUP(B79,'Data qoq'!$A:$AT,MATCH($V$1,'Data qoq'!$A$1:$AT$1,),))</f>
        <v>-4.2594747589999997</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0.93337661400000005</v>
      </c>
      <c r="Z79" s="25">
        <f>IF(VLOOKUP(B79,'Data qoq'!$A:$AU,MATCH($Z$1,'Data qoq'!$A$1:$AU$1,),)=0,#N/A,VLOOKUP(B79,'Data qoq'!$A:$AU,MATCH($Z$1,'Data qoq'!$A$1:$AU$1,),))</f>
        <v>0.91402509300000001</v>
      </c>
      <c r="AA79" s="25">
        <f>IF(VLOOKUP(B79,'Data qoq'!$A:$AU,MATCH($AA$1,'Data qoq'!$A$1:$AU$1,),)=0,#N/A,VLOOKUP(B79,'Data qoq'!$A:$AU,MATCH($AA$1,'Data qoq'!$A$1:$AU$1,),))</f>
        <v>1.037746992</v>
      </c>
      <c r="AC79" s="26" t="str">
        <f t="shared" si="10"/>
        <v>2017-Q1</v>
      </c>
      <c r="AD79" s="27">
        <f t="shared" si="11"/>
        <v>-0.77438241500000005</v>
      </c>
      <c r="AE79" s="27"/>
    </row>
    <row r="80" spans="2:31" x14ac:dyDescent="0.2">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0.78434000000000004</v>
      </c>
      <c r="F80" s="25">
        <f>IF(VLOOKUP(B80,'Data qoq'!$A:$AT,MATCH($F$1,'Data qoq'!$A$1:$AT$1,),)=0,#N/A,VLOOKUP(B80,'Data qoq'!$A:$AT,MATCH($F$1,'Data qoq'!$A$1:$AT$1,),))</f>
        <v>0.39338769600000001</v>
      </c>
      <c r="G80" s="25">
        <f>IF(VLOOKUP(B80,'Data qoq'!$A:$AT,MATCH($G$1,'Data qoq'!$A$1:$AT$1,),)=0,#N/A,VLOOKUP(B80,'Data qoq'!$A:$AT,MATCH($G$1,'Data qoq'!$A$1:$AT$1,),))</f>
        <v>0.84770029099999999</v>
      </c>
      <c r="H80" s="25">
        <f>IF(VLOOKUP(B80,'Data qoq'!$A:$AT,MATCH($H$1,'Data qoq'!$A$1:$AT$1,),)=0,#N/A,VLOOKUP(B80,'Data qoq'!$A:$AT,MATCH($H$1,'Data qoq'!$A$1:$AT$1,),))</f>
        <v>0.78494423700000004</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1.2927491630000001</v>
      </c>
      <c r="M80" s="25">
        <f>IF(VLOOKUP(B80,'Data qoq'!$A:$AT,MATCH($M$1,'Data qoq'!$A$1:$AT$1,),)=0,#N/A,VLOOKUP(B80,'Data qoq'!$A:$AT,MATCH($M$1,'Data qoq'!$A$1:$AT$1,),))</f>
        <v>0.30291726800000002</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0.57581167899999997</v>
      </c>
      <c r="R80" s="25">
        <f>IF(VLOOKUP(B80,'Data qoq'!$A:$AT,MATCH($R$1,'Data qoq'!$A$1:$AT$1,),)=0,#N/A,VLOOKUP(B80,'Data qoq'!$A:$AT,MATCH($R$1,'Data qoq'!$A$1:$AT$1,),))</f>
        <v>0.17004160800000001</v>
      </c>
      <c r="S80" s="25">
        <f>IF(VLOOKUP(B80,'Data qoq'!$A:$AT,MATCH($S$1,'Data qoq'!$A$1:$AT$1,),)=0,#N/A,VLOOKUP(B80,'Data qoq'!$A:$AT,MATCH($S$1,'Data qoq'!$A$1:$AT$1,),))</f>
        <v>0.71464772700000001</v>
      </c>
      <c r="T80" s="25">
        <f>IF(VLOOKUP(B80,'Data qoq'!$A:$AT,MATCH($T$1,'Data qoq'!$A$1:$AT$1,),)=0,#N/A,VLOOKUP(B80,'Data qoq'!$A:$AT,MATCH($T$1,'Data qoq'!$A$1:$AT$1,),))</f>
        <v>0.77356504400000003</v>
      </c>
      <c r="U80" s="25">
        <f>IF(VLOOKUP(B80,'Data qoq'!$A:$AT,MATCH($U$1,'Data qoq'!$A$1:$AT$1,),)=0,#N/A,VLOOKUP(B80,'Data qoq'!$A:$AT,MATCH($U$1,'Data qoq'!$A$1:$AT$1,),))</f>
        <v>0.526501098</v>
      </c>
      <c r="V80" s="25">
        <f>IF(VLOOKUP(B80,'Data qoq'!$A:$AT,MATCH($V$1,'Data qoq'!$A$1:$AT$1,),)=0,#N/A,VLOOKUP(B80,'Data qoq'!$A:$AT,MATCH($V$1,'Data qoq'!$A$1:$AT$1,),))</f>
        <v>1.8286590620000001</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0.89193731099999995</v>
      </c>
      <c r="Z80" s="25">
        <f>IF(VLOOKUP(B80,'Data qoq'!$A:$AU,MATCH($Z$1,'Data qoq'!$A$1:$AU$1,),)=0,#N/A,VLOOKUP(B80,'Data qoq'!$A:$AU,MATCH($Z$1,'Data qoq'!$A$1:$AU$1,),))</f>
        <v>1.0536141160000001</v>
      </c>
      <c r="AA80" s="25">
        <f>IF(VLOOKUP(B80,'Data qoq'!$A:$AU,MATCH($AA$1,'Data qoq'!$A$1:$AU$1,),)=0,#N/A,VLOOKUP(B80,'Data qoq'!$A:$AU,MATCH($AA$1,'Data qoq'!$A$1:$AU$1,),))</f>
        <v>1.0872106619999999</v>
      </c>
      <c r="AC80" s="26" t="str">
        <f t="shared" si="10"/>
        <v>2017-Q2</v>
      </c>
      <c r="AD80" s="27">
        <f t="shared" si="11"/>
        <v>-0.34390730999999997</v>
      </c>
      <c r="AE80" s="27"/>
    </row>
    <row r="81" spans="2:31" x14ac:dyDescent="0.2">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0.766648</v>
      </c>
      <c r="F81" s="25">
        <f>IF(VLOOKUP(B81,'Data qoq'!$A:$AT,MATCH($F$1,'Data qoq'!$A$1:$AT$1,),)=0,#N/A,VLOOKUP(B81,'Data qoq'!$A:$AT,MATCH($F$1,'Data qoq'!$A$1:$AT$1,),))</f>
        <v>0.76729651799999998</v>
      </c>
      <c r="G81" s="25">
        <f>IF(VLOOKUP(B81,'Data qoq'!$A:$AT,MATCH($G$1,'Data qoq'!$A$1:$AT$1,),)=0,#N/A,VLOOKUP(B81,'Data qoq'!$A:$AT,MATCH($G$1,'Data qoq'!$A$1:$AT$1,),))</f>
        <v>0.735511417</v>
      </c>
      <c r="H81" s="25">
        <f>IF(VLOOKUP(B81,'Data qoq'!$A:$AT,MATCH($H$1,'Data qoq'!$A$1:$AT$1,),)=0,#N/A,VLOOKUP(B81,'Data qoq'!$A:$AT,MATCH($H$1,'Data qoq'!$A$1:$AT$1,),))</f>
        <v>0.85069794200000004</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0.92504002299999999</v>
      </c>
      <c r="M81" s="25">
        <f>IF(VLOOKUP(B81,'Data qoq'!$A:$AT,MATCH($M$1,'Data qoq'!$A$1:$AT$1,),)=0,#N/A,VLOOKUP(B81,'Data qoq'!$A:$AT,MATCH($M$1,'Data qoq'!$A$1:$AT$1,),))</f>
        <v>-0.23470582300000001</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0.97424313200000001</v>
      </c>
      <c r="R81" s="25">
        <f>IF(VLOOKUP(B81,'Data qoq'!$A:$AT,MATCH($R$1,'Data qoq'!$A$1:$AT$1,),)=0,#N/A,VLOOKUP(B81,'Data qoq'!$A:$AT,MATCH($R$1,'Data qoq'!$A$1:$AT$1,),))</f>
        <v>0.54003963399999999</v>
      </c>
      <c r="S81" s="25">
        <f>IF(VLOOKUP(B81,'Data qoq'!$A:$AT,MATCH($S$1,'Data qoq'!$A$1:$AT$1,),)=0,#N/A,VLOOKUP(B81,'Data qoq'!$A:$AT,MATCH($S$1,'Data qoq'!$A$1:$AT$1,),))</f>
        <v>1.4418384179999999</v>
      </c>
      <c r="T81" s="25">
        <f>IF(VLOOKUP(B81,'Data qoq'!$A:$AT,MATCH($T$1,'Data qoq'!$A$1:$AT$1,),)=0,#N/A,VLOOKUP(B81,'Data qoq'!$A:$AT,MATCH($T$1,'Data qoq'!$A$1:$AT$1,),))</f>
        <v>0.312207756</v>
      </c>
      <c r="U81" s="25">
        <f>IF(VLOOKUP(B81,'Data qoq'!$A:$AT,MATCH($U$1,'Data qoq'!$A$1:$AT$1,),)=0,#N/A,VLOOKUP(B81,'Data qoq'!$A:$AT,MATCH($U$1,'Data qoq'!$A$1:$AT$1,),))</f>
        <v>1.0566590440000001</v>
      </c>
      <c r="V81" s="25">
        <f>IF(VLOOKUP(B81,'Data qoq'!$A:$AT,MATCH($V$1,'Data qoq'!$A$1:$AT$1,),)=0,#N/A,VLOOKUP(B81,'Data qoq'!$A:$AT,MATCH($V$1,'Data qoq'!$A$1:$AT$1,),))</f>
        <v>5.334811535</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1.099167397</v>
      </c>
      <c r="Z81" s="25">
        <f>IF(VLOOKUP(B81,'Data qoq'!$A:$AU,MATCH($Z$1,'Data qoq'!$A$1:$AU$1,),)=0,#N/A,VLOOKUP(B81,'Data qoq'!$A:$AU,MATCH($Z$1,'Data qoq'!$A$1:$AU$1,),))</f>
        <v>1.2684706649999999</v>
      </c>
      <c r="AA81" s="25">
        <f>IF(VLOOKUP(B81,'Data qoq'!$A:$AU,MATCH($AA$1,'Data qoq'!$A$1:$AU$1,),)=0,#N/A,VLOOKUP(B81,'Data qoq'!$A:$AU,MATCH($AA$1,'Data qoq'!$A$1:$AU$1,),))</f>
        <v>0.85413603400000004</v>
      </c>
      <c r="AC81" s="26" t="str">
        <f t="shared" si="10"/>
        <v>2017-Q3</v>
      </c>
      <c r="AD81" s="27">
        <f t="shared" si="11"/>
        <v>9.1977297999999985E-2</v>
      </c>
      <c r="AE81" s="27"/>
    </row>
    <row r="82" spans="2:31" x14ac:dyDescent="0.2">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0.82194299999999998</v>
      </c>
      <c r="F82" s="25">
        <f>IF(VLOOKUP(B82,'Data qoq'!$A:$AT,MATCH($F$1,'Data qoq'!$A$1:$AT$1,),)=0,#N/A,VLOOKUP(B82,'Data qoq'!$A:$AT,MATCH($F$1,'Data qoq'!$A$1:$AT$1,),))</f>
        <v>6.2086530000000001E-2</v>
      </c>
      <c r="G82" s="25">
        <f>IF(VLOOKUP(B82,'Data qoq'!$A:$AT,MATCH($G$1,'Data qoq'!$A$1:$AT$1,),)=0,#N/A,VLOOKUP(B82,'Data qoq'!$A:$AT,MATCH($G$1,'Data qoq'!$A$1:$AT$1,),))</f>
        <v>0.91029780299999996</v>
      </c>
      <c r="H82" s="25">
        <f>IF(VLOOKUP(B82,'Data qoq'!$A:$AT,MATCH($H$1,'Data qoq'!$A$1:$AT$1,),)=0,#N/A,VLOOKUP(B82,'Data qoq'!$A:$AT,MATCH($H$1,'Data qoq'!$A$1:$AT$1,),))</f>
        <v>0.61882118900000005</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0.141344736</v>
      </c>
      <c r="M82" s="25">
        <f>IF(VLOOKUP(B82,'Data qoq'!$A:$AT,MATCH($M$1,'Data qoq'!$A$1:$AT$1,),)=0,#N/A,VLOOKUP(B82,'Data qoq'!$A:$AT,MATCH($M$1,'Data qoq'!$A$1:$AT$1,),))</f>
        <v>1.2780766100000001</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0.48679589600000001</v>
      </c>
      <c r="R82" s="25">
        <f>IF(VLOOKUP(B82,'Data qoq'!$A:$AT,MATCH($R$1,'Data qoq'!$A$1:$AT$1,),)=0,#N/A,VLOOKUP(B82,'Data qoq'!$A:$AT,MATCH($R$1,'Data qoq'!$A$1:$AT$1,),))</f>
        <v>1.0373208920000001</v>
      </c>
      <c r="S82" s="25">
        <f>IF(VLOOKUP(B82,'Data qoq'!$A:$AT,MATCH($S$1,'Data qoq'!$A$1:$AT$1,),)=0,#N/A,VLOOKUP(B82,'Data qoq'!$A:$AT,MATCH($S$1,'Data qoq'!$A$1:$AT$1,),))</f>
        <v>-0.319868975</v>
      </c>
      <c r="T82" s="25">
        <f>IF(VLOOKUP(B82,'Data qoq'!$A:$AT,MATCH($T$1,'Data qoq'!$A$1:$AT$1,),)=0,#N/A,VLOOKUP(B82,'Data qoq'!$A:$AT,MATCH($T$1,'Data qoq'!$A$1:$AT$1,),))</f>
        <v>0.40566329600000001</v>
      </c>
      <c r="U82" s="25">
        <f>IF(VLOOKUP(B82,'Data qoq'!$A:$AT,MATCH($U$1,'Data qoq'!$A$1:$AT$1,),)=0,#N/A,VLOOKUP(B82,'Data qoq'!$A:$AT,MATCH($U$1,'Data qoq'!$A$1:$AT$1,),))</f>
        <v>-0.90043332499999995</v>
      </c>
      <c r="V82" s="25">
        <f>IF(VLOOKUP(B82,'Data qoq'!$A:$AT,MATCH($V$1,'Data qoq'!$A$1:$AT$1,),)=0,#N/A,VLOOKUP(B82,'Data qoq'!$A:$AT,MATCH($V$1,'Data qoq'!$A$1:$AT$1,),))</f>
        <v>4.9428967400000001</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1.7908586820000001</v>
      </c>
      <c r="Z82" s="25">
        <f>IF(VLOOKUP(B82,'Data qoq'!$A:$AU,MATCH($Z$1,'Data qoq'!$A$1:$AU$1,),)=0,#N/A,VLOOKUP(B82,'Data qoq'!$A:$AU,MATCH($Z$1,'Data qoq'!$A$1:$AU$1,),))</f>
        <v>0.95213344899999997</v>
      </c>
      <c r="AA82" s="25">
        <f>IF(VLOOKUP(B82,'Data qoq'!$A:$AU,MATCH($AA$1,'Data qoq'!$A$1:$AU$1,),)=0,#N/A,VLOOKUP(B82,'Data qoq'!$A:$AU,MATCH($AA$1,'Data qoq'!$A$1:$AU$1,),))</f>
        <v>0.84526422700000003</v>
      </c>
      <c r="AC82" s="26" t="str">
        <f t="shared" si="10"/>
        <v>2017-Q4</v>
      </c>
      <c r="AD82" s="27">
        <f t="shared" si="11"/>
        <v>9.5362283000000048E-2</v>
      </c>
      <c r="AE82" s="27"/>
    </row>
    <row r="83" spans="2:31" x14ac:dyDescent="0.2">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8.4960000000000001E-3</v>
      </c>
      <c r="F83" s="25">
        <f>IF(VLOOKUP(B83,'Data qoq'!$A:$AT,MATCH($F$1,'Data qoq'!$A$1:$AT$1,),)=0,#N/A,VLOOKUP(B83,'Data qoq'!$A:$AT,MATCH($F$1,'Data qoq'!$A$1:$AT$1,),))</f>
        <v>0.214117961</v>
      </c>
      <c r="G83" s="25">
        <f>IF(VLOOKUP(B83,'Data qoq'!$A:$AT,MATCH($G$1,'Data qoq'!$A$1:$AT$1,),)=0,#N/A,VLOOKUP(B83,'Data qoq'!$A:$AT,MATCH($G$1,'Data qoq'!$A$1:$AT$1,),))</f>
        <v>-0.58023882800000004</v>
      </c>
      <c r="H83" s="25">
        <f>IF(VLOOKUP(B83,'Data qoq'!$A:$AT,MATCH($H$1,'Data qoq'!$A$1:$AT$1,),)=0,#N/A,VLOOKUP(B83,'Data qoq'!$A:$AT,MATCH($H$1,'Data qoq'!$A$1:$AT$1,),))</f>
        <v>6.4034054000000007E-2</v>
      </c>
      <c r="I83" s="25">
        <f>IF(VLOOKUP(B83,'Data qoq'!$A:$AT,MATCH($I$1,'Data qoq'!$A$1:$AT$1,),)=0,#N/A,VLOOKUP(B83,'Data qoq'!$A:$AT,MATCH($I$1,'Data qoq'!$A$1:$AT$1,),))</f>
        <v>0.14976610500000001</v>
      </c>
      <c r="J83" s="25">
        <f>IF(VLOOKUP(B83,'Data qoq'!$A:$AT,MATCH($J$1,'Data qoq'!$A$1:$AT$1,),)=0,#N/A,VLOOKUP(B83,'Data qoq'!$A:$AT,MATCH($J$1,'Data qoq'!$A$1:$AT$1,),))</f>
        <v>-0.10878046299999999</v>
      </c>
      <c r="K83" s="25">
        <f>IF(VLOOKUP(B83,'Data qoq'!$A:$AT,MATCH($K$1,'Data qoq'!$A$1:$AT$1,),)=0,#N/A,VLOOKUP(B83,'Data qoq'!$A:$AT,MATCH($K$1,'Data qoq'!$A$1:$AT$1,),))</f>
        <v>0.42700115700000002</v>
      </c>
      <c r="L83" s="25">
        <f>IF(VLOOKUP(B83,'Data qoq'!$A:$AT,MATCH($L$1,'Data qoq'!$A$1:$AT$1,),)=0,#N/A,VLOOKUP(B83,'Data qoq'!$A:$AT,MATCH($L$1,'Data qoq'!$A$1:$AT$1,),))</f>
        <v>0.44294421499999997</v>
      </c>
      <c r="M83" s="25">
        <f>IF(VLOOKUP(B83,'Data qoq'!$A:$AT,MATCH($M$1,'Data qoq'!$A$1:$AT$1,),)=0,#N/A,VLOOKUP(B83,'Data qoq'!$A:$AT,MATCH($M$1,'Data qoq'!$A$1:$AT$1,),))</f>
        <v>1.1279731150000001</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0.94026927000000005</v>
      </c>
      <c r="R83" s="25">
        <f>IF(VLOOKUP(B83,'Data qoq'!$A:$AT,MATCH($R$1,'Data qoq'!$A$1:$AT$1,),)=0,#N/A,VLOOKUP(B83,'Data qoq'!$A:$AT,MATCH($R$1,'Data qoq'!$A$1:$AT$1,),))</f>
        <v>1.1225528410000001</v>
      </c>
      <c r="S83" s="25">
        <f>IF(VLOOKUP(B83,'Data qoq'!$A:$AT,MATCH($S$1,'Data qoq'!$A$1:$AT$1,),)=0,#N/A,VLOOKUP(B83,'Data qoq'!$A:$AT,MATCH($S$1,'Data qoq'!$A$1:$AT$1,),))</f>
        <v>1.2058517710000001</v>
      </c>
      <c r="T83" s="25">
        <f>IF(VLOOKUP(B83,'Data qoq'!$A:$AT,MATCH($T$1,'Data qoq'!$A$1:$AT$1,),)=0,#N/A,VLOOKUP(B83,'Data qoq'!$A:$AT,MATCH($T$1,'Data qoq'!$A$1:$AT$1,),))</f>
        <v>0.63374452299999995</v>
      </c>
      <c r="U83" s="25">
        <f>IF(VLOOKUP(B83,'Data qoq'!$A:$AT,MATCH($U$1,'Data qoq'!$A$1:$AT$1,),)=0,#N/A,VLOOKUP(B83,'Data qoq'!$A:$AT,MATCH($U$1,'Data qoq'!$A$1:$AT$1,),))</f>
        <v>1.4211963889999999</v>
      </c>
      <c r="V83" s="25">
        <f>IF(VLOOKUP(B83,'Data qoq'!$A:$AT,MATCH($V$1,'Data qoq'!$A$1:$AT$1,),)=0,#N/A,VLOOKUP(B83,'Data qoq'!$A:$AT,MATCH($V$1,'Data qoq'!$A$1:$AT$1,),))</f>
        <v>-0.21880302600000001</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1.240069372</v>
      </c>
      <c r="Z83" s="25">
        <f>IF(VLOOKUP(B83,'Data qoq'!$A:$AU,MATCH($Z$1,'Data qoq'!$A$1:$AU$1,),)=0,#N/A,VLOOKUP(B83,'Data qoq'!$A:$AU,MATCH($Z$1,'Data qoq'!$A$1:$AU$1,),))</f>
        <v>-0.31443920800000003</v>
      </c>
      <c r="AA83" s="25">
        <f>IF(VLOOKUP(B83,'Data qoq'!$A:$AU,MATCH($AA$1,'Data qoq'!$A$1:$AU$1,),)=0,#N/A,VLOOKUP(B83,'Data qoq'!$A:$AU,MATCH($AA$1,'Data qoq'!$A$1:$AU$1,),))</f>
        <v>0.76670673499999997</v>
      </c>
      <c r="AC83" s="26" t="str">
        <f t="shared" si="10"/>
        <v>2018-Q1</v>
      </c>
      <c r="AD83" s="27">
        <f t="shared" si="11"/>
        <v>1.2728926890000001</v>
      </c>
      <c r="AE83" s="27"/>
    </row>
    <row r="84" spans="2:31" s="73" customFormat="1" x14ac:dyDescent="0.2">
      <c r="B84" s="24" t="s">
        <v>350</v>
      </c>
      <c r="C84" s="25">
        <f>IF(VLOOKUP(B84,'Data qoq'!$A:$AT,MATCH($C$1,'Data qoq'!$A$1:$AT$1,),)=0,#N/A,VLOOKUP(B84,'Data qoq'!$A:$AT,MATCH($C$1,'Data qoq'!$A$1:$AT$1,),))</f>
        <v>0.69734292099999995</v>
      </c>
      <c r="D84" s="25">
        <f>IF(VLOOKUP(B84,'Data qoq'!$A:$AT,MATCH($D$1,'Data qoq'!$A$1:$AT$1,),)=0,#N/A,VLOOKUP(B84,'Data qoq'!$A:$AT,MATCH($D$1,'Data qoq'!$A$1:$AT$1,),))</f>
        <v>1.6</v>
      </c>
      <c r="E84" s="25">
        <f>IF(VLOOKUP(B84,'Data qoq'!$A:$AT,MATCH($E$1,'Data qoq'!$A$1:$AT$1,),)=0,#N/A,VLOOKUP(B84,'Data qoq'!$A:$AT,MATCH($E$1,'Data qoq'!$A$1:$AT$1,),))</f>
        <v>0.53142</v>
      </c>
      <c r="F84" s="25">
        <f>IF(VLOOKUP(B84,'Data qoq'!$A:$AT,MATCH($F$1,'Data qoq'!$A$1:$AT$1,),)=0,#N/A,VLOOKUP(B84,'Data qoq'!$A:$AT,MATCH($F$1,'Data qoq'!$A$1:$AT$1,),))</f>
        <v>0.37327551199999998</v>
      </c>
      <c r="G84" s="25">
        <f>IF(VLOOKUP(B84,'Data qoq'!$A:$AT,MATCH($G$1,'Data qoq'!$A$1:$AT$1,),)=0,#N/A,VLOOKUP(B84,'Data qoq'!$A:$AT,MATCH($G$1,'Data qoq'!$A$1:$AT$1,),))</f>
        <v>0.70888626700000001</v>
      </c>
      <c r="H84" s="25">
        <f>IF(VLOOKUP(B84,'Data qoq'!$A:$AT,MATCH($H$1,'Data qoq'!$A$1:$AT$1,),)=0,#N/A,VLOOKUP(B84,'Data qoq'!$A:$AT,MATCH($H$1,'Data qoq'!$A$1:$AT$1,),))</f>
        <v>0.42594677600000003</v>
      </c>
      <c r="I84" s="25">
        <f>IF(VLOOKUP(B84,'Data qoq'!$A:$AT,MATCH($I$1,'Data qoq'!$A$1:$AT$1,),)=0,#N/A,VLOOKUP(B84,'Data qoq'!$A:$AT,MATCH($I$1,'Data qoq'!$A$1:$AT$1,),))</f>
        <v>0.45484211200000002</v>
      </c>
      <c r="J84" s="25">
        <f>IF(VLOOKUP(B84,'Data qoq'!$A:$AT,MATCH($J$1,'Data qoq'!$A$1:$AT$1,),)=0,#N/A,VLOOKUP(B84,'Data qoq'!$A:$AT,MATCH($J$1,'Data qoq'!$A$1:$AT$1,),))</f>
        <v>3.9334962000000001E-2</v>
      </c>
      <c r="K84" s="25">
        <f>IF(VLOOKUP(B84,'Data qoq'!$A:$AT,MATCH($K$1,'Data qoq'!$A$1:$AT$1,),)=0,#N/A,VLOOKUP(B84,'Data qoq'!$A:$AT,MATCH($K$1,'Data qoq'!$A$1:$AT$1,),))</f>
        <v>0.58588025099999996</v>
      </c>
      <c r="L84" s="25">
        <f>IF(VLOOKUP(B84,'Data qoq'!$A:$AT,MATCH($L$1,'Data qoq'!$A$1:$AT$1,),)=0,#N/A,VLOOKUP(B84,'Data qoq'!$A:$AT,MATCH($L$1,'Data qoq'!$A$1:$AT$1,),))</f>
        <v>1.0228914419999999</v>
      </c>
      <c r="M84" s="25">
        <f>IF(VLOOKUP(B84,'Data qoq'!$A:$AT,MATCH($M$1,'Data qoq'!$A$1:$AT$1,),)=0,#N/A,VLOOKUP(B84,'Data qoq'!$A:$AT,MATCH($M$1,'Data qoq'!$A$1:$AT$1,),))</f>
        <v>-4.0170747E-2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0.72984756200000001</v>
      </c>
      <c r="R84" s="25">
        <f>IF(VLOOKUP(B84,'Data qoq'!$A:$AT,MATCH($R$1,'Data qoq'!$A$1:$AT$1,),)=0,#N/A,VLOOKUP(B84,'Data qoq'!$A:$AT,MATCH($R$1,'Data qoq'!$A$1:$AT$1,),))</f>
        <v>0.97210110900000002</v>
      </c>
      <c r="S84" s="25">
        <f>IF(VLOOKUP(B84,'Data qoq'!$A:$AT,MATCH($S$1,'Data qoq'!$A$1:$AT$1,),)=0,#N/A,VLOOKUP(B84,'Data qoq'!$A:$AT,MATCH($S$1,'Data qoq'!$A$1:$AT$1,),))</f>
        <v>0.63659708500000001</v>
      </c>
      <c r="T84" s="25">
        <f>IF(VLOOKUP(B84,'Data qoq'!$A:$AT,MATCH($T$1,'Data qoq'!$A$1:$AT$1,),)=0,#N/A,VLOOKUP(B84,'Data qoq'!$A:$AT,MATCH($T$1,'Data qoq'!$A$1:$AT$1,),))</f>
        <v>-5.1826324E-2</v>
      </c>
      <c r="U84" s="25">
        <f>IF(VLOOKUP(B84,'Data qoq'!$A:$AT,MATCH($U$1,'Data qoq'!$A$1:$AT$1,),)=0,#N/A,VLOOKUP(B84,'Data qoq'!$A:$AT,MATCH($U$1,'Data qoq'!$A$1:$AT$1,),))</f>
        <v>0.142291836</v>
      </c>
      <c r="V84" s="25">
        <f>IF(VLOOKUP(B84,'Data qoq'!$A:$AT,MATCH($V$1,'Data qoq'!$A$1:$AT$1,),)=0,#N/A,VLOOKUP(B84,'Data qoq'!$A:$AT,MATCH($V$1,'Data qoq'!$A$1:$AT$1,),))</f>
        <v>2.2917828660000001</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1.3509185610000001</v>
      </c>
      <c r="Z84" s="25">
        <f>IF(VLOOKUP(B84,'Data qoq'!$A:$AU,MATCH($Z$1,'Data qoq'!$A$1:$AU$1,),)=0,#N/A,VLOOKUP(B84,'Data qoq'!$A:$AU,MATCH($Z$1,'Data qoq'!$A$1:$AU$1,),))</f>
        <v>-4.5213341060000003</v>
      </c>
      <c r="AA84" s="25">
        <f>IF(VLOOKUP(B84,'Data qoq'!$A:$AU,MATCH($AA$1,'Data qoq'!$A$1:$AU$1,),)=0,#N/A,VLOOKUP(B84,'Data qoq'!$A:$AU,MATCH($AA$1,'Data qoq'!$A$1:$AU$1,),))</f>
        <v>1.115517297</v>
      </c>
      <c r="AC84" s="26" t="str">
        <f t="shared" si="10"/>
        <v>2018-Q2</v>
      </c>
      <c r="AD84" s="27">
        <f t="shared" si="11"/>
        <v>-1.1543346000000065E-2</v>
      </c>
      <c r="AE84" s="27"/>
    </row>
    <row r="85" spans="2:31" s="73" customFormat="1" x14ac:dyDescent="0.2">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7.8079999999999998E-3</v>
      </c>
      <c r="F85" s="25">
        <f>IF(VLOOKUP(B85,'Data qoq'!$A:$AT,MATCH($F$1,'Data qoq'!$A$1:$AT$1,),)=0,#N/A,VLOOKUP(B85,'Data qoq'!$A:$AT,MATCH($F$1,'Data qoq'!$A$1:$AT$1,),))</f>
        <v>-0.65449446</v>
      </c>
      <c r="G85" s="25">
        <f>IF(VLOOKUP(B85,'Data qoq'!$A:$AT,MATCH($G$1,'Data qoq'!$A$1:$AT$1,),)=0,#N/A,VLOOKUP(B85,'Data qoq'!$A:$AT,MATCH($G$1,'Data qoq'!$A$1:$AT$1,),))</f>
        <v>-0.78836500799999998</v>
      </c>
      <c r="H85" s="25">
        <f>IF(VLOOKUP(B85,'Data qoq'!$A:$AT,MATCH($H$1,'Data qoq'!$A$1:$AT$1,),)=0,#N/A,VLOOKUP(B85,'Data qoq'!$A:$AT,MATCH($H$1,'Data qoq'!$A$1:$AT$1,),))</f>
        <v>0.38115736099999997</v>
      </c>
      <c r="I85" s="25">
        <f>IF(VLOOKUP(B85,'Data qoq'!$A:$AT,MATCH($I$1,'Data qoq'!$A$1:$AT$1,),)=0,#N/A,VLOOKUP(B85,'Data qoq'!$A:$AT,MATCH($I$1,'Data qoq'!$A$1:$AT$1,),))</f>
        <v>0.55578708300000002</v>
      </c>
      <c r="J85" s="25">
        <f>IF(VLOOKUP(B85,'Data qoq'!$A:$AT,MATCH($J$1,'Data qoq'!$A$1:$AT$1,),)=0,#N/A,VLOOKUP(B85,'Data qoq'!$A:$AT,MATCH($J$1,'Data qoq'!$A$1:$AT$1,),))</f>
        <v>0.132624729</v>
      </c>
      <c r="K85" s="25">
        <f>IF(VLOOKUP(B85,'Data qoq'!$A:$AT,MATCH($K$1,'Data qoq'!$A$1:$AT$1,),)=0,#N/A,VLOOKUP(B85,'Data qoq'!$A:$AT,MATCH($K$1,'Data qoq'!$A$1:$AT$1,),))</f>
        <v>0.52041550999999997</v>
      </c>
      <c r="L85" s="25">
        <f>IF(VLOOKUP(B85,'Data qoq'!$A:$AT,MATCH($L$1,'Data qoq'!$A$1:$AT$1,),)=0,#N/A,VLOOKUP(B85,'Data qoq'!$A:$AT,MATCH($L$1,'Data qoq'!$A$1:$AT$1,),))</f>
        <v>-0.76351782000000001</v>
      </c>
      <c r="M85" s="25">
        <f>IF(VLOOKUP(B85,'Data qoq'!$A:$AT,MATCH($M$1,'Data qoq'!$A$1:$AT$1,),)=0,#N/A,VLOOKUP(B85,'Data qoq'!$A:$AT,MATCH($M$1,'Data qoq'!$A$1:$AT$1,),))</f>
        <v>0.46508395800000002</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0.42384888999999998</v>
      </c>
      <c r="R85" s="25">
        <f>IF(VLOOKUP(B85,'Data qoq'!$A:$AT,MATCH($R$1,'Data qoq'!$A$1:$AT$1,),)=0,#N/A,VLOOKUP(B85,'Data qoq'!$A:$AT,MATCH($R$1,'Data qoq'!$A$1:$AT$1,),))</f>
        <v>-0.32403398</v>
      </c>
      <c r="S85" s="25">
        <f>IF(VLOOKUP(B85,'Data qoq'!$A:$AT,MATCH($S$1,'Data qoq'!$A$1:$AT$1,),)=0,#N/A,VLOOKUP(B85,'Data qoq'!$A:$AT,MATCH($S$1,'Data qoq'!$A$1:$AT$1,),))</f>
        <v>0.73084833199999999</v>
      </c>
      <c r="T85" s="25">
        <f>IF(VLOOKUP(B85,'Data qoq'!$A:$AT,MATCH($T$1,'Data qoq'!$A$1:$AT$1,),)=0,#N/A,VLOOKUP(B85,'Data qoq'!$A:$AT,MATCH($T$1,'Data qoq'!$A$1:$AT$1,),))</f>
        <v>1.03320375</v>
      </c>
      <c r="U85" s="25">
        <f>IF(VLOOKUP(B85,'Data qoq'!$A:$AT,MATCH($U$1,'Data qoq'!$A$1:$AT$1,),)=0,#N/A,VLOOKUP(B85,'Data qoq'!$A:$AT,MATCH($U$1,'Data qoq'!$A$1:$AT$1,),))</f>
        <v>-0.272717245</v>
      </c>
      <c r="V85" s="25">
        <f>IF(VLOOKUP(B85,'Data qoq'!$A:$AT,MATCH($V$1,'Data qoq'!$A$1:$AT$1,),)=0,#N/A,VLOOKUP(B85,'Data qoq'!$A:$AT,MATCH($V$1,'Data qoq'!$A$1:$AT$1,),))</f>
        <v>0.41908170900000002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1.321005751</v>
      </c>
      <c r="Z85" s="25">
        <f>IF(VLOOKUP(B85,'Data qoq'!$A:$AU,MATCH($Z$1,'Data qoq'!$A$1:$AU$1,),)=0,#N/A,VLOOKUP(B85,'Data qoq'!$A:$AU,MATCH($Z$1,'Data qoq'!$A$1:$AU$1,),))</f>
        <v>-0.234207843</v>
      </c>
      <c r="AA85" s="25">
        <f>IF(VLOOKUP(B85,'Data qoq'!$A:$AU,MATCH($AA$1,'Data qoq'!$A$1:$AU$1,),)=0,#N/A,VLOOKUP(B85,'Data qoq'!$A:$AU,MATCH($AA$1,'Data qoq'!$A$1:$AU$1,),))</f>
        <v>0.28377387399999998</v>
      </c>
      <c r="AC85" s="26" t="str">
        <f t="shared" si="10"/>
        <v>2018-Q3</v>
      </c>
      <c r="AD85" s="27">
        <f t="shared" si="11"/>
        <v>1.5104009220000001</v>
      </c>
      <c r="AE85" s="27"/>
    </row>
    <row r="86" spans="2:31" s="73" customFormat="1" x14ac:dyDescent="0.2">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0.64379900000000001</v>
      </c>
      <c r="F86" s="25">
        <f>IF(VLOOKUP(B86,'Data qoq'!$A:$AT,MATCH($F$1,'Data qoq'!$A$1:$AT$1,),)=0,#N/A,VLOOKUP(B86,'Data qoq'!$A:$AT,MATCH($F$1,'Data qoq'!$A$1:$AT$1,),))</f>
        <v>-0.26192959900000001</v>
      </c>
      <c r="G86" s="25">
        <f>IF(VLOOKUP(B86,'Data qoq'!$A:$AT,MATCH($G$1,'Data qoq'!$A$1:$AT$1,),)=0,#N/A,VLOOKUP(B86,'Data qoq'!$A:$AT,MATCH($G$1,'Data qoq'!$A$1:$AT$1,),))</f>
        <v>0.794634591</v>
      </c>
      <c r="H86" s="25">
        <f>IF(VLOOKUP(B86,'Data qoq'!$A:$AT,MATCH($H$1,'Data qoq'!$A$1:$AT$1,),)=0,#N/A,VLOOKUP(B86,'Data qoq'!$A:$AT,MATCH($H$1,'Data qoq'!$A$1:$AT$1,),))</f>
        <v>0.617170518</v>
      </c>
      <c r="I86" s="25">
        <f>IF(VLOOKUP(B86,'Data qoq'!$A:$AT,MATCH($I$1,'Data qoq'!$A$1:$AT$1,),)=0,#N/A,VLOOKUP(B86,'Data qoq'!$A:$AT,MATCH($I$1,'Data qoq'!$A$1:$AT$1,),))</f>
        <v>0.25717362399999999</v>
      </c>
      <c r="J86" s="25">
        <f>IF(VLOOKUP(B86,'Data qoq'!$A:$AT,MATCH($J$1,'Data qoq'!$A$1:$AT$1,),)=0,#N/A,VLOOKUP(B86,'Data qoq'!$A:$AT,MATCH($J$1,'Data qoq'!$A$1:$AT$1,),))</f>
        <v>0.30005049700000003</v>
      </c>
      <c r="K86" s="25">
        <f>IF(VLOOKUP(B86,'Data qoq'!$A:$AT,MATCH($K$1,'Data qoq'!$A$1:$AT$1,),)=0,#N/A,VLOOKUP(B86,'Data qoq'!$A:$AT,MATCH($K$1,'Data qoq'!$A$1:$AT$1,),))</f>
        <v>0.65925895599999995</v>
      </c>
      <c r="L86" s="25">
        <f>IF(VLOOKUP(B86,'Data qoq'!$A:$AT,MATCH($L$1,'Data qoq'!$A$1:$AT$1,),)=0,#N/A,VLOOKUP(B86,'Data qoq'!$A:$AT,MATCH($L$1,'Data qoq'!$A$1:$AT$1,),))</f>
        <v>1.198393292</v>
      </c>
      <c r="M86" s="25">
        <f>IF(VLOOKUP(B86,'Data qoq'!$A:$AT,MATCH($M$1,'Data qoq'!$A$1:$AT$1,),)=0,#N/A,VLOOKUP(B86,'Data qoq'!$A:$AT,MATCH($M$1,'Data qoq'!$A$1:$AT$1,),))</f>
        <v>-0.28139541200000001</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0.22189108900000001</v>
      </c>
      <c r="R86" s="25">
        <f>IF(VLOOKUP(B86,'Data qoq'!$A:$AT,MATCH($R$1,'Data qoq'!$A$1:$AT$1,),)=0,#N/A,VLOOKUP(B86,'Data qoq'!$A:$AT,MATCH($R$1,'Data qoq'!$A$1:$AT$1,),))</f>
        <v>0.23633673799999999</v>
      </c>
      <c r="S86" s="25">
        <f>IF(VLOOKUP(B86,'Data qoq'!$A:$AT,MATCH($S$1,'Data qoq'!$A$1:$AT$1,),)=0,#N/A,VLOOKUP(B86,'Data qoq'!$A:$AT,MATCH($S$1,'Data qoq'!$A$1:$AT$1,),))</f>
        <v>0.70031295599999999</v>
      </c>
      <c r="T86" s="25">
        <f>IF(VLOOKUP(B86,'Data qoq'!$A:$AT,MATCH($T$1,'Data qoq'!$A$1:$AT$1,),)=0,#N/A,VLOOKUP(B86,'Data qoq'!$A:$AT,MATCH($T$1,'Data qoq'!$A$1:$AT$1,),))</f>
        <v>-0.34421514600000003</v>
      </c>
      <c r="U86" s="25">
        <f>IF(VLOOKUP(B86,'Data qoq'!$A:$AT,MATCH($U$1,'Data qoq'!$A$1:$AT$1,),)=0,#N/A,VLOOKUP(B86,'Data qoq'!$A:$AT,MATCH($U$1,'Data qoq'!$A$1:$AT$1,),))</f>
        <v>0.67227877000000003</v>
      </c>
      <c r="V86" s="25">
        <f>IF(VLOOKUP(B86,'Data qoq'!$A:$AT,MATCH($V$1,'Data qoq'!$A$1:$AT$1,),)=0,#N/A,VLOOKUP(B86,'Data qoq'!$A:$AT,MATCH($V$1,'Data qoq'!$A$1:$AT$1,),))</f>
        <v>0.79350420399999999</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0.94567659199999998</v>
      </c>
      <c r="Z86" s="25">
        <f>IF(VLOOKUP(B86,'Data qoq'!$A:$AU,MATCH($Z$1,'Data qoq'!$A$1:$AU$1,),)=0,#N/A,VLOOKUP(B86,'Data qoq'!$A:$AU,MATCH($Z$1,'Data qoq'!$A$1:$AU$1,),))</f>
        <v>-1.484693094</v>
      </c>
      <c r="AA86" s="25">
        <f>IF(VLOOKUP(B86,'Data qoq'!$A:$AU,MATCH($AA$1,'Data qoq'!$A$1:$AU$1,),)=0,#N/A,VLOOKUP(B86,'Data qoq'!$A:$AU,MATCH($AA$1,'Data qoq'!$A$1:$AU$1,),))</f>
        <v>1.2670100470000001</v>
      </c>
      <c r="AC86" s="26" t="str">
        <f t="shared" si="10"/>
        <v>2018-Q4</v>
      </c>
      <c r="AD86" s="27">
        <f t="shared" si="11"/>
        <v>-0.61285139300000002</v>
      </c>
      <c r="AE86" s="27"/>
    </row>
    <row r="87" spans="2:31" s="73" customFormat="1" x14ac:dyDescent="0.2">
      <c r="B87" s="24" t="s">
        <v>353</v>
      </c>
      <c r="C87" s="25">
        <f>IF(VLOOKUP(B87,'Data qoq'!$A:$AT,MATCH($C$1,'Data qoq'!$A$1:$AT$1,),)=0,#N/A,VLOOKUP(B87,'Data qoq'!$A:$AT,MATCH($C$1,'Data qoq'!$A$1:$AT$1,),))</f>
        <v>0.54271060999999998</v>
      </c>
      <c r="D87" s="25">
        <f>IF(VLOOKUP(B87,'Data qoq'!$A:$AT,MATCH($D$1,'Data qoq'!$A$1:$AT$1,),)=0,#N/A,VLOOKUP(B87,'Data qoq'!$A:$AT,MATCH($D$1,'Data qoq'!$A$1:$AT$1,),))</f>
        <v>1.8</v>
      </c>
      <c r="E87" s="25">
        <f>IF(VLOOKUP(B87,'Data qoq'!$A:$AT,MATCH($E$1,'Data qoq'!$A$1:$AT$1,),)=0,#N/A,VLOOKUP(B87,'Data qoq'!$A:$AT,MATCH($E$1,'Data qoq'!$A$1:$AT$1,),))</f>
        <v>0.64024499999999995</v>
      </c>
      <c r="F87" s="25">
        <f>IF(VLOOKUP(B87,'Data qoq'!$A:$AT,MATCH($F$1,'Data qoq'!$A$1:$AT$1,),)=0,#N/A,VLOOKUP(B87,'Data qoq'!$A:$AT,MATCH($F$1,'Data qoq'!$A$1:$AT$1,),))</f>
        <v>0.54381354999999998</v>
      </c>
      <c r="G87" s="25">
        <f>IF(VLOOKUP(B87,'Data qoq'!$A:$AT,MATCH($G$1,'Data qoq'!$A$1:$AT$1,),)=0,#N/A,VLOOKUP(B87,'Data qoq'!$A:$AT,MATCH($G$1,'Data qoq'!$A$1:$AT$1,),))</f>
        <v>0.71562698000000002</v>
      </c>
      <c r="H87" s="25">
        <f>IF(VLOOKUP(B87,'Data qoq'!$A:$AT,MATCH($H$1,'Data qoq'!$A$1:$AT$1,),)=0,#N/A,VLOOKUP(B87,'Data qoq'!$A:$AT,MATCH($H$1,'Data qoq'!$A$1:$AT$1,),))</f>
        <v>0.67406665399999999</v>
      </c>
      <c r="I87" s="25">
        <f>IF(VLOOKUP(B87,'Data qoq'!$A:$AT,MATCH($I$1,'Data qoq'!$A$1:$AT$1,),)=0,#N/A,VLOOKUP(B87,'Data qoq'!$A:$AT,MATCH($I$1,'Data qoq'!$A$1:$AT$1,),))</f>
        <v>0.63036359600000003</v>
      </c>
      <c r="J87" s="25">
        <f>IF(VLOOKUP(B87,'Data qoq'!$A:$AT,MATCH($J$1,'Data qoq'!$A$1:$AT$1,),)=0,#N/A,VLOOKUP(B87,'Data qoq'!$A:$AT,MATCH($J$1,'Data qoq'!$A$1:$AT$1,),))</f>
        <v>0.19127612099999999</v>
      </c>
      <c r="K87" s="25">
        <f>IF(VLOOKUP(B87,'Data qoq'!$A:$AT,MATCH($K$1,'Data qoq'!$A$1:$AT$1,),)=0,#N/A,VLOOKUP(B87,'Data qoq'!$A:$AT,MATCH($K$1,'Data qoq'!$A$1:$AT$1,),))</f>
        <v>0.60886152699999996</v>
      </c>
      <c r="L87" s="25">
        <f>IF(VLOOKUP(B87,'Data qoq'!$A:$AT,MATCH($L$1,'Data qoq'!$A$1:$AT$1,),)=0,#N/A,VLOOKUP(B87,'Data qoq'!$A:$AT,MATCH($L$1,'Data qoq'!$A$1:$AT$1,),))</f>
        <v>0.63649135800000001</v>
      </c>
      <c r="M87" s="25">
        <f>IF(VLOOKUP(B87,'Data qoq'!$A:$AT,MATCH($M$1,'Data qoq'!$A$1:$AT$1,),)=0,#N/A,VLOOKUP(B87,'Data qoq'!$A:$AT,MATCH($M$1,'Data qoq'!$A$1:$AT$1,),))</f>
        <v>5.0116571999999998E-2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9.0640852999999993E-2</v>
      </c>
      <c r="Q87" s="25">
        <f>IF(VLOOKUP(B87,'Data qoq'!$A:$AT,MATCH($Q$1,'Data qoq'!$A$1:$AT$1,),)=0,#N/A,VLOOKUP(B87,'Data qoq'!$A:$AT,MATCH($Q$1,'Data qoq'!$A$1:$AT$1,),))</f>
        <v>0.49890920599999999</v>
      </c>
      <c r="R87" s="25">
        <f>IF(VLOOKUP(B87,'Data qoq'!$A:$AT,MATCH($R$1,'Data qoq'!$A$1:$AT$1,),)=0,#N/A,VLOOKUP(B87,'Data qoq'!$A:$AT,MATCH($R$1,'Data qoq'!$A$1:$AT$1,),))</f>
        <v>0.14968249</v>
      </c>
      <c r="S87" s="25">
        <f>IF(VLOOKUP(B87,'Data qoq'!$A:$AT,MATCH($S$1,'Data qoq'!$A$1:$AT$1,),)=0,#N/A,VLOOKUP(B87,'Data qoq'!$A:$AT,MATCH($S$1,'Data qoq'!$A$1:$AT$1,),))</f>
        <v>-0.19857931700000001</v>
      </c>
      <c r="T87" s="25">
        <f>IF(VLOOKUP(B87,'Data qoq'!$A:$AT,MATCH($T$1,'Data qoq'!$A$1:$AT$1,),)=0,#N/A,VLOOKUP(B87,'Data qoq'!$A:$AT,MATCH($T$1,'Data qoq'!$A$1:$AT$1,),))</f>
        <v>0.40917859600000001</v>
      </c>
      <c r="U87" s="25">
        <f>IF(VLOOKUP(B87,'Data qoq'!$A:$AT,MATCH($U$1,'Data qoq'!$A$1:$AT$1,),)=0,#N/A,VLOOKUP(B87,'Data qoq'!$A:$AT,MATCH($U$1,'Data qoq'!$A$1:$AT$1,),))</f>
        <v>0.63296164700000002</v>
      </c>
      <c r="V87" s="25">
        <f>IF(VLOOKUP(B87,'Data qoq'!$A:$AT,MATCH($V$1,'Data qoq'!$A$1:$AT$1,),)=0,#N/A,VLOOKUP(B87,'Data qoq'!$A:$AT,MATCH($V$1,'Data qoq'!$A$1:$AT$1,),))</f>
        <v>1.580050543</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1.79920554</v>
      </c>
      <c r="Z87" s="25">
        <f>IF(VLOOKUP(B87,'Data qoq'!$A:$AU,MATCH($Z$1,'Data qoq'!$A$1:$AU$1,),)=0,#N/A,VLOOKUP(B87,'Data qoq'!$A:$AU,MATCH($Z$1,'Data qoq'!$A$1:$AU$1,),))</f>
        <v>8.9245194E-2</v>
      </c>
      <c r="AA87" s="25">
        <f>IF(VLOOKUP(B87,'Data qoq'!$A:$AU,MATCH($AA$1,'Data qoq'!$A$1:$AU$1,),)=0,#N/A,VLOOKUP(B87,'Data qoq'!$A:$AU,MATCH($AA$1,'Data qoq'!$A$1:$AU$1,),))</f>
        <v>0.57298943499999999</v>
      </c>
      <c r="AC87" s="26" t="str">
        <f t="shared" si="10"/>
        <v>2019-Q1</v>
      </c>
      <c r="AD87" s="27">
        <f t="shared" si="11"/>
        <v>-0.17291637000000004</v>
      </c>
      <c r="AE87" s="27"/>
    </row>
    <row r="88" spans="2:31" s="73" customFormat="1" x14ac:dyDescent="0.2">
      <c r="B88" s="24" t="s">
        <v>354</v>
      </c>
      <c r="C88" s="25">
        <f>IF(VLOOKUP(B88,'Data qoq'!$A:$AT,MATCH($C$1,'Data qoq'!$A$1:$AT$1,),)=0,#N/A,VLOOKUP(B88,'Data qoq'!$A:$AT,MATCH($C$1,'Data qoq'!$A$1:$AT$1,),))</f>
        <v>0.67300894</v>
      </c>
      <c r="D88" s="25">
        <f>IF(VLOOKUP(B88,'Data qoq'!$A:$AT,MATCH($D$1,'Data qoq'!$A$1:$AT$1,),)=0,#N/A,VLOOKUP(B88,'Data qoq'!$A:$AT,MATCH($D$1,'Data qoq'!$A$1:$AT$1,),))</f>
        <v>1.3</v>
      </c>
      <c r="E88" s="25">
        <f>IF(VLOOKUP(B88,'Data qoq'!$A:$AT,MATCH($E$1,'Data qoq'!$A$1:$AT$1,),)=0,#N/A,VLOOKUP(B88,'Data qoq'!$A:$AT,MATCH($E$1,'Data qoq'!$A$1:$AT$1,),))</f>
        <v>0.30867299999999998</v>
      </c>
      <c r="F88" s="25">
        <f>IF(VLOOKUP(B88,'Data qoq'!$A:$AT,MATCH($F$1,'Data qoq'!$A$1:$AT$1,),)=0,#N/A,VLOOKUP(B88,'Data qoq'!$A:$AT,MATCH($F$1,'Data qoq'!$A$1:$AT$1,),))</f>
        <v>0.36729315200000001</v>
      </c>
      <c r="G88" s="25">
        <f>IF(VLOOKUP(B88,'Data qoq'!$A:$AT,MATCH($G$1,'Data qoq'!$A$1:$AT$1,),)=0,#N/A,VLOOKUP(B88,'Data qoq'!$A:$AT,MATCH($G$1,'Data qoq'!$A$1:$AT$1,),))</f>
        <v>-0.16774414400000001</v>
      </c>
      <c r="H88" s="25">
        <f>IF(VLOOKUP(B88,'Data qoq'!$A:$AT,MATCH($H$1,'Data qoq'!$A$1:$AT$1,),)=0,#N/A,VLOOKUP(B88,'Data qoq'!$A:$AT,MATCH($H$1,'Data qoq'!$A$1:$AT$1,),))</f>
        <v>0.67191142400000003</v>
      </c>
      <c r="I88" s="25">
        <f>IF(VLOOKUP(B88,'Data qoq'!$A:$AT,MATCH($I$1,'Data qoq'!$A$1:$AT$1,),)=0,#N/A,VLOOKUP(B88,'Data qoq'!$A:$AT,MATCH($I$1,'Data qoq'!$A$1:$AT$1,),))</f>
        <v>0.109963441</v>
      </c>
      <c r="J88" s="25">
        <f>IF(VLOOKUP(B88,'Data qoq'!$A:$AT,MATCH($J$1,'Data qoq'!$A$1:$AT$1,),)=0,#N/A,VLOOKUP(B88,'Data qoq'!$A:$AT,MATCH($J$1,'Data qoq'!$A$1:$AT$1,),))</f>
        <v>0.220292548</v>
      </c>
      <c r="K88" s="25">
        <f>IF(VLOOKUP(B88,'Data qoq'!$A:$AT,MATCH($K$1,'Data qoq'!$A$1:$AT$1,),)=0,#N/A,VLOOKUP(B88,'Data qoq'!$A:$AT,MATCH($K$1,'Data qoq'!$A$1:$AT$1,),))</f>
        <v>0.34620021699999998</v>
      </c>
      <c r="L88" s="25">
        <f>IF(VLOOKUP(B88,'Data qoq'!$A:$AT,MATCH($L$1,'Data qoq'!$A$1:$AT$1,),)=0,#N/A,VLOOKUP(B88,'Data qoq'!$A:$AT,MATCH($L$1,'Data qoq'!$A$1:$AT$1,),))</f>
        <v>0.59889089200000001</v>
      </c>
      <c r="M88" s="25">
        <f>IF(VLOOKUP(B88,'Data qoq'!$A:$AT,MATCH($M$1,'Data qoq'!$A$1:$AT$1,),)=0,#N/A,VLOOKUP(B88,'Data qoq'!$A:$AT,MATCH($M$1,'Data qoq'!$A$1:$AT$1,),))</f>
        <v>-0.458166401</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0.99073782899999996</v>
      </c>
      <c r="Q88" s="25">
        <f>IF(VLOOKUP(B88,'Data qoq'!$A:$AT,MATCH($Q$1,'Data qoq'!$A$1:$AT$1,),)=0,#N/A,VLOOKUP(B88,'Data qoq'!$A:$AT,MATCH($Q$1,'Data qoq'!$A$1:$AT$1,),))</f>
        <v>0.48373442999999999</v>
      </c>
      <c r="R88" s="25">
        <f>IF(VLOOKUP(B88,'Data qoq'!$A:$AT,MATCH($R$1,'Data qoq'!$A$1:$AT$1,),)=0,#N/A,VLOOKUP(B88,'Data qoq'!$A:$AT,MATCH($R$1,'Data qoq'!$A$1:$AT$1,),))</f>
        <v>0.44437089600000002</v>
      </c>
      <c r="S88" s="25">
        <f>IF(VLOOKUP(B88,'Data qoq'!$A:$AT,MATCH($S$1,'Data qoq'!$A$1:$AT$1,),)=0,#N/A,VLOOKUP(B88,'Data qoq'!$A:$AT,MATCH($S$1,'Data qoq'!$A$1:$AT$1,),))</f>
        <v>1.0599055340000001</v>
      </c>
      <c r="T88" s="25">
        <f>IF(VLOOKUP(B88,'Data qoq'!$A:$AT,MATCH($T$1,'Data qoq'!$A$1:$AT$1,),)=0,#N/A,VLOOKUP(B88,'Data qoq'!$A:$AT,MATCH($T$1,'Data qoq'!$A$1:$AT$1,),))</f>
        <v>0.55988685400000004</v>
      </c>
      <c r="U88" s="25">
        <f>IF(VLOOKUP(B88,'Data qoq'!$A:$AT,MATCH($U$1,'Data qoq'!$A$1:$AT$1,),)=0,#N/A,VLOOKUP(B88,'Data qoq'!$A:$AT,MATCH($U$1,'Data qoq'!$A$1:$AT$1,),))</f>
        <v>1.1086349</v>
      </c>
      <c r="V88" s="25">
        <f>IF(VLOOKUP(B88,'Data qoq'!$A:$AT,MATCH($V$1,'Data qoq'!$A$1:$AT$1,),)=0,#N/A,VLOOKUP(B88,'Data qoq'!$A:$AT,MATCH($V$1,'Data qoq'!$A$1:$AT$1,),))</f>
        <v>1.788804219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0.80119830299999995</v>
      </c>
      <c r="Z88" s="25">
        <f>IF(VLOOKUP(B88,'Data qoq'!$A:$AU,MATCH($Z$1,'Data qoq'!$A$1:$AU$1,),)=0,#N/A,VLOOKUP(B88,'Data qoq'!$A:$AU,MATCH($Z$1,'Data qoq'!$A$1:$AU$1,),))</f>
        <v>0.86741112099999995</v>
      </c>
      <c r="AA88" s="25">
        <f>IF(VLOOKUP(B88,'Data qoq'!$A:$AU,MATCH($AA$1,'Data qoq'!$A$1:$AU$1,),)=0,#N/A,VLOOKUP(B88,'Data qoq'!$A:$AU,MATCH($AA$1,'Data qoq'!$A$1:$AU$1,),))</f>
        <v>0.54006805499999999</v>
      </c>
      <c r="AC88" s="26" t="str">
        <f t="shared" si="10"/>
        <v>2019-Q2</v>
      </c>
      <c r="AD88" s="27">
        <f t="shared" si="11"/>
        <v>0.84075308400000004</v>
      </c>
      <c r="AE88" s="27"/>
    </row>
    <row r="89" spans="2:31" s="73" customFormat="1" x14ac:dyDescent="0.2">
      <c r="B89" s="24" t="s">
        <v>355</v>
      </c>
      <c r="C89" s="25">
        <f>IF(VLOOKUP(B89,'Data qoq'!$A:$AT,MATCH($C$1,'Data qoq'!$A$1:$AT$1,),)=0,#N/A,VLOOKUP(B89,'Data qoq'!$A:$AT,MATCH($C$1,'Data qoq'!$A$1:$AT$1,),))</f>
        <v>0.88996647299999998</v>
      </c>
      <c r="D89" s="25">
        <f>IF(VLOOKUP(B89,'Data qoq'!$A:$AT,MATCH($D$1,'Data qoq'!$A$1:$AT$1,),)=0,#N/A,VLOOKUP(B89,'Data qoq'!$A:$AT,MATCH($D$1,'Data qoq'!$A$1:$AT$1,),))</f>
        <v>1.4</v>
      </c>
      <c r="E89" s="25">
        <f>IF(VLOOKUP(B89,'Data qoq'!$A:$AT,MATCH($E$1,'Data qoq'!$A$1:$AT$1,),)=0,#N/A,VLOOKUP(B89,'Data qoq'!$A:$AT,MATCH($E$1,'Data qoq'!$A$1:$AT$1,),))</f>
        <v>0.21207000000000001</v>
      </c>
      <c r="F89" s="25">
        <f>IF(VLOOKUP(B89,'Data qoq'!$A:$AT,MATCH($F$1,'Data qoq'!$A$1:$AT$1,),)=0,#N/A,VLOOKUP(B89,'Data qoq'!$A:$AT,MATCH($F$1,'Data qoq'!$A$1:$AT$1,),))</f>
        <v>-3.1222480000000002E-3</v>
      </c>
      <c r="G89" s="25">
        <f>IF(VLOOKUP(B89,'Data qoq'!$A:$AT,MATCH($G$1,'Data qoq'!$A$1:$AT$1,),)=0,#N/A,VLOOKUP(B89,'Data qoq'!$A:$AT,MATCH($G$1,'Data qoq'!$A$1:$AT$1,),))</f>
        <v>0.112016509</v>
      </c>
      <c r="H89" s="25">
        <f>IF(VLOOKUP(B89,'Data qoq'!$A:$AT,MATCH($H$1,'Data qoq'!$A$1:$AT$1,),)=0,#N/A,VLOOKUP(B89,'Data qoq'!$A:$AT,MATCH($H$1,'Data qoq'!$A$1:$AT$1,),))</f>
        <v>7.095194E-3</v>
      </c>
      <c r="I89" s="25">
        <f>IF(VLOOKUP(B89,'Data qoq'!$A:$AT,MATCH($I$1,'Data qoq'!$A$1:$AT$1,),)=0,#N/A,VLOOKUP(B89,'Data qoq'!$A:$AT,MATCH($I$1,'Data qoq'!$A$1:$AT$1,),))</f>
        <v>0.61085417399999997</v>
      </c>
      <c r="J89" s="25">
        <f>IF(VLOOKUP(B89,'Data qoq'!$A:$AT,MATCH($J$1,'Data qoq'!$A$1:$AT$1,),)=0,#N/A,VLOOKUP(B89,'Data qoq'!$A:$AT,MATCH($J$1,'Data qoq'!$A$1:$AT$1,),))</f>
        <v>3.9404832000000001E-2</v>
      </c>
      <c r="K89" s="25">
        <f>IF(VLOOKUP(B89,'Data qoq'!$A:$AT,MATCH($K$1,'Data qoq'!$A$1:$AT$1,),)=0,#N/A,VLOOKUP(B89,'Data qoq'!$A:$AT,MATCH($K$1,'Data qoq'!$A$1:$AT$1,),))</f>
        <v>0.29500010100000001</v>
      </c>
      <c r="L89" s="25">
        <f>IF(VLOOKUP(B89,'Data qoq'!$A:$AT,MATCH($L$1,'Data qoq'!$A$1:$AT$1,),)=0,#N/A,VLOOKUP(B89,'Data qoq'!$A:$AT,MATCH($L$1,'Data qoq'!$A$1:$AT$1,),))</f>
        <v>0.16318338700000001</v>
      </c>
      <c r="M89" s="25">
        <f>IF(VLOOKUP(B89,'Data qoq'!$A:$AT,MATCH($M$1,'Data qoq'!$A$1:$AT$1,),)=0,#N/A,VLOOKUP(B89,'Data qoq'!$A:$AT,MATCH($M$1,'Data qoq'!$A$1:$AT$1,),))</f>
        <v>0.57664308600000003</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0.32664281099999998</v>
      </c>
      <c r="Q89" s="25">
        <f>IF(VLOOKUP(B89,'Data qoq'!$A:$AT,MATCH($Q$1,'Data qoq'!$A$1:$AT$1,),)=0,#N/A,VLOOKUP(B89,'Data qoq'!$A:$AT,MATCH($Q$1,'Data qoq'!$A$1:$AT$1,),))</f>
        <v>0.83162835499999999</v>
      </c>
      <c r="R89" s="25">
        <f>IF(VLOOKUP(B89,'Data qoq'!$A:$AT,MATCH($R$1,'Data qoq'!$A$1:$AT$1,),)=0,#N/A,VLOOKUP(B89,'Data qoq'!$A:$AT,MATCH($R$1,'Data qoq'!$A$1:$AT$1,),))</f>
        <v>0.557134456</v>
      </c>
      <c r="S89" s="25">
        <f>IF(VLOOKUP(B89,'Data qoq'!$A:$AT,MATCH($S$1,'Data qoq'!$A$1:$AT$1,),)=0,#N/A,VLOOKUP(B89,'Data qoq'!$A:$AT,MATCH($S$1,'Data qoq'!$A$1:$AT$1,),))</f>
        <v>0.527437881</v>
      </c>
      <c r="T89" s="25">
        <f>IF(VLOOKUP(B89,'Data qoq'!$A:$AT,MATCH($T$1,'Data qoq'!$A$1:$AT$1,),)=0,#N/A,VLOOKUP(B89,'Data qoq'!$A:$AT,MATCH($T$1,'Data qoq'!$A$1:$AT$1,),))</f>
        <v>0.106705147</v>
      </c>
      <c r="U89" s="25">
        <f>IF(VLOOKUP(B89,'Data qoq'!$A:$AT,MATCH($U$1,'Data qoq'!$A$1:$AT$1,),)=0,#N/A,VLOOKUP(B89,'Data qoq'!$A:$AT,MATCH($U$1,'Data qoq'!$A$1:$AT$1,),))</f>
        <v>-9.7270048999999997E-2</v>
      </c>
      <c r="V89" s="25">
        <f>IF(VLOOKUP(B89,'Data qoq'!$A:$AT,MATCH($V$1,'Data qoq'!$A$1:$AT$1,),)=0,#N/A,VLOOKUP(B89,'Data qoq'!$A:$AT,MATCH($V$1,'Data qoq'!$A$1:$AT$1,),))</f>
        <v>1.9352186790000001</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0.89971355200000003</v>
      </c>
      <c r="Z89" s="25">
        <f>IF(VLOOKUP(B89,'Data qoq'!$A:$AU,MATCH($Z$1,'Data qoq'!$A$1:$AU$1,),)=0,#N/A,VLOOKUP(B89,'Data qoq'!$A:$AU,MATCH($Z$1,'Data qoq'!$A$1:$AU$1,),))</f>
        <v>0.17854977</v>
      </c>
      <c r="AA89" s="25">
        <f>IF(VLOOKUP(B89,'Data qoq'!$A:$AU,MATCH($AA$1,'Data qoq'!$A$1:$AU$1,),)=0,#N/A,VLOOKUP(B89,'Data qoq'!$A:$AU,MATCH($AA$1,'Data qoq'!$A$1:$AU$1,),))</f>
        <v>0.83214307899999995</v>
      </c>
      <c r="AC89" s="26" t="str">
        <f t="shared" si="10"/>
        <v>2019-Q3</v>
      </c>
      <c r="AD89" s="27">
        <f t="shared" si="11"/>
        <v>0.77794996399999994</v>
      </c>
      <c r="AE89" s="27"/>
    </row>
    <row r="90" spans="2:31" s="73" customFormat="1" x14ac:dyDescent="0.2">
      <c r="B90" s="24" t="s">
        <v>356</v>
      </c>
      <c r="C90" s="25">
        <f>IF(VLOOKUP(B90,'Data qoq'!$A:$AT,MATCH($C$1,'Data qoq'!$A$1:$AT$1,),)=0,#N/A,VLOOKUP(B90,'Data qoq'!$A:$AT,MATCH($C$1,'Data qoq'!$A$1:$AT$1,),))</f>
        <v>0.44304689400000002</v>
      </c>
      <c r="D90" s="25">
        <f>IF(VLOOKUP(B90,'Data qoq'!$A:$AT,MATCH($D$1,'Data qoq'!$A$1:$AT$1,),)=0,#N/A,VLOOKUP(B90,'Data qoq'!$A:$AT,MATCH($D$1,'Data qoq'!$A$1:$AT$1,),))</f>
        <v>1.2</v>
      </c>
      <c r="E90" s="25">
        <f>IF(VLOOKUP(B90,'Data qoq'!$A:$AT,MATCH($E$1,'Data qoq'!$A$1:$AT$1,),)=0,#N/A,VLOOKUP(B90,'Data qoq'!$A:$AT,MATCH($E$1,'Data qoq'!$A$1:$AT$1,),))</f>
        <v>3.2769E-2</v>
      </c>
      <c r="F90" s="25">
        <f>IF(VLOOKUP(B90,'Data qoq'!$A:$AT,MATCH($F$1,'Data qoq'!$A$1:$AT$1,),)=0,#N/A,VLOOKUP(B90,'Data qoq'!$A:$AT,MATCH($F$1,'Data qoq'!$A$1:$AT$1,),))</f>
        <v>-2.9441030100000001</v>
      </c>
      <c r="G90" s="25">
        <f>IF(VLOOKUP(B90,'Data qoq'!$A:$AT,MATCH($G$1,'Data qoq'!$A$1:$AT$1,),)=0,#N/A,VLOOKUP(B90,'Data qoq'!$A:$AT,MATCH($G$1,'Data qoq'!$A$1:$AT$1,),))</f>
        <v>0.261074062</v>
      </c>
      <c r="H90" s="25">
        <f>IF(VLOOKUP(B90,'Data qoq'!$A:$AT,MATCH($H$1,'Data qoq'!$A$1:$AT$1,),)=0,#N/A,VLOOKUP(B90,'Data qoq'!$A:$AT,MATCH($H$1,'Data qoq'!$A$1:$AT$1,),))</f>
        <v>-0.27339345900000001</v>
      </c>
      <c r="I90" s="25">
        <f>IF(VLOOKUP(B90,'Data qoq'!$A:$AT,MATCH($I$1,'Data qoq'!$A$1:$AT$1,),)=0,#N/A,VLOOKUP(B90,'Data qoq'!$A:$AT,MATCH($I$1,'Data qoq'!$A$1:$AT$1,),))</f>
        <v>-2.5112203E-2</v>
      </c>
      <c r="J90" s="25">
        <f>IF(VLOOKUP(B90,'Data qoq'!$A:$AT,MATCH($J$1,'Data qoq'!$A$1:$AT$1,),)=0,#N/A,VLOOKUP(B90,'Data qoq'!$A:$AT,MATCH($J$1,'Data qoq'!$A$1:$AT$1,),))</f>
        <v>-0.78607865899999996</v>
      </c>
      <c r="K90" s="25">
        <f>IF(VLOOKUP(B90,'Data qoq'!$A:$AT,MATCH($K$1,'Data qoq'!$A$1:$AT$1,),)=0,#N/A,VLOOKUP(B90,'Data qoq'!$A:$AT,MATCH($K$1,'Data qoq'!$A$1:$AT$1,),))</f>
        <v>0.21716943599999999</v>
      </c>
      <c r="L90" s="25">
        <f>IF(VLOOKUP(B90,'Data qoq'!$A:$AT,MATCH($L$1,'Data qoq'!$A$1:$AT$1,),)=0,#N/A,VLOOKUP(B90,'Data qoq'!$A:$AT,MATCH($L$1,'Data qoq'!$A$1:$AT$1,),))</f>
        <v>0.26092378599999999</v>
      </c>
      <c r="M90" s="25">
        <f>IF(VLOOKUP(B90,'Data qoq'!$A:$AT,MATCH($M$1,'Data qoq'!$A$1:$AT$1,),)=0,#N/A,VLOOKUP(B90,'Data qoq'!$A:$AT,MATCH($M$1,'Data qoq'!$A$1:$AT$1,),))</f>
        <v>-0.76285224100000004</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0.30068375400000003</v>
      </c>
      <c r="Q90" s="25">
        <f>IF(VLOOKUP(B90,'Data qoq'!$A:$AT,MATCH($Q$1,'Data qoq'!$A$1:$AT$1,),)=0,#N/A,VLOOKUP(B90,'Data qoq'!$A:$AT,MATCH($Q$1,'Data qoq'!$A$1:$AT$1,),))</f>
        <v>0.51662469200000005</v>
      </c>
      <c r="R90" s="25">
        <f>IF(VLOOKUP(B90,'Data qoq'!$A:$AT,MATCH($R$1,'Data qoq'!$A$1:$AT$1,),)=0,#N/A,VLOOKUP(B90,'Data qoq'!$A:$AT,MATCH($R$1,'Data qoq'!$A$1:$AT$1,),))</f>
        <v>0.56000616800000003</v>
      </c>
      <c r="S90" s="25">
        <f>IF(VLOOKUP(B90,'Data qoq'!$A:$AT,MATCH($S$1,'Data qoq'!$A$1:$AT$1,),)=0,#N/A,VLOOKUP(B90,'Data qoq'!$A:$AT,MATCH($S$1,'Data qoq'!$A$1:$AT$1,),))</f>
        <v>1.2711157769999999</v>
      </c>
      <c r="T90" s="25">
        <f>IF(VLOOKUP(B90,'Data qoq'!$A:$AT,MATCH($T$1,'Data qoq'!$A$1:$AT$1,),)=0,#N/A,VLOOKUP(B90,'Data qoq'!$A:$AT,MATCH($T$1,'Data qoq'!$A$1:$AT$1,),))</f>
        <v>0.35103288500000002</v>
      </c>
      <c r="U90" s="25">
        <f>IF(VLOOKUP(B90,'Data qoq'!$A:$AT,MATCH($U$1,'Data qoq'!$A$1:$AT$1,),)=0,#N/A,VLOOKUP(B90,'Data qoq'!$A:$AT,MATCH($U$1,'Data qoq'!$A$1:$AT$1,),))</f>
        <v>-0.268257686</v>
      </c>
      <c r="V90" s="25">
        <f>IF(VLOOKUP(B90,'Data qoq'!$A:$AT,MATCH($V$1,'Data qoq'!$A$1:$AT$1,),)=0,#N/A,VLOOKUP(B90,'Data qoq'!$A:$AT,MATCH($V$1,'Data qoq'!$A$1:$AT$1,),))</f>
        <v>0.97365846499999997</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0.49142001499999999</v>
      </c>
      <c r="Z90" s="25">
        <f>IF(VLOOKUP(B90,'Data qoq'!$A:$AU,MATCH($Z$1,'Data qoq'!$A$1:$AU$1,),)=0,#N/A,VLOOKUP(B90,'Data qoq'!$A:$AU,MATCH($Z$1,'Data qoq'!$A$1:$AU$1,),))</f>
        <v>-1.686824106</v>
      </c>
      <c r="AA90" s="25">
        <f>IF(VLOOKUP(B90,'Data qoq'!$A:$AU,MATCH($AA$1,'Data qoq'!$A$1:$AU$1,),)=0,#N/A,VLOOKUP(B90,'Data qoq'!$A:$AU,MATCH($AA$1,'Data qoq'!$A$1:$AU$1,),))</f>
        <v>0.32641497800000002</v>
      </c>
      <c r="AC90" s="26" t="str">
        <f t="shared" si="10"/>
        <v>2019-Q4</v>
      </c>
      <c r="AD90" s="27">
        <f t="shared" si="11"/>
        <v>0.18197283200000003</v>
      </c>
      <c r="AE90" s="27"/>
    </row>
    <row r="91" spans="2:31" s="73" customFormat="1" x14ac:dyDescent="0.2">
      <c r="B91" s="24" t="s">
        <v>357</v>
      </c>
      <c r="C91" s="25">
        <f>IF(VLOOKUP(B91,'Data qoq'!$A:$AT,MATCH($C$1,'Data qoq'!$A$1:$AT$1,),)=0,#N/A,VLOOKUP(B91,'Data qoq'!$A:$AT,MATCH($C$1,'Data qoq'!$A$1:$AT$1,),))</f>
        <v>-1.175154201</v>
      </c>
      <c r="D91" s="25">
        <f>IF(VLOOKUP(B91,'Data qoq'!$A:$AT,MATCH($D$1,'Data qoq'!$A$1:$AT$1,),)=0,#N/A,VLOOKUP(B91,'Data qoq'!$A:$AT,MATCH($D$1,'Data qoq'!$A$1:$AT$1,),))</f>
        <v>-10.3</v>
      </c>
      <c r="E91" s="25">
        <f>IF(VLOOKUP(B91,'Data qoq'!$A:$AT,MATCH($E$1,'Data qoq'!$A$1:$AT$1,),)=0,#N/A,VLOOKUP(B91,'Data qoq'!$A:$AT,MATCH($E$1,'Data qoq'!$A$1:$AT$1,),))</f>
        <v>-3.3973469999999999</v>
      </c>
      <c r="F91" s="25">
        <f>IF(VLOOKUP(B91,'Data qoq'!$A:$AT,MATCH($F$1,'Data qoq'!$A$1:$AT$1,),)=0,#N/A,VLOOKUP(B91,'Data qoq'!$A:$AT,MATCH($F$1,'Data qoq'!$A$1:$AT$1,),))</f>
        <v>0.56254166900000002</v>
      </c>
      <c r="G91" s="25">
        <f>IF(VLOOKUP(B91,'Data qoq'!$A:$AT,MATCH($G$1,'Data qoq'!$A$1:$AT$1,),)=0,#N/A,VLOOKUP(B91,'Data qoq'!$A:$AT,MATCH($G$1,'Data qoq'!$A$1:$AT$1,),))</f>
        <v>-1.4227654919999999</v>
      </c>
      <c r="H91" s="25">
        <f>IF(VLOOKUP(B91,'Data qoq'!$A:$AT,MATCH($H$1,'Data qoq'!$A$1:$AT$1,),)=0,#N/A,VLOOKUP(B91,'Data qoq'!$A:$AT,MATCH($H$1,'Data qoq'!$A$1:$AT$1,),))</f>
        <v>-5.5889196329999997</v>
      </c>
      <c r="I91" s="25">
        <f>IF(VLOOKUP(B91,'Data qoq'!$A:$AT,MATCH($I$1,'Data qoq'!$A$1:$AT$1,),)=0,#N/A,VLOOKUP(B91,'Data qoq'!$A:$AT,MATCH($I$1,'Data qoq'!$A$1:$AT$1,),))</f>
        <v>-2.6408284480000002</v>
      </c>
      <c r="J91" s="25">
        <f>IF(VLOOKUP(B91,'Data qoq'!$A:$AT,MATCH($J$1,'Data qoq'!$A$1:$AT$1,),)=0,#N/A,VLOOKUP(B91,'Data qoq'!$A:$AT,MATCH($J$1,'Data qoq'!$A$1:$AT$1,),))</f>
        <v>-5.8802487770000003</v>
      </c>
      <c r="K91" s="25">
        <f>IF(VLOOKUP(B91,'Data qoq'!$A:$AT,MATCH($K$1,'Data qoq'!$A$1:$AT$1,),)=0,#N/A,VLOOKUP(B91,'Data qoq'!$A:$AT,MATCH($K$1,'Data qoq'!$A$1:$AT$1,),))</f>
        <v>-5.4872551700000001</v>
      </c>
      <c r="L91" s="25">
        <f>IF(VLOOKUP(B91,'Data qoq'!$A:$AT,MATCH($L$1,'Data qoq'!$A$1:$AT$1,),)=0,#N/A,VLOOKUP(B91,'Data qoq'!$A:$AT,MATCH($L$1,'Data qoq'!$A$1:$AT$1,),))</f>
        <v>-2.9107800999999999E-2</v>
      </c>
      <c r="M91" s="25">
        <f>IF(VLOOKUP(B91,'Data qoq'!$A:$AT,MATCH($M$1,'Data qoq'!$A$1:$AT$1,),)=0,#N/A,VLOOKUP(B91,'Data qoq'!$A:$AT,MATCH($M$1,'Data qoq'!$A$1:$AT$1,),))</f>
        <v>-0.92964686600000002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-2.1573026089999998</v>
      </c>
      <c r="Q91" s="25">
        <f>IF(VLOOKUP(B91,'Data qoq'!$A:$AT,MATCH($Q$1,'Data qoq'!$A$1:$AT$1,),)=0,#N/A,VLOOKUP(B91,'Data qoq'!$A:$AT,MATCH($Q$1,'Data qoq'!$A$1:$AT$1,),))</f>
        <v>-0.225418231</v>
      </c>
      <c r="R91" s="25">
        <f>IF(VLOOKUP(B91,'Data qoq'!$A:$AT,MATCH($R$1,'Data qoq'!$A$1:$AT$1,),)=0,#N/A,VLOOKUP(B91,'Data qoq'!$A:$AT,MATCH($R$1,'Data qoq'!$A$1:$AT$1,),))</f>
        <v>-1.505608327</v>
      </c>
      <c r="S91" s="25">
        <f>IF(VLOOKUP(B91,'Data qoq'!$A:$AT,MATCH($S$1,'Data qoq'!$A$1:$AT$1,),)=0,#N/A,VLOOKUP(B91,'Data qoq'!$A:$AT,MATCH($S$1,'Data qoq'!$A$1:$AT$1,),))</f>
        <v>-1.3374557170000001</v>
      </c>
      <c r="T91" s="25">
        <f>IF(VLOOKUP(B91,'Data qoq'!$A:$AT,MATCH($T$1,'Data qoq'!$A$1:$AT$1,),)=0,#N/A,VLOOKUP(B91,'Data qoq'!$A:$AT,MATCH($T$1,'Data qoq'!$A$1:$AT$1,),))</f>
        <v>-2.3608671710000002</v>
      </c>
      <c r="U91" s="25">
        <f>IF(VLOOKUP(B91,'Data qoq'!$A:$AT,MATCH($U$1,'Data qoq'!$A$1:$AT$1,),)=0,#N/A,VLOOKUP(B91,'Data qoq'!$A:$AT,MATCH($U$1,'Data qoq'!$A$1:$AT$1,),))</f>
        <v>-2.1390575379999999</v>
      </c>
      <c r="V91" s="25">
        <f>IF(VLOOKUP(B91,'Data qoq'!$A:$AT,MATCH($V$1,'Data qoq'!$A$1:$AT$1,),)=0,#N/A,VLOOKUP(B91,'Data qoq'!$A:$AT,MATCH($V$1,'Data qoq'!$A$1:$AT$1,),))</f>
        <v>2.6513896049999999</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0.389982259</v>
      </c>
      <c r="Z91" s="25">
        <f>IF(VLOOKUP(B91,'Data qoq'!$A:$AU,MATCH($Z$1,'Data qoq'!$A$1:$AU$1,),)=0,#N/A,VLOOKUP(B91,'Data qoq'!$A:$AU,MATCH($Z$1,'Data qoq'!$A$1:$AU$1,),))</f>
        <v>-4.2212001429999999</v>
      </c>
      <c r="AA91" s="25">
        <f>IF(VLOOKUP(B91,'Data qoq'!$A:$AU,MATCH($AA$1,'Data qoq'!$A$1:$AU$1,),)=0,#N/A,VLOOKUP(B91,'Data qoq'!$A:$AU,MATCH($AA$1,'Data qoq'!$A$1:$AU$1,),))</f>
        <v>-1.1464088400000001</v>
      </c>
      <c r="AC91" s="26" t="str">
        <f t="shared" si="10"/>
        <v>2020-Q1</v>
      </c>
      <c r="AD91" s="27">
        <f t="shared" si="11"/>
        <v>0.2476112909999999</v>
      </c>
      <c r="AE91" s="27"/>
    </row>
    <row r="92" spans="2:31" s="73" customFormat="1" x14ac:dyDescent="0.2">
      <c r="B92" s="24" t="s">
        <v>358</v>
      </c>
      <c r="C92" s="25">
        <f>IF(VLOOKUP(B92,'Data qoq'!$A:$AT,MATCH($C$1,'Data qoq'!$A$1:$AT$1,),)=0,#N/A,VLOOKUP(B92,'Data qoq'!$A:$AT,MATCH($C$1,'Data qoq'!$A$1:$AT$1,),))</f>
        <v>-8.4843361539999993</v>
      </c>
      <c r="D92" s="25">
        <f>IF(VLOOKUP(B92,'Data qoq'!$A:$AT,MATCH($D$1,'Data qoq'!$A$1:$AT$1,),)=0,#N/A,VLOOKUP(B92,'Data qoq'!$A:$AT,MATCH($D$1,'Data qoq'!$A$1:$AT$1,),))</f>
        <v>11.7</v>
      </c>
      <c r="E92" s="25">
        <f>IF(VLOOKUP(B92,'Data qoq'!$A:$AT,MATCH($E$1,'Data qoq'!$A$1:$AT$1,),)=0,#N/A,VLOOKUP(B92,'Data qoq'!$A:$AT,MATCH($E$1,'Data qoq'!$A$1:$AT$1,),))</f>
        <v>-11.548246000000001</v>
      </c>
      <c r="F92" s="25">
        <f>IF(VLOOKUP(B92,'Data qoq'!$A:$AT,MATCH($F$1,'Data qoq'!$A$1:$AT$1,),)=0,#N/A,VLOOKUP(B92,'Data qoq'!$A:$AT,MATCH($F$1,'Data qoq'!$A$1:$AT$1,),))</f>
        <v>-8.0588818870000001</v>
      </c>
      <c r="G92" s="25">
        <f>IF(VLOOKUP(B92,'Data qoq'!$A:$AT,MATCH($G$1,'Data qoq'!$A$1:$AT$1,),)=0,#N/A,VLOOKUP(B92,'Data qoq'!$A:$AT,MATCH($G$1,'Data qoq'!$A$1:$AT$1,),))</f>
        <v>-9.4811335119999995</v>
      </c>
      <c r="H92" s="25">
        <f>IF(VLOOKUP(B92,'Data qoq'!$A:$AT,MATCH($H$1,'Data qoq'!$A$1:$AT$1,),)=0,#N/A,VLOOKUP(B92,'Data qoq'!$A:$AT,MATCH($H$1,'Data qoq'!$A$1:$AT$1,),))</f>
        <v>-13.544258243</v>
      </c>
      <c r="I92" s="25">
        <f>IF(VLOOKUP(B92,'Data qoq'!$A:$AT,MATCH($I$1,'Data qoq'!$A$1:$AT$1,),)=0,#N/A,VLOOKUP(B92,'Data qoq'!$A:$AT,MATCH($I$1,'Data qoq'!$A$1:$AT$1,),))</f>
        <v>-20.991372605999999</v>
      </c>
      <c r="J92" s="25">
        <f>IF(VLOOKUP(B92,'Data qoq'!$A:$AT,MATCH($J$1,'Data qoq'!$A$1:$AT$1,),)=0,#N/A,VLOOKUP(B92,'Data qoq'!$A:$AT,MATCH($J$1,'Data qoq'!$A$1:$AT$1,),))</f>
        <v>-12.101330196999999</v>
      </c>
      <c r="K92" s="25">
        <f>IF(VLOOKUP(B92,'Data qoq'!$A:$AT,MATCH($K$1,'Data qoq'!$A$1:$AT$1,),)=0,#N/A,VLOOKUP(B92,'Data qoq'!$A:$AT,MATCH($K$1,'Data qoq'!$A$1:$AT$1,),))</f>
        <v>-17.826255917000001</v>
      </c>
      <c r="L92" s="25">
        <f>IF(VLOOKUP(B92,'Data qoq'!$A:$AT,MATCH($L$1,'Data qoq'!$A$1:$AT$1,),)=0,#N/A,VLOOKUP(B92,'Data qoq'!$A:$AT,MATCH($L$1,'Data qoq'!$A$1:$AT$1,),))</f>
        <v>-8.0588298859999998</v>
      </c>
      <c r="M92" s="25">
        <f>IF(VLOOKUP(B92,'Data qoq'!$A:$AT,MATCH($M$1,'Data qoq'!$A$1:$AT$1,),)=0,#N/A,VLOOKUP(B92,'Data qoq'!$A:$AT,MATCH($M$1,'Data qoq'!$A$1:$AT$1,),))</f>
        <v>-17.959203546000001</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-11.042537245</v>
      </c>
      <c r="Q92" s="25">
        <f>IF(VLOOKUP(B92,'Data qoq'!$A:$AT,MATCH($Q$1,'Data qoq'!$A$1:$AT$1,),)=0,#N/A,VLOOKUP(B92,'Data qoq'!$A:$AT,MATCH($Q$1,'Data qoq'!$A$1:$AT$1,),))</f>
        <v>-7.0200180899999998</v>
      </c>
      <c r="R92" s="25">
        <f>IF(VLOOKUP(B92,'Data qoq'!$A:$AT,MATCH($R$1,'Data qoq'!$A$1:$AT$1,),)=0,#N/A,VLOOKUP(B92,'Data qoq'!$A:$AT,MATCH($R$1,'Data qoq'!$A$1:$AT$1,),))</f>
        <v>-7.0472094900000002</v>
      </c>
      <c r="S92" s="25">
        <f>IF(VLOOKUP(B92,'Data qoq'!$A:$AT,MATCH($S$1,'Data qoq'!$A$1:$AT$1,),)=0,#N/A,VLOOKUP(B92,'Data qoq'!$A:$AT,MATCH($S$1,'Data qoq'!$A$1:$AT$1,),))</f>
        <v>-3.026935758</v>
      </c>
      <c r="T92" s="25">
        <f>IF(VLOOKUP(B92,'Data qoq'!$A:$AT,MATCH($T$1,'Data qoq'!$A$1:$AT$1,),)=0,#N/A,VLOOKUP(B92,'Data qoq'!$A:$AT,MATCH($T$1,'Data qoq'!$A$1:$AT$1,),))</f>
        <v>-8.9646241829999997</v>
      </c>
      <c r="U92" s="25">
        <f>IF(VLOOKUP(B92,'Data qoq'!$A:$AT,MATCH($U$1,'Data qoq'!$A$1:$AT$1,),)=0,#N/A,VLOOKUP(B92,'Data qoq'!$A:$AT,MATCH($U$1,'Data qoq'!$A$1:$AT$1,),))</f>
        <v>-13.317788502000001</v>
      </c>
      <c r="V92" s="25">
        <f>IF(VLOOKUP(B92,'Data qoq'!$A:$AT,MATCH($V$1,'Data qoq'!$A$1:$AT$1,),)=0,#N/A,VLOOKUP(B92,'Data qoq'!$A:$AT,MATCH($V$1,'Data qoq'!$A$1:$AT$1,),))</f>
        <v>-5.5297497379999996</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-9.0947213579999993</v>
      </c>
      <c r="Z92" s="25">
        <f>IF(VLOOKUP(B92,'Data qoq'!$A:$AU,MATCH($Z$1,'Data qoq'!$A$1:$AU$1,),)=0,#N/A,VLOOKUP(B92,'Data qoq'!$A:$AU,MATCH($Z$1,'Data qoq'!$A$1:$AU$1,),))</f>
        <v>-14.851950391999999</v>
      </c>
      <c r="AA92" s="25">
        <f>IF(VLOOKUP(B92,'Data qoq'!$A:$AU,MATCH($AA$1,'Data qoq'!$A$1:$AU$1,),)=0,#N/A,VLOOKUP(B92,'Data qoq'!$A:$AU,MATCH($AA$1,'Data qoq'!$A$1:$AU$1,),))</f>
        <v>-10.393864593</v>
      </c>
      <c r="AC92" s="26" t="str">
        <f t="shared" si="10"/>
        <v>2020-Q2</v>
      </c>
      <c r="AD92" s="27">
        <f t="shared" si="11"/>
        <v>0.99679735800000024</v>
      </c>
      <c r="AE92" s="27"/>
    </row>
    <row r="93" spans="2:31" s="73" customFormat="1" x14ac:dyDescent="0.2">
      <c r="B93" s="24" t="s">
        <v>359</v>
      </c>
      <c r="C93" s="25">
        <f>IF(VLOOKUP(B93,'Data qoq'!$A:$AT,MATCH($C$1,'Data qoq'!$A$1:$AT$1,),)=0,#N/A,VLOOKUP(B93,'Data qoq'!$A:$AT,MATCH($C$1,'Data qoq'!$A$1:$AT$1,),))</f>
        <v>7.854483117</v>
      </c>
      <c r="D93" s="25">
        <f>IF(VLOOKUP(B93,'Data qoq'!$A:$AT,MATCH($D$1,'Data qoq'!$A$1:$AT$1,),)=0,#N/A,VLOOKUP(B93,'Data qoq'!$A:$AT,MATCH($D$1,'Data qoq'!$A$1:$AT$1,),))</f>
        <v>3.3</v>
      </c>
      <c r="E93" s="25">
        <f>IF(VLOOKUP(B93,'Data qoq'!$A:$AT,MATCH($E$1,'Data qoq'!$A$1:$AT$1,),)=0,#N/A,VLOOKUP(B93,'Data qoq'!$A:$AT,MATCH($E$1,'Data qoq'!$A$1:$AT$1,),))</f>
        <v>12.648902</v>
      </c>
      <c r="F93" s="25">
        <f>IF(VLOOKUP(B93,'Data qoq'!$A:$AT,MATCH($F$1,'Data qoq'!$A$1:$AT$1,),)=0,#N/A,VLOOKUP(B93,'Data qoq'!$A:$AT,MATCH($F$1,'Data qoq'!$A$1:$AT$1,),))</f>
        <v>5.5159193740000001</v>
      </c>
      <c r="G93" s="25">
        <f>IF(VLOOKUP(B93,'Data qoq'!$A:$AT,MATCH($G$1,'Data qoq'!$A$1:$AT$1,),)=0,#N/A,VLOOKUP(B93,'Data qoq'!$A:$AT,MATCH($G$1,'Data qoq'!$A$1:$AT$1,),))</f>
        <v>9.0046949089999995</v>
      </c>
      <c r="H93" s="25">
        <f>IF(VLOOKUP(B93,'Data qoq'!$A:$AT,MATCH($H$1,'Data qoq'!$A$1:$AT$1,),)=0,#N/A,VLOOKUP(B93,'Data qoq'!$A:$AT,MATCH($H$1,'Data qoq'!$A$1:$AT$1,),))</f>
        <v>18.440755679999999</v>
      </c>
      <c r="I93" s="25">
        <f>IF(VLOOKUP(B93,'Data qoq'!$A:$AT,MATCH($I$1,'Data qoq'!$A$1:$AT$1,),)=0,#N/A,VLOOKUP(B93,'Data qoq'!$A:$AT,MATCH($I$1,'Data qoq'!$A$1:$AT$1,),))</f>
        <v>16.608614292999999</v>
      </c>
      <c r="J93" s="25">
        <f>IF(VLOOKUP(B93,'Data qoq'!$A:$AT,MATCH($J$1,'Data qoq'!$A$1:$AT$1,),)=0,#N/A,VLOOKUP(B93,'Data qoq'!$A:$AT,MATCH($J$1,'Data qoq'!$A$1:$AT$1,),))</f>
        <v>14.476293182999999</v>
      </c>
      <c r="K93" s="25">
        <f>IF(VLOOKUP(B93,'Data qoq'!$A:$AT,MATCH($K$1,'Data qoq'!$A$1:$AT$1,),)=0,#N/A,VLOOKUP(B93,'Data qoq'!$A:$AT,MATCH($K$1,'Data qoq'!$A$1:$AT$1,),))</f>
        <v>16.637933628999999</v>
      </c>
      <c r="L93" s="25">
        <f>IF(VLOOKUP(B93,'Data qoq'!$A:$AT,MATCH($L$1,'Data qoq'!$A$1:$AT$1,),)=0,#N/A,VLOOKUP(B93,'Data qoq'!$A:$AT,MATCH($L$1,'Data qoq'!$A$1:$AT$1,),))</f>
        <v>7.3253525760000002</v>
      </c>
      <c r="M93" s="25">
        <f>IF(VLOOKUP(B93,'Data qoq'!$A:$AT,MATCH($M$1,'Data qoq'!$A$1:$AT$1,),)=0,#N/A,VLOOKUP(B93,'Data qoq'!$A:$AT,MATCH($M$1,'Data qoq'!$A$1:$AT$1,),))</f>
        <v>13.653574603999999</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8.9839583770000004</v>
      </c>
      <c r="Q93" s="25">
        <f>IF(VLOOKUP(B93,'Data qoq'!$A:$AT,MATCH($Q$1,'Data qoq'!$A$1:$AT$1,),)=0,#N/A,VLOOKUP(B93,'Data qoq'!$A:$AT,MATCH($Q$1,'Data qoq'!$A$1:$AT$1,),))</f>
        <v>3.4939509719999999</v>
      </c>
      <c r="R93" s="25">
        <f>IF(VLOOKUP(B93,'Data qoq'!$A:$AT,MATCH($R$1,'Data qoq'!$A$1:$AT$1,),)=0,#N/A,VLOOKUP(B93,'Data qoq'!$A:$AT,MATCH($R$1,'Data qoq'!$A$1:$AT$1,),))</f>
        <v>7.3159250309999999</v>
      </c>
      <c r="S93" s="25">
        <f>IF(VLOOKUP(B93,'Data qoq'!$A:$AT,MATCH($S$1,'Data qoq'!$A$1:$AT$1,),)=0,#N/A,VLOOKUP(B93,'Data qoq'!$A:$AT,MATCH($S$1,'Data qoq'!$A$1:$AT$1,),))</f>
        <v>2.3477855380000001</v>
      </c>
      <c r="T93" s="25">
        <f>IF(VLOOKUP(B93,'Data qoq'!$A:$AT,MATCH($T$1,'Data qoq'!$A$1:$AT$1,),)=0,#N/A,VLOOKUP(B93,'Data qoq'!$A:$AT,MATCH($T$1,'Data qoq'!$A$1:$AT$1,),))</f>
        <v>7.9909373539999997</v>
      </c>
      <c r="U93" s="25">
        <f>IF(VLOOKUP(B93,'Data qoq'!$A:$AT,MATCH($U$1,'Data qoq'!$A$1:$AT$1,),)=0,#N/A,VLOOKUP(B93,'Data qoq'!$A:$AT,MATCH($U$1,'Data qoq'!$A$1:$AT$1,),))</f>
        <v>5.4375338400000004</v>
      </c>
      <c r="V93" s="25">
        <f>IF(VLOOKUP(B93,'Data qoq'!$A:$AT,MATCH($V$1,'Data qoq'!$A$1:$AT$1,),)=0,#N/A,VLOOKUP(B93,'Data qoq'!$A:$AT,MATCH($V$1,'Data qoq'!$A$1:$AT$1,),))</f>
        <v>13.269687138</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7.3365250270000004</v>
      </c>
      <c r="Z93" s="25">
        <f>IF(VLOOKUP(B93,'Data qoq'!$A:$AU,MATCH($Z$1,'Data qoq'!$A$1:$AU$1,),)=0,#N/A,VLOOKUP(B93,'Data qoq'!$A:$AU,MATCH($Z$1,'Data qoq'!$A$1:$AU$1,),))</f>
        <v>11.911785776</v>
      </c>
      <c r="AA93" s="25">
        <f>IF(VLOOKUP(B93,'Data qoq'!$A:$AU,MATCH($AA$1,'Data qoq'!$A$1:$AU$1,),)=0,#N/A,VLOOKUP(B93,'Data qoq'!$A:$AU,MATCH($AA$1,'Data qoq'!$A$1:$AU$1,),))</f>
        <v>13.675110018</v>
      </c>
      <c r="AC93" s="26" t="str">
        <f t="shared" si="10"/>
        <v>2020-Q3</v>
      </c>
      <c r="AD93" s="27">
        <f t="shared" si="11"/>
        <v>-1.1502117919999995</v>
      </c>
      <c r="AE93" s="27"/>
    </row>
    <row r="94" spans="2:31" s="73" customFormat="1" x14ac:dyDescent="0.2">
      <c r="B94" s="24" t="s">
        <v>361</v>
      </c>
      <c r="C94" s="25">
        <f>IF(VLOOKUP(B94,'Data qoq'!$A:$AT,MATCH($C$1,'Data qoq'!$A$1:$AT$1,),)=0,#N/A,VLOOKUP(B94,'Data qoq'!$A:$AT,MATCH($C$1,'Data qoq'!$A$1:$AT$1,),))</f>
        <v>1.5427919990000001</v>
      </c>
      <c r="D94" s="25">
        <f>IF(VLOOKUP(B94,'Data qoq'!$A:$AT,MATCH($D$1,'Data qoq'!$A$1:$AT$1,),)=0,#N/A,VLOOKUP(B94,'Data qoq'!$A:$AT,MATCH($D$1,'Data qoq'!$A$1:$AT$1,),))</f>
        <v>0.6</v>
      </c>
      <c r="E94" s="25">
        <f>IF(VLOOKUP(B94,'Data qoq'!$A:$AT,MATCH($E$1,'Data qoq'!$A$1:$AT$1,),)=0,#N/A,VLOOKUP(B94,'Data qoq'!$A:$AT,MATCH($E$1,'Data qoq'!$A$1:$AT$1,),))</f>
        <v>-0.100304</v>
      </c>
      <c r="F94" s="25">
        <f>IF(VLOOKUP(B94,'Data qoq'!$A:$AT,MATCH($F$1,'Data qoq'!$A$1:$AT$1,),)=0,#N/A,VLOOKUP(B94,'Data qoq'!$A:$AT,MATCH($F$1,'Data qoq'!$A$1:$AT$1,),))</f>
        <v>-0.33106092999999998</v>
      </c>
      <c r="G94" s="25">
        <f>IF(VLOOKUP(B94,'Data qoq'!$A:$AT,MATCH($G$1,'Data qoq'!$A$1:$AT$1,),)=0,#N/A,VLOOKUP(B94,'Data qoq'!$A:$AT,MATCH($G$1,'Data qoq'!$A$1:$AT$1,),))</f>
        <v>-1.468048603</v>
      </c>
      <c r="H94" s="25">
        <f>IF(VLOOKUP(B94,'Data qoq'!$A:$AT,MATCH($H$1,'Data qoq'!$A$1:$AT$1,),)=0,#N/A,VLOOKUP(B94,'Data qoq'!$A:$AT,MATCH($H$1,'Data qoq'!$A$1:$AT$1,),))</f>
        <v>4.5911826000000003E-2</v>
      </c>
      <c r="I94" s="25">
        <f>IF(VLOOKUP(B94,'Data qoq'!$A:$AT,MATCH($I$1,'Data qoq'!$A$1:$AT$1,),)=0,#N/A,VLOOKUP(B94,'Data qoq'!$A:$AT,MATCH($I$1,'Data qoq'!$A$1:$AT$1,),))</f>
        <v>-1.1691040989999999</v>
      </c>
      <c r="J94" s="25">
        <f>IF(VLOOKUP(B94,'Data qoq'!$A:$AT,MATCH($J$1,'Data qoq'!$A$1:$AT$1,),)=0,#N/A,VLOOKUP(B94,'Data qoq'!$A:$AT,MATCH($J$1,'Data qoq'!$A$1:$AT$1,),))</f>
        <v>0.264262944</v>
      </c>
      <c r="K94" s="25">
        <f>IF(VLOOKUP(B94,'Data qoq'!$A:$AT,MATCH($K$1,'Data qoq'!$A$1:$AT$1,),)=0,#N/A,VLOOKUP(B94,'Data qoq'!$A:$AT,MATCH($K$1,'Data qoq'!$A$1:$AT$1,),))</f>
        <v>-0.22866331500000001</v>
      </c>
      <c r="L94" s="25">
        <f>IF(VLOOKUP(B94,'Data qoq'!$A:$AT,MATCH($L$1,'Data qoq'!$A$1:$AT$1,),)=0,#N/A,VLOOKUP(B94,'Data qoq'!$A:$AT,MATCH($L$1,'Data qoq'!$A$1:$AT$1,),))</f>
        <v>1.675130075</v>
      </c>
      <c r="M94" s="25">
        <f>IF(VLOOKUP(B94,'Data qoq'!$A:$AT,MATCH($M$1,'Data qoq'!$A$1:$AT$1,),)=0,#N/A,VLOOKUP(B94,'Data qoq'!$A:$AT,MATCH($M$1,'Data qoq'!$A$1:$AT$1,),))</f>
        <v>0.48580155400000002</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1.092953257</v>
      </c>
      <c r="Q94" s="25">
        <f>IF(VLOOKUP(B94,'Data qoq'!$A:$AT,MATCH($Q$1,'Data qoq'!$A$1:$AT$1,),)=0,#N/A,VLOOKUP(B94,'Data qoq'!$A:$AT,MATCH($Q$1,'Data qoq'!$A$1:$AT$1,),))</f>
        <v>1.9469403940000001</v>
      </c>
      <c r="R94" s="25">
        <f>IF(VLOOKUP(B94,'Data qoq'!$A:$AT,MATCH($R$1,'Data qoq'!$A$1:$AT$1,),)=0,#N/A,VLOOKUP(B94,'Data qoq'!$A:$AT,MATCH($R$1,'Data qoq'!$A$1:$AT$1,),))</f>
        <v>-0.12146514</v>
      </c>
      <c r="S94" s="25">
        <f>IF(VLOOKUP(B94,'Data qoq'!$A:$AT,MATCH($S$1,'Data qoq'!$A$1:$AT$1,),)=0,#N/A,VLOOKUP(B94,'Data qoq'!$A:$AT,MATCH($S$1,'Data qoq'!$A$1:$AT$1,),))</f>
        <v>1.724067239</v>
      </c>
      <c r="T94" s="25">
        <f>IF(VLOOKUP(B94,'Data qoq'!$A:$AT,MATCH($T$1,'Data qoq'!$A$1:$AT$1,),)=0,#N/A,VLOOKUP(B94,'Data qoq'!$A:$AT,MATCH($T$1,'Data qoq'!$A$1:$AT$1,),))</f>
        <v>1.0677179489999999</v>
      </c>
      <c r="U94" s="25">
        <f>IF(VLOOKUP(B94,'Data qoq'!$A:$AT,MATCH($U$1,'Data qoq'!$A$1:$AT$1,),)=0,#N/A,VLOOKUP(B94,'Data qoq'!$A:$AT,MATCH($U$1,'Data qoq'!$A$1:$AT$1,),))</f>
        <v>3.1960681040000001</v>
      </c>
      <c r="V94" s="25">
        <f>IF(VLOOKUP(B94,'Data qoq'!$A:$AT,MATCH($V$1,'Data qoq'!$A$1:$AT$1,),)=0,#N/A,VLOOKUP(B94,'Data qoq'!$A:$AT,MATCH($V$1,'Data qoq'!$A$1:$AT$1,),))</f>
        <v>9.0251705970000007</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1.354336803</v>
      </c>
      <c r="Z94" s="25">
        <f>IF(VLOOKUP(B94,'Data qoq'!$A:$AU,MATCH($Z$1,'Data qoq'!$A$1:$AU$1,),)=0,#N/A,VLOOKUP(B94,'Data qoq'!$A:$AU,MATCH($Z$1,'Data qoq'!$A$1:$AU$1,),))</f>
        <v>3.5661008079999998</v>
      </c>
      <c r="AA94" s="25">
        <f>IF(VLOOKUP(B94,'Data qoq'!$A:$AU,MATCH($AA$1,'Data qoq'!$A$1:$AU$1,),)=0,#N/A,VLOOKUP(B94,'Data qoq'!$A:$AU,MATCH($AA$1,'Data qoq'!$A$1:$AU$1,),))</f>
        <v>1.7249295950000001</v>
      </c>
      <c r="AC94" s="26" t="str">
        <f t="shared" si="10"/>
        <v>2021-Q1</v>
      </c>
      <c r="AD94" s="27">
        <f t="shared" si="11"/>
        <v>3.010840602</v>
      </c>
      <c r="AE94" s="27"/>
    </row>
    <row r="95" spans="2:31" s="73" customFormat="1" x14ac:dyDescent="0.2">
      <c r="B95" s="24" t="s">
        <v>362</v>
      </c>
      <c r="C95" s="25">
        <f>IF(VLOOKUP(B95,'Data qoq'!$A:$AT,MATCH($C$1,'Data qoq'!$A$1:$AT$1,),)=0,#N/A,VLOOKUP(B95,'Data qoq'!$A:$AT,MATCH($C$1,'Data qoq'!$A$1:$AT$1,),))</f>
        <v>1.707015905</v>
      </c>
      <c r="D95" s="25">
        <f>IF(VLOOKUP(B95,'Data qoq'!$A:$AT,MATCH($D$1,'Data qoq'!$A$1:$AT$1,),)=0,#N/A,VLOOKUP(B95,'Data qoq'!$A:$AT,MATCH($D$1,'Data qoq'!$A$1:$AT$1,),))</f>
        <v>1.5</v>
      </c>
      <c r="E95" s="25">
        <f>IF(VLOOKUP(B95,'Data qoq'!$A:$AT,MATCH($E$1,'Data qoq'!$A$1:$AT$1,),)=0,#N/A,VLOOKUP(B95,'Data qoq'!$A:$AT,MATCH($E$1,'Data qoq'!$A$1:$AT$1,),))</f>
        <v>1.9871890000000001</v>
      </c>
      <c r="F95" s="25">
        <f>IF(VLOOKUP(B95,'Data qoq'!$A:$AT,MATCH($F$1,'Data qoq'!$A$1:$AT$1,),)=0,#N/A,VLOOKUP(B95,'Data qoq'!$A:$AT,MATCH($F$1,'Data qoq'!$A$1:$AT$1,),))</f>
        <v>0.36630653400000002</v>
      </c>
      <c r="G95" s="25">
        <f>IF(VLOOKUP(B95,'Data qoq'!$A:$AT,MATCH($G$1,'Data qoq'!$A$1:$AT$1,),)=0,#N/A,VLOOKUP(B95,'Data qoq'!$A:$AT,MATCH($G$1,'Data qoq'!$A$1:$AT$1,),))</f>
        <v>1.928643933</v>
      </c>
      <c r="H95" s="25">
        <f>IF(VLOOKUP(B95,'Data qoq'!$A:$AT,MATCH($H$1,'Data qoq'!$A$1:$AT$1,),)=0,#N/A,VLOOKUP(B95,'Data qoq'!$A:$AT,MATCH($H$1,'Data qoq'!$A$1:$AT$1,),))</f>
        <v>1.033615068</v>
      </c>
      <c r="I95" s="25">
        <f>IF(VLOOKUP(B95,'Data qoq'!$A:$AT,MATCH($I$1,'Data qoq'!$A$1:$AT$1,),)=0,#N/A,VLOOKUP(B95,'Data qoq'!$A:$AT,MATCH($I$1,'Data qoq'!$A$1:$AT$1,),))</f>
        <v>6.5410800480000004</v>
      </c>
      <c r="J95" s="25">
        <f>IF(VLOOKUP(B95,'Data qoq'!$A:$AT,MATCH($J$1,'Data qoq'!$A$1:$AT$1,),)=0,#N/A,VLOOKUP(B95,'Data qoq'!$A:$AT,MATCH($J$1,'Data qoq'!$A$1:$AT$1,),))</f>
        <v>2.4903965700000001</v>
      </c>
      <c r="K95" s="25">
        <f>IF(VLOOKUP(B95,'Data qoq'!$A:$AT,MATCH($K$1,'Data qoq'!$A$1:$AT$1,),)=0,#N/A,VLOOKUP(B95,'Data qoq'!$A:$AT,MATCH($K$1,'Data qoq'!$A$1:$AT$1,),))</f>
        <v>1.3522055589999999</v>
      </c>
      <c r="L95" s="25">
        <f>IF(VLOOKUP(B95,'Data qoq'!$A:$AT,MATCH($L$1,'Data qoq'!$A$1:$AT$1,),)=0,#N/A,VLOOKUP(B95,'Data qoq'!$A:$AT,MATCH($L$1,'Data qoq'!$A$1:$AT$1,),))</f>
        <v>0.90496957600000005</v>
      </c>
      <c r="M95" s="25">
        <f>IF(VLOOKUP(B95,'Data qoq'!$A:$AT,MATCH($M$1,'Data qoq'!$A$1:$AT$1,),)=0,#N/A,VLOOKUP(B95,'Data qoq'!$A:$AT,MATCH($M$1,'Data qoq'!$A$1:$AT$1,),))</f>
        <v>0.94683284700000003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-0.79204875299999999</v>
      </c>
      <c r="Q95" s="25">
        <f>IF(VLOOKUP(B95,'Data qoq'!$A:$AT,MATCH($Q$1,'Data qoq'!$A$1:$AT$1,),)=0,#N/A,VLOOKUP(B95,'Data qoq'!$A:$AT,MATCH($Q$1,'Data qoq'!$A$1:$AT$1,),))</f>
        <v>0.58836982500000001</v>
      </c>
      <c r="R95" s="25">
        <f>IF(VLOOKUP(B95,'Data qoq'!$A:$AT,MATCH($R$1,'Data qoq'!$A$1:$AT$1,),)=0,#N/A,VLOOKUP(B95,'Data qoq'!$A:$AT,MATCH($R$1,'Data qoq'!$A$1:$AT$1,),))</f>
        <v>1.991400821</v>
      </c>
      <c r="S95" s="25">
        <f>IF(VLOOKUP(B95,'Data qoq'!$A:$AT,MATCH($S$1,'Data qoq'!$A$1:$AT$1,),)=0,#N/A,VLOOKUP(B95,'Data qoq'!$A:$AT,MATCH($S$1,'Data qoq'!$A$1:$AT$1,),))</f>
        <v>0.83334792899999999</v>
      </c>
      <c r="T95" s="25">
        <f>IF(VLOOKUP(B95,'Data qoq'!$A:$AT,MATCH($T$1,'Data qoq'!$A$1:$AT$1,),)=0,#N/A,VLOOKUP(B95,'Data qoq'!$A:$AT,MATCH($T$1,'Data qoq'!$A$1:$AT$1,),))</f>
        <v>-0.279217622</v>
      </c>
      <c r="U95" s="25">
        <f>IF(VLOOKUP(B95,'Data qoq'!$A:$AT,MATCH($U$1,'Data qoq'!$A$1:$AT$1,),)=0,#N/A,VLOOKUP(B95,'Data qoq'!$A:$AT,MATCH($U$1,'Data qoq'!$A$1:$AT$1,),))</f>
        <v>1.5140366869999999</v>
      </c>
      <c r="V95" s="25">
        <f>IF(VLOOKUP(B95,'Data qoq'!$A:$AT,MATCH($V$1,'Data qoq'!$A$1:$AT$1,),)=0,#N/A,VLOOKUP(B95,'Data qoq'!$A:$AT,MATCH($V$1,'Data qoq'!$A$1:$AT$1,),))</f>
        <v>1.9457702139999999</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2.0157983719999999</v>
      </c>
      <c r="Z95" s="25">
        <f>IF(VLOOKUP(B95,'Data qoq'!$A:$AU,MATCH($Z$1,'Data qoq'!$A$1:$AU$1,),)=0,#N/A,VLOOKUP(B95,'Data qoq'!$A:$AU,MATCH($Z$1,'Data qoq'!$A$1:$AU$1,),))</f>
        <v>-0.617639673</v>
      </c>
      <c r="AA95" s="25">
        <f>IF(VLOOKUP(B95,'Data qoq'!$A:$AU,MATCH($AA$1,'Data qoq'!$A$1:$AU$1,),)=0,#N/A,VLOOKUP(B95,'Data qoq'!$A:$AU,MATCH($AA$1,'Data qoq'!$A$1:$AU$1,),))</f>
        <v>2.3471706060000002</v>
      </c>
      <c r="AC95" s="26" t="str">
        <f t="shared" si="10"/>
        <v>2021-Q2</v>
      </c>
      <c r="AD95" s="27">
        <f t="shared" si="11"/>
        <v>-0.22162802800000003</v>
      </c>
      <c r="AE95" s="27"/>
    </row>
    <row r="96" spans="2:31" s="73" customFormat="1" x14ac:dyDescent="0.2">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2.171443</v>
      </c>
      <c r="F96" s="25">
        <f>IF(VLOOKUP(B96,'Data qoq'!$A:$AT,MATCH($F$1,'Data qoq'!$A$1:$AT$1,),)=0,#N/A,VLOOKUP(B96,'Data qoq'!$A:$AT,MATCH($F$1,'Data qoq'!$A$1:$AT$1,),))</f>
        <v>-0.44995770200000001</v>
      </c>
      <c r="G96" s="25">
        <f>IF(VLOOKUP(B96,'Data qoq'!$A:$AT,MATCH($G$1,'Data qoq'!$A$1:$AT$1,),)=0,#N/A,VLOOKUP(B96,'Data qoq'!$A:$AT,MATCH($G$1,'Data qoq'!$A$1:$AT$1,),))</f>
        <v>0.78523687499999995</v>
      </c>
      <c r="H96" s="25">
        <f>IF(VLOOKUP(B96,'Data qoq'!$A:$AT,MATCH($H$1,'Data qoq'!$A$1:$AT$1,),)=0,#N/A,VLOOKUP(B96,'Data qoq'!$A:$AT,MATCH($H$1,'Data qoq'!$A$1:$AT$1,),))</f>
        <v>3.3848939740000001</v>
      </c>
      <c r="I96" s="25">
        <f>IF(VLOOKUP(B96,'Data qoq'!$A:$AT,MATCH($I$1,'Data qoq'!$A$1:$AT$1,),)=0,#N/A,VLOOKUP(B96,'Data qoq'!$A:$AT,MATCH($I$1,'Data qoq'!$A$1:$AT$1,),))</f>
        <v>1.765907329</v>
      </c>
      <c r="J96" s="25">
        <f>IF(VLOOKUP(B96,'Data qoq'!$A:$AT,MATCH($J$1,'Data qoq'!$A$1:$AT$1,),)=0,#N/A,VLOOKUP(B96,'Data qoq'!$A:$AT,MATCH($J$1,'Data qoq'!$A$1:$AT$1,),))</f>
        <v>2.8297708479999999</v>
      </c>
      <c r="K96" s="25">
        <f>IF(VLOOKUP(B96,'Data qoq'!$A:$AT,MATCH($K$1,'Data qoq'!$A$1:$AT$1,),)=0,#N/A,VLOOKUP(B96,'Data qoq'!$A:$AT,MATCH($K$1,'Data qoq'!$A$1:$AT$1,),))</f>
        <v>3.1081884460000002</v>
      </c>
      <c r="L96" s="25">
        <f>IF(VLOOKUP(B96,'Data qoq'!$A:$AT,MATCH($L$1,'Data qoq'!$A$1:$AT$1,),)=0,#N/A,VLOOKUP(B96,'Data qoq'!$A:$AT,MATCH($L$1,'Data qoq'!$A$1:$AT$1,),))</f>
        <v>1.629487795</v>
      </c>
      <c r="M96" s="25">
        <f>IF(VLOOKUP(B96,'Data qoq'!$A:$AT,MATCH($M$1,'Data qoq'!$A$1:$AT$1,),)=0,#N/A,VLOOKUP(B96,'Data qoq'!$A:$AT,MATCH($M$1,'Data qoq'!$A$1:$AT$1,),))</f>
        <v>-0.52895294599999998</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1.30781901</v>
      </c>
      <c r="Q96" s="25">
        <f>IF(VLOOKUP(B96,'Data qoq'!$A:$AT,MATCH($Q$1,'Data qoq'!$A$1:$AT$1,),)=0,#N/A,VLOOKUP(B96,'Data qoq'!$A:$AT,MATCH($Q$1,'Data qoq'!$A$1:$AT$1,),))</f>
        <v>-1.8297955859999999</v>
      </c>
      <c r="R96" s="25">
        <f>IF(VLOOKUP(B96,'Data qoq'!$A:$AT,MATCH($R$1,'Data qoq'!$A$1:$AT$1,),)=0,#N/A,VLOOKUP(B96,'Data qoq'!$A:$AT,MATCH($R$1,'Data qoq'!$A$1:$AT$1,),))</f>
        <v>1.796021903</v>
      </c>
      <c r="S96" s="25">
        <f>IF(VLOOKUP(B96,'Data qoq'!$A:$AT,MATCH($S$1,'Data qoq'!$A$1:$AT$1,),)=0,#N/A,VLOOKUP(B96,'Data qoq'!$A:$AT,MATCH($S$1,'Data qoq'!$A$1:$AT$1,),))</f>
        <v>0.21323898299999999</v>
      </c>
      <c r="T96" s="25">
        <f>IF(VLOOKUP(B96,'Data qoq'!$A:$AT,MATCH($T$1,'Data qoq'!$A$1:$AT$1,),)=0,#N/A,VLOOKUP(B96,'Data qoq'!$A:$AT,MATCH($T$1,'Data qoq'!$A$1:$AT$1,),))</f>
        <v>5.9429285999999998E-2</v>
      </c>
      <c r="U96" s="25">
        <f>IF(VLOOKUP(B96,'Data qoq'!$A:$AT,MATCH($U$1,'Data qoq'!$A$1:$AT$1,),)=0,#N/A,VLOOKUP(B96,'Data qoq'!$A:$AT,MATCH($U$1,'Data qoq'!$A$1:$AT$1,),))</f>
        <v>2.4324156440000002</v>
      </c>
      <c r="V96" s="25">
        <f>IF(VLOOKUP(B96,'Data qoq'!$A:$AT,MATCH($V$1,'Data qoq'!$A$1:$AT$1,),)=0,#N/A,VLOOKUP(B96,'Data qoq'!$A:$AT,MATCH($V$1,'Data qoq'!$A$1:$AT$1,),))</f>
        <v>4.4374283959999996</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2.6022336639999999</v>
      </c>
      <c r="Z96" s="25">
        <f>IF(VLOOKUP(B96,'Data qoq'!$A:$AU,MATCH($Z$1,'Data qoq'!$A$1:$AU$1,),)=0,#N/A,VLOOKUP(B96,'Data qoq'!$A:$AU,MATCH($Z$1,'Data qoq'!$A$1:$AU$1,),))</f>
        <v>3.865873793</v>
      </c>
      <c r="AA96" s="25">
        <f>IF(VLOOKUP(B96,'Data qoq'!$A:$AU,MATCH($AA$1,'Data qoq'!$A$1:$AU$1,),)=0,#N/A,VLOOKUP(B96,'Data qoq'!$A:$AU,MATCH($AA$1,'Data qoq'!$A$1:$AU$1,),))</f>
        <v>-3.9354336029999999</v>
      </c>
      <c r="AC96" s="26" t="str">
        <f t="shared" si="10"/>
        <v>2021-Q3</v>
      </c>
      <c r="AD96" s="27">
        <f t="shared" si="11"/>
        <v>-0.12854238399999995</v>
      </c>
      <c r="AE96" s="27"/>
    </row>
    <row r="97" spans="2:31" s="73" customFormat="1" x14ac:dyDescent="0.2">
      <c r="B97" s="24" t="s">
        <v>364</v>
      </c>
      <c r="C97" s="25">
        <f>IF(VLOOKUP(B97,'Data qoq'!$A:$AT,MATCH($C$1,'Data qoq'!$A$1:$AT$1,),)=0,#N/A,VLOOKUP(B97,'Data qoq'!$A:$AT,MATCH($C$1,'Data qoq'!$A$1:$AT$1,),))</f>
        <v>1.6956940199999999</v>
      </c>
      <c r="D97" s="25">
        <f>IF(VLOOKUP(B97,'Data qoq'!$A:$AT,MATCH($D$1,'Data qoq'!$A$1:$AT$1,),)=0,#N/A,VLOOKUP(B97,'Data qoq'!$A:$AT,MATCH($D$1,'Data qoq'!$A$1:$AT$1,),))</f>
        <v>1.4</v>
      </c>
      <c r="E97" s="25">
        <f>IF(VLOOKUP(B97,'Data qoq'!$A:$AT,MATCH($E$1,'Data qoq'!$A$1:$AT$1,),)=0,#N/A,VLOOKUP(B97,'Data qoq'!$A:$AT,MATCH($E$1,'Data qoq'!$A$1:$AT$1,),))</f>
        <v>0.48607800000000001</v>
      </c>
      <c r="F97" s="25">
        <f>IF(VLOOKUP(B97,'Data qoq'!$A:$AT,MATCH($F$1,'Data qoq'!$A$1:$AT$1,),)=0,#N/A,VLOOKUP(B97,'Data qoq'!$A:$AT,MATCH($F$1,'Data qoq'!$A$1:$AT$1,),))</f>
        <v>0.95135993500000005</v>
      </c>
      <c r="G97" s="25">
        <f>IF(VLOOKUP(B97,'Data qoq'!$A:$AT,MATCH($G$1,'Data qoq'!$A$1:$AT$1,),)=0,#N/A,VLOOKUP(B97,'Data qoq'!$A:$AT,MATCH($G$1,'Data qoq'!$A$1:$AT$1,),))</f>
        <v>-2.8155110000000001E-2</v>
      </c>
      <c r="H97" s="25">
        <f>IF(VLOOKUP(B97,'Data qoq'!$A:$AT,MATCH($H$1,'Data qoq'!$A$1:$AT$1,),)=0,#N/A,VLOOKUP(B97,'Data qoq'!$A:$AT,MATCH($H$1,'Data qoq'!$A$1:$AT$1,),))</f>
        <v>0.51323854400000002</v>
      </c>
      <c r="I97" s="25">
        <f>IF(VLOOKUP(B97,'Data qoq'!$A:$AT,MATCH($I$1,'Data qoq'!$A$1:$AT$1,),)=0,#N/A,VLOOKUP(B97,'Data qoq'!$A:$AT,MATCH($I$1,'Data qoq'!$A$1:$AT$1,),))</f>
        <v>1.6213622809999999</v>
      </c>
      <c r="J97" s="25">
        <f>IF(VLOOKUP(B97,'Data qoq'!$A:$AT,MATCH($J$1,'Data qoq'!$A$1:$AT$1,),)=0,#N/A,VLOOKUP(B97,'Data qoq'!$A:$AT,MATCH($J$1,'Data qoq'!$A$1:$AT$1,),))</f>
        <v>0.84642793100000002</v>
      </c>
      <c r="K97" s="25">
        <f>IF(VLOOKUP(B97,'Data qoq'!$A:$AT,MATCH($K$1,'Data qoq'!$A$1:$AT$1,),)=0,#N/A,VLOOKUP(B97,'Data qoq'!$A:$AT,MATCH($K$1,'Data qoq'!$A$1:$AT$1,),))</f>
        <v>2.2652908900000002</v>
      </c>
      <c r="L97" s="25">
        <f>IF(VLOOKUP(B97,'Data qoq'!$A:$AT,MATCH($L$1,'Data qoq'!$A$1:$AT$1,),)=0,#N/A,VLOOKUP(B97,'Data qoq'!$A:$AT,MATCH($L$1,'Data qoq'!$A$1:$AT$1,),))</f>
        <v>1.3307627710000001</v>
      </c>
      <c r="M97" s="25">
        <f>IF(VLOOKUP(B97,'Data qoq'!$A:$AT,MATCH($M$1,'Data qoq'!$A$1:$AT$1,),)=0,#N/A,VLOOKUP(B97,'Data qoq'!$A:$AT,MATCH($M$1,'Data qoq'!$A$1:$AT$1,),))</f>
        <v>0.310567818</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1.602575751</v>
      </c>
      <c r="Q97" s="25">
        <f>IF(VLOOKUP(B97,'Data qoq'!$A:$AT,MATCH($Q$1,'Data qoq'!$A$1:$AT$1,),)=0,#N/A,VLOOKUP(B97,'Data qoq'!$A:$AT,MATCH($Q$1,'Data qoq'!$A$1:$AT$1,),))</f>
        <v>3.8535008519999998</v>
      </c>
      <c r="R97" s="25">
        <f>IF(VLOOKUP(B97,'Data qoq'!$A:$AT,MATCH($R$1,'Data qoq'!$A$1:$AT$1,),)=0,#N/A,VLOOKUP(B97,'Data qoq'!$A:$AT,MATCH($R$1,'Data qoq'!$A$1:$AT$1,),))</f>
        <v>0.108312855</v>
      </c>
      <c r="S97" s="25">
        <f>IF(VLOOKUP(B97,'Data qoq'!$A:$AT,MATCH($S$1,'Data qoq'!$A$1:$AT$1,),)=0,#N/A,VLOOKUP(B97,'Data qoq'!$A:$AT,MATCH($S$1,'Data qoq'!$A$1:$AT$1,),))</f>
        <v>1.3377757400000001</v>
      </c>
      <c r="T97" s="25">
        <f>IF(VLOOKUP(B97,'Data qoq'!$A:$AT,MATCH($T$1,'Data qoq'!$A$1:$AT$1,),)=0,#N/A,VLOOKUP(B97,'Data qoq'!$A:$AT,MATCH($T$1,'Data qoq'!$A$1:$AT$1,),))</f>
        <v>0.774884719</v>
      </c>
      <c r="U97" s="25">
        <f>IF(VLOOKUP(B97,'Data qoq'!$A:$AT,MATCH($U$1,'Data qoq'!$A$1:$AT$1,),)=0,#N/A,VLOOKUP(B97,'Data qoq'!$A:$AT,MATCH($U$1,'Data qoq'!$A$1:$AT$1,),))</f>
        <v>0.92401715600000001</v>
      </c>
      <c r="V97" s="25">
        <f>IF(VLOOKUP(B97,'Data qoq'!$A:$AT,MATCH($V$1,'Data qoq'!$A$1:$AT$1,),)=0,#N/A,VLOOKUP(B97,'Data qoq'!$A:$AT,MATCH($V$1,'Data qoq'!$A$1:$AT$1,),))</f>
        <v>-1.853601308</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1.7831243990000001</v>
      </c>
      <c r="Z97" s="25">
        <f>IF(VLOOKUP(B97,'Data qoq'!$A:$AU,MATCH($Z$1,'Data qoq'!$A$1:$AU$1,),)=0,#N/A,VLOOKUP(B97,'Data qoq'!$A:$AU,MATCH($Z$1,'Data qoq'!$A$1:$AU$1,),))</f>
        <v>1.6314893610000001</v>
      </c>
      <c r="AA97" s="25">
        <f>IF(VLOOKUP(B97,'Data qoq'!$A:$AU,MATCH($AA$1,'Data qoq'!$A$1:$AU$1,),)=0,#N/A,VLOOKUP(B97,'Data qoq'!$A:$AU,MATCH($AA$1,'Data qoq'!$A$1:$AU$1,),))</f>
        <v>3.019312582</v>
      </c>
      <c r="AC97" s="26" t="str">
        <f t="shared" si="10"/>
        <v>2021-Q4</v>
      </c>
      <c r="AD97" s="27">
        <f t="shared" si="11"/>
        <v>1.7238491299999998</v>
      </c>
      <c r="AE97" s="27"/>
    </row>
    <row r="98" spans="2:31" s="73" customFormat="1" x14ac:dyDescent="0.2">
      <c r="B98" s="24" t="s">
        <v>365</v>
      </c>
      <c r="C98" s="25">
        <f>IF(VLOOKUP(B98,'Data qoq'!$A:$AT,MATCH($C$1,'Data qoq'!$A$1:$AT$1,),)=0,#N/A,VLOOKUP(B98,'Data qoq'!$A:$AT,MATCH($C$1,'Data qoq'!$A$1:$AT$1,),))</f>
        <v>-0.41033818500000002</v>
      </c>
      <c r="D98" s="25">
        <f>IF(VLOOKUP(B98,'Data qoq'!$A:$AT,MATCH($D$1,'Data qoq'!$A$1:$AT$1,),)=0,#N/A,VLOOKUP(B98,'Data qoq'!$A:$AT,MATCH($D$1,'Data qoq'!$A$1:$AT$1,),))</f>
        <v>1.4</v>
      </c>
      <c r="E98" s="25">
        <f>IF(VLOOKUP(B98,'Data qoq'!$A:$AT,MATCH($E$1,'Data qoq'!$A$1:$AT$1,),)=0,#N/A,VLOOKUP(B98,'Data qoq'!$A:$AT,MATCH($E$1,'Data qoq'!$A$1:$AT$1,),))</f>
        <v>0.66584900000000002</v>
      </c>
      <c r="F98" s="25">
        <f>IF(VLOOKUP(B98,'Data qoq'!$A:$AT,MATCH($F$1,'Data qoq'!$A$1:$AT$1,),)=0,#N/A,VLOOKUP(B98,'Data qoq'!$A:$AT,MATCH($F$1,'Data qoq'!$A$1:$AT$1,),))</f>
        <v>5.2124403E-2</v>
      </c>
      <c r="G98" s="25">
        <f>IF(VLOOKUP(B98,'Data qoq'!$A:$AT,MATCH($G$1,'Data qoq'!$A$1:$AT$1,),)=0,#N/A,VLOOKUP(B98,'Data qoq'!$A:$AT,MATCH($G$1,'Data qoq'!$A$1:$AT$1,),))</f>
        <v>0.798122004</v>
      </c>
      <c r="H98" s="25">
        <f>IF(VLOOKUP(B98,'Data qoq'!$A:$AT,MATCH($H$1,'Data qoq'!$A$1:$AT$1,),)=0,#N/A,VLOOKUP(B98,'Data qoq'!$A:$AT,MATCH($H$1,'Data qoq'!$A$1:$AT$1,),))</f>
        <v>-0.24892109500000001</v>
      </c>
      <c r="I98" s="25">
        <f>IF(VLOOKUP(B98,'Data qoq'!$A:$AT,MATCH($I$1,'Data qoq'!$A$1:$AT$1,),)=0,#N/A,VLOOKUP(B98,'Data qoq'!$A:$AT,MATCH($I$1,'Data qoq'!$A$1:$AT$1,),))</f>
        <v>0.69160879200000003</v>
      </c>
      <c r="J98" s="25">
        <f>IF(VLOOKUP(B98,'Data qoq'!$A:$AT,MATCH($J$1,'Data qoq'!$A$1:$AT$1,),)=0,#N/A,VLOOKUP(B98,'Data qoq'!$A:$AT,MATCH($J$1,'Data qoq'!$A$1:$AT$1,),))</f>
        <v>0.140863235</v>
      </c>
      <c r="K98" s="25">
        <f>IF(VLOOKUP(B98,'Data qoq'!$A:$AT,MATCH($K$1,'Data qoq'!$A$1:$AT$1,),)=0,#N/A,VLOOKUP(B98,'Data qoq'!$A:$AT,MATCH($K$1,'Data qoq'!$A$1:$AT$1,),))</f>
        <v>-0.18885871900000001</v>
      </c>
      <c r="L98" s="25">
        <f>IF(VLOOKUP(B98,'Data qoq'!$A:$AT,MATCH($L$1,'Data qoq'!$A$1:$AT$1,),)=0,#N/A,VLOOKUP(B98,'Data qoq'!$A:$AT,MATCH($L$1,'Data qoq'!$A$1:$AT$1,),))</f>
        <v>0.18088425599999999</v>
      </c>
      <c r="M98" s="25">
        <f>IF(VLOOKUP(B98,'Data qoq'!$A:$AT,MATCH($M$1,'Data qoq'!$A$1:$AT$1,),)=0,#N/A,VLOOKUP(B98,'Data qoq'!$A:$AT,MATCH($M$1,'Data qoq'!$A$1:$AT$1,),))</f>
        <v>1.1419108490000001</v>
      </c>
      <c r="N98" s="25" t="e">
        <f>IF(VLOOKUP(B98,'Data qoq'!$A:$AT,MATCH($N$1,'Data qoq'!$A$1:$AT$1,),)=0,#N/A,VLOOKUP(B98,'Data qoq'!$A:$AT,MATCH($N$1,'Data qoq'!$A$1:$AT$1,),))</f>
        <v>#N/A</v>
      </c>
      <c r="O98" s="25">
        <f>IF(VLOOKUP(B98,'Data qoq'!$A:$AT,MATCH($O$1,'Data qoq'!$J$1:$AT$1,),)=0,#N/A,VLOOKUP(B98,'Data qoq'!$A:$AT,MATCH($O$1,'Data qoq'!$J$1:$AT$1,),))</f>
        <v>-0.18885871900000001</v>
      </c>
      <c r="P98" s="25">
        <f>IF(VLOOKUP(B98,'Data qoq'!$A:$AT,MATCH($P$1,'Data qoq'!$A$1:$AT$1,),)=0,#N/A,VLOOKUP(B98,'Data qoq'!$A:$AT,MATCH($P$1,'Data qoq'!$A$1:$AT$1,),))</f>
        <v>0.76495181199999995</v>
      </c>
      <c r="Q98" s="25">
        <f>IF(VLOOKUP(B98,'Data qoq'!$A:$AT,MATCH($Q$1,'Data qoq'!$A$1:$AT$1,),)=0,#N/A,VLOOKUP(B98,'Data qoq'!$A:$AT,MATCH($Q$1,'Data qoq'!$A$1:$AT$1,),))</f>
        <v>0.71095828800000005</v>
      </c>
      <c r="R98" s="25">
        <f>IF(VLOOKUP(B98,'Data qoq'!$A:$AT,MATCH($R$1,'Data qoq'!$A$1:$AT$1,),)=0,#N/A,VLOOKUP(B98,'Data qoq'!$A:$AT,MATCH($R$1,'Data qoq'!$A$1:$AT$1,),))</f>
        <v>0.31013256900000002</v>
      </c>
      <c r="S98" s="25">
        <f>IF(VLOOKUP(B98,'Data qoq'!$A:$AT,MATCH($S$1,'Data qoq'!$A$1:$AT$1,),)=0,#N/A,VLOOKUP(B98,'Data qoq'!$A:$AT,MATCH($S$1,'Data qoq'!$A$1:$AT$1,),))</f>
        <v>0.63396788500000001</v>
      </c>
      <c r="T98" s="25">
        <f>IF(VLOOKUP(B98,'Data qoq'!$A:$AT,MATCH($T$1,'Data qoq'!$A$1:$AT$1,),)=0,#N/A,VLOOKUP(B98,'Data qoq'!$A:$AT,MATCH($T$1,'Data qoq'!$A$1:$AT$1,),))</f>
        <v>1.1223609489999999</v>
      </c>
      <c r="U98" s="25">
        <f>IF(VLOOKUP(B98,'Data qoq'!$A:$AT,MATCH($U$1,'Data qoq'!$A$1:$AT$1,),)=0,#N/A,VLOOKUP(B98,'Data qoq'!$A:$AT,MATCH($U$1,'Data qoq'!$A$1:$AT$1,),))</f>
        <v>2.873258216</v>
      </c>
      <c r="V98" s="25">
        <f>IF(VLOOKUP(B98,'Data qoq'!$A:$AT,MATCH($V$1,'Data qoq'!$A$1:$AT$1,),)=0,#N/A,VLOOKUP(B98,'Data qoq'!$A:$AT,MATCH($V$1,'Data qoq'!$A$1:$AT$1,),))</f>
        <v>6.1887521440000004</v>
      </c>
      <c r="W98" s="25">
        <f>IF(VLOOKUP(B98,'Data qoq'!$A:$AT,MATCH($W$1,'Data qoq'!$A$1:$AT$1,),)=0,#N/A,VLOOKUP(B98,'Data qoq'!$A:$AT,MATCH($W$1,'Data qoq'!$A$1:$AT$1,),))</f>
        <v>0.67392446299999997</v>
      </c>
      <c r="X98" s="25">
        <f>IF(VLOOKUP(B98,'Data qoq'!$A:$AT,MATCH($X$1,'Data qoq'!$A$1:$AT$1,),)=0,#N/A,VLOOKUP(B98,'Data qoq'!$A:$AT,MATCH($X$1,'Data qoq'!$A$1:$AT$1,),))</f>
        <v>0.62057495900000004</v>
      </c>
      <c r="Y98" s="25">
        <f>IF(VLOOKUP(B98,'Data qoq'!$A:$AT,MATCH($Y$1,'Data qoq'!$A$1:$AT$1,),)=0,#N/A,VLOOKUP(B98,'Data qoq'!$A:$AT,MATCH($Y$1,'Data qoq'!$A$1:$AT$1,),))</f>
        <v>2.4657446379999999</v>
      </c>
      <c r="Z98" s="25">
        <f>IF(VLOOKUP(B98,'Data qoq'!$A:$AU,MATCH($Z$1,'Data qoq'!$A$1:$AU$1,),)=0,#N/A,VLOOKUP(B98,'Data qoq'!$A:$AU,MATCH($Z$1,'Data qoq'!$A$1:$AU$1,),))</f>
        <v>1.1789565559999999</v>
      </c>
      <c r="AA98" s="25">
        <f>IF(VLOOKUP(B98,'Data qoq'!$A:$AU,MATCH($AA$1,'Data qoq'!$A$1:$AU$1,),)=0,#N/A,VLOOKUP(B98,'Data qoq'!$A:$AU,MATCH($AA$1,'Data qoq'!$A$1:$AU$1,),))</f>
        <v>-0.23618889200000001</v>
      </c>
      <c r="AC98" s="26" t="str">
        <f t="shared" si="10"/>
        <v>2022-Q1</v>
      </c>
      <c r="AD98" s="27">
        <f t="shared" si="11"/>
        <v>-1.208460189</v>
      </c>
      <c r="AE98" s="27"/>
    </row>
    <row r="99" spans="2:31" s="73" customFormat="1" x14ac:dyDescent="0.2">
      <c r="B99" s="24" t="s">
        <v>366</v>
      </c>
      <c r="C99" s="25">
        <f>IF(VLOOKUP(B99,'Data qoq'!$A:$AT,MATCH($C$1,'Data qoq'!$A$1:$AT$1,),)=0,#N/A,VLOOKUP(B99,'Data qoq'!$A:$AT,MATCH($C$1,'Data qoq'!$A$1:$AT$1,),))</f>
        <v>-0.144633973</v>
      </c>
      <c r="D99" s="25">
        <f>IF(VLOOKUP(B99,'Data qoq'!$A:$AT,MATCH($D$1,'Data qoq'!$A$1:$AT$1,),)=0,#N/A,VLOOKUP(B99,'Data qoq'!$A:$AT,MATCH($D$1,'Data qoq'!$A$1:$AT$1,),))</f>
        <v>-2.6</v>
      </c>
      <c r="E99" s="25">
        <f>IF(VLOOKUP(B99,'Data qoq'!$A:$AT,MATCH($E$1,'Data qoq'!$A$1:$AT$1,),)=0,#N/A,VLOOKUP(B99,'Data qoq'!$A:$AT,MATCH($E$1,'Data qoq'!$A$1:$AT$1,),))</f>
        <v>0.771455</v>
      </c>
      <c r="F99" s="25">
        <f>IF(VLOOKUP(B99,'Data qoq'!$A:$AT,MATCH($F$1,'Data qoq'!$A$1:$AT$1,),)=0,#N/A,VLOOKUP(B99,'Data qoq'!$A:$AT,MATCH($F$1,'Data qoq'!$A$1:$AT$1,),))</f>
        <v>0.86134734599999996</v>
      </c>
      <c r="G99" s="25">
        <f>IF(VLOOKUP(B99,'Data qoq'!$A:$AT,MATCH($G$1,'Data qoq'!$A$1:$AT$1,),)=0,#N/A,VLOOKUP(B99,'Data qoq'!$A:$AT,MATCH($G$1,'Data qoq'!$A$1:$AT$1,),))</f>
        <v>0.13972484700000001</v>
      </c>
      <c r="H99" s="25">
        <f>IF(VLOOKUP(B99,'Data qoq'!$A:$AT,MATCH($H$1,'Data qoq'!$A$1:$AT$1,),)=0,#N/A,VLOOKUP(B99,'Data qoq'!$A:$AT,MATCH($H$1,'Data qoq'!$A$1:$AT$1,),))</f>
        <v>0.53728516199999998</v>
      </c>
      <c r="I99" s="25">
        <f>IF(VLOOKUP(B99,'Data qoq'!$A:$AT,MATCH($I$1,'Data qoq'!$A$1:$AT$1,),)=0,#N/A,VLOOKUP(B99,'Data qoq'!$A:$AT,MATCH($I$1,'Data qoq'!$A$1:$AT$1,),))</f>
        <v>0.23497788</v>
      </c>
      <c r="J99" s="25">
        <f>IF(VLOOKUP(B99,'Data qoq'!$A:$AT,MATCH($J$1,'Data qoq'!$A$1:$AT$1,),)=0,#N/A,VLOOKUP(B99,'Data qoq'!$A:$AT,MATCH($J$1,'Data qoq'!$A$1:$AT$1,),))</f>
        <v>1.0908389709999999</v>
      </c>
      <c r="K99" s="25">
        <f>IF(VLOOKUP(B99,'Data qoq'!$A:$AT,MATCH($K$1,'Data qoq'!$A$1:$AT$1,),)=0,#N/A,VLOOKUP(B99,'Data qoq'!$A:$AT,MATCH($K$1,'Data qoq'!$A$1:$AT$1,),))</f>
        <v>1.4589737279999999</v>
      </c>
      <c r="L99" s="25">
        <f>IF(VLOOKUP(B99,'Data qoq'!$A:$AT,MATCH($L$1,'Data qoq'!$A$1:$AT$1,),)=0,#N/A,VLOOKUP(B99,'Data qoq'!$A:$AT,MATCH($L$1,'Data qoq'!$A$1:$AT$1,),))</f>
        <v>0.89897266399999998</v>
      </c>
      <c r="M99" s="25">
        <f>IF(VLOOKUP(B99,'Data qoq'!$A:$AT,MATCH($M$1,'Data qoq'!$A$1:$AT$1,),)=0,#N/A,VLOOKUP(B99,'Data qoq'!$A:$AT,MATCH($M$1,'Data qoq'!$A$1:$AT$1,),))</f>
        <v>0.92437563</v>
      </c>
      <c r="N99" s="25" t="e">
        <f>IF(VLOOKUP(B99,'Data qoq'!$A:$AT,MATCH($N$1,'Data qoq'!$A$1:$AT$1,),)=0,#N/A,VLOOKUP(B99,'Data qoq'!$A:$AT,MATCH($N$1,'Data qoq'!$A$1:$AT$1,),))</f>
        <v>#N/A</v>
      </c>
      <c r="O99" s="25">
        <f>IF(VLOOKUP(B99,'Data qoq'!$A:$AT,MATCH($O$1,'Data qoq'!$J$1:$AT$1,),)=0,#N/A,VLOOKUP(B99,'Data qoq'!$A:$AT,MATCH($O$1,'Data qoq'!$J$1:$AT$1,),))</f>
        <v>1.4589737279999999</v>
      </c>
      <c r="P99" s="25">
        <f>IF(VLOOKUP(B99,'Data qoq'!$A:$AT,MATCH($P$1,'Data qoq'!$A$1:$AT$1,),)=0,#N/A,VLOOKUP(B99,'Data qoq'!$A:$AT,MATCH($P$1,'Data qoq'!$A$1:$AT$1,),))</f>
        <v>0.80711381100000001</v>
      </c>
      <c r="Q99" s="25">
        <f>IF(VLOOKUP(B99,'Data qoq'!$A:$AT,MATCH($Q$1,'Data qoq'!$A$1:$AT$1,),)=0,#N/A,VLOOKUP(B99,'Data qoq'!$A:$AT,MATCH($Q$1,'Data qoq'!$A$1:$AT$1,),))</f>
        <v>0.89292811500000002</v>
      </c>
      <c r="R99" s="25">
        <f>IF(VLOOKUP(B99,'Data qoq'!$A:$AT,MATCH($R$1,'Data qoq'!$A$1:$AT$1,),)=0,#N/A,VLOOKUP(B99,'Data qoq'!$A:$AT,MATCH($R$1,'Data qoq'!$A$1:$AT$1,),))</f>
        <v>0.27008766699999998</v>
      </c>
      <c r="S99" s="25">
        <f>IF(VLOOKUP(B99,'Data qoq'!$A:$AT,MATCH($S$1,'Data qoq'!$A$1:$AT$1,),)=0,#N/A,VLOOKUP(B99,'Data qoq'!$A:$AT,MATCH($S$1,'Data qoq'!$A$1:$AT$1,),))</f>
        <v>0.73926675799999997</v>
      </c>
      <c r="T99" s="25">
        <f>IF(VLOOKUP(B99,'Data qoq'!$A:$AT,MATCH($T$1,'Data qoq'!$A$1:$AT$1,),)=0,#N/A,VLOOKUP(B99,'Data qoq'!$A:$AT,MATCH($T$1,'Data qoq'!$A$1:$AT$1,),))</f>
        <v>1.2325283010000001</v>
      </c>
      <c r="U99" s="25">
        <f>IF(VLOOKUP(B99,'Data qoq'!$A:$AT,MATCH($U$1,'Data qoq'!$A$1:$AT$1,),)=0,#N/A,VLOOKUP(B99,'Data qoq'!$A:$AT,MATCH($U$1,'Data qoq'!$A$1:$AT$1,),))</f>
        <v>1.2284964</v>
      </c>
      <c r="V99" s="25">
        <f>IF(VLOOKUP(B99,'Data qoq'!$A:$AT,MATCH($V$1,'Data qoq'!$A$1:$AT$1,),)=0,#N/A,VLOOKUP(B99,'Data qoq'!$A:$AT,MATCH($V$1,'Data qoq'!$A$1:$AT$1,),))</f>
        <v>1.781407932</v>
      </c>
      <c r="W99" s="25">
        <f>IF(VLOOKUP(B99,'Data qoq'!$A:$AT,MATCH($W$1,'Data qoq'!$A$1:$AT$1,),)=0,#N/A,VLOOKUP(B99,'Data qoq'!$A:$AT,MATCH($W$1,'Data qoq'!$A$1:$AT$1,),))</f>
        <v>2.069927377</v>
      </c>
      <c r="X99" s="25">
        <f>IF(VLOOKUP(B99,'Data qoq'!$A:$AT,MATCH($X$1,'Data qoq'!$A$1:$AT$1,),)=0,#N/A,VLOOKUP(B99,'Data qoq'!$A:$AT,MATCH($X$1,'Data qoq'!$A$1:$AT$1,),))</f>
        <v>0.45131357900000002</v>
      </c>
      <c r="Y99" s="25">
        <f>IF(VLOOKUP(B99,'Data qoq'!$A:$AT,MATCH($Y$1,'Data qoq'!$A$1:$AT$1,),)=0,#N/A,VLOOKUP(B99,'Data qoq'!$A:$AT,MATCH($Y$1,'Data qoq'!$A$1:$AT$1,),))</f>
        <v>-2.1178533509999999</v>
      </c>
      <c r="Z99" s="25">
        <f>IF(VLOOKUP(B99,'Data qoq'!$A:$AU,MATCH($Z$1,'Data qoq'!$A$1:$AU$1,),)=0,#N/A,VLOOKUP(B99,'Data qoq'!$A:$AU,MATCH($Z$1,'Data qoq'!$A$1:$AU$1,),))</f>
        <v>1.0426200160000001</v>
      </c>
      <c r="AA99" s="25">
        <f>IF(VLOOKUP(B99,'Data qoq'!$A:$AU,MATCH($AA$1,'Data qoq'!$A$1:$AU$1,),)=0,#N/A,VLOOKUP(B99,'Data qoq'!$A:$AU,MATCH($AA$1,'Data qoq'!$A$1:$AU$1,),))</f>
        <v>1.7138177489999999</v>
      </c>
      <c r="AC99" s="26" t="str">
        <f t="shared" si="10"/>
        <v>2022-Q2</v>
      </c>
      <c r="AD99" s="27">
        <f t="shared" si="11"/>
        <v>-0.28435882000000001</v>
      </c>
    </row>
    <row r="100" spans="2:31" s="73" customFormat="1" x14ac:dyDescent="0.2"/>
    <row r="101" spans="2:31" s="73" customFormat="1" x14ac:dyDescent="0.2"/>
    <row r="102" spans="2:31" s="73" customFormat="1" x14ac:dyDescent="0.2"/>
    <row r="103" spans="2:31" s="73" customFormat="1" x14ac:dyDescent="0.2"/>
    <row r="104" spans="2:31" s="73" customFormat="1" x14ac:dyDescent="0.2">
      <c r="C104" s="27"/>
    </row>
    <row r="105" spans="2:31" s="73" customFormat="1" x14ac:dyDescent="0.2"/>
    <row r="106" spans="2:31" s="73" customFormat="1" x14ac:dyDescent="0.2"/>
    <row r="107" spans="2:31" s="73" customFormat="1" x14ac:dyDescent="0.2"/>
    <row r="108" spans="2:31" s="73" customFormat="1" x14ac:dyDescent="0.2"/>
    <row r="109" spans="2:31" s="73" customFormat="1" x14ac:dyDescent="0.2"/>
    <row r="110" spans="2:31" s="73" customFormat="1" x14ac:dyDescent="0.2"/>
    <row r="111" spans="2:31" s="73" customFormat="1" x14ac:dyDescent="0.2"/>
    <row r="112" spans="2:31"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sheetData>
  <phoneticPr fontId="18" type="noConversion"/>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x14ac:dyDescent="0.2"/>
  <cols>
    <col min="1" max="1" width="8.33203125" style="73" bestFit="1" customWidth="1"/>
    <col min="2" max="2" width="13.1640625" style="67" bestFit="1" customWidth="1"/>
    <col min="3" max="3" width="8.1640625" style="67" bestFit="1" customWidth="1"/>
    <col min="4" max="4" width="8.33203125" style="67" bestFit="1" customWidth="1"/>
    <col min="5" max="6" width="8.1640625" style="67" bestFit="1" customWidth="1"/>
    <col min="7" max="13" width="8.33203125" style="67" bestFit="1" customWidth="1"/>
    <col min="14" max="14" width="8.1640625" style="67" bestFit="1" customWidth="1"/>
    <col min="15" max="16" width="8.33203125" style="67" bestFit="1" customWidth="1"/>
    <col min="17" max="17" width="8.1640625" style="67" bestFit="1" customWidth="1"/>
    <col min="18" max="18" width="8.33203125" style="67" bestFit="1" customWidth="1"/>
    <col min="19" max="20" width="8.1640625" style="67" bestFit="1" customWidth="1"/>
    <col min="21" max="21" width="8.33203125" style="67" bestFit="1" customWidth="1"/>
    <col min="22" max="25" width="8.1640625" style="67" bestFit="1" customWidth="1"/>
    <col min="26" max="26" width="8.33203125" style="67" bestFit="1" customWidth="1"/>
    <col min="27" max="27" width="8.1640625" style="67" bestFit="1" customWidth="1"/>
    <col min="28" max="28" width="6.1640625" style="73" customWidth="1"/>
    <col min="29" max="29" width="8" style="73" bestFit="1" customWidth="1"/>
    <col min="30" max="30" width="15" style="73" bestFit="1" customWidth="1"/>
    <col min="31" max="31" width="8" style="73" bestFit="1" customWidth="1"/>
    <col min="32" max="33" width="9.1640625" style="73" customWidth="1"/>
    <col min="34" max="34" width="18.1640625" style="73" bestFit="1" customWidth="1"/>
    <col min="35" max="72" width="9.1640625" style="73" customWidth="1"/>
  </cols>
  <sheetData>
    <row r="1" spans="1: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3" customFormat="1" x14ac:dyDescent="0.2">
      <c r="AD2" s="73" t="s">
        <v>590</v>
      </c>
      <c r="AE2" s="3" t="str">
        <f>'Table yoy'!AE2</f>
        <v>2022-Q2</v>
      </c>
      <c r="AH2" s="73" t="s">
        <v>589</v>
      </c>
    </row>
    <row r="3" spans="1: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2022-Q1</v>
      </c>
    </row>
    <row r="4" spans="1:34" ht="16" customHeight="1" thickBot="1" x14ac:dyDescent="0.25">
      <c r="B4" s="4" t="s">
        <v>579</v>
      </c>
      <c r="C4" s="29">
        <f t="shared" ref="C4:AA4" ca="1" si="0">MAX(OFFSET(C$71,COUNT(C$71:C$150),0,-13,1))</f>
        <v>0.35317139137061093</v>
      </c>
      <c r="D4" s="29">
        <f t="shared" ca="1" si="0"/>
        <v>0.55672784072100012</v>
      </c>
      <c r="E4" s="29">
        <f t="shared" ca="1" si="0"/>
        <v>0.61030392641996389</v>
      </c>
      <c r="F4" s="29">
        <f t="shared" ca="1" si="0"/>
        <v>0.23957254738861855</v>
      </c>
      <c r="G4" s="29">
        <f t="shared" ca="1" si="0"/>
        <v>0.41182482744572702</v>
      </c>
      <c r="H4" s="29">
        <f t="shared" ca="1" si="0"/>
        <v>0.96790748920524838</v>
      </c>
      <c r="I4" s="29">
        <f t="shared" ca="1" si="0"/>
        <v>0.84893880733589455</v>
      </c>
      <c r="J4" s="29">
        <f t="shared" ca="1" si="0"/>
        <v>0.71736351812908228</v>
      </c>
      <c r="K4" s="29">
        <f t="shared" ca="1" si="0"/>
        <v>0.85079905092405883</v>
      </c>
      <c r="L4" s="29">
        <f t="shared" ca="1" si="0"/>
        <v>0.32681170889750422</v>
      </c>
      <c r="M4" s="29">
        <f t="shared" ca="1" si="0"/>
        <v>0.66852377131808005</v>
      </c>
      <c r="N4" s="29" t="e">
        <f t="shared" ca="1" si="0"/>
        <v>#N/A</v>
      </c>
      <c r="O4" s="29">
        <f t="shared" ca="1" si="0"/>
        <v>1.2768555188576562</v>
      </c>
      <c r="P4" s="29">
        <f t="shared" ca="1" si="0"/>
        <v>0.41075081874519803</v>
      </c>
      <c r="Q4" s="29">
        <f t="shared" ca="1" si="0"/>
        <v>0.16328081020000274</v>
      </c>
      <c r="R4" s="29">
        <f t="shared" ca="1" si="0"/>
        <v>0.32634557750381865</v>
      </c>
      <c r="S4" s="29">
        <f t="shared" ca="1" si="0"/>
        <v>9.72707483974391E-2</v>
      </c>
      <c r="T4" s="29">
        <f t="shared" ca="1" si="0"/>
        <v>0.36003236451901222</v>
      </c>
      <c r="U4" s="29">
        <f t="shared" ca="1" si="0"/>
        <v>0.235893241440428</v>
      </c>
      <c r="V4" s="29">
        <f t="shared" ca="1" si="0"/>
        <v>0.6460946514505983</v>
      </c>
      <c r="W4" s="29">
        <f t="shared" ca="1" si="0"/>
        <v>0.78884331014742592</v>
      </c>
      <c r="X4" s="29">
        <f t="shared" ca="1" si="0"/>
        <v>0.30850465767186019</v>
      </c>
      <c r="Y4" s="29">
        <f t="shared" ca="1" si="0"/>
        <v>0.32736427372253352</v>
      </c>
      <c r="Z4" s="29">
        <f t="shared" ca="1" si="0"/>
        <v>0.56856782844923104</v>
      </c>
      <c r="AA4" s="29">
        <f t="shared" ca="1" si="0"/>
        <v>0.66978875799186843</v>
      </c>
      <c r="AD4" s="14" t="s">
        <v>580</v>
      </c>
      <c r="AE4" s="15" t="str">
        <f>'Table yoy'!AE4</f>
        <v>2021-Q2</v>
      </c>
    </row>
    <row r="5" spans="1:34" x14ac:dyDescent="0.2">
      <c r="B5" s="4" t="s">
        <v>581</v>
      </c>
      <c r="C5" s="29">
        <f t="shared" ref="C5:AA5" ca="1" si="1">MIN(OFFSET(C$71,COUNT(C$71:C$150),0,-13,1))</f>
        <v>-0.29857419772708582</v>
      </c>
      <c r="D5" s="29">
        <f t="shared" ca="1" si="1"/>
        <v>-0.35260435711899996</v>
      </c>
      <c r="E5" s="29">
        <f t="shared" ca="1" si="1"/>
        <v>-0.38789518247241805</v>
      </c>
      <c r="F5" s="29">
        <f t="shared" ca="1" si="1"/>
        <v>-0.28543930478392576</v>
      </c>
      <c r="G5" s="29">
        <f t="shared" ca="1" si="1"/>
        <v>-0.32863850749718848</v>
      </c>
      <c r="H5" s="29">
        <f t="shared" ca="1" si="1"/>
        <v>-0.441304253590455</v>
      </c>
      <c r="I5" s="29">
        <f t="shared" ca="1" si="1"/>
        <v>-0.6103290164577766</v>
      </c>
      <c r="J5" s="29">
        <f t="shared" ca="1" si="1"/>
        <v>-0.40306202050699846</v>
      </c>
      <c r="K5" s="29">
        <f t="shared" ca="1" si="1"/>
        <v>-0.54403416703982366</v>
      </c>
      <c r="L5" s="29">
        <f t="shared" ca="1" si="1"/>
        <v>-0.28543768818830439</v>
      </c>
      <c r="M5" s="29">
        <f t="shared" ca="1" si="1"/>
        <v>-0.546977813941669</v>
      </c>
      <c r="N5" s="29" t="e">
        <f t="shared" ca="1" si="1"/>
        <v>#N/A</v>
      </c>
      <c r="O5" s="29">
        <f t="shared" ca="1" si="1"/>
        <v>-0.66433248978615433</v>
      </c>
      <c r="P5" s="29">
        <f t="shared" ca="1" si="1"/>
        <v>-0.37377622789316389</v>
      </c>
      <c r="Q5" s="29">
        <f t="shared" ca="1" si="1"/>
        <v>-0.25259184971088966</v>
      </c>
      <c r="R5" s="29">
        <f t="shared" ca="1" si="1"/>
        <v>-0.25346576516104447</v>
      </c>
      <c r="S5" s="29">
        <f t="shared" ca="1" si="1"/>
        <v>-0.1156901220447043</v>
      </c>
      <c r="T5" s="29">
        <f t="shared" ca="1" si="1"/>
        <v>-0.3131834404524716</v>
      </c>
      <c r="U5" s="29">
        <f t="shared" ca="1" si="1"/>
        <v>-0.4354272254739735</v>
      </c>
      <c r="V5" s="29">
        <f t="shared" ca="1" si="1"/>
        <v>-0.20351011767269622</v>
      </c>
      <c r="W5" s="29">
        <f t="shared" ca="1" si="1"/>
        <v>-0.35467332515108929</v>
      </c>
      <c r="X5" s="29">
        <f t="shared" ca="1" si="1"/>
        <v>-0.30967958719972466</v>
      </c>
      <c r="Y5" s="29">
        <f t="shared" ca="1" si="1"/>
        <v>-0.31710110593611163</v>
      </c>
      <c r="Z5" s="29">
        <f t="shared" ca="1" si="1"/>
        <v>-0.47434739859092889</v>
      </c>
      <c r="AA5" s="29">
        <f t="shared" ca="1" si="1"/>
        <v>-0.35530991840267001</v>
      </c>
      <c r="AC5" s="16" t="s">
        <v>582</v>
      </c>
      <c r="AE5" s="17"/>
    </row>
    <row r="6" spans="1:34" x14ac:dyDescent="0.2">
      <c r="B6" s="4" t="s">
        <v>583</v>
      </c>
      <c r="C6" s="29">
        <f t="shared" ref="C6:AA6" ca="1" si="2">AVERAGE(OFFSET(C$71,COUNT(C$71:C$150),0,-13,1))</f>
        <v>2.5719731984372968E-2</v>
      </c>
      <c r="D6" s="29">
        <f t="shared" ca="1" si="2"/>
        <v>5.5367403869666654E-2</v>
      </c>
      <c r="E6" s="29">
        <f t="shared" ca="1" si="2"/>
        <v>2.7892648224635996E-2</v>
      </c>
      <c r="F6" s="29">
        <f t="shared" ca="1" si="2"/>
        <v>-8.3376688227348084E-4</v>
      </c>
      <c r="G6" s="29">
        <f t="shared" ca="1" si="2"/>
        <v>1.3172740055368124E-2</v>
      </c>
      <c r="H6" s="29">
        <f t="shared" ca="1" si="2"/>
        <v>4.1149555611200574E-2</v>
      </c>
      <c r="I6" s="29">
        <f t="shared" ca="1" si="2"/>
        <v>5.2421210212714821E-2</v>
      </c>
      <c r="J6" s="29">
        <f t="shared" ca="1" si="2"/>
        <v>2.9445089610578901E-2</v>
      </c>
      <c r="K6" s="29">
        <f t="shared" ca="1" si="2"/>
        <v>3.7089781986599547E-2</v>
      </c>
      <c r="L6" s="29">
        <f t="shared" ca="1" si="2"/>
        <v>2.6620599019004692E-2</v>
      </c>
      <c r="M6" s="29">
        <f t="shared" ca="1" si="2"/>
        <v>3.0522033319992037E-2</v>
      </c>
      <c r="N6" s="29" t="e">
        <f t="shared" ca="1" si="2"/>
        <v>#N/A</v>
      </c>
      <c r="O6" s="29">
        <f t="shared" ca="1" si="2"/>
        <v>0.11050884345599649</v>
      </c>
      <c r="P6" s="29">
        <f t="shared" ca="1" si="2"/>
        <v>2.2086606224683641E-2</v>
      </c>
      <c r="Q6" s="29">
        <f t="shared" ca="1" si="2"/>
        <v>2.8827463894151788E-2</v>
      </c>
      <c r="R6" s="29">
        <f t="shared" ca="1" si="2"/>
        <v>2.0709486704645719E-2</v>
      </c>
      <c r="S6" s="29">
        <f t="shared" ca="1" si="2"/>
        <v>2.2903856900248949E-2</v>
      </c>
      <c r="T6" s="29">
        <f t="shared" ca="1" si="2"/>
        <v>2.2429434816276055E-2</v>
      </c>
      <c r="U6" s="29">
        <f t="shared" ca="1" si="2"/>
        <v>3.1955240843072517E-2</v>
      </c>
      <c r="V6" s="29">
        <f t="shared" ca="1" si="2"/>
        <v>0.11986290388648496</v>
      </c>
      <c r="W6" s="29">
        <f t="shared" ca="1" si="2"/>
        <v>8.6522741014938842E-2</v>
      </c>
      <c r="X6" s="29">
        <f t="shared" ca="1" si="2"/>
        <v>1.2713808917768374E-2</v>
      </c>
      <c r="Y6" s="29">
        <f t="shared" ca="1" si="2"/>
        <v>3.511795161588991E-2</v>
      </c>
      <c r="Z6" s="29">
        <f t="shared" ca="1" si="2"/>
        <v>4.2118351958905932E-2</v>
      </c>
      <c r="AA6" s="29">
        <f t="shared" ca="1" si="2"/>
        <v>4.2210363171591068E-2</v>
      </c>
      <c r="AC6" s="18"/>
      <c r="AD6" s="73" t="s">
        <v>584</v>
      </c>
      <c r="AE6" s="17" t="s">
        <v>33</v>
      </c>
    </row>
    <row r="7" spans="1:34" ht="16" customHeight="1" thickBot="1" x14ac:dyDescent="0.25">
      <c r="B7" s="4" t="s">
        <v>585</v>
      </c>
      <c r="C7" s="13" t="str">
        <f t="shared" ref="C7:AA7" ca="1" si="3">IF((VLOOKUP($AE$2,$B:$AA,MATCH(C3,$B$3:$AA$3,),))&gt;C6,"above","below")</f>
        <v>below</v>
      </c>
      <c r="D7" s="13" t="str">
        <f t="shared" ca="1" si="3"/>
        <v>below</v>
      </c>
      <c r="E7" s="13" t="str">
        <f t="shared" ca="1" si="3"/>
        <v>above</v>
      </c>
      <c r="F7" s="13" t="str">
        <f t="shared" ca="1" si="3"/>
        <v>above</v>
      </c>
      <c r="G7" s="13" t="str">
        <f t="shared" ca="1" si="3"/>
        <v>below</v>
      </c>
      <c r="H7" s="13" t="str">
        <f t="shared" ca="1" si="3"/>
        <v>below</v>
      </c>
      <c r="I7" s="13" t="str">
        <f t="shared" ca="1" si="3"/>
        <v>below</v>
      </c>
      <c r="J7" s="13" t="str">
        <f t="shared" ca="1" si="3"/>
        <v>above</v>
      </c>
      <c r="K7" s="13" t="str">
        <f t="shared" ca="1" si="3"/>
        <v>above</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below</v>
      </c>
      <c r="W7" s="13" t="str">
        <f t="shared" ca="1" si="3"/>
        <v>below</v>
      </c>
      <c r="X7" s="13" t="str">
        <f t="shared" ca="1" si="3"/>
        <v>above</v>
      </c>
      <c r="Y7" s="13" t="str">
        <f t="shared" ca="1" si="3"/>
        <v>below</v>
      </c>
      <c r="Z7" s="13" t="str">
        <f t="shared" ca="1" si="3"/>
        <v>above</v>
      </c>
      <c r="AA7" s="13" t="str">
        <f t="shared" ca="1" si="3"/>
        <v>above</v>
      </c>
      <c r="AC7" s="19"/>
      <c r="AD7" s="20" t="s">
        <v>586</v>
      </c>
      <c r="AE7" s="21" t="s">
        <v>40</v>
      </c>
    </row>
    <row r="8" spans="1:34" x14ac:dyDescent="0.2">
      <c r="B8" s="4" t="s">
        <v>587</v>
      </c>
      <c r="C8" s="28">
        <f t="shared" ref="C8:AA8" si="4">VLOOKUP($AE$2,$B:$AA,MATCH(C3,$B$3:$AA$3,),)-VLOOKUP($AE$4,$B:$AA,MATCH(C3,$B$3:$AA$3,),)</f>
        <v>-7.5821779031713277E-2</v>
      </c>
      <c r="D8" s="28">
        <f t="shared" si="4"/>
        <v>-0.1613773976489995</v>
      </c>
      <c r="E8" s="28">
        <f t="shared" si="4"/>
        <v>-5.0671331279471987E-2</v>
      </c>
      <c r="F8" s="28">
        <f t="shared" si="4"/>
        <v>2.0168640664531612E-2</v>
      </c>
      <c r="G8" s="28">
        <f t="shared" si="4"/>
        <v>-7.3805673172504305E-2</v>
      </c>
      <c r="H8" s="28">
        <f t="shared" si="4"/>
        <v>-2.032481436720035E-2</v>
      </c>
      <c r="I8" s="28">
        <f t="shared" si="4"/>
        <v>-0.27902010862431981</v>
      </c>
      <c r="J8" s="28">
        <f t="shared" si="4"/>
        <v>-5.9046552126553076E-2</v>
      </c>
      <c r="K8" s="28">
        <f t="shared" si="4"/>
        <v>4.4533578128398421E-3</v>
      </c>
      <c r="L8" s="28">
        <f t="shared" si="4"/>
        <v>-2.4642605154778785E-4</v>
      </c>
      <c r="M8" s="28">
        <f t="shared" si="4"/>
        <v>-9.2373860453398571E-4</v>
      </c>
      <c r="N8" s="28" t="e">
        <f t="shared" si="4"/>
        <v>#N/A</v>
      </c>
      <c r="O8" s="28">
        <f t="shared" si="4"/>
        <v>0.28868962035569046</v>
      </c>
      <c r="P8" s="28">
        <f t="shared" si="4"/>
        <v>6.3985048414818113E-2</v>
      </c>
      <c r="Q8" s="28">
        <f t="shared" si="4"/>
        <v>1.245505477411224E-2</v>
      </c>
      <c r="R8" s="28">
        <f t="shared" si="4"/>
        <v>-7.1219831504803821E-2</v>
      </c>
      <c r="S8" s="28">
        <f t="shared" si="4"/>
        <v>-3.8527195888042876E-3</v>
      </c>
      <c r="T8" s="28">
        <f t="shared" si="4"/>
        <v>6.134213459326332E-2</v>
      </c>
      <c r="U8" s="28">
        <f t="shared" si="4"/>
        <v>-1.189796980495772E-2</v>
      </c>
      <c r="V8" s="28">
        <f t="shared" si="4"/>
        <v>-6.9489527494854819E-3</v>
      </c>
      <c r="W8" s="28">
        <f t="shared" si="4"/>
        <v>3.1854050155013525E-3</v>
      </c>
      <c r="X8" s="28">
        <f t="shared" si="4"/>
        <v>-3.9305434478665191E-2</v>
      </c>
      <c r="Y8" s="28">
        <f t="shared" si="4"/>
        <v>-0.16516367819456601</v>
      </c>
      <c r="Z8" s="28">
        <f t="shared" si="4"/>
        <v>6.6839220574050784E-2</v>
      </c>
      <c r="AA8" s="28">
        <f t="shared" si="4"/>
        <v>-2.6909143786970846E-2</v>
      </c>
    </row>
    <row r="9" spans="1:34" x14ac:dyDescent="0.2">
      <c r="B9" s="4" t="s">
        <v>588</v>
      </c>
      <c r="C9" s="29">
        <f t="shared" ref="C9:AA9" si="5">VLOOKUP($AE$2,$B:$AA,MATCH(C3,$B$3:$AA$3,),)-VLOOKUP($AE$3,$B:$AA,MATCH(C3,$B$3:$AA$3,),)</f>
        <v>1.0539957401278111E-2</v>
      </c>
      <c r="D9" s="29">
        <f t="shared" si="5"/>
        <v>-0.15720086144000034</v>
      </c>
      <c r="E9" s="29">
        <f t="shared" si="5"/>
        <v>4.3159700060140249E-3</v>
      </c>
      <c r="F9" s="29">
        <f t="shared" si="5"/>
        <v>3.281500023684325E-2</v>
      </c>
      <c r="G9" s="29">
        <f t="shared" si="5"/>
        <v>-2.6708398453513915E-2</v>
      </c>
      <c r="H9" s="29">
        <f t="shared" si="5"/>
        <v>3.1584961353430585E-2</v>
      </c>
      <c r="I9" s="29">
        <f t="shared" si="5"/>
        <v>-1.8520374959644759E-2</v>
      </c>
      <c r="J9" s="29">
        <f t="shared" si="5"/>
        <v>3.8706276827493946E-2</v>
      </c>
      <c r="K9" s="29">
        <f t="shared" si="5"/>
        <v>6.7181554466585469E-2</v>
      </c>
      <c r="L9" s="29">
        <f t="shared" si="5"/>
        <v>2.9191684834517062E-2</v>
      </c>
      <c r="M9" s="29">
        <f t="shared" si="5"/>
        <v>-8.9739091309104513E-3</v>
      </c>
      <c r="N9" s="29" t="e">
        <f t="shared" si="5"/>
        <v>#N/A</v>
      </c>
      <c r="O9" s="29">
        <f t="shared" si="5"/>
        <v>-3.0125439096522211E-3</v>
      </c>
      <c r="P9" s="29">
        <f t="shared" si="5"/>
        <v>1.7265623083781989E-3</v>
      </c>
      <c r="Q9" s="29">
        <f t="shared" si="5"/>
        <v>7.4553225923392752E-3</v>
      </c>
      <c r="R9" s="29">
        <f t="shared" si="5"/>
        <v>-1.6157775450185152E-3</v>
      </c>
      <c r="S9" s="29">
        <f t="shared" si="5"/>
        <v>4.2993132045692217E-3</v>
      </c>
      <c r="T9" s="29">
        <f t="shared" si="5"/>
        <v>4.5641945742544987E-3</v>
      </c>
      <c r="U9" s="29">
        <f t="shared" si="5"/>
        <v>-6.9926442862219051E-2</v>
      </c>
      <c r="V9" s="29">
        <f t="shared" si="5"/>
        <v>-0.19831020091740492</v>
      </c>
      <c r="W9" s="29">
        <f t="shared" si="5"/>
        <v>5.8172804095285136E-2</v>
      </c>
      <c r="X9" s="29">
        <f t="shared" si="5"/>
        <v>-6.8799021334478017E-3</v>
      </c>
      <c r="Y9" s="29">
        <f t="shared" si="5"/>
        <v>-0.18439880705846501</v>
      </c>
      <c r="Z9" s="29">
        <f t="shared" si="5"/>
        <v>-5.6372195015399473E-3</v>
      </c>
      <c r="AA9" s="29">
        <f t="shared" si="5"/>
        <v>7.9749371337516251E-2</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277</v>
      </c>
      <c r="C11" s="32">
        <f>(((VLOOKUP(B11,'Data qoq'!$A:$AT,MATCH($C$1,'Data qoq'!$A$1:$AT$1,),))/100+1)^4)-1</f>
        <v>1.4657781370113865E-2</v>
      </c>
      <c r="D11" s="32">
        <f>(((VLOOKUP(B11,'Data qoq'!$A:$AT,MATCH($D$1,'Data qoq'!$A$1:$AT$1,),))/100+1)^4)-1</f>
        <v>0</v>
      </c>
      <c r="E11" s="32">
        <f>(((VLOOKUP(B11,'Data qoq'!$A:$AT,MATCH($E$1,'Data qoq'!$A$1:$AT$1,),))/100+1)^4)-1</f>
        <v>5.0162427585798142E-2</v>
      </c>
      <c r="F11" s="32">
        <f>(((VLOOKUP(B11,'Data qoq'!$A:$AT,MATCH($F$1,'Data qoq'!$A$1:$AT$1,),))/100+1)^4)-1</f>
        <v>6.9696964178459719E-2</v>
      </c>
      <c r="G11" s="32">
        <f>(((VLOOKUP(B11,'Data qoq'!$A:$AT,MATCH($G$1,'Data qoq'!$A$1:$AT$1,),))/100+1)^4)-1</f>
        <v>5.8460727190806638E-2</v>
      </c>
      <c r="H11" s="32">
        <f>(((VLOOKUP(B11,'Data qoq'!$A:$AT,MATCH($H$1,'Data qoq'!$A$1:$AT$1,),))/100+1)^4)-1</f>
        <v>4.265734846207514E-2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2.8756227008416735E-2</v>
      </c>
      <c r="M11" s="32">
        <f>(((VLOOKUP(B11,'Data qoq'!$A:$AT,MATCH($M$1,'Data qoq'!$A$1:$AT$1,),))/100+1)^4)-1</f>
        <v>7.7373315696563028E-2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1.609480336057878E-2</v>
      </c>
      <c r="R11" s="32">
        <f>(((VLOOKUP(B11,'Data qoq'!$A:$AT,MATCH($R$1,'Data qoq'!$A$1:$AT$1,),))/100+1)^4)-1</f>
        <v>2.4958970490435606E-2</v>
      </c>
      <c r="S11" s="32">
        <f>(((VLOOKUP(B11,'Data qoq'!$A:$AT,MATCH($S$1,'Data qoq'!$A$1:$AT$1,),))/100+1)^4)-1</f>
        <v>7.7984153341577267E-2</v>
      </c>
      <c r="T11" s="32">
        <f>(((VLOOKUP(B11,'Data qoq'!$A:$AT,MATCH($T$1,'Data qoq'!$A$1:$AT$1,),))/100+1)^4)-1</f>
        <v>4.29890205350838E-2</v>
      </c>
      <c r="U11" s="32">
        <f>(((VLOOKUP(B11,'Data qoq'!$A:$AT,MATCH($U$1,'Data qoq'!$A$1:$AT$1,),))/100+1)^4)-1</f>
        <v>1.5273207707256375E-2</v>
      </c>
      <c r="V11" s="32">
        <f>(((VLOOKUP(B11,'Data qoq'!$A:$AT,MATCH($V$1,'Data qoq'!$A$1:$AT$1,),))/100+1)^4)-1</f>
        <v>3.9185189770801543E-2</v>
      </c>
      <c r="W11" s="32">
        <f>(((VLOOKUP(B11,'Data qoq'!$A:$AT,MATCH($W$1,'Data qoq'!$A$1:$AT$1,),))/100+1)^4)-1</f>
        <v>6.4497834305185409E-2</v>
      </c>
      <c r="X11" s="32">
        <f>(((VLOOKUP(B11,'Data qoq'!$A:$AT,MATCH($X$1,'Data qoq'!$A$1:$AT$1,),))/100+1)^4)-1</f>
        <v>5.4105030321449421E-2</v>
      </c>
      <c r="Y11" s="32">
        <f>(((VLOOKUP(B11,'Data qoq'!$A:$AT,MATCH($Y$1,'Data qoq'!$A$1:$AT$1,),))/100+1)^4)-1</f>
        <v>-1.356967954833066E-2</v>
      </c>
      <c r="Z11" s="32">
        <f>(((VLOOKUP(B11,'Data qoq'!$A:$AU,MATCH($Z$1,'Data qoq'!$A$1:$AU$1,),))/100+1)^4)-1</f>
        <v>-1.3530892383642024E-2</v>
      </c>
      <c r="AA11" s="32">
        <f>(((VLOOKUP(B11,'Data qoq'!$A:$AU,MATCH($AA$1,'Data qoq'!$A$1:$AU$1,),))/100+1)^4)-1</f>
        <v>5.9484720484479503E-2</v>
      </c>
      <c r="AC11" s="26" t="str">
        <f t="shared" ref="AC11:AC42" si="6">B11</f>
        <v>2000-Q1</v>
      </c>
      <c r="AD11" s="31">
        <f t="shared" ref="AD11:AD42" si="7">(VLOOKUP(AC11,B:Y,MATCH($AE$6,$B$1:$Y$1,),))-(VLOOKUP(AC11,B:Y,MATCH($AE$7,$B$1:$Y$1,),))</f>
        <v>2.8948255654064337E-3</v>
      </c>
      <c r="AE11" s="27"/>
    </row>
    <row r="12" spans="1:34" hidden="1" x14ac:dyDescent="0.2">
      <c r="A12" s="30">
        <v>36678</v>
      </c>
      <c r="B12" s="24" t="s">
        <v>278</v>
      </c>
      <c r="C12" s="32">
        <f>(((VLOOKUP(B12,'Data qoq'!$A:$AT,MATCH($C$1,'Data qoq'!$A$1:$AT$1,),))/100+1)^4)-1</f>
        <v>7.4836281127297122E-2</v>
      </c>
      <c r="D12" s="32">
        <f>(((VLOOKUP(B12,'Data qoq'!$A:$AT,MATCH($D$1,'Data qoq'!$A$1:$AT$1,),))/100+1)^4)-1</f>
        <v>0</v>
      </c>
      <c r="E12" s="32">
        <f>(((VLOOKUP(B12,'Data qoq'!$A:$AT,MATCH($E$1,'Data qoq'!$A$1:$AT$1,),))/100+1)^4)-1</f>
        <v>3.69629329971215E-2</v>
      </c>
      <c r="F12" s="32">
        <f>(((VLOOKUP(B12,'Data qoq'!$A:$AT,MATCH($F$1,'Data qoq'!$A$1:$AT$1,),))/100+1)^4)-1</f>
        <v>1.9045037592216207E-2</v>
      </c>
      <c r="G12" s="32">
        <f>(((VLOOKUP(B12,'Data qoq'!$A:$AT,MATCH($G$1,'Data qoq'!$A$1:$AT$1,),))/100+1)^4)-1</f>
        <v>3.276845461943112E-2</v>
      </c>
      <c r="H12" s="32">
        <f>(((VLOOKUP(B12,'Data qoq'!$A:$AT,MATCH($H$1,'Data qoq'!$A$1:$AT$1,),))/100+1)^4)-1</f>
        <v>4.1695383734387637E-2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0.10296300803732383</v>
      </c>
      <c r="M12" s="32">
        <f>(((VLOOKUP(B12,'Data qoq'!$A:$AT,MATCH($M$1,'Data qoq'!$A$1:$AT$1,),))/100+1)^4)-1</f>
        <v>6.1645269400276925E-2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3.8164754379254928E-2</v>
      </c>
      <c r="R12" s="32">
        <f>(((VLOOKUP(B12,'Data qoq'!$A:$AT,MATCH($R$1,'Data qoq'!$A$1:$AT$1,),))/100+1)^4)-1</f>
        <v>1.7803050790124564E-2</v>
      </c>
      <c r="S12" s="32">
        <f>(((VLOOKUP(B12,'Data qoq'!$A:$AT,MATCH($S$1,'Data qoq'!$A$1:$AT$1,),))/100+1)^4)-1</f>
        <v>5.4375254143276486E-2</v>
      </c>
      <c r="T12" s="32">
        <f>(((VLOOKUP(B12,'Data qoq'!$A:$AT,MATCH($T$1,'Data qoq'!$A$1:$AT$1,),))/100+1)^4)-1</f>
        <v>5.6984668916947978E-2</v>
      </c>
      <c r="U12" s="32">
        <f>(((VLOOKUP(B12,'Data qoq'!$A:$AT,MATCH($U$1,'Data qoq'!$A$1:$AT$1,),))/100+1)^4)-1</f>
        <v>3.7392949243544749E-2</v>
      </c>
      <c r="V12" s="32">
        <f>(((VLOOKUP(B12,'Data qoq'!$A:$AT,MATCH($V$1,'Data qoq'!$A$1:$AT$1,),))/100+1)^4)-1</f>
        <v>0.10916623274626924</v>
      </c>
      <c r="W12" s="32">
        <f>(((VLOOKUP(B12,'Data qoq'!$A:$AT,MATCH($W$1,'Data qoq'!$A$1:$AT$1,),))/100+1)^4)-1</f>
        <v>0.16506817968592857</v>
      </c>
      <c r="X12" s="32">
        <f>(((VLOOKUP(B12,'Data qoq'!$A:$AT,MATCH($X$1,'Data qoq'!$A$1:$AT$1,),))/100+1)^4)-1</f>
        <v>3.8721761276254041E-2</v>
      </c>
      <c r="Y12" s="32">
        <f>(((VLOOKUP(B12,'Data qoq'!$A:$AT,MATCH($Y$1,'Data qoq'!$A$1:$AT$1,),))/100+1)^4)-1</f>
        <v>4.905981393749248E-2</v>
      </c>
      <c r="Z12" s="32">
        <f>(((VLOOKUP(B12,'Data qoq'!$A:$AU,MATCH($Z$1,'Data qoq'!$A$1:$AU$1,),))/100+1)^4)-1</f>
        <v>-6.2819169123601415E-2</v>
      </c>
      <c r="AA12" s="32">
        <f>(((VLOOKUP(B12,'Data qoq'!$A:$AU,MATCH($AA$1,'Data qoq'!$A$1:$AU$1,),))/100+1)^4)-1</f>
        <v>1.8995351503197089E-3</v>
      </c>
      <c r="AC12" s="26" t="str">
        <f t="shared" si="6"/>
        <v>2000-Q2</v>
      </c>
      <c r="AD12" s="31">
        <f t="shared" si="7"/>
        <v>1.0507585891897264E-2</v>
      </c>
      <c r="AE12" s="27"/>
    </row>
    <row r="13" spans="1:34" hidden="1" x14ac:dyDescent="0.2">
      <c r="A13" s="30">
        <v>36770</v>
      </c>
      <c r="B13" s="24" t="s">
        <v>279</v>
      </c>
      <c r="C13" s="32">
        <f>(((VLOOKUP(B13,'Data qoq'!$A:$AT,MATCH($C$1,'Data qoq'!$A$1:$AT$1,),))/100+1)^4)-1</f>
        <v>3.9969420199184036E-3</v>
      </c>
      <c r="D13" s="32">
        <f>(((VLOOKUP(B13,'Data qoq'!$A:$AT,MATCH($D$1,'Data qoq'!$A$1:$AT$1,),))/100+1)^4)-1</f>
        <v>0</v>
      </c>
      <c r="E13" s="32">
        <f>(((VLOOKUP(B13,'Data qoq'!$A:$AT,MATCH($E$1,'Data qoq'!$A$1:$AT$1,),))/100+1)^4)-1</f>
        <v>2.2260242833705313E-2</v>
      </c>
      <c r="F13" s="32">
        <f>(((VLOOKUP(B13,'Data qoq'!$A:$AT,MATCH($F$1,'Data qoq'!$A$1:$AT$1,),))/100+1)^4)-1</f>
        <v>1.024186164143126E-3</v>
      </c>
      <c r="G13" s="32">
        <f>(((VLOOKUP(B13,'Data qoq'!$A:$AT,MATCH($G$1,'Data qoq'!$A$1:$AT$1,),))/100+1)^4)-1</f>
        <v>-1.8876389339964605E-3</v>
      </c>
      <c r="H13" s="32">
        <f>(((VLOOKUP(B13,'Data qoq'!$A:$AT,MATCH($H$1,'Data qoq'!$A$1:$AT$1,),))/100+1)^4)-1</f>
        <v>2.7542317378689951E-2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3.2363651262553361E-2</v>
      </c>
      <c r="M13" s="32">
        <f>(((VLOOKUP(B13,'Data qoq'!$A:$AT,MATCH($M$1,'Data qoq'!$A$1:$AT$1,),))/100+1)^4)-1</f>
        <v>4.1449435805222201E-2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9.9664790092273137E-3</v>
      </c>
      <c r="R13" s="32">
        <f>(((VLOOKUP(B13,'Data qoq'!$A:$AT,MATCH($R$1,'Data qoq'!$A$1:$AT$1,),))/100+1)^4)-1</f>
        <v>3.8030322484428059E-2</v>
      </c>
      <c r="S13" s="32">
        <f>(((VLOOKUP(B13,'Data qoq'!$A:$AT,MATCH($S$1,'Data qoq'!$A$1:$AT$1,),))/100+1)^4)-1</f>
        <v>0.11482049098268376</v>
      </c>
      <c r="T13" s="32">
        <f>(((VLOOKUP(B13,'Data qoq'!$A:$AT,MATCH($T$1,'Data qoq'!$A$1:$AT$1,),))/100+1)^4)-1</f>
        <v>4.7574930377664693E-2</v>
      </c>
      <c r="U13" s="32">
        <f>(((VLOOKUP(B13,'Data qoq'!$A:$AT,MATCH($U$1,'Data qoq'!$A$1:$AT$1,),))/100+1)^4)-1</f>
        <v>7.6857171491801601E-2</v>
      </c>
      <c r="V13" s="32">
        <f>(((VLOOKUP(B13,'Data qoq'!$A:$AT,MATCH($V$1,'Data qoq'!$A$1:$AT$1,),))/100+1)^4)-1</f>
        <v>9.0207439918390309E-2</v>
      </c>
      <c r="W13" s="32">
        <f>(((VLOOKUP(B13,'Data qoq'!$A:$AT,MATCH($W$1,'Data qoq'!$A$1:$AT$1,),))/100+1)^4)-1</f>
        <v>6.0916757713971981E-2</v>
      </c>
      <c r="X13" s="32">
        <f>(((VLOOKUP(B13,'Data qoq'!$A:$AT,MATCH($X$1,'Data qoq'!$A$1:$AT$1,),))/100+1)^4)-1</f>
        <v>5.2965533454685909E-2</v>
      </c>
      <c r="Y13" s="32">
        <f>(((VLOOKUP(B13,'Data qoq'!$A:$AT,MATCH($Y$1,'Data qoq'!$A$1:$AT$1,),))/100+1)^4)-1</f>
        <v>1.5580955528500251E-2</v>
      </c>
      <c r="Z13" s="32">
        <f>(((VLOOKUP(B13,'Data qoq'!$A:$AU,MATCH($Z$1,'Data qoq'!$A$1:$AU$1,),))/100+1)^4)-1</f>
        <v>-1.016839805197356E-2</v>
      </c>
      <c r="AA13" s="32">
        <f>(((VLOOKUP(B13,'Data qoq'!$A:$AU,MATCH($AA$1,'Data qoq'!$A$1:$AU$1,),))/100+1)^4)-1</f>
        <v>1.5798027065170528E-2</v>
      </c>
      <c r="AC13" s="26" t="str">
        <f t="shared" si="6"/>
        <v>2000-Q3</v>
      </c>
      <c r="AD13" s="31">
        <f t="shared" si="7"/>
        <v>1.7021501735903222E-3</v>
      </c>
      <c r="AE13" s="27"/>
    </row>
    <row r="14" spans="1:34" hidden="1" x14ac:dyDescent="0.2">
      <c r="A14" s="30">
        <v>36861</v>
      </c>
      <c r="B14" s="24" t="s">
        <v>280</v>
      </c>
      <c r="C14" s="32">
        <f>(((VLOOKUP(B14,'Data qoq'!$A:$AT,MATCH($C$1,'Data qoq'!$A$1:$AT$1,),))/100+1)^4)-1</f>
        <v>2.3987270856403509E-2</v>
      </c>
      <c r="D14" s="32">
        <f>(((VLOOKUP(B14,'Data qoq'!$A:$AT,MATCH($D$1,'Data qoq'!$A$1:$AT$1,),))/100+1)^4)-1</f>
        <v>0</v>
      </c>
      <c r="E14" s="32">
        <f>(((VLOOKUP(B14,'Data qoq'!$A:$AT,MATCH($E$1,'Data qoq'!$A$1:$AT$1,),))/100+1)^4)-1</f>
        <v>2.7581574063108238E-2</v>
      </c>
      <c r="F14" s="32">
        <f>(((VLOOKUP(B14,'Data qoq'!$A:$AT,MATCH($F$1,'Data qoq'!$A$1:$AT$1,),))/100+1)^4)-1</f>
        <v>3.9449780645665289E-2</v>
      </c>
      <c r="G14" s="32">
        <f>(((VLOOKUP(B14,'Data qoq'!$A:$AT,MATCH($G$1,'Data qoq'!$A$1:$AT$1,),))/100+1)^4)-1</f>
        <v>-1.1759992315889645E-2</v>
      </c>
      <c r="H14" s="32">
        <f>(((VLOOKUP(B14,'Data qoq'!$A:$AT,MATCH($H$1,'Data qoq'!$A$1:$AT$1,),))/100+1)^4)-1</f>
        <v>3.3413519637278233E-2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-1.1322588557361901E-2</v>
      </c>
      <c r="M14" s="32">
        <f>(((VLOOKUP(B14,'Data qoq'!$A:$AT,MATCH($M$1,'Data qoq'!$A$1:$AT$1,),))/100+1)^4)-1</f>
        <v>-3.4055921107835951E-2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-1.4432049608295028E-2</v>
      </c>
      <c r="R14" s="32">
        <f>(((VLOOKUP(B14,'Data qoq'!$A:$AT,MATCH($R$1,'Data qoq'!$A$1:$AT$1,),))/100+1)^4)-1</f>
        <v>5.4536583665759641E-2</v>
      </c>
      <c r="S14" s="32">
        <f>(((VLOOKUP(B14,'Data qoq'!$A:$AT,MATCH($S$1,'Data qoq'!$A$1:$AT$1,),))/100+1)^4)-1</f>
        <v>-1.2915291610444135E-2</v>
      </c>
      <c r="T14" s="32">
        <f>(((VLOOKUP(B14,'Data qoq'!$A:$AT,MATCH($T$1,'Data qoq'!$A$1:$AT$1,),))/100+1)^4)-1</f>
        <v>4.9732023245182777E-2</v>
      </c>
      <c r="U14" s="32">
        <f>(((VLOOKUP(B14,'Data qoq'!$A:$AT,MATCH($U$1,'Data qoq'!$A$1:$AT$1,),))/100+1)^4)-1</f>
        <v>5.797650154194689E-2</v>
      </c>
      <c r="V14" s="32">
        <f>(((VLOOKUP(B14,'Data qoq'!$A:$AT,MATCH($V$1,'Data qoq'!$A$1:$AT$1,),))/100+1)^4)-1</f>
        <v>4.2370253218179332E-2</v>
      </c>
      <c r="W14" s="32">
        <f>(((VLOOKUP(B14,'Data qoq'!$A:$AT,MATCH($W$1,'Data qoq'!$A$1:$AT$1,),))/100+1)^4)-1</f>
        <v>5.8715588481732306E-2</v>
      </c>
      <c r="X14" s="32">
        <f>(((VLOOKUP(B14,'Data qoq'!$A:$AT,MATCH($X$1,'Data qoq'!$A$1:$AT$1,),))/100+1)^4)-1</f>
        <v>1.9162068830212986E-2</v>
      </c>
      <c r="Y14" s="32">
        <f>(((VLOOKUP(B14,'Data qoq'!$A:$AT,MATCH($Y$1,'Data qoq'!$A$1:$AT$1,),))/100+1)^4)-1</f>
        <v>0.12254280374813065</v>
      </c>
      <c r="Z14" s="32">
        <f>(((VLOOKUP(B14,'Data qoq'!$A:$AU,MATCH($Z$1,'Data qoq'!$A$1:$AU$1,),))/100+1)^4)-1</f>
        <v>1.2330938215072695E-2</v>
      </c>
      <c r="AA14" s="32">
        <f>(((VLOOKUP(B14,'Data qoq'!$A:$AU,MATCH($AA$1,'Data qoq'!$A$1:$AU$1,),))/100+1)^4)-1</f>
        <v>7.897712139433688E-3</v>
      </c>
      <c r="AC14" s="26" t="str">
        <f t="shared" si="6"/>
        <v>2000-Q4</v>
      </c>
      <c r="AD14" s="31">
        <f t="shared" si="7"/>
        <v>1.0309193261452076E-2</v>
      </c>
      <c r="AE14" s="27"/>
    </row>
    <row r="15" spans="1:34" hidden="1" x14ac:dyDescent="0.2">
      <c r="A15" s="30">
        <v>36951</v>
      </c>
      <c r="B15" s="24" t="s">
        <v>281</v>
      </c>
      <c r="C15" s="32">
        <f>(((VLOOKUP(B15,'Data qoq'!$A:$AT,MATCH($C$1,'Data qoq'!$A$1:$AT$1,),))/100+1)^4)-1</f>
        <v>-1.2905904781713828E-2</v>
      </c>
      <c r="D15" s="32">
        <f>(((VLOOKUP(B15,'Data qoq'!$A:$AT,MATCH($D$1,'Data qoq'!$A$1:$AT$1,),))/100+1)^4)-1</f>
        <v>0</v>
      </c>
      <c r="E15" s="32">
        <f>(((VLOOKUP(B15,'Data qoq'!$A:$AT,MATCH($E$1,'Data qoq'!$A$1:$AT$1,),))/100+1)^4)-1</f>
        <v>4.0893925773753947E-2</v>
      </c>
      <c r="F15" s="32">
        <f>(((VLOOKUP(B15,'Data qoq'!$A:$AT,MATCH($F$1,'Data qoq'!$A$1:$AT$1,),))/100+1)^4)-1</f>
        <v>3.0007011065393385E-2</v>
      </c>
      <c r="G15" s="32">
        <f>(((VLOOKUP(B15,'Data qoq'!$A:$AT,MATCH($G$1,'Data qoq'!$A$1:$AT$1,),))/100+1)^4)-1</f>
        <v>8.3400602737317975E-2</v>
      </c>
      <c r="H15" s="32">
        <f>(((VLOOKUP(B15,'Data qoq'!$A:$AT,MATCH($H$1,'Data qoq'!$A$1:$AT$1,),))/100+1)^4)-1</f>
        <v>2.0606224398266315E-2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1.4134593354317104E-2</v>
      </c>
      <c r="M15" s="32">
        <f>(((VLOOKUP(B15,'Data qoq'!$A:$AT,MATCH($M$1,'Data qoq'!$A$1:$AT$1,),))/100+1)^4)-1</f>
        <v>1.0779257276785081E-3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4.2300408301521708E-2</v>
      </c>
      <c r="R15" s="32">
        <f>(((VLOOKUP(B15,'Data qoq'!$A:$AT,MATCH($R$1,'Data qoq'!$A$1:$AT$1,),))/100+1)^4)-1</f>
        <v>-7.1328358192369601E-3</v>
      </c>
      <c r="S15" s="32">
        <f>(((VLOOKUP(B15,'Data qoq'!$A:$AT,MATCH($S$1,'Data qoq'!$A$1:$AT$1,),))/100+1)^4)-1</f>
        <v>4.9930768399333081E-2</v>
      </c>
      <c r="T15" s="32">
        <f>(((VLOOKUP(B15,'Data qoq'!$A:$AT,MATCH($T$1,'Data qoq'!$A$1:$AT$1,),))/100+1)^4)-1</f>
        <v>1.6742109560086371E-2</v>
      </c>
      <c r="U15" s="32">
        <f>(((VLOOKUP(B15,'Data qoq'!$A:$AT,MATCH($U$1,'Data qoq'!$A$1:$AT$1,),))/100+1)^4)-1</f>
        <v>5.0442140289366666E-2</v>
      </c>
      <c r="V15" s="32">
        <f>(((VLOOKUP(B15,'Data qoq'!$A:$AT,MATCH($V$1,'Data qoq'!$A$1:$AT$1,),))/100+1)^4)-1</f>
        <v>6.4597048005049507E-2</v>
      </c>
      <c r="W15" s="32">
        <f>(((VLOOKUP(B15,'Data qoq'!$A:$AT,MATCH($W$1,'Data qoq'!$A$1:$AT$1,),))/100+1)^4)-1</f>
        <v>-0.18977659885661469</v>
      </c>
      <c r="X15" s="32">
        <f>(((VLOOKUP(B15,'Data qoq'!$A:$AT,MATCH($X$1,'Data qoq'!$A$1:$AT$1,),))/100+1)^4)-1</f>
        <v>4.8297224481070877E-2</v>
      </c>
      <c r="Y15" s="32">
        <f>(((VLOOKUP(B15,'Data qoq'!$A:$AT,MATCH($Y$1,'Data qoq'!$A$1:$AT$1,),))/100+1)^4)-1</f>
        <v>-5.2851352936301943E-2</v>
      </c>
      <c r="Z15" s="32">
        <f>(((VLOOKUP(B15,'Data qoq'!$A:$AU,MATCH($Z$1,'Data qoq'!$A$1:$AU$1,),))/100+1)^4)-1</f>
        <v>6.5619319362044681E-3</v>
      </c>
      <c r="AA15" s="32">
        <f>(((VLOOKUP(B15,'Data qoq'!$A:$AU,MATCH($AA$1,'Data qoq'!$A$1:$AU$1,),))/100+1)^4)-1</f>
        <v>1.4009556631816134E-2</v>
      </c>
      <c r="AC15" s="26" t="str">
        <f t="shared" si="6"/>
        <v>2001-Q1</v>
      </c>
      <c r="AD15" s="31">
        <f t="shared" si="7"/>
        <v>6.1967094927799504E-3</v>
      </c>
      <c r="AE15" s="27"/>
    </row>
    <row r="16" spans="1:34" hidden="1" x14ac:dyDescent="0.2">
      <c r="A16" s="30">
        <v>37043</v>
      </c>
      <c r="B16" s="24" t="s">
        <v>282</v>
      </c>
      <c r="C16" s="32">
        <f>(((VLOOKUP(B16,'Data qoq'!$A:$AT,MATCH($C$1,'Data qoq'!$A$1:$AT$1,),))/100+1)^4)-1</f>
        <v>2.5088204559372329E-2</v>
      </c>
      <c r="D16" s="32">
        <f>(((VLOOKUP(B16,'Data qoq'!$A:$AT,MATCH($D$1,'Data qoq'!$A$1:$AT$1,),))/100+1)^4)-1</f>
        <v>0</v>
      </c>
      <c r="E16" s="32">
        <f>(((VLOOKUP(B16,'Data qoq'!$A:$AT,MATCH($E$1,'Data qoq'!$A$1:$AT$1,),))/100+1)^4)-1</f>
        <v>3.0167267469332071E-3</v>
      </c>
      <c r="F16" s="32">
        <f>(((VLOOKUP(B16,'Data qoq'!$A:$AT,MATCH($F$1,'Data qoq'!$A$1:$AT$1,),))/100+1)^4)-1</f>
        <v>-2.9679809336805141E-2</v>
      </c>
      <c r="G16" s="32">
        <f>(((VLOOKUP(B16,'Data qoq'!$A:$AT,MATCH($G$1,'Data qoq'!$A$1:$AT$1,),))/100+1)^4)-1</f>
        <v>-1.8565297649121293E-3</v>
      </c>
      <c r="H16" s="32">
        <f>(((VLOOKUP(B16,'Data qoq'!$A:$AT,MATCH($H$1,'Data qoq'!$A$1:$AT$1,),))/100+1)^4)-1</f>
        <v>4.6141374679780078E-3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8.5882881661381028E-4</v>
      </c>
      <c r="M16" s="32">
        <f>(((VLOOKUP(B16,'Data qoq'!$A:$AT,MATCH($M$1,'Data qoq'!$A$1:$AT$1,),))/100+1)^4)-1</f>
        <v>-2.1346445055999808E-2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3.3076016392058927E-2</v>
      </c>
      <c r="R16" s="32">
        <f>(((VLOOKUP(B16,'Data qoq'!$A:$AT,MATCH($R$1,'Data qoq'!$A$1:$AT$1,),))/100+1)^4)-1</f>
        <v>1.7888062763631973E-2</v>
      </c>
      <c r="S16" s="32">
        <f>(((VLOOKUP(B16,'Data qoq'!$A:$AT,MATCH($S$1,'Data qoq'!$A$1:$AT$1,),))/100+1)^4)-1</f>
        <v>5.2976289981347291E-2</v>
      </c>
      <c r="T16" s="32">
        <f>(((VLOOKUP(B16,'Data qoq'!$A:$AT,MATCH($T$1,'Data qoq'!$A$1:$AT$1,),))/100+1)^4)-1</f>
        <v>-2.047432558008544E-2</v>
      </c>
      <c r="U16" s="32">
        <f>(((VLOOKUP(B16,'Data qoq'!$A:$AT,MATCH($U$1,'Data qoq'!$A$1:$AT$1,),))/100+1)^4)-1</f>
        <v>-1.0501345164872222E-2</v>
      </c>
      <c r="V16" s="32">
        <f>(((VLOOKUP(B16,'Data qoq'!$A:$AT,MATCH($V$1,'Data qoq'!$A$1:$AT$1,),))/100+1)^4)-1</f>
        <v>4.7176343701954782E-2</v>
      </c>
      <c r="W16" s="32">
        <f>(((VLOOKUP(B16,'Data qoq'!$A:$AT,MATCH($W$1,'Data qoq'!$A$1:$AT$1,),))/100+1)^4)-1</f>
        <v>-0.18013187197430425</v>
      </c>
      <c r="X16" s="32">
        <f>(((VLOOKUP(B16,'Data qoq'!$A:$AT,MATCH($X$1,'Data qoq'!$A$1:$AT$1,),))/100+1)^4)-1</f>
        <v>9.2987214286424091E-3</v>
      </c>
      <c r="Y16" s="32">
        <f>(((VLOOKUP(B16,'Data qoq'!$A:$AT,MATCH($Y$1,'Data qoq'!$A$1:$AT$1,),))/100+1)^4)-1</f>
        <v>-1.8000975860915092E-2</v>
      </c>
      <c r="Z16" s="32">
        <f>(((VLOOKUP(B16,'Data qoq'!$A:$AU,MATCH($Z$1,'Data qoq'!$A$1:$AU$1,),))/100+1)^4)-1</f>
        <v>-3.2781833337411137E-2</v>
      </c>
      <c r="AA16" s="32">
        <f>(((VLOOKUP(B16,'Data qoq'!$A:$AU,MATCH($AA$1,'Data qoq'!$A$1:$AU$1,),))/100+1)^4)-1</f>
        <v>5.8136242236071389E-2</v>
      </c>
      <c r="AC16" s="26" t="str">
        <f t="shared" si="6"/>
        <v>2001-Q2</v>
      </c>
      <c r="AD16" s="31">
        <f t="shared" si="7"/>
        <v>-1.1704092987436798E-2</v>
      </c>
      <c r="AE16" s="27"/>
    </row>
    <row r="17" spans="1:31" hidden="1" x14ac:dyDescent="0.2">
      <c r="A17" s="30">
        <v>37135</v>
      </c>
      <c r="B17" s="24" t="s">
        <v>283</v>
      </c>
      <c r="C17" s="32">
        <f>(((VLOOKUP(B17,'Data qoq'!$A:$AT,MATCH($C$1,'Data qoq'!$A$1:$AT$1,),))/100+1)^4)-1</f>
        <v>-1.5918049453033656E-2</v>
      </c>
      <c r="D17" s="32">
        <f>(((VLOOKUP(B17,'Data qoq'!$A:$AT,MATCH($D$1,'Data qoq'!$A$1:$AT$1,),))/100+1)^4)-1</f>
        <v>0</v>
      </c>
      <c r="E17" s="32">
        <f>(((VLOOKUP(B17,'Data qoq'!$A:$AT,MATCH($E$1,'Data qoq'!$A$1:$AT$1,),))/100+1)^4)-1</f>
        <v>3.5433786161820358E-3</v>
      </c>
      <c r="F17" s="32">
        <f>(((VLOOKUP(B17,'Data qoq'!$A:$AT,MATCH($F$1,'Data qoq'!$A$1:$AT$1,),))/100+1)^4)-1</f>
        <v>-4.2862152813237908E-2</v>
      </c>
      <c r="G17" s="32">
        <f>(((VLOOKUP(B17,'Data qoq'!$A:$AT,MATCH($G$1,'Data qoq'!$A$1:$AT$1,),))/100+1)^4)-1</f>
        <v>-8.3381682032040993E-3</v>
      </c>
      <c r="H17" s="32">
        <f>(((VLOOKUP(B17,'Data qoq'!$A:$AT,MATCH($H$1,'Data qoq'!$A$1:$AT$1,),))/100+1)^4)-1</f>
        <v>1.038724261101942E-2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1.5376719065459898E-2</v>
      </c>
      <c r="M17" s="32">
        <f>(((VLOOKUP(B17,'Data qoq'!$A:$AT,MATCH($M$1,'Data qoq'!$A$1:$AT$1,),))/100+1)^4)-1</f>
        <v>8.8127172162077994E-3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4.8583820860307991E-2</v>
      </c>
      <c r="R17" s="32">
        <f>(((VLOOKUP(B17,'Data qoq'!$A:$AT,MATCH($R$1,'Data qoq'!$A$1:$AT$1,),))/100+1)^4)-1</f>
        <v>-1.5500443154460308E-3</v>
      </c>
      <c r="S17" s="32">
        <f>(((VLOOKUP(B17,'Data qoq'!$A:$AT,MATCH($S$1,'Data qoq'!$A$1:$AT$1,),))/100+1)^4)-1</f>
        <v>5.5111437622660242E-2</v>
      </c>
      <c r="T17" s="32">
        <f>(((VLOOKUP(B17,'Data qoq'!$A:$AT,MATCH($T$1,'Data qoq'!$A$1:$AT$1,),))/100+1)^4)-1</f>
        <v>-2.1194739190886547E-2</v>
      </c>
      <c r="U17" s="32">
        <f>(((VLOOKUP(B17,'Data qoq'!$A:$AT,MATCH($U$1,'Data qoq'!$A$1:$AT$1,),))/100+1)^4)-1</f>
        <v>6.6459561701394776E-2</v>
      </c>
      <c r="V17" s="32">
        <f>(((VLOOKUP(B17,'Data qoq'!$A:$AT,MATCH($V$1,'Data qoq'!$A$1:$AT$1,),))/100+1)^4)-1</f>
        <v>-1.985372446675826E-2</v>
      </c>
      <c r="W17" s="32">
        <f>(((VLOOKUP(B17,'Data qoq'!$A:$AT,MATCH($W$1,'Data qoq'!$A$1:$AT$1,),))/100+1)^4)-1</f>
        <v>5.1019482036346986E-2</v>
      </c>
      <c r="X17" s="32">
        <f>(((VLOOKUP(B17,'Data qoq'!$A:$AT,MATCH($X$1,'Data qoq'!$A$1:$AT$1,),))/100+1)^4)-1</f>
        <v>1.7389076049889374E-2</v>
      </c>
      <c r="Y17" s="32">
        <f>(((VLOOKUP(B17,'Data qoq'!$A:$AT,MATCH($Y$1,'Data qoq'!$A$1:$AT$1,),))/100+1)^4)-1</f>
        <v>3.1686772749585312E-2</v>
      </c>
      <c r="Z17" s="32">
        <f>(((VLOOKUP(B17,'Data qoq'!$A:$AU,MATCH($Z$1,'Data qoq'!$A$1:$AU$1,),))/100+1)^4)-1</f>
        <v>-0.1732810920882778</v>
      </c>
      <c r="AA17" s="32">
        <f>(((VLOOKUP(B17,'Data qoq'!$A:$AU,MATCH($AA$1,'Data qoq'!$A$1:$AU$1,),))/100+1)^4)-1</f>
        <v>3.0825459802226618E-2</v>
      </c>
      <c r="AC17" s="26" t="str">
        <f t="shared" si="6"/>
        <v>2001-Q3</v>
      </c>
      <c r="AD17" s="31">
        <f t="shared" si="7"/>
        <v>-1.4988737316049106E-2</v>
      </c>
      <c r="AE17" s="27"/>
    </row>
    <row r="18" spans="1:31" hidden="1" x14ac:dyDescent="0.2">
      <c r="A18" s="30">
        <v>37226</v>
      </c>
      <c r="B18" s="24" t="s">
        <v>284</v>
      </c>
      <c r="C18" s="32">
        <f>(((VLOOKUP(B18,'Data qoq'!$A:$AT,MATCH($C$1,'Data qoq'!$A$1:$AT$1,),))/100+1)^4)-1</f>
        <v>1.1138801636537909E-2</v>
      </c>
      <c r="D18" s="32">
        <f>(((VLOOKUP(B18,'Data qoq'!$A:$AT,MATCH($D$1,'Data qoq'!$A$1:$AT$1,),))/100+1)^4)-1</f>
        <v>0</v>
      </c>
      <c r="E18" s="32">
        <f>(((VLOOKUP(B18,'Data qoq'!$A:$AT,MATCH($E$1,'Data qoq'!$A$1:$AT$1,),))/100+1)^4)-1</f>
        <v>4.541353535015169E-3</v>
      </c>
      <c r="F18" s="32">
        <f>(((VLOOKUP(B18,'Data qoq'!$A:$AT,MATCH($F$1,'Data qoq'!$A$1:$AT$1,),))/100+1)^4)-1</f>
        <v>-1.3562610656054019E-2</v>
      </c>
      <c r="G18" s="32">
        <f>(((VLOOKUP(B18,'Data qoq'!$A:$AT,MATCH($G$1,'Data qoq'!$A$1:$AT$1,),))/100+1)^4)-1</f>
        <v>-3.2557356235374257E-3</v>
      </c>
      <c r="H18" s="32">
        <f>(((VLOOKUP(B18,'Data qoq'!$A:$AT,MATCH($H$1,'Data qoq'!$A$1:$AT$1,),))/100+1)^4)-1</f>
        <v>-2.5431093189687282E-3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3.4089598022296608E-2</v>
      </c>
      <c r="M18" s="32">
        <f>(((VLOOKUP(B18,'Data qoq'!$A:$AT,MATCH($M$1,'Data qoq'!$A$1:$AT$1,),))/100+1)^4)-1</f>
        <v>-2.5163814708873522E-2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4.9275784984530224E-2</v>
      </c>
      <c r="R18" s="32">
        <f>(((VLOOKUP(B18,'Data qoq'!$A:$AT,MATCH($R$1,'Data qoq'!$A$1:$AT$1,),))/100+1)^4)-1</f>
        <v>-1.2498473248265141E-2</v>
      </c>
      <c r="S18" s="32">
        <f>(((VLOOKUP(B18,'Data qoq'!$A:$AT,MATCH($S$1,'Data qoq'!$A$1:$AT$1,),))/100+1)^4)-1</f>
        <v>7.2389445171193945E-2</v>
      </c>
      <c r="T18" s="32">
        <f>(((VLOOKUP(B18,'Data qoq'!$A:$AT,MATCH($T$1,'Data qoq'!$A$1:$AT$1,),))/100+1)^4)-1</f>
        <v>-1.0458192041289061E-2</v>
      </c>
      <c r="U18" s="32">
        <f>(((VLOOKUP(B18,'Data qoq'!$A:$AT,MATCH($U$1,'Data qoq'!$A$1:$AT$1,),))/100+1)^4)-1</f>
        <v>1.0638122816360118E-2</v>
      </c>
      <c r="V18" s="32">
        <f>(((VLOOKUP(B18,'Data qoq'!$A:$AT,MATCH($V$1,'Data qoq'!$A$1:$AT$1,),))/100+1)^4)-1</f>
        <v>7.7987588505296079E-2</v>
      </c>
      <c r="W18" s="32">
        <f>(((VLOOKUP(B18,'Data qoq'!$A:$AT,MATCH($W$1,'Data qoq'!$A$1:$AT$1,),))/100+1)^4)-1</f>
        <v>-6.563555150490108E-2</v>
      </c>
      <c r="X18" s="32">
        <f>(((VLOOKUP(B18,'Data qoq'!$A:$AT,MATCH($X$1,'Data qoq'!$A$1:$AT$1,),))/100+1)^4)-1</f>
        <v>2.9963576612421328E-2</v>
      </c>
      <c r="Y18" s="32">
        <f>(((VLOOKUP(B18,'Data qoq'!$A:$AT,MATCH($Y$1,'Data qoq'!$A$1:$AT$1,),))/100+1)^4)-1</f>
        <v>1.1880361221591196E-2</v>
      </c>
      <c r="Z18" s="32">
        <f>(((VLOOKUP(B18,'Data qoq'!$A:$AU,MATCH($Z$1,'Data qoq'!$A$1:$AU$1,),))/100+1)^4)-1</f>
        <v>-0.20906422740335551</v>
      </c>
      <c r="AA18" s="32">
        <f>(((VLOOKUP(B18,'Data qoq'!$A:$AU,MATCH($AA$1,'Data qoq'!$A$1:$AU$1,),))/100+1)^4)-1</f>
        <v>6.0700724403042416E-2</v>
      </c>
      <c r="AC18" s="26" t="str">
        <f t="shared" si="6"/>
        <v>2001-Q4</v>
      </c>
      <c r="AD18" s="31">
        <f t="shared" si="7"/>
        <v>-1.9715672625806313E-3</v>
      </c>
      <c r="AE18" s="27"/>
    </row>
    <row r="19" spans="1:31" hidden="1" x14ac:dyDescent="0.2">
      <c r="A19" s="30">
        <v>37316</v>
      </c>
      <c r="B19" s="24" t="s">
        <v>285</v>
      </c>
      <c r="C19" s="32">
        <f>(((VLOOKUP(B19,'Data qoq'!$A:$AT,MATCH($C$1,'Data qoq'!$A$1:$AT$1,),))/100+1)^4)-1</f>
        <v>3.3542942062238179E-2</v>
      </c>
      <c r="D19" s="32">
        <f>(((VLOOKUP(B19,'Data qoq'!$A:$AT,MATCH($D$1,'Data qoq'!$A$1:$AT$1,),))/100+1)^4)-1</f>
        <v>0</v>
      </c>
      <c r="E19" s="32">
        <f>(((VLOOKUP(B19,'Data qoq'!$A:$AT,MATCH($E$1,'Data qoq'!$A$1:$AT$1,),))/100+1)^4)-1</f>
        <v>5.1191177704583701E-3</v>
      </c>
      <c r="F19" s="32">
        <f>(((VLOOKUP(B19,'Data qoq'!$A:$AT,MATCH($F$1,'Data qoq'!$A$1:$AT$1,),))/100+1)^4)-1</f>
        <v>6.7404993107926803E-3</v>
      </c>
      <c r="G19" s="32">
        <f>(((VLOOKUP(B19,'Data qoq'!$A:$AT,MATCH($G$1,'Data qoq'!$A$1:$AT$1,),))/100+1)^4)-1</f>
        <v>-2.0348460776353217E-2</v>
      </c>
      <c r="H19" s="32">
        <f>(((VLOOKUP(B19,'Data qoq'!$A:$AT,MATCH($H$1,'Data qoq'!$A$1:$AT$1,),))/100+1)^4)-1</f>
        <v>2.3118765530106167E-2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-4.6578619040099634E-3</v>
      </c>
      <c r="M19" s="32">
        <f>(((VLOOKUP(B19,'Data qoq'!$A:$AT,MATCH($M$1,'Data qoq'!$A$1:$AT$1,),))/100+1)^4)-1</f>
        <v>-2.6968355810283784E-2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3.0830744995850923E-2</v>
      </c>
      <c r="R19" s="32">
        <f>(((VLOOKUP(B19,'Data qoq'!$A:$AT,MATCH($R$1,'Data qoq'!$A$1:$AT$1,),))/100+1)^4)-1</f>
        <v>7.2108566472417479E-4</v>
      </c>
      <c r="S19" s="32">
        <f>(((VLOOKUP(B19,'Data qoq'!$A:$AT,MATCH($S$1,'Data qoq'!$A$1:$AT$1,),))/100+1)^4)-1</f>
        <v>0.10573021062983901</v>
      </c>
      <c r="T19" s="32">
        <f>(((VLOOKUP(B19,'Data qoq'!$A:$AT,MATCH($T$1,'Data qoq'!$A$1:$AT$1,),))/100+1)^4)-1</f>
        <v>0.10003183444436115</v>
      </c>
      <c r="U19" s="32">
        <f>(((VLOOKUP(B19,'Data qoq'!$A:$AT,MATCH($U$1,'Data qoq'!$A$1:$AT$1,),))/100+1)^4)-1</f>
        <v>3.3084633047414158E-2</v>
      </c>
      <c r="V19" s="32">
        <f>(((VLOOKUP(B19,'Data qoq'!$A:$AT,MATCH($V$1,'Data qoq'!$A$1:$AT$1,),))/100+1)^4)-1</f>
        <v>8.0608454528346085E-2</v>
      </c>
      <c r="W19" s="32">
        <f>(((VLOOKUP(B19,'Data qoq'!$A:$AT,MATCH($W$1,'Data qoq'!$A$1:$AT$1,),))/100+1)^4)-1</f>
        <v>0.15988304287326405</v>
      </c>
      <c r="X19" s="32">
        <f>(((VLOOKUP(B19,'Data qoq'!$A:$AT,MATCH($X$1,'Data qoq'!$A$1:$AT$1,),))/100+1)^4)-1</f>
        <v>-7.8310722028246404E-3</v>
      </c>
      <c r="Y19" s="32">
        <f>(((VLOOKUP(B19,'Data qoq'!$A:$AT,MATCH($Y$1,'Data qoq'!$A$1:$AT$1,),))/100+1)^4)-1</f>
        <v>8.4867933637111648E-3</v>
      </c>
      <c r="Z19" s="32">
        <f>(((VLOOKUP(B19,'Data qoq'!$A:$AU,MATCH($Z$1,'Data qoq'!$A$1:$AU$1,),))/100+1)^4)-1</f>
        <v>-0.18312545274801861</v>
      </c>
      <c r="AA19" s="32">
        <f>(((VLOOKUP(B19,'Data qoq'!$A:$AU,MATCH($AA$1,'Data qoq'!$A$1:$AU$1,),))/100+1)^4)-1</f>
        <v>3.612159628201983E-2</v>
      </c>
      <c r="AC19" s="26" t="str">
        <f t="shared" si="6"/>
        <v>2002-Q1</v>
      </c>
      <c r="AD19" s="31">
        <f t="shared" si="7"/>
        <v>-8.8463106027509841E-3</v>
      </c>
      <c r="AE19" s="27"/>
    </row>
    <row r="20" spans="1:31" hidden="1" x14ac:dyDescent="0.2">
      <c r="A20" s="30">
        <v>37408</v>
      </c>
      <c r="B20" s="24" t="s">
        <v>286</v>
      </c>
      <c r="C20" s="32">
        <f>(((VLOOKUP(B20,'Data qoq'!$A:$AT,MATCH($C$1,'Data qoq'!$A$1:$AT$1,),))/100+1)^4)-1</f>
        <v>2.4848338355087707E-2</v>
      </c>
      <c r="D20" s="32">
        <f>(((VLOOKUP(B20,'Data qoq'!$A:$AT,MATCH($D$1,'Data qoq'!$A$1:$AT$1,),))/100+1)^4)-1</f>
        <v>0</v>
      </c>
      <c r="E20" s="32">
        <f>(((VLOOKUP(B20,'Data qoq'!$A:$AT,MATCH($E$1,'Data qoq'!$A$1:$AT$1,),))/100+1)^4)-1</f>
        <v>2.1136455106317342E-2</v>
      </c>
      <c r="F20" s="32">
        <f>(((VLOOKUP(B20,'Data qoq'!$A:$AT,MATCH($F$1,'Data qoq'!$A$1:$AT$1,),))/100+1)^4)-1</f>
        <v>3.2809090567449184E-2</v>
      </c>
      <c r="G20" s="32">
        <f>(((VLOOKUP(B20,'Data qoq'!$A:$AT,MATCH($G$1,'Data qoq'!$A$1:$AT$1,),))/100+1)^4)-1</f>
        <v>1.7445115745492012E-2</v>
      </c>
      <c r="H20" s="32">
        <f>(((VLOOKUP(B20,'Data qoq'!$A:$AT,MATCH($H$1,'Data qoq'!$A$1:$AT$1,),))/100+1)^4)-1</f>
        <v>1.6711941630939142E-2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6.3140293202031961E-2</v>
      </c>
      <c r="M20" s="32">
        <f>(((VLOOKUP(B20,'Data qoq'!$A:$AT,MATCH($M$1,'Data qoq'!$A$1:$AT$1,),))/100+1)^4)-1</f>
        <v>3.7488148155791379E-2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7.0365540136141824E-2</v>
      </c>
      <c r="R20" s="32">
        <f>(((VLOOKUP(B20,'Data qoq'!$A:$AT,MATCH($R$1,'Data qoq'!$A$1:$AT$1,),))/100+1)^4)-1</f>
        <v>9.9837848806716423E-3</v>
      </c>
      <c r="S20" s="32">
        <f>(((VLOOKUP(B20,'Data qoq'!$A:$AT,MATCH($S$1,'Data qoq'!$A$1:$AT$1,),))/100+1)^4)-1</f>
        <v>7.447962834837929E-2</v>
      </c>
      <c r="T20" s="32">
        <f>(((VLOOKUP(B20,'Data qoq'!$A:$AT,MATCH($T$1,'Data qoq'!$A$1:$AT$1,),))/100+1)^4)-1</f>
        <v>1.4017707825518588E-2</v>
      </c>
      <c r="U20" s="32">
        <f>(((VLOOKUP(B20,'Data qoq'!$A:$AT,MATCH($U$1,'Data qoq'!$A$1:$AT$1,),))/100+1)^4)-1</f>
        <v>9.2583388669027489E-2</v>
      </c>
      <c r="V20" s="32">
        <f>(((VLOOKUP(B20,'Data qoq'!$A:$AT,MATCH($V$1,'Data qoq'!$A$1:$AT$1,),))/100+1)^4)-1</f>
        <v>1.8631162237199295E-2</v>
      </c>
      <c r="W20" s="32">
        <f>(((VLOOKUP(B20,'Data qoq'!$A:$AT,MATCH($W$1,'Data qoq'!$A$1:$AT$1,),))/100+1)^4)-1</f>
        <v>0.18416063870924626</v>
      </c>
      <c r="X20" s="32">
        <f>(((VLOOKUP(B20,'Data qoq'!$A:$AT,MATCH($X$1,'Data qoq'!$A$1:$AT$1,),))/100+1)^4)-1</f>
        <v>2.0210250111782457E-2</v>
      </c>
      <c r="Y20" s="32">
        <f>(((VLOOKUP(B20,'Data qoq'!$A:$AT,MATCH($Y$1,'Data qoq'!$A$1:$AT$1,),))/100+1)^4)-1</f>
        <v>3.6671507881824716E-2</v>
      </c>
      <c r="Z20" s="32">
        <f>(((VLOOKUP(B20,'Data qoq'!$A:$AU,MATCH($Z$1,'Data qoq'!$A$1:$AU$1,),))/100+1)^4)-1</f>
        <v>1.7067609665583738E-2</v>
      </c>
      <c r="AA20" s="32">
        <f>(((VLOOKUP(B20,'Data qoq'!$A:$AU,MATCH($AA$1,'Data qoq'!$A$1:$AU$1,),))/100+1)^4)-1</f>
        <v>5.3742321916399716E-2</v>
      </c>
      <c r="AC20" s="26" t="str">
        <f t="shared" si="6"/>
        <v>2002-Q2</v>
      </c>
      <c r="AD20" s="31">
        <f t="shared" si="7"/>
        <v>-6.4587149698702717E-5</v>
      </c>
      <c r="AE20" s="27"/>
    </row>
    <row r="21" spans="1:31" hidden="1" x14ac:dyDescent="0.2">
      <c r="A21" s="30">
        <v>37500</v>
      </c>
      <c r="B21" s="24" t="s">
        <v>287</v>
      </c>
      <c r="C21" s="32">
        <f>(((VLOOKUP(B21,'Data qoq'!$A:$AT,MATCH($C$1,'Data qoq'!$A$1:$AT$1,),))/100+1)^4)-1</f>
        <v>1.6239112509180753E-2</v>
      </c>
      <c r="D21" s="32">
        <f>(((VLOOKUP(B21,'Data qoq'!$A:$AT,MATCH($D$1,'Data qoq'!$A$1:$AT$1,),))/100+1)^4)-1</f>
        <v>0</v>
      </c>
      <c r="E21" s="32">
        <f>(((VLOOKUP(B21,'Data qoq'!$A:$AT,MATCH($E$1,'Data qoq'!$A$1:$AT$1,),))/100+1)^4)-1</f>
        <v>1.4798420688893366E-2</v>
      </c>
      <c r="F21" s="32">
        <f>(((VLOOKUP(B21,'Data qoq'!$A:$AT,MATCH($F$1,'Data qoq'!$A$1:$AT$1,),))/100+1)^4)-1</f>
        <v>1.2644823273183947E-2</v>
      </c>
      <c r="G21" s="32">
        <f>(((VLOOKUP(B21,'Data qoq'!$A:$AT,MATCH($G$1,'Data qoq'!$A$1:$AT$1,),))/100+1)^4)-1</f>
        <v>1.8787838919135602E-2</v>
      </c>
      <c r="H21" s="32">
        <f>(((VLOOKUP(B21,'Data qoq'!$A:$AT,MATCH($H$1,'Data qoq'!$A$1:$AT$1,),))/100+1)^4)-1</f>
        <v>9.3397486669879459E-3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2.3999083008222399E-2</v>
      </c>
      <c r="M21" s="32">
        <f>(((VLOOKUP(B21,'Data qoq'!$A:$AT,MATCH($M$1,'Data qoq'!$A$1:$AT$1,),))/100+1)^4)-1</f>
        <v>3.148534617698151E-2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1.2119094013387954E-2</v>
      </c>
      <c r="R21" s="32">
        <f>(((VLOOKUP(B21,'Data qoq'!$A:$AT,MATCH($R$1,'Data qoq'!$A$1:$AT$1,),))/100+1)^4)-1</f>
        <v>-1.6487060416907617E-3</v>
      </c>
      <c r="S21" s="32">
        <f>(((VLOOKUP(B21,'Data qoq'!$A:$AT,MATCH($S$1,'Data qoq'!$A$1:$AT$1,),))/100+1)^4)-1</f>
        <v>8.335838039532506E-2</v>
      </c>
      <c r="T21" s="32">
        <f>(((VLOOKUP(B21,'Data qoq'!$A:$AT,MATCH($T$1,'Data qoq'!$A$1:$AT$1,),))/100+1)^4)-1</f>
        <v>5.5009630066341186E-2</v>
      </c>
      <c r="U21" s="32">
        <f>(((VLOOKUP(B21,'Data qoq'!$A:$AT,MATCH($U$1,'Data qoq'!$A$1:$AT$1,),))/100+1)^4)-1</f>
        <v>2.3282354422438312E-2</v>
      </c>
      <c r="V21" s="32">
        <f>(((VLOOKUP(B21,'Data qoq'!$A:$AT,MATCH($V$1,'Data qoq'!$A$1:$AT$1,),))/100+1)^4)-1</f>
        <v>8.1156188796005058E-2</v>
      </c>
      <c r="W21" s="32">
        <f>(((VLOOKUP(B21,'Data qoq'!$A:$AT,MATCH($W$1,'Data qoq'!$A$1:$AT$1,),))/100+1)^4)-1</f>
        <v>5.5789303142248503E-2</v>
      </c>
      <c r="X21" s="32">
        <f>(((VLOOKUP(B21,'Data qoq'!$A:$AT,MATCH($X$1,'Data qoq'!$A$1:$AT$1,),))/100+1)^4)-1</f>
        <v>2.5726553716828082E-2</v>
      </c>
      <c r="Y21" s="32">
        <f>(((VLOOKUP(B21,'Data qoq'!$A:$AT,MATCH($Y$1,'Data qoq'!$A$1:$AT$1,),))/100+1)^4)-1</f>
        <v>5.0225372101304622E-2</v>
      </c>
      <c r="Z21" s="32">
        <f>(((VLOOKUP(B21,'Data qoq'!$A:$AU,MATCH($Z$1,'Data qoq'!$A$1:$AU$1,),))/100+1)^4)-1</f>
        <v>2.983223923532341E-3</v>
      </c>
      <c r="AA21" s="32">
        <f>(((VLOOKUP(B21,'Data qoq'!$A:$AU,MATCH($AA$1,'Data qoq'!$A$1:$AU$1,),))/100+1)^4)-1</f>
        <v>4.7715790318068718E-2</v>
      </c>
      <c r="AC21" s="26" t="str">
        <f t="shared" si="6"/>
        <v>2002-Q3</v>
      </c>
      <c r="AD21" s="31">
        <f t="shared" si="7"/>
        <v>-1.4555227403413751E-2</v>
      </c>
      <c r="AE21" s="27"/>
    </row>
    <row r="22" spans="1:31" hidden="1" x14ac:dyDescent="0.2">
      <c r="A22" s="30">
        <v>37591</v>
      </c>
      <c r="B22" s="24" t="s">
        <v>288</v>
      </c>
      <c r="C22" s="32">
        <f>(((VLOOKUP(B22,'Data qoq'!$A:$AT,MATCH($C$1,'Data qoq'!$A$1:$AT$1,),))/100+1)^4)-1</f>
        <v>5.2364821622457036E-3</v>
      </c>
      <c r="D22" s="32">
        <f>(((VLOOKUP(B22,'Data qoq'!$A:$AT,MATCH($D$1,'Data qoq'!$A$1:$AT$1,),))/100+1)^4)-1</f>
        <v>0</v>
      </c>
      <c r="E22" s="32">
        <f>(((VLOOKUP(B22,'Data qoq'!$A:$AT,MATCH($E$1,'Data qoq'!$A$1:$AT$1,),))/100+1)^4)-1</f>
        <v>9.263204838230843E-3</v>
      </c>
      <c r="F22" s="32">
        <f>(((VLOOKUP(B22,'Data qoq'!$A:$AT,MATCH($F$1,'Data qoq'!$A$1:$AT$1,),))/100+1)^4)-1</f>
        <v>1.1185480717359697E-2</v>
      </c>
      <c r="G22" s="32">
        <f>(((VLOOKUP(B22,'Data qoq'!$A:$AT,MATCH($G$1,'Data qoq'!$A$1:$AT$1,),))/100+1)^4)-1</f>
        <v>-5.0968264797884855E-3</v>
      </c>
      <c r="H22" s="32">
        <f>(((VLOOKUP(B22,'Data qoq'!$A:$AT,MATCH($H$1,'Data qoq'!$A$1:$AT$1,),))/100+1)^4)-1</f>
        <v>9.4094062012930468E-3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7.1554036172720714E-3</v>
      </c>
      <c r="M22" s="32">
        <f>(((VLOOKUP(B22,'Data qoq'!$A:$AT,MATCH($M$1,'Data qoq'!$A$1:$AT$1,),))/100+1)^4)-1</f>
        <v>9.471078677725675E-3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3.3066402020641261E-2</v>
      </c>
      <c r="R22" s="32">
        <f>(((VLOOKUP(B22,'Data qoq'!$A:$AT,MATCH($R$1,'Data qoq'!$A$1:$AT$1,),))/100+1)^4)-1</f>
        <v>-1.6179687402608778E-2</v>
      </c>
      <c r="S22" s="32">
        <f>(((VLOOKUP(B22,'Data qoq'!$A:$AT,MATCH($S$1,'Data qoq'!$A$1:$AT$1,),))/100+1)^4)-1</f>
        <v>4.4621971323196563E-2</v>
      </c>
      <c r="T22" s="32">
        <f>(((VLOOKUP(B22,'Data qoq'!$A:$AT,MATCH($T$1,'Data qoq'!$A$1:$AT$1,),))/100+1)^4)-1</f>
        <v>4.1022947709229651E-2</v>
      </c>
      <c r="U22" s="32">
        <f>(((VLOOKUP(B22,'Data qoq'!$A:$AT,MATCH($U$1,'Data qoq'!$A$1:$AT$1,),))/100+1)^4)-1</f>
        <v>3.1199339111408264E-2</v>
      </c>
      <c r="V22" s="32">
        <f>(((VLOOKUP(B22,'Data qoq'!$A:$AT,MATCH($V$1,'Data qoq'!$A$1:$AT$1,),))/100+1)^4)-1</f>
        <v>6.3467458502878049E-2</v>
      </c>
      <c r="W22" s="32">
        <f>(((VLOOKUP(B22,'Data qoq'!$A:$AT,MATCH($W$1,'Data qoq'!$A$1:$AT$1,),))/100+1)^4)-1</f>
        <v>8.8115911215198572E-2</v>
      </c>
      <c r="X22" s="32">
        <f>(((VLOOKUP(B22,'Data qoq'!$A:$AT,MATCH($X$1,'Data qoq'!$A$1:$AT$1,),))/100+1)^4)-1</f>
        <v>2.6783391807472245E-2</v>
      </c>
      <c r="Y22" s="32">
        <f>(((VLOOKUP(B22,'Data qoq'!$A:$AT,MATCH($Y$1,'Data qoq'!$A$1:$AT$1,),))/100+1)^4)-1</f>
        <v>3.7765391913044954E-3</v>
      </c>
      <c r="Z22" s="32">
        <f>(((VLOOKUP(B22,'Data qoq'!$A:$AU,MATCH($Z$1,'Data qoq'!$A$1:$AU$1,),))/100+1)^4)-1</f>
        <v>4.1389607763960612E-2</v>
      </c>
      <c r="AA22" s="32">
        <f>(((VLOOKUP(B22,'Data qoq'!$A:$AU,MATCH($AA$1,'Data qoq'!$A$1:$AU$1,),))/100+1)^4)-1</f>
        <v>5.4327122248808868E-2</v>
      </c>
      <c r="AC22" s="26" t="str">
        <f t="shared" si="6"/>
        <v>2002-Q4</v>
      </c>
      <c r="AD22" s="31">
        <f t="shared" si="7"/>
        <v>-2.4683283098214215E-2</v>
      </c>
      <c r="AE22" s="27"/>
    </row>
    <row r="23" spans="1:31" hidden="1" x14ac:dyDescent="0.2">
      <c r="A23" s="30">
        <v>37681</v>
      </c>
      <c r="B23" s="24" t="s">
        <v>289</v>
      </c>
      <c r="C23" s="32">
        <f>(((VLOOKUP(B23,'Data qoq'!$A:$AT,MATCH($C$1,'Data qoq'!$A$1:$AT$1,),))/100+1)^4)-1</f>
        <v>2.0829681770353714E-2</v>
      </c>
      <c r="D23" s="32">
        <f>(((VLOOKUP(B23,'Data qoq'!$A:$AT,MATCH($D$1,'Data qoq'!$A$1:$AT$1,),))/100+1)^4)-1</f>
        <v>0</v>
      </c>
      <c r="E23" s="32">
        <f>(((VLOOKUP(B23,'Data qoq'!$A:$AT,MATCH($E$1,'Data qoq'!$A$1:$AT$1,),))/100+1)^4)-1</f>
        <v>-1.2555963632792655E-2</v>
      </c>
      <c r="F23" s="32">
        <f>(((VLOOKUP(B23,'Data qoq'!$A:$AT,MATCH($F$1,'Data qoq'!$A$1:$AT$1,),))/100+1)^4)-1</f>
        <v>2.4662402019666185E-3</v>
      </c>
      <c r="G23" s="32">
        <f>(((VLOOKUP(B23,'Data qoq'!$A:$AT,MATCH($G$1,'Data qoq'!$A$1:$AT$1,),))/100+1)^4)-1</f>
        <v>-5.7851947531958547E-2</v>
      </c>
      <c r="H23" s="32">
        <f>(((VLOOKUP(B23,'Data qoq'!$A:$AT,MATCH($H$1,'Data qoq'!$A$1:$AT$1,),))/100+1)^4)-1</f>
        <v>4.2735547831957987E-3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4.6403227580746886E-2</v>
      </c>
      <c r="M23" s="32">
        <f>(((VLOOKUP(B23,'Data qoq'!$A:$AT,MATCH($M$1,'Data qoq'!$A$1:$AT$1,),))/100+1)^4)-1</f>
        <v>9.5223676965441317E-3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7.8929759665042898E-3</v>
      </c>
      <c r="R23" s="32">
        <f>(((VLOOKUP(B23,'Data qoq'!$A:$AT,MATCH($R$1,'Data qoq'!$A$1:$AT$1,),))/100+1)^4)-1</f>
        <v>-1.9103811941590054E-2</v>
      </c>
      <c r="S23" s="32">
        <f>(((VLOOKUP(B23,'Data qoq'!$A:$AT,MATCH($S$1,'Data qoq'!$A$1:$AT$1,),))/100+1)^4)-1</f>
        <v>-2.6106842097201155E-2</v>
      </c>
      <c r="T23" s="32">
        <f>(((VLOOKUP(B23,'Data qoq'!$A:$AT,MATCH($T$1,'Data qoq'!$A$1:$AT$1,),))/100+1)^4)-1</f>
        <v>-1.7799074986590169E-2</v>
      </c>
      <c r="U23" s="32">
        <f>(((VLOOKUP(B23,'Data qoq'!$A:$AT,MATCH($U$1,'Data qoq'!$A$1:$AT$1,),))/100+1)^4)-1</f>
        <v>8.5915104250973595E-2</v>
      </c>
      <c r="V23" s="32">
        <f>(((VLOOKUP(B23,'Data qoq'!$A:$AT,MATCH($V$1,'Data qoq'!$A$1:$AT$1,),))/100+1)^4)-1</f>
        <v>-1.0065127307516963E-2</v>
      </c>
      <c r="W23" s="32">
        <f>(((VLOOKUP(B23,'Data qoq'!$A:$AT,MATCH($W$1,'Data qoq'!$A$1:$AT$1,),))/100+1)^4)-1</f>
        <v>3.3482237437791884E-3</v>
      </c>
      <c r="X23" s="32">
        <f>(((VLOOKUP(B23,'Data qoq'!$A:$AT,MATCH($X$1,'Data qoq'!$A$1:$AT$1,),))/100+1)^4)-1</f>
        <v>4.290062732524369E-2</v>
      </c>
      <c r="Y23" s="32">
        <f>(((VLOOKUP(B23,'Data qoq'!$A:$AT,MATCH($Y$1,'Data qoq'!$A$1:$AT$1,),))/100+1)^4)-1</f>
        <v>1.4053965194409601E-2</v>
      </c>
      <c r="Z23" s="32">
        <f>(((VLOOKUP(B23,'Data qoq'!$A:$AU,MATCH($Z$1,'Data qoq'!$A$1:$AU$1,),))/100+1)^4)-1</f>
        <v>0.15619623685230266</v>
      </c>
      <c r="AA23" s="32">
        <f>(((VLOOKUP(B23,'Data qoq'!$A:$AU,MATCH($AA$1,'Data qoq'!$A$1:$AU$1,),))/100+1)^4)-1</f>
        <v>2.2281648631034878E-2</v>
      </c>
      <c r="AC23" s="26" t="str">
        <f t="shared" si="6"/>
        <v>2003-Q1</v>
      </c>
      <c r="AD23" s="31">
        <f t="shared" si="7"/>
        <v>-3.8130488978039501E-2</v>
      </c>
      <c r="AE23" s="27"/>
    </row>
    <row r="24" spans="1:31" hidden="1" x14ac:dyDescent="0.2">
      <c r="A24" s="30">
        <v>37773</v>
      </c>
      <c r="B24" s="24" t="s">
        <v>290</v>
      </c>
      <c r="C24" s="32">
        <f>(((VLOOKUP(B24,'Data qoq'!$A:$AT,MATCH($C$1,'Data qoq'!$A$1:$AT$1,),))/100+1)^4)-1</f>
        <v>3.6216844851891805E-2</v>
      </c>
      <c r="D24" s="32">
        <f>(((VLOOKUP(B24,'Data qoq'!$A:$AT,MATCH($D$1,'Data qoq'!$A$1:$AT$1,),))/100+1)^4)-1</f>
        <v>0</v>
      </c>
      <c r="E24" s="32">
        <f>(((VLOOKUP(B24,'Data qoq'!$A:$AT,MATCH($E$1,'Data qoq'!$A$1:$AT$1,),))/100+1)^4)-1</f>
        <v>3.269360642489616E-3</v>
      </c>
      <c r="F24" s="32">
        <f>(((VLOOKUP(B24,'Data qoq'!$A:$AT,MATCH($F$1,'Data qoq'!$A$1:$AT$1,),))/100+1)^4)-1</f>
        <v>2.7780058300213684E-2</v>
      </c>
      <c r="G24" s="32">
        <f>(((VLOOKUP(B24,'Data qoq'!$A:$AT,MATCH($G$1,'Data qoq'!$A$1:$AT$1,),))/100+1)^4)-1</f>
        <v>4.2530475755495623E-3</v>
      </c>
      <c r="H24" s="32">
        <f>(((VLOOKUP(B24,'Data qoq'!$A:$AT,MATCH($H$1,'Data qoq'!$A$1:$AT$1,),))/100+1)^4)-1</f>
        <v>-8.7348721453323064E-3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-2.157990972836743E-2</v>
      </c>
      <c r="M24" s="32">
        <f>(((VLOOKUP(B24,'Data qoq'!$A:$AT,MATCH($M$1,'Data qoq'!$A$1:$AT$1,),))/100+1)^4)-1</f>
        <v>9.1898236740941552E-3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1.7088244112202444E-2</v>
      </c>
      <c r="R24" s="32">
        <f>(((VLOOKUP(B24,'Data qoq'!$A:$AT,MATCH($R$1,'Data qoq'!$A$1:$AT$1,),))/100+1)^4)-1</f>
        <v>-8.2756892305443364E-3</v>
      </c>
      <c r="S24" s="32">
        <f>(((VLOOKUP(B24,'Data qoq'!$A:$AT,MATCH($S$1,'Data qoq'!$A$1:$AT$1,),))/100+1)^4)-1</f>
        <v>-6.1516324120223231E-3</v>
      </c>
      <c r="T24" s="32">
        <f>(((VLOOKUP(B24,'Data qoq'!$A:$AT,MATCH($T$1,'Data qoq'!$A$1:$AT$1,),))/100+1)^4)-1</f>
        <v>-3.2801217000132943E-2</v>
      </c>
      <c r="U24" s="32">
        <f>(((VLOOKUP(B24,'Data qoq'!$A:$AT,MATCH($U$1,'Data qoq'!$A$1:$AT$1,),))/100+1)^4)-1</f>
        <v>7.2751502943865898E-2</v>
      </c>
      <c r="V24" s="32">
        <f>(((VLOOKUP(B24,'Data qoq'!$A:$AT,MATCH($V$1,'Data qoq'!$A$1:$AT$1,),))/100+1)^4)-1</f>
        <v>2.5536140557842479E-2</v>
      </c>
      <c r="W24" s="32">
        <f>(((VLOOKUP(B24,'Data qoq'!$A:$AT,MATCH($W$1,'Data qoq'!$A$1:$AT$1,),))/100+1)^4)-1</f>
        <v>1.3521101086878762E-2</v>
      </c>
      <c r="X24" s="32">
        <f>(((VLOOKUP(B24,'Data qoq'!$A:$AT,MATCH($X$1,'Data qoq'!$A$1:$AT$1,),))/100+1)^4)-1</f>
        <v>4.2744201196727394E-2</v>
      </c>
      <c r="Y24" s="32">
        <f>(((VLOOKUP(B24,'Data qoq'!$A:$AT,MATCH($Y$1,'Data qoq'!$A$1:$AT$1,),))/100+1)^4)-1</f>
        <v>8.6545236665364955E-2</v>
      </c>
      <c r="Z24" s="32">
        <f>(((VLOOKUP(B24,'Data qoq'!$A:$AU,MATCH($Z$1,'Data qoq'!$A$1:$AU$1,),))/100+1)^4)-1</f>
        <v>0.13270851331388633</v>
      </c>
      <c r="AA24" s="32">
        <f>(((VLOOKUP(B24,'Data qoq'!$A:$AU,MATCH($AA$1,'Data qoq'!$A$1:$AU$1,),))/100+1)^4)-1</f>
        <v>1.7600597230400528E-2</v>
      </c>
      <c r="AC24" s="26" t="str">
        <f t="shared" si="6"/>
        <v>2003-Q2</v>
      </c>
      <c r="AD24" s="31">
        <f t="shared" si="7"/>
        <v>-3.14253195872225E-2</v>
      </c>
      <c r="AE24" s="27"/>
    </row>
    <row r="25" spans="1:31" hidden="1" x14ac:dyDescent="0.2">
      <c r="A25" s="30">
        <v>37865</v>
      </c>
      <c r="B25" s="24" t="s">
        <v>291</v>
      </c>
      <c r="C25" s="32">
        <f>(((VLOOKUP(B25,'Data qoq'!$A:$AT,MATCH($C$1,'Data qoq'!$A$1:$AT$1,),))/100+1)^4)-1</f>
        <v>6.8361580081003348E-2</v>
      </c>
      <c r="D25" s="32">
        <f>(((VLOOKUP(B25,'Data qoq'!$A:$AT,MATCH($D$1,'Data qoq'!$A$1:$AT$1,),))/100+1)^4)-1</f>
        <v>0</v>
      </c>
      <c r="E25" s="32">
        <f>(((VLOOKUP(B25,'Data qoq'!$A:$AT,MATCH($E$1,'Data qoq'!$A$1:$AT$1,),))/100+1)^4)-1</f>
        <v>2.0978566627594786E-2</v>
      </c>
      <c r="F25" s="32">
        <f>(((VLOOKUP(B25,'Data qoq'!$A:$AT,MATCH($F$1,'Data qoq'!$A$1:$AT$1,),))/100+1)^4)-1</f>
        <v>1.186526368553209E-2</v>
      </c>
      <c r="G25" s="32">
        <f>(((VLOOKUP(B25,'Data qoq'!$A:$AT,MATCH($G$1,'Data qoq'!$A$1:$AT$1,),))/100+1)^4)-1</f>
        <v>3.0988777356257824E-2</v>
      </c>
      <c r="H25" s="32">
        <f>(((VLOOKUP(B25,'Data qoq'!$A:$AT,MATCH($H$1,'Data qoq'!$A$1:$AT$1,),))/100+1)^4)-1</f>
        <v>2.6801976880019618E-2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5.780164439123614E-2</v>
      </c>
      <c r="M25" s="32">
        <f>(((VLOOKUP(B25,'Data qoq'!$A:$AT,MATCH($M$1,'Data qoq'!$A$1:$AT$1,),))/100+1)^4)-1</f>
        <v>-1.50708551040446E-3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7.1200137133297758E-2</v>
      </c>
      <c r="R25" s="32">
        <f>(((VLOOKUP(B25,'Data qoq'!$A:$AT,MATCH($R$1,'Data qoq'!$A$1:$AT$1,),))/100+1)^4)-1</f>
        <v>4.2252785932925807E-2</v>
      </c>
      <c r="S25" s="32">
        <f>(((VLOOKUP(B25,'Data qoq'!$A:$AT,MATCH($S$1,'Data qoq'!$A$1:$AT$1,),))/100+1)^4)-1</f>
        <v>7.9576922453624466E-2</v>
      </c>
      <c r="T25" s="32">
        <f>(((VLOOKUP(B25,'Data qoq'!$A:$AT,MATCH($T$1,'Data qoq'!$A$1:$AT$1,),))/100+1)^4)-1</f>
        <v>3.792725206047054E-2</v>
      </c>
      <c r="U25" s="32">
        <f>(((VLOOKUP(B25,'Data qoq'!$A:$AT,MATCH($U$1,'Data qoq'!$A$1:$AT$1,),))/100+1)^4)-1</f>
        <v>2.5329849950953109E-2</v>
      </c>
      <c r="V25" s="32">
        <f>(((VLOOKUP(B25,'Data qoq'!$A:$AT,MATCH($V$1,'Data qoq'!$A$1:$AT$1,),))/100+1)^4)-1</f>
        <v>-3.6675722239013497E-3</v>
      </c>
      <c r="W25" s="32">
        <f>(((VLOOKUP(B25,'Data qoq'!$A:$AT,MATCH($W$1,'Data qoq'!$A$1:$AT$1,),))/100+1)^4)-1</f>
        <v>0.11901951901683305</v>
      </c>
      <c r="X25" s="32">
        <f>(((VLOOKUP(B25,'Data qoq'!$A:$AT,MATCH($X$1,'Data qoq'!$A$1:$AT$1,),))/100+1)^4)-1</f>
        <v>4.3716725061037742E-2</v>
      </c>
      <c r="Y25" s="32">
        <f>(((VLOOKUP(B25,'Data qoq'!$A:$AT,MATCH($Y$1,'Data qoq'!$A$1:$AT$1,),))/100+1)^4)-1</f>
        <v>4.5293529458575899E-2</v>
      </c>
      <c r="Z25" s="32">
        <f>(((VLOOKUP(B25,'Data qoq'!$A:$AU,MATCH($Z$1,'Data qoq'!$A$1:$AU$1,),))/100+1)^4)-1</f>
        <v>0.10138706964490507</v>
      </c>
      <c r="AA25" s="32">
        <f>(((VLOOKUP(B25,'Data qoq'!$A:$AU,MATCH($AA$1,'Data qoq'!$A$1:$AU$1,),))/100+1)^4)-1</f>
        <v>8.6990475911964182E-2</v>
      </c>
      <c r="AC25" s="26" t="str">
        <f t="shared" si="6"/>
        <v>2003-Q3</v>
      </c>
      <c r="AD25" s="31">
        <f t="shared" si="7"/>
        <v>-1.9033219099314769E-2</v>
      </c>
      <c r="AE25" s="27"/>
    </row>
    <row r="26" spans="1:31" hidden="1" x14ac:dyDescent="0.2">
      <c r="A26" s="30">
        <v>37956</v>
      </c>
      <c r="B26" s="24" t="s">
        <v>292</v>
      </c>
      <c r="C26" s="32">
        <f>(((VLOOKUP(B26,'Data qoq'!$A:$AT,MATCH($C$1,'Data qoq'!$A$1:$AT$1,),))/100+1)^4)-1</f>
        <v>4.6967087714720357E-2</v>
      </c>
      <c r="D26" s="32">
        <f>(((VLOOKUP(B26,'Data qoq'!$A:$AT,MATCH($D$1,'Data qoq'!$A$1:$AT$1,),))/100+1)^4)-1</f>
        <v>0</v>
      </c>
      <c r="E26" s="32">
        <f>(((VLOOKUP(B26,'Data qoq'!$A:$AT,MATCH($E$1,'Data qoq'!$A$1:$AT$1,),))/100+1)^4)-1</f>
        <v>3.0242245047396699E-2</v>
      </c>
      <c r="F26" s="32">
        <f>(((VLOOKUP(B26,'Data qoq'!$A:$AT,MATCH($F$1,'Data qoq'!$A$1:$AT$1,),))/100+1)^4)-1</f>
        <v>4.4267194753675909E-2</v>
      </c>
      <c r="G26" s="32">
        <f>(((VLOOKUP(B26,'Data qoq'!$A:$AT,MATCH($G$1,'Data qoq'!$A$1:$AT$1,),))/100+1)^4)-1</f>
        <v>1.1272757318377735E-2</v>
      </c>
      <c r="H26" s="32">
        <f>(((VLOOKUP(B26,'Data qoq'!$A:$AT,MATCH($H$1,'Data qoq'!$A$1:$AT$1,),))/100+1)^4)-1</f>
        <v>2.761211685812115E-2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2.6522602494739589E-2</v>
      </c>
      <c r="M26" s="32">
        <f>(((VLOOKUP(B26,'Data qoq'!$A:$AT,MATCH($M$1,'Data qoq'!$A$1:$AT$1,),))/100+1)^4)-1</f>
        <v>4.474213333063104E-2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6.7184425215420118E-2</v>
      </c>
      <c r="R26" s="32">
        <f>(((VLOOKUP(B26,'Data qoq'!$A:$AT,MATCH($R$1,'Data qoq'!$A$1:$AT$1,),))/100+1)^4)-1</f>
        <v>4.8549839816796947E-2</v>
      </c>
      <c r="S26" s="32">
        <f>(((VLOOKUP(B26,'Data qoq'!$A:$AT,MATCH($S$1,'Data qoq'!$A$1:$AT$1,),))/100+1)^4)-1</f>
        <v>0.10983333576093202</v>
      </c>
      <c r="T26" s="32">
        <f>(((VLOOKUP(B26,'Data qoq'!$A:$AT,MATCH($T$1,'Data qoq'!$A$1:$AT$1,),))/100+1)^4)-1</f>
        <v>4.2195947463082639E-2</v>
      </c>
      <c r="U26" s="32">
        <f>(((VLOOKUP(B26,'Data qoq'!$A:$AT,MATCH($U$1,'Data qoq'!$A$1:$AT$1,),))/100+1)^4)-1</f>
        <v>8.8266958977812449E-2</v>
      </c>
      <c r="V26" s="32">
        <f>(((VLOOKUP(B26,'Data qoq'!$A:$AT,MATCH($V$1,'Data qoq'!$A$1:$AT$1,),))/100+1)^4)-1</f>
        <v>0.2772563683046152</v>
      </c>
      <c r="W26" s="32">
        <f>(((VLOOKUP(B26,'Data qoq'!$A:$AT,MATCH($W$1,'Data qoq'!$A$1:$AT$1,),))/100+1)^4)-1</f>
        <v>0.12651502758652944</v>
      </c>
      <c r="X26" s="32">
        <f>(((VLOOKUP(B26,'Data qoq'!$A:$AT,MATCH($X$1,'Data qoq'!$A$1:$AT$1,),))/100+1)^4)-1</f>
        <v>3.2918832289045019E-2</v>
      </c>
      <c r="Y26" s="32">
        <f>(((VLOOKUP(B26,'Data qoq'!$A:$AT,MATCH($Y$1,'Data qoq'!$A$1:$AT$1,),))/100+1)^4)-1</f>
        <v>1.1249589594926501E-2</v>
      </c>
      <c r="Z26" s="32">
        <f>(((VLOOKUP(B26,'Data qoq'!$A:$AU,MATCH($Z$1,'Data qoq'!$A$1:$AU$1,),))/100+1)^4)-1</f>
        <v>7.719925891486823E-2</v>
      </c>
      <c r="AA26" s="32">
        <f>(((VLOOKUP(B26,'Data qoq'!$A:$AU,MATCH($AA$1,'Data qoq'!$A$1:$AU$1,),))/100+1)^4)-1</f>
        <v>5.3205297001882812E-2</v>
      </c>
      <c r="AC26" s="26" t="str">
        <f t="shared" si="6"/>
        <v>2003-Q4</v>
      </c>
      <c r="AD26" s="31">
        <f t="shared" si="7"/>
        <v>-1.2157335217684029E-3</v>
      </c>
      <c r="AE26" s="27"/>
    </row>
    <row r="27" spans="1:31" hidden="1" x14ac:dyDescent="0.2">
      <c r="A27" s="30">
        <v>38047</v>
      </c>
      <c r="B27" s="24" t="s">
        <v>293</v>
      </c>
      <c r="C27" s="32">
        <f>(((VLOOKUP(B27,'Data qoq'!$A:$AT,MATCH($C$1,'Data qoq'!$A$1:$AT$1,),))/100+1)^4)-1</f>
        <v>2.3114352698404339E-2</v>
      </c>
      <c r="D27" s="32">
        <f>(((VLOOKUP(B27,'Data qoq'!$A:$AT,MATCH($D$1,'Data qoq'!$A$1:$AT$1,),))/100+1)^4)-1</f>
        <v>0</v>
      </c>
      <c r="E27" s="32">
        <f>(((VLOOKUP(B27,'Data qoq'!$A:$AT,MATCH($E$1,'Data qoq'!$A$1:$AT$1,),))/100+1)^4)-1</f>
        <v>2.0036532764818871E-2</v>
      </c>
      <c r="F27" s="32">
        <f>(((VLOOKUP(B27,'Data qoq'!$A:$AT,MATCH($F$1,'Data qoq'!$A$1:$AT$1,),))/100+1)^4)-1</f>
        <v>2.9725610874369757E-2</v>
      </c>
      <c r="G27" s="32">
        <f>(((VLOOKUP(B27,'Data qoq'!$A:$AT,MATCH($G$1,'Data qoq'!$A$1:$AT$1,),))/100+1)^4)-1</f>
        <v>-6.9771729487315692E-3</v>
      </c>
      <c r="H27" s="32">
        <f>(((VLOOKUP(B27,'Data qoq'!$A:$AT,MATCH($H$1,'Data qoq'!$A$1:$AT$1,),))/100+1)^4)-1</f>
        <v>3.9853627675579872E-2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7.4307933196924525E-2</v>
      </c>
      <c r="M27" s="32">
        <f>(((VLOOKUP(B27,'Data qoq'!$A:$AT,MATCH($M$1,'Data qoq'!$A$1:$AT$1,),))/100+1)^4)-1</f>
        <v>5.7533716382575095E-2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3.1555115318658844E-2</v>
      </c>
      <c r="R27" s="32">
        <f>(((VLOOKUP(B27,'Data qoq'!$A:$AT,MATCH($R$1,'Data qoq'!$A$1:$AT$1,),))/100+1)^4)-1</f>
        <v>2.1294279647163794E-2</v>
      </c>
      <c r="S27" s="32">
        <f>(((VLOOKUP(B27,'Data qoq'!$A:$AT,MATCH($S$1,'Data qoq'!$A$1:$AT$1,),))/100+1)^4)-1</f>
        <v>5.1144666002388206E-2</v>
      </c>
      <c r="T27" s="32">
        <f>(((VLOOKUP(B27,'Data qoq'!$A:$AT,MATCH($T$1,'Data qoq'!$A$1:$AT$1,),))/100+1)^4)-1</f>
        <v>5.656823488315621E-2</v>
      </c>
      <c r="U27" s="32">
        <f>(((VLOOKUP(B27,'Data qoq'!$A:$AT,MATCH($U$1,'Data qoq'!$A$1:$AT$1,),))/100+1)^4)-1</f>
        <v>7.5173338545995172E-2</v>
      </c>
      <c r="V27" s="32">
        <f>(((VLOOKUP(B27,'Data qoq'!$A:$AT,MATCH($V$1,'Data qoq'!$A$1:$AT$1,),))/100+1)^4)-1</f>
        <v>-2.2392038353135746E-2</v>
      </c>
      <c r="W27" s="32">
        <f>(((VLOOKUP(B27,'Data qoq'!$A:$AT,MATCH($W$1,'Data qoq'!$A$1:$AT$1,),))/100+1)^4)-1</f>
        <v>0.11480711696270296</v>
      </c>
      <c r="X27" s="32">
        <f>(((VLOOKUP(B27,'Data qoq'!$A:$AT,MATCH($X$1,'Data qoq'!$A$1:$AT$1,),))/100+1)^4)-1</f>
        <v>4.3315599168184171E-2</v>
      </c>
      <c r="Y27" s="32">
        <f>(((VLOOKUP(B27,'Data qoq'!$A:$AT,MATCH($Y$1,'Data qoq'!$A$1:$AT$1,),))/100+1)^4)-1</f>
        <v>0.12494830715810412</v>
      </c>
      <c r="Z27" s="32">
        <f>(((VLOOKUP(B27,'Data qoq'!$A:$AU,MATCH($Z$1,'Data qoq'!$A$1:$AU$1,),))/100+1)^4)-1</f>
        <v>0.13496479466191724</v>
      </c>
      <c r="AA27" s="32">
        <f>(((VLOOKUP(B27,'Data qoq'!$A:$AU,MATCH($AA$1,'Data qoq'!$A$1:$AU$1,),))/100+1)^4)-1</f>
        <v>7.0008769306229235E-2</v>
      </c>
      <c r="AC27" s="26" t="str">
        <f t="shared" si="6"/>
        <v>2004-Q1</v>
      </c>
      <c r="AD27" s="31">
        <f t="shared" si="7"/>
        <v>2.1277336491678511E-3</v>
      </c>
      <c r="AE27" s="27"/>
    </row>
    <row r="28" spans="1:31" hidden="1" x14ac:dyDescent="0.2">
      <c r="A28" s="30">
        <v>38139</v>
      </c>
      <c r="B28" s="24" t="s">
        <v>294</v>
      </c>
      <c r="C28" s="32">
        <f>(((VLOOKUP(B28,'Data qoq'!$A:$AT,MATCH($C$1,'Data qoq'!$A$1:$AT$1,),))/100+1)^4)-1</f>
        <v>3.1515303444355602E-2</v>
      </c>
      <c r="D28" s="32">
        <f>(((VLOOKUP(B28,'Data qoq'!$A:$AT,MATCH($D$1,'Data qoq'!$A$1:$AT$1,),))/100+1)^4)-1</f>
        <v>0</v>
      </c>
      <c r="E28" s="32">
        <f>(((VLOOKUP(B28,'Data qoq'!$A:$AT,MATCH($E$1,'Data qoq'!$A$1:$AT$1,),))/100+1)^4)-1</f>
        <v>2.5013828505772384E-2</v>
      </c>
      <c r="F28" s="32">
        <f>(((VLOOKUP(B28,'Data qoq'!$A:$AT,MATCH($F$1,'Data qoq'!$A$1:$AT$1,),))/100+1)^4)-1</f>
        <v>5.7743739562865493E-4</v>
      </c>
      <c r="G28" s="32">
        <f>(((VLOOKUP(B28,'Data qoq'!$A:$AT,MATCH($G$1,'Data qoq'!$A$1:$AT$1,),))/100+1)^4)-1</f>
        <v>2.0717438636666197E-2</v>
      </c>
      <c r="H28" s="32">
        <f>(((VLOOKUP(B28,'Data qoq'!$A:$AT,MATCH($H$1,'Data qoq'!$A$1:$AT$1,),))/100+1)^4)-1</f>
        <v>2.3550402000892978E-2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1.7346715843145954E-2</v>
      </c>
      <c r="M28" s="32">
        <f>(((VLOOKUP(B28,'Data qoq'!$A:$AT,MATCH($M$1,'Data qoq'!$A$1:$AT$1,),))/100+1)^4)-1</f>
        <v>6.3129968107902057E-2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2.7239909279915819E-2</v>
      </c>
      <c r="R28" s="32">
        <f>(((VLOOKUP(B28,'Data qoq'!$A:$AT,MATCH($R$1,'Data qoq'!$A$1:$AT$1,),))/100+1)^4)-1</f>
        <v>3.3005380188489308E-2</v>
      </c>
      <c r="S28" s="32">
        <f>(((VLOOKUP(B28,'Data qoq'!$A:$AT,MATCH($S$1,'Data qoq'!$A$1:$AT$1,),))/100+1)^4)-1</f>
        <v>3.0891517200644314E-2</v>
      </c>
      <c r="T28" s="32">
        <f>(((VLOOKUP(B28,'Data qoq'!$A:$AT,MATCH($T$1,'Data qoq'!$A$1:$AT$1,),))/100+1)^4)-1</f>
        <v>0.11551837508538076</v>
      </c>
      <c r="U28" s="32">
        <f>(((VLOOKUP(B28,'Data qoq'!$A:$AT,MATCH($U$1,'Data qoq'!$A$1:$AT$1,),))/100+1)^4)-1</f>
        <v>-7.4348014403313734E-4</v>
      </c>
      <c r="V28" s="32">
        <f>(((VLOOKUP(B28,'Data qoq'!$A:$AT,MATCH($V$1,'Data qoq'!$A$1:$AT$1,),))/100+1)^4)-1</f>
        <v>8.8410551689470429E-2</v>
      </c>
      <c r="W28" s="32">
        <f>(((VLOOKUP(B28,'Data qoq'!$A:$AT,MATCH($W$1,'Data qoq'!$A$1:$AT$1,),))/100+1)^4)-1</f>
        <v>9.6435407014235475E-2</v>
      </c>
      <c r="X28" s="32">
        <f>(((VLOOKUP(B28,'Data qoq'!$A:$AT,MATCH($X$1,'Data qoq'!$A$1:$AT$1,),))/100+1)^4)-1</f>
        <v>5.0303275853843532E-2</v>
      </c>
      <c r="Y28" s="32">
        <f>(((VLOOKUP(B28,'Data qoq'!$A:$AT,MATCH($Y$1,'Data qoq'!$A$1:$AT$1,),))/100+1)^4)-1</f>
        <v>3.276898144659679E-2</v>
      </c>
      <c r="Z28" s="32">
        <f>(((VLOOKUP(B28,'Data qoq'!$A:$AU,MATCH($Z$1,'Data qoq'!$A$1:$AU$1,),))/100+1)^4)-1</f>
        <v>-4.1579729155996725E-2</v>
      </c>
      <c r="AA28" s="32">
        <f>(((VLOOKUP(B28,'Data qoq'!$A:$AU,MATCH($AA$1,'Data qoq'!$A$1:$AU$1,),))/100+1)^4)-1</f>
        <v>3.4993617206984684E-2</v>
      </c>
      <c r="AC28" s="26" t="str">
        <f t="shared" si="6"/>
        <v>2004-Q2</v>
      </c>
      <c r="AD28" s="31">
        <f t="shared" si="7"/>
        <v>3.6822146379336118E-3</v>
      </c>
      <c r="AE28" s="27"/>
    </row>
    <row r="29" spans="1:31" hidden="1" x14ac:dyDescent="0.2">
      <c r="A29" s="30">
        <v>38231</v>
      </c>
      <c r="B29" s="24" t="s">
        <v>295</v>
      </c>
      <c r="C29" s="32">
        <f>(((VLOOKUP(B29,'Data qoq'!$A:$AT,MATCH($C$1,'Data qoq'!$A$1:$AT$1,),))/100+1)^4)-1</f>
        <v>3.818480023028159E-2</v>
      </c>
      <c r="D29" s="32">
        <f>(((VLOOKUP(B29,'Data qoq'!$A:$AT,MATCH($D$1,'Data qoq'!$A$1:$AT$1,),))/100+1)^4)-1</f>
        <v>0</v>
      </c>
      <c r="E29" s="32">
        <f>(((VLOOKUP(B29,'Data qoq'!$A:$AT,MATCH($E$1,'Data qoq'!$A$1:$AT$1,),))/100+1)^4)-1</f>
        <v>9.1791884383858324E-3</v>
      </c>
      <c r="F29" s="32">
        <f>(((VLOOKUP(B29,'Data qoq'!$A:$AT,MATCH($F$1,'Data qoq'!$A$1:$AT$1,),))/100+1)^4)-1</f>
        <v>2.469713435606713E-2</v>
      </c>
      <c r="G29" s="32">
        <f>(((VLOOKUP(B29,'Data qoq'!$A:$AT,MATCH($G$1,'Data qoq'!$A$1:$AT$1,),))/100+1)^4)-1</f>
        <v>-8.3407587611624701E-3</v>
      </c>
      <c r="H29" s="32">
        <f>(((VLOOKUP(B29,'Data qoq'!$A:$AT,MATCH($H$1,'Data qoq'!$A$1:$AT$1,),))/100+1)^4)-1</f>
        <v>1.0879780505048675E-2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3.1658618981986297E-2</v>
      </c>
      <c r="M29" s="32">
        <f>(((VLOOKUP(B29,'Data qoq'!$A:$AT,MATCH($M$1,'Data qoq'!$A$1:$AT$1,),))/100+1)^4)-1</f>
        <v>-8.4934517616837013E-3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3.1096086729857975E-2</v>
      </c>
      <c r="R29" s="32">
        <f>(((VLOOKUP(B29,'Data qoq'!$A:$AT,MATCH($R$1,'Data qoq'!$A$1:$AT$1,),))/100+1)^4)-1</f>
        <v>-2.5867151264588051E-3</v>
      </c>
      <c r="S29" s="32">
        <f>(((VLOOKUP(B29,'Data qoq'!$A:$AT,MATCH($S$1,'Data qoq'!$A$1:$AT$1,),))/100+1)^4)-1</f>
        <v>1.6322412371273076E-2</v>
      </c>
      <c r="T29" s="32">
        <f>(((VLOOKUP(B29,'Data qoq'!$A:$AT,MATCH($T$1,'Data qoq'!$A$1:$AT$1,),))/100+1)^4)-1</f>
        <v>5.0913396843610403E-2</v>
      </c>
      <c r="U29" s="32">
        <f>(((VLOOKUP(B29,'Data qoq'!$A:$AT,MATCH($U$1,'Data qoq'!$A$1:$AT$1,),))/100+1)^4)-1</f>
        <v>5.4456381787802322E-2</v>
      </c>
      <c r="V29" s="32">
        <f>(((VLOOKUP(B29,'Data qoq'!$A:$AT,MATCH($V$1,'Data qoq'!$A$1:$AT$1,),))/100+1)^4)-1</f>
        <v>-4.1495230846582354E-2</v>
      </c>
      <c r="W29" s="32">
        <f>(((VLOOKUP(B29,'Data qoq'!$A:$AT,MATCH($W$1,'Data qoq'!$A$1:$AT$1,),))/100+1)^4)-1</f>
        <v>4.5878040194492486E-2</v>
      </c>
      <c r="X29" s="32">
        <f>(((VLOOKUP(B29,'Data qoq'!$A:$AT,MATCH($X$1,'Data qoq'!$A$1:$AT$1,),))/100+1)^4)-1</f>
        <v>5.9350152947663437E-2</v>
      </c>
      <c r="Y29" s="32">
        <f>(((VLOOKUP(B29,'Data qoq'!$A:$AT,MATCH($Y$1,'Data qoq'!$A$1:$AT$1,),))/100+1)^4)-1</f>
        <v>-1.9994409983653316E-2</v>
      </c>
      <c r="Z29" s="32">
        <f>(((VLOOKUP(B29,'Data qoq'!$A:$AU,MATCH($Z$1,'Data qoq'!$A$1:$AU$1,),))/100+1)^4)-1</f>
        <v>0.21749412055612316</v>
      </c>
      <c r="AA29" s="32">
        <f>(((VLOOKUP(B29,'Data qoq'!$A:$AU,MATCH($AA$1,'Data qoq'!$A$1:$AU$1,),))/100+1)^4)-1</f>
        <v>1.1525182737874617E-2</v>
      </c>
      <c r="AC29" s="26" t="str">
        <f t="shared" si="6"/>
        <v>2004-Q3</v>
      </c>
      <c r="AD29" s="31">
        <f t="shared" si="7"/>
        <v>-4.0362891781331456E-4</v>
      </c>
      <c r="AE29" s="27"/>
    </row>
    <row r="30" spans="1:31" hidden="1" x14ac:dyDescent="0.2">
      <c r="A30" s="30">
        <v>38322</v>
      </c>
      <c r="B30" s="24" t="s">
        <v>296</v>
      </c>
      <c r="C30" s="32">
        <f>(((VLOOKUP(B30,'Data qoq'!$A:$AT,MATCH($C$1,'Data qoq'!$A$1:$AT$1,),))/100+1)^4)-1</f>
        <v>4.1512099830066429E-2</v>
      </c>
      <c r="D30" s="32">
        <f>(((VLOOKUP(B30,'Data qoq'!$A:$AT,MATCH($D$1,'Data qoq'!$A$1:$AT$1,),))/100+1)^4)-1</f>
        <v>0</v>
      </c>
      <c r="E30" s="32">
        <f>(((VLOOKUP(B30,'Data qoq'!$A:$AT,MATCH($E$1,'Data qoq'!$A$1:$AT$1,),))/100+1)^4)-1</f>
        <v>1.5562647706473642E-2</v>
      </c>
      <c r="F30" s="32">
        <f>(((VLOOKUP(B30,'Data qoq'!$A:$AT,MATCH($F$1,'Data qoq'!$A$1:$AT$1,),))/100+1)^4)-1</f>
        <v>-7.6778344992550762E-3</v>
      </c>
      <c r="G30" s="32">
        <f>(((VLOOKUP(B30,'Data qoq'!$A:$AT,MATCH($G$1,'Data qoq'!$A$1:$AT$1,),))/100+1)^4)-1</f>
        <v>-3.7216143503896459E-3</v>
      </c>
      <c r="H30" s="32">
        <f>(((VLOOKUP(B30,'Data qoq'!$A:$AT,MATCH($H$1,'Data qoq'!$A$1:$AT$1,),))/100+1)^4)-1</f>
        <v>3.0313151258419602E-2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3.3752214437246186E-2</v>
      </c>
      <c r="M30" s="32">
        <f>(((VLOOKUP(B30,'Data qoq'!$A:$AT,MATCH($M$1,'Data qoq'!$A$1:$AT$1,),))/100+1)^4)-1</f>
        <v>5.4110825153266484E-2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3.0322640458571692E-2</v>
      </c>
      <c r="R30" s="32">
        <f>(((VLOOKUP(B30,'Data qoq'!$A:$AT,MATCH($R$1,'Data qoq'!$A$1:$AT$1,),))/100+1)^4)-1</f>
        <v>1.0599258951914159E-2</v>
      </c>
      <c r="S30" s="32">
        <f>(((VLOOKUP(B30,'Data qoq'!$A:$AT,MATCH($S$1,'Data qoq'!$A$1:$AT$1,),))/100+1)^4)-1</f>
        <v>3.0663774045021075E-2</v>
      </c>
      <c r="T30" s="32">
        <f>(((VLOOKUP(B30,'Data qoq'!$A:$AT,MATCH($T$1,'Data qoq'!$A$1:$AT$1,),))/100+1)^4)-1</f>
        <v>3.1118827606855692E-2</v>
      </c>
      <c r="U30" s="32">
        <f>(((VLOOKUP(B30,'Data qoq'!$A:$AT,MATCH($U$1,'Data qoq'!$A$1:$AT$1,),))/100+1)^4)-1</f>
        <v>-1.516646224562157E-2</v>
      </c>
      <c r="V30" s="32">
        <f>(((VLOOKUP(B30,'Data qoq'!$A:$AT,MATCH($V$1,'Data qoq'!$A$1:$AT$1,),))/100+1)^4)-1</f>
        <v>0.14913139128453823</v>
      </c>
      <c r="W30" s="32">
        <f>(((VLOOKUP(B30,'Data qoq'!$A:$AT,MATCH($W$1,'Data qoq'!$A$1:$AT$1,),))/100+1)^4)-1</f>
        <v>6.6496014398236936E-2</v>
      </c>
      <c r="X30" s="32">
        <f>(((VLOOKUP(B30,'Data qoq'!$A:$AT,MATCH($X$1,'Data qoq'!$A$1:$AT$1,),))/100+1)^4)-1</f>
        <v>7.6863693174696213E-2</v>
      </c>
      <c r="Y30" s="32">
        <f>(((VLOOKUP(B30,'Data qoq'!$A:$AT,MATCH($Y$1,'Data qoq'!$A$1:$AT$1,),))/100+1)^4)-1</f>
        <v>4.3085731271605088E-2</v>
      </c>
      <c r="Z30" s="32">
        <f>(((VLOOKUP(B30,'Data qoq'!$A:$AU,MATCH($Z$1,'Data qoq'!$A$1:$AU$1,),))/100+1)^4)-1</f>
        <v>5.4507136691296365E-2</v>
      </c>
      <c r="AA30" s="32">
        <f>(((VLOOKUP(B30,'Data qoq'!$A:$AU,MATCH($AA$1,'Data qoq'!$A$1:$AU$1,),))/100+1)^4)-1</f>
        <v>1.4109446540552462E-2</v>
      </c>
      <c r="AC30" s="26" t="str">
        <f t="shared" si="6"/>
        <v>2004-Q4</v>
      </c>
      <c r="AD30" s="31">
        <f t="shared" si="7"/>
        <v>2.8550934196998057E-3</v>
      </c>
      <c r="AE30" s="27"/>
    </row>
    <row r="31" spans="1:31" hidden="1" x14ac:dyDescent="0.2">
      <c r="A31" s="30">
        <v>38412</v>
      </c>
      <c r="B31" s="24" t="s">
        <v>297</v>
      </c>
      <c r="C31" s="32">
        <f>(((VLOOKUP(B31,'Data qoq'!$A:$AT,MATCH($C$1,'Data qoq'!$A$1:$AT$1,),))/100+1)^4)-1</f>
        <v>4.5181235099421624E-2</v>
      </c>
      <c r="D31" s="32">
        <f>(((VLOOKUP(B31,'Data qoq'!$A:$AT,MATCH($D$1,'Data qoq'!$A$1:$AT$1,),))/100+1)^4)-1</f>
        <v>0</v>
      </c>
      <c r="E31" s="32">
        <f>(((VLOOKUP(B31,'Data qoq'!$A:$AT,MATCH($E$1,'Data qoq'!$A$1:$AT$1,),))/100+1)^4)-1</f>
        <v>8.8940712194238714E-3</v>
      </c>
      <c r="F31" s="32">
        <f>(((VLOOKUP(B31,'Data qoq'!$A:$AT,MATCH($F$1,'Data qoq'!$A$1:$AT$1,),))/100+1)^4)-1</f>
        <v>2.0754882763265536E-2</v>
      </c>
      <c r="G31" s="32">
        <f>(((VLOOKUP(B31,'Data qoq'!$A:$AT,MATCH($G$1,'Data qoq'!$A$1:$AT$1,),))/100+1)^4)-1</f>
        <v>1.1667314438645882E-4</v>
      </c>
      <c r="H31" s="32">
        <f>(((VLOOKUP(B31,'Data qoq'!$A:$AT,MATCH($H$1,'Data qoq'!$A$1:$AT$1,),))/100+1)^4)-1</f>
        <v>9.486048260330282E-3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1.7691333105709139E-2</v>
      </c>
      <c r="M31" s="32">
        <f>(((VLOOKUP(B31,'Data qoq'!$A:$AT,MATCH($M$1,'Data qoq'!$A$1:$AT$1,),))/100+1)^4)-1</f>
        <v>6.3869178056410458E-3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3.0708309888291652E-2</v>
      </c>
      <c r="R31" s="32">
        <f>(((VLOOKUP(B31,'Data qoq'!$A:$AT,MATCH($R$1,'Data qoq'!$A$1:$AT$1,),))/100+1)^4)-1</f>
        <v>3.2133863534056673E-2</v>
      </c>
      <c r="S31" s="32">
        <f>(((VLOOKUP(B31,'Data qoq'!$A:$AT,MATCH($S$1,'Data qoq'!$A$1:$AT$1,),))/100+1)^4)-1</f>
        <v>3.4473026268850626E-2</v>
      </c>
      <c r="T31" s="32">
        <f>(((VLOOKUP(B31,'Data qoq'!$A:$AT,MATCH($T$1,'Data qoq'!$A$1:$AT$1,),))/100+1)^4)-1</f>
        <v>3.3369272589301335E-2</v>
      </c>
      <c r="U31" s="32">
        <f>(((VLOOKUP(B31,'Data qoq'!$A:$AT,MATCH($U$1,'Data qoq'!$A$1:$AT$1,),))/100+1)^4)-1</f>
        <v>-2.3316921439511029E-2</v>
      </c>
      <c r="V31" s="32">
        <f>(((VLOOKUP(B31,'Data qoq'!$A:$AT,MATCH($V$1,'Data qoq'!$A$1:$AT$1,),))/100+1)^4)-1</f>
        <v>6.0505093519342301E-2</v>
      </c>
      <c r="W31" s="32">
        <f>(((VLOOKUP(B31,'Data qoq'!$A:$AT,MATCH($W$1,'Data qoq'!$A$1:$AT$1,),))/100+1)^4)-1</f>
        <v>0.19754544946508767</v>
      </c>
      <c r="X31" s="32">
        <f>(((VLOOKUP(B31,'Data qoq'!$A:$AT,MATCH($X$1,'Data qoq'!$A$1:$AT$1,),))/100+1)^4)-1</f>
        <v>7.0518185738786876E-2</v>
      </c>
      <c r="Y31" s="32">
        <f>(((VLOOKUP(B31,'Data qoq'!$A:$AT,MATCH($Y$1,'Data qoq'!$A$1:$AT$1,),))/100+1)^4)-1</f>
        <v>4.4808571125289909E-2</v>
      </c>
      <c r="Z31" s="32">
        <f>(((VLOOKUP(B31,'Data qoq'!$A:$AU,MATCH($Z$1,'Data qoq'!$A$1:$AU$1,),))/100+1)^4)-1</f>
        <v>0.12174662926796609</v>
      </c>
      <c r="AA31" s="32">
        <f>(((VLOOKUP(B31,'Data qoq'!$A:$AU,MATCH($AA$1,'Data qoq'!$A$1:$AU$1,),))/100+1)^4)-1</f>
        <v>4.7504000904261323E-2</v>
      </c>
      <c r="AC31" s="26" t="str">
        <f t="shared" si="6"/>
        <v>2005-Q1</v>
      </c>
      <c r="AD31" s="31">
        <f t="shared" si="7"/>
        <v>-2.1457497683526672E-2</v>
      </c>
      <c r="AE31" s="27"/>
    </row>
    <row r="32" spans="1:31" hidden="1" x14ac:dyDescent="0.2">
      <c r="A32" s="30">
        <v>38504</v>
      </c>
      <c r="B32" s="24" t="s">
        <v>298</v>
      </c>
      <c r="C32" s="32">
        <f>(((VLOOKUP(B32,'Data qoq'!$A:$AT,MATCH($C$1,'Data qoq'!$A$1:$AT$1,),))/100+1)^4)-1</f>
        <v>1.9606710911931335E-2</v>
      </c>
      <c r="D32" s="32">
        <f>(((VLOOKUP(B32,'Data qoq'!$A:$AT,MATCH($D$1,'Data qoq'!$A$1:$AT$1,),))/100+1)^4)-1</f>
        <v>0</v>
      </c>
      <c r="E32" s="32">
        <f>(((VLOOKUP(B32,'Data qoq'!$A:$AT,MATCH($E$1,'Data qoq'!$A$1:$AT$1,),))/100+1)^4)-1</f>
        <v>2.416787480741589E-2</v>
      </c>
      <c r="F32" s="32">
        <f>(((VLOOKUP(B32,'Data qoq'!$A:$AT,MATCH($F$1,'Data qoq'!$A$1:$AT$1,),))/100+1)^4)-1</f>
        <v>3.1527232703288055E-2</v>
      </c>
      <c r="G32" s="32">
        <f>(((VLOOKUP(B32,'Data qoq'!$A:$AT,MATCH($G$1,'Data qoq'!$A$1:$AT$1,),))/100+1)^4)-1</f>
        <v>2.1620733451571672E-2</v>
      </c>
      <c r="H32" s="32">
        <f>(((VLOOKUP(B32,'Data qoq'!$A:$AT,MATCH($H$1,'Data qoq'!$A$1:$AT$1,),))/100+1)^4)-1</f>
        <v>1.1089589692229174E-2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2.6732198521078665E-2</v>
      </c>
      <c r="M32" s="32">
        <f>(((VLOOKUP(B32,'Data qoq'!$A:$AT,MATCH($M$1,'Data qoq'!$A$1:$AT$1,),))/100+1)^4)-1</f>
        <v>1.1802106853753713E-2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1.8202249962320227E-2</v>
      </c>
      <c r="R32" s="32">
        <f>(((VLOOKUP(B32,'Data qoq'!$A:$AT,MATCH($R$1,'Data qoq'!$A$1:$AT$1,),))/100+1)^4)-1</f>
        <v>4.4228018104308209E-2</v>
      </c>
      <c r="S32" s="32">
        <f>(((VLOOKUP(B32,'Data qoq'!$A:$AT,MATCH($S$1,'Data qoq'!$A$1:$AT$1,),))/100+1)^4)-1</f>
        <v>7.7646124405284622E-2</v>
      </c>
      <c r="T32" s="32">
        <f>(((VLOOKUP(B32,'Data qoq'!$A:$AT,MATCH($T$1,'Data qoq'!$A$1:$AT$1,),))/100+1)^4)-1</f>
        <v>4.8303330935827837E-2</v>
      </c>
      <c r="U32" s="32">
        <f>(((VLOOKUP(B32,'Data qoq'!$A:$AT,MATCH($U$1,'Data qoq'!$A$1:$AT$1,),))/100+1)^4)-1</f>
        <v>9.5465961983169922E-3</v>
      </c>
      <c r="V32" s="32">
        <f>(((VLOOKUP(B32,'Data qoq'!$A:$AT,MATCH($V$1,'Data qoq'!$A$1:$AT$1,),))/100+1)^4)-1</f>
        <v>9.8529035074194971E-2</v>
      </c>
      <c r="W32" s="32">
        <f>(((VLOOKUP(B32,'Data qoq'!$A:$AT,MATCH($W$1,'Data qoq'!$A$1:$AT$1,),))/100+1)^4)-1</f>
        <v>1.6993611478246962E-2</v>
      </c>
      <c r="X32" s="32">
        <f>(((VLOOKUP(B32,'Data qoq'!$A:$AT,MATCH($X$1,'Data qoq'!$A$1:$AT$1,),))/100+1)^4)-1</f>
        <v>6.2504415582531836E-2</v>
      </c>
      <c r="Y32" s="32">
        <f>(((VLOOKUP(B32,'Data qoq'!$A:$AT,MATCH($Y$1,'Data qoq'!$A$1:$AT$1,),))/100+1)^4)-1</f>
        <v>5.907202933351785E-3</v>
      </c>
      <c r="Z32" s="32">
        <f>(((VLOOKUP(B32,'Data qoq'!$A:$AU,MATCH($Z$1,'Data qoq'!$A$1:$AU$1,),))/100+1)^4)-1</f>
        <v>8.9935588819380907E-2</v>
      </c>
      <c r="AA32" s="32">
        <f>(((VLOOKUP(B32,'Data qoq'!$A:$AU,MATCH($AA$1,'Data qoq'!$A$1:$AU$1,),))/100+1)^4)-1</f>
        <v>6.5478569867663872E-2</v>
      </c>
      <c r="AC32" s="26" t="str">
        <f t="shared" si="6"/>
        <v>2005-Q2</v>
      </c>
      <c r="AD32" s="31">
        <f t="shared" si="7"/>
        <v>-1.4232696136584178E-2</v>
      </c>
      <c r="AE32" s="27"/>
    </row>
    <row r="33" spans="1:31" hidden="1" x14ac:dyDescent="0.2">
      <c r="A33" s="30">
        <v>38596</v>
      </c>
      <c r="B33" s="24" t="s">
        <v>299</v>
      </c>
      <c r="C33" s="32">
        <f>(((VLOOKUP(B33,'Data qoq'!$A:$AT,MATCH($C$1,'Data qoq'!$A$1:$AT$1,),))/100+1)^4)-1</f>
        <v>3.1797143696158159E-2</v>
      </c>
      <c r="D33" s="32">
        <f>(((VLOOKUP(B33,'Data qoq'!$A:$AT,MATCH($D$1,'Data qoq'!$A$1:$AT$1,),))/100+1)^4)-1</f>
        <v>0</v>
      </c>
      <c r="E33" s="32">
        <f>(((VLOOKUP(B33,'Data qoq'!$A:$AT,MATCH($E$1,'Data qoq'!$A$1:$AT$1,),))/100+1)^4)-1</f>
        <v>2.9574528838149261E-2</v>
      </c>
      <c r="F33" s="32">
        <f>(((VLOOKUP(B33,'Data qoq'!$A:$AT,MATCH($F$1,'Data qoq'!$A$1:$AT$1,),))/100+1)^4)-1</f>
        <v>4.1133538851678253E-2</v>
      </c>
      <c r="G33" s="32">
        <f>(((VLOOKUP(B33,'Data qoq'!$A:$AT,MATCH($G$1,'Data qoq'!$A$1:$AT$1,),))/100+1)^4)-1</f>
        <v>3.4287261725477691E-2</v>
      </c>
      <c r="H33" s="32">
        <f>(((VLOOKUP(B33,'Data qoq'!$A:$AT,MATCH($H$1,'Data qoq'!$A$1:$AT$1,),))/100+1)^4)-1</f>
        <v>2.164164192238327E-2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4.8234883644279636E-2</v>
      </c>
      <c r="M33" s="32">
        <f>(((VLOOKUP(B33,'Data qoq'!$A:$AT,MATCH($M$1,'Data qoq'!$A$1:$AT$1,),))/100+1)^4)-1</f>
        <v>3.3997085417242667E-2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4.5555428743986992E-2</v>
      </c>
      <c r="R33" s="32">
        <f>(((VLOOKUP(B33,'Data qoq'!$A:$AT,MATCH($R$1,'Data qoq'!$A$1:$AT$1,),))/100+1)^4)-1</f>
        <v>4.4776054273325538E-2</v>
      </c>
      <c r="S33" s="32">
        <f>(((VLOOKUP(B33,'Data qoq'!$A:$AT,MATCH($S$1,'Data qoq'!$A$1:$AT$1,),))/100+1)^4)-1</f>
        <v>6.1586544215050276E-2</v>
      </c>
      <c r="T33" s="32">
        <f>(((VLOOKUP(B33,'Data qoq'!$A:$AT,MATCH($T$1,'Data qoq'!$A$1:$AT$1,),))/100+1)^4)-1</f>
        <v>-2.59126540621748E-2</v>
      </c>
      <c r="U33" s="32">
        <f>(((VLOOKUP(B33,'Data qoq'!$A:$AT,MATCH($U$1,'Data qoq'!$A$1:$AT$1,),))/100+1)^4)-1</f>
        <v>5.6805192883349731E-2</v>
      </c>
      <c r="V33" s="32">
        <f>(((VLOOKUP(B33,'Data qoq'!$A:$AT,MATCH($V$1,'Data qoq'!$A$1:$AT$1,),))/100+1)^4)-1</f>
        <v>-7.3485056877125476E-2</v>
      </c>
      <c r="W33" s="32">
        <f>(((VLOOKUP(B33,'Data qoq'!$A:$AT,MATCH($W$1,'Data qoq'!$A$1:$AT$1,),))/100+1)^4)-1</f>
        <v>5.7686347828877826E-2</v>
      </c>
      <c r="X33" s="32">
        <f>(((VLOOKUP(B33,'Data qoq'!$A:$AT,MATCH($X$1,'Data qoq'!$A$1:$AT$1,),))/100+1)^4)-1</f>
        <v>6.1085261783183187E-2</v>
      </c>
      <c r="Y33" s="32">
        <f>(((VLOOKUP(B33,'Data qoq'!$A:$AT,MATCH($Y$1,'Data qoq'!$A$1:$AT$1,),))/100+1)^4)-1</f>
        <v>7.9573975679638753E-2</v>
      </c>
      <c r="Z33" s="32">
        <f>(((VLOOKUP(B33,'Data qoq'!$A:$AU,MATCH($Z$1,'Data qoq'!$A$1:$AU$1,),))/100+1)^4)-1</f>
        <v>2.9847146305996608E-2</v>
      </c>
      <c r="AA33" s="32">
        <f>(((VLOOKUP(B33,'Data qoq'!$A:$AU,MATCH($AA$1,'Data qoq'!$A$1:$AU$1,),))/100+1)^4)-1</f>
        <v>1.9644277978358105E-2</v>
      </c>
      <c r="AC33" s="26" t="str">
        <f t="shared" si="6"/>
        <v>2005-Q3</v>
      </c>
      <c r="AD33" s="31">
        <f t="shared" si="7"/>
        <v>-5.1830767145424339E-3</v>
      </c>
      <c r="AE33" s="27"/>
    </row>
    <row r="34" spans="1:31" hidden="1" x14ac:dyDescent="0.2">
      <c r="A34" s="30">
        <v>38687</v>
      </c>
      <c r="B34" s="24" t="s">
        <v>300</v>
      </c>
      <c r="C34" s="32">
        <f>(((VLOOKUP(B34,'Data qoq'!$A:$AT,MATCH($C$1,'Data qoq'!$A$1:$AT$1,),))/100+1)^4)-1</f>
        <v>2.2911388774384589E-2</v>
      </c>
      <c r="D34" s="32">
        <f>(((VLOOKUP(B34,'Data qoq'!$A:$AT,MATCH($D$1,'Data qoq'!$A$1:$AT$1,),))/100+1)^4)-1</f>
        <v>0</v>
      </c>
      <c r="E34" s="32">
        <f>(((VLOOKUP(B34,'Data qoq'!$A:$AT,MATCH($E$1,'Data qoq'!$A$1:$AT$1,),))/100+1)^4)-1</f>
        <v>2.5947971623050403E-2</v>
      </c>
      <c r="F34" s="32">
        <f>(((VLOOKUP(B34,'Data qoq'!$A:$AT,MATCH($F$1,'Data qoq'!$A$1:$AT$1,),))/100+1)^4)-1</f>
        <v>7.0726269327481273E-3</v>
      </c>
      <c r="G34" s="32">
        <f>(((VLOOKUP(B34,'Data qoq'!$A:$AT,MATCH($G$1,'Data qoq'!$A$1:$AT$1,),))/100+1)^4)-1</f>
        <v>1.8988678184609808E-2</v>
      </c>
      <c r="H34" s="32">
        <f>(((VLOOKUP(B34,'Data qoq'!$A:$AT,MATCH($H$1,'Data qoq'!$A$1:$AT$1,),))/100+1)^4)-1</f>
        <v>2.7181838819535287E-2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2.8011082353395444E-2</v>
      </c>
      <c r="M34" s="32">
        <f>(((VLOOKUP(B34,'Data qoq'!$A:$AT,MATCH($M$1,'Data qoq'!$A$1:$AT$1,),))/100+1)^4)-1</f>
        <v>6.8519271265693682E-2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3.0807375022287253E-2</v>
      </c>
      <c r="R34" s="32">
        <f>(((VLOOKUP(B34,'Data qoq'!$A:$AT,MATCH($R$1,'Data qoq'!$A$1:$AT$1,),))/100+1)^4)-1</f>
        <v>4.3558980777827161E-2</v>
      </c>
      <c r="S34" s="32">
        <f>(((VLOOKUP(B34,'Data qoq'!$A:$AT,MATCH($S$1,'Data qoq'!$A$1:$AT$1,),))/100+1)^4)-1</f>
        <v>4.1117799416078959E-2</v>
      </c>
      <c r="T34" s="32">
        <f>(((VLOOKUP(B34,'Data qoq'!$A:$AT,MATCH($T$1,'Data qoq'!$A$1:$AT$1,),))/100+1)^4)-1</f>
        <v>5.0688717176822218E-2</v>
      </c>
      <c r="U34" s="32">
        <f>(((VLOOKUP(B34,'Data qoq'!$A:$AT,MATCH($U$1,'Data qoq'!$A$1:$AT$1,),))/100+1)^4)-1</f>
        <v>2.0191734251196136E-2</v>
      </c>
      <c r="V34" s="32">
        <f>(((VLOOKUP(B34,'Data qoq'!$A:$AT,MATCH($V$1,'Data qoq'!$A$1:$AT$1,),))/100+1)^4)-1</f>
        <v>0.16687021061650342</v>
      </c>
      <c r="W34" s="32">
        <f>(((VLOOKUP(B34,'Data qoq'!$A:$AT,MATCH($W$1,'Data qoq'!$A$1:$AT$1,),))/100+1)^4)-1</f>
        <v>0.13897897254800995</v>
      </c>
      <c r="X34" s="32">
        <f>(((VLOOKUP(B34,'Data qoq'!$A:$AT,MATCH($X$1,'Data qoq'!$A$1:$AT$1,),))/100+1)^4)-1</f>
        <v>7.6049896834123443E-2</v>
      </c>
      <c r="Y34" s="32">
        <f>(((VLOOKUP(B34,'Data qoq'!$A:$AT,MATCH($Y$1,'Data qoq'!$A$1:$AT$1,),))/100+1)^4)-1</f>
        <v>7.5631653853676983E-2</v>
      </c>
      <c r="Z34" s="32">
        <f>(((VLOOKUP(B34,'Data qoq'!$A:$AU,MATCH($Z$1,'Data qoq'!$A$1:$AU$1,),))/100+1)^4)-1</f>
        <v>7.5840246098115127E-2</v>
      </c>
      <c r="AA34" s="32">
        <f>(((VLOOKUP(B34,'Data qoq'!$A:$AU,MATCH($AA$1,'Data qoq'!$A$1:$AU$1,),))/100+1)^4)-1</f>
        <v>-1.6031739588896476E-2</v>
      </c>
      <c r="AC34" s="26" t="str">
        <f t="shared" si="6"/>
        <v>2005-Q4</v>
      </c>
      <c r="AD34" s="31">
        <f t="shared" si="7"/>
        <v>-1.6468330600765579E-2</v>
      </c>
      <c r="AE34" s="27"/>
    </row>
    <row r="35" spans="1:31" hidden="1" x14ac:dyDescent="0.2">
      <c r="A35" s="30">
        <v>38777</v>
      </c>
      <c r="B35" s="24" t="s">
        <v>301</v>
      </c>
      <c r="C35" s="32">
        <f>(((VLOOKUP(B35,'Data qoq'!$A:$AT,MATCH($C$1,'Data qoq'!$A$1:$AT$1,),))/100+1)^4)-1</f>
        <v>5.5047830422783273E-2</v>
      </c>
      <c r="D35" s="32">
        <f>(((VLOOKUP(B35,'Data qoq'!$A:$AT,MATCH($D$1,'Data qoq'!$A$1:$AT$1,),))/100+1)^4)-1</f>
        <v>0</v>
      </c>
      <c r="E35" s="32">
        <f>(((VLOOKUP(B35,'Data qoq'!$A:$AT,MATCH($E$1,'Data qoq'!$A$1:$AT$1,),))/100+1)^4)-1</f>
        <v>3.5751024475579429E-2</v>
      </c>
      <c r="F35" s="32">
        <f>(((VLOOKUP(B35,'Data qoq'!$A:$AT,MATCH($F$1,'Data qoq'!$A$1:$AT$1,),))/100+1)^4)-1</f>
        <v>6.3665384008610992E-3</v>
      </c>
      <c r="G35" s="32">
        <f>(((VLOOKUP(B35,'Data qoq'!$A:$AT,MATCH($G$1,'Data qoq'!$A$1:$AT$1,),))/100+1)^4)-1</f>
        <v>3.9006386151087202E-2</v>
      </c>
      <c r="H35" s="32">
        <f>(((VLOOKUP(B35,'Data qoq'!$A:$AT,MATCH($H$1,'Data qoq'!$A$1:$AT$1,),))/100+1)^4)-1</f>
        <v>3.1686670341426026E-2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6.2965626630161919E-2</v>
      </c>
      <c r="M35" s="32">
        <f>(((VLOOKUP(B35,'Data qoq'!$A:$AT,MATCH($M$1,'Data qoq'!$A$1:$AT$1,),))/100+1)^4)-1</f>
        <v>7.2156415071145119E-2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3.9769220442860131E-3</v>
      </c>
      <c r="R35" s="32">
        <f>(((VLOOKUP(B35,'Data qoq'!$A:$AT,MATCH($R$1,'Data qoq'!$A$1:$AT$1,),))/100+1)^4)-1</f>
        <v>4.9189128006426053E-2</v>
      </c>
      <c r="S35" s="32">
        <f>(((VLOOKUP(B35,'Data qoq'!$A:$AT,MATCH($S$1,'Data qoq'!$A$1:$AT$1,),))/100+1)^4)-1</f>
        <v>6.7194395995877398E-2</v>
      </c>
      <c r="T35" s="32">
        <f>(((VLOOKUP(B35,'Data qoq'!$A:$AT,MATCH($T$1,'Data qoq'!$A$1:$AT$1,),))/100+1)^4)-1</f>
        <v>6.9824153225549468E-2</v>
      </c>
      <c r="U35" s="32">
        <f>(((VLOOKUP(B35,'Data qoq'!$A:$AT,MATCH($U$1,'Data qoq'!$A$1:$AT$1,),))/100+1)^4)-1</f>
        <v>0.1368379209151287</v>
      </c>
      <c r="V35" s="32">
        <f>(((VLOOKUP(B35,'Data qoq'!$A:$AT,MATCH($V$1,'Data qoq'!$A$1:$AT$1,),))/100+1)^4)-1</f>
        <v>8.071474273487933E-2</v>
      </c>
      <c r="W35" s="32">
        <f>(((VLOOKUP(B35,'Data qoq'!$A:$AT,MATCH($W$1,'Data qoq'!$A$1:$AT$1,),))/100+1)^4)-1</f>
        <v>4.6598152710893848E-2</v>
      </c>
      <c r="X35" s="32">
        <f>(((VLOOKUP(B35,'Data qoq'!$A:$AT,MATCH($X$1,'Data qoq'!$A$1:$AT$1,),))/100+1)^4)-1</f>
        <v>7.5644197932791313E-2</v>
      </c>
      <c r="Y35" s="32">
        <f>(((VLOOKUP(B35,'Data qoq'!$A:$AT,MATCH($Y$1,'Data qoq'!$A$1:$AT$1,),))/100+1)^4)-1</f>
        <v>6.1501765228616057E-2</v>
      </c>
      <c r="Z35" s="32">
        <f>(((VLOOKUP(B35,'Data qoq'!$A:$AU,MATCH($Z$1,'Data qoq'!$A$1:$AU$1,),))/100+1)^4)-1</f>
        <v>0.10923860878747993</v>
      </c>
      <c r="AA35" s="32">
        <f>(((VLOOKUP(B35,'Data qoq'!$A:$AU,MATCH($AA$1,'Data qoq'!$A$1:$AU$1,),))/100+1)^4)-1</f>
        <v>6.7458859945483285E-2</v>
      </c>
      <c r="AC35" s="26" t="str">
        <f t="shared" si="6"/>
        <v>2006-Q1</v>
      </c>
      <c r="AD35" s="31">
        <f t="shared" si="7"/>
        <v>2.188974010309308E-2</v>
      </c>
      <c r="AE35" s="27"/>
    </row>
    <row r="36" spans="1:31" hidden="1" x14ac:dyDescent="0.2">
      <c r="A36" s="30">
        <v>38869</v>
      </c>
      <c r="B36" s="24" t="s">
        <v>302</v>
      </c>
      <c r="C36" s="32">
        <f>(((VLOOKUP(B36,'Data qoq'!$A:$AT,MATCH($C$1,'Data qoq'!$A$1:$AT$1,),))/100+1)^4)-1</f>
        <v>9.8595953436981798E-3</v>
      </c>
      <c r="D36" s="32">
        <f>(((VLOOKUP(B36,'Data qoq'!$A:$AT,MATCH($D$1,'Data qoq'!$A$1:$AT$1,),))/100+1)^4)-1</f>
        <v>0</v>
      </c>
      <c r="E36" s="32">
        <f>(((VLOOKUP(B36,'Data qoq'!$A:$AT,MATCH($E$1,'Data qoq'!$A$1:$AT$1,),))/100+1)^4)-1</f>
        <v>4.4837365856287725E-2</v>
      </c>
      <c r="F36" s="32">
        <f>(((VLOOKUP(B36,'Data qoq'!$A:$AT,MATCH($F$1,'Data qoq'!$A$1:$AT$1,),))/100+1)^4)-1</f>
        <v>6.2305506071751449E-3</v>
      </c>
      <c r="G36" s="32">
        <f>(((VLOOKUP(B36,'Data qoq'!$A:$AT,MATCH($G$1,'Data qoq'!$A$1:$AT$1,),))/100+1)^4)-1</f>
        <v>7.0712013546557984E-2</v>
      </c>
      <c r="H36" s="32">
        <f>(((VLOOKUP(B36,'Data qoq'!$A:$AT,MATCH($H$1,'Data qoq'!$A$1:$AT$1,),))/100+1)^4)-1</f>
        <v>4.2037399473305648E-2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6.7530520004305261E-2</v>
      </c>
      <c r="M36" s="32">
        <f>(((VLOOKUP(B36,'Data qoq'!$A:$AT,MATCH($M$1,'Data qoq'!$A$1:$AT$1,),))/100+1)^4)-1</f>
        <v>3.9433069209047655E-2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9.1853625791089577E-3</v>
      </c>
      <c r="R36" s="32">
        <f>(((VLOOKUP(B36,'Data qoq'!$A:$AT,MATCH($R$1,'Data qoq'!$A$1:$AT$1,),))/100+1)^4)-1</f>
        <v>3.299107647175048E-2</v>
      </c>
      <c r="S36" s="32">
        <f>(((VLOOKUP(B36,'Data qoq'!$A:$AT,MATCH($S$1,'Data qoq'!$A$1:$AT$1,),))/100+1)^4)-1</f>
        <v>2.9545911484218479E-2</v>
      </c>
      <c r="T36" s="32">
        <f>(((VLOOKUP(B36,'Data qoq'!$A:$AT,MATCH($T$1,'Data qoq'!$A$1:$AT$1,),))/100+1)^4)-1</f>
        <v>1.0953636484241525E-2</v>
      </c>
      <c r="U36" s="32">
        <f>(((VLOOKUP(B36,'Data qoq'!$A:$AT,MATCH($U$1,'Data qoq'!$A$1:$AT$1,),))/100+1)^4)-1</f>
        <v>1.2338704333578976E-2</v>
      </c>
      <c r="V36" s="32">
        <f>(((VLOOKUP(B36,'Data qoq'!$A:$AT,MATCH($V$1,'Data qoq'!$A$1:$AT$1,),))/100+1)^4)-1</f>
        <v>6.5176906131141354E-3</v>
      </c>
      <c r="W36" s="32">
        <f>(((VLOOKUP(B36,'Data qoq'!$A:$AT,MATCH($W$1,'Data qoq'!$A$1:$AT$1,),))/100+1)^4)-1</f>
        <v>0.1275261189976824</v>
      </c>
      <c r="X36" s="32">
        <f>(((VLOOKUP(B36,'Data qoq'!$A:$AT,MATCH($X$1,'Data qoq'!$A$1:$AT$1,),))/100+1)^4)-1</f>
        <v>8.0081701127330929E-2</v>
      </c>
      <c r="Y36" s="32">
        <f>(((VLOOKUP(B36,'Data qoq'!$A:$AT,MATCH($Y$1,'Data qoq'!$A$1:$AT$1,),))/100+1)^4)-1</f>
        <v>9.5213013314058736E-2</v>
      </c>
      <c r="Z36" s="32">
        <f>(((VLOOKUP(B36,'Data qoq'!$A:$AU,MATCH($Z$1,'Data qoq'!$A$1:$AU$1,),))/100+1)^4)-1</f>
        <v>5.2575146014263385E-2</v>
      </c>
      <c r="AA36" s="32">
        <f>(((VLOOKUP(B36,'Data qoq'!$A:$AU,MATCH($AA$1,'Data qoq'!$A$1:$AU$1,),))/100+1)^4)-1</f>
        <v>1.835758914994523E-2</v>
      </c>
      <c r="AC36" s="26" t="str">
        <f t="shared" si="6"/>
        <v>2006-Q2</v>
      </c>
      <c r="AD36" s="31">
        <f t="shared" si="7"/>
        <v>3.5373722942747765E-2</v>
      </c>
      <c r="AE36" s="27"/>
    </row>
    <row r="37" spans="1:31" hidden="1" x14ac:dyDescent="0.2">
      <c r="A37" s="30">
        <v>38961</v>
      </c>
      <c r="B37" s="24" t="s">
        <v>303</v>
      </c>
      <c r="C37" s="32">
        <f>(((VLOOKUP(B37,'Data qoq'!$A:$AT,MATCH($C$1,'Data qoq'!$A$1:$AT$1,),))/100+1)^4)-1</f>
        <v>6.0318433873747246E-3</v>
      </c>
      <c r="D37" s="32">
        <f>(((VLOOKUP(B37,'Data qoq'!$A:$AT,MATCH($D$1,'Data qoq'!$A$1:$AT$1,),))/100+1)^4)-1</f>
        <v>0</v>
      </c>
      <c r="E37" s="32">
        <f>(((VLOOKUP(B37,'Data qoq'!$A:$AT,MATCH($E$1,'Data qoq'!$A$1:$AT$1,),))/100+1)^4)-1</f>
        <v>2.3458829498868239E-2</v>
      </c>
      <c r="F37" s="32">
        <f>(((VLOOKUP(B37,'Data qoq'!$A:$AT,MATCH($F$1,'Data qoq'!$A$1:$AT$1,),))/100+1)^4)-1</f>
        <v>-8.1925162803905272E-3</v>
      </c>
      <c r="G37" s="32">
        <f>(((VLOOKUP(B37,'Data qoq'!$A:$AT,MATCH($G$1,'Data qoq'!$A$1:$AT$1,),))/100+1)^4)-1</f>
        <v>3.1564630661045534E-2</v>
      </c>
      <c r="H37" s="32">
        <f>(((VLOOKUP(B37,'Data qoq'!$A:$AT,MATCH($H$1,'Data qoq'!$A$1:$AT$1,),))/100+1)^4)-1</f>
        <v>2.4200906991911353E-3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4.7830718924151583E-2</v>
      </c>
      <c r="M37" s="32">
        <f>(((VLOOKUP(B37,'Data qoq'!$A:$AT,MATCH($M$1,'Data qoq'!$A$1:$AT$1,),))/100+1)^4)-1</f>
        <v>1.1248513645808478E-2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6.0740726341843132E-2</v>
      </c>
      <c r="R37" s="32">
        <f>(((VLOOKUP(B37,'Data qoq'!$A:$AT,MATCH($R$1,'Data qoq'!$A$1:$AT$1,),))/100+1)^4)-1</f>
        <v>2.6543283309138355E-2</v>
      </c>
      <c r="S37" s="32">
        <f>(((VLOOKUP(B37,'Data qoq'!$A:$AT,MATCH($S$1,'Data qoq'!$A$1:$AT$1,),))/100+1)^4)-1</f>
        <v>6.613799268876619E-2</v>
      </c>
      <c r="T37" s="32">
        <f>(((VLOOKUP(B37,'Data qoq'!$A:$AT,MATCH($T$1,'Data qoq'!$A$1:$AT$1,),))/100+1)^4)-1</f>
        <v>6.5684450054402932E-2</v>
      </c>
      <c r="U37" s="32">
        <f>(((VLOOKUP(B37,'Data qoq'!$A:$AT,MATCH($U$1,'Data qoq'!$A$1:$AT$1,),))/100+1)^4)-1</f>
        <v>1.9234763142594646E-2</v>
      </c>
      <c r="V37" s="32">
        <f>(((VLOOKUP(B37,'Data qoq'!$A:$AT,MATCH($V$1,'Data qoq'!$A$1:$AT$1,),))/100+1)^4)-1</f>
        <v>2.5261294840470461E-2</v>
      </c>
      <c r="W37" s="32">
        <f>(((VLOOKUP(B37,'Data qoq'!$A:$AT,MATCH($W$1,'Data qoq'!$A$1:$AT$1,),))/100+1)^4)-1</f>
        <v>-2.9800507487606209E-2</v>
      </c>
      <c r="X37" s="32">
        <f>(((VLOOKUP(B37,'Data qoq'!$A:$AT,MATCH($X$1,'Data qoq'!$A$1:$AT$1,),))/100+1)^4)-1</f>
        <v>4.9361851296258363E-2</v>
      </c>
      <c r="Y37" s="32">
        <f>(((VLOOKUP(B37,'Data qoq'!$A:$AT,MATCH($Y$1,'Data qoq'!$A$1:$AT$1,),))/100+1)^4)-1</f>
        <v>6.7694902851994199E-2</v>
      </c>
      <c r="Z37" s="32">
        <f>(((VLOOKUP(B37,'Data qoq'!$A:$AU,MATCH($Z$1,'Data qoq'!$A$1:$AU$1,),))/100+1)^4)-1</f>
        <v>0.11640138295235536</v>
      </c>
      <c r="AA37" s="32">
        <f>(((VLOOKUP(B37,'Data qoq'!$A:$AU,MATCH($AA$1,'Data qoq'!$A$1:$AU$1,),))/100+1)^4)-1</f>
        <v>2.5860365850857603E-2</v>
      </c>
      <c r="AC37" s="26" t="str">
        <f t="shared" si="6"/>
        <v>2006-Q3</v>
      </c>
      <c r="AD37" s="31">
        <f t="shared" si="7"/>
        <v>1.7741907412450519E-2</v>
      </c>
      <c r="AE37" s="27"/>
    </row>
    <row r="38" spans="1:31" hidden="1" x14ac:dyDescent="0.2">
      <c r="A38" s="30">
        <v>39052</v>
      </c>
      <c r="B38" s="24" t="s">
        <v>304</v>
      </c>
      <c r="C38" s="32">
        <f>(((VLOOKUP(B38,'Data qoq'!$A:$AT,MATCH($C$1,'Data qoq'!$A$1:$AT$1,),))/100+1)^4)-1</f>
        <v>3.4177984945622075E-2</v>
      </c>
      <c r="D38" s="32">
        <f>(((VLOOKUP(B38,'Data qoq'!$A:$AT,MATCH($D$1,'Data qoq'!$A$1:$AT$1,),))/100+1)^4)-1</f>
        <v>0</v>
      </c>
      <c r="E38" s="32">
        <f>(((VLOOKUP(B38,'Data qoq'!$A:$AT,MATCH($E$1,'Data qoq'!$A$1:$AT$1,),))/100+1)^4)-1</f>
        <v>4.7860277755200187E-2</v>
      </c>
      <c r="F38" s="32">
        <f>(((VLOOKUP(B38,'Data qoq'!$A:$AT,MATCH($F$1,'Data qoq'!$A$1:$AT$1,),))/100+1)^4)-1</f>
        <v>5.5140022664766253E-2</v>
      </c>
      <c r="G38" s="32">
        <f>(((VLOOKUP(B38,'Data qoq'!$A:$AT,MATCH($G$1,'Data qoq'!$A$1:$AT$1,),))/100+1)^4)-1</f>
        <v>6.197655197116525E-2</v>
      </c>
      <c r="H38" s="32">
        <f>(((VLOOKUP(B38,'Data qoq'!$A:$AT,MATCH($H$1,'Data qoq'!$A$1:$AT$1,),))/100+1)^4)-1</f>
        <v>2.9866871004474493E-2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2.6707438211567514E-2</v>
      </c>
      <c r="M38" s="32">
        <f>(((VLOOKUP(B38,'Data qoq'!$A:$AT,MATCH($M$1,'Data qoq'!$A$1:$AT$1,),))/100+1)^4)-1</f>
        <v>9.9847407766422425E-3</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5.2406728437889072E-2</v>
      </c>
      <c r="R38" s="32">
        <f>(((VLOOKUP(B38,'Data qoq'!$A:$AT,MATCH($R$1,'Data qoq'!$A$1:$AT$1,),))/100+1)^4)-1</f>
        <v>5.2482147427046044E-2</v>
      </c>
      <c r="S38" s="32">
        <f>(((VLOOKUP(B38,'Data qoq'!$A:$AT,MATCH($S$1,'Data qoq'!$A$1:$AT$1,),))/100+1)^4)-1</f>
        <v>3.1540640786499319E-2</v>
      </c>
      <c r="T38" s="32">
        <f>(((VLOOKUP(B38,'Data qoq'!$A:$AT,MATCH($T$1,'Data qoq'!$A$1:$AT$1,),))/100+1)^4)-1</f>
        <v>4.8652535893012772E-2</v>
      </c>
      <c r="U38" s="32">
        <f>(((VLOOKUP(B38,'Data qoq'!$A:$AT,MATCH($U$1,'Data qoq'!$A$1:$AT$1,),))/100+1)^4)-1</f>
        <v>0.10566373897334769</v>
      </c>
      <c r="V38" s="32">
        <f>(((VLOOKUP(B38,'Data qoq'!$A:$AT,MATCH($V$1,'Data qoq'!$A$1:$AT$1,),))/100+1)^4)-1</f>
        <v>3.656531807666652E-2</v>
      </c>
      <c r="W38" s="32">
        <f>(((VLOOKUP(B38,'Data qoq'!$A:$AT,MATCH($W$1,'Data qoq'!$A$1:$AT$1,),))/100+1)^4)-1</f>
        <v>9.3455946723747685E-2</v>
      </c>
      <c r="X38" s="32">
        <f>(((VLOOKUP(B38,'Data qoq'!$A:$AT,MATCH($X$1,'Data qoq'!$A$1:$AT$1,),))/100+1)^4)-1</f>
        <v>5.5064149360519288E-2</v>
      </c>
      <c r="Y38" s="32">
        <f>(((VLOOKUP(B38,'Data qoq'!$A:$AT,MATCH($Y$1,'Data qoq'!$A$1:$AT$1,),))/100+1)^4)-1</f>
        <v>-5.8611569936256713E-2</v>
      </c>
      <c r="Z38" s="32">
        <f>(((VLOOKUP(B38,'Data qoq'!$A:$AU,MATCH($Z$1,'Data qoq'!$A$1:$AU$1,),))/100+1)^4)-1</f>
        <v>8.6788766865540046E-2</v>
      </c>
      <c r="AA38" s="32">
        <f>(((VLOOKUP(B38,'Data qoq'!$A:$AU,MATCH($AA$1,'Data qoq'!$A$1:$AU$1,),))/100+1)^4)-1</f>
        <v>3.5780540840428587E-2</v>
      </c>
      <c r="AC38" s="26" t="str">
        <f t="shared" si="6"/>
        <v>2006-Q4</v>
      </c>
      <c r="AD38" s="31">
        <f t="shared" si="7"/>
        <v>3.0280019265715774E-2</v>
      </c>
      <c r="AE38" s="27"/>
    </row>
    <row r="39" spans="1:31" hidden="1" x14ac:dyDescent="0.2">
      <c r="A39" s="30">
        <v>39142</v>
      </c>
      <c r="B39" s="24" t="s">
        <v>305</v>
      </c>
      <c r="C39" s="32">
        <f>(((VLOOKUP(B39,'Data qoq'!$A:$AT,MATCH($C$1,'Data qoq'!$A$1:$AT$1,),))/100+1)^4)-1</f>
        <v>1.1795775922242457E-2</v>
      </c>
      <c r="D39" s="32">
        <f>(((VLOOKUP(B39,'Data qoq'!$A:$AT,MATCH($D$1,'Data qoq'!$A$1:$AT$1,),))/100+1)^4)-1</f>
        <v>0</v>
      </c>
      <c r="E39" s="32">
        <f>(((VLOOKUP(B39,'Data qoq'!$A:$AT,MATCH($E$1,'Data qoq'!$A$1:$AT$1,),))/100+1)^4)-1</f>
        <v>2.4740354673386422E-2</v>
      </c>
      <c r="F39" s="32">
        <f>(((VLOOKUP(B39,'Data qoq'!$A:$AT,MATCH($F$1,'Data qoq'!$A$1:$AT$1,),))/100+1)^4)-1</f>
        <v>2.7140897054127588E-2</v>
      </c>
      <c r="G39" s="32">
        <f>(((VLOOKUP(B39,'Data qoq'!$A:$AT,MATCH($G$1,'Data qoq'!$A$1:$AT$1,),))/100+1)^4)-1</f>
        <v>2.5081583061838941E-3</v>
      </c>
      <c r="H39" s="32">
        <f>(((VLOOKUP(B39,'Data qoq'!$A:$AT,MATCH($H$1,'Data qoq'!$A$1:$AT$1,),))/100+1)^4)-1</f>
        <v>2.9652709604364169E-2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3.8956290754952327E-2</v>
      </c>
      <c r="M39" s="32">
        <f>(((VLOOKUP(B39,'Data qoq'!$A:$AT,MATCH($M$1,'Data qoq'!$A$1:$AT$1,),))/100+1)^4)-1</f>
        <v>2.8309561192741084E-2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5.657540498509861E-2</v>
      </c>
      <c r="R39" s="32">
        <f>(((VLOOKUP(B39,'Data qoq'!$A:$AT,MATCH($R$1,'Data qoq'!$A$1:$AT$1,),))/100+1)^4)-1</f>
        <v>2.2934402334887194E-2</v>
      </c>
      <c r="S39" s="32">
        <f>(((VLOOKUP(B39,'Data qoq'!$A:$AT,MATCH($S$1,'Data qoq'!$A$1:$AT$1,),))/100+1)^4)-1</f>
        <v>6.8662041058624279E-2</v>
      </c>
      <c r="T39" s="32">
        <f>(((VLOOKUP(B39,'Data qoq'!$A:$AT,MATCH($T$1,'Data qoq'!$A$1:$AT$1,),))/100+1)^4)-1</f>
        <v>8.097455039145518E-2</v>
      </c>
      <c r="U39" s="32">
        <f>(((VLOOKUP(B39,'Data qoq'!$A:$AT,MATCH($U$1,'Data qoq'!$A$1:$AT$1,),))/100+1)^4)-1</f>
        <v>-3.1043355594225108E-2</v>
      </c>
      <c r="V39" s="32">
        <f>(((VLOOKUP(B39,'Data qoq'!$A:$AT,MATCH($V$1,'Data qoq'!$A$1:$AT$1,),))/100+1)^4)-1</f>
        <v>0.23957698869445632</v>
      </c>
      <c r="W39" s="32">
        <f>(((VLOOKUP(B39,'Data qoq'!$A:$AT,MATCH($W$1,'Data qoq'!$A$1:$AT$1,),))/100+1)^4)-1</f>
        <v>7.4941738531141278E-2</v>
      </c>
      <c r="X39" s="32">
        <f>(((VLOOKUP(B39,'Data qoq'!$A:$AT,MATCH($X$1,'Data qoq'!$A$1:$AT$1,),))/100+1)^4)-1</f>
        <v>7.0221802107105491E-2</v>
      </c>
      <c r="Y39" s="32">
        <f>(((VLOOKUP(B39,'Data qoq'!$A:$AT,MATCH($Y$1,'Data qoq'!$A$1:$AT$1,),))/100+1)^4)-1</f>
        <v>0.19663123229630486</v>
      </c>
      <c r="Z39" s="32">
        <f>(((VLOOKUP(B39,'Data qoq'!$A:$AU,MATCH($Z$1,'Data qoq'!$A$1:$AU$1,),))/100+1)^4)-1</f>
        <v>9.7716071521875891E-2</v>
      </c>
      <c r="AA39" s="32">
        <f>(((VLOOKUP(B39,'Data qoq'!$A:$AU,MATCH($AA$1,'Data qoq'!$A$1:$AU$1,),))/100+1)^4)-1</f>
        <v>5.0117528749106688E-2</v>
      </c>
      <c r="AC39" s="26" t="str">
        <f t="shared" si="6"/>
        <v>2007-Q1</v>
      </c>
      <c r="AD39" s="31">
        <f t="shared" si="7"/>
        <v>-1.7547164546455329E-2</v>
      </c>
      <c r="AE39" s="27"/>
    </row>
    <row r="40" spans="1:31" hidden="1" x14ac:dyDescent="0.2">
      <c r="A40" s="30">
        <v>39234</v>
      </c>
      <c r="B40" s="24" t="s">
        <v>306</v>
      </c>
      <c r="C40" s="32">
        <f>(((VLOOKUP(B40,'Data qoq'!$A:$AT,MATCH($C$1,'Data qoq'!$A$1:$AT$1,),))/100+1)^4)-1</f>
        <v>2.5782982951032762E-2</v>
      </c>
      <c r="D40" s="32">
        <f>(((VLOOKUP(B40,'Data qoq'!$A:$AT,MATCH($D$1,'Data qoq'!$A$1:$AT$1,),))/100+1)^4)-1</f>
        <v>0</v>
      </c>
      <c r="E40" s="32">
        <f>(((VLOOKUP(B40,'Data qoq'!$A:$AT,MATCH($E$1,'Data qoq'!$A$1:$AT$1,),))/100+1)^4)-1</f>
        <v>2.8711779814094562E-2</v>
      </c>
      <c r="F40" s="32">
        <f>(((VLOOKUP(B40,'Data qoq'!$A:$AT,MATCH($F$1,'Data qoq'!$A$1:$AT$1,),))/100+1)^4)-1</f>
        <v>1.1713533744859284E-3</v>
      </c>
      <c r="G40" s="32">
        <f>(((VLOOKUP(B40,'Data qoq'!$A:$AT,MATCH($G$1,'Data qoq'!$A$1:$AT$1,),))/100+1)^4)-1</f>
        <v>3.3945861855842807E-2</v>
      </c>
      <c r="H40" s="32">
        <f>(((VLOOKUP(B40,'Data qoq'!$A:$AT,MATCH($H$1,'Data qoq'!$A$1:$AT$1,),))/100+1)^4)-1</f>
        <v>2.7330252341408734E-2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2.1359348338331641E-2</v>
      </c>
      <c r="M40" s="32">
        <f>(((VLOOKUP(B40,'Data qoq'!$A:$AT,MATCH($M$1,'Data qoq'!$A$1:$AT$1,),))/100+1)^4)-1</f>
        <v>3.1244966902108429E-2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2.6139820220046461E-2</v>
      </c>
      <c r="R40" s="32">
        <f>(((VLOOKUP(B40,'Data qoq'!$A:$AT,MATCH($R$1,'Data qoq'!$A$1:$AT$1,),))/100+1)^4)-1</f>
        <v>6.3285825254718375E-2</v>
      </c>
      <c r="S40" s="32">
        <f>(((VLOOKUP(B40,'Data qoq'!$A:$AT,MATCH($S$1,'Data qoq'!$A$1:$AT$1,),))/100+1)^4)-1</f>
        <v>7.1028789100476386E-2</v>
      </c>
      <c r="T40" s="32">
        <f>(((VLOOKUP(B40,'Data qoq'!$A:$AT,MATCH($T$1,'Data qoq'!$A$1:$AT$1,),))/100+1)^4)-1</f>
        <v>6.661403707142588E-2</v>
      </c>
      <c r="U40" s="32">
        <f>(((VLOOKUP(B40,'Data qoq'!$A:$AT,MATCH($U$1,'Data qoq'!$A$1:$AT$1,),))/100+1)^4)-1</f>
        <v>0.12165520988855727</v>
      </c>
      <c r="V40" s="32">
        <f>(((VLOOKUP(B40,'Data qoq'!$A:$AT,MATCH($V$1,'Data qoq'!$A$1:$AT$1,),))/100+1)^4)-1</f>
        <v>-4.3942750429490918E-2</v>
      </c>
      <c r="W40" s="32">
        <f>(((VLOOKUP(B40,'Data qoq'!$A:$AT,MATCH($W$1,'Data qoq'!$A$1:$AT$1,),))/100+1)^4)-1</f>
        <v>1.2219798041721575E-3</v>
      </c>
      <c r="X40" s="32">
        <f>(((VLOOKUP(B40,'Data qoq'!$A:$AT,MATCH($X$1,'Data qoq'!$A$1:$AT$1,),))/100+1)^4)-1</f>
        <v>3.2859617036772315E-2</v>
      </c>
      <c r="Y40" s="32">
        <f>(((VLOOKUP(B40,'Data qoq'!$A:$AT,MATCH($Y$1,'Data qoq'!$A$1:$AT$1,),))/100+1)^4)-1</f>
        <v>4.6375227081107306E-2</v>
      </c>
      <c r="Z40" s="32">
        <f>(((VLOOKUP(B40,'Data qoq'!$A:$AU,MATCH($Z$1,'Data qoq'!$A$1:$AU$1,),))/100+1)^4)-1</f>
        <v>9.0081995768424905E-2</v>
      </c>
      <c r="AA40" s="32">
        <f>(((VLOOKUP(B40,'Data qoq'!$A:$AU,MATCH($AA$1,'Data qoq'!$A$1:$AU$1,),))/100+1)^4)-1</f>
        <v>3.6891037218367728E-2</v>
      </c>
      <c r="AC40" s="26" t="str">
        <f t="shared" si="6"/>
        <v>2007-Q2</v>
      </c>
      <c r="AD40" s="31">
        <f t="shared" si="7"/>
        <v>2.0915604711260194E-3</v>
      </c>
      <c r="AE40" s="27"/>
    </row>
    <row r="41" spans="1:31" hidden="1" x14ac:dyDescent="0.2">
      <c r="A41" s="30">
        <v>39326</v>
      </c>
      <c r="B41" s="24" t="s">
        <v>307</v>
      </c>
      <c r="C41" s="32">
        <f>(((VLOOKUP(B41,'Data qoq'!$A:$AT,MATCH($C$1,'Data qoq'!$A$1:$AT$1,),))/100+1)^4)-1</f>
        <v>2.4310805584600859E-2</v>
      </c>
      <c r="D41" s="32">
        <f>(((VLOOKUP(B41,'Data qoq'!$A:$AT,MATCH($D$1,'Data qoq'!$A$1:$AT$1,),))/100+1)^4)-1</f>
        <v>0</v>
      </c>
      <c r="E41" s="32">
        <f>(((VLOOKUP(B41,'Data qoq'!$A:$AT,MATCH($E$1,'Data qoq'!$A$1:$AT$1,),))/100+1)^4)-1</f>
        <v>1.8443161169958033E-2</v>
      </c>
      <c r="F41" s="32">
        <f>(((VLOOKUP(B41,'Data qoq'!$A:$AT,MATCH($F$1,'Data qoq'!$A$1:$AT$1,),))/100+1)^4)-1</f>
        <v>-2.1923431523504511E-2</v>
      </c>
      <c r="G41" s="32">
        <f>(((VLOOKUP(B41,'Data qoq'!$A:$AT,MATCH($G$1,'Data qoq'!$A$1:$AT$1,),))/100+1)^4)-1</f>
        <v>2.0884762239796295E-2</v>
      </c>
      <c r="H41" s="32">
        <f>(((VLOOKUP(B41,'Data qoq'!$A:$AT,MATCH($H$1,'Data qoq'!$A$1:$AT$1,),))/100+1)^4)-1</f>
        <v>1.8559785580994692E-2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3.1543616738952451E-2</v>
      </c>
      <c r="M41" s="32">
        <f>(((VLOOKUP(B41,'Data qoq'!$A:$AT,MATCH($M$1,'Data qoq'!$A$1:$AT$1,),))/100+1)^4)-1</f>
        <v>2.5414676877215436E-2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4.6371625948567141E-2</v>
      </c>
      <c r="R41" s="32">
        <f>(((VLOOKUP(B41,'Data qoq'!$A:$AT,MATCH($R$1,'Data qoq'!$A$1:$AT$1,),))/100+1)^4)-1</f>
        <v>3.4250888035225246E-2</v>
      </c>
      <c r="S41" s="32">
        <f>(((VLOOKUP(B41,'Data qoq'!$A:$AT,MATCH($S$1,'Data qoq'!$A$1:$AT$1,),))/100+1)^4)-1</f>
        <v>4.7786474870416873E-2</v>
      </c>
      <c r="T41" s="32">
        <f>(((VLOOKUP(B41,'Data qoq'!$A:$AT,MATCH($T$1,'Data qoq'!$A$1:$AT$1,),))/100+1)^4)-1</f>
        <v>3.9703090939182673E-2</v>
      </c>
      <c r="U41" s="32">
        <f>(((VLOOKUP(B41,'Data qoq'!$A:$AT,MATCH($U$1,'Data qoq'!$A$1:$AT$1,),))/100+1)^4)-1</f>
        <v>-2.4692542329537104E-2</v>
      </c>
      <c r="V41" s="32">
        <f>(((VLOOKUP(B41,'Data qoq'!$A:$AT,MATCH($V$1,'Data qoq'!$A$1:$AT$1,),))/100+1)^4)-1</f>
        <v>-0.10104940961534381</v>
      </c>
      <c r="W41" s="32">
        <f>(((VLOOKUP(B41,'Data qoq'!$A:$AT,MATCH($W$1,'Data qoq'!$A$1:$AT$1,),))/100+1)^4)-1</f>
        <v>2.3662906865193234E-2</v>
      </c>
      <c r="X41" s="32">
        <f>(((VLOOKUP(B41,'Data qoq'!$A:$AT,MATCH($X$1,'Data qoq'!$A$1:$AT$1,),))/100+1)^4)-1</f>
        <v>5.743181433263711E-2</v>
      </c>
      <c r="Y41" s="32">
        <f>(((VLOOKUP(B41,'Data qoq'!$A:$AT,MATCH($Y$1,'Data qoq'!$A$1:$AT$1,),))/100+1)^4)-1</f>
        <v>6.9634194277985895E-2</v>
      </c>
      <c r="Z41" s="32">
        <f>(((VLOOKUP(B41,'Data qoq'!$A:$AU,MATCH($Z$1,'Data qoq'!$A$1:$AU$1,),))/100+1)^4)-1</f>
        <v>5.460398678702072E-2</v>
      </c>
      <c r="AA41" s="32">
        <f>(((VLOOKUP(B41,'Data qoq'!$A:$AU,MATCH($AA$1,'Data qoq'!$A$1:$AU$1,),))/100+1)^4)-1</f>
        <v>3.0100447817561049E-2</v>
      </c>
      <c r="AC41" s="26" t="str">
        <f t="shared" si="6"/>
        <v>2007-Q3</v>
      </c>
      <c r="AD41" s="31">
        <f t="shared" si="7"/>
        <v>-1.2339178341643997E-2</v>
      </c>
      <c r="AE41" s="27"/>
    </row>
    <row r="42" spans="1:31" hidden="1" x14ac:dyDescent="0.2">
      <c r="A42" s="30">
        <v>39417</v>
      </c>
      <c r="B42" s="24" t="s">
        <v>308</v>
      </c>
      <c r="C42" s="32">
        <f>(((VLOOKUP(B42,'Data qoq'!$A:$AT,MATCH($C$1,'Data qoq'!$A$1:$AT$1,),))/100+1)^4)-1</f>
        <v>2.4609667322921247E-2</v>
      </c>
      <c r="D42" s="32">
        <f>(((VLOOKUP(B42,'Data qoq'!$A:$AT,MATCH($D$1,'Data qoq'!$A$1:$AT$1,),))/100+1)^4)-1</f>
        <v>0</v>
      </c>
      <c r="E42" s="32">
        <f>(((VLOOKUP(B42,'Data qoq'!$A:$AT,MATCH($E$1,'Data qoq'!$A$1:$AT$1,),))/100+1)^4)-1</f>
        <v>2.0611179105438193E-2</v>
      </c>
      <c r="F42" s="32">
        <f>(((VLOOKUP(B42,'Data qoq'!$A:$AT,MATCH($F$1,'Data qoq'!$A$1:$AT$1,),))/100+1)^4)-1</f>
        <v>1.7908980676720754E-2</v>
      </c>
      <c r="G42" s="32">
        <f>(((VLOOKUP(B42,'Data qoq'!$A:$AT,MATCH($G$1,'Data qoq'!$A$1:$AT$1,),))/100+1)^4)-1</f>
        <v>2.6020671471657097E-2</v>
      </c>
      <c r="H42" s="32">
        <f>(((VLOOKUP(B42,'Data qoq'!$A:$AT,MATCH($H$1,'Data qoq'!$A$1:$AT$1,),))/100+1)^4)-1</f>
        <v>7.7119700465935193E-3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4.4944189140166069E-2</v>
      </c>
      <c r="M42" s="32">
        <f>(((VLOOKUP(B42,'Data qoq'!$A:$AT,MATCH($M$1,'Data qoq'!$A$1:$AT$1,),))/100+1)^4)-1</f>
        <v>1.5804820031898537E-2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1.6201033311877611E-2</v>
      </c>
      <c r="R42" s="32">
        <f>(((VLOOKUP(B42,'Data qoq'!$A:$AT,MATCH($R$1,'Data qoq'!$A$1:$AT$1,),))/100+1)^4)-1</f>
        <v>3.614073352023528E-2</v>
      </c>
      <c r="S42" s="32">
        <f>(((VLOOKUP(B42,'Data qoq'!$A:$AT,MATCH($S$1,'Data qoq'!$A$1:$AT$1,),))/100+1)^4)-1</f>
        <v>8.9109755075500008E-2</v>
      </c>
      <c r="T42" s="32">
        <f>(((VLOOKUP(B42,'Data qoq'!$A:$AT,MATCH($T$1,'Data qoq'!$A$1:$AT$1,),))/100+1)^4)-1</f>
        <v>6.4708290102110322E-2</v>
      </c>
      <c r="U42" s="32">
        <f>(((VLOOKUP(B42,'Data qoq'!$A:$AT,MATCH($U$1,'Data qoq'!$A$1:$AT$1,),))/100+1)^4)-1</f>
        <v>-1.968802174359896E-2</v>
      </c>
      <c r="V42" s="32">
        <f>(((VLOOKUP(B42,'Data qoq'!$A:$AT,MATCH($V$1,'Data qoq'!$A$1:$AT$1,),))/100+1)^4)-1</f>
        <v>0.1574284421363974</v>
      </c>
      <c r="W42" s="32">
        <f>(((VLOOKUP(B42,'Data qoq'!$A:$AT,MATCH($W$1,'Data qoq'!$A$1:$AT$1,),))/100+1)^4)-1</f>
        <v>0.14453677760350536</v>
      </c>
      <c r="X42" s="32">
        <f>(((VLOOKUP(B42,'Data qoq'!$A:$AT,MATCH($X$1,'Data qoq'!$A$1:$AT$1,),))/100+1)^4)-1</f>
        <v>5.3184562489079656E-2</v>
      </c>
      <c r="Y42" s="32">
        <f>(((VLOOKUP(B42,'Data qoq'!$A:$AT,MATCH($Y$1,'Data qoq'!$A$1:$AT$1,),))/100+1)^4)-1</f>
        <v>5.4832260075991179E-2</v>
      </c>
      <c r="Z42" s="32">
        <f>(((VLOOKUP(B42,'Data qoq'!$A:$AU,MATCH($Z$1,'Data qoq'!$A$1:$AU$1,),))/100+1)^4)-1</f>
        <v>0.12849395505450101</v>
      </c>
      <c r="AA42" s="32">
        <f>(((VLOOKUP(B42,'Data qoq'!$A:$AU,MATCH($AA$1,'Data qoq'!$A$1:$AU$1,),))/100+1)^4)-1</f>
        <v>6.5911711310691068E-3</v>
      </c>
      <c r="AC42" s="26" t="str">
        <f t="shared" si="6"/>
        <v>2007-Q4</v>
      </c>
      <c r="AD42" s="31">
        <f t="shared" si="7"/>
        <v>-6.0799178229706818E-3</v>
      </c>
      <c r="AE42" s="27"/>
    </row>
    <row r="43" spans="1:31" hidden="1" x14ac:dyDescent="0.2">
      <c r="A43" s="30">
        <v>39508</v>
      </c>
      <c r="B43" s="24" t="s">
        <v>309</v>
      </c>
      <c r="C43" s="32">
        <f>(((VLOOKUP(B43,'Data qoq'!$A:$AT,MATCH($C$1,'Data qoq'!$A$1:$AT$1,),))/100+1)^4)-1</f>
        <v>-1.6197849949850074E-2</v>
      </c>
      <c r="D43" s="32">
        <f>(((VLOOKUP(B43,'Data qoq'!$A:$AT,MATCH($D$1,'Data qoq'!$A$1:$AT$1,),))/100+1)^4)-1</f>
        <v>0</v>
      </c>
      <c r="E43" s="32">
        <f>(((VLOOKUP(B43,'Data qoq'!$A:$AT,MATCH($E$1,'Data qoq'!$A$1:$AT$1,),))/100+1)^4)-1</f>
        <v>2.0289857276345469E-2</v>
      </c>
      <c r="F43" s="32">
        <f>(((VLOOKUP(B43,'Data qoq'!$A:$AT,MATCH($F$1,'Data qoq'!$A$1:$AT$1,),))/100+1)^4)-1</f>
        <v>1.4849261942414538E-2</v>
      </c>
      <c r="G43" s="32">
        <f>(((VLOOKUP(B43,'Data qoq'!$A:$AT,MATCH($G$1,'Data qoq'!$A$1:$AT$1,),))/100+1)^4)-1</f>
        <v>2.5853080206285295E-2</v>
      </c>
      <c r="H43" s="32">
        <f>(((VLOOKUP(B43,'Data qoq'!$A:$AT,MATCH($H$1,'Data qoq'!$A$1:$AT$1,),))/100+1)^4)-1</f>
        <v>2.0116494287486963E-2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-2.9839986603212076E-2</v>
      </c>
      <c r="M43" s="32">
        <f>(((VLOOKUP(B43,'Data qoq'!$A:$AT,MATCH($M$1,'Data qoq'!$A$1:$AT$1,),))/100+1)^4)-1</f>
        <v>-8.0871888668758718E-3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4.2675243813738328E-2</v>
      </c>
      <c r="R43" s="32">
        <f>(((VLOOKUP(B43,'Data qoq'!$A:$AT,MATCH($R$1,'Data qoq'!$A$1:$AT$1,),))/100+1)^4)-1</f>
        <v>3.4274661711491961E-2</v>
      </c>
      <c r="S43" s="32">
        <f>(((VLOOKUP(B43,'Data qoq'!$A:$AT,MATCH($S$1,'Data qoq'!$A$1:$AT$1,),))/100+1)^4)-1</f>
        <v>1.6193208180944829E-2</v>
      </c>
      <c r="T43" s="32">
        <f>(((VLOOKUP(B43,'Data qoq'!$A:$AT,MATCH($T$1,'Data qoq'!$A$1:$AT$1,),))/100+1)^4)-1</f>
        <v>5.0149256354273808E-2</v>
      </c>
      <c r="U43" s="32">
        <f>(((VLOOKUP(B43,'Data qoq'!$A:$AT,MATCH($U$1,'Data qoq'!$A$1:$AT$1,),))/100+1)^4)-1</f>
        <v>2.4689251694475001E-2</v>
      </c>
      <c r="V43" s="32">
        <f>(((VLOOKUP(B43,'Data qoq'!$A:$AT,MATCH($V$1,'Data qoq'!$A$1:$AT$1,),))/100+1)^4)-1</f>
        <v>-9.6710036954119727E-2</v>
      </c>
      <c r="W43" s="32">
        <f>(((VLOOKUP(B43,'Data qoq'!$A:$AT,MATCH($W$1,'Data qoq'!$A$1:$AT$1,),))/100+1)^4)-1</f>
        <v>8.6959655243317613E-2</v>
      </c>
      <c r="X43" s="32">
        <f>(((VLOOKUP(B43,'Data qoq'!$A:$AT,MATCH($X$1,'Data qoq'!$A$1:$AT$1,),))/100+1)^4)-1</f>
        <v>1.8950318135264155E-2</v>
      </c>
      <c r="Y43" s="32">
        <f>(((VLOOKUP(B43,'Data qoq'!$A:$AT,MATCH($Y$1,'Data qoq'!$A$1:$AT$1,),))/100+1)^4)-1</f>
        <v>7.894290862764608E-2</v>
      </c>
      <c r="Z43" s="32">
        <f>(((VLOOKUP(B43,'Data qoq'!$A:$AU,MATCH($Z$1,'Data qoq'!$A$1:$AU$1,),))/100+1)^4)-1</f>
        <v>3.8324198425736755E-2</v>
      </c>
      <c r="AA43" s="32">
        <f>(((VLOOKUP(B43,'Data qoq'!$A:$AU,MATCH($AA$1,'Data qoq'!$A$1:$AU$1,),))/100+1)^4)-1</f>
        <v>-1.2501988883888426E-2</v>
      </c>
      <c r="AC43" s="26" t="str">
        <f t="shared" ref="AC43:AC74" si="8">B43</f>
        <v>2008-Q1</v>
      </c>
      <c r="AD43" s="31">
        <f t="shared" ref="AD43:AD74" si="9">(VLOOKUP(AC43,B:Y,MATCH($AE$6,$B$1:$Y$1,),))-(VLOOKUP(AC43,B:Y,MATCH($AE$7,$B$1:$Y$1,),))</f>
        <v>7.6045668930158072E-4</v>
      </c>
      <c r="AE43" s="27"/>
    </row>
    <row r="44" spans="1:31" hidden="1" x14ac:dyDescent="0.2">
      <c r="A44" s="30">
        <v>39600</v>
      </c>
      <c r="B44" s="24" t="s">
        <v>310</v>
      </c>
      <c r="C44" s="32">
        <f>(((VLOOKUP(B44,'Data qoq'!$A:$AT,MATCH($C$1,'Data qoq'!$A$1:$AT$1,),))/100+1)^4)-1</f>
        <v>2.3089077807028735E-2</v>
      </c>
      <c r="D44" s="32">
        <f>(((VLOOKUP(B44,'Data qoq'!$A:$AT,MATCH($D$1,'Data qoq'!$A$1:$AT$1,),))/100+1)^4)-1</f>
        <v>0</v>
      </c>
      <c r="E44" s="32">
        <f>(((VLOOKUP(B44,'Data qoq'!$A:$AT,MATCH($E$1,'Data qoq'!$A$1:$AT$1,),))/100+1)^4)-1</f>
        <v>-1.3328419720895823E-2</v>
      </c>
      <c r="F44" s="32">
        <f>(((VLOOKUP(B44,'Data qoq'!$A:$AT,MATCH($F$1,'Data qoq'!$A$1:$AT$1,),))/100+1)^4)-1</f>
        <v>-2.3612440849348437E-2</v>
      </c>
      <c r="G44" s="32">
        <f>(((VLOOKUP(B44,'Data qoq'!$A:$AT,MATCH($G$1,'Data qoq'!$A$1:$AT$1,),))/100+1)^4)-1</f>
        <v>-9.7172877819649006E-3</v>
      </c>
      <c r="H44" s="32">
        <f>(((VLOOKUP(B44,'Data qoq'!$A:$AT,MATCH($H$1,'Data qoq'!$A$1:$AT$1,),))/100+1)^4)-1</f>
        <v>-2.1653987746527492E-2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-2.7775664253112398E-3</v>
      </c>
      <c r="M44" s="32">
        <f>(((VLOOKUP(B44,'Data qoq'!$A:$AT,MATCH($M$1,'Data qoq'!$A$1:$AT$1,),))/100+1)^4)-1</f>
        <v>3.1266300829708049E-2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1.1610970502599294E-2</v>
      </c>
      <c r="R44" s="32">
        <f>(((VLOOKUP(B44,'Data qoq'!$A:$AT,MATCH($R$1,'Data qoq'!$A$1:$AT$1,),))/100+1)^4)-1</f>
        <v>4.7816707803415071E-2</v>
      </c>
      <c r="S44" s="32">
        <f>(((VLOOKUP(B44,'Data qoq'!$A:$AT,MATCH($S$1,'Data qoq'!$A$1:$AT$1,),))/100+1)^4)-1</f>
        <v>2.1103909038446167E-2</v>
      </c>
      <c r="T44" s="32">
        <f>(((VLOOKUP(B44,'Data qoq'!$A:$AT,MATCH($T$1,'Data qoq'!$A$1:$AT$1,),))/100+1)^4)-1</f>
        <v>8.6479550588940191E-2</v>
      </c>
      <c r="U44" s="32">
        <f>(((VLOOKUP(B44,'Data qoq'!$A:$AT,MATCH($U$1,'Data qoq'!$A$1:$AT$1,),))/100+1)^4)-1</f>
        <v>-2.5344947265725559E-2</v>
      </c>
      <c r="V44" s="32">
        <f>(((VLOOKUP(B44,'Data qoq'!$A:$AT,MATCH($V$1,'Data qoq'!$A$1:$AT$1,),))/100+1)^4)-1</f>
        <v>-6.394942693176342E-2</v>
      </c>
      <c r="W44" s="32">
        <f>(((VLOOKUP(B44,'Data qoq'!$A:$AT,MATCH($W$1,'Data qoq'!$A$1:$AT$1,),))/100+1)^4)-1</f>
        <v>-0.13456556967107314</v>
      </c>
      <c r="X44" s="32">
        <f>(((VLOOKUP(B44,'Data qoq'!$A:$AT,MATCH($X$1,'Data qoq'!$A$1:$AT$1,),))/100+1)^4)-1</f>
        <v>2.9143497684481989E-2</v>
      </c>
      <c r="Y44" s="32">
        <f>(((VLOOKUP(B44,'Data qoq'!$A:$AT,MATCH($Y$1,'Data qoq'!$A$1:$AT$1,),))/100+1)^4)-1</f>
        <v>9.7586968420084741E-3</v>
      </c>
      <c r="Z44" s="32">
        <f>(((VLOOKUP(B44,'Data qoq'!$A:$AU,MATCH($Z$1,'Data qoq'!$A$1:$AU$1,),))/100+1)^4)-1</f>
        <v>2.0639032087082843E-2</v>
      </c>
      <c r="AA44" s="32">
        <f>(((VLOOKUP(B44,'Data qoq'!$A:$AU,MATCH($AA$1,'Data qoq'!$A$1:$AU$1,),))/100+1)^4)-1</f>
        <v>-1.197736667949334E-2</v>
      </c>
      <c r="AC44" s="26" t="str">
        <f t="shared" si="8"/>
        <v>2008-Q2</v>
      </c>
      <c r="AD44" s="31">
        <f t="shared" si="9"/>
        <v>5.5923947250539063E-3</v>
      </c>
      <c r="AE44" s="27"/>
    </row>
    <row r="45" spans="1:31" hidden="1" x14ac:dyDescent="0.2">
      <c r="A45" s="30">
        <v>39692</v>
      </c>
      <c r="B45" s="24" t="s">
        <v>311</v>
      </c>
      <c r="C45" s="32">
        <f>(((VLOOKUP(B45,'Data qoq'!$A:$AT,MATCH($C$1,'Data qoq'!$A$1:$AT$1,),))/100+1)^4)-1</f>
        <v>-2.0909730727059928E-2</v>
      </c>
      <c r="D45" s="32">
        <f>(((VLOOKUP(B45,'Data qoq'!$A:$AT,MATCH($D$1,'Data qoq'!$A$1:$AT$1,),))/100+1)^4)-1</f>
        <v>0</v>
      </c>
      <c r="E45" s="32">
        <f>(((VLOOKUP(B45,'Data qoq'!$A:$AT,MATCH($E$1,'Data qoq'!$A$1:$AT$1,),))/100+1)^4)-1</f>
        <v>-2.0782441762427939E-2</v>
      </c>
      <c r="F45" s="32">
        <f>(((VLOOKUP(B45,'Data qoq'!$A:$AT,MATCH($F$1,'Data qoq'!$A$1:$AT$1,),))/100+1)^4)-1</f>
        <v>-4.9537171008887992E-2</v>
      </c>
      <c r="G45" s="32">
        <f>(((VLOOKUP(B45,'Data qoq'!$A:$AT,MATCH($G$1,'Data qoq'!$A$1:$AT$1,),))/100+1)^4)-1</f>
        <v>-2.526205407879456E-2</v>
      </c>
      <c r="H45" s="32">
        <f>(((VLOOKUP(B45,'Data qoq'!$A:$AT,MATCH($H$1,'Data qoq'!$A$1:$AT$1,),))/100+1)^4)-1</f>
        <v>-7.811076701018993E-3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-1.9165192386953356E-2</v>
      </c>
      <c r="M45" s="32">
        <f>(((VLOOKUP(B45,'Data qoq'!$A:$AT,MATCH($M$1,'Data qoq'!$A$1:$AT$1,),))/100+1)^4)-1</f>
        <v>1.2713728498338961E-2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2.9239203780957679E-2</v>
      </c>
      <c r="R45" s="32">
        <f>(((VLOOKUP(B45,'Data qoq'!$A:$AT,MATCH($R$1,'Data qoq'!$A$1:$AT$1,),))/100+1)^4)-1</f>
        <v>1.9366114585980254E-2</v>
      </c>
      <c r="S45" s="32">
        <f>(((VLOOKUP(B45,'Data qoq'!$A:$AT,MATCH($S$1,'Data qoq'!$A$1:$AT$1,),))/100+1)^4)-1</f>
        <v>3.3036815680477671E-2</v>
      </c>
      <c r="T45" s="32">
        <f>(((VLOOKUP(B45,'Data qoq'!$A:$AT,MATCH($T$1,'Data qoq'!$A$1:$AT$1,),))/100+1)^4)-1</f>
        <v>6.4545602652470224E-2</v>
      </c>
      <c r="U45" s="32">
        <f>(((VLOOKUP(B45,'Data qoq'!$A:$AT,MATCH($U$1,'Data qoq'!$A$1:$AT$1,),))/100+1)^4)-1</f>
        <v>-3.8936275669441134E-3</v>
      </c>
      <c r="V45" s="32">
        <f>(((VLOOKUP(B45,'Data qoq'!$A:$AT,MATCH($V$1,'Data qoq'!$A$1:$AT$1,),))/100+1)^4)-1</f>
        <v>-4.7916325126514003E-2</v>
      </c>
      <c r="W45" s="32">
        <f>(((VLOOKUP(B45,'Data qoq'!$A:$AT,MATCH($W$1,'Data qoq'!$A$1:$AT$1,),))/100+1)^4)-1</f>
        <v>-7.0718070162514635E-2</v>
      </c>
      <c r="X45" s="32">
        <f>(((VLOOKUP(B45,'Data qoq'!$A:$AT,MATCH($X$1,'Data qoq'!$A$1:$AT$1,),))/100+1)^4)-1</f>
        <v>9.9451814760644908E-3</v>
      </c>
      <c r="Y45" s="32">
        <f>(((VLOOKUP(B45,'Data qoq'!$A:$AT,MATCH($Y$1,'Data qoq'!$A$1:$AT$1,),))/100+1)^4)-1</f>
        <v>-1.339510058108706E-2</v>
      </c>
      <c r="Z45" s="32">
        <f>(((VLOOKUP(B45,'Data qoq'!$A:$AU,MATCH($Z$1,'Data qoq'!$A$1:$AU$1,),))/100+1)^4)-1</f>
        <v>3.1498268411061847E-2</v>
      </c>
      <c r="AA45" s="32">
        <f>(((VLOOKUP(B45,'Data qoq'!$A:$AU,MATCH($AA$1,'Data qoq'!$A$1:$AU$1,),))/100+1)^4)-1</f>
        <v>-1.3547713920672999E-2</v>
      </c>
      <c r="AC45" s="26" t="str">
        <f t="shared" si="8"/>
        <v>2008-Q3</v>
      </c>
      <c r="AD45" s="31">
        <f t="shared" si="9"/>
        <v>3.8383715756999615E-2</v>
      </c>
      <c r="AE45" s="27"/>
    </row>
    <row r="46" spans="1:31" hidden="1" x14ac:dyDescent="0.2">
      <c r="A46" s="30">
        <v>39783</v>
      </c>
      <c r="B46" s="24" t="s">
        <v>312</v>
      </c>
      <c r="C46" s="32">
        <f>(((VLOOKUP(B46,'Data qoq'!$A:$AT,MATCH($C$1,'Data qoq'!$A$1:$AT$1,),))/100+1)^4)-1</f>
        <v>-8.4505728691842252E-2</v>
      </c>
      <c r="D46" s="32">
        <f>(((VLOOKUP(B46,'Data qoq'!$A:$AT,MATCH($D$1,'Data qoq'!$A$1:$AT$1,),))/100+1)^4)-1</f>
        <v>0</v>
      </c>
      <c r="E46" s="32">
        <f>(((VLOOKUP(B46,'Data qoq'!$A:$AT,MATCH($E$1,'Data qoq'!$A$1:$AT$1,),))/100+1)^4)-1</f>
        <v>-7.0137441137169243E-2</v>
      </c>
      <c r="F46" s="32">
        <f>(((VLOOKUP(B46,'Data qoq'!$A:$AT,MATCH($F$1,'Data qoq'!$A$1:$AT$1,),))/100+1)^4)-1</f>
        <v>-9.418682383662258E-2</v>
      </c>
      <c r="G46" s="32">
        <f>(((VLOOKUP(B46,'Data qoq'!$A:$AT,MATCH($G$1,'Data qoq'!$A$1:$AT$1,),))/100+1)^4)-1</f>
        <v>-6.2235901484361311E-2</v>
      </c>
      <c r="H46" s="32">
        <f>(((VLOOKUP(B46,'Data qoq'!$A:$AT,MATCH($H$1,'Data qoq'!$A$1:$AT$1,),))/100+1)^4)-1</f>
        <v>-5.8580628598310258E-2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-0.1357796535086736</v>
      </c>
      <c r="M46" s="32">
        <f>(((VLOOKUP(B46,'Data qoq'!$A:$AT,MATCH($M$1,'Data qoq'!$A$1:$AT$1,),))/100+1)^4)-1</f>
        <v>-6.3713154471435995E-2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-1.8666877400277948E-2</v>
      </c>
      <c r="R46" s="32">
        <f>(((VLOOKUP(B46,'Data qoq'!$A:$AT,MATCH($R$1,'Data qoq'!$A$1:$AT$1,),))/100+1)^4)-1</f>
        <v>-0.11624490404474408</v>
      </c>
      <c r="S46" s="32">
        <f>(((VLOOKUP(B46,'Data qoq'!$A:$AT,MATCH($S$1,'Data qoq'!$A$1:$AT$1,),))/100+1)^4)-1</f>
        <v>-0.1250257063241409</v>
      </c>
      <c r="T46" s="32">
        <f>(((VLOOKUP(B46,'Data qoq'!$A:$AT,MATCH($T$1,'Data qoq'!$A$1:$AT$1,),))/100+1)^4)-1</f>
        <v>-0.14237870825831767</v>
      </c>
      <c r="U46" s="32">
        <f>(((VLOOKUP(B46,'Data qoq'!$A:$AT,MATCH($U$1,'Data qoq'!$A$1:$AT$1,),))/100+1)^4)-1</f>
        <v>-5.4720484055890917E-2</v>
      </c>
      <c r="V46" s="32">
        <f>(((VLOOKUP(B46,'Data qoq'!$A:$AT,MATCH($V$1,'Data qoq'!$A$1:$AT$1,),))/100+1)^4)-1</f>
        <v>-0.1718793344847821</v>
      </c>
      <c r="W46" s="32">
        <f>(((VLOOKUP(B46,'Data qoq'!$A:$AT,MATCH($W$1,'Data qoq'!$A$1:$AT$1,),))/100+1)^4)-1</f>
        <v>-9.779534031853121E-2</v>
      </c>
      <c r="X46" s="32">
        <f>(((VLOOKUP(B46,'Data qoq'!$A:$AT,MATCH($X$1,'Data qoq'!$A$1:$AT$1,),))/100+1)^4)-1</f>
        <v>-7.6718963151459652E-2</v>
      </c>
      <c r="Y46" s="32">
        <f>(((VLOOKUP(B46,'Data qoq'!$A:$AT,MATCH($Y$1,'Data qoq'!$A$1:$AT$1,),))/100+1)^4)-1</f>
        <v>1.6293957104252188E-2</v>
      </c>
      <c r="Z46" s="32">
        <f>(((VLOOKUP(B46,'Data qoq'!$A:$AU,MATCH($Z$1,'Data qoq'!$A$1:$AU$1,),))/100+1)^4)-1</f>
        <v>-0.17373676576170161</v>
      </c>
      <c r="AA46" s="32">
        <f>(((VLOOKUP(B46,'Data qoq'!$A:$AU,MATCH($AA$1,'Data qoq'!$A$1:$AU$1,),))/100+1)^4)-1</f>
        <v>-2.6567438384179409E-2</v>
      </c>
      <c r="AC46" s="26" t="str">
        <f t="shared" si="8"/>
        <v>2008-Q4</v>
      </c>
      <c r="AD46" s="31">
        <f t="shared" si="9"/>
        <v>1.6334487878525317E-2</v>
      </c>
      <c r="AE46" s="27"/>
    </row>
    <row r="47" spans="1:31" hidden="1" x14ac:dyDescent="0.2">
      <c r="A47" s="30">
        <v>39873</v>
      </c>
      <c r="B47" s="24" t="s">
        <v>313</v>
      </c>
      <c r="C47" s="32">
        <f>(((VLOOKUP(B47,'Data qoq'!$A:$AT,MATCH($C$1,'Data qoq'!$A$1:$AT$1,),))/100+1)^4)-1</f>
        <v>-4.5819873805539646E-2</v>
      </c>
      <c r="D47" s="32">
        <f>(((VLOOKUP(B47,'Data qoq'!$A:$AT,MATCH($D$1,'Data qoq'!$A$1:$AT$1,),))/100+1)^4)-1</f>
        <v>0</v>
      </c>
      <c r="E47" s="32">
        <f>(((VLOOKUP(B47,'Data qoq'!$A:$AT,MATCH($E$1,'Data qoq'!$A$1:$AT$1,),))/100+1)^4)-1</f>
        <v>-0.1192871975390305</v>
      </c>
      <c r="F47" s="32">
        <f>(((VLOOKUP(B47,'Data qoq'!$A:$AT,MATCH($F$1,'Data qoq'!$A$1:$AT$1,),))/100+1)^4)-1</f>
        <v>-0.17850785018716031</v>
      </c>
      <c r="G47" s="32">
        <f>(((VLOOKUP(B47,'Data qoq'!$A:$AT,MATCH($G$1,'Data qoq'!$A$1:$AT$1,),))/100+1)^4)-1</f>
        <v>-0.17461680510792443</v>
      </c>
      <c r="H47" s="32">
        <f>(((VLOOKUP(B47,'Data qoq'!$A:$AT,MATCH($H$1,'Data qoq'!$A$1:$AT$1,),))/100+1)^4)-1</f>
        <v>-6.5940827394920354E-2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-5.6325736537678139E-2</v>
      </c>
      <c r="M47" s="32">
        <f>(((VLOOKUP(B47,'Data qoq'!$A:$AT,MATCH($M$1,'Data qoq'!$A$1:$AT$1,),))/100+1)^4)-1</f>
        <v>-0.18974175731724741</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3.7416961149867145E-2</v>
      </c>
      <c r="R47" s="32">
        <f>(((VLOOKUP(B47,'Data qoq'!$A:$AT,MATCH($R$1,'Data qoq'!$A$1:$AT$1,),))/100+1)^4)-1</f>
        <v>-6.9909573339051123E-2</v>
      </c>
      <c r="S47" s="32">
        <f>(((VLOOKUP(B47,'Data qoq'!$A:$AT,MATCH($S$1,'Data qoq'!$A$1:$AT$1,),))/100+1)^4)-1</f>
        <v>3.6043303614470279E-3</v>
      </c>
      <c r="T47" s="32">
        <f>(((VLOOKUP(B47,'Data qoq'!$A:$AT,MATCH($T$1,'Data qoq'!$A$1:$AT$1,),))/100+1)^4)-1</f>
        <v>-5.4653132458618026E-2</v>
      </c>
      <c r="U47" s="32">
        <f>(((VLOOKUP(B47,'Data qoq'!$A:$AT,MATCH($U$1,'Data qoq'!$A$1:$AT$1,),))/100+1)^4)-1</f>
        <v>-0.17680937793396401</v>
      </c>
      <c r="V47" s="32">
        <f>(((VLOOKUP(B47,'Data qoq'!$A:$AT,MATCH($V$1,'Data qoq'!$A$1:$AT$1,),))/100+1)^4)-1</f>
        <v>4.3540657656571113E-3</v>
      </c>
      <c r="W47" s="32">
        <f>(((VLOOKUP(B47,'Data qoq'!$A:$AT,MATCH($W$1,'Data qoq'!$A$1:$AT$1,),))/100+1)^4)-1</f>
        <v>-0.20802865238462842</v>
      </c>
      <c r="X47" s="32">
        <f>(((VLOOKUP(B47,'Data qoq'!$A:$AT,MATCH($X$1,'Data qoq'!$A$1:$AT$1,),))/100+1)^4)-1</f>
        <v>-0.12737648646137412</v>
      </c>
      <c r="Y47" s="32">
        <f>(((VLOOKUP(B47,'Data qoq'!$A:$AT,MATCH($Y$1,'Data qoq'!$A$1:$AT$1,),))/100+1)^4)-1</f>
        <v>6.4662163202645395E-2</v>
      </c>
      <c r="Z47" s="32">
        <f>(((VLOOKUP(B47,'Data qoq'!$A:$AU,MATCH($Z$1,'Data qoq'!$A$1:$AU$1,),))/100+1)^4)-1</f>
        <v>-0.13910255089636336</v>
      </c>
      <c r="AA47" s="32">
        <f>(((VLOOKUP(B47,'Data qoq'!$A:$AU,MATCH($AA$1,'Data qoq'!$A$1:$AU$1,),))/100+1)^4)-1</f>
        <v>-3.9674904181845161E-2</v>
      </c>
      <c r="AC47" s="26" t="str">
        <f t="shared" si="8"/>
        <v>2009-Q1</v>
      </c>
      <c r="AD47" s="31">
        <f t="shared" si="9"/>
        <v>-4.3881180534947162E-2</v>
      </c>
      <c r="AE47" s="27"/>
    </row>
    <row r="48" spans="1:31" hidden="1" x14ac:dyDescent="0.2">
      <c r="A48" s="30">
        <v>39965</v>
      </c>
      <c r="B48" s="24" t="s">
        <v>314</v>
      </c>
      <c r="C48" s="32">
        <f>(((VLOOKUP(B48,'Data qoq'!$A:$AT,MATCH($C$1,'Data qoq'!$A$1:$AT$1,),))/100+1)^4)-1</f>
        <v>-6.7523600121504046E-3</v>
      </c>
      <c r="D48" s="32">
        <f>(((VLOOKUP(B48,'Data qoq'!$A:$AT,MATCH($D$1,'Data qoq'!$A$1:$AT$1,),))/100+1)^4)-1</f>
        <v>0</v>
      </c>
      <c r="E48" s="32">
        <f>(((VLOOKUP(B48,'Data qoq'!$A:$AT,MATCH($E$1,'Data qoq'!$A$1:$AT$1,),))/100+1)^4)-1</f>
        <v>3.2587981655196607E-4</v>
      </c>
      <c r="F48" s="32">
        <f>(((VLOOKUP(B48,'Data qoq'!$A:$AT,MATCH($F$1,'Data qoq'!$A$1:$AT$1,),))/100+1)^4)-1</f>
        <v>7.9700888868778241E-2</v>
      </c>
      <c r="G48" s="32">
        <f>(((VLOOKUP(B48,'Data qoq'!$A:$AT,MATCH($G$1,'Data qoq'!$A$1:$AT$1,),))/100+1)^4)-1</f>
        <v>6.400571595613247E-3</v>
      </c>
      <c r="H48" s="32">
        <f>(((VLOOKUP(B48,'Data qoq'!$A:$AT,MATCH($H$1,'Data qoq'!$A$1:$AT$1,),))/100+1)^4)-1</f>
        <v>-5.1823733581690679E-4</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1.7260677175756634E-3</v>
      </c>
      <c r="M48" s="32">
        <f>(((VLOOKUP(B48,'Data qoq'!$A:$AT,MATCH($M$1,'Data qoq'!$A$1:$AT$1,),))/100+1)^4)-1</f>
        <v>-5.7754808063136154E-2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3.0003068325999305E-2</v>
      </c>
      <c r="R48" s="32">
        <f>(((VLOOKUP(B48,'Data qoq'!$A:$AT,MATCH($R$1,'Data qoq'!$A$1:$AT$1,),))/100+1)^4)-1</f>
        <v>2.3735690295449752E-2</v>
      </c>
      <c r="S48" s="32">
        <f>(((VLOOKUP(B48,'Data qoq'!$A:$AT,MATCH($S$1,'Data qoq'!$A$1:$AT$1,),))/100+1)^4)-1</f>
        <v>5.4386384443282143E-2</v>
      </c>
      <c r="T48" s="32">
        <f>(((VLOOKUP(B48,'Data qoq'!$A:$AT,MATCH($T$1,'Data qoq'!$A$1:$AT$1,),))/100+1)^4)-1</f>
        <v>7.3577797272838863E-2</v>
      </c>
      <c r="U48" s="32">
        <f>(((VLOOKUP(B48,'Data qoq'!$A:$AT,MATCH($U$1,'Data qoq'!$A$1:$AT$1,),))/100+1)^4)-1</f>
        <v>0.11578642852092891</v>
      </c>
      <c r="V48" s="32">
        <f>(((VLOOKUP(B48,'Data qoq'!$A:$AT,MATCH($V$1,'Data qoq'!$A$1:$AT$1,),))/100+1)^4)-1</f>
        <v>1.6040294996968463E-3</v>
      </c>
      <c r="W48" s="32">
        <f>(((VLOOKUP(B48,'Data qoq'!$A:$AT,MATCH($W$1,'Data qoq'!$A$1:$AT$1,),))/100+1)^4)-1</f>
        <v>0.17017346987867699</v>
      </c>
      <c r="X48" s="32">
        <f>(((VLOOKUP(B48,'Data qoq'!$A:$AT,MATCH($X$1,'Data qoq'!$A$1:$AT$1,),))/100+1)^4)-1</f>
        <v>-1.5178275647827366E-2</v>
      </c>
      <c r="Y48" s="32">
        <f>(((VLOOKUP(B48,'Data qoq'!$A:$AT,MATCH($Y$1,'Data qoq'!$A$1:$AT$1,),))/100+1)^4)-1</f>
        <v>1.8470598245465819E-3</v>
      </c>
      <c r="Z48" s="32">
        <f>(((VLOOKUP(B48,'Data qoq'!$A:$AU,MATCH($Z$1,'Data qoq'!$A$1:$AU$1,),))/100+1)^4)-1</f>
        <v>-8.724376362372932E-2</v>
      </c>
      <c r="AA48" s="32">
        <f>(((VLOOKUP(B48,'Data qoq'!$A:$AU,MATCH($AA$1,'Data qoq'!$A$1:$AU$1,),))/100+1)^4)-1</f>
        <v>-2.1616670055161213E-3</v>
      </c>
      <c r="AC48" s="26" t="str">
        <f t="shared" si="8"/>
        <v>2009-Q2</v>
      </c>
      <c r="AD48" s="31">
        <f t="shared" si="9"/>
        <v>1.1748075333722574E-2</v>
      </c>
      <c r="AE48" s="27"/>
    </row>
    <row r="49" spans="1:31" hidden="1" x14ac:dyDescent="0.2">
      <c r="A49" s="30">
        <v>40057</v>
      </c>
      <c r="B49" s="24" t="s">
        <v>315</v>
      </c>
      <c r="C49" s="32">
        <f>(((VLOOKUP(B49,'Data qoq'!$A:$AT,MATCH($C$1,'Data qoq'!$A$1:$AT$1,),))/100+1)^4)-1</f>
        <v>1.455598544426584E-2</v>
      </c>
      <c r="D49" s="32">
        <f>(((VLOOKUP(B49,'Data qoq'!$A:$AT,MATCH($D$1,'Data qoq'!$A$1:$AT$1,),))/100+1)^4)-1</f>
        <v>0</v>
      </c>
      <c r="E49" s="32">
        <f>(((VLOOKUP(B49,'Data qoq'!$A:$AT,MATCH($E$1,'Data qoq'!$A$1:$AT$1,),))/100+1)^4)-1</f>
        <v>1.5878804821213288E-2</v>
      </c>
      <c r="F49" s="32">
        <f>(((VLOOKUP(B49,'Data qoq'!$A:$AT,MATCH($F$1,'Data qoq'!$A$1:$AT$1,),))/100+1)^4)-1</f>
        <v>-2.4657369680282093E-3</v>
      </c>
      <c r="G49" s="32">
        <f>(((VLOOKUP(B49,'Data qoq'!$A:$AT,MATCH($G$1,'Data qoq'!$A$1:$AT$1,),))/100+1)^4)-1</f>
        <v>2.250078734559513E-2</v>
      </c>
      <c r="H49" s="32">
        <f>(((VLOOKUP(B49,'Data qoq'!$A:$AT,MATCH($H$1,'Data qoq'!$A$1:$AT$1,),))/100+1)^4)-1</f>
        <v>6.609166177480974E-3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-1.8198304414042132E-3</v>
      </c>
      <c r="M49" s="32">
        <f>(((VLOOKUP(B49,'Data qoq'!$A:$AT,MATCH($M$1,'Data qoq'!$A$1:$AT$1,),))/100+1)^4)-1</f>
        <v>0.13852483445633745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1.2244262651617044E-2</v>
      </c>
      <c r="R49" s="32">
        <f>(((VLOOKUP(B49,'Data qoq'!$A:$AT,MATCH($R$1,'Data qoq'!$A$1:$AT$1,),))/100+1)^4)-1</f>
        <v>5.6513180821126774E-2</v>
      </c>
      <c r="S49" s="32">
        <f>(((VLOOKUP(B49,'Data qoq'!$A:$AT,MATCH($S$1,'Data qoq'!$A$1:$AT$1,),))/100+1)^4)-1</f>
        <v>0.12518866574588539</v>
      </c>
      <c r="T49" s="32">
        <f>(((VLOOKUP(B49,'Data qoq'!$A:$AT,MATCH($T$1,'Data qoq'!$A$1:$AT$1,),))/100+1)^4)-1</f>
        <v>9.7424283336751349E-2</v>
      </c>
      <c r="U49" s="32">
        <f>(((VLOOKUP(B49,'Data qoq'!$A:$AT,MATCH($U$1,'Data qoq'!$A$1:$AT$1,),))/100+1)^4)-1</f>
        <v>-2.8703244730674538E-2</v>
      </c>
      <c r="V49" s="32">
        <f>(((VLOOKUP(B49,'Data qoq'!$A:$AT,MATCH($V$1,'Data qoq'!$A$1:$AT$1,),))/100+1)^4)-1</f>
        <v>-4.3108146097985522E-2</v>
      </c>
      <c r="W49" s="32">
        <f>(((VLOOKUP(B49,'Data qoq'!$A:$AT,MATCH($W$1,'Data qoq'!$A$1:$AT$1,),))/100+1)^4)-1</f>
        <v>9.9329578595084955E-2</v>
      </c>
      <c r="X49" s="32">
        <f>(((VLOOKUP(B49,'Data qoq'!$A:$AT,MATCH($X$1,'Data qoq'!$A$1:$AT$1,),))/100+1)^4)-1</f>
        <v>1.9281169918929919E-2</v>
      </c>
      <c r="Y49" s="32">
        <f>(((VLOOKUP(B49,'Data qoq'!$A:$AT,MATCH($Y$1,'Data qoq'!$A$1:$AT$1,),))/100+1)^4)-1</f>
        <v>2.3332516658357338E-2</v>
      </c>
      <c r="Z49" s="32">
        <f>(((VLOOKUP(B49,'Data qoq'!$A:$AU,MATCH($Z$1,'Data qoq'!$A$1:$AU$1,),))/100+1)^4)-1</f>
        <v>0.16771666537165775</v>
      </c>
      <c r="AA49" s="32">
        <f>(((VLOOKUP(B49,'Data qoq'!$A:$AU,MATCH($AA$1,'Data qoq'!$A$1:$AU$1,),))/100+1)^4)-1</f>
        <v>1.9962059501287266E-2</v>
      </c>
      <c r="AC49" s="26" t="str">
        <f t="shared" si="8"/>
        <v>2009-Q3</v>
      </c>
      <c r="AD49" s="31">
        <f t="shared" si="9"/>
        <v>1.0580117633566477E-2</v>
      </c>
      <c r="AE49" s="27"/>
    </row>
    <row r="50" spans="1:31" hidden="1" x14ac:dyDescent="0.2">
      <c r="A50" s="30">
        <v>40148</v>
      </c>
      <c r="B50" s="24" t="s">
        <v>316</v>
      </c>
      <c r="C50" s="32">
        <f>(((VLOOKUP(B50,'Data qoq'!$A:$AT,MATCH($C$1,'Data qoq'!$A$1:$AT$1,),))/100+1)^4)-1</f>
        <v>4.3407688869303573E-2</v>
      </c>
      <c r="D50" s="32">
        <f>(((VLOOKUP(B50,'Data qoq'!$A:$AT,MATCH($D$1,'Data qoq'!$A$1:$AT$1,),))/100+1)^4)-1</f>
        <v>0</v>
      </c>
      <c r="E50" s="32">
        <f>(((VLOOKUP(B50,'Data qoq'!$A:$AT,MATCH($E$1,'Data qoq'!$A$1:$AT$1,),))/100+1)^4)-1</f>
        <v>1.6755583775235339E-2</v>
      </c>
      <c r="F50" s="32">
        <f>(((VLOOKUP(B50,'Data qoq'!$A:$AT,MATCH($F$1,'Data qoq'!$A$1:$AT$1,),))/100+1)^4)-1</f>
        <v>5.1549658844161961E-2</v>
      </c>
      <c r="G50" s="32">
        <f>(((VLOOKUP(B50,'Data qoq'!$A:$AT,MATCH($G$1,'Data qoq'!$A$1:$AT$1,),))/100+1)^4)-1</f>
        <v>2.9761558629025631E-2</v>
      </c>
      <c r="H50" s="32">
        <f>(((VLOOKUP(B50,'Data qoq'!$A:$AT,MATCH($H$1,'Data qoq'!$A$1:$AT$1,),))/100+1)^4)-1</f>
        <v>2.8586654041104165E-2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1.9118236609932282E-2</v>
      </c>
      <c r="M50" s="32">
        <f>(((VLOOKUP(B50,'Data qoq'!$A:$AT,MATCH($M$1,'Data qoq'!$A$1:$AT$1,),))/100+1)^4)-1</f>
        <v>6.8015275119960972E-2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3.0499700685146403E-2</v>
      </c>
      <c r="R50" s="32">
        <f>(((VLOOKUP(B50,'Data qoq'!$A:$AT,MATCH($R$1,'Data qoq'!$A$1:$AT$1,),))/100+1)^4)-1</f>
        <v>2.2185638484101267E-2</v>
      </c>
      <c r="S50" s="32">
        <f>(((VLOOKUP(B50,'Data qoq'!$A:$AT,MATCH($S$1,'Data qoq'!$A$1:$AT$1,),))/100+1)^4)-1</f>
        <v>3.0211058033513094E-2</v>
      </c>
      <c r="T50" s="32">
        <f>(((VLOOKUP(B50,'Data qoq'!$A:$AT,MATCH($T$1,'Data qoq'!$A$1:$AT$1,),))/100+1)^4)-1</f>
        <v>0.10631785540385441</v>
      </c>
      <c r="U50" s="32">
        <f>(((VLOOKUP(B50,'Data qoq'!$A:$AT,MATCH($U$1,'Data qoq'!$A$1:$AT$1,),))/100+1)^4)-1</f>
        <v>5.1385538398160957E-3</v>
      </c>
      <c r="V50" s="32">
        <f>(((VLOOKUP(B50,'Data qoq'!$A:$AT,MATCH($V$1,'Data qoq'!$A$1:$AT$1,),))/100+1)^4)-1</f>
        <v>-0.13453026020627223</v>
      </c>
      <c r="W50" s="32">
        <f>(((VLOOKUP(B50,'Data qoq'!$A:$AT,MATCH($W$1,'Data qoq'!$A$1:$AT$1,),))/100+1)^4)-1</f>
        <v>8.0411219025574798E-2</v>
      </c>
      <c r="X50" s="32">
        <f>(((VLOOKUP(B50,'Data qoq'!$A:$AT,MATCH($X$1,'Data qoq'!$A$1:$AT$1,),))/100+1)^4)-1</f>
        <v>2.7498459999126812E-3</v>
      </c>
      <c r="Y50" s="32">
        <f>(((VLOOKUP(B50,'Data qoq'!$A:$AT,MATCH($Y$1,'Data qoq'!$A$1:$AT$1,),))/100+1)^4)-1</f>
        <v>9.9368472167375321E-2</v>
      </c>
      <c r="Z50" s="32">
        <f>(((VLOOKUP(B50,'Data qoq'!$A:$AU,MATCH($Z$1,'Data qoq'!$A$1:$AU$1,),))/100+1)^4)-1</f>
        <v>7.8821107528104228E-2</v>
      </c>
      <c r="AA50" s="32">
        <f>(((VLOOKUP(B50,'Data qoq'!$A:$AU,MATCH($AA$1,'Data qoq'!$A$1:$AU$1,),))/100+1)^4)-1</f>
        <v>5.1758166646930892E-2</v>
      </c>
      <c r="AC50" s="26" t="str">
        <f t="shared" si="8"/>
        <v>2009-Q4</v>
      </c>
      <c r="AD50" s="31">
        <f t="shared" si="9"/>
        <v>3.0454454085848681E-3</v>
      </c>
      <c r="AE50" s="27"/>
    </row>
    <row r="51" spans="1:31" hidden="1" x14ac:dyDescent="0.2">
      <c r="A51" s="30">
        <v>40238</v>
      </c>
      <c r="B51" s="24" t="s">
        <v>317</v>
      </c>
      <c r="C51" s="32">
        <f>(((VLOOKUP(B51,'Data qoq'!$A:$AT,MATCH($C$1,'Data qoq'!$A$1:$AT$1,),))/100+1)^4)-1</f>
        <v>2.0152672116043657E-2</v>
      </c>
      <c r="D51" s="32">
        <f>(((VLOOKUP(B51,'Data qoq'!$A:$AT,MATCH($D$1,'Data qoq'!$A$1:$AT$1,),))/100+1)^4)-1</f>
        <v>0</v>
      </c>
      <c r="E51" s="32">
        <f>(((VLOOKUP(B51,'Data qoq'!$A:$AT,MATCH($E$1,'Data qoq'!$A$1:$AT$1,),))/100+1)^4)-1</f>
        <v>1.7301574549394738E-2</v>
      </c>
      <c r="F51" s="32">
        <f>(((VLOOKUP(B51,'Data qoq'!$A:$AT,MATCH($F$1,'Data qoq'!$A$1:$AT$1,),))/100+1)^4)-1</f>
        <v>4.318137262910926E-2</v>
      </c>
      <c r="G51" s="32">
        <f>(((VLOOKUP(B51,'Data qoq'!$A:$AT,MATCH($G$1,'Data qoq'!$A$1:$AT$1,),))/100+1)^4)-1</f>
        <v>3.2878811608421765E-2</v>
      </c>
      <c r="H51" s="32">
        <f>(((VLOOKUP(B51,'Data qoq'!$A:$AT,MATCH($H$1,'Data qoq'!$A$1:$AT$1,),))/100+1)^4)-1</f>
        <v>1.4506406493097534E-2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0.11029760183305792</v>
      </c>
      <c r="M51" s="32">
        <f>(((VLOOKUP(B51,'Data qoq'!$A:$AT,MATCH($M$1,'Data qoq'!$A$1:$AT$1,),))/100+1)^4)-1</f>
        <v>4.2535176831913102E-2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1.7576294176273377E-2</v>
      </c>
      <c r="R51" s="32">
        <f>(((VLOOKUP(B51,'Data qoq'!$A:$AT,MATCH($R$1,'Data qoq'!$A$1:$AT$1,),))/100+1)^4)-1</f>
        <v>4.0361522446217935E-2</v>
      </c>
      <c r="S51" s="32">
        <f>(((VLOOKUP(B51,'Data qoq'!$A:$AT,MATCH($S$1,'Data qoq'!$A$1:$AT$1,),))/100+1)^4)-1</f>
        <v>8.0696081465059244E-2</v>
      </c>
      <c r="T51" s="32">
        <f>(((VLOOKUP(B51,'Data qoq'!$A:$AT,MATCH($T$1,'Data qoq'!$A$1:$AT$1,),))/100+1)^4)-1</f>
        <v>8.8176225078157033E-2</v>
      </c>
      <c r="U51" s="32">
        <f>(((VLOOKUP(B51,'Data qoq'!$A:$AT,MATCH($U$1,'Data qoq'!$A$1:$AT$1,),))/100+1)^4)-1</f>
        <v>-0.20630158672127719</v>
      </c>
      <c r="V51" s="32">
        <f>(((VLOOKUP(B51,'Data qoq'!$A:$AT,MATCH($V$1,'Data qoq'!$A$1:$AT$1,),))/100+1)^4)-1</f>
        <v>0.18575453466805913</v>
      </c>
      <c r="W51" s="32">
        <f>(((VLOOKUP(B51,'Data qoq'!$A:$AT,MATCH($W$1,'Data qoq'!$A$1:$AT$1,),))/100+1)^4)-1</f>
        <v>-1.1747688664888067E-2</v>
      </c>
      <c r="X51" s="32">
        <f>(((VLOOKUP(B51,'Data qoq'!$A:$AT,MATCH($X$1,'Data qoq'!$A$1:$AT$1,),))/100+1)^4)-1</f>
        <v>2.7790125270331201E-2</v>
      </c>
      <c r="Y51" s="32">
        <f>(((VLOOKUP(B51,'Data qoq'!$A:$AT,MATCH($Y$1,'Data qoq'!$A$1:$AT$1,),))/100+1)^4)-1</f>
        <v>-1.679270928892751E-2</v>
      </c>
      <c r="Z51" s="32">
        <f>(((VLOOKUP(B51,'Data qoq'!$A:$AU,MATCH($Z$1,'Data qoq'!$A$1:$AU$1,),))/100+1)^4)-1</f>
        <v>0.1256394790877553</v>
      </c>
      <c r="AA51" s="32">
        <f>(((VLOOKUP(B51,'Data qoq'!$A:$AU,MATCH($AA$1,'Data qoq'!$A$1:$AU$1,),))/100+1)^4)-1</f>
        <v>1.3235733758091506E-2</v>
      </c>
      <c r="AC51" s="26" t="str">
        <f t="shared" si="8"/>
        <v>2010-Q1</v>
      </c>
      <c r="AD51" s="31">
        <f t="shared" si="9"/>
        <v>-2.1236240640091664E-2</v>
      </c>
      <c r="AE51" s="27"/>
    </row>
    <row r="52" spans="1:31" hidden="1" x14ac:dyDescent="0.2">
      <c r="A52" s="30">
        <v>40330</v>
      </c>
      <c r="B52" s="24" t="s">
        <v>318</v>
      </c>
      <c r="C52" s="32">
        <f>(((VLOOKUP(B52,'Data qoq'!$A:$AT,MATCH($C$1,'Data qoq'!$A$1:$AT$1,),))/100+1)^4)-1</f>
        <v>3.9273690527251048E-2</v>
      </c>
      <c r="D52" s="32">
        <f>(((VLOOKUP(B52,'Data qoq'!$A:$AT,MATCH($D$1,'Data qoq'!$A$1:$AT$1,),))/100+1)^4)-1</f>
        <v>0</v>
      </c>
      <c r="E52" s="32">
        <f>(((VLOOKUP(B52,'Data qoq'!$A:$AT,MATCH($E$1,'Data qoq'!$A$1:$AT$1,),))/100+1)^4)-1</f>
        <v>3.9637388799900419E-2</v>
      </c>
      <c r="F52" s="32">
        <f>(((VLOOKUP(B52,'Data qoq'!$A:$AT,MATCH($F$1,'Data qoq'!$A$1:$AT$1,),))/100+1)^4)-1</f>
        <v>4.8070052409229014E-2</v>
      </c>
      <c r="G52" s="32">
        <f>(((VLOOKUP(B52,'Data qoq'!$A:$AT,MATCH($G$1,'Data qoq'!$A$1:$AT$1,),))/100+1)^4)-1</f>
        <v>9.3166436542036379E-2</v>
      </c>
      <c r="H52" s="32">
        <f>(((VLOOKUP(B52,'Data qoq'!$A:$AT,MATCH($H$1,'Data qoq'!$A$1:$AT$1,),))/100+1)^4)-1</f>
        <v>1.9360818797714563E-2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8.4974126543187589E-2</v>
      </c>
      <c r="M52" s="32">
        <f>(((VLOOKUP(B52,'Data qoq'!$A:$AT,MATCH($M$1,'Data qoq'!$A$1:$AT$1,),))/100+1)^4)-1</f>
        <v>4.500737900588403E-2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2.7171017738117031E-2</v>
      </c>
      <c r="R52" s="32">
        <f>(((VLOOKUP(B52,'Data qoq'!$A:$AT,MATCH($R$1,'Data qoq'!$A$1:$AT$1,),))/100+1)^4)-1</f>
        <v>2.5309125278721867E-2</v>
      </c>
      <c r="S52" s="32">
        <f>(((VLOOKUP(B52,'Data qoq'!$A:$AT,MATCH($S$1,'Data qoq'!$A$1:$AT$1,),))/100+1)^4)-1</f>
        <v>7.8185159694679873E-2</v>
      </c>
      <c r="T52" s="32">
        <f>(((VLOOKUP(B52,'Data qoq'!$A:$AT,MATCH($T$1,'Data qoq'!$A$1:$AT$1,),))/100+1)^4)-1</f>
        <v>4.9271370745054499E-2</v>
      </c>
      <c r="U52" s="32">
        <f>(((VLOOKUP(B52,'Data qoq'!$A:$AT,MATCH($U$1,'Data qoq'!$A$1:$AT$1,),))/100+1)^4)-1</f>
        <v>-0.14004293524750677</v>
      </c>
      <c r="V52" s="32">
        <f>(((VLOOKUP(B52,'Data qoq'!$A:$AT,MATCH($V$1,'Data qoq'!$A$1:$AT$1,),))/100+1)^4)-1</f>
        <v>2.762321789727662E-2</v>
      </c>
      <c r="W52" s="32">
        <f>(((VLOOKUP(B52,'Data qoq'!$A:$AT,MATCH($W$1,'Data qoq'!$A$1:$AT$1,),))/100+1)^4)-1</f>
        <v>0.16091730554145811</v>
      </c>
      <c r="X52" s="32">
        <f>(((VLOOKUP(B52,'Data qoq'!$A:$AT,MATCH($X$1,'Data qoq'!$A$1:$AT$1,),))/100+1)^4)-1</f>
        <v>4.9720076228775945E-2</v>
      </c>
      <c r="Y52" s="32">
        <f>(((VLOOKUP(B52,'Data qoq'!$A:$AT,MATCH($Y$1,'Data qoq'!$A$1:$AT$1,),))/100+1)^4)-1</f>
        <v>6.2454387516801324E-2</v>
      </c>
      <c r="Z52" s="32">
        <f>(((VLOOKUP(B52,'Data qoq'!$A:$AU,MATCH($Z$1,'Data qoq'!$A$1:$AU$1,),))/100+1)^4)-1</f>
        <v>0.18963805674587397</v>
      </c>
      <c r="AA52" s="32">
        <f>(((VLOOKUP(B52,'Data qoq'!$A:$AU,MATCH($AA$1,'Data qoq'!$A$1:$AU$1,),))/100+1)^4)-1</f>
        <v>2.8594644973356731E-2</v>
      </c>
      <c r="AC52" s="26" t="str">
        <f t="shared" si="8"/>
        <v>2010-Q2</v>
      </c>
      <c r="AD52" s="31">
        <f t="shared" si="9"/>
        <v>-6.9032028861371053E-3</v>
      </c>
      <c r="AE52" s="27"/>
    </row>
    <row r="53" spans="1:31" hidden="1" x14ac:dyDescent="0.2">
      <c r="A53" s="30">
        <v>40422</v>
      </c>
      <c r="B53" s="24" t="s">
        <v>319</v>
      </c>
      <c r="C53" s="32">
        <f>(((VLOOKUP(B53,'Data qoq'!$A:$AT,MATCH($C$1,'Data qoq'!$A$1:$AT$1,),))/100+1)^4)-1</f>
        <v>3.1286269292547075E-2</v>
      </c>
      <c r="D53" s="32">
        <f>(((VLOOKUP(B53,'Data qoq'!$A:$AT,MATCH($D$1,'Data qoq'!$A$1:$AT$1,),))/100+1)^4)-1</f>
        <v>0</v>
      </c>
      <c r="E53" s="32">
        <f>(((VLOOKUP(B53,'Data qoq'!$A:$AT,MATCH($E$1,'Data qoq'!$A$1:$AT$1,),))/100+1)^4)-1</f>
        <v>1.7013644166901098E-2</v>
      </c>
      <c r="F53" s="32">
        <f>(((VLOOKUP(B53,'Data qoq'!$A:$AT,MATCH($F$1,'Data qoq'!$A$1:$AT$1,),))/100+1)^4)-1</f>
        <v>7.3882185962102387E-2</v>
      </c>
      <c r="G53" s="32">
        <f>(((VLOOKUP(B53,'Data qoq'!$A:$AT,MATCH($G$1,'Data qoq'!$A$1:$AT$1,),))/100+1)^4)-1</f>
        <v>3.3111873078426113E-2</v>
      </c>
      <c r="H53" s="32">
        <f>(((VLOOKUP(B53,'Data qoq'!$A:$AT,MATCH($H$1,'Data qoq'!$A$1:$AT$1,),))/100+1)^4)-1</f>
        <v>2.491382045399293E-2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5.0348015513725919E-2</v>
      </c>
      <c r="M53" s="32">
        <f>(((VLOOKUP(B53,'Data qoq'!$A:$AT,MATCH($M$1,'Data qoq'!$A$1:$AT$1,),))/100+1)^4)-1</f>
        <v>3.809413094244718E-2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2.8464408232332872E-2</v>
      </c>
      <c r="R53" s="32">
        <f>(((VLOOKUP(B53,'Data qoq'!$A:$AT,MATCH($R$1,'Data qoq'!$A$1:$AT$1,),))/100+1)^4)-1</f>
        <v>2.1206986263232253E-2</v>
      </c>
      <c r="S53" s="32">
        <f>(((VLOOKUP(B53,'Data qoq'!$A:$AT,MATCH($S$1,'Data qoq'!$A$1:$AT$1,),))/100+1)^4)-1</f>
        <v>4.7015500777328967E-2</v>
      </c>
      <c r="T53" s="32">
        <f>(((VLOOKUP(B53,'Data qoq'!$A:$AT,MATCH($T$1,'Data qoq'!$A$1:$AT$1,),))/100+1)^4)-1</f>
        <v>3.6528737992047589E-2</v>
      </c>
      <c r="U53" s="32">
        <f>(((VLOOKUP(B53,'Data qoq'!$A:$AT,MATCH($U$1,'Data qoq'!$A$1:$AT$1,),))/100+1)^4)-1</f>
        <v>-0.12572255175869107</v>
      </c>
      <c r="V53" s="32">
        <f>(((VLOOKUP(B53,'Data qoq'!$A:$AT,MATCH($V$1,'Data qoq'!$A$1:$AT$1,),))/100+1)^4)-1</f>
        <v>5.6190980876646979E-3</v>
      </c>
      <c r="W53" s="32">
        <f>(((VLOOKUP(B53,'Data qoq'!$A:$AT,MATCH($W$1,'Data qoq'!$A$1:$AT$1,),))/100+1)^4)-1</f>
        <v>0.11551981408130807</v>
      </c>
      <c r="X53" s="32">
        <f>(((VLOOKUP(B53,'Data qoq'!$A:$AT,MATCH($X$1,'Data qoq'!$A$1:$AT$1,),))/100+1)^4)-1</f>
        <v>2.9647048332064108E-2</v>
      </c>
      <c r="Y53" s="32">
        <f>(((VLOOKUP(B53,'Data qoq'!$A:$AT,MATCH($Y$1,'Data qoq'!$A$1:$AT$1,),))/100+1)^4)-1</f>
        <v>5.3794998070099576E-2</v>
      </c>
      <c r="Z53" s="32">
        <f>(((VLOOKUP(B53,'Data qoq'!$A:$AU,MATCH($Z$1,'Data qoq'!$A$1:$AU$1,),))/100+1)^4)-1</f>
        <v>2.4203339469540008E-2</v>
      </c>
      <c r="AA53" s="32">
        <f>(((VLOOKUP(B53,'Data qoq'!$A:$AU,MATCH($AA$1,'Data qoq'!$A$1:$AU$1,),))/100+1)^4)-1</f>
        <v>-9.9213784843479313E-3</v>
      </c>
      <c r="AC53" s="26" t="str">
        <f t="shared" si="8"/>
        <v>2010-Q3</v>
      </c>
      <c r="AD53" s="31">
        <f t="shared" si="9"/>
        <v>-8.6015889516319888E-3</v>
      </c>
      <c r="AE53" s="27"/>
    </row>
    <row r="54" spans="1:31" hidden="1" x14ac:dyDescent="0.2">
      <c r="A54" s="30">
        <v>40513</v>
      </c>
      <c r="B54" s="24" t="s">
        <v>320</v>
      </c>
      <c r="C54" s="32">
        <f>(((VLOOKUP(B54,'Data qoq'!$A:$AT,MATCH($C$1,'Data qoq'!$A$1:$AT$1,),))/100+1)^4)-1</f>
        <v>2.0946355685835361E-2</v>
      </c>
      <c r="D54" s="32">
        <f>(((VLOOKUP(B54,'Data qoq'!$A:$AT,MATCH($D$1,'Data qoq'!$A$1:$AT$1,),))/100+1)^4)-1</f>
        <v>0</v>
      </c>
      <c r="E54" s="32">
        <f>(((VLOOKUP(B54,'Data qoq'!$A:$AT,MATCH($E$1,'Data qoq'!$A$1:$AT$1,),))/100+1)^4)-1</f>
        <v>2.3998356032207679E-2</v>
      </c>
      <c r="F54" s="32">
        <f>(((VLOOKUP(B54,'Data qoq'!$A:$AT,MATCH($F$1,'Data qoq'!$A$1:$AT$1,),))/100+1)^4)-1</f>
        <v>-3.1403425872787549E-2</v>
      </c>
      <c r="G54" s="32">
        <f>(((VLOOKUP(B54,'Data qoq'!$A:$AT,MATCH($G$1,'Data qoq'!$A$1:$AT$1,),))/100+1)^4)-1</f>
        <v>3.2839870797656268E-2</v>
      </c>
      <c r="H54" s="32">
        <f>(((VLOOKUP(B54,'Data qoq'!$A:$AT,MATCH($H$1,'Data qoq'!$A$1:$AT$1,),))/100+1)^4)-1</f>
        <v>2.7311430382267909E-2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6.5221796292426637E-2</v>
      </c>
      <c r="M54" s="32">
        <f>(((VLOOKUP(B54,'Data qoq'!$A:$AT,MATCH($M$1,'Data qoq'!$A$1:$AT$1,),))/100+1)^4)-1</f>
        <v>3.1285584164216784E-2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3.5669261383752815E-2</v>
      </c>
      <c r="R54" s="32">
        <f>(((VLOOKUP(B54,'Data qoq'!$A:$AT,MATCH($R$1,'Data qoq'!$A$1:$AT$1,),))/100+1)^4)-1</f>
        <v>3.3443701217736876E-2</v>
      </c>
      <c r="S54" s="32">
        <f>(((VLOOKUP(B54,'Data qoq'!$A:$AT,MATCH($S$1,'Data qoq'!$A$1:$AT$1,),))/100+1)^4)-1</f>
        <v>4.967206464572671E-2</v>
      </c>
      <c r="T54" s="32">
        <f>(((VLOOKUP(B54,'Data qoq'!$A:$AT,MATCH($T$1,'Data qoq'!$A$1:$AT$1,),))/100+1)^4)-1</f>
        <v>5.6761328896040242E-2</v>
      </c>
      <c r="U54" s="32">
        <f>(((VLOOKUP(B54,'Data qoq'!$A:$AT,MATCH($U$1,'Data qoq'!$A$1:$AT$1,),))/100+1)^4)-1</f>
        <v>-3.0227506657672043E-2</v>
      </c>
      <c r="V54" s="32">
        <f>(((VLOOKUP(B54,'Data qoq'!$A:$AT,MATCH($V$1,'Data qoq'!$A$1:$AT$1,),))/100+1)^4)-1</f>
        <v>-7.1493744782252677E-2</v>
      </c>
      <c r="W54" s="32">
        <f>(((VLOOKUP(B54,'Data qoq'!$A:$AT,MATCH($W$1,'Data qoq'!$A$1:$AT$1,),))/100+1)^4)-1</f>
        <v>0.12652273982063234</v>
      </c>
      <c r="X54" s="32">
        <f>(((VLOOKUP(B54,'Data qoq'!$A:$AT,MATCH($X$1,'Data qoq'!$A$1:$AT$1,),))/100+1)^4)-1</f>
        <v>1.8051835095031166E-2</v>
      </c>
      <c r="Y54" s="32">
        <f>(((VLOOKUP(B54,'Data qoq'!$A:$AT,MATCH($Y$1,'Data qoq'!$A$1:$AT$1,),))/100+1)^4)-1</f>
        <v>3.9681633452309351E-2</v>
      </c>
      <c r="Z54" s="32">
        <f>(((VLOOKUP(B54,'Data qoq'!$A:$AU,MATCH($Z$1,'Data qoq'!$A$1:$AU$1,),))/100+1)^4)-1</f>
        <v>5.524857500914937E-2</v>
      </c>
      <c r="AA54" s="32">
        <f>(((VLOOKUP(B54,'Data qoq'!$A:$AU,MATCH($AA$1,'Data qoq'!$A$1:$AU$1,),))/100+1)^4)-1</f>
        <v>-2.0617034607044893E-2</v>
      </c>
      <c r="AC54" s="26" t="str">
        <f t="shared" si="8"/>
        <v>2010-Q4</v>
      </c>
      <c r="AD54" s="31">
        <f t="shared" si="9"/>
        <v>1.8491583278818391E-2</v>
      </c>
      <c r="AE54" s="27"/>
    </row>
    <row r="55" spans="1:31" hidden="1" x14ac:dyDescent="0.2">
      <c r="A55" s="30">
        <v>40603</v>
      </c>
      <c r="B55" s="24" t="s">
        <v>321</v>
      </c>
      <c r="C55" s="32">
        <f>(((VLOOKUP(B55,'Data qoq'!$A:$AT,MATCH($C$1,'Data qoq'!$A$1:$AT$1,),))/100+1)^4)-1</f>
        <v>-9.6018742868266838E-3</v>
      </c>
      <c r="D55" s="32">
        <f>(((VLOOKUP(B55,'Data qoq'!$A:$AT,MATCH($D$1,'Data qoq'!$A$1:$AT$1,),))/100+1)^4)-1</f>
        <v>9.9511627775999978E-2</v>
      </c>
      <c r="E55" s="32">
        <f>(((VLOOKUP(B55,'Data qoq'!$A:$AT,MATCH($E$1,'Data qoq'!$A$1:$AT$1,),))/100+1)^4)-1</f>
        <v>3.6594814901256933E-2</v>
      </c>
      <c r="F55" s="32">
        <f>(((VLOOKUP(B55,'Data qoq'!$A:$AT,MATCH($F$1,'Data qoq'!$A$1:$AT$1,),))/100+1)^4)-1</f>
        <v>-4.1206782606092673E-2</v>
      </c>
      <c r="G55" s="32">
        <f>(((VLOOKUP(B55,'Data qoq'!$A:$AT,MATCH($G$1,'Data qoq'!$A$1:$AT$1,),))/100+1)^4)-1</f>
        <v>7.9843861066801303E-2</v>
      </c>
      <c r="H55" s="32">
        <f>(((VLOOKUP(B55,'Data qoq'!$A:$AT,MATCH($H$1,'Data qoq'!$A$1:$AT$1,),))/100+1)^4)-1</f>
        <v>4.2444720784429402E-2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1.510207614303849E-2</v>
      </c>
      <c r="M55" s="32">
        <f>(((VLOOKUP(B55,'Data qoq'!$A:$AT,MATCH($M$1,'Data qoq'!$A$1:$AT$1,),))/100+1)^4)-1</f>
        <v>3.0734458670923059E-2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-1.1867201375887038E-2</v>
      </c>
      <c r="R55" s="32">
        <f>(((VLOOKUP(B55,'Data qoq'!$A:$AT,MATCH($R$1,'Data qoq'!$A$1:$AT$1,),))/100+1)^4)-1</f>
        <v>2.0813450755408303E-2</v>
      </c>
      <c r="S55" s="32">
        <f>(((VLOOKUP(B55,'Data qoq'!$A:$AT,MATCH($S$1,'Data qoq'!$A$1:$AT$1,),))/100+1)^4)-1</f>
        <v>3.785092613561658E-2</v>
      </c>
      <c r="T55" s="32">
        <f>(((VLOOKUP(B55,'Data qoq'!$A:$AT,MATCH($T$1,'Data qoq'!$A$1:$AT$1,),))/100+1)^4)-1</f>
        <v>5.8552128629625333E-2</v>
      </c>
      <c r="U55" s="32">
        <f>(((VLOOKUP(B55,'Data qoq'!$A:$AT,MATCH($U$1,'Data qoq'!$A$1:$AT$1,),))/100+1)^4)-1</f>
        <v>-0.1463155620241956</v>
      </c>
      <c r="V55" s="32">
        <f>(((VLOOKUP(B55,'Data qoq'!$A:$AT,MATCH($V$1,'Data qoq'!$A$1:$AT$1,),))/100+1)^4)-1</f>
        <v>0.1418857565468532</v>
      </c>
      <c r="W55" s="32">
        <f>(((VLOOKUP(B55,'Data qoq'!$A:$AT,MATCH($W$1,'Data qoq'!$A$1:$AT$1,),))/100+1)^4)-1</f>
        <v>9.3248308427080318E-2</v>
      </c>
      <c r="X55" s="32">
        <f>(((VLOOKUP(B55,'Data qoq'!$A:$AT,MATCH($X$1,'Data qoq'!$A$1:$AT$1,),))/100+1)^4)-1</f>
        <v>2.3119085121795502E-2</v>
      </c>
      <c r="Y55" s="32">
        <f>(((VLOOKUP(B55,'Data qoq'!$A:$AT,MATCH($Y$1,'Data qoq'!$A$1:$AT$1,),))/100+1)^4)-1</f>
        <v>4.5890076066925189E-2</v>
      </c>
      <c r="Z55" s="32">
        <f>(((VLOOKUP(B55,'Data qoq'!$A:$AU,MATCH($Z$1,'Data qoq'!$A$1:$AU$1,),))/100+1)^4)-1</f>
        <v>9.7020394385121111E-2</v>
      </c>
      <c r="AA55" s="32">
        <f>(((VLOOKUP(B55,'Data qoq'!$A:$AU,MATCH($AA$1,'Data qoq'!$A$1:$AU$1,),))/100+1)^4)-1</f>
        <v>4.437002626974329E-2</v>
      </c>
      <c r="AC55" s="26" t="str">
        <f t="shared" si="8"/>
        <v>2011-Q1</v>
      </c>
      <c r="AD55" s="31">
        <f t="shared" si="9"/>
        <v>2.6410312041341921E-2</v>
      </c>
      <c r="AE55" s="27"/>
    </row>
    <row r="56" spans="1:31" hidden="1" x14ac:dyDescent="0.2">
      <c r="A56" s="30">
        <v>40695</v>
      </c>
      <c r="B56" s="24" t="s">
        <v>322</v>
      </c>
      <c r="C56" s="32">
        <f>(((VLOOKUP(B56,'Data qoq'!$A:$AT,MATCH($C$1,'Data qoq'!$A$1:$AT$1,),))/100+1)^4)-1</f>
        <v>2.7399130789267812E-2</v>
      </c>
      <c r="D56" s="32">
        <f>(((VLOOKUP(B56,'Data qoq'!$A:$AT,MATCH($D$1,'Data qoq'!$A$1:$AT$1,),))/100+1)^4)-1</f>
        <v>9.5222947840999606E-2</v>
      </c>
      <c r="E56" s="32">
        <f>(((VLOOKUP(B56,'Data qoq'!$A:$AT,MATCH($E$1,'Data qoq'!$A$1:$AT$1,),))/100+1)^4)-1</f>
        <v>-1.0523044906362022E-3</v>
      </c>
      <c r="F56" s="32">
        <f>(((VLOOKUP(B56,'Data qoq'!$A:$AT,MATCH($F$1,'Data qoq'!$A$1:$AT$1,),))/100+1)^4)-1</f>
        <v>-3.4540978610777207E-2</v>
      </c>
      <c r="G56" s="32">
        <f>(((VLOOKUP(B56,'Data qoq'!$A:$AT,MATCH($G$1,'Data qoq'!$A$1:$AT$1,),))/100+1)^4)-1</f>
        <v>3.7936476388091833E-3</v>
      </c>
      <c r="H56" s="32">
        <f>(((VLOOKUP(B56,'Data qoq'!$A:$AT,MATCH($H$1,'Data qoq'!$A$1:$AT$1,),))/100+1)^4)-1</f>
        <v>-3.8256294696167314E-3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1.3408483362027823E-2</v>
      </c>
      <c r="M56" s="32">
        <f>(((VLOOKUP(B56,'Data qoq'!$A:$AT,MATCH($M$1,'Data qoq'!$A$1:$AT$1,),))/100+1)^4)-1</f>
        <v>2.1617520888185693E-2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5.2876590804022072E-2</v>
      </c>
      <c r="R56" s="32">
        <f>(((VLOOKUP(B56,'Data qoq'!$A:$AT,MATCH($R$1,'Data qoq'!$A$1:$AT$1,),))/100+1)^4)-1</f>
        <v>2.5568683556797644E-2</v>
      </c>
      <c r="S56" s="32">
        <f>(((VLOOKUP(B56,'Data qoq'!$A:$AT,MATCH($S$1,'Data qoq'!$A$1:$AT$1,),))/100+1)^4)-1</f>
        <v>1.9776641418433272E-2</v>
      </c>
      <c r="T56" s="32">
        <f>(((VLOOKUP(B56,'Data qoq'!$A:$AT,MATCH($T$1,'Data qoq'!$A$1:$AT$1,),))/100+1)^4)-1</f>
        <v>3.8187588301827002E-2</v>
      </c>
      <c r="U56" s="32">
        <f>(((VLOOKUP(B56,'Data qoq'!$A:$AT,MATCH($U$1,'Data qoq'!$A$1:$AT$1,),))/100+1)^4)-1</f>
        <v>-6.9417299218642037E-2</v>
      </c>
      <c r="V56" s="32">
        <f>(((VLOOKUP(B56,'Data qoq'!$A:$AT,MATCH($V$1,'Data qoq'!$A$1:$AT$1,),))/100+1)^4)-1</f>
        <v>4.8443221411694326E-2</v>
      </c>
      <c r="W56" s="32">
        <f>(((VLOOKUP(B56,'Data qoq'!$A:$AT,MATCH($W$1,'Data qoq'!$A$1:$AT$1,),))/100+1)^4)-1</f>
        <v>0.11452106368858472</v>
      </c>
      <c r="X56" s="32">
        <f>(((VLOOKUP(B56,'Data qoq'!$A:$AT,MATCH($X$1,'Data qoq'!$A$1:$AT$1,),))/100+1)^4)-1</f>
        <v>1.2813234152307507E-2</v>
      </c>
      <c r="Y56" s="32">
        <f>(((VLOOKUP(B56,'Data qoq'!$A:$AT,MATCH($Y$1,'Data qoq'!$A$1:$AT$1,),))/100+1)^4)-1</f>
        <v>5.4481698968527281E-2</v>
      </c>
      <c r="Z56" s="32">
        <f>(((VLOOKUP(B56,'Data qoq'!$A:$AU,MATCH($Z$1,'Data qoq'!$A$1:$AU$1,),))/100+1)^4)-1</f>
        <v>3.9835727961726075E-2</v>
      </c>
      <c r="AA56" s="32">
        <f>(((VLOOKUP(B56,'Data qoq'!$A:$AU,MATCH($AA$1,'Data qoq'!$A$1:$AU$1,),))/100+1)^4)-1</f>
        <v>2.0412277183887495E-2</v>
      </c>
      <c r="AC56" s="26" t="str">
        <f t="shared" si="8"/>
        <v>2011-Q2</v>
      </c>
      <c r="AD56" s="31">
        <f t="shared" si="9"/>
        <v>-3.275862167706145E-3</v>
      </c>
      <c r="AE56" s="27"/>
    </row>
    <row r="57" spans="1:31" hidden="1" x14ac:dyDescent="0.2">
      <c r="A57" s="30">
        <v>40787</v>
      </c>
      <c r="B57" s="24" t="s">
        <v>323</v>
      </c>
      <c r="C57" s="32">
        <f>(((VLOOKUP(B57,'Data qoq'!$A:$AT,MATCH($C$1,'Data qoq'!$A$1:$AT$1,),))/100+1)^4)-1</f>
        <v>-1.5497850172727645E-3</v>
      </c>
      <c r="D57" s="32">
        <f>(((VLOOKUP(B57,'Data qoq'!$A:$AT,MATCH($D$1,'Data qoq'!$A$1:$AT$1,),))/100+1)^4)-1</f>
        <v>7.3967432976000058E-2</v>
      </c>
      <c r="E57" s="32">
        <f>(((VLOOKUP(B57,'Data qoq'!$A:$AT,MATCH($E$1,'Data qoq'!$A$1:$AT$1,),))/100+1)^4)-1</f>
        <v>6.0277373961061809E-3</v>
      </c>
      <c r="F57" s="32">
        <f>(((VLOOKUP(B57,'Data qoq'!$A:$AT,MATCH($F$1,'Data qoq'!$A$1:$AT$1,),))/100+1)^4)-1</f>
        <v>0.10014024605713012</v>
      </c>
      <c r="G57" s="32">
        <f>(((VLOOKUP(B57,'Data qoq'!$A:$AT,MATCH($G$1,'Data qoq'!$A$1:$AT$1,),))/100+1)^4)-1</f>
        <v>3.5794696672826642E-2</v>
      </c>
      <c r="H57" s="32">
        <f>(((VLOOKUP(B57,'Data qoq'!$A:$AT,MATCH($H$1,'Data qoq'!$A$1:$AT$1,),))/100+1)^4)-1</f>
        <v>1.9514566234964059E-2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5.1598415134860742E-2</v>
      </c>
      <c r="M57" s="32">
        <f>(((VLOOKUP(B57,'Data qoq'!$A:$AT,MATCH($M$1,'Data qoq'!$A$1:$AT$1,),))/100+1)^4)-1</f>
        <v>8.001357398502118E-2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5.4986253226208204E-2</v>
      </c>
      <c r="R57" s="32">
        <f>(((VLOOKUP(B57,'Data qoq'!$A:$AT,MATCH($R$1,'Data qoq'!$A$1:$AT$1,),))/100+1)^4)-1</f>
        <v>-1.2357247161494445E-2</v>
      </c>
      <c r="S57" s="32">
        <f>(((VLOOKUP(B57,'Data qoq'!$A:$AT,MATCH($S$1,'Data qoq'!$A$1:$AT$1,),))/100+1)^4)-1</f>
        <v>2.1219739432011941E-2</v>
      </c>
      <c r="T57" s="32">
        <f>(((VLOOKUP(B57,'Data qoq'!$A:$AT,MATCH($T$1,'Data qoq'!$A$1:$AT$1,),))/100+1)^4)-1</f>
        <v>-8.0112591408459943E-3</v>
      </c>
      <c r="U57" s="32">
        <f>(((VLOOKUP(B57,'Data qoq'!$A:$AT,MATCH($U$1,'Data qoq'!$A$1:$AT$1,),))/100+1)^4)-1</f>
        <v>-7.8703820561490168E-2</v>
      </c>
      <c r="V57" s="32">
        <f>(((VLOOKUP(B57,'Data qoq'!$A:$AT,MATCH($V$1,'Data qoq'!$A$1:$AT$1,),))/100+1)^4)-1</f>
        <v>-5.4686570298105752E-2</v>
      </c>
      <c r="W57" s="32">
        <f>(((VLOOKUP(B57,'Data qoq'!$A:$AT,MATCH($W$1,'Data qoq'!$A$1:$AT$1,),))/100+1)^4)-1</f>
        <v>0.11067107889866001</v>
      </c>
      <c r="X57" s="32">
        <f>(((VLOOKUP(B57,'Data qoq'!$A:$AT,MATCH($X$1,'Data qoq'!$A$1:$AT$1,),))/100+1)^4)-1</f>
        <v>-7.3957304672230828E-3</v>
      </c>
      <c r="Y57" s="32">
        <f>(((VLOOKUP(B57,'Data qoq'!$A:$AT,MATCH($Y$1,'Data qoq'!$A$1:$AT$1,),))/100+1)^4)-1</f>
        <v>5.2528176257605974E-2</v>
      </c>
      <c r="Z57" s="32">
        <f>(((VLOOKUP(B57,'Data qoq'!$A:$AU,MATCH($Z$1,'Data qoq'!$A$1:$AU$1,),))/100+1)^4)-1</f>
        <v>3.3548702832107535E-2</v>
      </c>
      <c r="AA57" s="32">
        <f>(((VLOOKUP(B57,'Data qoq'!$A:$AU,MATCH($AA$1,'Data qoq'!$A$1:$AU$1,),))/100+1)^4)-1</f>
        <v>4.1835655529542715E-2</v>
      </c>
      <c r="AC57" s="26" t="str">
        <f t="shared" si="8"/>
        <v>2011-Q3</v>
      </c>
      <c r="AD57" s="31">
        <f t="shared" si="9"/>
        <v>-1.3284741521868426E-4</v>
      </c>
      <c r="AE57" s="27"/>
    </row>
    <row r="58" spans="1:31" hidden="1" x14ac:dyDescent="0.2">
      <c r="A58" s="30">
        <v>40878</v>
      </c>
      <c r="B58" s="24" t="s">
        <v>324</v>
      </c>
      <c r="C58" s="32">
        <f>(((VLOOKUP(B58,'Data qoq'!$A:$AT,MATCH($C$1,'Data qoq'!$A$1:$AT$1,),))/100+1)^4)-1</f>
        <v>4.5627685328668566E-2</v>
      </c>
      <c r="D58" s="32">
        <f>(((VLOOKUP(B58,'Data qoq'!$A:$AT,MATCH($D$1,'Data qoq'!$A$1:$AT$1,),))/100+1)^4)-1</f>
        <v>6.5552449536000035E-2</v>
      </c>
      <c r="E58" s="32">
        <f>(((VLOOKUP(B58,'Data qoq'!$A:$AT,MATCH($E$1,'Data qoq'!$A$1:$AT$1,),))/100+1)^4)-1</f>
        <v>-1.6625530020464185E-2</v>
      </c>
      <c r="F58" s="32">
        <f>(((VLOOKUP(B58,'Data qoq'!$A:$AT,MATCH($F$1,'Data qoq'!$A$1:$AT$1,),))/100+1)^4)-1</f>
        <v>-5.092611577229067E-3</v>
      </c>
      <c r="G58" s="32">
        <f>(((VLOOKUP(B58,'Data qoq'!$A:$AT,MATCH($G$1,'Data qoq'!$A$1:$AT$1,),))/100+1)^4)-1</f>
        <v>-1.2859523867687406E-2</v>
      </c>
      <c r="H58" s="32">
        <f>(((VLOOKUP(B58,'Data qoq'!$A:$AT,MATCH($H$1,'Data qoq'!$A$1:$AT$1,),))/100+1)^4)-1</f>
        <v>7.7261001409858476E-3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-5.3164497966124324E-2</v>
      </c>
      <c r="M58" s="32">
        <f>(((VLOOKUP(B58,'Data qoq'!$A:$AT,MATCH($M$1,'Data qoq'!$A$1:$AT$1,),))/100+1)^4)-1</f>
        <v>2.6462908647293393E-2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4.3963674793008112E-2</v>
      </c>
      <c r="R58" s="32">
        <f>(((VLOOKUP(B58,'Data qoq'!$A:$AT,MATCH($R$1,'Data qoq'!$A$1:$AT$1,),))/100+1)^4)-1</f>
        <v>1.5376395113000374E-3</v>
      </c>
      <c r="S58" s="32">
        <f>(((VLOOKUP(B58,'Data qoq'!$A:$AT,MATCH($S$1,'Data qoq'!$A$1:$AT$1,),))/100+1)^4)-1</f>
        <v>1.9026183910156647E-2</v>
      </c>
      <c r="T58" s="32">
        <f>(((VLOOKUP(B58,'Data qoq'!$A:$AT,MATCH($T$1,'Data qoq'!$A$1:$AT$1,),))/100+1)^4)-1</f>
        <v>3.358755428748017E-2</v>
      </c>
      <c r="U58" s="32">
        <f>(((VLOOKUP(B58,'Data qoq'!$A:$AT,MATCH($U$1,'Data qoq'!$A$1:$AT$1,),))/100+1)^4)-1</f>
        <v>-0.16787999560210964</v>
      </c>
      <c r="V58" s="32">
        <f>(((VLOOKUP(B58,'Data qoq'!$A:$AT,MATCH($V$1,'Data qoq'!$A$1:$AT$1,),))/100+1)^4)-1</f>
        <v>-7.8402904950104491E-3</v>
      </c>
      <c r="W58" s="32">
        <f>(((VLOOKUP(B58,'Data qoq'!$A:$AT,MATCH($W$1,'Data qoq'!$A$1:$AT$1,),))/100+1)^4)-1</f>
        <v>5.5407892449708784E-2</v>
      </c>
      <c r="X58" s="32">
        <f>(((VLOOKUP(B58,'Data qoq'!$A:$AT,MATCH($X$1,'Data qoq'!$A$1:$AT$1,),))/100+1)^4)-1</f>
        <v>4.1416582834048477E-3</v>
      </c>
      <c r="Y58" s="32">
        <f>(((VLOOKUP(B58,'Data qoq'!$A:$AT,MATCH($Y$1,'Data qoq'!$A$1:$AT$1,),))/100+1)^4)-1</f>
        <v>2.55931586994258E-2</v>
      </c>
      <c r="Z58" s="32">
        <f>(((VLOOKUP(B58,'Data qoq'!$A:$AU,MATCH($Z$1,'Data qoq'!$A$1:$AU$1,),))/100+1)^4)-1</f>
        <v>4.7576649911107438E-4</v>
      </c>
      <c r="AA58" s="32">
        <f>(((VLOOKUP(B58,'Data qoq'!$A:$AU,MATCH($AA$1,'Data qoq'!$A$1:$AU$1,),))/100+1)^4)-1</f>
        <v>2.316931887524909E-2</v>
      </c>
      <c r="AC58" s="26" t="str">
        <f t="shared" si="8"/>
        <v>2011-Q4</v>
      </c>
      <c r="AD58" s="31">
        <f t="shared" si="9"/>
        <v>-1.4957452587806008E-2</v>
      </c>
      <c r="AE58" s="27"/>
    </row>
    <row r="59" spans="1:31" hidden="1" x14ac:dyDescent="0.2">
      <c r="A59" s="30">
        <v>40969</v>
      </c>
      <c r="B59" s="24" t="s">
        <v>325</v>
      </c>
      <c r="C59" s="32">
        <f>(((VLOOKUP(B59,'Data qoq'!$A:$AT,MATCH($C$1,'Data qoq'!$A$1:$AT$1,),))/100+1)^4)-1</f>
        <v>3.3120505698075231E-2</v>
      </c>
      <c r="D59" s="32">
        <f>(((VLOOKUP(B59,'Data qoq'!$A:$AT,MATCH($D$1,'Data qoq'!$A$1:$AT$1,),))/100+1)^4)-1</f>
        <v>6.5552449536000035E-2</v>
      </c>
      <c r="E59" s="32">
        <f>(((VLOOKUP(B59,'Data qoq'!$A:$AT,MATCH($E$1,'Data qoq'!$A$1:$AT$1,),))/100+1)^4)-1</f>
        <v>-8.3240891800384631E-3</v>
      </c>
      <c r="F59" s="32">
        <f>(((VLOOKUP(B59,'Data qoq'!$A:$AT,MATCH($F$1,'Data qoq'!$A$1:$AT$1,),))/100+1)^4)-1</f>
        <v>5.6923070001511755E-2</v>
      </c>
      <c r="G59" s="32">
        <f>(((VLOOKUP(B59,'Data qoq'!$A:$AT,MATCH($G$1,'Data qoq'!$A$1:$AT$1,),))/100+1)^4)-1</f>
        <v>8.3906494837928669E-3</v>
      </c>
      <c r="H59" s="32">
        <f>(((VLOOKUP(B59,'Data qoq'!$A:$AT,MATCH($H$1,'Data qoq'!$A$1:$AT$1,),))/100+1)^4)-1</f>
        <v>1.1265440805821036E-3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6.3612628404035032E-3</v>
      </c>
      <c r="M59" s="32">
        <f>(((VLOOKUP(B59,'Data qoq'!$A:$AT,MATCH($M$1,'Data qoq'!$A$1:$AT$1,),))/100+1)^4)-1</f>
        <v>2.6390142184233412E-2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3.8832880340655018E-2</v>
      </c>
      <c r="R59" s="32">
        <f>(((VLOOKUP(B59,'Data qoq'!$A:$AT,MATCH($R$1,'Data qoq'!$A$1:$AT$1,),))/100+1)^4)-1</f>
        <v>2.251886260999969E-2</v>
      </c>
      <c r="S59" s="32">
        <f>(((VLOOKUP(B59,'Data qoq'!$A:$AT,MATCH($S$1,'Data qoq'!$A$1:$AT$1,),))/100+1)^4)-1</f>
        <v>3.5078865103473689E-2</v>
      </c>
      <c r="T59" s="32">
        <f>(((VLOOKUP(B59,'Data qoq'!$A:$AT,MATCH($T$1,'Data qoq'!$A$1:$AT$1,),))/100+1)^4)-1</f>
        <v>-5.0956150047666515E-2</v>
      </c>
      <c r="U59" s="32">
        <f>(((VLOOKUP(B59,'Data qoq'!$A:$AT,MATCH($U$1,'Data qoq'!$A$1:$AT$1,),))/100+1)^4)-1</f>
        <v>-1.1385989234782956E-2</v>
      </c>
      <c r="V59" s="32">
        <f>(((VLOOKUP(B59,'Data qoq'!$A:$AT,MATCH($V$1,'Data qoq'!$A$1:$AT$1,),))/100+1)^4)-1</f>
        <v>-6.0363287212494843E-4</v>
      </c>
      <c r="W59" s="32">
        <f>(((VLOOKUP(B59,'Data qoq'!$A:$AT,MATCH($W$1,'Data qoq'!$A$1:$AT$1,),))/100+1)^4)-1</f>
        <v>-3.5118743335027403E-2</v>
      </c>
      <c r="X59" s="32">
        <f>(((VLOOKUP(B59,'Data qoq'!$A:$AT,MATCH($X$1,'Data qoq'!$A$1:$AT$1,),))/100+1)^4)-1</f>
        <v>-6.7690796101227413E-3</v>
      </c>
      <c r="Y59" s="32">
        <f>(((VLOOKUP(B59,'Data qoq'!$A:$AT,MATCH($Y$1,'Data qoq'!$A$1:$AT$1,),))/100+1)^4)-1</f>
        <v>2.7634096148219101E-3</v>
      </c>
      <c r="Z59" s="32">
        <f>(((VLOOKUP(B59,'Data qoq'!$A:$AU,MATCH($Z$1,'Data qoq'!$A$1:$AU$1,),))/100+1)^4)-1</f>
        <v>-4.2669718129684897E-2</v>
      </c>
      <c r="AA59" s="32">
        <f>(((VLOOKUP(B59,'Data qoq'!$A:$AU,MATCH($AA$1,'Data qoq'!$A$1:$AU$1,),))/100+1)^4)-1</f>
        <v>2.4886139606172586E-2</v>
      </c>
      <c r="AC59" s="26" t="str">
        <f t="shared" si="8"/>
        <v>2012-Q1</v>
      </c>
      <c r="AD59" s="31">
        <f t="shared" si="9"/>
        <v>-4.195947630314234E-2</v>
      </c>
      <c r="AE59" s="27"/>
    </row>
    <row r="60" spans="1:31" hidden="1" x14ac:dyDescent="0.2">
      <c r="A60" s="30">
        <v>41061</v>
      </c>
      <c r="B60" s="24" t="s">
        <v>326</v>
      </c>
      <c r="C60" s="32">
        <f>(((VLOOKUP(B60,'Data qoq'!$A:$AT,MATCH($C$1,'Data qoq'!$A$1:$AT$1,),))/100+1)^4)-1</f>
        <v>1.8359463834497713E-2</v>
      </c>
      <c r="D60" s="32">
        <f>(((VLOOKUP(B60,'Data qoq'!$A:$AT,MATCH($D$1,'Data qoq'!$A$1:$AT$1,),))/100+1)^4)-1</f>
        <v>9.5222947840999606E-2</v>
      </c>
      <c r="E60" s="32">
        <f>(((VLOOKUP(B60,'Data qoq'!$A:$AT,MATCH($E$1,'Data qoq'!$A$1:$AT$1,),))/100+1)^4)-1</f>
        <v>-1.0907260872391022E-2</v>
      </c>
      <c r="F60" s="32">
        <f>(((VLOOKUP(B60,'Data qoq'!$A:$AT,MATCH($F$1,'Data qoq'!$A$1:$AT$1,),))/100+1)^4)-1</f>
        <v>-3.5882668933877482E-2</v>
      </c>
      <c r="G60" s="32">
        <f>(((VLOOKUP(B60,'Data qoq'!$A:$AT,MATCH($G$1,'Data qoq'!$A$1:$AT$1,),))/100+1)^4)-1</f>
        <v>8.3721420317743878E-3</v>
      </c>
      <c r="H60" s="32">
        <f>(((VLOOKUP(B60,'Data qoq'!$A:$AT,MATCH($H$1,'Data qoq'!$A$1:$AT$1,),))/100+1)^4)-1</f>
        <v>-6.0148227365084406E-3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5.8692279691792137E-3</v>
      </c>
      <c r="M60" s="32">
        <f>(((VLOOKUP(B60,'Data qoq'!$A:$AT,MATCH($M$1,'Data qoq'!$A$1:$AT$1,),))/100+1)^4)-1</f>
        <v>3.5216799353845252E-2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2.9611920868617858E-2</v>
      </c>
      <c r="R60" s="32">
        <f>(((VLOOKUP(B60,'Data qoq'!$A:$AT,MATCH($R$1,'Data qoq'!$A$1:$AT$1,),))/100+1)^4)-1</f>
        <v>9.2035625218664929E-3</v>
      </c>
      <c r="S60" s="32">
        <f>(((VLOOKUP(B60,'Data qoq'!$A:$AT,MATCH($S$1,'Data qoq'!$A$1:$AT$1,),))/100+1)^4)-1</f>
        <v>2.2831907295441045E-2</v>
      </c>
      <c r="T60" s="32">
        <f>(((VLOOKUP(B60,'Data qoq'!$A:$AT,MATCH($T$1,'Data qoq'!$A$1:$AT$1,),))/100+1)^4)-1</f>
        <v>7.1299175277759863E-2</v>
      </c>
      <c r="U60" s="32">
        <f>(((VLOOKUP(B60,'Data qoq'!$A:$AT,MATCH($U$1,'Data qoq'!$A$1:$AT$1,),))/100+1)^4)-1</f>
        <v>-6.7993733891902108E-2</v>
      </c>
      <c r="V60" s="32">
        <f>(((VLOOKUP(B60,'Data qoq'!$A:$AT,MATCH($V$1,'Data qoq'!$A$1:$AT$1,),))/100+1)^4)-1</f>
        <v>5.2967944354439966E-2</v>
      </c>
      <c r="W60" s="32">
        <f>(((VLOOKUP(B60,'Data qoq'!$A:$AT,MATCH($W$1,'Data qoq'!$A$1:$AT$1,),))/100+1)^4)-1</f>
        <v>7.091239531984761E-2</v>
      </c>
      <c r="X60" s="32">
        <f>(((VLOOKUP(B60,'Data qoq'!$A:$AT,MATCH($X$1,'Data qoq'!$A$1:$AT$1,),))/100+1)^4)-1</f>
        <v>-2.1273831756991934E-2</v>
      </c>
      <c r="Y60" s="32">
        <f>(((VLOOKUP(B60,'Data qoq'!$A:$AT,MATCH($Y$1,'Data qoq'!$A$1:$AT$1,),))/100+1)^4)-1</f>
        <v>-9.7701558296878765E-3</v>
      </c>
      <c r="Z60" s="32">
        <f>(((VLOOKUP(B60,'Data qoq'!$A:$AU,MATCH($Z$1,'Data qoq'!$A$1:$AU$1,),))/100+1)^4)-1</f>
        <v>-0.12772681200108771</v>
      </c>
      <c r="AA60" s="32">
        <f>(((VLOOKUP(B60,'Data qoq'!$A:$AU,MATCH($AA$1,'Data qoq'!$A$1:$AU$1,),))/100+1)^4)-1</f>
        <v>1.3578395754657135E-2</v>
      </c>
      <c r="AC60" s="26" t="str">
        <f t="shared" si="8"/>
        <v>2012-Q2</v>
      </c>
      <c r="AD60" s="31">
        <f t="shared" si="9"/>
        <v>-8.6676013617059677E-3</v>
      </c>
      <c r="AE60" s="27"/>
    </row>
    <row r="61" spans="1:31" hidden="1" x14ac:dyDescent="0.2">
      <c r="A61" s="30">
        <v>41153</v>
      </c>
      <c r="B61" s="24" t="s">
        <v>327</v>
      </c>
      <c r="C61" s="32">
        <f>(((VLOOKUP(B61,'Data qoq'!$A:$AT,MATCH($C$1,'Data qoq'!$A$1:$AT$1,),))/100+1)^4)-1</f>
        <v>7.0136909574731732E-3</v>
      </c>
      <c r="D61" s="32">
        <f>(((VLOOKUP(B61,'Data qoq'!$A:$AT,MATCH($D$1,'Data qoq'!$A$1:$AT$1,),))/100+1)^4)-1</f>
        <v>7.819356632099983E-2</v>
      </c>
      <c r="E61" s="32">
        <f>(((VLOOKUP(B61,'Data qoq'!$A:$AT,MATCH($E$1,'Data qoq'!$A$1:$AT$1,),))/100+1)^4)-1</f>
        <v>-3.8251009510426037E-3</v>
      </c>
      <c r="F61" s="32">
        <f>(((VLOOKUP(B61,'Data qoq'!$A:$AT,MATCH($F$1,'Data qoq'!$A$1:$AT$1,),))/100+1)^4)-1</f>
        <v>-1.5641027049120626E-2</v>
      </c>
      <c r="G61" s="32">
        <f>(((VLOOKUP(B61,'Data qoq'!$A:$AT,MATCH($G$1,'Data qoq'!$A$1:$AT$1,),))/100+1)^4)-1</f>
        <v>1.1291931863393057E-2</v>
      </c>
      <c r="H61" s="32">
        <f>(((VLOOKUP(B61,'Data qoq'!$A:$AT,MATCH($H$1,'Data qoq'!$A$1:$AT$1,),))/100+1)^4)-1</f>
        <v>9.0509211013576341E-3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-5.4922477074086373E-3</v>
      </c>
      <c r="M61" s="32">
        <f>(((VLOOKUP(B61,'Data qoq'!$A:$AT,MATCH($M$1,'Data qoq'!$A$1:$AT$1,),))/100+1)^4)-1</f>
        <v>2.2816284738819137E-2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2.3930508731635269E-2</v>
      </c>
      <c r="R61" s="32">
        <f>(((VLOOKUP(B61,'Data qoq'!$A:$AT,MATCH($R$1,'Data qoq'!$A$1:$AT$1,),))/100+1)^4)-1</f>
        <v>3.5664357570555527E-2</v>
      </c>
      <c r="S61" s="32">
        <f>(((VLOOKUP(B61,'Data qoq'!$A:$AT,MATCH($S$1,'Data qoq'!$A$1:$AT$1,),))/100+1)^4)-1</f>
        <v>1.8193908293724803E-2</v>
      </c>
      <c r="T61" s="32">
        <f>(((VLOOKUP(B61,'Data qoq'!$A:$AT,MATCH($T$1,'Data qoq'!$A$1:$AT$1,),))/100+1)^4)-1</f>
        <v>7.0102058220432806E-2</v>
      </c>
      <c r="U61" s="32">
        <f>(((VLOOKUP(B61,'Data qoq'!$A:$AT,MATCH($U$1,'Data qoq'!$A$1:$AT$1,),))/100+1)^4)-1</f>
        <v>-5.6893644509314889E-2</v>
      </c>
      <c r="V61" s="32">
        <f>(((VLOOKUP(B61,'Data qoq'!$A:$AT,MATCH($V$1,'Data qoq'!$A$1:$AT$1,),))/100+1)^4)-1</f>
        <v>-3.7861929631225144E-2</v>
      </c>
      <c r="W61" s="32">
        <f>(((VLOOKUP(B61,'Data qoq'!$A:$AT,MATCH($W$1,'Data qoq'!$A$1:$AT$1,),))/100+1)^4)-1</f>
        <v>7.2482536490507066E-2</v>
      </c>
      <c r="X61" s="32">
        <f>(((VLOOKUP(B61,'Data qoq'!$A:$AT,MATCH($X$1,'Data qoq'!$A$1:$AT$1,),))/100+1)^4)-1</f>
        <v>-1.4361985007209088E-2</v>
      </c>
      <c r="Y61" s="32">
        <f>(((VLOOKUP(B61,'Data qoq'!$A:$AT,MATCH($Y$1,'Data qoq'!$A$1:$AT$1,),))/100+1)^4)-1</f>
        <v>1.7621220414340222E-2</v>
      </c>
      <c r="Z61" s="32">
        <f>(((VLOOKUP(B61,'Data qoq'!$A:$AU,MATCH($Z$1,'Data qoq'!$A$1:$AU$1,),))/100+1)^4)-1</f>
        <v>0.1292020985101765</v>
      </c>
      <c r="AA61" s="32">
        <f>(((VLOOKUP(B61,'Data qoq'!$A:$AU,MATCH($AA$1,'Data qoq'!$A$1:$AU$1,),))/100+1)^4)-1</f>
        <v>1.0136547439677956E-2</v>
      </c>
      <c r="AC61" s="26" t="str">
        <f t="shared" si="8"/>
        <v>2012-Q3</v>
      </c>
      <c r="AD61" s="31">
        <f t="shared" si="9"/>
        <v>-5.4460584107443921E-2</v>
      </c>
      <c r="AE61" s="27"/>
    </row>
    <row r="62" spans="1:31" hidden="1" x14ac:dyDescent="0.2">
      <c r="A62" s="30">
        <v>41244</v>
      </c>
      <c r="B62" s="24" t="s">
        <v>328</v>
      </c>
      <c r="C62" s="32">
        <f>(((VLOOKUP(B62,'Data qoq'!$A:$AT,MATCH($C$1,'Data qoq'!$A$1:$AT$1,),))/100+1)^4)-1</f>
        <v>4.4007666225549524E-3</v>
      </c>
      <c r="D62" s="32">
        <f>(((VLOOKUP(B62,'Data qoq'!$A:$AT,MATCH($D$1,'Data qoq'!$A$1:$AT$1,),))/100+1)^4)-1</f>
        <v>8.2432159999999977E-2</v>
      </c>
      <c r="E62" s="32">
        <f>(((VLOOKUP(B62,'Data qoq'!$A:$AT,MATCH($E$1,'Data qoq'!$A$1:$AT$1,),))/100+1)^4)-1</f>
        <v>-1.775214410801873E-2</v>
      </c>
      <c r="F62" s="32">
        <f>(((VLOOKUP(B62,'Data qoq'!$A:$AT,MATCH($F$1,'Data qoq'!$A$1:$AT$1,),))/100+1)^4)-1</f>
        <v>-2.7516597520299557E-3</v>
      </c>
      <c r="G62" s="32">
        <f>(((VLOOKUP(B62,'Data qoq'!$A:$AT,MATCH($G$1,'Data qoq'!$A$1:$AT$1,),))/100+1)^4)-1</f>
        <v>-1.7737925802989052E-2</v>
      </c>
      <c r="H62" s="32">
        <f>(((VLOOKUP(B62,'Data qoq'!$A:$AT,MATCH($H$1,'Data qoq'!$A$1:$AT$1,),))/100+1)^4)-1</f>
        <v>-4.2460012284253335E-3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-2.6781625496685502E-2</v>
      </c>
      <c r="M62" s="32">
        <f>(((VLOOKUP(B62,'Data qoq'!$A:$AT,MATCH($M$1,'Data qoq'!$A$1:$AT$1,),))/100+1)^4)-1</f>
        <v>3.4622210964818212E-2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1.9676576177810601E-2</v>
      </c>
      <c r="R62" s="32">
        <f>(((VLOOKUP(B62,'Data qoq'!$A:$AT,MATCH($R$1,'Data qoq'!$A$1:$AT$1,),))/100+1)^4)-1</f>
        <v>-7.3465236043745996E-4</v>
      </c>
      <c r="S62" s="32">
        <f>(((VLOOKUP(B62,'Data qoq'!$A:$AT,MATCH($S$1,'Data qoq'!$A$1:$AT$1,),))/100+1)^4)-1</f>
        <v>2.0241808681939366E-2</v>
      </c>
      <c r="T62" s="32">
        <f>(((VLOOKUP(B62,'Data qoq'!$A:$AT,MATCH($T$1,'Data qoq'!$A$1:$AT$1,),))/100+1)^4)-1</f>
        <v>8.2982170159473512E-4</v>
      </c>
      <c r="U62" s="32">
        <f>(((VLOOKUP(B62,'Data qoq'!$A:$AT,MATCH($U$1,'Data qoq'!$A$1:$AT$1,),))/100+1)^4)-1</f>
        <v>-3.1615160465410574E-2</v>
      </c>
      <c r="V62" s="32">
        <f>(((VLOOKUP(B62,'Data qoq'!$A:$AT,MATCH($V$1,'Data qoq'!$A$1:$AT$1,),))/100+1)^4)-1</f>
        <v>-4.315261518592628E-4</v>
      </c>
      <c r="W62" s="32">
        <f>(((VLOOKUP(B62,'Data qoq'!$A:$AT,MATCH($W$1,'Data qoq'!$A$1:$AT$1,),))/100+1)^4)-1</f>
        <v>6.5673769498015178E-2</v>
      </c>
      <c r="X62" s="32">
        <f>(((VLOOKUP(B62,'Data qoq'!$A:$AT,MATCH($X$1,'Data qoq'!$A$1:$AT$1,),))/100+1)^4)-1</f>
        <v>-4.8915468792491978E-3</v>
      </c>
      <c r="Y62" s="32">
        <f>(((VLOOKUP(B62,'Data qoq'!$A:$AT,MATCH($Y$1,'Data qoq'!$A$1:$AT$1,),))/100+1)^4)-1</f>
        <v>-2.0890124818561562E-2</v>
      </c>
      <c r="Z62" s="32">
        <f>(((VLOOKUP(B62,'Data qoq'!$A:$AU,MATCH($Z$1,'Data qoq'!$A$1:$AU$1,),))/100+1)^4)-1</f>
        <v>7.0204332716902407E-2</v>
      </c>
      <c r="AA62" s="32">
        <f>(((VLOOKUP(B62,'Data qoq'!$A:$AU,MATCH($AA$1,'Data qoq'!$A$1:$AU$1,),))/100+1)^4)-1</f>
        <v>6.2882657544226728E-2</v>
      </c>
      <c r="AC62" s="26" t="str">
        <f t="shared" si="8"/>
        <v>2012-Q4</v>
      </c>
      <c r="AD62" s="31">
        <f t="shared" si="9"/>
        <v>-1.3699736199919266E-2</v>
      </c>
      <c r="AE62" s="27"/>
    </row>
    <row r="63" spans="1:31" hidden="1" x14ac:dyDescent="0.2">
      <c r="A63" s="30">
        <v>41334</v>
      </c>
      <c r="B63" s="24" t="s">
        <v>329</v>
      </c>
      <c r="C63" s="32">
        <f>(((VLOOKUP(B63,'Data qoq'!$A:$AT,MATCH($C$1,'Data qoq'!$A$1:$AT$1,),))/100+1)^4)-1</f>
        <v>3.5166036796619116E-2</v>
      </c>
      <c r="D63" s="32">
        <f>(((VLOOKUP(B63,'Data qoq'!$A:$AT,MATCH($D$1,'Data qoq'!$A$1:$AT$1,),))/100+1)^4)-1</f>
        <v>7.3967432976000058E-2</v>
      </c>
      <c r="E63" s="32">
        <f>(((VLOOKUP(B63,'Data qoq'!$A:$AT,MATCH($E$1,'Data qoq'!$A$1:$AT$1,),))/100+1)^4)-1</f>
        <v>-1.3251119269879763E-2</v>
      </c>
      <c r="F63" s="32">
        <f>(((VLOOKUP(B63,'Data qoq'!$A:$AT,MATCH($F$1,'Data qoq'!$A$1:$AT$1,),))/100+1)^4)-1</f>
        <v>5.7086172933141777E-2</v>
      </c>
      <c r="G63" s="32">
        <f>(((VLOOKUP(B63,'Data qoq'!$A:$AT,MATCH($G$1,'Data qoq'!$A$1:$AT$1,),))/100+1)^4)-1</f>
        <v>-1.8126003136424873E-2</v>
      </c>
      <c r="H63" s="32">
        <f>(((VLOOKUP(B63,'Data qoq'!$A:$AT,MATCH($H$1,'Data qoq'!$A$1:$AT$1,),))/100+1)^4)-1</f>
        <v>2.8000747237633128E-3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5.5180385356645267E-2</v>
      </c>
      <c r="M63" s="32">
        <f>(((VLOOKUP(B63,'Data qoq'!$A:$AT,MATCH($M$1,'Data qoq'!$A$1:$AT$1,),))/100+1)^4)-1</f>
        <v>9.8189103529728872E-3</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1.765304333009321E-2</v>
      </c>
      <c r="R63" s="32">
        <f>(((VLOOKUP(B63,'Data qoq'!$A:$AT,MATCH($R$1,'Data qoq'!$A$1:$AT$1,),))/100+1)^4)-1</f>
        <v>1.5382375524988889E-2</v>
      </c>
      <c r="S63" s="32">
        <f>(((VLOOKUP(B63,'Data qoq'!$A:$AT,MATCH($S$1,'Data qoq'!$A$1:$AT$1,),))/100+1)^4)-1</f>
        <v>3.4822707520234308E-2</v>
      </c>
      <c r="T63" s="32">
        <f>(((VLOOKUP(B63,'Data qoq'!$A:$AT,MATCH($T$1,'Data qoq'!$A$1:$AT$1,),))/100+1)^4)-1</f>
        <v>2.214199153750207E-2</v>
      </c>
      <c r="U63" s="32">
        <f>(((VLOOKUP(B63,'Data qoq'!$A:$AT,MATCH($U$1,'Data qoq'!$A$1:$AT$1,),))/100+1)^4)-1</f>
        <v>-3.9124358896175937E-2</v>
      </c>
      <c r="V63" s="32">
        <f>(((VLOOKUP(B63,'Data qoq'!$A:$AT,MATCH($V$1,'Data qoq'!$A$1:$AT$1,),))/100+1)^4)-1</f>
        <v>-3.1412622233131793E-2</v>
      </c>
      <c r="W63" s="32">
        <f>(((VLOOKUP(B63,'Data qoq'!$A:$AT,MATCH($W$1,'Data qoq'!$A$1:$AT$1,),))/100+1)^4)-1</f>
        <v>0.1224473036553404</v>
      </c>
      <c r="X63" s="32">
        <f>(((VLOOKUP(B63,'Data qoq'!$A:$AT,MATCH($X$1,'Data qoq'!$A$1:$AT$1,),))/100+1)^4)-1</f>
        <v>-1.6883471815958728E-2</v>
      </c>
      <c r="Y63" s="32">
        <f>(((VLOOKUP(B63,'Data qoq'!$A:$AT,MATCH($Y$1,'Data qoq'!$A$1:$AT$1,),))/100+1)^4)-1</f>
        <v>2.5520162657131085E-3</v>
      </c>
      <c r="Z63" s="32">
        <f>(((VLOOKUP(B63,'Data qoq'!$A:$AU,MATCH($Z$1,'Data qoq'!$A$1:$AU$1,),))/100+1)^4)-1</f>
        <v>-1.1070302145385069E-3</v>
      </c>
      <c r="AA63" s="32">
        <f>(((VLOOKUP(B63,'Data qoq'!$A:$AU,MATCH($AA$1,'Data qoq'!$A$1:$AU$1,),))/100+1)^4)-1</f>
        <v>-1.2476286575034634E-2</v>
      </c>
      <c r="AC63" s="26" t="str">
        <f t="shared" si="8"/>
        <v>2013-Q1</v>
      </c>
      <c r="AD63" s="31">
        <f t="shared" si="9"/>
        <v>-2.2658960518268878E-2</v>
      </c>
      <c r="AE63" s="27"/>
    </row>
    <row r="64" spans="1:31" hidden="1" x14ac:dyDescent="0.2">
      <c r="A64" s="30">
        <v>41426</v>
      </c>
      <c r="B64" s="24" t="s">
        <v>330</v>
      </c>
      <c r="C64" s="32">
        <f>(((VLOOKUP(B64,'Data qoq'!$A:$AT,MATCH($C$1,'Data qoq'!$A$1:$AT$1,),))/100+1)^4)-1</f>
        <v>5.5870765795456023E-3</v>
      </c>
      <c r="D64" s="32">
        <f>(((VLOOKUP(B64,'Data qoq'!$A:$AT,MATCH($D$1,'Data qoq'!$A$1:$AT$1,),))/100+1)^4)-1</f>
        <v>6.9753735520999616E-2</v>
      </c>
      <c r="E64" s="32">
        <f>(((VLOOKUP(B64,'Data qoq'!$A:$AT,MATCH($E$1,'Data qoq'!$A$1:$AT$1,),))/100+1)^4)-1</f>
        <v>2.0853357750426849E-2</v>
      </c>
      <c r="F64" s="32">
        <f>(((VLOOKUP(B64,'Data qoq'!$A:$AT,MATCH($F$1,'Data qoq'!$A$1:$AT$1,),))/100+1)^4)-1</f>
        <v>3.6525664640224331E-2</v>
      </c>
      <c r="G64" s="32">
        <f>(((VLOOKUP(B64,'Data qoq'!$A:$AT,MATCH($G$1,'Data qoq'!$A$1:$AT$1,),))/100+1)^4)-1</f>
        <v>4.3434677213328721E-2</v>
      </c>
      <c r="H64" s="32">
        <f>(((VLOOKUP(B64,'Data qoq'!$A:$AT,MATCH($H$1,'Data qoq'!$A$1:$AT$1,),))/100+1)^4)-1</f>
        <v>2.7139215458305888E-2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-3.2504935299005888E-3</v>
      </c>
      <c r="M64" s="32">
        <f>(((VLOOKUP(B64,'Data qoq'!$A:$AT,MATCH($M$1,'Data qoq'!$A$1:$AT$1,),))/100+1)^4)-1</f>
        <v>-2.1823368562347345E-2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1.6697379698263237E-2</v>
      </c>
      <c r="R64" s="32">
        <f>(((VLOOKUP(B64,'Data qoq'!$A:$AT,MATCH($R$1,'Data qoq'!$A$1:$AT$1,),))/100+1)^4)-1</f>
        <v>2.8956451236759273E-2</v>
      </c>
      <c r="S64" s="32">
        <f>(((VLOOKUP(B64,'Data qoq'!$A:$AT,MATCH($S$1,'Data qoq'!$A$1:$AT$1,),))/100+1)^4)-1</f>
        <v>4.7468427621557785E-2</v>
      </c>
      <c r="T64" s="32">
        <f>(((VLOOKUP(B64,'Data qoq'!$A:$AT,MATCH($T$1,'Data qoq'!$A$1:$AT$1,),))/100+1)^4)-1</f>
        <v>5.9209415597167192E-2</v>
      </c>
      <c r="U64" s="32">
        <f>(((VLOOKUP(B64,'Data qoq'!$A:$AT,MATCH($U$1,'Data qoq'!$A$1:$AT$1,),))/100+1)^4)-1</f>
        <v>6.3527639437899186E-3</v>
      </c>
      <c r="V64" s="32">
        <f>(((VLOOKUP(B64,'Data qoq'!$A:$AT,MATCH($V$1,'Data qoq'!$A$1:$AT$1,),))/100+1)^4)-1</f>
        <v>6.8767385214195453E-2</v>
      </c>
      <c r="W64" s="32">
        <f>(((VLOOKUP(B64,'Data qoq'!$A:$AT,MATCH($W$1,'Data qoq'!$A$1:$AT$1,),))/100+1)^4)-1</f>
        <v>0.1227042674353831</v>
      </c>
      <c r="X64" s="32">
        <f>(((VLOOKUP(B64,'Data qoq'!$A:$AT,MATCH($X$1,'Data qoq'!$A$1:$AT$1,),))/100+1)^4)-1</f>
        <v>1.4765804096934065E-2</v>
      </c>
      <c r="Y64" s="32">
        <f>(((VLOOKUP(B64,'Data qoq'!$A:$AT,MATCH($Y$1,'Data qoq'!$A$1:$AT$1,),))/100+1)^4)-1</f>
        <v>4.3784481022224986E-2</v>
      </c>
      <c r="Z64" s="32">
        <f>(((VLOOKUP(B64,'Data qoq'!$A:$AU,MATCH($Z$1,'Data qoq'!$A$1:$AU$1,),))/100+1)^4)-1</f>
        <v>2.4378501128311303E-2</v>
      </c>
      <c r="AA64" s="32">
        <f>(((VLOOKUP(B64,'Data qoq'!$A:$AU,MATCH($AA$1,'Data qoq'!$A$1:$AU$1,),))/100+1)^4)-1</f>
        <v>4.7814969192780943E-2</v>
      </c>
      <c r="AC64" s="26" t="str">
        <f t="shared" si="8"/>
        <v>2013-Q2</v>
      </c>
      <c r="AD64" s="31">
        <f t="shared" si="9"/>
        <v>-6.5834390564178946E-3</v>
      </c>
      <c r="AE64" s="27"/>
    </row>
    <row r="65" spans="1:31" hidden="1" x14ac:dyDescent="0.2">
      <c r="A65" s="30">
        <v>41518</v>
      </c>
      <c r="B65" s="24" t="s">
        <v>331</v>
      </c>
      <c r="C65" s="32">
        <f>(((VLOOKUP(B65,'Data qoq'!$A:$AT,MATCH($C$1,'Data qoq'!$A$1:$AT$1,),))/100+1)^4)-1</f>
        <v>3.2044154006267478E-2</v>
      </c>
      <c r="D65" s="32">
        <f>(((VLOOKUP(B65,'Data qoq'!$A:$AT,MATCH($D$1,'Data qoq'!$A$1:$AT$1,),))/100+1)^4)-1</f>
        <v>8.6683238480999458E-2</v>
      </c>
      <c r="E65" s="32">
        <f>(((VLOOKUP(B65,'Data qoq'!$A:$AT,MATCH($E$1,'Data qoq'!$A$1:$AT$1,),))/100+1)^4)-1</f>
        <v>1.2148677407604058E-2</v>
      </c>
      <c r="F65" s="32">
        <f>(((VLOOKUP(B65,'Data qoq'!$A:$AT,MATCH($F$1,'Data qoq'!$A$1:$AT$1,),))/100+1)^4)-1</f>
        <v>3.8315644057576925E-2</v>
      </c>
      <c r="G65" s="32">
        <f>(((VLOOKUP(B65,'Data qoq'!$A:$AT,MATCH($G$1,'Data qoq'!$A$1:$AT$1,),))/100+1)^4)-1</f>
        <v>2.257900961501691E-2</v>
      </c>
      <c r="H65" s="32">
        <f>(((VLOOKUP(B65,'Data qoq'!$A:$AT,MATCH($H$1,'Data qoq'!$A$1:$AT$1,),))/100+1)^4)-1</f>
        <v>-4.3486223535634805E-3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1.8034825933488374E-2</v>
      </c>
      <c r="M65" s="32">
        <f>(((VLOOKUP(B65,'Data qoq'!$A:$AT,MATCH($M$1,'Data qoq'!$A$1:$AT$1,),))/100+1)^4)-1</f>
        <v>3.7847539064648661E-2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3.1608099200695072E-2</v>
      </c>
      <c r="R65" s="32">
        <f>(((VLOOKUP(B65,'Data qoq'!$A:$AT,MATCH($R$1,'Data qoq'!$A$1:$AT$1,),))/100+1)^4)-1</f>
        <v>3.0377195335153484E-2</v>
      </c>
      <c r="S65" s="32">
        <f>(((VLOOKUP(B65,'Data qoq'!$A:$AT,MATCH($S$1,'Data qoq'!$A$1:$AT$1,),))/100+1)^4)-1</f>
        <v>3.4688383456184191E-2</v>
      </c>
      <c r="T65" s="32">
        <f>(((VLOOKUP(B65,'Data qoq'!$A:$AT,MATCH($T$1,'Data qoq'!$A$1:$AT$1,),))/100+1)^4)-1</f>
        <v>1.7856079170008865E-2</v>
      </c>
      <c r="U65" s="32">
        <f>(((VLOOKUP(B65,'Data qoq'!$A:$AT,MATCH($U$1,'Data qoq'!$A$1:$AT$1,),))/100+1)^4)-1</f>
        <v>3.7272640554086856E-4</v>
      </c>
      <c r="V65" s="32">
        <f>(((VLOOKUP(B65,'Data qoq'!$A:$AT,MATCH($V$1,'Data qoq'!$A$1:$AT$1,),))/100+1)^4)-1</f>
        <v>0.13279155247407215</v>
      </c>
      <c r="W65" s="32">
        <f>(((VLOOKUP(B65,'Data qoq'!$A:$AT,MATCH($W$1,'Data qoq'!$A$1:$AT$1,),))/100+1)^4)-1</f>
        <v>5.9941146073761553E-2</v>
      </c>
      <c r="X65" s="32">
        <f>(((VLOOKUP(B65,'Data qoq'!$A:$AT,MATCH($X$1,'Data qoq'!$A$1:$AT$1,),))/100+1)^4)-1</f>
        <v>1.7296061204460367E-2</v>
      </c>
      <c r="Y65" s="32">
        <f>(((VLOOKUP(B65,'Data qoq'!$A:$AT,MATCH($Y$1,'Data qoq'!$A$1:$AT$1,),))/100+1)^4)-1</f>
        <v>3.0568982780611931E-2</v>
      </c>
      <c r="Z65" s="32">
        <f>(((VLOOKUP(B65,'Data qoq'!$A:$AU,MATCH($Z$1,'Data qoq'!$A$1:$AU$1,),))/100+1)^4)-1</f>
        <v>2.1737684395864543E-2</v>
      </c>
      <c r="AA65" s="32">
        <f>(((VLOOKUP(B65,'Data qoq'!$A:$AU,MATCH($AA$1,'Data qoq'!$A$1:$AU$1,),))/100+1)^4)-1</f>
        <v>2.3149103880153454E-2</v>
      </c>
      <c r="AC65" s="26" t="str">
        <f t="shared" si="8"/>
        <v>2013-Q3</v>
      </c>
      <c r="AD65" s="31">
        <f t="shared" si="9"/>
        <v>-1.8149950459833253E-2</v>
      </c>
      <c r="AE65" s="27"/>
    </row>
    <row r="66" spans="1:31" hidden="1" x14ac:dyDescent="0.2">
      <c r="A66" s="30">
        <v>41609</v>
      </c>
      <c r="B66" s="24" t="s">
        <v>332</v>
      </c>
      <c r="C66" s="32">
        <f>(((VLOOKUP(B66,'Data qoq'!$A:$AT,MATCH($C$1,'Data qoq'!$A$1:$AT$1,),))/100+1)^4)-1</f>
        <v>2.8751739893740247E-2</v>
      </c>
      <c r="D66" s="32">
        <f>(((VLOOKUP(B66,'Data qoq'!$A:$AT,MATCH($D$1,'Data qoq'!$A$1:$AT$1,),))/100+1)^4)-1</f>
        <v>6.5552449536000035E-2</v>
      </c>
      <c r="E66" s="32">
        <f>(((VLOOKUP(B66,'Data qoq'!$A:$AT,MATCH($E$1,'Data qoq'!$A$1:$AT$1,),))/100+1)^4)-1</f>
        <v>1.1433134336266804E-2</v>
      </c>
      <c r="F66" s="32">
        <f>(((VLOOKUP(B66,'Data qoq'!$A:$AT,MATCH($F$1,'Data qoq'!$A$1:$AT$1,),))/100+1)^4)-1</f>
        <v>-4.8533774011023656E-3</v>
      </c>
      <c r="G66" s="32">
        <f>(((VLOOKUP(B66,'Data qoq'!$A:$AT,MATCH($G$1,'Data qoq'!$A$1:$AT$1,),))/100+1)^4)-1</f>
        <v>1.1595579549056767E-2</v>
      </c>
      <c r="H66" s="32">
        <f>(((VLOOKUP(B66,'Data qoq'!$A:$AT,MATCH($H$1,'Data qoq'!$A$1:$AT$1,),))/100+1)^4)-1</f>
        <v>2.6905565381448726E-2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2.855923701679508E-2</v>
      </c>
      <c r="M66" s="32">
        <f>(((VLOOKUP(B66,'Data qoq'!$A:$AT,MATCH($M$1,'Data qoq'!$A$1:$AT$1,),))/100+1)^4)-1</f>
        <v>2.2526263775937583E-2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3.2888451432106391E-2</v>
      </c>
      <c r="R66" s="32">
        <f>(((VLOOKUP(B66,'Data qoq'!$A:$AT,MATCH($R$1,'Data qoq'!$A$1:$AT$1,),))/100+1)^4)-1</f>
        <v>8.2474886731846997E-3</v>
      </c>
      <c r="S66" s="32">
        <f>(((VLOOKUP(B66,'Data qoq'!$A:$AT,MATCH($S$1,'Data qoq'!$A$1:$AT$1,),))/100+1)^4)-1</f>
        <v>3.545860143802293E-2</v>
      </c>
      <c r="T66" s="32">
        <f>(((VLOOKUP(B66,'Data qoq'!$A:$AT,MATCH($T$1,'Data qoq'!$A$1:$AT$1,),))/100+1)^4)-1</f>
        <v>5.1432286636885483E-3</v>
      </c>
      <c r="U66" s="32">
        <f>(((VLOOKUP(B66,'Data qoq'!$A:$AT,MATCH($U$1,'Data qoq'!$A$1:$AT$1,),))/100+1)^4)-1</f>
        <v>2.5585226230960156E-2</v>
      </c>
      <c r="V66" s="32">
        <f>(((VLOOKUP(B66,'Data qoq'!$A:$AT,MATCH($V$1,'Data qoq'!$A$1:$AT$1,),))/100+1)^4)-1</f>
        <v>-4.8013928838658293E-2</v>
      </c>
      <c r="W66" s="32">
        <f>(((VLOOKUP(B66,'Data qoq'!$A:$AT,MATCH($W$1,'Data qoq'!$A$1:$AT$1,),))/100+1)^4)-1</f>
        <v>7.7757517919521124E-3</v>
      </c>
      <c r="X66" s="32">
        <f>(((VLOOKUP(B66,'Data qoq'!$A:$AT,MATCH($X$1,'Data qoq'!$A$1:$AT$1,),))/100+1)^4)-1</f>
        <v>4.9188798345552787E-2</v>
      </c>
      <c r="Y66" s="32">
        <f>(((VLOOKUP(B66,'Data qoq'!$A:$AT,MATCH($Y$1,'Data qoq'!$A$1:$AT$1,),))/100+1)^4)-1</f>
        <v>1.0625859570250196E-2</v>
      </c>
      <c r="Z66" s="32">
        <f>(((VLOOKUP(B66,'Data qoq'!$A:$AU,MATCH($Z$1,'Data qoq'!$A$1:$AU$1,),))/100+1)^4)-1</f>
        <v>-3.7498573154343462E-2</v>
      </c>
      <c r="AA66" s="32">
        <f>(((VLOOKUP(B66,'Data qoq'!$A:$AU,MATCH($AA$1,'Data qoq'!$A$1:$AU$1,),))/100+1)^4)-1</f>
        <v>9.6631440138092994E-3</v>
      </c>
      <c r="AC66" s="26" t="str">
        <f t="shared" si="8"/>
        <v>2013-Q4</v>
      </c>
      <c r="AD66" s="31">
        <f t="shared" si="9"/>
        <v>-1.4524894954307754E-2</v>
      </c>
      <c r="AE66" s="27"/>
    </row>
    <row r="67" spans="1:31" hidden="1" x14ac:dyDescent="0.2">
      <c r="A67" s="30">
        <v>41699</v>
      </c>
      <c r="B67" s="24" t="s">
        <v>333</v>
      </c>
      <c r="C67" s="32">
        <f>(((VLOOKUP(B67,'Data qoq'!$A:$AT,MATCH($C$1,'Data qoq'!$A$1:$AT$1,),))/100+1)^4)-1</f>
        <v>-1.3931014894348004E-2</v>
      </c>
      <c r="D67" s="32">
        <f>(((VLOOKUP(B67,'Data qoq'!$A:$AT,MATCH($D$1,'Data qoq'!$A$1:$AT$1,),))/100+1)^4)-1</f>
        <v>7.3967432976000058E-2</v>
      </c>
      <c r="E67" s="32">
        <f>(((VLOOKUP(B67,'Data qoq'!$A:$AT,MATCH($E$1,'Data qoq'!$A$1:$AT$1,),))/100+1)^4)-1</f>
        <v>1.6553698223677138E-2</v>
      </c>
      <c r="F67" s="32">
        <f>(((VLOOKUP(B67,'Data qoq'!$A:$AT,MATCH($F$1,'Data qoq'!$A$1:$AT$1,),))/100+1)^4)-1</f>
        <v>3.3993451887627035E-2</v>
      </c>
      <c r="G67" s="32">
        <f>(((VLOOKUP(B67,'Data qoq'!$A:$AT,MATCH($G$1,'Data qoq'!$A$1:$AT$1,),))/100+1)^4)-1</f>
        <v>3.9528796167056512E-2</v>
      </c>
      <c r="H67" s="32">
        <f>(((VLOOKUP(B67,'Data qoq'!$A:$AT,MATCH($H$1,'Data qoq'!$A$1:$AT$1,),))/100+1)^4)-1</f>
        <v>3.1114397737774802E-4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3.3584146494608502E-2</v>
      </c>
      <c r="M67" s="32">
        <f>(((VLOOKUP(B67,'Data qoq'!$A:$AT,MATCH($M$1,'Data qoq'!$A$1:$AT$1,),))/100+1)^4)-1</f>
        <v>2.7903398051646766E-2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3.1160824535788834E-2</v>
      </c>
      <c r="R67" s="32">
        <f>(((VLOOKUP(B67,'Data qoq'!$A:$AT,MATCH($R$1,'Data qoq'!$A$1:$AT$1,),))/100+1)^4)-1</f>
        <v>2.0742496772471863E-2</v>
      </c>
      <c r="S67" s="32">
        <f>(((VLOOKUP(B67,'Data qoq'!$A:$AT,MATCH($S$1,'Data qoq'!$A$1:$AT$1,),))/100+1)^4)-1</f>
        <v>3.4722153792170474E-2</v>
      </c>
      <c r="T67" s="32">
        <f>(((VLOOKUP(B67,'Data qoq'!$A:$AT,MATCH($T$1,'Data qoq'!$A$1:$AT$1,),))/100+1)^4)-1</f>
        <v>3.5494851361021373E-2</v>
      </c>
      <c r="U67" s="32">
        <f>(((VLOOKUP(B67,'Data qoq'!$A:$AT,MATCH($U$1,'Data qoq'!$A$1:$AT$1,),))/100+1)^4)-1</f>
        <v>-1.2285961907597676E-3</v>
      </c>
      <c r="V67" s="32">
        <f>(((VLOOKUP(B67,'Data qoq'!$A:$AT,MATCH($V$1,'Data qoq'!$A$1:$AT$1,),))/100+1)^4)-1</f>
        <v>0.16123803078428267</v>
      </c>
      <c r="W67" s="32">
        <f>(((VLOOKUP(B67,'Data qoq'!$A:$AT,MATCH($W$1,'Data qoq'!$A$1:$AT$1,),))/100+1)^4)-1</f>
        <v>0.12119114235902662</v>
      </c>
      <c r="X67" s="32">
        <f>(((VLOOKUP(B67,'Data qoq'!$A:$AT,MATCH($X$1,'Data qoq'!$A$1:$AT$1,),))/100+1)^4)-1</f>
        <v>-2.1727595657700105E-2</v>
      </c>
      <c r="Y67" s="32">
        <f>(((VLOOKUP(B67,'Data qoq'!$A:$AT,MATCH($Y$1,'Data qoq'!$A$1:$AT$1,),))/100+1)^4)-1</f>
        <v>4.1956914310763427E-2</v>
      </c>
      <c r="Z67" s="32">
        <f>(((VLOOKUP(B67,'Data qoq'!$A:$AU,MATCH($Z$1,'Data qoq'!$A$1:$AU$1,),))/100+1)^4)-1</f>
        <v>-5.8353790434735431E-2</v>
      </c>
      <c r="AA67" s="32">
        <f>(((VLOOKUP(B67,'Data qoq'!$A:$AU,MATCH($AA$1,'Data qoq'!$A$1:$AU$1,),))/100+1)^4)-1</f>
        <v>6.1338243259604797E-2</v>
      </c>
      <c r="AC67" s="26" t="str">
        <f t="shared" si="8"/>
        <v>2014-Q1</v>
      </c>
      <c r="AD67" s="31">
        <f t="shared" si="9"/>
        <v>-2.1465150939614652E-2</v>
      </c>
      <c r="AE67" s="27"/>
    </row>
    <row r="68" spans="1:31" hidden="1" x14ac:dyDescent="0.2">
      <c r="A68" s="30">
        <v>41791</v>
      </c>
      <c r="B68" s="24" t="s">
        <v>334</v>
      </c>
      <c r="C68" s="32">
        <f>(((VLOOKUP(B68,'Data qoq'!$A:$AT,MATCH($C$1,'Data qoq'!$A$1:$AT$1,),))/100+1)^4)-1</f>
        <v>5.2363045749210579E-2</v>
      </c>
      <c r="D68" s="32">
        <f>(((VLOOKUP(B68,'Data qoq'!$A:$AT,MATCH($D$1,'Data qoq'!$A$1:$AT$1,),))/100+1)^4)-1</f>
        <v>7.3967432976000058E-2</v>
      </c>
      <c r="E68" s="32">
        <f>(((VLOOKUP(B68,'Data qoq'!$A:$AT,MATCH($E$1,'Data qoq'!$A$1:$AT$1,),))/100+1)^4)-1</f>
        <v>7.9808144349879928E-3</v>
      </c>
      <c r="F68" s="32">
        <f>(((VLOOKUP(B68,'Data qoq'!$A:$AT,MATCH($F$1,'Data qoq'!$A$1:$AT$1,),))/100+1)^4)-1</f>
        <v>-7.0754228888362802E-2</v>
      </c>
      <c r="G68" s="32">
        <f>(((VLOOKUP(B68,'Data qoq'!$A:$AT,MATCH($G$1,'Data qoq'!$A$1:$AT$1,),))/100+1)^4)-1</f>
        <v>0</v>
      </c>
      <c r="H68" s="32">
        <f>(((VLOOKUP(B68,'Data qoq'!$A:$AT,MATCH($H$1,'Data qoq'!$A$1:$AT$1,),))/100+1)^4)-1</f>
        <v>3.6140527560979407E-3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3.3304543969423284E-2</v>
      </c>
      <c r="M68" s="32">
        <f>(((VLOOKUP(B68,'Data qoq'!$A:$AT,MATCH($M$1,'Data qoq'!$A$1:$AT$1,),))/100+1)^4)-1</f>
        <v>5.1375245198139519E-2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1.7698867453006084E-2</v>
      </c>
      <c r="R68" s="32">
        <f>(((VLOOKUP(B68,'Data qoq'!$A:$AT,MATCH($R$1,'Data qoq'!$A$1:$AT$1,),))/100+1)^4)-1</f>
        <v>3.3120823572128533E-2</v>
      </c>
      <c r="S68" s="32">
        <f>(((VLOOKUP(B68,'Data qoq'!$A:$AT,MATCH($S$1,'Data qoq'!$A$1:$AT$1,),))/100+1)^4)-1</f>
        <v>3.5579429606619639E-2</v>
      </c>
      <c r="T68" s="32">
        <f>(((VLOOKUP(B68,'Data qoq'!$A:$AT,MATCH($T$1,'Data qoq'!$A$1:$AT$1,),))/100+1)^4)-1</f>
        <v>-5.8854515179002087E-2</v>
      </c>
      <c r="U68" s="32">
        <f>(((VLOOKUP(B68,'Data qoq'!$A:$AT,MATCH($U$1,'Data qoq'!$A$1:$AT$1,),))/100+1)^4)-1</f>
        <v>-1.0135780431585029E-2</v>
      </c>
      <c r="V68" s="32">
        <f>(((VLOOKUP(B68,'Data qoq'!$A:$AT,MATCH($V$1,'Data qoq'!$A$1:$AT$1,),))/100+1)^4)-1</f>
        <v>0.13077896669396183</v>
      </c>
      <c r="W68" s="32">
        <f>(((VLOOKUP(B68,'Data qoq'!$A:$AT,MATCH($W$1,'Data qoq'!$A$1:$AT$1,),))/100+1)^4)-1</f>
        <v>-6.3333940352729212E-2</v>
      </c>
      <c r="X68" s="32">
        <f>(((VLOOKUP(B68,'Data qoq'!$A:$AT,MATCH($X$1,'Data qoq'!$A$1:$AT$1,),))/100+1)^4)-1</f>
        <v>3.791806132028519E-2</v>
      </c>
      <c r="Y68" s="32">
        <f>(((VLOOKUP(B68,'Data qoq'!$A:$AT,MATCH($Y$1,'Data qoq'!$A$1:$AT$1,),))/100+1)^4)-1</f>
        <v>4.6349086957564012E-2</v>
      </c>
      <c r="Z68" s="32">
        <f>(((VLOOKUP(B68,'Data qoq'!$A:$AU,MATCH($Z$1,'Data qoq'!$A$1:$AU$1,),))/100+1)^4)-1</f>
        <v>-2.3889142070237845E-2</v>
      </c>
      <c r="AA68" s="32">
        <f>(((VLOOKUP(B68,'Data qoq'!$A:$AU,MATCH($AA$1,'Data qoq'!$A$1:$AU$1,),))/100+1)^4)-1</f>
        <v>2.0800760944634566E-2</v>
      </c>
      <c r="AC68" s="26" t="str">
        <f t="shared" si="8"/>
        <v>2014-Q2</v>
      </c>
      <c r="AD68" s="31">
        <f t="shared" si="9"/>
        <v>-2.7449812317835942E-2</v>
      </c>
      <c r="AE68" s="27"/>
    </row>
    <row r="69" spans="1:31" hidden="1" x14ac:dyDescent="0.2">
      <c r="A69" s="30">
        <v>41883</v>
      </c>
      <c r="B69" s="24" t="s">
        <v>335</v>
      </c>
      <c r="C69" s="32">
        <f>(((VLOOKUP(B69,'Data qoq'!$A:$AT,MATCH($C$1,'Data qoq'!$A$1:$AT$1,),))/100+1)^4)-1</f>
        <v>4.7419089601193898E-2</v>
      </c>
      <c r="D69" s="32">
        <f>(((VLOOKUP(B69,'Data qoq'!$A:$AT,MATCH($D$1,'Data qoq'!$A$1:$AT$1,),))/100+1)^4)-1</f>
        <v>7.3967432976000058E-2</v>
      </c>
      <c r="E69" s="32">
        <f>(((VLOOKUP(B69,'Data qoq'!$A:$AT,MATCH($E$1,'Data qoq'!$A$1:$AT$1,),))/100+1)^4)-1</f>
        <v>1.9664204182190836E-2</v>
      </c>
      <c r="F69" s="32">
        <f>(((VLOOKUP(B69,'Data qoq'!$A:$AT,MATCH($F$1,'Data qoq'!$A$1:$AT$1,),))/100+1)^4)-1</f>
        <v>2.8753472081592957E-3</v>
      </c>
      <c r="G69" s="32">
        <f>(((VLOOKUP(B69,'Data qoq'!$A:$AT,MATCH($G$1,'Data qoq'!$A$1:$AT$1,),))/100+1)^4)-1</f>
        <v>2.0514097799313902E-2</v>
      </c>
      <c r="H69" s="32">
        <f>(((VLOOKUP(B69,'Data qoq'!$A:$AT,MATCH($H$1,'Data qoq'!$A$1:$AT$1,),))/100+1)^4)-1</f>
        <v>2.2789909110474182E-2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2.8703226441997964E-2</v>
      </c>
      <c r="M69" s="32">
        <f>(((VLOOKUP(B69,'Data qoq'!$A:$AT,MATCH($M$1,'Data qoq'!$A$1:$AT$1,),))/100+1)^4)-1</f>
        <v>1.4703808816089126E-2</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1.8819719006621716E-2</v>
      </c>
      <c r="R69" s="32">
        <f>(((VLOOKUP(B69,'Data qoq'!$A:$AT,MATCH($R$1,'Data qoq'!$A$1:$AT$1,),))/100+1)^4)-1</f>
        <v>2.3478206911830002E-2</v>
      </c>
      <c r="S69" s="32">
        <f>(((VLOOKUP(B69,'Data qoq'!$A:$AT,MATCH($S$1,'Data qoq'!$A$1:$AT$1,),))/100+1)^4)-1</f>
        <v>1.2510962487532806E-2</v>
      </c>
      <c r="T69" s="32">
        <f>(((VLOOKUP(B69,'Data qoq'!$A:$AT,MATCH($T$1,'Data qoq'!$A$1:$AT$1,),))/100+1)^4)-1</f>
        <v>-1.1520655845805861E-3</v>
      </c>
      <c r="U69" s="32">
        <f>(((VLOOKUP(B69,'Data qoq'!$A:$AT,MATCH($U$1,'Data qoq'!$A$1:$AT$1,),))/100+1)^4)-1</f>
        <v>4.3432015600239682E-2</v>
      </c>
      <c r="V69" s="32">
        <f>(((VLOOKUP(B69,'Data qoq'!$A:$AT,MATCH($V$1,'Data qoq'!$A$1:$AT$1,),))/100+1)^4)-1</f>
        <v>7.4606526791354932E-2</v>
      </c>
      <c r="W69" s="32">
        <f>(((VLOOKUP(B69,'Data qoq'!$A:$AT,MATCH($W$1,'Data qoq'!$A$1:$AT$1,),))/100+1)^4)-1</f>
        <v>0.10201275941615906</v>
      </c>
      <c r="X69" s="32">
        <f>(((VLOOKUP(B69,'Data qoq'!$A:$AT,MATCH($X$1,'Data qoq'!$A$1:$AT$1,),))/100+1)^4)-1</f>
        <v>4.8406981004850858E-2</v>
      </c>
      <c r="Y69" s="32">
        <f>(((VLOOKUP(B69,'Data qoq'!$A:$AT,MATCH($Y$1,'Data qoq'!$A$1:$AT$1,),))/100+1)^4)-1</f>
        <v>3.3783745136578336E-2</v>
      </c>
      <c r="Z69" s="32">
        <f>(((VLOOKUP(B69,'Data qoq'!$A:$AU,MATCH($Z$1,'Data qoq'!$A$1:$AU$1,),))/100+1)^4)-1</f>
        <v>-3.4009918054986654E-2</v>
      </c>
      <c r="AA69" s="32">
        <f>(((VLOOKUP(B69,'Data qoq'!$A:$AU,MATCH($AA$1,'Data qoq'!$A$1:$AU$1,),))/100+1)^4)-1</f>
        <v>5.1755433583111188E-2</v>
      </c>
      <c r="AC69" s="26" t="str">
        <f t="shared" si="8"/>
        <v>2014-Q3</v>
      </c>
      <c r="AD69" s="31">
        <f t="shared" si="9"/>
        <v>-1.1069423106168319E-2</v>
      </c>
      <c r="AE69" s="27"/>
    </row>
    <row r="70" spans="1:31" hidden="1" x14ac:dyDescent="0.2">
      <c r="A70" s="30">
        <v>41974</v>
      </c>
      <c r="B70" s="24" t="s">
        <v>336</v>
      </c>
      <c r="C70" s="32">
        <f>(((VLOOKUP(B70,'Data qoq'!$A:$AT,MATCH($C$1,'Data qoq'!$A$1:$AT$1,),))/100+1)^4)-1</f>
        <v>1.8081055590863704E-2</v>
      </c>
      <c r="D70" s="32">
        <f>(((VLOOKUP(B70,'Data qoq'!$A:$AT,MATCH($D$1,'Data qoq'!$A$1:$AT$1,),))/100+1)^4)-1</f>
        <v>7.3967432976000058E-2</v>
      </c>
      <c r="E70" s="32">
        <f>(((VLOOKUP(B70,'Data qoq'!$A:$AT,MATCH($E$1,'Data qoq'!$A$1:$AT$1,),))/100+1)^4)-1</f>
        <v>1.474159927536145E-2</v>
      </c>
      <c r="F70" s="32">
        <f>(((VLOOKUP(B70,'Data qoq'!$A:$AT,MATCH($F$1,'Data qoq'!$A$1:$AT$1,),))/100+1)^4)-1</f>
        <v>1.8814888618888581E-2</v>
      </c>
      <c r="G70" s="32">
        <f>(((VLOOKUP(B70,'Data qoq'!$A:$AT,MATCH($G$1,'Data qoq'!$A$1:$AT$1,),))/100+1)^4)-1</f>
        <v>3.2804579095664144E-2</v>
      </c>
      <c r="H70" s="32">
        <f>(((VLOOKUP(B70,'Data qoq'!$A:$AT,MATCH($H$1,'Data qoq'!$A$1:$AT$1,),))/100+1)^4)-1</f>
        <v>-1.3718922914771614E-3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3.15119589960835E-2</v>
      </c>
      <c r="M70" s="32">
        <f>(((VLOOKUP(B70,'Data qoq'!$A:$AT,MATCH($M$1,'Data qoq'!$A$1:$AT$1,),))/100+1)^4)-1</f>
        <v>4.2430405232721125E-2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1.5227940437316567E-2</v>
      </c>
      <c r="R70" s="32">
        <f>(((VLOOKUP(B70,'Data qoq'!$A:$AT,MATCH($R$1,'Data qoq'!$A$1:$AT$1,),))/100+1)^4)-1</f>
        <v>2.6330850526231853E-2</v>
      </c>
      <c r="S70" s="32">
        <f>(((VLOOKUP(B70,'Data qoq'!$A:$AT,MATCH($S$1,'Data qoq'!$A$1:$AT$1,),))/100+1)^4)-1</f>
        <v>1.9770458766876109E-2</v>
      </c>
      <c r="T70" s="32">
        <f>(((VLOOKUP(B70,'Data qoq'!$A:$AT,MATCH($T$1,'Data qoq'!$A$1:$AT$1,),))/100+1)^4)-1</f>
        <v>2.0592425178769247E-2</v>
      </c>
      <c r="U70" s="32">
        <f>(((VLOOKUP(B70,'Data qoq'!$A:$AT,MATCH($U$1,'Data qoq'!$A$1:$AT$1,),))/100+1)^4)-1</f>
        <v>-4.1448146512169548E-2</v>
      </c>
      <c r="V70" s="32">
        <f>(((VLOOKUP(B70,'Data qoq'!$A:$AT,MATCH($V$1,'Data qoq'!$A$1:$AT$1,),))/100+1)^4)-1</f>
        <v>-1.3001467118719412E-2</v>
      </c>
      <c r="W70" s="32">
        <f>(((VLOOKUP(B70,'Data qoq'!$A:$AT,MATCH($W$1,'Data qoq'!$A$1:$AT$1,),))/100+1)^4)-1</f>
        <v>5.5001746373369631E-2</v>
      </c>
      <c r="X70" s="32">
        <f>(((VLOOKUP(B70,'Data qoq'!$A:$AT,MATCH($X$1,'Data qoq'!$A$1:$AT$1,),))/100+1)^4)-1</f>
        <v>4.6652979627202162E-2</v>
      </c>
      <c r="Y70" s="32">
        <f>(((VLOOKUP(B70,'Data qoq'!$A:$AT,MATCH($Y$1,'Data qoq'!$A$1:$AT$1,),))/100+1)^4)-1</f>
        <v>2.6481774748819742E-2</v>
      </c>
      <c r="Z70" s="32">
        <f>(((VLOOKUP(B70,'Data qoq'!$A:$AU,MATCH($Z$1,'Data qoq'!$A$1:$AU$1,),))/100+1)^4)-1</f>
        <v>2.2837110948499717E-2</v>
      </c>
      <c r="AA70" s="32">
        <f>(((VLOOKUP(B70,'Data qoq'!$A:$AU,MATCH($AA$1,'Data qoq'!$A$1:$AU$1,),))/100+1)^4)-1</f>
        <v>6.6451895466888899E-2</v>
      </c>
      <c r="AC70" s="26" t="str">
        <f t="shared" si="8"/>
        <v>2014-Q4</v>
      </c>
      <c r="AD70" s="31">
        <f t="shared" si="9"/>
        <v>-1.1539904133214707E-2</v>
      </c>
      <c r="AE70" s="27"/>
    </row>
    <row r="71" spans="1:31" x14ac:dyDescent="0.2">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2.5213631007326542E-2</v>
      </c>
      <c r="F71" s="32">
        <f>IF((((VLOOKUP(B71,'Data qoq'!$A:$AT,MATCH($F$1,'Data qoq'!$A$1:$AT$1,),))/100+1)^4)-1=0,#N/A,(((VLOOKUP(B71,'Data qoq'!$A:$AT,MATCH($F$1,'Data qoq'!$A$1:$AT$1,),))/100+1)^4)-1)</f>
        <v>6.4212118251251171E-2</v>
      </c>
      <c r="G71" s="32">
        <f>IF((((VLOOKUP(B71,'Data qoq'!$A:$AT,MATCH($G$1,'Data qoq'!$A$1:$AT$1,),))/100+1)^4)-1=0,#N/A,(((VLOOKUP(B71,'Data qoq'!$A:$AT,MATCH($G$1,'Data qoq'!$A$1:$AT$1,),))/100+1)^4)-1)</f>
        <v>-2.033598831595651E-2</v>
      </c>
      <c r="H71" s="32">
        <f>IF((((VLOOKUP(B71,'Data qoq'!$A:$AT,MATCH($H$1,'Data qoq'!$A$1:$AT$1,),))/100+1)^4)-1=0,#N/A,(((VLOOKUP(B71,'Data qoq'!$A:$AT,MATCH($H$1,'Data qoq'!$A$1:$AT$1,),))/100+1)^4)-1)</f>
        <v>2.128732608085171E-2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5.7469089496000381E-2</v>
      </c>
      <c r="M71" s="32">
        <f>IF((((VLOOKUP(B71,'Data qoq'!$A:$AT,MATCH($M$1,'Data qoq'!$A$1:$AT$1,),))/100+1)^4)-1=0,#N/A,(((VLOOKUP(B71,'Data qoq'!$A:$AT,MATCH($M$1,'Data qoq'!$A$1:$AT$1,),))/100+1)^4)-1)</f>
        <v>2.2029507164035733E-2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3.7958263438737871E-2</v>
      </c>
      <c r="R71" s="32">
        <f>IF((((VLOOKUP(B71,'Data qoq'!$A:$AT,MATCH($R$1,'Data qoq'!$A$1:$AT$1,),))/100+1)^4)-1=0,#N/A,(((VLOOKUP(B71,'Data qoq'!$A:$AT,MATCH($R$1,'Data qoq'!$A$1:$AT$1,),))/100+1)^4)-1)</f>
        <v>-7.192463121327819E-3</v>
      </c>
      <c r="S71" s="32">
        <f>IF((((VLOOKUP(B71,'Data qoq'!$A:$AT,MATCH($S$1,'Data qoq'!$A$1:$AT$1,),))/100+1)^4)-1=0,#N/A,(((VLOOKUP(B71,'Data qoq'!$A:$AT,MATCH($S$1,'Data qoq'!$A$1:$AT$1,),))/100+1)^4)-1)</f>
        <v>3.1377143413553021E-2</v>
      </c>
      <c r="T71" s="32">
        <f>IF((((VLOOKUP(B71,'Data qoq'!$A:$AT,MATCH($T$1,'Data qoq'!$A$1:$AT$1,),))/100+1)^4)-1=0,#N/A,(((VLOOKUP(B71,'Data qoq'!$A:$AT,MATCH($T$1,'Data qoq'!$A$1:$AT$1,),))/100+1)^4)-1)</f>
        <v>-3.1501326150820574E-2</v>
      </c>
      <c r="U71" s="32">
        <f>IF((((VLOOKUP(B71,'Data qoq'!$A:$AT,MATCH($U$1,'Data qoq'!$A$1:$AT$1,),))/100+1)^4)-1=0,#N/A,(((VLOOKUP(B71,'Data qoq'!$A:$AT,MATCH($U$1,'Data qoq'!$A$1:$AT$1,),))/100+1)^4)-1)</f>
        <v>2.2900609547926942E-2</v>
      </c>
      <c r="V71" s="32">
        <f>IF((((VLOOKUP(B71,'Data qoq'!$A:$AT,MATCH($V$1,'Data qoq'!$A$1:$AT$1,),))/100+1)^4)-1=0,#N/A,(((VLOOKUP(B71,'Data qoq'!$A:$AT,MATCH($V$1,'Data qoq'!$A$1:$AT$1,),))/100+1)^4)-1)</f>
        <v>1.144887728285974</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5.7868123074482192E-2</v>
      </c>
      <c r="Z71" s="32">
        <f>IF((((VLOOKUP(B71,'Data qoq'!$A:$AU,MATCH($Z$1,'Data qoq'!$A$1:$AU$1,),))/100+1)^4)-1=0,#N/A,(((VLOOKUP(B71,'Data qoq'!$A:$AU,MATCH($Z$1,'Data qoq'!$A$1:$AU$1,),))/100+1)^4)-1)</f>
        <v>6.0332189860141883E-2</v>
      </c>
      <c r="AA71" s="32">
        <f>IF((((VLOOKUP(B71,'Data qoq'!$A:$AU,MATCH($AA$1,'Data qoq'!$A$1:$AU$1,),))/100+1)^4)-1=0,#N/A,(((VLOOKUP(B71,'Data qoq'!$A:$AU,MATCH($AA$1,'Data qoq'!$A$1:$AU$1,),))/100+1)^4)-1)</f>
        <v>1.2883913440212336E-2</v>
      </c>
      <c r="AC71" s="26" t="str">
        <f t="shared" si="8"/>
        <v>2015-Q1</v>
      </c>
      <c r="AD71" s="31">
        <f t="shared" si="9"/>
        <v>8.6032990843056822E-3</v>
      </c>
      <c r="AE71" s="27"/>
    </row>
    <row r="72" spans="1:31" x14ac:dyDescent="0.2">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1.8761734719937362E-2</v>
      </c>
      <c r="F72" s="32">
        <f>IF((((VLOOKUP(B72,'Data qoq'!$A:$AT,MATCH($F$1,'Data qoq'!$A$1:$AT$1,),))/100+1)^4)-1=0,#N/A,(((VLOOKUP(B72,'Data qoq'!$A:$AT,MATCH($F$1,'Data qoq'!$A$1:$AT$1,),))/100+1)^4)-1)</f>
        <v>5.4535506076167639E-3</v>
      </c>
      <c r="G72" s="32">
        <f>IF((((VLOOKUP(B72,'Data qoq'!$A:$AT,MATCH($G$1,'Data qoq'!$A$1:$AT$1,),))/100+1)^4)-1=0,#N/A,(((VLOOKUP(B72,'Data qoq'!$A:$AT,MATCH($G$1,'Data qoq'!$A$1:$AT$1,),))/100+1)^4)-1)</f>
        <v>2.9813487560308438E-2</v>
      </c>
      <c r="H72" s="32">
        <f>IF((((VLOOKUP(B72,'Data qoq'!$A:$AT,MATCH($H$1,'Data qoq'!$A$1:$AT$1,),))/100+1)^4)-1=0,#N/A,(((VLOOKUP(B72,'Data qoq'!$A:$AT,MATCH($H$1,'Data qoq'!$A$1:$AT$1,),))/100+1)^4)-1)</f>
        <v>4.7816792133326125E-3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4.0888915742425702E-2</v>
      </c>
      <c r="M72" s="32">
        <f>IF((((VLOOKUP(B72,'Data qoq'!$A:$AT,MATCH($M$1,'Data qoq'!$A$1:$AT$1,),))/100+1)^4)-1=0,#N/A,(((VLOOKUP(B72,'Data qoq'!$A:$AT,MATCH($M$1,'Data qoq'!$A$1:$AT$1,),))/100+1)^4)-1)</f>
        <v>4.7201996508157817E-2</v>
      </c>
      <c r="N72" s="32">
        <f>IF((((VLOOKUP(B72,'Data qoq'!$A:$AT,MATCH($N$1,'Data qoq'!$A$1:$AT$1,),))/100+1)^4)-1=0,#N/A,(((VLOOKUP(B72,'Data qoq'!$A:$AT,MATCH($N$1,'Data qoq'!$A$1:$AT$1,),))/100+1)^4)-1)</f>
        <v>-2.6524319336895252E-2</v>
      </c>
      <c r="O72" s="32">
        <f>IF((((VLOOKUP(B72,'Data qoq'!$A:$AT,MATCH($O$1,'Data qoq'!$A$1:$AT$1,),))/100+1)^4)-1=0,#N/A,(((VLOOKUP(B72,'Data qoq'!$A:$AT,MATCH($O$1,'Data qoq'!$A$1:$AT$1,),))/100+1)^4)-1)</f>
        <v>8.846005885747199E-2</v>
      </c>
      <c r="P72" s="32">
        <f>IF((((VLOOKUP(B72,'Data qoq'!$A:$AT,MATCH($P$1,'Data qoq'!$A$1:$AT$1,),))/100+1)^4)-1=0,#N/A,(((VLOOKUP(B72,'Data qoq'!$A:$AT,MATCH($P$1,'Data qoq'!$A$1:$AT$1,),))/100+1)^4)-1)</f>
        <v>-1.0842517326931644E-2</v>
      </c>
      <c r="Q72" s="32">
        <f>IF((((VLOOKUP(B72,'Data qoq'!$A:$AT,MATCH($Q$1,'Data qoq'!$A$1:$AT$1,),))/100+1)^4)-1=0,#N/A,(((VLOOKUP(B72,'Data qoq'!$A:$AT,MATCH($Q$1,'Data qoq'!$A$1:$AT$1,),))/100+1)^4)-1)</f>
        <v>3.2323421221824855E-3</v>
      </c>
      <c r="R72" s="32">
        <f>IF((((VLOOKUP(B72,'Data qoq'!$A:$AT,MATCH($R$1,'Data qoq'!$A$1:$AT$1,),))/100+1)^4)-1=0,#N/A,(((VLOOKUP(B72,'Data qoq'!$A:$AT,MATCH($R$1,'Data qoq'!$A$1:$AT$1,),))/100+1)^4)-1)</f>
        <v>1.8492476455154838E-2</v>
      </c>
      <c r="S72" s="32">
        <f>IF((((VLOOKUP(B72,'Data qoq'!$A:$AT,MATCH($S$1,'Data qoq'!$A$1:$AT$1,),))/100+1)^4)-1=0,#N/A,(((VLOOKUP(B72,'Data qoq'!$A:$AT,MATCH($S$1,'Data qoq'!$A$1:$AT$1,),))/100+1)^4)-1)</f>
        <v>1.9471185653165968E-2</v>
      </c>
      <c r="T72" s="32">
        <f>IF((((VLOOKUP(B72,'Data qoq'!$A:$AT,MATCH($T$1,'Data qoq'!$A$1:$AT$1,),))/100+1)^4)-1=0,#N/A,(((VLOOKUP(B72,'Data qoq'!$A:$AT,MATCH($T$1,'Data qoq'!$A$1:$AT$1,),))/100+1)^4)-1)</f>
        <v>-9.1778707865324161E-2</v>
      </c>
      <c r="U72" s="32">
        <f>IF((((VLOOKUP(B72,'Data qoq'!$A:$AT,MATCH($U$1,'Data qoq'!$A$1:$AT$1,),))/100+1)^4)-1=0,#N/A,(((VLOOKUP(B72,'Data qoq'!$A:$AT,MATCH($U$1,'Data qoq'!$A$1:$AT$1,),))/100+1)^4)-1)</f>
        <v>-2.3810498178870043E-3</v>
      </c>
      <c r="V72" s="32">
        <f>IF((((VLOOKUP(B72,'Data qoq'!$A:$AT,MATCH($V$1,'Data qoq'!$A$1:$AT$1,),))/100+1)^4)-1=0,#N/A,(((VLOOKUP(B72,'Data qoq'!$A:$AT,MATCH($V$1,'Data qoq'!$A$1:$AT$1,),))/100+1)^4)-1)</f>
        <v>-9.8511769878651401E-2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3.1895726905265542E-2</v>
      </c>
      <c r="Z72" s="32">
        <f>IF((((VLOOKUP(B72,'Data qoq'!$A:$AU,MATCH($Z$1,'Data qoq'!$A$1:$AU$1,),))/100+1)^4)-1=0,#N/A,(((VLOOKUP(B72,'Data qoq'!$A:$AU,MATCH($Z$1,'Data qoq'!$A$1:$AU$1,),))/100+1)^4)-1)</f>
        <v>9.3699899799269737E-2</v>
      </c>
      <c r="AA72" s="32">
        <f>IF((((VLOOKUP(B72,'Data qoq'!$A:$AU,MATCH($AA$1,'Data qoq'!$A$1:$AU$1,),))/100+1)^4)-1=0,#N/A,(((VLOOKUP(B72,'Data qoq'!$A:$AU,MATCH($AA$1,'Data qoq'!$A$1:$AU$1,),))/100+1)^4)-1)</f>
        <v>2.9546170438073727E-2</v>
      </c>
      <c r="AC72" s="26" t="str">
        <f t="shared" si="8"/>
        <v>2015-Q2</v>
      </c>
      <c r="AD72" s="31">
        <f t="shared" si="9"/>
        <v>-6.7947245966812897E-3</v>
      </c>
      <c r="AE72" s="27"/>
    </row>
    <row r="73" spans="1:31" x14ac:dyDescent="0.2">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1.7180390826437852E-2</v>
      </c>
      <c r="F73" s="32">
        <f>IF((((VLOOKUP(B73,'Data qoq'!$A:$AT,MATCH($F$1,'Data qoq'!$A$1:$AT$1,),))/100+1)^4)-1=0,#N/A,(((VLOOKUP(B73,'Data qoq'!$A:$AT,MATCH($F$1,'Data qoq'!$A$1:$AT$1,),))/100+1)^4)-1)</f>
        <v>3.2125715541633237E-3</v>
      </c>
      <c r="G73" s="32">
        <f>IF((((VLOOKUP(B73,'Data qoq'!$A:$AT,MATCH($G$1,'Data qoq'!$A$1:$AT$1,),))/100+1)^4)-1=0,#N/A,(((VLOOKUP(B73,'Data qoq'!$A:$AT,MATCH($G$1,'Data qoq'!$A$1:$AT$1,),))/100+1)^4)-1)</f>
        <v>1.8165717652488533E-2</v>
      </c>
      <c r="H73" s="32">
        <f>IF((((VLOOKUP(B73,'Data qoq'!$A:$AT,MATCH($H$1,'Data qoq'!$A$1:$AT$1,),))/100+1)^4)-1=0,#N/A,(((VLOOKUP(B73,'Data qoq'!$A:$AT,MATCH($H$1,'Data qoq'!$A$1:$AT$1,),))/100+1)^4)-1)</f>
        <v>8.807305290313705E-3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5.5786332083886725E-2</v>
      </c>
      <c r="M73" s="32">
        <f>IF((((VLOOKUP(B73,'Data qoq'!$A:$AT,MATCH($M$1,'Data qoq'!$A$1:$AT$1,),))/100+1)^4)-1=0,#N/A,(((VLOOKUP(B73,'Data qoq'!$A:$AT,MATCH($M$1,'Data qoq'!$A$1:$AT$1,),))/100+1)^4)-1)</f>
        <v>5.4134942100323213E-2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4.1630954093292427E-2</v>
      </c>
      <c r="R73" s="32">
        <f>IF((((VLOOKUP(B73,'Data qoq'!$A:$AT,MATCH($R$1,'Data qoq'!$A$1:$AT$1,),))/100+1)^4)-1=0,#N/A,(((VLOOKUP(B73,'Data qoq'!$A:$AT,MATCH($R$1,'Data qoq'!$A$1:$AT$1,),))/100+1)^4)-1)</f>
        <v>2.5176893640684206E-2</v>
      </c>
      <c r="S73" s="32">
        <f>IF((((VLOOKUP(B73,'Data qoq'!$A:$AT,MATCH($S$1,'Data qoq'!$A$1:$AT$1,),))/100+1)^4)-1=0,#N/A,(((VLOOKUP(B73,'Data qoq'!$A:$AT,MATCH($S$1,'Data qoq'!$A$1:$AT$1,),))/100+1)^4)-1)</f>
        <v>5.8980104932074395E-2</v>
      </c>
      <c r="T73" s="32">
        <f>IF((((VLOOKUP(B73,'Data qoq'!$A:$AT,MATCH($T$1,'Data qoq'!$A$1:$AT$1,),))/100+1)^4)-1=0,#N/A,(((VLOOKUP(B73,'Data qoq'!$A:$AT,MATCH($T$1,'Data qoq'!$A$1:$AT$1,),))/100+1)^4)-1)</f>
        <v>-6.2010795913420846E-2</v>
      </c>
      <c r="U73" s="32">
        <f>IF((((VLOOKUP(B73,'Data qoq'!$A:$AT,MATCH($U$1,'Data qoq'!$A$1:$AT$1,),))/100+1)^4)-1=0,#N/A,(((VLOOKUP(B73,'Data qoq'!$A:$AT,MATCH($U$1,'Data qoq'!$A$1:$AT$1,),))/100+1)^4)-1)</f>
        <v>-7.306376243677315E-2</v>
      </c>
      <c r="V73" s="32">
        <f>IF((((VLOOKUP(B73,'Data qoq'!$A:$AT,MATCH($V$1,'Data qoq'!$A$1:$AT$1,),))/100+1)^4)-1=0,#N/A,(((VLOOKUP(B73,'Data qoq'!$A:$AT,MATCH($V$1,'Data qoq'!$A$1:$AT$1,),))/100+1)^4)-1)</f>
        <v>0.15186779036444609</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5.1440893604256743E-2</v>
      </c>
      <c r="Z73" s="32">
        <f>IF((((VLOOKUP(B73,'Data qoq'!$A:$AU,MATCH($Z$1,'Data qoq'!$A$1:$AU$1,),))/100+1)^4)-1=0,#N/A,(((VLOOKUP(B73,'Data qoq'!$A:$AU,MATCH($Z$1,'Data qoq'!$A$1:$AU$1,),))/100+1)^4)-1)</f>
        <v>-5.2866763911418868E-4</v>
      </c>
      <c r="AA73" s="32">
        <f>IF((((VLOOKUP(B73,'Data qoq'!$A:$AU,MATCH($AA$1,'Data qoq'!$A$1:$AU$1,),))/100+1)^4)-1=0,#N/A,(((VLOOKUP(B73,'Data qoq'!$A:$AU,MATCH($AA$1,'Data qoq'!$A$1:$AU$1,),))/100+1)^4)-1)</f>
        <v>4.3093033622146892E-2</v>
      </c>
      <c r="AC73" s="26" t="str">
        <f t="shared" si="8"/>
        <v>2015-Q3</v>
      </c>
      <c r="AD73" s="31">
        <f t="shared" si="9"/>
        <v>-1.6692960503772447E-4</v>
      </c>
      <c r="AE73" s="27"/>
    </row>
    <row r="74" spans="1:31" x14ac:dyDescent="0.2">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1.8564903817883005E-2</v>
      </c>
      <c r="F74" s="32">
        <f>IF((((VLOOKUP(B74,'Data qoq'!$A:$AT,MATCH($F$1,'Data qoq'!$A$1:$AT$1,),))/100+1)^4)-1=0,#N/A,(((VLOOKUP(B74,'Data qoq'!$A:$AT,MATCH($F$1,'Data qoq'!$A$1:$AT$1,),))/100+1)^4)-1)</f>
        <v>-6.5712491335523371E-3</v>
      </c>
      <c r="G74" s="32">
        <f>IF((((VLOOKUP(B74,'Data qoq'!$A:$AT,MATCH($G$1,'Data qoq'!$A$1:$AT$1,),))/100+1)^4)-1=0,#N/A,(((VLOOKUP(B74,'Data qoq'!$A:$AT,MATCH($G$1,'Data qoq'!$A$1:$AT$1,),))/100+1)^4)-1)</f>
        <v>1.7679212182536874E-2</v>
      </c>
      <c r="H74" s="32">
        <f>IF((((VLOOKUP(B74,'Data qoq'!$A:$AT,MATCH($H$1,'Data qoq'!$A$1:$AT$1,),))/100+1)^4)-1=0,#N/A,(((VLOOKUP(B74,'Data qoq'!$A:$AT,MATCH($H$1,'Data qoq'!$A$1:$AT$1,),))/100+1)^4)-1)</f>
        <v>7.9861958333518057E-3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2.9577048684651164E-2</v>
      </c>
      <c r="M74" s="32">
        <f>IF((((VLOOKUP(B74,'Data qoq'!$A:$AT,MATCH($M$1,'Data qoq'!$A$1:$AT$1,),))/100+1)^4)-1=0,#N/A,(((VLOOKUP(B74,'Data qoq'!$A:$AT,MATCH($M$1,'Data qoq'!$A$1:$AT$1,),))/100+1)^4)-1)</f>
        <v>-1.3568862127202208E-2</v>
      </c>
      <c r="N74" s="32">
        <f>IF((((VLOOKUP(B74,'Data qoq'!$A:$AT,MATCH($N$1,'Data qoq'!$A$1:$AT$1,),))/100+1)^4)-1=0,#N/A,(((VLOOKUP(B74,'Data qoq'!$A:$AT,MATCH($N$1,'Data qoq'!$A$1:$AT$1,),))/100+1)^4)-1)</f>
        <v>-1.0271847345456719E-2</v>
      </c>
      <c r="O74" s="32">
        <f>IF((((VLOOKUP(B74,'Data qoq'!$A:$AT,MATCH($O$1,'Data qoq'!$A$1:$AT$1,),))/100+1)^4)-1=0,#N/A,(((VLOOKUP(B74,'Data qoq'!$A:$AT,MATCH($O$1,'Data qoq'!$A$1:$AT$1,),))/100+1)^4)-1)</f>
        <v>8.3816213900397285E-2</v>
      </c>
      <c r="P74" s="32">
        <f>IF((((VLOOKUP(B74,'Data qoq'!$A:$AT,MATCH($P$1,'Data qoq'!$A$1:$AT$1,),))/100+1)^4)-1=0,#N/A,(((VLOOKUP(B74,'Data qoq'!$A:$AT,MATCH($P$1,'Data qoq'!$A$1:$AT$1,),))/100+1)^4)-1)</f>
        <v>2.9984606924127188E-3</v>
      </c>
      <c r="Q74" s="32">
        <f>IF((((VLOOKUP(B74,'Data qoq'!$A:$AT,MATCH($Q$1,'Data qoq'!$A$1:$AT$1,),))/100+1)^4)-1=0,#N/A,(((VLOOKUP(B74,'Data qoq'!$A:$AT,MATCH($Q$1,'Data qoq'!$A$1:$AT$1,),))/100+1)^4)-1)</f>
        <v>2.5388253293109786E-2</v>
      </c>
      <c r="R74" s="32">
        <f>IF((((VLOOKUP(B74,'Data qoq'!$A:$AT,MATCH($R$1,'Data qoq'!$A$1:$AT$1,),))/100+1)^4)-1=0,#N/A,(((VLOOKUP(B74,'Data qoq'!$A:$AT,MATCH($R$1,'Data qoq'!$A$1:$AT$1,),))/100+1)^4)-1)</f>
        <v>1.9049571459743397E-2</v>
      </c>
      <c r="S74" s="32">
        <f>IF((((VLOOKUP(B74,'Data qoq'!$A:$AT,MATCH($S$1,'Data qoq'!$A$1:$AT$1,),))/100+1)^4)-1=0,#N/A,(((VLOOKUP(B74,'Data qoq'!$A:$AT,MATCH($S$1,'Data qoq'!$A$1:$AT$1,),))/100+1)^4)-1)</f>
        <v>2.8456624354937121E-2</v>
      </c>
      <c r="T74" s="32">
        <f>IF((((VLOOKUP(B74,'Data qoq'!$A:$AT,MATCH($T$1,'Data qoq'!$A$1:$AT$1,),))/100+1)^4)-1=0,#N/A,(((VLOOKUP(B74,'Data qoq'!$A:$AT,MATCH($T$1,'Data qoq'!$A$1:$AT$1,),))/100+1)^4)-1)</f>
        <v>-3.1375736652399344E-2</v>
      </c>
      <c r="U74" s="32">
        <f>IF((((VLOOKUP(B74,'Data qoq'!$A:$AT,MATCH($U$1,'Data qoq'!$A$1:$AT$1,),))/100+1)^4)-1=0,#N/A,(((VLOOKUP(B74,'Data qoq'!$A:$AT,MATCH($U$1,'Data qoq'!$A$1:$AT$1,),))/100+1)^4)-1)</f>
        <v>7.3837994143783003E-2</v>
      </c>
      <c r="V74" s="32">
        <f>IF((((VLOOKUP(B74,'Data qoq'!$A:$AT,MATCH($V$1,'Data qoq'!$A$1:$AT$1,),))/100+1)^4)-1=0,#N/A,(((VLOOKUP(B74,'Data qoq'!$A:$AT,MATCH($V$1,'Data qoq'!$A$1:$AT$1,),))/100+1)^4)-1)</f>
        <v>4.0992498114726272E-2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5.0808999161658486E-2</v>
      </c>
      <c r="Z74" s="32">
        <f>IF((((VLOOKUP(B74,'Data qoq'!$A:$AU,MATCH($Z$1,'Data qoq'!$A$1:$AU$1,),))/100+1)^4)-1=0,#N/A,(((VLOOKUP(B74,'Data qoq'!$A:$AU,MATCH($Z$1,'Data qoq'!$A$1:$AU$1,),))/100+1)^4)-1)</f>
        <v>-4.4639922646218522E-2</v>
      </c>
      <c r="AA74" s="32">
        <f>IF((((VLOOKUP(B74,'Data qoq'!$A:$AU,MATCH($AA$1,'Data qoq'!$A$1:$AU$1,),))/100+1)^4)-1=0,#N/A,(((VLOOKUP(B74,'Data qoq'!$A:$AU,MATCH($AA$1,'Data qoq'!$A$1:$AU$1,),))/100+1)^4)-1)</f>
        <v>4.2633791964399315E-2</v>
      </c>
      <c r="AC74" s="26" t="str">
        <f t="shared" si="8"/>
        <v>2015-Q4</v>
      </c>
      <c r="AD74" s="31">
        <f t="shared" si="9"/>
        <v>-1.1310838150866642E-2</v>
      </c>
      <c r="AE74" s="27"/>
    </row>
    <row r="75" spans="1:31" x14ac:dyDescent="0.2">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2.2053675380552251E-2</v>
      </c>
      <c r="F75" s="32">
        <f>IF((((VLOOKUP(B75,'Data qoq'!$A:$AT,MATCH($F$1,'Data qoq'!$A$1:$AT$1,),))/100+1)^4)-1=0,#N/A,(((VLOOKUP(B75,'Data qoq'!$A:$AT,MATCH($F$1,'Data qoq'!$A$1:$AT$1,),))/100+1)^4)-1)</f>
        <v>3.0683607896408782E-2</v>
      </c>
      <c r="G75" s="32">
        <f>IF((((VLOOKUP(B75,'Data qoq'!$A:$AT,MATCH($G$1,'Data qoq'!$A$1:$AT$1,),))/100+1)^4)-1=0,#N/A,(((VLOOKUP(B75,'Data qoq'!$A:$AT,MATCH($G$1,'Data qoq'!$A$1:$AT$1,),))/100+1)^4)-1)</f>
        <v>3.4008038974140842E-2</v>
      </c>
      <c r="H75" s="32">
        <f>IF((((VLOOKUP(B75,'Data qoq'!$A:$AT,MATCH($H$1,'Data qoq'!$A$1:$AT$1,),))/100+1)^4)-1=0,#N/A,(((VLOOKUP(B75,'Data qoq'!$A:$AT,MATCH($H$1,'Data qoq'!$A$1:$AT$1,),))/100+1)^4)-1)</f>
        <v>2.5297584278521912E-2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-1.5137067999002607E-3</v>
      </c>
      <c r="M75" s="32">
        <f>IF((((VLOOKUP(B75,'Data qoq'!$A:$AT,MATCH($M$1,'Data qoq'!$A$1:$AT$1,),))/100+1)^4)-1=0,#N/A,(((VLOOKUP(B75,'Data qoq'!$A:$AT,MATCH($M$1,'Data qoq'!$A$1:$AT$1,),))/100+1)^4)-1)</f>
        <v>2.3309251383176965E-2</v>
      </c>
      <c r="N75" s="32">
        <f>IF((((VLOOKUP(B75,'Data qoq'!$A:$AT,MATCH($N$1,'Data qoq'!$A$1:$AT$1,),))/100+1)^4)-1=0,#N/A,(((VLOOKUP(B75,'Data qoq'!$A:$AT,MATCH($N$1,'Data qoq'!$A$1:$AT$1,),))/100+1)^4)-1)</f>
        <v>7.6240015514328352E-3</v>
      </c>
      <c r="O75" s="32">
        <f>IF((((VLOOKUP(B75,'Data qoq'!$A:$AT,MATCH($O$1,'Data qoq'!$A$1:$AT$1,),))/100+1)^4)-1=0,#N/A,(((VLOOKUP(B75,'Data qoq'!$A:$AT,MATCH($O$1,'Data qoq'!$A$1:$AT$1,),))/100+1)^4)-1)</f>
        <v>0.12125452954335492</v>
      </c>
      <c r="P75" s="32">
        <f>IF((((VLOOKUP(B75,'Data qoq'!$A:$AT,MATCH($P$1,'Data qoq'!$A$1:$AT$1,),))/100+1)^4)-1=0,#N/A,(((VLOOKUP(B75,'Data qoq'!$A:$AT,MATCH($P$1,'Data qoq'!$A$1:$AT$1,),))/100+1)^4)-1)</f>
        <v>2.212120648088356E-2</v>
      </c>
      <c r="Q75" s="32">
        <f>IF((((VLOOKUP(B75,'Data qoq'!$A:$AT,MATCH($Q$1,'Data qoq'!$A$1:$AT$1,),))/100+1)^4)-1=0,#N/A,(((VLOOKUP(B75,'Data qoq'!$A:$AT,MATCH($Q$1,'Data qoq'!$A$1:$AT$1,),))/100+1)^4)-1)</f>
        <v>3.5990669927781438E-2</v>
      </c>
      <c r="R75" s="32">
        <f>IF((((VLOOKUP(B75,'Data qoq'!$A:$AT,MATCH($R$1,'Data qoq'!$A$1:$AT$1,),))/100+1)^4)-1=0,#N/A,(((VLOOKUP(B75,'Data qoq'!$A:$AT,MATCH($R$1,'Data qoq'!$A$1:$AT$1,),))/100+1)^4)-1)</f>
        <v>1.5714937793861239E-2</v>
      </c>
      <c r="S75" s="32">
        <f>IF((((VLOOKUP(B75,'Data qoq'!$A:$AT,MATCH($S$1,'Data qoq'!$A$1:$AT$1,),))/100+1)^4)-1=0,#N/A,(((VLOOKUP(B75,'Data qoq'!$A:$AT,MATCH($S$1,'Data qoq'!$A$1:$AT$1,),))/100+1)^4)-1)</f>
        <v>1.1487386133668398E-2</v>
      </c>
      <c r="T75" s="32">
        <f>IF((((VLOOKUP(B75,'Data qoq'!$A:$AT,MATCH($T$1,'Data qoq'!$A$1:$AT$1,),))/100+1)^4)-1=0,#N/A,(((VLOOKUP(B75,'Data qoq'!$A:$AT,MATCH($T$1,'Data qoq'!$A$1:$AT$1,),))/100+1)^4)-1)</f>
        <v>-5.9184454567848044E-2</v>
      </c>
      <c r="U75" s="32">
        <f>IF((((VLOOKUP(B75,'Data qoq'!$A:$AT,MATCH($U$1,'Data qoq'!$A$1:$AT$1,),))/100+1)^4)-1=0,#N/A,(((VLOOKUP(B75,'Data qoq'!$A:$AT,MATCH($U$1,'Data qoq'!$A$1:$AT$1,),))/100+1)^4)-1)</f>
        <v>-3.780840814431996E-2</v>
      </c>
      <c r="V75" s="32">
        <f>IF((((VLOOKUP(B75,'Data qoq'!$A:$AT,MATCH($V$1,'Data qoq'!$A$1:$AT$1,),))/100+1)^4)-1=0,#N/A,(((VLOOKUP(B75,'Data qoq'!$A:$AT,MATCH($V$1,'Data qoq'!$A$1:$AT$1,),))/100+1)^4)-1)</f>
        <v>-0.13385184814790052</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-1.1950765896102555E-2</v>
      </c>
      <c r="Z75" s="32">
        <f>IF((((VLOOKUP(B75,'Data qoq'!$A:$AU,MATCH($Z$1,'Data qoq'!$A$1:$AU$1,),))/100+1)^4)-1=0,#N/A,(((VLOOKUP(B75,'Data qoq'!$A:$AU,MATCH($Z$1,'Data qoq'!$A$1:$AU$1,),))/100+1)^4)-1)</f>
        <v>-3.4666764964535912E-2</v>
      </c>
      <c r="AA75" s="32">
        <f>IF((((VLOOKUP(B75,'Data qoq'!$A:$AU,MATCH($AA$1,'Data qoq'!$A$1:$AU$1,),))/100+1)^4)-1=0,#N/A,(((VLOOKUP(B75,'Data qoq'!$A:$AU,MATCH($AA$1,'Data qoq'!$A$1:$AU$1,),))/100+1)^4)-1)</f>
        <v>4.7305655794364077E-2</v>
      </c>
      <c r="AC75" s="26" t="str">
        <f t="shared" ref="AC75:AC100" si="10">B75</f>
        <v>2016-Q1</v>
      </c>
      <c r="AD75" s="31">
        <f t="shared" ref="AD75:AD106" si="11">(VLOOKUP(AC75,B:Y,MATCH($AE$6,$B$1:$Y$1,),))-(VLOOKUP(AC75,B:Y,MATCH($AE$7,$B$1:$Y$1,),))</f>
        <v>7.3581200018362214E-3</v>
      </c>
      <c r="AE75" s="27"/>
    </row>
    <row r="76" spans="1:31" x14ac:dyDescent="0.2">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9.1954999369119328E-3</v>
      </c>
      <c r="F76" s="32">
        <f>IF((((VLOOKUP(B76,'Data qoq'!$A:$AT,MATCH($F$1,'Data qoq'!$A$1:$AT$1,),))/100+1)^4)-1=0,#N/A,(((VLOOKUP(B76,'Data qoq'!$A:$AT,MATCH($F$1,'Data qoq'!$A$1:$AT$1,),))/100+1)^4)-1)</f>
        <v>-5.8074780317244334E-3</v>
      </c>
      <c r="G76" s="32">
        <f>IF((((VLOOKUP(B76,'Data qoq'!$A:$AT,MATCH($G$1,'Data qoq'!$A$1:$AT$1,),))/100+1)^4)-1=0,#N/A,(((VLOOKUP(B76,'Data qoq'!$A:$AT,MATCH($G$1,'Data qoq'!$A$1:$AT$1,),))/100+1)^4)-1)</f>
        <v>1.7854014060636469E-2</v>
      </c>
      <c r="H76" s="32">
        <f>IF((((VLOOKUP(B76,'Data qoq'!$A:$AT,MATCH($H$1,'Data qoq'!$A$1:$AT$1,),))/100+1)^4)-1=0,#N/A,(((VLOOKUP(B76,'Data qoq'!$A:$AT,MATCH($H$1,'Data qoq'!$A$1:$AT$1,),))/100+1)^4)-1)</f>
        <v>-1.1730624345452578E-2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1.8563667289286379E-3</v>
      </c>
      <c r="M76" s="32">
        <f>IF((((VLOOKUP(B76,'Data qoq'!$A:$AT,MATCH($M$1,'Data qoq'!$A$1:$AT$1,),))/100+1)^4)-1=0,#N/A,(((VLOOKUP(B76,'Data qoq'!$A:$AT,MATCH($M$1,'Data qoq'!$A$1:$AT$1,),))/100+1)^4)-1)</f>
        <v>1.6852138301091557E-2</v>
      </c>
      <c r="N76" s="32">
        <f>IF((((VLOOKUP(B76,'Data qoq'!$A:$AT,MATCH($N$1,'Data qoq'!$A$1:$AT$1,),))/100+1)^4)-1=0,#N/A,(((VLOOKUP(B76,'Data qoq'!$A:$AT,MATCH($N$1,'Data qoq'!$A$1:$AT$1,),))/100+1)^4)-1)</f>
        <v>2.1556900768069376E-3</v>
      </c>
      <c r="O76" s="32">
        <f>IF((((VLOOKUP(B76,'Data qoq'!$A:$AT,MATCH($O$1,'Data qoq'!$A$1:$AT$1,),))/100+1)^4)-1=0,#N/A,(((VLOOKUP(B76,'Data qoq'!$A:$AT,MATCH($O$1,'Data qoq'!$A$1:$AT$1,),))/100+1)^4)-1)</f>
        <v>7.3169248306667711E-2</v>
      </c>
      <c r="P76" s="32">
        <f>IF((((VLOOKUP(B76,'Data qoq'!$A:$AT,MATCH($P$1,'Data qoq'!$A$1:$AT$1,),))/100+1)^4)-1=0,#N/A,(((VLOOKUP(B76,'Data qoq'!$A:$AT,MATCH($P$1,'Data qoq'!$A$1:$AT$1,),))/100+1)^4)-1)</f>
        <v>-1.9523875668778556E-2</v>
      </c>
      <c r="Q76" s="32">
        <f>IF((((VLOOKUP(B76,'Data qoq'!$A:$AT,MATCH($Q$1,'Data qoq'!$A$1:$AT$1,),))/100+1)^4)-1=0,#N/A,(((VLOOKUP(B76,'Data qoq'!$A:$AT,MATCH($Q$1,'Data qoq'!$A$1:$AT$1,),))/100+1)^4)-1)</f>
        <v>2.4423227882868881E-2</v>
      </c>
      <c r="R76" s="32">
        <f>IF((((VLOOKUP(B76,'Data qoq'!$A:$AT,MATCH($R$1,'Data qoq'!$A$1:$AT$1,),))/100+1)^4)-1=0,#N/A,(((VLOOKUP(B76,'Data qoq'!$A:$AT,MATCH($R$1,'Data qoq'!$A$1:$AT$1,),))/100+1)^4)-1)</f>
        <v>2.6994098137974598E-2</v>
      </c>
      <c r="S76" s="32">
        <f>IF((((VLOOKUP(B76,'Data qoq'!$A:$AT,MATCH($S$1,'Data qoq'!$A$1:$AT$1,),))/100+1)^4)-1=0,#N/A,(((VLOOKUP(B76,'Data qoq'!$A:$AT,MATCH($S$1,'Data qoq'!$A$1:$AT$1,),))/100+1)^4)-1)</f>
        <v>4.9138995317199008E-2</v>
      </c>
      <c r="T76" s="32">
        <f>IF((((VLOOKUP(B76,'Data qoq'!$A:$AT,MATCH($T$1,'Data qoq'!$A$1:$AT$1,),))/100+1)^4)-1=0,#N/A,(((VLOOKUP(B76,'Data qoq'!$A:$AT,MATCH($T$1,'Data qoq'!$A$1:$AT$1,),))/100+1)^4)-1)</f>
        <v>1.4889273623308164E-2</v>
      </c>
      <c r="U76" s="32">
        <f>IF((((VLOOKUP(B76,'Data qoq'!$A:$AT,MATCH($U$1,'Data qoq'!$A$1:$AT$1,),))/100+1)^4)-1=0,#N/A,(((VLOOKUP(B76,'Data qoq'!$A:$AT,MATCH($U$1,'Data qoq'!$A$1:$AT$1,),))/100+1)^4)-1)</f>
        <v>-9.6156781245192446E-3</v>
      </c>
      <c r="V76" s="32">
        <f>IF((((VLOOKUP(B76,'Data qoq'!$A:$AT,MATCH($V$1,'Data qoq'!$A$1:$AT$1,),))/100+1)^4)-1=0,#N/A,(((VLOOKUP(B76,'Data qoq'!$A:$AT,MATCH($V$1,'Data qoq'!$A$1:$AT$1,),))/100+1)^4)-1)</f>
        <v>5.7346164242312758E-2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5.3686531518048142E-2</v>
      </c>
      <c r="Z76" s="32">
        <f>IF((((VLOOKUP(B76,'Data qoq'!$A:$AU,MATCH($Z$1,'Data qoq'!$A$1:$AU$1,),))/100+1)^4)-1=0,#N/A,(((VLOOKUP(B76,'Data qoq'!$A:$AU,MATCH($Z$1,'Data qoq'!$A$1:$AU$1,),))/100+1)^4)-1)</f>
        <v>-6.5142611285190166E-2</v>
      </c>
      <c r="AA76" s="32">
        <f>IF((((VLOOKUP(B76,'Data qoq'!$A:$AU,MATCH($AA$1,'Data qoq'!$A$1:$AU$1,),))/100+1)^4)-1=0,#N/A,(((VLOOKUP(B76,'Data qoq'!$A:$AU,MATCH($AA$1,'Data qoq'!$A$1:$AU$1,),))/100+1)^4)-1)</f>
        <v>3.8849148121097743E-2</v>
      </c>
      <c r="AC76" s="26" t="str">
        <f t="shared" si="10"/>
        <v>2016-Q2</v>
      </c>
      <c r="AD76" s="31">
        <f t="shared" si="11"/>
        <v>-1.6221534380968183E-2</v>
      </c>
      <c r="AE76" s="27"/>
    </row>
    <row r="77" spans="1:31" x14ac:dyDescent="0.2">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1.971209944144281E-2</v>
      </c>
      <c r="F77" s="32">
        <f>IF((((VLOOKUP(B77,'Data qoq'!$A:$AT,MATCH($F$1,'Data qoq'!$A$1:$AT$1,),))/100+1)^4)-1=0,#N/A,(((VLOOKUP(B77,'Data qoq'!$A:$AT,MATCH($F$1,'Data qoq'!$A$1:$AT$1,),))/100+1)^4)-1)</f>
        <v>6.7905802541752269E-3</v>
      </c>
      <c r="G77" s="32">
        <f>IF((((VLOOKUP(B77,'Data qoq'!$A:$AT,MATCH($G$1,'Data qoq'!$A$1:$AT$1,),))/100+1)^4)-1=0,#N/A,(((VLOOKUP(B77,'Data qoq'!$A:$AT,MATCH($G$1,'Data qoq'!$A$1:$AT$1,),))/100+1)^4)-1)</f>
        <v>1.0241045438037055E-2</v>
      </c>
      <c r="H77" s="32">
        <f>IF((((VLOOKUP(B77,'Data qoq'!$A:$AT,MATCH($H$1,'Data qoq'!$A$1:$AT$1,),))/100+1)^4)-1=0,#N/A,(((VLOOKUP(B77,'Data qoq'!$A:$AT,MATCH($H$1,'Data qoq'!$A$1:$AT$1,),))/100+1)^4)-1)</f>
        <v>1.1096305025023012E-2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1.2222909365124046E-2</v>
      </c>
      <c r="M77" s="32">
        <f>IF((((VLOOKUP(B77,'Data qoq'!$A:$AT,MATCH($M$1,'Data qoq'!$A$1:$AT$1,),))/100+1)^4)-1=0,#N/A,(((VLOOKUP(B77,'Data qoq'!$A:$AT,MATCH($M$1,'Data qoq'!$A$1:$AT$1,),))/100+1)^4)-1)</f>
        <v>4.3374164105354884E-2</v>
      </c>
      <c r="N77" s="32">
        <f>IF((((VLOOKUP(B77,'Data qoq'!$A:$AT,MATCH($N$1,'Data qoq'!$A$1:$AT$1,),))/100+1)^4)-1=0,#N/A,(((VLOOKUP(B77,'Data qoq'!$A:$AT,MATCH($N$1,'Data qoq'!$A$1:$AT$1,),))/100+1)^4)-1)</f>
        <v>4.0347489312948515E-3</v>
      </c>
      <c r="O77" s="32">
        <f>IF((((VLOOKUP(B77,'Data qoq'!$A:$AT,MATCH($O$1,'Data qoq'!$A$1:$AT$1,),))/100+1)^4)-1=0,#N/A,(((VLOOKUP(B77,'Data qoq'!$A:$AT,MATCH($O$1,'Data qoq'!$A$1:$AT$1,),))/100+1)^4)-1)</f>
        <v>9.4859845754849514E-2</v>
      </c>
      <c r="P77" s="32">
        <f>IF((((VLOOKUP(B77,'Data qoq'!$A:$AT,MATCH($P$1,'Data qoq'!$A$1:$AT$1,),))/100+1)^4)-1=0,#N/A,(((VLOOKUP(B77,'Data qoq'!$A:$AT,MATCH($P$1,'Data qoq'!$A$1:$AT$1,),))/100+1)^4)-1)</f>
        <v>4.189098596035401E-2</v>
      </c>
      <c r="Q77" s="32">
        <f>IF((((VLOOKUP(B77,'Data qoq'!$A:$AT,MATCH($Q$1,'Data qoq'!$A$1:$AT$1,),))/100+1)^4)-1=0,#N/A,(((VLOOKUP(B77,'Data qoq'!$A:$AT,MATCH($Q$1,'Data qoq'!$A$1:$AT$1,),))/100+1)^4)-1)</f>
        <v>4.7925281220277949E-3</v>
      </c>
      <c r="R77" s="32">
        <f>IF((((VLOOKUP(B77,'Data qoq'!$A:$AT,MATCH($R$1,'Data qoq'!$A$1:$AT$1,),))/100+1)^4)-1=0,#N/A,(((VLOOKUP(B77,'Data qoq'!$A:$AT,MATCH($R$1,'Data qoq'!$A$1:$AT$1,),))/100+1)^4)-1)</f>
        <v>2.8851817748342334E-2</v>
      </c>
      <c r="S77" s="32">
        <f>IF((((VLOOKUP(B77,'Data qoq'!$A:$AT,MATCH($S$1,'Data qoq'!$A$1:$AT$1,),))/100+1)^4)-1=0,#N/A,(((VLOOKUP(B77,'Data qoq'!$A:$AT,MATCH($S$1,'Data qoq'!$A$1:$AT$1,),))/100+1)^4)-1)</f>
        <v>1.6741717022325409E-2</v>
      </c>
      <c r="T77" s="32">
        <f>IF((((VLOOKUP(B77,'Data qoq'!$A:$AT,MATCH($T$1,'Data qoq'!$A$1:$AT$1,),))/100+1)^4)-1=0,#N/A,(((VLOOKUP(B77,'Data qoq'!$A:$AT,MATCH($T$1,'Data qoq'!$A$1:$AT$1,),))/100+1)^4)-1)</f>
        <v>-1.9874016840960795E-2</v>
      </c>
      <c r="U77" s="32">
        <f>IF((((VLOOKUP(B77,'Data qoq'!$A:$AT,MATCH($U$1,'Data qoq'!$A$1:$AT$1,),))/100+1)^4)-1=0,#N/A,(((VLOOKUP(B77,'Data qoq'!$A:$AT,MATCH($U$1,'Data qoq'!$A$1:$AT$1,),))/100+1)^4)-1)</f>
        <v>1.1652810071752118E-2</v>
      </c>
      <c r="V77" s="32">
        <f>IF((((VLOOKUP(B77,'Data qoq'!$A:$AT,MATCH($V$1,'Data qoq'!$A$1:$AT$1,),))/100+1)^4)-1=0,#N/A,(((VLOOKUP(B77,'Data qoq'!$A:$AT,MATCH($V$1,'Data qoq'!$A$1:$AT$1,),))/100+1)^4)-1)</f>
        <v>1.9694372316356068E-2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9.7656450434653319E-3</v>
      </c>
      <c r="Z77" s="32">
        <f>IF((((VLOOKUP(B77,'Data qoq'!$A:$AU,MATCH($Z$1,'Data qoq'!$A$1:$AU$1,),))/100+1)^4)-1=0,#N/A,(((VLOOKUP(B77,'Data qoq'!$A:$AU,MATCH($Z$1,'Data qoq'!$A$1:$AU$1,),))/100+1)^4)-1)</f>
        <v>1.6646191607006866E-2</v>
      </c>
      <c r="AA77" s="32">
        <f>IF((((VLOOKUP(B77,'Data qoq'!$A:$AU,MATCH($AA$1,'Data qoq'!$A$1:$AU$1,),))/100+1)^4)-1=0,#N/A,(((VLOOKUP(B77,'Data qoq'!$A:$AU,MATCH($AA$1,'Data qoq'!$A$1:$AU$1,),))/100+1)^4)-1)</f>
        <v>3.5806309832877137E-2</v>
      </c>
      <c r="AC77" s="26" t="str">
        <f t="shared" si="10"/>
        <v>2016-Q3</v>
      </c>
      <c r="AD77" s="31">
        <f t="shared" si="11"/>
        <v>1.9307699027273362E-3</v>
      </c>
      <c r="AE77" s="27"/>
    </row>
    <row r="78" spans="1:31" x14ac:dyDescent="0.2">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3.0196351660559895E-2</v>
      </c>
      <c r="F78" s="32">
        <f>IF((((VLOOKUP(B78,'Data qoq'!$A:$AT,MATCH($F$1,'Data qoq'!$A$1:$AT$1,),))/100+1)^4)-1=0,#N/A,(((VLOOKUP(B78,'Data qoq'!$A:$AT,MATCH($F$1,'Data qoq'!$A$1:$AT$1,),))/100+1)^4)-1)</f>
        <v>5.39501985657731E-3</v>
      </c>
      <c r="G78" s="32">
        <f>IF((((VLOOKUP(B78,'Data qoq'!$A:$AT,MATCH($G$1,'Data qoq'!$A$1:$AT$1,),))/100+1)^4)-1=0,#N/A,(((VLOOKUP(B78,'Data qoq'!$A:$AT,MATCH($G$1,'Data qoq'!$A$1:$AT$1,),))/100+1)^4)-1)</f>
        <v>1.4560319329441906E-2</v>
      </c>
      <c r="H78" s="32">
        <f>IF((((VLOOKUP(B78,'Data qoq'!$A:$AT,MATCH($H$1,'Data qoq'!$A$1:$AT$1,),))/100+1)^4)-1=0,#N/A,(((VLOOKUP(B78,'Data qoq'!$A:$AT,MATCH($H$1,'Data qoq'!$A$1:$AT$1,),))/100+1)^4)-1)</f>
        <v>2.3951733141610365E-2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3.4271087345066897E-2</v>
      </c>
      <c r="M78" s="32">
        <f>IF((((VLOOKUP(B78,'Data qoq'!$A:$AT,MATCH($M$1,'Data qoq'!$A$1:$AT$1,),))/100+1)^4)-1=0,#N/A,(((VLOOKUP(B78,'Data qoq'!$A:$AT,MATCH($M$1,'Data qoq'!$A$1:$AT$1,),))/100+1)^4)-1)</f>
        <v>4.1933061657605686E-2</v>
      </c>
      <c r="N78" s="32">
        <f>IF((((VLOOKUP(B78,'Data qoq'!$A:$AT,MATCH($N$1,'Data qoq'!$A$1:$AT$1,),))/100+1)^4)-1=0,#N/A,(((VLOOKUP(B78,'Data qoq'!$A:$AT,MATCH($N$1,'Data qoq'!$A$1:$AT$1,),))/100+1)^4)-1)</f>
        <v>3.3414968968097369E-2</v>
      </c>
      <c r="O78" s="32">
        <f>IF((((VLOOKUP(B78,'Data qoq'!$A:$AT,MATCH($O$1,'Data qoq'!$A$1:$AT$1,),))/100+1)^4)-1=0,#N/A,(((VLOOKUP(B78,'Data qoq'!$A:$AT,MATCH($O$1,'Data qoq'!$A$1:$AT$1,),))/100+1)^4)-1)</f>
        <v>5.5668569726808226E-2</v>
      </c>
      <c r="P78" s="32">
        <f>IF((((VLOOKUP(B78,'Data qoq'!$A:$AT,MATCH($P$1,'Data qoq'!$A$1:$AT$1,),))/100+1)^4)-1=0,#N/A,(((VLOOKUP(B78,'Data qoq'!$A:$AT,MATCH($P$1,'Data qoq'!$A$1:$AT$1,),))/100+1)^4)-1)</f>
        <v>2.2649190488048143E-2</v>
      </c>
      <c r="Q78" s="32">
        <f>IF((((VLOOKUP(B78,'Data qoq'!$A:$AT,MATCH($Q$1,'Data qoq'!$A$1:$AT$1,),))/100+1)^4)-1=0,#N/A,(((VLOOKUP(B78,'Data qoq'!$A:$AT,MATCH($Q$1,'Data qoq'!$A$1:$AT$1,),))/100+1)^4)-1)</f>
        <v>4.4225237626071001E-2</v>
      </c>
      <c r="R78" s="32">
        <f>IF((((VLOOKUP(B78,'Data qoq'!$A:$AT,MATCH($R$1,'Data qoq'!$A$1:$AT$1,),))/100+1)^4)-1=0,#N/A,(((VLOOKUP(B78,'Data qoq'!$A:$AT,MATCH($R$1,'Data qoq'!$A$1:$AT$1,),))/100+1)^4)-1)</f>
        <v>6.0379296300476781E-3</v>
      </c>
      <c r="S78" s="32">
        <f>IF((((VLOOKUP(B78,'Data qoq'!$A:$AT,MATCH($S$1,'Data qoq'!$A$1:$AT$1,),))/100+1)^4)-1=0,#N/A,(((VLOOKUP(B78,'Data qoq'!$A:$AT,MATCH($S$1,'Data qoq'!$A$1:$AT$1,),))/100+1)^4)-1)</f>
        <v>2.4469155084333893E-2</v>
      </c>
      <c r="T78" s="32">
        <f>IF((((VLOOKUP(B78,'Data qoq'!$A:$AT,MATCH($T$1,'Data qoq'!$A$1:$AT$1,),))/100+1)^4)-1=0,#N/A,(((VLOOKUP(B78,'Data qoq'!$A:$AT,MATCH($T$1,'Data qoq'!$A$1:$AT$1,),))/100+1)^4)-1)</f>
        <v>-8.6850628630015247E-3</v>
      </c>
      <c r="U78" s="32">
        <f>IF((((VLOOKUP(B78,'Data qoq'!$A:$AT,MATCH($U$1,'Data qoq'!$A$1:$AT$1,),))/100+1)^4)-1=0,#N/A,(((VLOOKUP(B78,'Data qoq'!$A:$AT,MATCH($U$1,'Data qoq'!$A$1:$AT$1,),))/100+1)^4)-1)</f>
        <v>2.5305734186854556E-2</v>
      </c>
      <c r="V78" s="32">
        <f>IF((((VLOOKUP(B78,'Data qoq'!$A:$AT,MATCH($V$1,'Data qoq'!$A$1:$AT$1,),))/100+1)^4)-1=0,#N/A,(((VLOOKUP(B78,'Data qoq'!$A:$AT,MATCH($V$1,'Data qoq'!$A$1:$AT$1,),))/100+1)^4)-1)</f>
        <v>0.50600926598706808</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9.5359749885673972E-2</v>
      </c>
      <c r="Z78" s="32">
        <f>IF((((VLOOKUP(B78,'Data qoq'!$A:$AU,MATCH($Z$1,'Data qoq'!$A$1:$AU$1,),))/100+1)^4)-1=0,#N/A,(((VLOOKUP(B78,'Data qoq'!$A:$AU,MATCH($Z$1,'Data qoq'!$A$1:$AU$1,),))/100+1)^4)-1)</f>
        <v>2.2949167229849854E-2</v>
      </c>
      <c r="AA78" s="32">
        <f>IF((((VLOOKUP(B78,'Data qoq'!$A:$AU,MATCH($AA$1,'Data qoq'!$A$1:$AU$1,),))/100+1)^4)-1=0,#N/A,(((VLOOKUP(B78,'Data qoq'!$A:$AU,MATCH($AA$1,'Data qoq'!$A$1:$AU$1,),))/100+1)^4)-1)</f>
        <v>1.5056667192918649E-2</v>
      </c>
      <c r="AC78" s="26" t="str">
        <f t="shared" si="10"/>
        <v>2016-Q4</v>
      </c>
      <c r="AD78" s="31">
        <f t="shared" si="11"/>
        <v>3.9436376841923693E-3</v>
      </c>
      <c r="AE78" s="27"/>
    </row>
    <row r="79" spans="1:31" x14ac:dyDescent="0.2">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2.7930791591443516E-2</v>
      </c>
      <c r="F79" s="32">
        <f>IF((((VLOOKUP(B79,'Data qoq'!$A:$AT,MATCH($F$1,'Data qoq'!$A$1:$AT$1,),))/100+1)^4)-1=0,#N/A,(((VLOOKUP(B79,'Data qoq'!$A:$AT,MATCH($F$1,'Data qoq'!$A$1:$AT$1,),))/100+1)^4)-1)</f>
        <v>3.4389761886159276E-2</v>
      </c>
      <c r="G79" s="32">
        <f>IF((((VLOOKUP(B79,'Data qoq'!$A:$AT,MATCH($G$1,'Data qoq'!$A$1:$AT$1,),))/100+1)^4)-1=0,#N/A,(((VLOOKUP(B79,'Data qoq'!$A:$AT,MATCH($G$1,'Data qoq'!$A$1:$AT$1,),))/100+1)^4)-1)</f>
        <v>4.9038659701267751E-2</v>
      </c>
      <c r="H79" s="32">
        <f>IF((((VLOOKUP(B79,'Data qoq'!$A:$AT,MATCH($H$1,'Data qoq'!$A$1:$AT$1,),))/100+1)^4)-1=0,#N/A,(((VLOOKUP(B79,'Data qoq'!$A:$AT,MATCH($H$1,'Data qoq'!$A$1:$AT$1,),))/100+1)^4)-1)</f>
        <v>3.0173574916620538E-2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2.0722946466240399E-2</v>
      </c>
      <c r="M79" s="32">
        <f>IF((((VLOOKUP(B79,'Data qoq'!$A:$AT,MATCH($M$1,'Data qoq'!$A$1:$AT$1,),))/100+1)^4)-1=0,#N/A,(((VLOOKUP(B79,'Data qoq'!$A:$AT,MATCH($M$1,'Data qoq'!$A$1:$AT$1,),))/100+1)^4)-1)</f>
        <v>1.9342896401874921E-2</v>
      </c>
      <c r="N79" s="32">
        <f>IF((((VLOOKUP(B79,'Data qoq'!$A:$AT,MATCH($N$1,'Data qoq'!$A$1:$AT$1,),))/100+1)^4)-1=0,#N/A,(((VLOOKUP(B79,'Data qoq'!$A:$AT,MATCH($N$1,'Data qoq'!$A$1:$AT$1,),))/100+1)^4)-1)</f>
        <v>8.0918382113490672E-3</v>
      </c>
      <c r="O79" s="32">
        <f>IF((((VLOOKUP(B79,'Data qoq'!$A:$AT,MATCH($O$1,'Data qoq'!$A$1:$AT$1,),))/100+1)^4)-1=0,#N/A,(((VLOOKUP(B79,'Data qoq'!$A:$AT,MATCH($O$1,'Data qoq'!$A$1:$AT$1,),))/100+1)^4)-1)</f>
        <v>3.2353278325782497E-2</v>
      </c>
      <c r="P79" s="32">
        <f>IF((((VLOOKUP(B79,'Data qoq'!$A:$AT,MATCH($P$1,'Data qoq'!$A$1:$AT$1,),))/100+1)^4)-1=0,#N/A,(((VLOOKUP(B79,'Data qoq'!$A:$AT,MATCH($P$1,'Data qoq'!$A$1:$AT$1,),))/100+1)^4)-1)</f>
        <v>4.4190769982789702E-2</v>
      </c>
      <c r="Q79" s="32">
        <f>IF((((VLOOKUP(B79,'Data qoq'!$A:$AT,MATCH($Q$1,'Data qoq'!$A$1:$AT$1,),))/100+1)^4)-1=0,#N/A,(((VLOOKUP(B79,'Data qoq'!$A:$AT,MATCH($Q$1,'Data qoq'!$A$1:$AT$1,),))/100+1)^4)-1)</f>
        <v>1.1676866890500515E-2</v>
      </c>
      <c r="R79" s="32">
        <f>IF((((VLOOKUP(B79,'Data qoq'!$A:$AT,MATCH($R$1,'Data qoq'!$A$1:$AT$1,),))/100+1)^4)-1=0,#N/A,(((VLOOKUP(B79,'Data qoq'!$A:$AT,MATCH($R$1,'Data qoq'!$A$1:$AT$1,),))/100+1)^4)-1)</f>
        <v>5.1520594441323286E-3</v>
      </c>
      <c r="S79" s="32">
        <f>IF((((VLOOKUP(B79,'Data qoq'!$A:$AT,MATCH($S$1,'Data qoq'!$A$1:$AT$1,),))/100+1)^4)-1=0,#N/A,(((VLOOKUP(B79,'Data qoq'!$A:$AT,MATCH($S$1,'Data qoq'!$A$1:$AT$1,),))/100+1)^4)-1)</f>
        <v>3.9977129559302771E-2</v>
      </c>
      <c r="T79" s="32">
        <f>IF((((VLOOKUP(B79,'Data qoq'!$A:$AT,MATCH($T$1,'Data qoq'!$A$1:$AT$1,),))/100+1)^4)-1=0,#N/A,(((VLOOKUP(B79,'Data qoq'!$A:$AT,MATCH($T$1,'Data qoq'!$A$1:$AT$1,),))/100+1)^4)-1)</f>
        <v>4.4736019334602695E-2</v>
      </c>
      <c r="U79" s="32">
        <f>IF((((VLOOKUP(B79,'Data qoq'!$A:$AT,MATCH($U$1,'Data qoq'!$A$1:$AT$1,),))/100+1)^4)-1=0,#N/A,(((VLOOKUP(B79,'Data qoq'!$A:$AT,MATCH($U$1,'Data qoq'!$A$1:$AT$1,),))/100+1)^4)-1)</f>
        <v>-7.7987948100757265E-3</v>
      </c>
      <c r="V79" s="32">
        <f>IF((((VLOOKUP(B79,'Data qoq'!$A:$AT,MATCH($V$1,'Data qoq'!$A$1:$AT$1,),))/100+1)^4)-1=0,#N/A,(((VLOOKUP(B79,'Data qoq'!$A:$AT,MATCH($V$1,'Data qoq'!$A$1:$AT$1,),))/100+1)^4)-1)</f>
        <v>-0.15979894423227625</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3.786103989248657E-2</v>
      </c>
      <c r="Z79" s="32">
        <f>IF((((VLOOKUP(B79,'Data qoq'!$A:$AU,MATCH($Z$1,'Data qoq'!$A$1:$AU$1,),))/100+1)^4)-1=0,#N/A,(((VLOOKUP(B79,'Data qoq'!$A:$AU,MATCH($Z$1,'Data qoq'!$A$1:$AU$1,),))/100+1)^4)-1)</f>
        <v>3.7065330281345732E-2</v>
      </c>
      <c r="AA79" s="32">
        <f>IF((((VLOOKUP(B79,'Data qoq'!$A:$AU,MATCH($AA$1,'Data qoq'!$A$1:$AU$1,),))/100+1)^4)-1=0,#N/A,(((VLOOKUP(B79,'Data qoq'!$A:$AU,MATCH($AA$1,'Data qoq'!$A$1:$AU$1,),))/100+1)^4)-1)</f>
        <v>4.2160512846246778E-2</v>
      </c>
      <c r="AC79" s="26" t="str">
        <f t="shared" si="10"/>
        <v>2017-Q1</v>
      </c>
      <c r="AD79" s="31">
        <f t="shared" si="11"/>
        <v>-1.9650294203035212E-3</v>
      </c>
      <c r="AE79" s="27"/>
    </row>
    <row r="80" spans="1:31" x14ac:dyDescent="0.2">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3.1744647396038328E-2</v>
      </c>
      <c r="F80" s="32">
        <f>IF((((VLOOKUP(B80,'Data qoq'!$A:$AT,MATCH($F$1,'Data qoq'!$A$1:$AT$1,),))/100+1)^4)-1=0,#N/A,(((VLOOKUP(B80,'Data qoq'!$A:$AT,MATCH($F$1,'Data qoq'!$A$1:$AT$1,),))/100+1)^4)-1)</f>
        <v>1.5828603920194029E-2</v>
      </c>
      <c r="G80" s="32">
        <f>IF((((VLOOKUP(B80,'Data qoq'!$A:$AT,MATCH($G$1,'Data qoq'!$A$1:$AT$1,),))/100+1)^4)-1=0,#N/A,(((VLOOKUP(B80,'Data qoq'!$A:$AT,MATCH($G$1,'Data qoq'!$A$1:$AT$1,),))/100+1)^4)-1)</f>
        <v>3.4341610889235152E-2</v>
      </c>
      <c r="H80" s="32">
        <f>IF((((VLOOKUP(B80,'Data qoq'!$A:$AT,MATCH($H$1,'Data qoq'!$A$1:$AT$1,),))/100+1)^4)-1=0,#N/A,(((VLOOKUP(B80,'Data qoq'!$A:$AT,MATCH($H$1,'Data qoq'!$A$1:$AT$1,),))/100+1)^4)-1)</f>
        <v>3.1769390283552079E-2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5.2721356459834778E-2</v>
      </c>
      <c r="M80" s="32">
        <f>IF((((VLOOKUP(B80,'Data qoq'!$A:$AT,MATCH($M$1,'Data qoq'!$A$1:$AT$1,),))/100+1)^4)-1=0,#N/A,(((VLOOKUP(B80,'Data qoq'!$A:$AT,MATCH($M$1,'Data qoq'!$A$1:$AT$1,),))/100+1)^4)-1)</f>
        <v>1.2171857308334921E-2</v>
      </c>
      <c r="N80" s="32">
        <f>IF((((VLOOKUP(B80,'Data qoq'!$A:$AT,MATCH($N$1,'Data qoq'!$A$1:$AT$1,),))/100+1)^4)-1=0,#N/A,(((VLOOKUP(B80,'Data qoq'!$A:$AT,MATCH($N$1,'Data qoq'!$A$1:$AT$1,),))/100+1)^4)-1)</f>
        <v>2.7905608246182823E-2</v>
      </c>
      <c r="O80" s="32">
        <f>IF((((VLOOKUP(B80,'Data qoq'!$A:$AT,MATCH($O$1,'Data qoq'!$A$1:$AT$1,),))/100+1)^4)-1=0,#N/A,(((VLOOKUP(B80,'Data qoq'!$A:$AT,MATCH($O$1,'Data qoq'!$A$1:$AT$1,),))/100+1)^4)-1)</f>
        <v>8.4894137262440994E-2</v>
      </c>
      <c r="P80" s="32">
        <f>IF((((VLOOKUP(B80,'Data qoq'!$A:$AT,MATCH($P$1,'Data qoq'!$A$1:$AT$1,),))/100+1)^4)-1=0,#N/A,(((VLOOKUP(B80,'Data qoq'!$A:$AT,MATCH($P$1,'Data qoq'!$A$1:$AT$1,),))/100+1)^4)-1)</f>
        <v>4.155403410310865E-2</v>
      </c>
      <c r="Q80" s="32">
        <f>IF((((VLOOKUP(B80,'Data qoq'!$A:$AT,MATCH($Q$1,'Data qoq'!$A$1:$AT$1,),))/100+1)^4)-1=0,#N/A,(((VLOOKUP(B80,'Data qoq'!$A:$AT,MATCH($Q$1,'Data qoq'!$A$1:$AT$1,),))/100+1)^4)-1)</f>
        <v>2.3232167375502488E-2</v>
      </c>
      <c r="R80" s="32">
        <f>IF((((VLOOKUP(B80,'Data qoq'!$A:$AT,MATCH($R$1,'Data qoq'!$A$1:$AT$1,),))/100+1)^4)-1=0,#N/A,(((VLOOKUP(B80,'Data qoq'!$A:$AT,MATCH($R$1,'Data qoq'!$A$1:$AT$1,),))/100+1)^4)-1)</f>
        <v>6.8190324838643956E-3</v>
      </c>
      <c r="S80" s="32">
        <f>IF((((VLOOKUP(B80,'Data qoq'!$A:$AT,MATCH($S$1,'Data qoq'!$A$1:$AT$1,),))/100+1)^4)-1=0,#N/A,(((VLOOKUP(B80,'Data qoq'!$A:$AT,MATCH($S$1,'Data qoq'!$A$1:$AT$1,),))/100+1)^4)-1)</f>
        <v>2.8893804456062488E-2</v>
      </c>
      <c r="T80" s="32">
        <f>IF((((VLOOKUP(B80,'Data qoq'!$A:$AT,MATCH($T$1,'Data qoq'!$A$1:$AT$1,),))/100+1)^4)-1=0,#N/A,(((VLOOKUP(B80,'Data qoq'!$A:$AT,MATCH($T$1,'Data qoq'!$A$1:$AT$1,),))/100+1)^4)-1)</f>
        <v>3.1303498681431341E-2</v>
      </c>
      <c r="U80" s="32">
        <f>IF((((VLOOKUP(B80,'Data qoq'!$A:$AT,MATCH($U$1,'Data qoq'!$A$1:$AT$1,),))/100+1)^4)-1=0,#N/A,(((VLOOKUP(B80,'Data qoq'!$A:$AT,MATCH($U$1,'Data qoq'!$A$1:$AT$1,),))/100+1)^4)-1)</f>
        <v>2.1226950523725918E-2</v>
      </c>
      <c r="V80" s="32">
        <f>IF((((VLOOKUP(B80,'Data qoq'!$A:$AT,MATCH($V$1,'Data qoq'!$A$1:$AT$1,),))/100+1)^4)-1=0,#N/A,(((VLOOKUP(B80,'Data qoq'!$A:$AT,MATCH($V$1,'Data qoq'!$A$1:$AT$1,),))/100+1)^4)-1)</f>
        <v>7.5177330781447171E-2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3.6157668399726006E-2</v>
      </c>
      <c r="Z80" s="32">
        <f>IF((((VLOOKUP(B80,'Data qoq'!$A:$AU,MATCH($Z$1,'Data qoq'!$A$1:$AU$1,),))/100+1)^4)-1=0,#N/A,(((VLOOKUP(B80,'Data qoq'!$A:$AU,MATCH($Z$1,'Data qoq'!$A$1:$AU$1,),))/100+1)^4)-1)</f>
        <v>4.2815317066063674E-2</v>
      </c>
      <c r="AA80" s="32">
        <f>IF((((VLOOKUP(B80,'Data qoq'!$A:$AU,MATCH($AA$1,'Data qoq'!$A$1:$AU$1,),))/100+1)^4)-1=0,#N/A,(((VLOOKUP(B80,'Data qoq'!$A:$AU,MATCH($AA$1,'Data qoq'!$A$1:$AU$1,),))/100+1)^4)-1)</f>
        <v>4.4202797115549863E-2</v>
      </c>
      <c r="AC80" s="26" t="str">
        <f t="shared" si="10"/>
        <v>2017-Q2</v>
      </c>
      <c r="AD80" s="31">
        <f t="shared" si="11"/>
        <v>1.0123563527628887E-2</v>
      </c>
      <c r="AE80" s="27"/>
    </row>
    <row r="81" spans="1:31" x14ac:dyDescent="0.2">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3.1020375334892325E-2</v>
      </c>
      <c r="F81" s="32">
        <f>IF((((VLOOKUP(B81,'Data qoq'!$A:$AT,MATCH($F$1,'Data qoq'!$A$1:$AT$1,),))/100+1)^4)-1=0,#N/A,(((VLOOKUP(B81,'Data qoq'!$A:$AT,MATCH($F$1,'Data qoq'!$A$1:$AT$1,),))/100+1)^4)-1)</f>
        <v>3.1046917518836148E-2</v>
      </c>
      <c r="G81" s="32">
        <f>IF((((VLOOKUP(B81,'Data qoq'!$A:$AT,MATCH($G$1,'Data qoq'!$A$1:$AT$1,),))/100+1)^4)-1=0,#N/A,(((VLOOKUP(B81,'Data qoq'!$A:$AT,MATCH($G$1,'Data qoq'!$A$1:$AT$1,),))/100+1)^4)-1)</f>
        <v>2.9746637412453758E-2</v>
      </c>
      <c r="H81" s="32">
        <f>IF((((VLOOKUP(B81,'Data qoq'!$A:$AT,MATCH($H$1,'Data qoq'!$A$1:$AT$1,),))/100+1)^4)-1=0,#N/A,(((VLOOKUP(B81,'Data qoq'!$A:$AT,MATCH($H$1,'Data qoq'!$A$1:$AT$1,),))/100+1)^4)-1)</f>
        <v>3.4464597666469254E-2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3.7518193892153384E-2</v>
      </c>
      <c r="M81" s="32">
        <f>IF((((VLOOKUP(B81,'Data qoq'!$A:$AT,MATCH($M$1,'Data qoq'!$A$1:$AT$1,),))/100+1)^4)-1=0,#N/A,(((VLOOKUP(B81,'Data qoq'!$A:$AT,MATCH($M$1,'Data qoq'!$A$1:$AT$1,),))/100+1)^4)-1)</f>
        <v>-9.3552325124371949E-3</v>
      </c>
      <c r="N81" s="32">
        <f>IF((((VLOOKUP(B81,'Data qoq'!$A:$AT,MATCH($N$1,'Data qoq'!$A$1:$AT$1,),))/100+1)^4)-1=0,#N/A,(((VLOOKUP(B81,'Data qoq'!$A:$AT,MATCH($N$1,'Data qoq'!$A$1:$AT$1,),))/100+1)^4)-1)</f>
        <v>2.745765618629914E-2</v>
      </c>
      <c r="O81" s="32">
        <f>IF((((VLOOKUP(B81,'Data qoq'!$A:$AT,MATCH($O$1,'Data qoq'!$A$1:$AT$1,),))/100+1)^4)-1=0,#N/A,(((VLOOKUP(B81,'Data qoq'!$A:$AT,MATCH($O$1,'Data qoq'!$A$1:$AT$1,),))/100+1)^4)-1)</f>
        <v>6.7614151674913137E-2</v>
      </c>
      <c r="P81" s="32">
        <f>IF((((VLOOKUP(B81,'Data qoq'!$A:$AT,MATCH($P$1,'Data qoq'!$A$1:$AT$1,),))/100+1)^4)-1=0,#N/A,(((VLOOKUP(B81,'Data qoq'!$A:$AT,MATCH($P$1,'Data qoq'!$A$1:$AT$1,),))/100+1)^4)-1)</f>
        <v>1.6982007598784987E-2</v>
      </c>
      <c r="Q81" s="32">
        <f>IF((((VLOOKUP(B81,'Data qoq'!$A:$AT,MATCH($Q$1,'Data qoq'!$A$1:$AT$1,),))/100+1)^4)-1=0,#N/A,(((VLOOKUP(B81,'Data qoq'!$A:$AT,MATCH($Q$1,'Data qoq'!$A$1:$AT$1,),))/100+1)^4)-1)</f>
        <v>3.9542922907229938E-2</v>
      </c>
      <c r="R81" s="32">
        <f>IF((((VLOOKUP(B81,'Data qoq'!$A:$AT,MATCH($R$1,'Data qoq'!$A$1:$AT$1,),))/100+1)^4)-1=0,#N/A,(((VLOOKUP(B81,'Data qoq'!$A:$AT,MATCH($R$1,'Data qoq'!$A$1:$AT$1,),))/100+1)^4)-1)</f>
        <v>2.1777201889027431E-2</v>
      </c>
      <c r="S81" s="32">
        <f>IF((((VLOOKUP(B81,'Data qoq'!$A:$AT,MATCH($S$1,'Data qoq'!$A$1:$AT$1,),))/100+1)^4)-1=0,#N/A,(((VLOOKUP(B81,'Data qoq'!$A:$AT,MATCH($S$1,'Data qoq'!$A$1:$AT$1,),))/100+1)^4)-1)</f>
        <v>5.8932908492492997E-2</v>
      </c>
      <c r="T81" s="32">
        <f>IF((((VLOOKUP(B81,'Data qoq'!$A:$AT,MATCH($T$1,'Data qoq'!$A$1:$AT$1,),))/100+1)^4)-1=0,#N/A,(((VLOOKUP(B81,'Data qoq'!$A:$AT,MATCH($T$1,'Data qoq'!$A$1:$AT$1,),))/100+1)^4)-1)</f>
        <v>1.2546916272914821E-2</v>
      </c>
      <c r="U81" s="32">
        <f>IF((((VLOOKUP(B81,'Data qoq'!$A:$AT,MATCH($U$1,'Data qoq'!$A$1:$AT$1,),))/100+1)^4)-1=0,#N/A,(((VLOOKUP(B81,'Data qoq'!$A:$AT,MATCH($U$1,'Data qoq'!$A$1:$AT$1,),))/100+1)^4)-1)</f>
        <v>4.2941010386569278E-2</v>
      </c>
      <c r="V81" s="32">
        <f>IF((((VLOOKUP(B81,'Data qoq'!$A:$AT,MATCH($V$1,'Data qoq'!$A$1:$AT$1,),))/100+1)^4)-1=0,#N/A,(((VLOOKUP(B81,'Data qoq'!$A:$AT,MATCH($V$1,'Data qoq'!$A$1:$AT$1,),))/100+1)^4)-1)</f>
        <v>0.23108400922043071</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4.4696923776452069E-2</v>
      </c>
      <c r="Z81" s="32">
        <f>IF((((VLOOKUP(B81,'Data qoq'!$A:$AU,MATCH($Z$1,'Data qoq'!$A$1:$AU$1,),))/100+1)^4)-1=0,#N/A,(((VLOOKUP(B81,'Data qoq'!$A:$AU,MATCH($Z$1,'Data qoq'!$A$1:$AU$1,),))/100+1)^4)-1)</f>
        <v>5.1712427153820073E-2</v>
      </c>
      <c r="AA81" s="32">
        <f>IF((((VLOOKUP(B81,'Data qoq'!$A:$AU,MATCH($AA$1,'Data qoq'!$A$1:$AU$1,),))/100+1)^4)-1=0,#N/A,(((VLOOKUP(B81,'Data qoq'!$A:$AU,MATCH($AA$1,'Data qoq'!$A$1:$AU$1,),))/100+1)^4)-1)</f>
        <v>3.460566823534128E-2</v>
      </c>
      <c r="AC81" s="26" t="str">
        <f t="shared" si="10"/>
        <v>2017-Q3</v>
      </c>
      <c r="AD81" s="31">
        <f t="shared" si="11"/>
        <v>1.0222847686854442E-2</v>
      </c>
      <c r="AE81" s="27"/>
    </row>
    <row r="82" spans="1:31" x14ac:dyDescent="0.2">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3.3285299928228262E-2</v>
      </c>
      <c r="F82" s="32">
        <f>IF((((VLOOKUP(B82,'Data qoq'!$A:$AT,MATCH($F$1,'Data qoq'!$A$1:$AT$1,),))/100+1)^4)-1=0,#N/A,(((VLOOKUP(B82,'Data qoq'!$A:$AT,MATCH($F$1,'Data qoq'!$A$1:$AT$1,),))/100+1)^4)-1)</f>
        <v>2.4857749997817535E-3</v>
      </c>
      <c r="G82" s="32">
        <f>IF((((VLOOKUP(B82,'Data qoq'!$A:$AT,MATCH($G$1,'Data qoq'!$A$1:$AT$1,),))/100+1)^4)-1=0,#N/A,(((VLOOKUP(B82,'Data qoq'!$A:$AT,MATCH($G$1,'Data qoq'!$A$1:$AT$1,),))/100+1)^4)-1)</f>
        <v>3.6912121484862004E-2</v>
      </c>
      <c r="H82" s="32">
        <f>IF((((VLOOKUP(B82,'Data qoq'!$A:$AT,MATCH($H$1,'Data qoq'!$A$1:$AT$1,),))/100+1)^4)-1=0,#N/A,(((VLOOKUP(B82,'Data qoq'!$A:$AT,MATCH($H$1,'Data qoq'!$A$1:$AT$1,),))/100+1)^4)-1)</f>
        <v>2.4983560709513908E-2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5.6657877399581835E-3</v>
      </c>
      <c r="M82" s="32">
        <f>IF((((VLOOKUP(B82,'Data qoq'!$A:$AT,MATCH($M$1,'Data qoq'!$A$1:$AT$1,),))/100+1)^4)-1=0,#N/A,(((VLOOKUP(B82,'Data qoq'!$A:$AT,MATCH($M$1,'Data qoq'!$A$1:$AT$1,),))/100+1)^4)-1)</f>
        <v>5.2111529824588665E-2</v>
      </c>
      <c r="N82" s="32">
        <f>IF((((VLOOKUP(B82,'Data qoq'!$A:$AT,MATCH($N$1,'Data qoq'!$A$1:$AT$1,),))/100+1)^4)-1=0,#N/A,(((VLOOKUP(B82,'Data qoq'!$A:$AT,MATCH($N$1,'Data qoq'!$A$1:$AT$1,),))/100+1)^4)-1)</f>
        <v>8.4005022203847979E-4</v>
      </c>
      <c r="O82" s="32">
        <f>IF((((VLOOKUP(B82,'Data qoq'!$A:$AT,MATCH($O$1,'Data qoq'!$A$1:$AT$1,),))/100+1)^4)-1=0,#N/A,(((VLOOKUP(B82,'Data qoq'!$A:$AT,MATCH($O$1,'Data qoq'!$A$1:$AT$1,),))/100+1)^4)-1)</f>
        <v>7.7395987911830888E-2</v>
      </c>
      <c r="P82" s="32">
        <f>IF((((VLOOKUP(B82,'Data qoq'!$A:$AT,MATCH($P$1,'Data qoq'!$A$1:$AT$1,),))/100+1)^4)-1=0,#N/A,(((VLOOKUP(B82,'Data qoq'!$A:$AT,MATCH($P$1,'Data qoq'!$A$1:$AT$1,),))/100+1)^4)-1)</f>
        <v>2.0881172423360184E-2</v>
      </c>
      <c r="Q82" s="32">
        <f>IF((((VLOOKUP(B82,'Data qoq'!$A:$AT,MATCH($Q$1,'Data qoq'!$A$1:$AT$1,),))/100+1)^4)-1=0,#N/A,(((VLOOKUP(B82,'Data qoq'!$A:$AT,MATCH($Q$1,'Data qoq'!$A$1:$AT$1,),))/100+1)^4)-1)</f>
        <v>1.9614479972736243E-2</v>
      </c>
      <c r="R82" s="32">
        <f>IF((((VLOOKUP(B82,'Data qoq'!$A:$AT,MATCH($R$1,'Data qoq'!$A$1:$AT$1,),))/100+1)^4)-1=0,#N/A,(((VLOOKUP(B82,'Data qoq'!$A:$AT,MATCH($R$1,'Data qoq'!$A$1:$AT$1,),))/100+1)^4)-1)</f>
        <v>4.2142932811113809E-2</v>
      </c>
      <c r="S82" s="32">
        <f>IF((((VLOOKUP(B82,'Data qoq'!$A:$AT,MATCH($S$1,'Data qoq'!$A$1:$AT$1,),))/100+1)^4)-1=0,#N/A,(((VLOOKUP(B82,'Data qoq'!$A:$AT,MATCH($S$1,'Data qoq'!$A$1:$AT$1,),))/100+1)^4)-1)</f>
        <v>-1.2733500109675999E-2</v>
      </c>
      <c r="T82" s="32">
        <f>IF((((VLOOKUP(B82,'Data qoq'!$A:$AT,MATCH($T$1,'Data qoq'!$A$1:$AT$1,),))/100+1)^4)-1=0,#N/A,(((VLOOKUP(B82,'Data qoq'!$A:$AT,MATCH($T$1,'Data qoq'!$A$1:$AT$1,),))/100+1)^4)-1)</f>
        <v>1.6325536764846715E-2</v>
      </c>
      <c r="U82" s="32">
        <f>IF((((VLOOKUP(B82,'Data qoq'!$A:$AT,MATCH($U$1,'Data qoq'!$A$1:$AT$1,),))/100+1)^4)-1=0,#N/A,(((VLOOKUP(B82,'Data qoq'!$A:$AT,MATCH($U$1,'Data qoq'!$A$1:$AT$1,),))/100+1)^4)-1)</f>
        <v>-3.5533778536640193E-2</v>
      </c>
      <c r="V82" s="32">
        <f>IF((((VLOOKUP(B82,'Data qoq'!$A:$AT,MATCH($V$1,'Data qoq'!$A$1:$AT$1,),))/100+1)^4)-1=0,#N/A,(((VLOOKUP(B82,'Data qoq'!$A:$AT,MATCH($V$1,'Data qoq'!$A$1:$AT$1,),))/100+1)^4)-1)</f>
        <v>0.21286423977125368</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7.3581729418516595E-2</v>
      </c>
      <c r="Z82" s="32">
        <f>IF((((VLOOKUP(B82,'Data qoq'!$A:$AU,MATCH($Z$1,'Data qoq'!$A$1:$AU$1,),))/100+1)^4)-1=0,#N/A,(((VLOOKUP(B82,'Data qoq'!$A:$AU,MATCH($Z$1,'Data qoq'!$A$1:$AU$1,),))/100+1)^4)-1)</f>
        <v>3.8632733698478861E-2</v>
      </c>
      <c r="AA82" s="32">
        <f>IF((((VLOOKUP(B82,'Data qoq'!$A:$AU,MATCH($AA$1,'Data qoq'!$A$1:$AU$1,),))/100+1)^4)-1=0,#N/A,(((VLOOKUP(B82,'Data qoq'!$A:$AU,MATCH($AA$1,'Data qoq'!$A$1:$AU$1,),))/100+1)^4)-1)</f>
        <v>3.4241672821948343E-2</v>
      </c>
      <c r="AC82" s="26" t="str">
        <f t="shared" si="10"/>
        <v>2017-Q4</v>
      </c>
      <c r="AD82" s="31">
        <f t="shared" si="11"/>
        <v>7.9551486161799634E-3</v>
      </c>
      <c r="AE82" s="27"/>
    </row>
    <row r="83" spans="1:31" x14ac:dyDescent="0.2">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3.3988331166234786E-4</v>
      </c>
      <c r="F83" s="32">
        <f>IF((((VLOOKUP(B83,'Data qoq'!$A:$AT,MATCH($F$1,'Data qoq'!$A$1:$AT$1,),))/100+1)^4)-1=0,#N/A,(((VLOOKUP(B83,'Data qoq'!$A:$AT,MATCH($F$1,'Data qoq'!$A$1:$AT$1,),))/100+1)^4)-1)</f>
        <v>8.5922656279897591E-3</v>
      </c>
      <c r="G83" s="32">
        <f>IF((((VLOOKUP(B83,'Data qoq'!$A:$AT,MATCH($G$1,'Data qoq'!$A$1:$AT$1,),))/100+1)^4)-1=0,#N/A,(((VLOOKUP(B83,'Data qoq'!$A:$AT,MATCH($G$1,'Data qoq'!$A$1:$AT$1,),))/100+1)^4)-1)</f>
        <v>-2.3008327140471962E-2</v>
      </c>
      <c r="H83" s="32">
        <f>IF((((VLOOKUP(B83,'Data qoq'!$A:$AT,MATCH($H$1,'Data qoq'!$A$1:$AT$1,),))/100+1)^4)-1=0,#N/A,(((VLOOKUP(B83,'Data qoq'!$A:$AT,MATCH($H$1,'Data qoq'!$A$1:$AT$1,),))/100+1)^4)-1)</f>
        <v>2.5638234264615534E-3</v>
      </c>
      <c r="I83" s="32">
        <f>IF((((VLOOKUP(B83,'Data qoq'!$A:$AT,MATCH($I$1,'Data qoq'!$A$1:$AT$1,),))/100+1)^4)-1=0,#N/A,(((VLOOKUP(B83,'Data qoq'!$A:$AT,MATCH($I$1,'Data qoq'!$A$1:$AT$1,),))/100+1)^4)-1)</f>
        <v>6.0041155737013963E-3</v>
      </c>
      <c r="J83" s="32">
        <f>IF((((VLOOKUP(B83,'Data qoq'!$A:$AT,MATCH($J$1,'Data qoq'!$A$1:$AT$1,),))/100+1)^4)-1=0,#N/A,(((VLOOKUP(B83,'Data qoq'!$A:$AT,MATCH($J$1,'Data qoq'!$A$1:$AT$1,),))/100+1)^4)-1)</f>
        <v>-4.3441237540006172E-3</v>
      </c>
      <c r="K83" s="32">
        <f>IF((((VLOOKUP(B83,'Data qoq'!$A:$AT,MATCH($K$1,'Data qoq'!$A$1:$AT$1,),))/100+1)^4)-1=0,#N/A,(((VLOOKUP(B83,'Data qoq'!$A:$AT,MATCH($K$1,'Data qoq'!$A$1:$AT$1,),))/100+1)^4)-1)</f>
        <v>1.7189756025753455E-2</v>
      </c>
      <c r="L83" s="32">
        <f>IF((((VLOOKUP(B83,'Data qoq'!$A:$AT,MATCH($L$1,'Data qoq'!$A$1:$AT$1,),))/100+1)^4)-1=0,#N/A,(((VLOOKUP(B83,'Data qoq'!$A:$AT,MATCH($L$1,'Data qoq'!$A$1:$AT$1,),))/100+1)^4)-1)</f>
        <v>1.7835836353375267E-2</v>
      </c>
      <c r="M83" s="32">
        <f>IF((((VLOOKUP(B83,'Data qoq'!$A:$AT,MATCH($M$1,'Data qoq'!$A$1:$AT$1,),))/100+1)^4)-1=0,#N/A,(((VLOOKUP(B83,'Data qoq'!$A:$AT,MATCH($M$1,'Data qoq'!$A$1:$AT$1,),))/100+1)^4)-1)</f>
        <v>4.588807538308548E-2</v>
      </c>
      <c r="N83" s="32">
        <f>IF((((VLOOKUP(B83,'Data qoq'!$A:$AT,MATCH($N$1,'Data qoq'!$A$1:$AT$1,),))/100+1)^4)-1=0,#N/A,(((VLOOKUP(B83,'Data qoq'!$A:$AT,MATCH($N$1,'Data qoq'!$A$1:$AT$1,),))/100+1)^4)-1)</f>
        <v>5.5354589448898261E-2</v>
      </c>
      <c r="O83" s="32">
        <f>IF((((VLOOKUP(B83,'Data qoq'!$A:$AT,MATCH($O$1,'Data qoq'!$A$1:$AT$1,),))/100+1)^4)-1=0,#N/A,(((VLOOKUP(B83,'Data qoq'!$A:$AT,MATCH($O$1,'Data qoq'!$A$1:$AT$1,),))/100+1)^4)-1)</f>
        <v>8.8525703593593574E-2</v>
      </c>
      <c r="P83" s="32">
        <f>IF((((VLOOKUP(B83,'Data qoq'!$A:$AT,MATCH($P$1,'Data qoq'!$A$1:$AT$1,),))/100+1)^4)-1=0,#N/A,(((VLOOKUP(B83,'Data qoq'!$A:$AT,MATCH($P$1,'Data qoq'!$A$1:$AT$1,),))/100+1)^4)-1)</f>
        <v>3.5471885274129589E-2</v>
      </c>
      <c r="Q83" s="32">
        <f>IF((((VLOOKUP(B83,'Data qoq'!$A:$AT,MATCH($Q$1,'Data qoq'!$A$1:$AT$1,),))/100+1)^4)-1=0,#N/A,(((VLOOKUP(B83,'Data qoq'!$A:$AT,MATCH($Q$1,'Data qoq'!$A$1:$AT$1,),))/100+1)^4)-1)</f>
        <v>3.8144567588444422E-2</v>
      </c>
      <c r="R83" s="32">
        <f>IF((((VLOOKUP(B83,'Data qoq'!$A:$AT,MATCH($R$1,'Data qoq'!$A$1:$AT$1,),))/100+1)^4)-1=0,#N/A,(((VLOOKUP(B83,'Data qoq'!$A:$AT,MATCH($R$1,'Data qoq'!$A$1:$AT$1,),))/100+1)^4)-1)</f>
        <v>4.5663862674709677E-2</v>
      </c>
      <c r="S83" s="32">
        <f>IF((((VLOOKUP(B83,'Data qoq'!$A:$AT,MATCH($S$1,'Data qoq'!$A$1:$AT$1,),))/100+1)^4)-1=0,#N/A,(((VLOOKUP(B83,'Data qoq'!$A:$AT,MATCH($S$1,'Data qoq'!$A$1:$AT$1,),))/100+1)^4)-1)</f>
        <v>4.9113552692124252E-2</v>
      </c>
      <c r="T83" s="32">
        <f>IF((((VLOOKUP(B83,'Data qoq'!$A:$AT,MATCH($T$1,'Data qoq'!$A$1:$AT$1,),))/100+1)^4)-1=0,#N/A,(((VLOOKUP(B83,'Data qoq'!$A:$AT,MATCH($T$1,'Data qoq'!$A$1:$AT$1,),))/100+1)^4)-1)</f>
        <v>2.559177993396955E-2</v>
      </c>
      <c r="U83" s="32">
        <f>IF((((VLOOKUP(B83,'Data qoq'!$A:$AT,MATCH($U$1,'Data qoq'!$A$1:$AT$1,),))/100+1)^4)-1=0,#N/A,(((VLOOKUP(B83,'Data qoq'!$A:$AT,MATCH($U$1,'Data qoq'!$A$1:$AT$1,),))/100+1)^4)-1)</f>
        <v>5.8071257986733738E-2</v>
      </c>
      <c r="V83" s="32">
        <f>IF((((VLOOKUP(B83,'Data qoq'!$A:$AT,MATCH($V$1,'Data qoq'!$A$1:$AT$1,),))/100+1)^4)-1=0,#N/A,(((VLOOKUP(B83,'Data qoq'!$A:$AT,MATCH($V$1,'Data qoq'!$A$1:$AT$1,),))/100+1)^4)-1)</f>
        <v>-8.7234380591413307E-3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5.0533089531920927E-2</v>
      </c>
      <c r="Z83" s="32">
        <f>IF((((VLOOKUP(B83,'Data qoq'!$A:$AU,MATCH($Z$1,'Data qoq'!$A$1:$AU$1,),))/100+1)^4)-1=0,#N/A,(((VLOOKUP(B83,'Data qoq'!$A:$AU,MATCH($Z$1,'Data qoq'!$A$1:$AU$1,),))/100+1)^4)-1)</f>
        <v>-1.2518369369879379E-2</v>
      </c>
      <c r="AA83" s="32">
        <f>IF((((VLOOKUP(B83,'Data qoq'!$A:$AU,MATCH($AA$1,'Data qoq'!$A$1:$AU$1,),))/100+1)^4)-1=0,#N/A,(((VLOOKUP(B83,'Data qoq'!$A:$AU,MATCH($AA$1,'Data qoq'!$A$1:$AU$1,),))/100+1)^4)-1)</f>
        <v>3.1022779187194205E-2</v>
      </c>
      <c r="AC83" s="26" t="str">
        <f t="shared" si="10"/>
        <v>2018-Q1</v>
      </c>
      <c r="AD83" s="31">
        <f t="shared" si="11"/>
        <v>-5.6642322620390484E-3</v>
      </c>
      <c r="AE83" s="27"/>
    </row>
    <row r="84" spans="1:31" s="73" customFormat="1" x14ac:dyDescent="0.2">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6.5552449536000035E-2</v>
      </c>
      <c r="E84" s="32">
        <f>IF((((VLOOKUP(B84,'Data qoq'!$A:$AT,MATCH($E$1,'Data qoq'!$A$1:$AT$1,),))/100+1)^4)-1=0,#N/A,(((VLOOKUP(B84,'Data qoq'!$A:$AT,MATCH($E$1,'Data qoq'!$A$1:$AT$1,),))/100+1)^4)-1)</f>
        <v>2.1426845434750152E-2</v>
      </c>
      <c r="F84" s="32">
        <f>IF((((VLOOKUP(B84,'Data qoq'!$A:$AT,MATCH($F$1,'Data qoq'!$A$1:$AT$1,),))/100+1)^4)-1=0,#N/A,(((VLOOKUP(B84,'Data qoq'!$A:$AT,MATCH($F$1,'Data qoq'!$A$1:$AT$1,),))/100+1)^4)-1)</f>
        <v>1.5014829479644609E-2</v>
      </c>
      <c r="G84" s="32">
        <f>IF((((VLOOKUP(B84,'Data qoq'!$A:$AT,MATCH($G$1,'Data qoq'!$A$1:$AT$1,),))/100+1)^4)-1=0,#N/A,(((VLOOKUP(B84,'Data qoq'!$A:$AT,MATCH($G$1,'Data qoq'!$A$1:$AT$1,),))/100+1)^4)-1)</f>
        <v>2.8658389966354836E-2</v>
      </c>
      <c r="H84" s="32">
        <f>IF((((VLOOKUP(B84,'Data qoq'!$A:$AT,MATCH($H$1,'Data qoq'!$A$1:$AT$1,),))/100+1)^4)-1=0,#N/A,(((VLOOKUP(B84,'Data qoq'!$A:$AT,MATCH($H$1,'Data qoq'!$A$1:$AT$1,),))/100+1)^4)-1)</f>
        <v>1.7147038881974108E-2</v>
      </c>
      <c r="I84" s="32">
        <f>IF((((VLOOKUP(B84,'Data qoq'!$A:$AT,MATCH($I$1,'Data qoq'!$A$1:$AT$1,),))/100+1)^4)-1=0,#N/A,(((VLOOKUP(B84,'Data qoq'!$A:$AT,MATCH($I$1,'Data qoq'!$A$1:$AT$1,),))/100+1)^4)-1)</f>
        <v>1.8318190109503085E-2</v>
      </c>
      <c r="J84" s="32">
        <f>IF((((VLOOKUP(B84,'Data qoq'!$A:$AT,MATCH($J$1,'Data qoq'!$A$1:$AT$1,),))/100+1)^4)-1=0,#N/A,(((VLOOKUP(B84,'Data qoq'!$A:$AT,MATCH($J$1,'Data qoq'!$A$1:$AT$1,),))/100+1)^4)-1)</f>
        <v>1.5743270670072196E-3</v>
      </c>
      <c r="K84" s="32">
        <f>IF((((VLOOKUP(B84,'Data qoq'!$A:$AT,MATCH($K$1,'Data qoq'!$A$1:$AT$1,),))/100+1)^4)-1=0,#N/A,(((VLOOKUP(B84,'Data qoq'!$A:$AT,MATCH($K$1,'Data qoq'!$A$1:$AT$1,),))/100+1)^4)-1)</f>
        <v>2.3641969046220179E-2</v>
      </c>
      <c r="L84" s="32">
        <f>IF((((VLOOKUP(B84,'Data qoq'!$A:$AT,MATCH($L$1,'Data qoq'!$A$1:$AT$1,),))/100+1)^4)-1=0,#N/A,(((VLOOKUP(B84,'Data qoq'!$A:$AT,MATCH($L$1,'Data qoq'!$A$1:$AT$1,),))/100+1)^4)-1)</f>
        <v>4.1547733802355324E-2</v>
      </c>
      <c r="M84" s="32">
        <f>IF((((VLOOKUP(B84,'Data qoq'!$A:$AT,MATCH($M$1,'Data qoq'!$A$1:$AT$1,),))/100+1)^4)-1=0,#N/A,(((VLOOKUP(B84,'Data qoq'!$A:$AT,MATCH($M$1,'Data qoq'!$A$1:$AT$1,),))/100+1)^4)-1)</f>
        <v>-1.6058619259176066E-3</v>
      </c>
      <c r="N84" s="32">
        <f>IF((((VLOOKUP(B84,'Data qoq'!$A:$AT,MATCH($N$1,'Data qoq'!$A$1:$AT$1,),))/100+1)^4)-1=0,#N/A,(((VLOOKUP(B84,'Data qoq'!$A:$AT,MATCH($N$1,'Data qoq'!$A$1:$AT$1,),))/100+1)^4)-1)</f>
        <v>2.2505339938724056E-2</v>
      </c>
      <c r="O84" s="32">
        <f>IF((((VLOOKUP(B84,'Data qoq'!$A:$AT,MATCH($O$1,'Data qoq'!$A$1:$AT$1,),))/100+1)^4)-1=0,#N/A,(((VLOOKUP(B84,'Data qoq'!$A:$AT,MATCH($O$1,'Data qoq'!$A$1:$AT$1,),))/100+1)^4)-1)</f>
        <v>5.4943895016385191E-2</v>
      </c>
      <c r="P84" s="32">
        <f>IF((((VLOOKUP(B84,'Data qoq'!$A:$AT,MATCH($P$1,'Data qoq'!$A$1:$AT$1,),))/100+1)^4)-1=0,#N/A,(((VLOOKUP(B84,'Data qoq'!$A:$AT,MATCH($P$1,'Data qoq'!$A$1:$AT$1,),))/100+1)^4)-1)</f>
        <v>3.1775987402820949E-2</v>
      </c>
      <c r="Q84" s="32">
        <f>IF((((VLOOKUP(B84,'Data qoq'!$A:$AT,MATCH($Q$1,'Data qoq'!$A$1:$AT$1,),))/100+1)^4)-1=0,#N/A,(((VLOOKUP(B84,'Data qoq'!$A:$AT,MATCH($Q$1,'Data qoq'!$A$1:$AT$1,),))/100+1)^4)-1)</f>
        <v>2.9515066889100661E-2</v>
      </c>
      <c r="R84" s="32">
        <f>IF((((VLOOKUP(B84,'Data qoq'!$A:$AT,MATCH($R$1,'Data qoq'!$A$1:$AT$1,),))/100+1)^4)-1=0,#N/A,(((VLOOKUP(B84,'Data qoq'!$A:$AT,MATCH($R$1,'Data qoq'!$A$1:$AT$1,),))/100+1)^4)-1)</f>
        <v>3.9454716096179121E-2</v>
      </c>
      <c r="S84" s="32">
        <f>IF((((VLOOKUP(B84,'Data qoq'!$A:$AT,MATCH($S$1,'Data qoq'!$A$1:$AT$1,),))/100+1)^4)-1=0,#N/A,(((VLOOKUP(B84,'Data qoq'!$A:$AT,MATCH($S$1,'Data qoq'!$A$1:$AT$1,),))/100+1)^4)-1)</f>
        <v>2.5708070490268575E-2</v>
      </c>
      <c r="T84" s="32">
        <f>IF((((VLOOKUP(B84,'Data qoq'!$A:$AT,MATCH($T$1,'Data qoq'!$A$1:$AT$1,),))/100+1)^4)-1=0,#N/A,(((VLOOKUP(B84,'Data qoq'!$A:$AT,MATCH($T$1,'Data qoq'!$A$1:$AT$1,),))/100+1)^4)-1)</f>
        <v>-2.071441936027818E-3</v>
      </c>
      <c r="U84" s="32">
        <f>IF((((VLOOKUP(B84,'Data qoq'!$A:$AT,MATCH($U$1,'Data qoq'!$A$1:$AT$1,),))/100+1)^4)-1=0,#N/A,(((VLOOKUP(B84,'Data qoq'!$A:$AT,MATCH($U$1,'Data qoq'!$A$1:$AT$1,),))/100+1)^4)-1)</f>
        <v>5.7038331479672966E-3</v>
      </c>
      <c r="V84" s="32">
        <f>IF((((VLOOKUP(B84,'Data qoq'!$A:$AT,MATCH($V$1,'Data qoq'!$A$1:$AT$1,),))/100+1)^4)-1=0,#N/A,(((VLOOKUP(B84,'Data qoq'!$A:$AT,MATCH($V$1,'Data qoq'!$A$1:$AT$1,),))/100+1)^4)-1)</f>
        <v>9.4871099963902417E-2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5.5141625923228466E-2</v>
      </c>
      <c r="Z84" s="32">
        <f>IF((((VLOOKUP(B84,'Data qoq'!$A:$AU,MATCH($Z$1,'Data qoq'!$A$1:$AU$1,),))/100+1)^4)-1=0,#N/A,(((VLOOKUP(B84,'Data qoq'!$A:$AU,MATCH($Z$1,'Data qoq'!$A$1:$AU$1,),))/100+1)^4)-1)</f>
        <v>-0.16895341684296483</v>
      </c>
      <c r="AA84" s="32">
        <f>IF((((VLOOKUP(B84,'Data qoq'!$A:$AU,MATCH($AA$1,'Data qoq'!$A$1:$AU$1,),))/100+1)^4)-1=0,#N/A,(((VLOOKUP(B84,'Data qoq'!$A:$AU,MATCH($AA$1,'Data qoq'!$A$1:$AU$1,),))/100+1)^4)-1)</f>
        <v>4.5372887173209975E-2</v>
      </c>
      <c r="AC84" s="26" t="str">
        <f t="shared" si="10"/>
        <v>2018-Q2</v>
      </c>
      <c r="AD84" s="31">
        <f t="shared" si="11"/>
        <v>3.1086553252470672E-3</v>
      </c>
    </row>
    <row r="85" spans="1:31" s="73" customFormat="1" x14ac:dyDescent="0.2">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3.1235658082251483E-4</v>
      </c>
      <c r="F85" s="32">
        <f>IF((((VLOOKUP(B85,'Data qoq'!$A:$AT,MATCH($F$1,'Data qoq'!$A$1:$AT$1,),))/100+1)^4)-1=0,#N/A,(((VLOOKUP(B85,'Data qoq'!$A:$AT,MATCH($F$1,'Data qoq'!$A$1:$AT$1,),))/100+1)^4)-1)</f>
        <v>-2.5923880210985684E-2</v>
      </c>
      <c r="G85" s="32">
        <f>IF((((VLOOKUP(B85,'Data qoq'!$A:$AT,MATCH($G$1,'Data qoq'!$A$1:$AT$1,),))/100+1)^4)-1=0,#N/A,(((VLOOKUP(B85,'Data qoq'!$A:$AT,MATCH($G$1,'Data qoq'!$A$1:$AT$1,),))/100+1)^4)-1)</f>
        <v>-3.1163644762175813E-2</v>
      </c>
      <c r="H85" s="32">
        <f>IF((((VLOOKUP(B85,'Data qoq'!$A:$AT,MATCH($H$1,'Data qoq'!$A$1:$AT$1,),))/100+1)^4)-1=0,#N/A,(((VLOOKUP(B85,'Data qoq'!$A:$AT,MATCH($H$1,'Data qoq'!$A$1:$AT$1,),))/100+1)^4)-1)</f>
        <v>1.5333684710961526E-2</v>
      </c>
      <c r="I85" s="32">
        <f>IF((((VLOOKUP(B85,'Data qoq'!$A:$AT,MATCH($I$1,'Data qoq'!$A$1:$AT$1,),))/100+1)^4)-1=0,#N/A,(((VLOOKUP(B85,'Data qoq'!$A:$AT,MATCH($I$1,'Data qoq'!$A$1:$AT$1,),))/100+1)^4)-1)</f>
        <v>2.2417510572087851E-2</v>
      </c>
      <c r="J85" s="32">
        <f>IF((((VLOOKUP(B85,'Data qoq'!$A:$AT,MATCH($J$1,'Data qoq'!$A$1:$AT$1,),))/100+1)^4)-1=0,#N/A,(((VLOOKUP(B85,'Data qoq'!$A:$AT,MATCH($J$1,'Data qoq'!$A$1:$AT$1,),))/100+1)^4)-1)</f>
        <v>5.3155520854535343E-3</v>
      </c>
      <c r="K85" s="32">
        <f>IF((((VLOOKUP(B85,'Data qoq'!$A:$AT,MATCH($K$1,'Data qoq'!$A$1:$AT$1,),))/100+1)^4)-1=0,#N/A,(((VLOOKUP(B85,'Data qoq'!$A:$AT,MATCH($K$1,'Data qoq'!$A$1:$AT$1,),))/100+1)^4)-1)</f>
        <v>2.0979684296654755E-2</v>
      </c>
      <c r="L85" s="32">
        <f>IF((((VLOOKUP(B85,'Data qoq'!$A:$AT,MATCH($L$1,'Data qoq'!$A$1:$AT$1,),))/100+1)^4)-1=0,#N/A,(((VLOOKUP(B85,'Data qoq'!$A:$AT,MATCH($L$1,'Data qoq'!$A$1:$AT$1,),))/100+1)^4)-1)</f>
        <v>-3.019271412445701E-2</v>
      </c>
      <c r="M85" s="32">
        <f>IF((((VLOOKUP(B85,'Data qoq'!$A:$AT,MATCH($M$1,'Data qoq'!$A$1:$AT$1,),))/100+1)^4)-1=0,#N/A,(((VLOOKUP(B85,'Data qoq'!$A:$AT,MATCH($M$1,'Data qoq'!$A$1:$AT$1,),))/100+1)^4)-1)</f>
        <v>1.8733543037048994E-2</v>
      </c>
      <c r="N85" s="32">
        <f>IF((((VLOOKUP(B85,'Data qoq'!$A:$AT,MATCH($N$1,'Data qoq'!$A$1:$AT$1,),))/100+1)^4)-1=0,#N/A,(((VLOOKUP(B85,'Data qoq'!$A:$AT,MATCH($N$1,'Data qoq'!$A$1:$AT$1,),))/100+1)^4)-1)</f>
        <v>9.6897644661275706E-3</v>
      </c>
      <c r="O85" s="32">
        <f>IF((((VLOOKUP(B85,'Data qoq'!$A:$AT,MATCH($O$1,'Data qoq'!$A$1:$AT$1,),))/100+1)^4)-1=0,#N/A,(((VLOOKUP(B85,'Data qoq'!$A:$AT,MATCH($O$1,'Data qoq'!$A$1:$AT$1,),))/100+1)^4)-1)</f>
        <v>5.5780636083468726E-2</v>
      </c>
      <c r="P85" s="32">
        <f>IF((((VLOOKUP(B85,'Data qoq'!$A:$AT,MATCH($P$1,'Data qoq'!$A$1:$AT$1,),))/100+1)^4)-1=0,#N/A,(((VLOOKUP(B85,'Data qoq'!$A:$AT,MATCH($P$1,'Data qoq'!$A$1:$AT$1,),))/100+1)^4)-1)</f>
        <v>2.7891978729154276E-2</v>
      </c>
      <c r="Q85" s="32">
        <f>IF((((VLOOKUP(B85,'Data qoq'!$A:$AT,MATCH($Q$1,'Data qoq'!$A$1:$AT$1,),))/100+1)^4)-1=0,#N/A,(((VLOOKUP(B85,'Data qoq'!$A:$AT,MATCH($Q$1,'Data qoq'!$A$1:$AT$1,),))/100+1)^4)-1)</f>
        <v>1.7062049225887055E-2</v>
      </c>
      <c r="R85" s="32">
        <f>IF((((VLOOKUP(B85,'Data qoq'!$A:$AT,MATCH($R$1,'Data qoq'!$A$1:$AT$1,),))/100+1)^4)-1=0,#N/A,(((VLOOKUP(B85,'Data qoq'!$A:$AT,MATCH($R$1,'Data qoq'!$A$1:$AT$1,),))/100+1)^4)-1)</f>
        <v>-1.2898496369343038E-2</v>
      </c>
      <c r="S85" s="32">
        <f>IF((((VLOOKUP(B85,'Data qoq'!$A:$AT,MATCH($S$1,'Data qoq'!$A$1:$AT$1,),))/100+1)^4)-1=0,#N/A,(((VLOOKUP(B85,'Data qoq'!$A:$AT,MATCH($S$1,'Data qoq'!$A$1:$AT$1,),))/100+1)^4)-1)</f>
        <v>2.9555981202899817E-2</v>
      </c>
      <c r="T85" s="32">
        <f>IF((((VLOOKUP(B85,'Data qoq'!$A:$AT,MATCH($T$1,'Data qoq'!$A$1:$AT$1,),))/100+1)^4)-1=0,#N/A,(((VLOOKUP(B85,'Data qoq'!$A:$AT,MATCH($T$1,'Data qoq'!$A$1:$AT$1,),))/100+1)^4)-1)</f>
        <v>4.1973079210479547E-2</v>
      </c>
      <c r="U85" s="32">
        <f>IF((((VLOOKUP(B85,'Data qoq'!$A:$AT,MATCH($U$1,'Data qoq'!$A$1:$AT$1,),))/100+1)^4)-1=0,#N/A,(((VLOOKUP(B85,'Data qoq'!$A:$AT,MATCH($U$1,'Data qoq'!$A$1:$AT$1,),))/100+1)^4)-1)</f>
        <v>-1.0864146060300284E-2</v>
      </c>
      <c r="V85" s="32">
        <f>IF((((VLOOKUP(B85,'Data qoq'!$A:$AT,MATCH($V$1,'Data qoq'!$A$1:$AT$1,),))/100+1)^4)-1=0,#N/A,(((VLOOKUP(B85,'Data qoq'!$A:$AT,MATCH($V$1,'Data qoq'!$A$1:$AT$1,),))/100+1)^4)-1)</f>
        <v>1.6868940768156593E-2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5.3896515125789746E-2</v>
      </c>
      <c r="Z85" s="32">
        <f>IF((((VLOOKUP(B85,'Data qoq'!$A:$AU,MATCH($Z$1,'Data qoq'!$A$1:$AU$1,),))/100+1)^4)-1=0,#N/A,(((VLOOKUP(B85,'Data qoq'!$A:$AU,MATCH($Z$1,'Data qoq'!$A$1:$AU$1,),))/100+1)^4)-1)</f>
        <v>-9.335453089982737E-3</v>
      </c>
      <c r="AA85" s="32">
        <f>IF((((VLOOKUP(B85,'Data qoq'!$A:$AU,MATCH($AA$1,'Data qoq'!$A$1:$AU$1,),))/100+1)^4)-1=0,#N/A,(((VLOOKUP(B85,'Data qoq'!$A:$AU,MATCH($AA$1,'Data qoq'!$A$1:$AU$1,),))/100+1)^4)-1)</f>
        <v>1.1399362998315343E-2</v>
      </c>
      <c r="AC85" s="26" t="str">
        <f t="shared" si="10"/>
        <v>2018-Q3</v>
      </c>
      <c r="AD85" s="31">
        <f t="shared" si="11"/>
        <v>-2.2105153991265336E-2</v>
      </c>
    </row>
    <row r="86" spans="1:31" s="73" customFormat="1" x14ac:dyDescent="0.2">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2.6001715369258882E-2</v>
      </c>
      <c r="F86" s="32">
        <f>IF((((VLOOKUP(B86,'Data qoq'!$A:$AT,MATCH($F$1,'Data qoq'!$A$1:$AT$1,),))/100+1)^4)-1=0,#N/A,(((VLOOKUP(B86,'Data qoq'!$A:$AT,MATCH($F$1,'Data qoq'!$A$1:$AT$1,),))/100+1)^4)-1)</f>
        <v>-1.0436091524967495E-2</v>
      </c>
      <c r="G86" s="32">
        <f>IF((((VLOOKUP(B86,'Data qoq'!$A:$AT,MATCH($G$1,'Data qoq'!$A$1:$AT$1,),))/100+1)^4)-1=0,#N/A,(((VLOOKUP(B86,'Data qoq'!$A:$AT,MATCH($G$1,'Data qoq'!$A$1:$AT$1,),))/100+1)^4)-1)</f>
        <v>3.2166261176547417E-2</v>
      </c>
      <c r="H86" s="32">
        <f>IF((((VLOOKUP(B86,'Data qoq'!$A:$AT,MATCH($H$1,'Data qoq'!$A$1:$AT$1,),))/100+1)^4)-1=0,#N/A,(((VLOOKUP(B86,'Data qoq'!$A:$AT,MATCH($H$1,'Data qoq'!$A$1:$AT$1,),))/100+1)^4)-1)</f>
        <v>2.4916302159456727E-2</v>
      </c>
      <c r="I86" s="32">
        <f>IF((((VLOOKUP(B86,'Data qoq'!$A:$AT,MATCH($I$1,'Data qoq'!$A$1:$AT$1,),))/100+1)^4)-1=0,#N/A,(((VLOOKUP(B86,'Data qoq'!$A:$AT,MATCH($I$1,'Data qoq'!$A$1:$AT$1,),))/100+1)^4)-1)</f>
        <v>1.0326696003548408E-2</v>
      </c>
      <c r="J86" s="32">
        <f>IF((((VLOOKUP(B86,'Data qoq'!$A:$AT,MATCH($J$1,'Data qoq'!$A$1:$AT$1,),))/100+1)^4)-1=0,#N/A,(((VLOOKUP(B86,'Data qoq'!$A:$AT,MATCH($J$1,'Data qoq'!$A$1:$AT$1,),))/100+1)^4)-1)</f>
        <v>1.2056146196050221E-2</v>
      </c>
      <c r="K86" s="32">
        <f>IF((((VLOOKUP(B86,'Data qoq'!$A:$AT,MATCH($K$1,'Data qoq'!$A$1:$AT$1,),))/100+1)^4)-1=0,#N/A,(((VLOOKUP(B86,'Data qoq'!$A:$AT,MATCH($K$1,'Data qoq'!$A$1:$AT$1,),))/100+1)^4)-1)</f>
        <v>2.6632279666368497E-2</v>
      </c>
      <c r="L86" s="32">
        <f>IF((((VLOOKUP(B86,'Data qoq'!$A:$AT,MATCH($L$1,'Data qoq'!$A$1:$AT$1,),))/100+1)^4)-1=0,#N/A,(((VLOOKUP(B86,'Data qoq'!$A:$AT,MATCH($L$1,'Data qoq'!$A$1:$AT$1,),))/100+1)^4)-1)</f>
        <v>4.8804324467796256E-2</v>
      </c>
      <c r="M86" s="32">
        <f>IF((((VLOOKUP(B86,'Data qoq'!$A:$AT,MATCH($M$1,'Data qoq'!$A$1:$AT$1,),))/100+1)^4)-1=0,#N/A,(((VLOOKUP(B86,'Data qoq'!$A:$AT,MATCH($M$1,'Data qoq'!$A$1:$AT$1,),))/100+1)^4)-1)</f>
        <v>-1.1208395517919967E-2</v>
      </c>
      <c r="N86" s="32">
        <f>IF((((VLOOKUP(B86,'Data qoq'!$A:$AT,MATCH($N$1,'Data qoq'!$A$1:$AT$1,),))/100+1)^4)-1=0,#N/A,(((VLOOKUP(B86,'Data qoq'!$A:$AT,MATCH($N$1,'Data qoq'!$A$1:$AT$1,),))/100+1)^4)-1)</f>
        <v>2.682434565241798E-2</v>
      </c>
      <c r="O86" s="32">
        <f>IF((((VLOOKUP(B86,'Data qoq'!$A:$AT,MATCH($O$1,'Data qoq'!$A$1:$AT$1,),))/100+1)^4)-1=0,#N/A,(((VLOOKUP(B86,'Data qoq'!$A:$AT,MATCH($O$1,'Data qoq'!$A$1:$AT$1,),))/100+1)^4)-1)</f>
        <v>5.9048641397875246E-2</v>
      </c>
      <c r="P86" s="32">
        <f>IF((((VLOOKUP(B86,'Data qoq'!$A:$AT,MATCH($P$1,'Data qoq'!$A$1:$AT$1,),))/100+1)^4)-1=0,#N/A,(((VLOOKUP(B86,'Data qoq'!$A:$AT,MATCH($P$1,'Data qoq'!$A$1:$AT$1,),))/100+1)^4)-1)</f>
        <v>1.3704655467120519E-2</v>
      </c>
      <c r="Q86" s="32">
        <f>IF((((VLOOKUP(B86,'Data qoq'!$A:$AT,MATCH($Q$1,'Data qoq'!$A$1:$AT$1,),))/100+1)^4)-1=0,#N/A,(((VLOOKUP(B86,'Data qoq'!$A:$AT,MATCH($Q$1,'Data qoq'!$A$1:$AT$1,),))/100+1)^4)-1)</f>
        <v>8.9052286772803857E-3</v>
      </c>
      <c r="R86" s="32">
        <f>IF((((VLOOKUP(B86,'Data qoq'!$A:$AT,MATCH($R$1,'Data qoq'!$A$1:$AT$1,),))/100+1)^4)-1=0,#N/A,(((VLOOKUP(B86,'Data qoq'!$A:$AT,MATCH($R$1,'Data qoq'!$A$1:$AT$1,),))/100+1)^4)-1)</f>
        <v>9.4870353858402812E-3</v>
      </c>
      <c r="S86" s="32">
        <f>IF((((VLOOKUP(B86,'Data qoq'!$A:$AT,MATCH($S$1,'Data qoq'!$A$1:$AT$1,),))/100+1)^4)-1=0,#N/A,(((VLOOKUP(B86,'Data qoq'!$A:$AT,MATCH($S$1,'Data qoq'!$A$1:$AT$1,),))/100+1)^4)-1)</f>
        <v>2.830815742810544E-2</v>
      </c>
      <c r="T86" s="32">
        <f>IF((((VLOOKUP(B86,'Data qoq'!$A:$AT,MATCH($T$1,'Data qoq'!$A$1:$AT$1,),))/100+1)^4)-1=0,#N/A,(((VLOOKUP(B86,'Data qoq'!$A:$AT,MATCH($T$1,'Data qoq'!$A$1:$AT$1,),))/100+1)^4)-1)</f>
        <v>-1.3697678395615309E-2</v>
      </c>
      <c r="U86" s="32">
        <f>IF((((VLOOKUP(B86,'Data qoq'!$A:$AT,MATCH($U$1,'Data qoq'!$A$1:$AT$1,),))/100+1)^4)-1=0,#N/A,(((VLOOKUP(B86,'Data qoq'!$A:$AT,MATCH($U$1,'Data qoq'!$A$1:$AT$1,),))/100+1)^4)-1)</f>
        <v>2.7163543458498252E-2</v>
      </c>
      <c r="V86" s="32">
        <f>IF((((VLOOKUP(B86,'Data qoq'!$A:$AT,MATCH($V$1,'Data qoq'!$A$1:$AT$1,),))/100+1)^4)-1=0,#N/A,(((VLOOKUP(B86,'Data qoq'!$A:$AT,MATCH($V$1,'Data qoq'!$A$1:$AT$1,),))/100+1)^4)-1)</f>
        <v>3.2119959993902825E-2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3.8367037098049561E-2</v>
      </c>
      <c r="Z86" s="32">
        <f>IF((((VLOOKUP(B86,'Data qoq'!$A:$AU,MATCH($Z$1,'Data qoq'!$A$1:$AU$1,),))/100+1)^4)-1=0,#N/A,(((VLOOKUP(B86,'Data qoq'!$A:$AU,MATCH($Z$1,'Data qoq'!$A$1:$AU$1,),))/100+1)^4)-1)</f>
        <v>-5.8078177936610409E-2</v>
      </c>
      <c r="AA86" s="32">
        <f>IF((((VLOOKUP(B86,'Data qoq'!$A:$AU,MATCH($AA$1,'Data qoq'!$A$1:$AU$1,),))/100+1)^4)-1=0,#N/A,(((VLOOKUP(B86,'Data qoq'!$A:$AU,MATCH($AA$1,'Data qoq'!$A$1:$AU$1,),))/100+1)^4)-1)</f>
        <v>5.1651752124058259E-2</v>
      </c>
      <c r="AC86" s="26" t="str">
        <f t="shared" si="10"/>
        <v>2018-Q4</v>
      </c>
      <c r="AD86" s="31">
        <f t="shared" si="11"/>
        <v>1.5675019365710474E-2</v>
      </c>
    </row>
    <row r="87" spans="1:31" s="73" customFormat="1" x14ac:dyDescent="0.2">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7.3967432976000058E-2</v>
      </c>
      <c r="E87" s="32">
        <f>IF((((VLOOKUP(B87,'Data qoq'!$A:$AT,MATCH($E$1,'Data qoq'!$A$1:$AT$1,),))/100+1)^4)-1=0,#N/A,(((VLOOKUP(B87,'Data qoq'!$A:$AT,MATCH($E$1,'Data qoq'!$A$1:$AT$1,),))/100+1)^4)-1)</f>
        <v>2.5856799656991836E-2</v>
      </c>
      <c r="F87" s="32">
        <f>IF((((VLOOKUP(B87,'Data qoq'!$A:$AT,MATCH($F$1,'Data qoq'!$A$1:$AT$1,),))/100+1)^4)-1=0,#N/A,(((VLOOKUP(B87,'Data qoq'!$A:$AT,MATCH($F$1,'Data qoq'!$A$1:$AT$1,),))/100+1)^4)-1)</f>
        <v>2.1930626075715054E-2</v>
      </c>
      <c r="G87" s="32">
        <f>IF((((VLOOKUP(B87,'Data qoq'!$A:$AT,MATCH($G$1,'Data qoq'!$A$1:$AT$1,),))/100+1)^4)-1=0,#N/A,(((VLOOKUP(B87,'Data qoq'!$A:$AT,MATCH($G$1,'Data qoq'!$A$1:$AT$1,),))/100+1)^4)-1)</f>
        <v>2.8933820960599599E-2</v>
      </c>
      <c r="H87" s="32">
        <f>IF((((VLOOKUP(B87,'Data qoq'!$A:$AT,MATCH($H$1,'Data qoq'!$A$1:$AT$1,),))/100+1)^4)-1=0,#N/A,(((VLOOKUP(B87,'Data qoq'!$A:$AT,MATCH($H$1,'Data qoq'!$A$1:$AT$1,),))/100+1)^4)-1)</f>
        <v>2.7236512828388015E-2</v>
      </c>
      <c r="I87" s="32">
        <f>IF((((VLOOKUP(B87,'Data qoq'!$A:$AT,MATCH($I$1,'Data qoq'!$A$1:$AT$1,),))/100+1)^4)-1=0,#N/A,(((VLOOKUP(B87,'Data qoq'!$A:$AT,MATCH($I$1,'Data qoq'!$A$1:$AT$1,),))/100+1)^4)-1)</f>
        <v>2.5453962297567578E-2</v>
      </c>
      <c r="J87" s="32">
        <f>IF((((VLOOKUP(B87,'Data qoq'!$A:$AT,MATCH($J$1,'Data qoq'!$A$1:$AT$1,),))/100+1)^4)-1=0,#N/A,(((VLOOKUP(B87,'Data qoq'!$A:$AT,MATCH($J$1,'Data qoq'!$A$1:$AT$1,),))/100+1)^4)-1)</f>
        <v>7.6730247786016559E-3</v>
      </c>
      <c r="K87" s="32">
        <f>IF((((VLOOKUP(B87,'Data qoq'!$A:$AT,MATCH($K$1,'Data qoq'!$A$1:$AT$1,),))/100+1)^4)-1=0,#N/A,(((VLOOKUP(B87,'Data qoq'!$A:$AT,MATCH($K$1,'Data qoq'!$A$1:$AT$1,),))/100+1)^4)-1)</f>
        <v>2.4577792719684854E-2</v>
      </c>
      <c r="L87" s="32">
        <f>IF((((VLOOKUP(B87,'Data qoq'!$A:$AT,MATCH($L$1,'Data qoq'!$A$1:$AT$1,),))/100+1)^4)-1=0,#N/A,(((VLOOKUP(B87,'Data qoq'!$A:$AT,MATCH($L$1,'Data qoq'!$A$1:$AT$1,),))/100+1)^4)-1)</f>
        <v>2.5703760135212139E-2</v>
      </c>
      <c r="M87" s="32">
        <f>IF((((VLOOKUP(B87,'Data qoq'!$A:$AT,MATCH($M$1,'Data qoq'!$A$1:$AT$1,),))/100+1)^4)-1=0,#N/A,(((VLOOKUP(B87,'Data qoq'!$A:$AT,MATCH($M$1,'Data qoq'!$A$1:$AT$1,),))/100+1)^4)-1)</f>
        <v>2.0061703860418945E-3</v>
      </c>
      <c r="N87" s="32">
        <f>IF((((VLOOKUP(B87,'Data qoq'!$A:$AT,MATCH($N$1,'Data qoq'!$A$1:$AT$1,),))/100+1)^4)-1=0,#N/A,(((VLOOKUP(B87,'Data qoq'!$A:$AT,MATCH($N$1,'Data qoq'!$A$1:$AT$1,),))/100+1)^4)-1)</f>
        <v>-1.5222443071766234E-3</v>
      </c>
      <c r="O87" s="32">
        <f>IF((((VLOOKUP(B87,'Data qoq'!$A:$AT,MATCH($O$1,'Data qoq'!$A$1:$AT$1,),))/100+1)^4)-1=0,#N/A,(((VLOOKUP(B87,'Data qoq'!$A:$AT,MATCH($O$1,'Data qoq'!$A$1:$AT$1,),))/100+1)^4)-1)</f>
        <v>4.2867570834177471E-2</v>
      </c>
      <c r="P87" s="32">
        <f>IF((((VLOOKUP(B87,'Data qoq'!$A:$AT,MATCH($P$1,'Data qoq'!$A$1:$AT$1,),))/100+1)^4)-1=0,#N/A,(((VLOOKUP(B87,'Data qoq'!$A:$AT,MATCH($P$1,'Data qoq'!$A$1:$AT$1,),))/100+1)^4)-1)</f>
        <v>3.6305665579499102E-3</v>
      </c>
      <c r="Q87" s="32">
        <f>IF((((VLOOKUP(B87,'Data qoq'!$A:$AT,MATCH($Q$1,'Data qoq'!$A$1:$AT$1,),))/100+1)^4)-1=0,#N/A,(((VLOOKUP(B87,'Data qoq'!$A:$AT,MATCH($Q$1,'Data qoq'!$A$1:$AT$1,),))/100+1)^4)-1)</f>
        <v>2.0106211831814713E-2</v>
      </c>
      <c r="R87" s="32">
        <f>IF((((VLOOKUP(B87,'Data qoq'!$A:$AT,MATCH($R$1,'Data qoq'!$A$1:$AT$1,),))/100+1)^4)-1=0,#N/A,(((VLOOKUP(B87,'Data qoq'!$A:$AT,MATCH($R$1,'Data qoq'!$A$1:$AT$1,),))/100+1)^4)-1)</f>
        <v>6.0007559281609613E-3</v>
      </c>
      <c r="S87" s="32">
        <f>IF((((VLOOKUP(B87,'Data qoq'!$A:$AT,MATCH($S$1,'Data qoq'!$A$1:$AT$1,),))/100+1)^4)-1=0,#N/A,(((VLOOKUP(B87,'Data qoq'!$A:$AT,MATCH($S$1,'Data qoq'!$A$1:$AT$1,),))/100+1)^4)-1)</f>
        <v>-7.9195437402704849E-3</v>
      </c>
      <c r="T87" s="32">
        <f>IF((((VLOOKUP(B87,'Data qoq'!$A:$AT,MATCH($T$1,'Data qoq'!$A$1:$AT$1,),))/100+1)^4)-1=0,#N/A,(((VLOOKUP(B87,'Data qoq'!$A:$AT,MATCH($T$1,'Data qoq'!$A$1:$AT$1,),))/100+1)^4)-1)</f>
        <v>1.6467874424754614E-2</v>
      </c>
      <c r="U87" s="32">
        <f>IF((((VLOOKUP(B87,'Data qoq'!$A:$AT,MATCH($U$1,'Data qoq'!$A$1:$AT$1,),))/100+1)^4)-1=0,#N/A,(((VLOOKUP(B87,'Data qoq'!$A:$AT,MATCH($U$1,'Data qoq'!$A$1:$AT$1,),))/100+1)^4)-1)</f>
        <v>2.5559866113219254E-2</v>
      </c>
      <c r="V87" s="32">
        <f>IF((((VLOOKUP(B87,'Data qoq'!$A:$AT,MATCH($V$1,'Data qoq'!$A$1:$AT$1,),))/100+1)^4)-1=0,#N/A,(((VLOOKUP(B87,'Data qoq'!$A:$AT,MATCH($V$1,'Data qoq'!$A$1:$AT$1,),))/100+1)^4)-1)</f>
        <v>6.4715798641320488E-2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7.3933907860917358E-2</v>
      </c>
      <c r="Z87" s="32">
        <f>IF((((VLOOKUP(B87,'Data qoq'!$A:$AU,MATCH($Z$1,'Data qoq'!$A$1:$AU$1,),))/100+1)^4)-1=0,#N/A,(((VLOOKUP(B87,'Data qoq'!$A:$AU,MATCH($Z$1,'Data qoq'!$A$1:$AU$1,),))/100+1)^4)-1)</f>
        <v>3.5745894266718814E-3</v>
      </c>
      <c r="AA87" s="32">
        <f>IF((((VLOOKUP(B87,'Data qoq'!$A:$AU,MATCH($AA$1,'Data qoq'!$A$1:$AU$1,),))/100+1)^4)-1=0,#N/A,(((VLOOKUP(B87,'Data qoq'!$A:$AU,MATCH($AA$1,'Data qoq'!$A$1:$AU$1,),))/100+1)^4)-1)</f>
        <v>2.3117321101935762E-2</v>
      </c>
      <c r="AC87" s="26" t="str">
        <f t="shared" si="10"/>
        <v>2019-Q1</v>
      </c>
      <c r="AD87" s="31">
        <f t="shared" si="11"/>
        <v>4.0283735942425736E-4</v>
      </c>
    </row>
    <row r="88" spans="1:31" s="73" customFormat="1" x14ac:dyDescent="0.2">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5.302281656099983E-2</v>
      </c>
      <c r="E88" s="32">
        <f>IF((((VLOOKUP(B88,'Data qoq'!$A:$AT,MATCH($E$1,'Data qoq'!$A$1:$AT$1,),))/100+1)^4)-1=0,#N/A,(((VLOOKUP(B88,'Data qoq'!$A:$AT,MATCH($E$1,'Data qoq'!$A$1:$AT$1,),))/100+1)^4)-1)</f>
        <v>1.2404205143582869E-2</v>
      </c>
      <c r="F88" s="32">
        <f>IF((((VLOOKUP(B88,'Data qoq'!$A:$AT,MATCH($F$1,'Data qoq'!$A$1:$AT$1,),))/100+1)^4)-1=0,#N/A,(((VLOOKUP(B88,'Data qoq'!$A:$AT,MATCH($F$1,'Data qoq'!$A$1:$AT$1,),))/100+1)^4)-1)</f>
        <v>1.4772867015337532E-2</v>
      </c>
      <c r="G88" s="32">
        <f>IF((((VLOOKUP(B88,'Data qoq'!$A:$AT,MATCH($G$1,'Data qoq'!$A$1:$AT$1,),))/100+1)^4)-1=0,#N/A,(((VLOOKUP(B88,'Data qoq'!$A:$AT,MATCH($G$1,'Data qoq'!$A$1:$AT$1,),))/100+1)^4)-1)</f>
        <v>-6.6929017733794449E-3</v>
      </c>
      <c r="H88" s="32">
        <f>IF((((VLOOKUP(B88,'Data qoq'!$A:$AT,MATCH($H$1,'Data qoq'!$A$1:$AT$1,),))/100+1)^4)-1=0,#N/A,(((VLOOKUP(B88,'Data qoq'!$A:$AT,MATCH($H$1,'Data qoq'!$A$1:$AT$1,),))/100+1)^4)-1)</f>
        <v>2.7148551353088468E-2</v>
      </c>
      <c r="I88" s="32">
        <f>IF((((VLOOKUP(B88,'Data qoq'!$A:$AT,MATCH($I$1,'Data qoq'!$A$1:$AT$1,),))/100+1)^4)-1=0,#N/A,(((VLOOKUP(B88,'Data qoq'!$A:$AT,MATCH($I$1,'Data qoq'!$A$1:$AT$1,),))/100+1)^4)-1)</f>
        <v>4.4057981351697251E-3</v>
      </c>
      <c r="J88" s="32">
        <f>IF((((VLOOKUP(B88,'Data qoq'!$A:$AT,MATCH($J$1,'Data qoq'!$A$1:$AT$1,),))/100+1)^4)-1=0,#N/A,(((VLOOKUP(B88,'Data qoq'!$A:$AT,MATCH($J$1,'Data qoq'!$A$1:$AT$1,),))/100+1)^4)-1)</f>
        <v>8.840861989710902E-3</v>
      </c>
      <c r="K88" s="32">
        <f>IF((((VLOOKUP(B88,'Data qoq'!$A:$AT,MATCH($K$1,'Data qoq'!$A$1:$AT$1,),))/100+1)^4)-1=0,#N/A,(((VLOOKUP(B88,'Data qoq'!$A:$AT,MATCH($K$1,'Data qoq'!$A$1:$AT$1,),))/100+1)^4)-1)</f>
        <v>1.3920087552542482E-2</v>
      </c>
      <c r="L88" s="32">
        <f>IF((((VLOOKUP(B88,'Data qoq'!$A:$AT,MATCH($L$1,'Data qoq'!$A$1:$AT$1,),))/100+1)^4)-1=0,#N/A,(((VLOOKUP(B88,'Data qoq'!$A:$AT,MATCH($L$1,'Data qoq'!$A$1:$AT$1,),))/100+1)^4)-1)</f>
        <v>2.4171698364261029E-2</v>
      </c>
      <c r="M88" s="32">
        <f>IF((((VLOOKUP(B88,'Data qoq'!$A:$AT,MATCH($M$1,'Data qoq'!$A$1:$AT$1,),))/100+1)^4)-1=0,#N/A,(((VLOOKUP(B88,'Data qoq'!$A:$AT,MATCH($M$1,'Data qoq'!$A$1:$AT$1,),))/100+1)^4)-1)</f>
        <v>-1.8201090435407408E-2</v>
      </c>
      <c r="N88" s="32">
        <f>IF((((VLOOKUP(B88,'Data qoq'!$A:$AT,MATCH($N$1,'Data qoq'!$A$1:$AT$1,),))/100+1)^4)-1=0,#N/A,(((VLOOKUP(B88,'Data qoq'!$A:$AT,MATCH($N$1,'Data qoq'!$A$1:$AT$1,),))/100+1)^4)-1)</f>
        <v>9.358454721295506E-2</v>
      </c>
      <c r="O88" s="32">
        <f>IF((((VLOOKUP(B88,'Data qoq'!$A:$AT,MATCH($O$1,'Data qoq'!$A$1:$AT$1,),))/100+1)^4)-1=0,#N/A,(((VLOOKUP(B88,'Data qoq'!$A:$AT,MATCH($O$1,'Data qoq'!$A$1:$AT$1,),))/100+1)^4)-1)</f>
        <v>4.5098851468166945E-2</v>
      </c>
      <c r="P88" s="32">
        <f>IF((((VLOOKUP(B88,'Data qoq'!$A:$AT,MATCH($P$1,'Data qoq'!$A$1:$AT$1,),))/100+1)^4)-1=0,#N/A,(((VLOOKUP(B88,'Data qoq'!$A:$AT,MATCH($P$1,'Data qoq'!$A$1:$AT$1,),))/100+1)^4)-1)</f>
        <v>4.0222349542339497E-2</v>
      </c>
      <c r="Q88" s="32">
        <f>IF((((VLOOKUP(B88,'Data qoq'!$A:$AT,MATCH($Q$1,'Data qoq'!$A$1:$AT$1,),))/100+1)^4)-1=0,#N/A,(((VLOOKUP(B88,'Data qoq'!$A:$AT,MATCH($Q$1,'Data qoq'!$A$1:$AT$1,),))/100+1)^4)-1)</f>
        <v>1.9490229920305024E-2</v>
      </c>
      <c r="R88" s="32">
        <f>IF((((VLOOKUP(B88,'Data qoq'!$A:$AT,MATCH($R$1,'Data qoq'!$A$1:$AT$1,),))/100+1)^4)-1=0,#N/A,(((VLOOKUP(B88,'Data qoq'!$A:$AT,MATCH($R$1,'Data qoq'!$A$1:$AT$1,),))/100+1)^4)-1)</f>
        <v>1.7893666517525997E-2</v>
      </c>
      <c r="S88" s="32">
        <f>IF((((VLOOKUP(B88,'Data qoq'!$A:$AT,MATCH($S$1,'Data qoq'!$A$1:$AT$1,),))/100+1)^4)-1=0,#N/A,(((VLOOKUP(B88,'Data qoq'!$A:$AT,MATCH($S$1,'Data qoq'!$A$1:$AT$1,),))/100+1)^4)-1)</f>
        <v>4.3075036615281226E-2</v>
      </c>
      <c r="T88" s="32">
        <f>IF((((VLOOKUP(B88,'Data qoq'!$A:$AT,MATCH($T$1,'Data qoq'!$A$1:$AT$1,),))/100+1)^4)-1=0,#N/A,(((VLOOKUP(B88,'Data qoq'!$A:$AT,MATCH($T$1,'Data qoq'!$A$1:$AT$1,),))/100+1)^4)-1)</f>
        <v>2.2584261154518837E-2</v>
      </c>
      <c r="U88" s="32">
        <f>IF((((VLOOKUP(B88,'Data qoq'!$A:$AT,MATCH($U$1,'Data qoq'!$A$1:$AT$1,),))/100+1)^4)-1=0,#N/A,(((VLOOKUP(B88,'Data qoq'!$A:$AT,MATCH($U$1,'Data qoq'!$A$1:$AT$1,),))/100+1)^4)-1)</f>
        <v>4.5088304276597269E-2</v>
      </c>
      <c r="V88" s="32">
        <f>IF((((VLOOKUP(B88,'Data qoq'!$A:$AT,MATCH($V$1,'Data qoq'!$A$1:$AT$1,),))/100+1)^4)-1=0,#N/A,(((VLOOKUP(B88,'Data qoq'!$A:$AT,MATCH($V$1,'Data qoq'!$A$1:$AT$1,),))/100+1)^4)-1)</f>
        <v>7.3495058878746633E-2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3.2435144689793471E-2</v>
      </c>
      <c r="Z88" s="32">
        <f>IF((((VLOOKUP(B88,'Data qoq'!$A:$AU,MATCH($Z$1,'Data qoq'!$A$1:$AU$1,),))/100+1)^4)-1=0,#N/A,(((VLOOKUP(B88,'Data qoq'!$A:$AU,MATCH($Z$1,'Data qoq'!$A$1:$AU$1,),))/100+1)^4)-1)</f>
        <v>3.5150502300421493E-2</v>
      </c>
      <c r="AA88" s="32">
        <f>IF((((VLOOKUP(B88,'Data qoq'!$A:$AU,MATCH($AA$1,'Data qoq'!$A$1:$AU$1,),))/100+1)^4)-1=0,#N/A,(((VLOOKUP(B88,'Data qoq'!$A:$AU,MATCH($AA$1,'Data qoq'!$A$1:$AU$1,),))/100+1)^4)-1)</f>
        <v>2.1778357247321134E-2</v>
      </c>
      <c r="AC88" s="26" t="str">
        <f t="shared" si="10"/>
        <v>2019-Q2</v>
      </c>
      <c r="AD88" s="31">
        <f t="shared" si="11"/>
        <v>7.9984070084131442E-3</v>
      </c>
    </row>
    <row r="89" spans="1:31" s="73" customFormat="1" x14ac:dyDescent="0.2">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5.718701441600027E-2</v>
      </c>
      <c r="E89" s="32">
        <f>IF((((VLOOKUP(B89,'Data qoq'!$A:$AT,MATCH($E$1,'Data qoq'!$A$1:$AT$1,),))/100+1)^4)-1=0,#N/A,(((VLOOKUP(B89,'Data qoq'!$A:$AT,MATCH($E$1,'Data qoq'!$A$1:$AT$1,),))/100+1)^4)-1)</f>
        <v>8.5098223814441543E-3</v>
      </c>
      <c r="F89" s="32">
        <f>IF((((VLOOKUP(B89,'Data qoq'!$A:$AT,MATCH($F$1,'Data qoq'!$A$1:$AT$1,),))/100+1)^4)-1=0,#N/A,(((VLOOKUP(B89,'Data qoq'!$A:$AT,MATCH($F$1,'Data qoq'!$A$1:$AT$1,),))/100+1)^4)-1)</f>
        <v>-1.2488407106225896E-4</v>
      </c>
      <c r="G89" s="32">
        <f>IF((((VLOOKUP(B89,'Data qoq'!$A:$AT,MATCH($G$1,'Data qoq'!$A$1:$AT$1,),))/100+1)^4)-1=0,#N/A,(((VLOOKUP(B89,'Data qoq'!$A:$AT,MATCH($G$1,'Data qoq'!$A$1:$AT$1,),))/100+1)^4)-1)</f>
        <v>4.4881946027448549E-3</v>
      </c>
      <c r="H89" s="32">
        <f>IF((((VLOOKUP(B89,'Data qoq'!$A:$AT,MATCH($H$1,'Data qoq'!$A$1:$AT$1,),))/100+1)^4)-1=0,#N/A,(((VLOOKUP(B89,'Data qoq'!$A:$AT,MATCH($H$1,'Data qoq'!$A$1:$AT$1,),))/100+1)^4)-1)</f>
        <v>2.8383796649511517E-4</v>
      </c>
      <c r="I89" s="32">
        <f>IF((((VLOOKUP(B89,'Data qoq'!$A:$AT,MATCH($I$1,'Data qoq'!$A$1:$AT$1,),))/100+1)^4)-1=0,#N/A,(((VLOOKUP(B89,'Data qoq'!$A:$AT,MATCH($I$1,'Data qoq'!$A$1:$AT$1,),))/100+1)^4)-1)</f>
        <v>2.4658965788892262E-2</v>
      </c>
      <c r="J89" s="32">
        <f>IF((((VLOOKUP(B89,'Data qoq'!$A:$AT,MATCH($J$1,'Data qoq'!$A$1:$AT$1,),))/100+1)^4)-1=0,#N/A,(((VLOOKUP(B89,'Data qoq'!$A:$AT,MATCH($J$1,'Data qoq'!$A$1:$AT$1,),))/100+1)^4)-1)</f>
        <v>1.5771251692371369E-3</v>
      </c>
      <c r="K89" s="32">
        <f>IF((((VLOOKUP(B89,'Data qoq'!$A:$AT,MATCH($K$1,'Data qoq'!$A$1:$AT$1,),))/100+1)^4)-1=0,#N/A,(((VLOOKUP(B89,'Data qoq'!$A:$AT,MATCH($K$1,'Data qoq'!$A$1:$AT$1,),))/100+1)^4)-1)</f>
        <v>1.1852321841093305E-2</v>
      </c>
      <c r="L89" s="32">
        <f>IF((((VLOOKUP(B89,'Data qoq'!$A:$AT,MATCH($L$1,'Data qoq'!$A$1:$AT$1,),))/100+1)^4)-1=0,#N/A,(((VLOOKUP(B89,'Data qoq'!$A:$AT,MATCH($L$1,'Data qoq'!$A$1:$AT$1,),))/100+1)^4)-1)</f>
        <v>6.5433301592898729E-3</v>
      </c>
      <c r="M89" s="32">
        <f>IF((((VLOOKUP(B89,'Data qoq'!$A:$AT,MATCH($M$1,'Data qoq'!$A$1:$AT$1,),))/100+1)^4)-1=0,#N/A,(((VLOOKUP(B89,'Data qoq'!$A:$AT,MATCH($M$1,'Data qoq'!$A$1:$AT$1,),))/100+1)^4)-1)</f>
        <v>2.3266001869945985E-2</v>
      </c>
      <c r="N89" s="32">
        <f>IF((((VLOOKUP(B89,'Data qoq'!$A:$AT,MATCH($N$1,'Data qoq'!$A$1:$AT$1,),))/100+1)^4)-1=0,#N/A,(((VLOOKUP(B89,'Data qoq'!$A:$AT,MATCH($N$1,'Data qoq'!$A$1:$AT$1,),))/100+1)^4)-1)</f>
        <v>-3.8563652917277924E-2</v>
      </c>
      <c r="O89" s="32">
        <f>IF((((VLOOKUP(B89,'Data qoq'!$A:$AT,MATCH($O$1,'Data qoq'!$A$1:$AT$1,),))/100+1)^4)-1=0,#N/A,(((VLOOKUP(B89,'Data qoq'!$A:$AT,MATCH($O$1,'Data qoq'!$A$1:$AT$1,),))/100+1)^4)-1)</f>
        <v>2.6460580445621051E-2</v>
      </c>
      <c r="P89" s="32">
        <f>IF((((VLOOKUP(B89,'Data qoq'!$A:$AT,MATCH($P$1,'Data qoq'!$A$1:$AT$1,),))/100+1)^4)-1=0,#N/A,(((VLOOKUP(B89,'Data qoq'!$A:$AT,MATCH($P$1,'Data qoq'!$A$1:$AT$1,),))/100+1)^4)-1)</f>
        <v>1.3129869274732808E-2</v>
      </c>
      <c r="Q89" s="32">
        <f>IF((((VLOOKUP(B89,'Data qoq'!$A:$AT,MATCH($Q$1,'Data qoq'!$A$1:$AT$1,),))/100+1)^4)-1=0,#N/A,(((VLOOKUP(B89,'Data qoq'!$A:$AT,MATCH($Q$1,'Data qoq'!$A$1:$AT$1,),))/100+1)^4)-1)</f>
        <v>3.3682403051400023E-2</v>
      </c>
      <c r="R89" s="32">
        <f>IF((((VLOOKUP(B89,'Data qoq'!$A:$AT,MATCH($R$1,'Data qoq'!$A$1:$AT$1,),))/100+1)^4)-1=0,#N/A,(((VLOOKUP(B89,'Data qoq'!$A:$AT,MATCH($R$1,'Data qoq'!$A$1:$AT$1,),))/100+1)^4)-1)</f>
        <v>2.2472310220182701E-2</v>
      </c>
      <c r="S89" s="32">
        <f>IF((((VLOOKUP(B89,'Data qoq'!$A:$AT,MATCH($S$1,'Data qoq'!$A$1:$AT$1,),))/100+1)^4)-1=0,#N/A,(((VLOOKUP(B89,'Data qoq'!$A:$AT,MATCH($S$1,'Data qoq'!$A$1:$AT$1,),))/100+1)^4)-1)</f>
        <v>2.1265017358181204E-2</v>
      </c>
      <c r="T89" s="32">
        <f>IF((((VLOOKUP(B89,'Data qoq'!$A:$AT,MATCH($T$1,'Data qoq'!$A$1:$AT$1,),))/100+1)^4)-1=0,#N/A,(((VLOOKUP(B89,'Data qoq'!$A:$AT,MATCH($T$1,'Data qoq'!$A$1:$AT$1,),))/100+1)^4)-1)</f>
        <v>4.2750423341084698E-3</v>
      </c>
      <c r="U89" s="32">
        <f>IF((((VLOOKUP(B89,'Data qoq'!$A:$AT,MATCH($U$1,'Data qoq'!$A$1:$AT$1,),))/100+1)^4)-1=0,#N/A,(((VLOOKUP(B89,'Data qoq'!$A:$AT,MATCH($U$1,'Data qoq'!$A$1:$AT$1,),))/100+1)^4)-1)</f>
        <v>-3.885128762912915E-3</v>
      </c>
      <c r="V89" s="32">
        <f>IF((((VLOOKUP(B89,'Data qoq'!$A:$AT,MATCH($V$1,'Data qoq'!$A$1:$AT$1,),))/100+1)^4)-1=0,#N/A,(((VLOOKUP(B89,'Data qoq'!$A:$AT,MATCH($V$1,'Data qoq'!$A$1:$AT$1,),))/100+1)^4)-1)</f>
        <v>7.9684920344934129E-2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3.6477152534654333E-2</v>
      </c>
      <c r="Z89" s="32">
        <f>IF((((VLOOKUP(B89,'Data qoq'!$A:$AU,MATCH($Z$1,'Data qoq'!$A$1:$AU$1,),))/100+1)^4)-1=0,#N/A,(((VLOOKUP(B89,'Data qoq'!$A:$AU,MATCH($Z$1,'Data qoq'!$A$1:$AU$1,),))/100+1)^4)-1)</f>
        <v>7.1611415910650678E-3</v>
      </c>
      <c r="AA89" s="32">
        <f>IF((((VLOOKUP(B89,'Data qoq'!$A:$AU,MATCH($AA$1,'Data qoq'!$A$1:$AU$1,),))/100+1)^4)-1=0,#N/A,(((VLOOKUP(B89,'Data qoq'!$A:$AU,MATCH($AA$1,'Data qoq'!$A$1:$AU$1,),))/100+1)^4)-1)</f>
        <v>3.3703510127583103E-2</v>
      </c>
      <c r="AC89" s="26" t="str">
        <f t="shared" si="10"/>
        <v>2019-Q3</v>
      </c>
      <c r="AD89" s="31">
        <f t="shared" si="11"/>
        <v>-1.6149143407448108E-2</v>
      </c>
    </row>
    <row r="90" spans="1:31" s="73" customFormat="1" x14ac:dyDescent="0.2">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4.8870932735999961E-2</v>
      </c>
      <c r="E90" s="32">
        <f>IF((((VLOOKUP(B90,'Data qoq'!$A:$AT,MATCH($E$1,'Data qoq'!$A$1:$AT$1,),))/100+1)^4)-1=0,#N/A,(((VLOOKUP(B90,'Data qoq'!$A:$AT,MATCH($E$1,'Data qoq'!$A$1:$AT$1,),))/100+1)^4)-1)</f>
        <v>1.3114044251785195E-3</v>
      </c>
      <c r="F90" s="32">
        <f>IF((((VLOOKUP(B90,'Data qoq'!$A:$AT,MATCH($F$1,'Data qoq'!$A$1:$AT$1,),))/100+1)^4)-1=0,#N/A,(((VLOOKUP(B90,'Data qoq'!$A:$AT,MATCH($F$1,'Data qoq'!$A$1:$AT$1,),))/100+1)^4)-1)</f>
        <v>-0.11266479848983002</v>
      </c>
      <c r="G90" s="32">
        <f>IF((((VLOOKUP(B90,'Data qoq'!$A:$AT,MATCH($G$1,'Data qoq'!$A$1:$AT$1,),))/100+1)^4)-1=0,#N/A,(((VLOOKUP(B90,'Data qoq'!$A:$AT,MATCH($G$1,'Data qoq'!$A$1:$AT$1,),))/100+1)^4)-1)</f>
        <v>1.048392950485022E-2</v>
      </c>
      <c r="H90" s="32">
        <f>IF((((VLOOKUP(B90,'Data qoq'!$A:$AT,MATCH($H$1,'Data qoq'!$A$1:$AT$1,),))/100+1)^4)-1=0,#N/A,(((VLOOKUP(B90,'Data qoq'!$A:$AT,MATCH($H$1,'Data qoq'!$A$1:$AT$1,),))/100+1)^4)-1)</f>
        <v>-1.0890973652143865E-2</v>
      </c>
      <c r="I90" s="32">
        <f>IF((((VLOOKUP(B90,'Data qoq'!$A:$AT,MATCH($I$1,'Data qoq'!$A$1:$AT$1,),))/100+1)^4)-1=0,#N/A,(((VLOOKUP(B90,'Data qoq'!$A:$AT,MATCH($I$1,'Data qoq'!$A$1:$AT$1,),))/100+1)^4)-1)</f>
        <v>-1.004109809697562E-3</v>
      </c>
      <c r="J90" s="32">
        <f>IF((((VLOOKUP(B90,'Data qoq'!$A:$AT,MATCH($J$1,'Data qoq'!$A$1:$AT$1,),))/100+1)^4)-1=0,#N/A,(((VLOOKUP(B90,'Data qoq'!$A:$AT,MATCH($J$1,'Data qoq'!$A$1:$AT$1,),))/100+1)^4)-1)</f>
        <v>-3.1074333680696675E-2</v>
      </c>
      <c r="K90" s="32">
        <f>IF((((VLOOKUP(B90,'Data qoq'!$A:$AT,MATCH($K$1,'Data qoq'!$A$1:$AT$1,),))/100+1)^4)-1=0,#N/A,(((VLOOKUP(B90,'Data qoq'!$A:$AT,MATCH($K$1,'Data qoq'!$A$1:$AT$1,),))/100+1)^4)-1)</f>
        <v>8.71511596967256E-3</v>
      </c>
      <c r="L90" s="32">
        <f>IF((((VLOOKUP(B90,'Data qoq'!$A:$AT,MATCH($L$1,'Data qoq'!$A$1:$AT$1,),))/100+1)^4)-1=0,#N/A,(((VLOOKUP(B90,'Data qoq'!$A:$AT,MATCH($L$1,'Data qoq'!$A$1:$AT$1,),))/100+1)^4)-1)</f>
        <v>1.0477871275651696E-2</v>
      </c>
      <c r="M90" s="32">
        <f>IF((((VLOOKUP(B90,'Data qoq'!$A:$AT,MATCH($M$1,'Data qoq'!$A$1:$AT$1,),))/100+1)^4)-1=0,#N/A,(((VLOOKUP(B90,'Data qoq'!$A:$AT,MATCH($M$1,'Data qoq'!$A$1:$AT$1,),))/100+1)^4)-1)</f>
        <v>-3.0166695876197247E-2</v>
      </c>
      <c r="N90" s="32">
        <f>IF((((VLOOKUP(B90,'Data qoq'!$A:$AT,MATCH($N$1,'Data qoq'!$A$1:$AT$1,),))/100+1)^4)-1=0,#N/A,(((VLOOKUP(B90,'Data qoq'!$A:$AT,MATCH($N$1,'Data qoq'!$A$1:$AT$1,),))/100+1)^4)-1)</f>
        <v>-1.7977032429816631E-2</v>
      </c>
      <c r="O90" s="32">
        <f>IF((((VLOOKUP(B90,'Data qoq'!$A:$AT,MATCH($O$1,'Data qoq'!$A$1:$AT$1,),))/100+1)^4)-1=0,#N/A,(((VLOOKUP(B90,'Data qoq'!$A:$AT,MATCH($O$1,'Data qoq'!$A$1:$AT$1,),))/100+1)^4)-1)</f>
        <v>1.8996646921134452E-2</v>
      </c>
      <c r="P90" s="32">
        <f>IF((((VLOOKUP(B90,'Data qoq'!$A:$AT,MATCH($P$1,'Data qoq'!$A$1:$AT$1,),))/100+1)^4)-1=0,#N/A,(((VLOOKUP(B90,'Data qoq'!$A:$AT,MATCH($P$1,'Data qoq'!$A$1:$AT$1,),))/100+1)^4)-1)</f>
        <v>1.20817054138318E-2</v>
      </c>
      <c r="Q90" s="32">
        <f>IF((((VLOOKUP(B90,'Data qoq'!$A:$AT,MATCH($Q$1,'Data qoq'!$A$1:$AT$1,),))/100+1)^4)-1=0,#N/A,(((VLOOKUP(B90,'Data qoq'!$A:$AT,MATCH($Q$1,'Data qoq'!$A$1:$AT$1,),))/100+1)^4)-1)</f>
        <v>2.0825680586529449E-2</v>
      </c>
      <c r="R90" s="32">
        <f>IF((((VLOOKUP(B90,'Data qoq'!$A:$AT,MATCH($R$1,'Data qoq'!$A$1:$AT$1,),))/100+1)^4)-1=0,#N/A,(((VLOOKUP(B90,'Data qoq'!$A:$AT,MATCH($R$1,'Data qoq'!$A$1:$AT$1,),))/100+1)^4)-1)</f>
        <v>2.2589114335623606E-2</v>
      </c>
      <c r="S90" s="32">
        <f>IF((((VLOOKUP(B90,'Data qoq'!$A:$AT,MATCH($S$1,'Data qoq'!$A$1:$AT$1,),))/100+1)^4)-1=0,#N/A,(((VLOOKUP(B90,'Data qoq'!$A:$AT,MATCH($S$1,'Data qoq'!$A$1:$AT$1,),))/100+1)^4)-1)</f>
        <v>5.1822313523748997E-2</v>
      </c>
      <c r="T90" s="32">
        <f>IF((((VLOOKUP(B90,'Data qoq'!$A:$AT,MATCH($T$1,'Data qoq'!$A$1:$AT$1,),))/100+1)^4)-1=0,#N/A,(((VLOOKUP(B90,'Data qoq'!$A:$AT,MATCH($T$1,'Data qoq'!$A$1:$AT$1,),))/100+1)^4)-1)</f>
        <v>1.4115423026479057E-2</v>
      </c>
      <c r="U90" s="32">
        <f>IF((((VLOOKUP(B90,'Data qoq'!$A:$AT,MATCH($U$1,'Data qoq'!$A$1:$AT$1,),))/100+1)^4)-1=0,#N/A,(((VLOOKUP(B90,'Data qoq'!$A:$AT,MATCH($U$1,'Data qoq'!$A$1:$AT$1,),))/100+1)^4)-1)</f>
        <v>-1.068720729419359E-2</v>
      </c>
      <c r="V90" s="32">
        <f>IF((((VLOOKUP(B90,'Data qoq'!$A:$AT,MATCH($V$1,'Data qoq'!$A$1:$AT$1,),))/100+1)^4)-1=0,#N/A,(((VLOOKUP(B90,'Data qoq'!$A:$AT,MATCH($V$1,'Data qoq'!$A$1:$AT$1,),))/100+1)^4)-1)</f>
        <v>3.9518846226110682E-2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1.9802172061092804E-2</v>
      </c>
      <c r="Z90" s="32">
        <f>IF((((VLOOKUP(B90,'Data qoq'!$A:$AU,MATCH($Z$1,'Data qoq'!$A$1:$AU$1,),))/100+1)^4)-1=0,#N/A,(((VLOOKUP(B90,'Data qoq'!$A:$AU,MATCH($Z$1,'Data qoq'!$A$1:$AU$1,),))/100+1)^4)-1)</f>
        <v>-6.5784856532000946E-2</v>
      </c>
      <c r="AA90" s="32">
        <f>IF((((VLOOKUP(B90,'Data qoq'!$A:$AU,MATCH($AA$1,'Data qoq'!$A$1:$AU$1,),))/100+1)^4)-1=0,#N/A,(((VLOOKUP(B90,'Data qoq'!$A:$AU,MATCH($AA$1,'Data qoq'!$A$1:$AU$1,),))/100+1)^4)-1)</f>
        <v>1.3120666390043834E-2</v>
      </c>
      <c r="AC90" s="26" t="str">
        <f t="shared" si="10"/>
        <v>2019-Q4</v>
      </c>
      <c r="AD90" s="31">
        <f t="shared" si="11"/>
        <v>2.3155142348760815E-3</v>
      </c>
    </row>
    <row r="91" spans="1:31" s="73" customFormat="1" x14ac:dyDescent="0.2">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-0.35260435711899996</v>
      </c>
      <c r="E91" s="32">
        <f>IF((((VLOOKUP(B91,'Data qoq'!$A:$AT,MATCH($E$1,'Data qoq'!$A$1:$AT$1,),))/100+1)^4)-1=0,#N/A,(((VLOOKUP(B91,'Data qoq'!$A:$AT,MATCH($E$1,'Data qoq'!$A$1:$AT$1,),))/100+1)^4)-1)</f>
        <v>-0.12912421610994806</v>
      </c>
      <c r="F91" s="32">
        <f>IF((((VLOOKUP(B91,'Data qoq'!$A:$AT,MATCH($F$1,'Data qoq'!$A$1:$AT$1,),))/100+1)^4)-1=0,#N/A,(((VLOOKUP(B91,'Data qoq'!$A:$AT,MATCH($F$1,'Data qoq'!$A$1:$AT$1,),))/100+1)^4)-1)</f>
        <v>2.2692251711329048E-2</v>
      </c>
      <c r="G91" s="32">
        <f>IF((((VLOOKUP(B91,'Data qoq'!$A:$AT,MATCH($G$1,'Data qoq'!$A$1:$AT$1,),))/100+1)^4)-1=0,#N/A,(((VLOOKUP(B91,'Data qoq'!$A:$AT,MATCH($G$1,'Data qoq'!$A$1:$AT$1,),))/100+1)^4)-1)</f>
        <v>-5.5707541914974734E-2</v>
      </c>
      <c r="H91" s="32">
        <f>IF((((VLOOKUP(B91,'Data qoq'!$A:$AT,MATCH($H$1,'Data qoq'!$A$1:$AT$1,),))/100+1)^4)-1=0,#N/A,(((VLOOKUP(B91,'Data qoq'!$A:$AT,MATCH($H$1,'Data qoq'!$A$1:$AT$1,),))/100+1)^4)-1)</f>
        <v>-0.20550371731169914</v>
      </c>
      <c r="I91" s="32">
        <f>IF((((VLOOKUP(B91,'Data qoq'!$A:$AT,MATCH($I$1,'Data qoq'!$A$1:$AT$1,),))/100+1)^4)-1=0,#N/A,(((VLOOKUP(B91,'Data qoq'!$A:$AT,MATCH($I$1,'Data qoq'!$A$1:$AT$1,),))/100+1)^4)-1)</f>
        <v>-0.10152193490684158</v>
      </c>
      <c r="J91" s="32">
        <f>IF((((VLOOKUP(B91,'Data qoq'!$A:$AT,MATCH($J$1,'Data qoq'!$A$1:$AT$1,),))/100+1)^4)-1=0,#N/A,(((VLOOKUP(B91,'Data qoq'!$A:$AT,MATCH($J$1,'Data qoq'!$A$1:$AT$1,),))/100+1)^4)-1)</f>
        <v>-0.21526489286599559</v>
      </c>
      <c r="K91" s="32">
        <f>IF((((VLOOKUP(B91,'Data qoq'!$A:$AT,MATCH($K$1,'Data qoq'!$A$1:$AT$1,),))/100+1)^4)-1=0,#N/A,(((VLOOKUP(B91,'Data qoq'!$A:$AT,MATCH($K$1,'Data qoq'!$A$1:$AT$1,),))/100+1)^4)-1)</f>
        <v>-0.20207604345592722</v>
      </c>
      <c r="L91" s="32">
        <f>IF((((VLOOKUP(B91,'Data qoq'!$A:$AT,MATCH($L$1,'Data qoq'!$A$1:$AT$1,),))/100+1)^4)-1=0,#N/A,(((VLOOKUP(B91,'Data qoq'!$A:$AT,MATCH($L$1,'Data qoq'!$A$1:$AT$1,),))/100+1)^4)-1)</f>
        <v>-1.1638037801932066E-3</v>
      </c>
      <c r="M91" s="32">
        <f>IF((((VLOOKUP(B91,'Data qoq'!$A:$AT,MATCH($M$1,'Data qoq'!$A$1:$AT$1,),))/100+1)^4)-1=0,#N/A,(((VLOOKUP(B91,'Data qoq'!$A:$AT,MATCH($M$1,'Data qoq'!$A$1:$AT$1,),))/100+1)^4)-1)</f>
        <v>-3.6670534957841561E-2</v>
      </c>
      <c r="N91" s="32">
        <f>IF((((VLOOKUP(B91,'Data qoq'!$A:$AT,MATCH($N$1,'Data qoq'!$A$1:$AT$1,),))/100+1)^4)-1=0,#N/A,(((VLOOKUP(B91,'Data qoq'!$A:$AT,MATCH($N$1,'Data qoq'!$A$1:$AT$1,),))/100+1)^4)-1)</f>
        <v>-7.8298372654671544E-3</v>
      </c>
      <c r="O91" s="32">
        <f>IF((((VLOOKUP(B91,'Data qoq'!$A:$AT,MATCH($O$1,'Data qoq'!$A$1:$AT$1,),))/100+1)^4)-1=0,#N/A,(((VLOOKUP(B91,'Data qoq'!$A:$AT,MATCH($O$1,'Data qoq'!$A$1:$AT$1,),))/100+1)^4)-1)</f>
        <v>1.2898233976701423E-3</v>
      </c>
      <c r="P91" s="32">
        <f>IF((((VLOOKUP(B91,'Data qoq'!$A:$AT,MATCH($P$1,'Data qoq'!$A$1:$AT$1,),))/100+1)^4)-1=0,#N/A,(((VLOOKUP(B91,'Data qoq'!$A:$AT,MATCH($P$1,'Data qoq'!$A$1:$AT$1,),))/100+1)^4)-1)</f>
        <v>-8.3539674992135771E-2</v>
      </c>
      <c r="Q91" s="32">
        <f>IF((((VLOOKUP(B91,'Data qoq'!$A:$AT,MATCH($Q$1,'Data qoq'!$A$1:$AT$1,),))/100+1)^4)-1=0,#N/A,(((VLOOKUP(B91,'Data qoq'!$A:$AT,MATCH($Q$1,'Data qoq'!$A$1:$AT$1,),))/100+1)^4)-1)</f>
        <v>-8.9862870039075782E-3</v>
      </c>
      <c r="R91" s="32">
        <f>IF((((VLOOKUP(B91,'Data qoq'!$A:$AT,MATCH($R$1,'Data qoq'!$A$1:$AT$1,),))/100+1)^4)-1=0,#N/A,(((VLOOKUP(B91,'Data qoq'!$A:$AT,MATCH($R$1,'Data qoq'!$A$1:$AT$1,),))/100+1)^4)-1)</f>
        <v>-5.8877819824714406E-2</v>
      </c>
      <c r="S91" s="32">
        <f>IF((((VLOOKUP(B91,'Data qoq'!$A:$AT,MATCH($S$1,'Data qoq'!$A$1:$AT$1,),))/100+1)^4)-1=0,#N/A,(((VLOOKUP(B91,'Data qoq'!$A:$AT,MATCH($S$1,'Data qoq'!$A$1:$AT$1,),))/100+1)^4)-1)</f>
        <v>-5.2434493703272023E-2</v>
      </c>
      <c r="T91" s="32">
        <f>IF((((VLOOKUP(B91,'Data qoq'!$A:$AT,MATCH($T$1,'Data qoq'!$A$1:$AT$1,),))/100+1)^4)-1=0,#N/A,(((VLOOKUP(B91,'Data qoq'!$A:$AT,MATCH($T$1,'Data qoq'!$A$1:$AT$1,),))/100+1)^4)-1)</f>
        <v>-9.1142794902757118E-2</v>
      </c>
      <c r="U91" s="32">
        <f>IF((((VLOOKUP(B91,'Data qoq'!$A:$AT,MATCH($U$1,'Data qoq'!$A$1:$AT$1,),))/100+1)^4)-1=0,#N/A,(((VLOOKUP(B91,'Data qoq'!$A:$AT,MATCH($U$1,'Data qoq'!$A$1:$AT$1,),))/100+1)^4)-1)</f>
        <v>-8.2855901476946436E-2</v>
      </c>
      <c r="V91" s="32">
        <f>IF((((VLOOKUP(B91,'Data qoq'!$A:$AT,MATCH($V$1,'Data qoq'!$A$1:$AT$1,),))/100+1)^4)-1=0,#N/A,(((VLOOKUP(B91,'Data qoq'!$A:$AT,MATCH($V$1,'Data qoq'!$A$1:$AT$1,),))/100+1)^4)-1)</f>
        <v>0.11034855415620881</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1.5690779532323562E-2</v>
      </c>
      <c r="Z91" s="32">
        <f>IF((((VLOOKUP(B91,'Data qoq'!$A:$AU,MATCH($Z$1,'Data qoq'!$A$1:$AU$1,),))/100+1)^4)-1=0,#N/A,(((VLOOKUP(B91,'Data qoq'!$A:$AU,MATCH($Z$1,'Data qoq'!$A$1:$AU$1,),))/100+1)^4)-1)</f>
        <v>-0.15845457466776303</v>
      </c>
      <c r="AA91" s="32">
        <f>IF((((VLOOKUP(B91,'Data qoq'!$A:$AU,MATCH($AA$1,'Data qoq'!$A$1:$AU$1,),))/100+1)^4)-1=0,#N/A,(((VLOOKUP(B91,'Data qoq'!$A:$AU,MATCH($AA$1,'Data qoq'!$A$1:$AU$1,),))/100+1)^4)-1)</f>
        <v>-4.5073811076402737E-2</v>
      </c>
      <c r="AC91" s="26" t="str">
        <f t="shared" si="10"/>
        <v>2020-Q1</v>
      </c>
      <c r="AD91" s="31">
        <f t="shared" si="11"/>
        <v>-2.7602281203106482E-2</v>
      </c>
    </row>
    <row r="92" spans="1:31" s="73" customFormat="1" x14ac:dyDescent="0.2">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0.55672784072100012</v>
      </c>
      <c r="E92" s="32">
        <f>IF((((VLOOKUP(B92,'Data qoq'!$A:$AT,MATCH($E$1,'Data qoq'!$A$1:$AT$1,),))/100+1)^4)-1=0,#N/A,(((VLOOKUP(B92,'Data qoq'!$A:$AT,MATCH($E$1,'Data qoq'!$A$1:$AT$1,),))/100+1)^4)-1)</f>
        <v>-0.38789518247241805</v>
      </c>
      <c r="F92" s="32">
        <f>IF((((VLOOKUP(B92,'Data qoq'!$A:$AT,MATCH($F$1,'Data qoq'!$A$1:$AT$1,),))/100+1)^4)-1=0,#N/A,(((VLOOKUP(B92,'Data qoq'!$A:$AT,MATCH($F$1,'Data qoq'!$A$1:$AT$1,),))/100+1)^4)-1)</f>
        <v>-0.28543930478392576</v>
      </c>
      <c r="G92" s="32">
        <f>IF((((VLOOKUP(B92,'Data qoq'!$A:$AT,MATCH($G$1,'Data qoq'!$A$1:$AT$1,),))/100+1)^4)-1=0,#N/A,(((VLOOKUP(B92,'Data qoq'!$A:$AT,MATCH($G$1,'Data qoq'!$A$1:$AT$1,),))/100+1)^4)-1)</f>
        <v>-0.32863850749718848</v>
      </c>
      <c r="H92" s="32">
        <f>IF((((VLOOKUP(B92,'Data qoq'!$A:$AT,MATCH($H$1,'Data qoq'!$A$1:$AT$1,),))/100+1)^4)-1=0,#N/A,(((VLOOKUP(B92,'Data qoq'!$A:$AT,MATCH($H$1,'Data qoq'!$A$1:$AT$1,),))/100+1)^4)-1)</f>
        <v>-0.441304253590455</v>
      </c>
      <c r="I92" s="32">
        <f>IF((((VLOOKUP(B92,'Data qoq'!$A:$AT,MATCH($I$1,'Data qoq'!$A$1:$AT$1,),))/100+1)^4)-1=0,#N/A,(((VLOOKUP(B92,'Data qoq'!$A:$AT,MATCH($I$1,'Data qoq'!$A$1:$AT$1,),))/100+1)^4)-1)</f>
        <v>-0.6103290164577766</v>
      </c>
      <c r="J92" s="32">
        <f>IF((((VLOOKUP(B92,'Data qoq'!$A:$AT,MATCH($J$1,'Data qoq'!$A$1:$AT$1,),))/100+1)^4)-1=0,#N/A,(((VLOOKUP(B92,'Data qoq'!$A:$AT,MATCH($J$1,'Data qoq'!$A$1:$AT$1,),))/100+1)^4)-1)</f>
        <v>-0.40306202050699846</v>
      </c>
      <c r="K92" s="32">
        <f>IF((((VLOOKUP(B92,'Data qoq'!$A:$AT,MATCH($K$1,'Data qoq'!$A$1:$AT$1,),))/100+1)^4)-1=0,#N/A,(((VLOOKUP(B92,'Data qoq'!$A:$AT,MATCH($K$1,'Data qoq'!$A$1:$AT$1,),))/100+1)^4)-1)</f>
        <v>-0.54403416703982366</v>
      </c>
      <c r="L92" s="32">
        <f>IF((((VLOOKUP(B92,'Data qoq'!$A:$AT,MATCH($L$1,'Data qoq'!$A$1:$AT$1,),))/100+1)^4)-1=0,#N/A,(((VLOOKUP(B92,'Data qoq'!$A:$AT,MATCH($L$1,'Data qoq'!$A$1:$AT$1,),))/100+1)^4)-1)</f>
        <v>-0.28543768818830439</v>
      </c>
      <c r="M92" s="32">
        <f>IF((((VLOOKUP(B92,'Data qoq'!$A:$AT,MATCH($M$1,'Data qoq'!$A$1:$AT$1,),))/100+1)^4)-1=0,#N/A,(((VLOOKUP(B92,'Data qoq'!$A:$AT,MATCH($M$1,'Data qoq'!$A$1:$AT$1,),))/100+1)^4)-1)</f>
        <v>-0.546977813941669</v>
      </c>
      <c r="N92" s="32">
        <f>IF((((VLOOKUP(B92,'Data qoq'!$A:$AT,MATCH($N$1,'Data qoq'!$A$1:$AT$1,),))/100+1)^4)-1=0,#N/A,(((VLOOKUP(B92,'Data qoq'!$A:$AT,MATCH($N$1,'Data qoq'!$A$1:$AT$1,),))/100+1)^4)-1)</f>
        <v>-0.16768775820460491</v>
      </c>
      <c r="O92" s="32">
        <f>IF((((VLOOKUP(B92,'Data qoq'!$A:$AT,MATCH($O$1,'Data qoq'!$A$1:$AT$1,),))/100+1)^4)-1=0,#N/A,(((VLOOKUP(B92,'Data qoq'!$A:$AT,MATCH($O$1,'Data qoq'!$A$1:$AT$1,),))/100+1)^4)-1)</f>
        <v>-0.66433248978615433</v>
      </c>
      <c r="P92" s="32">
        <f>IF((((VLOOKUP(B92,'Data qoq'!$A:$AT,MATCH($P$1,'Data qoq'!$A$1:$AT$1,),))/100+1)^4)-1=0,#N/A,(((VLOOKUP(B92,'Data qoq'!$A:$AT,MATCH($P$1,'Data qoq'!$A$1:$AT$1,),))/100+1)^4)-1)</f>
        <v>-0.37377622789316389</v>
      </c>
      <c r="Q92" s="32">
        <f>IF((((VLOOKUP(B92,'Data qoq'!$A:$AT,MATCH($Q$1,'Data qoq'!$A$1:$AT$1,),))/100+1)^4)-1=0,#N/A,(((VLOOKUP(B92,'Data qoq'!$A:$AT,MATCH($Q$1,'Data qoq'!$A$1:$AT$1,),))/100+1)^4)-1)</f>
        <v>-0.25259184971088966</v>
      </c>
      <c r="R92" s="32">
        <f>IF((((VLOOKUP(B92,'Data qoq'!$A:$AT,MATCH($R$1,'Data qoq'!$A$1:$AT$1,),))/100+1)^4)-1=0,#N/A,(((VLOOKUP(B92,'Data qoq'!$A:$AT,MATCH($R$1,'Data qoq'!$A$1:$AT$1,),))/100+1)^4)-1)</f>
        <v>-0.25346576516104447</v>
      </c>
      <c r="S92" s="32">
        <f>IF((((VLOOKUP(B92,'Data qoq'!$A:$AT,MATCH($S$1,'Data qoq'!$A$1:$AT$1,),))/100+1)^4)-1=0,#N/A,(((VLOOKUP(B92,'Data qoq'!$A:$AT,MATCH($S$1,'Data qoq'!$A$1:$AT$1,),))/100+1)^4)-1)</f>
        <v>-0.1156901220447043</v>
      </c>
      <c r="T92" s="32">
        <f>IF((((VLOOKUP(B92,'Data qoq'!$A:$AT,MATCH($T$1,'Data qoq'!$A$1:$AT$1,),))/100+1)^4)-1=0,#N/A,(((VLOOKUP(B92,'Data qoq'!$A:$AT,MATCH($T$1,'Data qoq'!$A$1:$AT$1,),))/100+1)^4)-1)</f>
        <v>-0.3131834404524716</v>
      </c>
      <c r="U92" s="32">
        <f>IF((((VLOOKUP(B92,'Data qoq'!$A:$AT,MATCH($U$1,'Data qoq'!$A$1:$AT$1,),))/100+1)^4)-1=0,#N/A,(((VLOOKUP(B92,'Data qoq'!$A:$AT,MATCH($U$1,'Data qoq'!$A$1:$AT$1,),))/100+1)^4)-1)</f>
        <v>-0.4354272254739735</v>
      </c>
      <c r="V92" s="32">
        <f>IF((((VLOOKUP(B92,'Data qoq'!$A:$AT,MATCH($V$1,'Data qoq'!$A$1:$AT$1,),))/100+1)^4)-1=0,#N/A,(((VLOOKUP(B92,'Data qoq'!$A:$AT,MATCH($V$1,'Data qoq'!$A$1:$AT$1,),))/100+1)^4)-1)</f>
        <v>-0.20351011767269622</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-0.31710110593611163</v>
      </c>
      <c r="Z92" s="32">
        <f>IF((((VLOOKUP(B92,'Data qoq'!$A:$AU,MATCH($Z$1,'Data qoq'!$A$1:$AU$1,),))/100+1)^4)-1=0,#N/A,(((VLOOKUP(B92,'Data qoq'!$A:$AU,MATCH($Z$1,'Data qoq'!$A$1:$AU$1,),))/100+1)^4)-1)</f>
        <v>-0.47434739859092889</v>
      </c>
      <c r="AA92" s="32">
        <f>IF((((VLOOKUP(B92,'Data qoq'!$A:$AU,MATCH($AA$1,'Data qoq'!$A$1:$AU$1,),))/100+1)^4)-1=0,#N/A,(((VLOOKUP(B92,'Data qoq'!$A:$AU,MATCH($AA$1,'Data qoq'!$A$1:$AU$1,),))/100+1)^4)-1)</f>
        <v>-0.35530991840267001</v>
      </c>
      <c r="AC92" s="26" t="str">
        <f t="shared" si="10"/>
        <v>2020-Q2</v>
      </c>
      <c r="AD92" s="31">
        <f t="shared" si="11"/>
        <v>0.22243383398535854</v>
      </c>
    </row>
    <row r="93" spans="1:31" s="73" customFormat="1" x14ac:dyDescent="0.2">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0.1386789339209995</v>
      </c>
      <c r="E93" s="32">
        <f>IF((((VLOOKUP(B93,'Data qoq'!$A:$AT,MATCH($E$1,'Data qoq'!$A$1:$AT$1,),))/100+1)^4)-1=0,#N/A,(((VLOOKUP(B93,'Data qoq'!$A:$AT,MATCH($E$1,'Data qoq'!$A$1:$AT$1,),))/100+1)^4)-1)</f>
        <v>0.61030392641996389</v>
      </c>
      <c r="F93" s="32">
        <f>IF((((VLOOKUP(B93,'Data qoq'!$A:$AT,MATCH($F$1,'Data qoq'!$A$1:$AT$1,),))/100+1)^4)-1=0,#N/A,(((VLOOKUP(B93,'Data qoq'!$A:$AT,MATCH($F$1,'Data qoq'!$A$1:$AT$1,),))/100+1)^4)-1)</f>
        <v>0.23957254738861855</v>
      </c>
      <c r="G93" s="32">
        <f>IF((((VLOOKUP(B93,'Data qoq'!$A:$AT,MATCH($G$1,'Data qoq'!$A$1:$AT$1,),))/100+1)^4)-1=0,#N/A,(((VLOOKUP(B93,'Data qoq'!$A:$AT,MATCH($G$1,'Data qoq'!$A$1:$AT$1,),))/100+1)^4)-1)</f>
        <v>0.41182482744572702</v>
      </c>
      <c r="H93" s="32">
        <f>IF((((VLOOKUP(B93,'Data qoq'!$A:$AT,MATCH($H$1,'Data qoq'!$A$1:$AT$1,),))/100+1)^4)-1=0,#N/A,(((VLOOKUP(B93,'Data qoq'!$A:$AT,MATCH($H$1,'Data qoq'!$A$1:$AT$1,),))/100+1)^4)-1)</f>
        <v>0.96790748920524838</v>
      </c>
      <c r="I93" s="32">
        <f>IF((((VLOOKUP(B93,'Data qoq'!$A:$AT,MATCH($I$1,'Data qoq'!$A$1:$AT$1,),))/100+1)^4)-1=0,#N/A,(((VLOOKUP(B93,'Data qoq'!$A:$AT,MATCH($I$1,'Data qoq'!$A$1:$AT$1,),))/100+1)^4)-1)</f>
        <v>0.84893880733589455</v>
      </c>
      <c r="J93" s="32">
        <f>IF((((VLOOKUP(B93,'Data qoq'!$A:$AT,MATCH($J$1,'Data qoq'!$A$1:$AT$1,),))/100+1)^4)-1=0,#N/A,(((VLOOKUP(B93,'Data qoq'!$A:$AT,MATCH($J$1,'Data qoq'!$A$1:$AT$1,),))/100+1)^4)-1)</f>
        <v>0.71736351812908228</v>
      </c>
      <c r="K93" s="32">
        <f>IF((((VLOOKUP(B93,'Data qoq'!$A:$AT,MATCH($K$1,'Data qoq'!$A$1:$AT$1,),))/100+1)^4)-1=0,#N/A,(((VLOOKUP(B93,'Data qoq'!$A:$AT,MATCH($K$1,'Data qoq'!$A$1:$AT$1,),))/100+1)^4)-1)</f>
        <v>0.85079905092405883</v>
      </c>
      <c r="L93" s="32">
        <f>IF((((VLOOKUP(B93,'Data qoq'!$A:$AT,MATCH($L$1,'Data qoq'!$A$1:$AT$1,),))/100+1)^4)-1=0,#N/A,(((VLOOKUP(B93,'Data qoq'!$A:$AT,MATCH($L$1,'Data qoq'!$A$1:$AT$1,),))/100+1)^4)-1)</f>
        <v>0.32681170889750422</v>
      </c>
      <c r="M93" s="32">
        <f>IF((((VLOOKUP(B93,'Data qoq'!$A:$AT,MATCH($M$1,'Data qoq'!$A$1:$AT$1,),))/100+1)^4)-1=0,#N/A,(((VLOOKUP(B93,'Data qoq'!$A:$AT,MATCH($M$1,'Data qoq'!$A$1:$AT$1,),))/100+1)^4)-1)</f>
        <v>0.66852377131808005</v>
      </c>
      <c r="N93" s="32">
        <f>IF((((VLOOKUP(B93,'Data qoq'!$A:$AT,MATCH($N$1,'Data qoq'!$A$1:$AT$1,),))/100+1)^4)-1=0,#N/A,(((VLOOKUP(B93,'Data qoq'!$A:$AT,MATCH($N$1,'Data qoq'!$A$1:$AT$1,),))/100+1)^4)-1)</f>
        <v>0.11584013379575286</v>
      </c>
      <c r="O93" s="32">
        <f>IF((((VLOOKUP(B93,'Data qoq'!$A:$AT,MATCH($O$1,'Data qoq'!$A$1:$AT$1,),))/100+1)^4)-1=0,#N/A,(((VLOOKUP(B93,'Data qoq'!$A:$AT,MATCH($O$1,'Data qoq'!$A$1:$AT$1,),))/100+1)^4)-1)</f>
        <v>1.2768555188576562</v>
      </c>
      <c r="P93" s="32">
        <f>IF((((VLOOKUP(B93,'Data qoq'!$A:$AT,MATCH($P$1,'Data qoq'!$A$1:$AT$1,),))/100+1)^4)-1=0,#N/A,(((VLOOKUP(B93,'Data qoq'!$A:$AT,MATCH($P$1,'Data qoq'!$A$1:$AT$1,),))/100+1)^4)-1)</f>
        <v>0.41075081874519803</v>
      </c>
      <c r="Q93" s="32">
        <f>IF((((VLOOKUP(B93,'Data qoq'!$A:$AT,MATCH($Q$1,'Data qoq'!$A$1:$AT$1,),))/100+1)^4)-1=0,#N/A,(((VLOOKUP(B93,'Data qoq'!$A:$AT,MATCH($Q$1,'Data qoq'!$A$1:$AT$1,),))/100+1)^4)-1)</f>
        <v>0.14725475752343375</v>
      </c>
      <c r="R93" s="32">
        <f>IF((((VLOOKUP(B93,'Data qoq'!$A:$AT,MATCH($R$1,'Data qoq'!$A$1:$AT$1,),))/100+1)^4)-1=0,#N/A,(((VLOOKUP(B93,'Data qoq'!$A:$AT,MATCH($R$1,'Data qoq'!$A$1:$AT$1,),))/100+1)^4)-1)</f>
        <v>0.32634557750381865</v>
      </c>
      <c r="S93" s="32">
        <f>IF((((VLOOKUP(B93,'Data qoq'!$A:$AT,MATCH($S$1,'Data qoq'!$A$1:$AT$1,),))/100+1)^4)-1=0,#N/A,(((VLOOKUP(B93,'Data qoq'!$A:$AT,MATCH($S$1,'Data qoq'!$A$1:$AT$1,),))/100+1)^4)-1)</f>
        <v>9.72707483974391E-2</v>
      </c>
      <c r="T93" s="32">
        <f>IF((((VLOOKUP(B93,'Data qoq'!$A:$AT,MATCH($T$1,'Data qoq'!$A$1:$AT$1,),))/100+1)^4)-1=0,#N/A,(((VLOOKUP(B93,'Data qoq'!$A:$AT,MATCH($T$1,'Data qoq'!$A$1:$AT$1,),))/100+1)^4)-1)</f>
        <v>0.36003236451901222</v>
      </c>
      <c r="U93" s="32">
        <f>IF((((VLOOKUP(B93,'Data qoq'!$A:$AT,MATCH($U$1,'Data qoq'!$A$1:$AT$1,),))/100+1)^4)-1=0,#N/A,(((VLOOKUP(B93,'Data qoq'!$A:$AT,MATCH($U$1,'Data qoq'!$A$1:$AT$1,),))/100+1)^4)-1)</f>
        <v>0.235893241440428</v>
      </c>
      <c r="V93" s="32">
        <f>IF((((VLOOKUP(B93,'Data qoq'!$A:$AT,MATCH($V$1,'Data qoq'!$A$1:$AT$1,),))/100+1)^4)-1=0,#N/A,(((VLOOKUP(B93,'Data qoq'!$A:$AT,MATCH($V$1,'Data qoq'!$A$1:$AT$1,),))/100+1)^4)-1)</f>
        <v>0.6460946514505983</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0.32736427372253352</v>
      </c>
      <c r="Z93" s="32">
        <f>IF((((VLOOKUP(B93,'Data qoq'!$A:$AU,MATCH($Z$1,'Data qoq'!$A$1:$AU$1,),))/100+1)^4)-1=0,#N/A,(((VLOOKUP(B93,'Data qoq'!$A:$AU,MATCH($Z$1,'Data qoq'!$A$1:$AU$1,),))/100+1)^4)-1)</f>
        <v>0.56856782844923104</v>
      </c>
      <c r="AA93" s="32">
        <f>IF((((VLOOKUP(B93,'Data qoq'!$A:$AU,MATCH($AA$1,'Data qoq'!$A$1:$AU$1,),))/100+1)^4)-1=0,#N/A,(((VLOOKUP(B93,'Data qoq'!$A:$AU,MATCH($AA$1,'Data qoq'!$A$1:$AU$1,),))/100+1)^4)-1)</f>
        <v>0.66978875799186843</v>
      </c>
      <c r="AC93" s="26" t="str">
        <f t="shared" si="10"/>
        <v>2020-Q3</v>
      </c>
      <c r="AD93" s="31">
        <f t="shared" si="11"/>
        <v>-0.23863488091593066</v>
      </c>
    </row>
    <row r="94" spans="1:31" s="73" customFormat="1" x14ac:dyDescent="0.2">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-1.3707925961545797E-2</v>
      </c>
      <c r="F94" s="32">
        <f>IF((((VLOOKUP(B94,'Data qoq'!$A:$AT,MATCH($F$1,'Data qoq'!$A$1:$AT$1,),))/100+1)^4)-1=0,#N/A,(((VLOOKUP(B94,'Data qoq'!$A:$AT,MATCH($F$1,'Data qoq'!$A$1:$AT$1,),))/100+1)^4)-1)</f>
        <v>6.6690920318435154E-2</v>
      </c>
      <c r="G94" s="32">
        <f>IF((((VLOOKUP(B94,'Data qoq'!$A:$AT,MATCH($G$1,'Data qoq'!$A$1:$AT$1,),))/100+1)^4)-1=0,#N/A,(((VLOOKUP(B94,'Data qoq'!$A:$AT,MATCH($G$1,'Data qoq'!$A$1:$AT$1,),))/100+1)^4)-1)</f>
        <v>2.5091559455024726E-2</v>
      </c>
      <c r="H94" s="32">
        <f>IF((((VLOOKUP(B94,'Data qoq'!$A:$AT,MATCH($H$1,'Data qoq'!$A$1:$AT$1,),))/100+1)^4)-1=0,#N/A,(((VLOOKUP(B94,'Data qoq'!$A:$AT,MATCH($H$1,'Data qoq'!$A$1:$AT$1,),))/100+1)^4)-1)</f>
        <v>-3.5385842569263359E-2</v>
      </c>
      <c r="I94" s="32">
        <f>IF((((VLOOKUP(B94,'Data qoq'!$A:$AT,MATCH($I$1,'Data qoq'!$A$1:$AT$1,),))/100+1)^4)-1=0,#N/A,(((VLOOKUP(B94,'Data qoq'!$A:$AT,MATCH($I$1,'Data qoq'!$A$1:$AT$1,),))/100+1)^4)-1)</f>
        <v>4.9446519905464337E-2</v>
      </c>
      <c r="J94" s="32">
        <f>IF((((VLOOKUP(B94,'Data qoq'!$A:$AT,MATCH($J$1,'Data qoq'!$A$1:$AT$1,),))/100+1)^4)-1=0,#N/A,(((VLOOKUP(B94,'Data qoq'!$A:$AT,MATCH($J$1,'Data qoq'!$A$1:$AT$1,),))/100+1)^4)-1)</f>
        <v>-3.2585345307191593E-2</v>
      </c>
      <c r="K94" s="32">
        <f>IF((((VLOOKUP(B94,'Data qoq'!$A:$AT,MATCH($K$1,'Data qoq'!$A$1:$AT$1,),))/100+1)^4)-1=0,#N/A,(((VLOOKUP(B94,'Data qoq'!$A:$AT,MATCH($K$1,'Data qoq'!$A$1:$AT$1,),))/100+1)^4)-1)</f>
        <v>-2.3569174638228274E-3</v>
      </c>
      <c r="L94" s="32">
        <f>IF((((VLOOKUP(B94,'Data qoq'!$A:$AT,MATCH($L$1,'Data qoq'!$A$1:$AT$1,),))/100+1)^4)-1=0,#N/A,(((VLOOKUP(B94,'Data qoq'!$A:$AT,MATCH($L$1,'Data qoq'!$A$1:$AT$1,),))/100+1)^4)-1)</f>
        <v>-7.9793762337181384E-3</v>
      </c>
      <c r="M94" s="32">
        <f>IF((((VLOOKUP(B94,'Data qoq'!$A:$AT,MATCH($M$1,'Data qoq'!$A$1:$AT$1,),))/100+1)^4)-1=0,#N/A,(((VLOOKUP(B94,'Data qoq'!$A:$AT,MATCH($M$1,'Data qoq'!$A$1:$AT$1,),))/100+1)^4)-1)</f>
        <v>0.15485540846743473</v>
      </c>
      <c r="N94" s="32">
        <f>IF((((VLOOKUP(B94,'Data qoq'!$A:$AT,MATCH($N$1,'Data qoq'!$A$1:$AT$1,),))/100+1)^4)-1=0,#N/A,(((VLOOKUP(B94,'Data qoq'!$A:$AT,MATCH($N$1,'Data qoq'!$A$1:$AT$1,),))/100+1)^4)-1)</f>
        <v>2.9919683186228729E-2</v>
      </c>
      <c r="O94" s="32">
        <f>IF((((VLOOKUP(B94,'Data qoq'!$A:$AT,MATCH($O$1,'Data qoq'!$A$1:$AT$1,),))/100+1)^4)-1=0,#N/A,(((VLOOKUP(B94,'Data qoq'!$A:$AT,MATCH($O$1,'Data qoq'!$A$1:$AT$1,),))/100+1)^4)-1)</f>
        <v>0.36005516706505136</v>
      </c>
      <c r="P94" s="32">
        <f>IF((((VLOOKUP(B94,'Data qoq'!$A:$AT,MATCH($P$1,'Data qoq'!$A$1:$AT$1,),))/100+1)^4)-1=0,#N/A,(((VLOOKUP(B94,'Data qoq'!$A:$AT,MATCH($P$1,'Data qoq'!$A$1:$AT$1,),))/100+1)^4)-1)</f>
        <v>9.0623261417558387E-2</v>
      </c>
      <c r="Q94" s="32">
        <f>IF((((VLOOKUP(B94,'Data qoq'!$A:$AT,MATCH($Q$1,'Data qoq'!$A$1:$AT$1,),))/100+1)^4)-1=0,#N/A,(((VLOOKUP(B94,'Data qoq'!$A:$AT,MATCH($Q$1,'Data qoq'!$A$1:$AT$1,),))/100+1)^4)-1)</f>
        <v>0.14480501631324727</v>
      </c>
      <c r="R94" s="32">
        <f>IF((((VLOOKUP(B94,'Data qoq'!$A:$AT,MATCH($R$1,'Data qoq'!$A$1:$AT$1,),))/100+1)^4)-1=0,#N/A,(((VLOOKUP(B94,'Data qoq'!$A:$AT,MATCH($R$1,'Data qoq'!$A$1:$AT$1,),))/100+1)^4)-1)</f>
        <v>1.0783384039343868E-2</v>
      </c>
      <c r="S94" s="32">
        <f>IF((((VLOOKUP(B94,'Data qoq'!$A:$AT,MATCH($S$1,'Data qoq'!$A$1:$AT$1,),))/100+1)^4)-1=0,#N/A,(((VLOOKUP(B94,'Data qoq'!$A:$AT,MATCH($S$1,'Data qoq'!$A$1:$AT$1,),))/100+1)^4)-1)</f>
        <v>4.944079076650687E-2</v>
      </c>
      <c r="T94" s="32">
        <f>IF((((VLOOKUP(B94,'Data qoq'!$A:$AT,MATCH($T$1,'Data qoq'!$A$1:$AT$1,),))/100+1)^4)-1=0,#N/A,(((VLOOKUP(B94,'Data qoq'!$A:$AT,MATCH($T$1,'Data qoq'!$A$1:$AT$1,),))/100+1)^4)-1)</f>
        <v>0.13316816640722062</v>
      </c>
      <c r="U94" s="32">
        <f>IF((((VLOOKUP(B94,'Data qoq'!$A:$AT,MATCH($U$1,'Data qoq'!$A$1:$AT$1,),))/100+1)^4)-1=0,#N/A,(((VLOOKUP(B94,'Data qoq'!$A:$AT,MATCH($U$1,'Data qoq'!$A$1:$AT$1,),))/100+1)^4)-1)</f>
        <v>0.1759583159188014</v>
      </c>
      <c r="V94" s="32">
        <f>IF((((VLOOKUP(B94,'Data qoq'!$A:$AT,MATCH($V$1,'Data qoq'!$A$1:$AT$1,),))/100+1)^4)-1=0,#N/A,(((VLOOKUP(B94,'Data qoq'!$A:$AT,MATCH($V$1,'Data qoq'!$A$1:$AT$1,),))/100+1)^4)-1)</f>
        <v>-0.18903340149044789</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-9.6081014229654205E-4</v>
      </c>
      <c r="Z94" s="32">
        <f>IF((((VLOOKUP(B94,'Data qoq'!$A:$AU,MATCH($Z$1,'Data qoq'!$A$1:$AU$1,),))/100+1)^4)-1=0,#N/A,(((VLOOKUP(B94,'Data qoq'!$A:$AU,MATCH($Z$1,'Data qoq'!$A$1:$AU$1,),))/100+1)^4)-1)</f>
        <v>0.18122870328145235</v>
      </c>
      <c r="AA94" s="32">
        <f>IF((((VLOOKUP(B94,'Data qoq'!$A:$AU,MATCH($AA$1,'Data qoq'!$A$1:$AU$1,),))/100+1)^4)-1=0,#N/A,(((VLOOKUP(B94,'Data qoq'!$A:$AU,MATCH($AA$1,'Data qoq'!$A$1:$AU$1,),))/100+1)^4)-1)</f>
        <v>-1.666037010794108E-2</v>
      </c>
      <c r="AC94" s="26" t="str">
        <f t="shared" si="10"/>
        <v>2020-Q4</v>
      </c>
      <c r="AD94" s="31">
        <f t="shared" si="11"/>
        <v>-6.3154445867010134E-2</v>
      </c>
    </row>
    <row r="95" spans="1:31" s="73" customFormat="1" x14ac:dyDescent="0.2">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2.4216865295999979E-2</v>
      </c>
      <c r="E95" s="32">
        <f>IF((((VLOOKUP(B95,'Data qoq'!$A:$AT,MATCH($E$1,'Data qoq'!$A$1:$AT$1,),))/100+1)^4)-1=0,#N/A,(((VLOOKUP(B95,'Data qoq'!$A:$AT,MATCH($E$1,'Data qoq'!$A$1:$AT$1,),))/100+1)^4)-1)</f>
        <v>-4.0061275001290753E-3</v>
      </c>
      <c r="F95" s="32">
        <f>IF((((VLOOKUP(B95,'Data qoq'!$A:$AT,MATCH($F$1,'Data qoq'!$A$1:$AT$1,),))/100+1)^4)-1=0,#N/A,(((VLOOKUP(B95,'Data qoq'!$A:$AT,MATCH($F$1,'Data qoq'!$A$1:$AT$1,),))/100+1)^4)-1)</f>
        <v>-1.3176821415137652E-2</v>
      </c>
      <c r="G95" s="32">
        <f>IF((((VLOOKUP(B95,'Data qoq'!$A:$AT,MATCH($G$1,'Data qoq'!$A$1:$AT$1,),))/100+1)^4)-1=0,#N/A,(((VLOOKUP(B95,'Data qoq'!$A:$AT,MATCH($G$1,'Data qoq'!$A$1:$AT$1,),))/100+1)^4)-1)</f>
        <v>-5.7441453209960192E-2</v>
      </c>
      <c r="H95" s="32">
        <f>IF((((VLOOKUP(B95,'Data qoq'!$A:$AT,MATCH($H$1,'Data qoq'!$A$1:$AT$1,),))/100+1)^4)-1=0,#N/A,(((VLOOKUP(B95,'Data qoq'!$A:$AT,MATCH($H$1,'Data qoq'!$A$1:$AT$1,),))/100+1)^4)-1)</f>
        <v>1.8377381646137447E-3</v>
      </c>
      <c r="I95" s="32">
        <f>IF((((VLOOKUP(B95,'Data qoq'!$A:$AT,MATCH($I$1,'Data qoq'!$A$1:$AT$1,),))/100+1)^4)-1=0,#N/A,(((VLOOKUP(B95,'Data qoq'!$A:$AT,MATCH($I$1,'Data qoq'!$A$1:$AT$1,),))/100+1)^4)-1)</f>
        <v>-4.5950454388357875E-2</v>
      </c>
      <c r="J95" s="32">
        <f>IF((((VLOOKUP(B95,'Data qoq'!$A:$AT,MATCH($J$1,'Data qoq'!$A$1:$AT$1,),))/100+1)^4)-1=0,#N/A,(((VLOOKUP(B95,'Data qoq'!$A:$AT,MATCH($J$1,'Data qoq'!$A$1:$AT$1,),))/100+1)^4)-1)</f>
        <v>1.0612492570020615E-2</v>
      </c>
      <c r="K95" s="32">
        <f>IF((((VLOOKUP(B95,'Data qoq'!$A:$AT,MATCH($K$1,'Data qoq'!$A$1:$AT$1,),))/100+1)^4)-1=0,#N/A,(((VLOOKUP(B95,'Data qoq'!$A:$AT,MATCH($K$1,'Data qoq'!$A$1:$AT$1,),))/100+1)^4)-1)</f>
        <v>-9.1152082500788323E-3</v>
      </c>
      <c r="L95" s="32">
        <f>IF((((VLOOKUP(B95,'Data qoq'!$A:$AT,MATCH($L$1,'Data qoq'!$A$1:$AT$1,),))/100+1)^4)-1=0,#N/A,(((VLOOKUP(B95,'Data qoq'!$A:$AT,MATCH($L$1,'Data qoq'!$A$1:$AT$1,),))/100+1)^4)-1)</f>
        <v>6.8707720267812133E-2</v>
      </c>
      <c r="M95" s="32">
        <f>IF((((VLOOKUP(B95,'Data qoq'!$A:$AT,MATCH($M$1,'Data qoq'!$A$1:$AT$1,),))/100+1)^4)-1=0,#N/A,(((VLOOKUP(B95,'Data qoq'!$A:$AT,MATCH($M$1,'Data qoq'!$A$1:$AT$1,),))/100+1)^4)-1)</f>
        <v>1.9574123209683991E-2</v>
      </c>
      <c r="N95" s="32">
        <f>IF((((VLOOKUP(B95,'Data qoq'!$A:$AT,MATCH($N$1,'Data qoq'!$A$1:$AT$1,),))/100+1)^4)-1=0,#N/A,(((VLOOKUP(B95,'Data qoq'!$A:$AT,MATCH($N$1,'Data qoq'!$A$1:$AT$1,),))/100+1)^4)-1)</f>
        <v>2.7510921764817731E-2</v>
      </c>
      <c r="O95" s="32">
        <f>IF((((VLOOKUP(B95,'Data qoq'!$A:$AT,MATCH($O$1,'Data qoq'!$A$1:$AT$1,),))/100+1)^4)-1=0,#N/A,(((VLOOKUP(B95,'Data qoq'!$A:$AT,MATCH($O$1,'Data qoq'!$A$1:$AT$1,),))/100+1)^4)-1)</f>
        <v>1.9320422575359819E-2</v>
      </c>
      <c r="P95" s="32">
        <f>IF((((VLOOKUP(B95,'Data qoq'!$A:$AT,MATCH($P$1,'Data qoq'!$A$1:$AT$1,),))/100+1)^4)-1=0,#N/A,(((VLOOKUP(B95,'Data qoq'!$A:$AT,MATCH($P$1,'Data qoq'!$A$1:$AT$1,),))/100+1)^4)-1)</f>
        <v>4.4440094977972633E-2</v>
      </c>
      <c r="Q95" s="32">
        <f>IF((((VLOOKUP(B95,'Data qoq'!$A:$AT,MATCH($Q$1,'Data qoq'!$A$1:$AT$1,),))/100+1)^4)-1=0,#N/A,(((VLOOKUP(B95,'Data qoq'!$A:$AT,MATCH($Q$1,'Data qoq'!$A$1:$AT$1,),))/100+1)^4)-1)</f>
        <v>8.0181625692521186E-2</v>
      </c>
      <c r="R95" s="32">
        <f>IF((((VLOOKUP(B95,'Data qoq'!$A:$AT,MATCH($R$1,'Data qoq'!$A$1:$AT$1,),))/100+1)^4)-1=0,#N/A,(((VLOOKUP(B95,'Data qoq'!$A:$AT,MATCH($R$1,'Data qoq'!$A$1:$AT$1,),))/100+1)^4)-1)</f>
        <v>-4.8497604979620412E-3</v>
      </c>
      <c r="S95" s="32">
        <f>IF((((VLOOKUP(B95,'Data qoq'!$A:$AT,MATCH($S$1,'Data qoq'!$A$1:$AT$1,),))/100+1)^4)-1=0,#N/A,(((VLOOKUP(B95,'Data qoq'!$A:$AT,MATCH($S$1,'Data qoq'!$A$1:$AT$1,),))/100+1)^4)-1)</f>
        <v>7.0766721142783151E-2</v>
      </c>
      <c r="T95" s="32">
        <f>IF((((VLOOKUP(B95,'Data qoq'!$A:$AT,MATCH($T$1,'Data qoq'!$A$1:$AT$1,),))/100+1)^4)-1=0,#N/A,(((VLOOKUP(B95,'Data qoq'!$A:$AT,MATCH($T$1,'Data qoq'!$A$1:$AT$1,),))/100+1)^4)-1)</f>
        <v>4.3397612813840913E-2</v>
      </c>
      <c r="U95" s="32">
        <f>IF((((VLOOKUP(B95,'Data qoq'!$A:$AT,MATCH($U$1,'Data qoq'!$A$1:$AT$1,),))/100+1)^4)-1=0,#N/A,(((VLOOKUP(B95,'Data qoq'!$A:$AT,MATCH($U$1,'Data qoq'!$A$1:$AT$1,),))/100+1)^4)-1)</f>
        <v>0.13410326782915227</v>
      </c>
      <c r="V95" s="32">
        <f>IF((((VLOOKUP(B95,'Data qoq'!$A:$AT,MATCH($V$1,'Data qoq'!$A$1:$AT$1,),))/100+1)^4)-1=0,#N/A,(((VLOOKUP(B95,'Data qoq'!$A:$AT,MATCH($V$1,'Data qoq'!$A$1:$AT$1,),))/100+1)^4)-1)</f>
        <v>0.41288592783086187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5.5283979320400967E-2</v>
      </c>
      <c r="Z95" s="32">
        <f>IF((((VLOOKUP(B95,'Data qoq'!$A:$AU,MATCH($Z$1,'Data qoq'!$A$1:$AU$1,),))/100+1)^4)-1=0,#N/A,(((VLOOKUP(B95,'Data qoq'!$A:$AU,MATCH($Z$1,'Data qoq'!$A$1:$AU$1,),))/100+1)^4)-1)</f>
        <v>0.15045729602899338</v>
      </c>
      <c r="AA95" s="32">
        <f>IF((((VLOOKUP(B95,'Data qoq'!$A:$AU,MATCH($AA$1,'Data qoq'!$A$1:$AU$1,),))/100+1)^4)-1=0,#N/A,(((VLOOKUP(B95,'Data qoq'!$A:$AU,MATCH($AA$1,'Data qoq'!$A$1:$AU$1,),))/100+1)^4)-1)</f>
        <v>7.0803030892226504E-2</v>
      </c>
      <c r="AC95" s="26" t="str">
        <f t="shared" si="10"/>
        <v>2021-Q1</v>
      </c>
      <c r="AD95" s="31">
        <f t="shared" si="11"/>
        <v>4.19443268882288E-2</v>
      </c>
    </row>
    <row r="96" spans="1:31" s="73" customFormat="1" x14ac:dyDescent="0.2">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6.136355062499943E-2</v>
      </c>
      <c r="E96" s="32">
        <f>IF((((VLOOKUP(B96,'Data qoq'!$A:$AT,MATCH($E$1,'Data qoq'!$A$1:$AT$1,),))/100+1)^4)-1=0,#N/A,(((VLOOKUP(B96,'Data qoq'!$A:$AT,MATCH($E$1,'Data qoq'!$A$1:$AT$1,),))/100+1)^4)-1)</f>
        <v>8.1888457015244498E-2</v>
      </c>
      <c r="F96" s="32">
        <f>IF((((VLOOKUP(B96,'Data qoq'!$A:$AT,MATCH($F$1,'Data qoq'!$A$1:$AT$1,),))/100+1)^4)-1=0,#N/A,(((VLOOKUP(B96,'Data qoq'!$A:$AT,MATCH($F$1,'Data qoq'!$A$1:$AT$1,),))/100+1)^4)-1)</f>
        <v>1.473296643089661E-2</v>
      </c>
      <c r="G96" s="32">
        <f>IF((((VLOOKUP(B96,'Data qoq'!$A:$AT,MATCH($G$1,'Data qoq'!$A$1:$AT$1,),))/100+1)^4)-1=0,#N/A,(((VLOOKUP(B96,'Data qoq'!$A:$AT,MATCH($G$1,'Data qoq'!$A$1:$AT$1,),))/100+1)^4)-1)</f>
        <v>7.9406391787448127E-2</v>
      </c>
      <c r="H96" s="32">
        <f>IF((((VLOOKUP(B96,'Data qoq'!$A:$AT,MATCH($H$1,'Data qoq'!$A$1:$AT$1,),))/100+1)^4)-1=0,#N/A,(((VLOOKUP(B96,'Data qoq'!$A:$AT,MATCH($H$1,'Data qoq'!$A$1:$AT$1,),))/100+1)^4)-1)</f>
        <v>4.1990047291636801E-2</v>
      </c>
      <c r="I96" s="32">
        <f>IF((((VLOOKUP(B96,'Data qoq'!$A:$AT,MATCH($I$1,'Data qoq'!$A$1:$AT$1,),))/100+1)^4)-1=0,#N/A,(((VLOOKUP(B96,'Data qoq'!$A:$AT,MATCH($I$1,'Data qoq'!$A$1:$AT$1,),))/100+1)^4)-1)</f>
        <v>0.28845240451410215</v>
      </c>
      <c r="J96" s="32">
        <f>IF((((VLOOKUP(B96,'Data qoq'!$A:$AT,MATCH($J$1,'Data qoq'!$A$1:$AT$1,),))/100+1)^4)-1=0,#N/A,(((VLOOKUP(B96,'Data qoq'!$A:$AT,MATCH($J$1,'Data qoq'!$A$1:$AT$1,),))/100+1)^4)-1)</f>
        <v>0.10339927500885659</v>
      </c>
      <c r="K96" s="32">
        <f>IF((((VLOOKUP(B96,'Data qoq'!$A:$AT,MATCH($K$1,'Data qoq'!$A$1:$AT$1,),))/100+1)^4)-1=0,#N/A,(((VLOOKUP(B96,'Data qoq'!$A:$AT,MATCH($K$1,'Data qoq'!$A$1:$AT$1,),))/100+1)^4)-1)</f>
        <v>5.5195221531352034E-2</v>
      </c>
      <c r="L96" s="32">
        <f>IF((((VLOOKUP(B96,'Data qoq'!$A:$AT,MATCH($L$1,'Data qoq'!$A$1:$AT$1,),))/100+1)^4)-1=0,#N/A,(((VLOOKUP(B96,'Data qoq'!$A:$AT,MATCH($L$1,'Data qoq'!$A$1:$AT$1,),))/100+1)^4)-1)</f>
        <v>3.6693136278702188E-2</v>
      </c>
      <c r="M96" s="32">
        <f>IF((((VLOOKUP(B96,'Data qoq'!$A:$AT,MATCH($M$1,'Data qoq'!$A$1:$AT$1,),))/100+1)^4)-1=0,#N/A,(((VLOOKUP(B96,'Data qoq'!$A:$AT,MATCH($M$1,'Data qoq'!$A$1:$AT$1,),))/100+1)^4)-1)</f>
        <v>3.8414612695039319E-2</v>
      </c>
      <c r="N96" s="32">
        <f>IF((((VLOOKUP(B96,'Data qoq'!$A:$AT,MATCH($N$1,'Data qoq'!$A$1:$AT$1,),))/100+1)^4)-1=0,#N/A,(((VLOOKUP(B96,'Data qoq'!$A:$AT,MATCH($N$1,'Data qoq'!$A$1:$AT$1,),))/100+1)^4)-1)</f>
        <v>0.13387758235823033</v>
      </c>
      <c r="O96" s="32">
        <f>IF((((VLOOKUP(B96,'Data qoq'!$A:$AT,MATCH($O$1,'Data qoq'!$A$1:$AT$1,),))/100+1)^4)-1=0,#N/A,(((VLOOKUP(B96,'Data qoq'!$A:$AT,MATCH($O$1,'Data qoq'!$A$1:$AT$1,),))/100+1)^4)-1)</f>
        <v>-0.3447501837573409</v>
      </c>
      <c r="P96" s="32">
        <f>IF((((VLOOKUP(B96,'Data qoq'!$A:$AT,MATCH($P$1,'Data qoq'!$A$1:$AT$1,),))/100+1)^4)-1=0,#N/A,(((VLOOKUP(B96,'Data qoq'!$A:$AT,MATCH($P$1,'Data qoq'!$A$1:$AT$1,),))/100+1)^4)-1)</f>
        <v>-3.1307528987499111E-2</v>
      </c>
      <c r="Q96" s="32">
        <f>IF((((VLOOKUP(B96,'Data qoq'!$A:$AT,MATCH($Q$1,'Data qoq'!$A$1:$AT$1,),))/100+1)^4)-1=0,#N/A,(((VLOOKUP(B96,'Data qoq'!$A:$AT,MATCH($Q$1,'Data qoq'!$A$1:$AT$1,),))/100+1)^4)-1)</f>
        <v>2.3743316354211563E-2</v>
      </c>
      <c r="R96" s="32">
        <f>IF((((VLOOKUP(B96,'Data qoq'!$A:$AT,MATCH($R$1,'Data qoq'!$A$1:$AT$1,),))/100+1)^4)-1=0,#N/A,(((VLOOKUP(B96,'Data qoq'!$A:$AT,MATCH($R$1,'Data qoq'!$A$1:$AT$1,),))/100+1)^4)-1)</f>
        <v>8.206718545545244E-2</v>
      </c>
      <c r="S96" s="32">
        <f>IF((((VLOOKUP(B96,'Data qoq'!$A:$AT,MATCH($S$1,'Data qoq'!$A$1:$AT$1,),))/100+1)^4)-1=0,#N/A,(((VLOOKUP(B96,'Data qoq'!$A:$AT,MATCH($S$1,'Data qoq'!$A$1:$AT$1,),))/100+1)^4)-1)</f>
        <v>3.3752918181777503E-2</v>
      </c>
      <c r="T96" s="32">
        <f>IF((((VLOOKUP(B96,'Data qoq'!$A:$AT,MATCH($T$1,'Data qoq'!$A$1:$AT$1,),))/100+1)^4)-1=0,#N/A,(((VLOOKUP(B96,'Data qoq'!$A:$AT,MATCH($T$1,'Data qoq'!$A$1:$AT$1,),))/100+1)^4)-1)</f>
        <v>-1.1122014404951197E-2</v>
      </c>
      <c r="U96" s="32">
        <f>IF((((VLOOKUP(B96,'Data qoq'!$A:$AT,MATCH($U$1,'Data qoq'!$A$1:$AT$1,),))/100+1)^4)-1=0,#N/A,(((VLOOKUP(B96,'Data qoq'!$A:$AT,MATCH($U$1,'Data qoq'!$A$1:$AT$1,),))/100+1)^4)-1)</f>
        <v>6.1950786828593341E-2</v>
      </c>
      <c r="V96" s="32">
        <f>IF((((VLOOKUP(B96,'Data qoq'!$A:$AT,MATCH($V$1,'Data qoq'!$A$1:$AT$1,),))/100+1)^4)-1=0,#N/A,(((VLOOKUP(B96,'Data qoq'!$A:$AT,MATCH($V$1,'Data qoq'!$A$1:$AT$1,),))/100+1)^4)-1)</f>
        <v>8.0132031848232144E-2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8.3102930169385303E-2</v>
      </c>
      <c r="Z96" s="32">
        <f>IF((((VLOOKUP(B96,'Data qoq'!$A:$AU,MATCH($Z$1,'Data qoq'!$A$1:$AU$1,),))/100+1)^4)-1=0,#N/A,(((VLOOKUP(B96,'Data qoq'!$A:$AU,MATCH($Z$1,'Data qoq'!$A$1:$AU$1,),))/100+1)^4)-1)</f>
        <v>-2.4477640671021983E-2</v>
      </c>
      <c r="AA96" s="32">
        <f>IF((((VLOOKUP(B96,'Data qoq'!$A:$AU,MATCH($AA$1,'Data qoq'!$A$1:$AU$1,),))/100+1)^4)-1=0,#N/A,(((VLOOKUP(B96,'Data qoq'!$A:$AU,MATCH($AA$1,'Data qoq'!$A$1:$AU$1,),))/100+1)^4)-1)</f>
        <v>9.7244377887858002E-2</v>
      </c>
      <c r="AC96" s="26" t="str">
        <f t="shared" si="10"/>
        <v>2021-Q2</v>
      </c>
      <c r="AD96" s="31">
        <f t="shared" si="11"/>
        <v>-0.20656394749885765</v>
      </c>
    </row>
    <row r="97" spans="1:30" s="73" customFormat="1" x14ac:dyDescent="0.2">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8.9727995994677512E-2</v>
      </c>
      <c r="F97" s="32">
        <f>IF((((VLOOKUP(B97,'Data qoq'!$A:$AT,MATCH($F$1,'Data qoq'!$A$1:$AT$1,),))/100+1)^4)-1=0,#N/A,(((VLOOKUP(B97,'Data qoq'!$A:$AT,MATCH($F$1,'Data qoq'!$A$1:$AT$1,),))/100+1)^4)-1)</f>
        <v>-1.7877194907163774E-2</v>
      </c>
      <c r="G97" s="32">
        <f>IF((((VLOOKUP(B97,'Data qoq'!$A:$AT,MATCH($G$1,'Data qoq'!$A$1:$AT$1,),))/100+1)^4)-1=0,#N/A,(((VLOOKUP(B97,'Data qoq'!$A:$AT,MATCH($G$1,'Data qoq'!$A$1:$AT$1,),))/100+1)^4)-1)</f>
        <v>3.1781373670482393E-2</v>
      </c>
      <c r="H97" s="32">
        <f>IF((((VLOOKUP(B97,'Data qoq'!$A:$AT,MATCH($H$1,'Data qoq'!$A$1:$AT$1,),))/100+1)^4)-1=0,#N/A,(((VLOOKUP(B97,'Data qoq'!$A:$AT,MATCH($H$1,'Data qoq'!$A$1:$AT$1,),))/100+1)^4)-1)</f>
        <v>0.14242670582236805</v>
      </c>
      <c r="I97" s="32">
        <f>IF((((VLOOKUP(B97,'Data qoq'!$A:$AT,MATCH($I$1,'Data qoq'!$A$1:$AT$1,),))/100+1)^4)-1=0,#N/A,(((VLOOKUP(B97,'Data qoq'!$A:$AT,MATCH($I$1,'Data qoq'!$A$1:$AT$1,),))/100+1)^4)-1)</f>
        <v>7.2529475047091507E-2</v>
      </c>
      <c r="J97" s="32">
        <f>IF((((VLOOKUP(B97,'Data qoq'!$A:$AT,MATCH($J$1,'Data qoq'!$A$1:$AT$1,),))/100+1)^4)-1=0,#N/A,(((VLOOKUP(B97,'Data qoq'!$A:$AT,MATCH($J$1,'Data qoq'!$A$1:$AT$1,),))/100+1)^4)-1)</f>
        <v>0.1180866756950989</v>
      </c>
      <c r="K97" s="32">
        <f>IF((((VLOOKUP(B97,'Data qoq'!$A:$AT,MATCH($K$1,'Data qoq'!$A$1:$AT$1,),))/100+1)^4)-1=0,#N/A,(((VLOOKUP(B97,'Data qoq'!$A:$AT,MATCH($K$1,'Data qoq'!$A$1:$AT$1,),))/100+1)^4)-1)</f>
        <v>0.13024508319499128</v>
      </c>
      <c r="L97" s="32">
        <f>IF((((VLOOKUP(B97,'Data qoq'!$A:$AT,MATCH($L$1,'Data qoq'!$A$1:$AT$1,),))/100+1)^4)-1=0,#N/A,(((VLOOKUP(B97,'Data qoq'!$A:$AT,MATCH($L$1,'Data qoq'!$A$1:$AT$1,),))/100+1)^4)-1)</f>
        <v>6.6790027249522765E-2</v>
      </c>
      <c r="M97" s="32">
        <f>IF((((VLOOKUP(B97,'Data qoq'!$A:$AT,MATCH($M$1,'Data qoq'!$A$1:$AT$1,),))/100+1)^4)-1=0,#N/A,(((VLOOKUP(B97,'Data qoq'!$A:$AT,MATCH($M$1,'Data qoq'!$A$1:$AT$1,),))/100+1)^4)-1)</f>
        <v>-2.0990834311278128E-2</v>
      </c>
      <c r="N97" s="32">
        <f>IF((((VLOOKUP(B97,'Data qoq'!$A:$AT,MATCH($N$1,'Data qoq'!$A$1:$AT$1,),))/100+1)^4)-1=0,#N/A,(((VLOOKUP(B97,'Data qoq'!$A:$AT,MATCH($N$1,'Data qoq'!$A$1:$AT$1,),))/100+1)^4)-1)</f>
        <v>-3.1403494139439658E-2</v>
      </c>
      <c r="O97" s="32">
        <f>IF((((VLOOKUP(B97,'Data qoq'!$A:$AT,MATCH($O$1,'Data qoq'!$A$1:$AT$1,),))/100+1)^4)-1=0,#N/A,(((VLOOKUP(B97,'Data qoq'!$A:$AT,MATCH($O$1,'Data qoq'!$A$1:$AT$1,),))/100+1)^4)-1)</f>
        <v>0.52655321648139308</v>
      </c>
      <c r="P97" s="32">
        <f>IF((((VLOOKUP(B97,'Data qoq'!$A:$AT,MATCH($P$1,'Data qoq'!$A$1:$AT$1,),))/100+1)^4)-1=0,#N/A,(((VLOOKUP(B97,'Data qoq'!$A:$AT,MATCH($P$1,'Data qoq'!$A$1:$AT$1,),))/100+1)^4)-1)</f>
        <v>5.3347971517280435E-2</v>
      </c>
      <c r="Q97" s="32">
        <f>IF((((VLOOKUP(B97,'Data qoq'!$A:$AT,MATCH($Q$1,'Data qoq'!$A$1:$AT$1,),))/100+1)^4)-1=0,#N/A,(((VLOOKUP(B97,'Data qoq'!$A:$AT,MATCH($Q$1,'Data qoq'!$A$1:$AT$1,),))/100+1)^4)-1)</f>
        <v>-7.1207325941035626E-2</v>
      </c>
      <c r="R97" s="32">
        <f>IF((((VLOOKUP(B97,'Data qoq'!$A:$AT,MATCH($R$1,'Data qoq'!$A$1:$AT$1,),))/100+1)^4)-1=0,#N/A,(((VLOOKUP(B97,'Data qoq'!$A:$AT,MATCH($R$1,'Data qoq'!$A$1:$AT$1,),))/100+1)^4)-1)</f>
        <v>7.3799570649856872E-2</v>
      </c>
      <c r="S97" s="32">
        <f>IF((((VLOOKUP(B97,'Data qoq'!$A:$AT,MATCH($S$1,'Data qoq'!$A$1:$AT$1,),))/100+1)^4)-1=0,#N/A,(((VLOOKUP(B97,'Data qoq'!$A:$AT,MATCH($S$1,'Data qoq'!$A$1:$AT$1,),))/100+1)^4)-1)</f>
        <v>8.5568806436422395E-3</v>
      </c>
      <c r="T97" s="32">
        <f>IF((((VLOOKUP(B97,'Data qoq'!$A:$AT,MATCH($T$1,'Data qoq'!$A$1:$AT$1,),))/100+1)^4)-1=0,#N/A,(((VLOOKUP(B97,'Data qoq'!$A:$AT,MATCH($T$1,'Data qoq'!$A$1:$AT$1,),))/100+1)^4)-1)</f>
        <v>2.3792913837241692E-3</v>
      </c>
      <c r="U97" s="32">
        <f>IF((((VLOOKUP(B97,'Data qoq'!$A:$AT,MATCH($U$1,'Data qoq'!$A$1:$AT$1,),))/100+1)^4)-1=0,#N/A,(((VLOOKUP(B97,'Data qoq'!$A:$AT,MATCH($U$1,'Data qoq'!$A$1:$AT$1,),))/100+1)^4)-1)</f>
        <v>0.10090453031393865</v>
      </c>
      <c r="V97" s="32">
        <f>IF((((VLOOKUP(B97,'Data qoq'!$A:$AT,MATCH($V$1,'Data qoq'!$A$1:$AT$1,),))/100+1)^4)-1=0,#N/A,(((VLOOKUP(B97,'Data qoq'!$A:$AT,MATCH($V$1,'Data qoq'!$A$1:$AT$1,),))/100+1)^4)-1)</f>
        <v>0.18966498110772068</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0.10822326248414615</v>
      </c>
      <c r="Z97" s="32">
        <f>IF((((VLOOKUP(B97,'Data qoq'!$A:$AU,MATCH($Z$1,'Data qoq'!$A$1:$AU$1,),))/100+1)^4)-1=0,#N/A,(((VLOOKUP(B97,'Data qoq'!$A:$AU,MATCH($Z$1,'Data qoq'!$A$1:$AU$1,),))/100+1)^4)-1)</f>
        <v>0.16383527498328143</v>
      </c>
      <c r="AA97" s="32">
        <f>IF((((VLOOKUP(B97,'Data qoq'!$A:$AU,MATCH($AA$1,'Data qoq'!$A$1:$AU$1,),))/100+1)^4)-1=0,#N/A,(((VLOOKUP(B97,'Data qoq'!$A:$AU,MATCH($AA$1,'Data qoq'!$A$1:$AU$1,),))/100+1)^4)-1)</f>
        <v>-0.14836616514308454</v>
      </c>
      <c r="AC97" s="26" t="str">
        <f t="shared" si="10"/>
        <v>2021-Q3</v>
      </c>
      <c r="AD97" s="31">
        <f t="shared" si="11"/>
        <v>1.7198520947586005E-2</v>
      </c>
    </row>
    <row r="98" spans="1:30" s="73" customFormat="1" x14ac:dyDescent="0.2">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5.718701441600027E-2</v>
      </c>
      <c r="E98" s="32">
        <f>IF((((VLOOKUP(B98,'Data qoq'!$A:$AT,MATCH($E$1,'Data qoq'!$A$1:$AT$1,),))/100+1)^4)-1=0,#N/A,(((VLOOKUP(B98,'Data qoq'!$A:$AT,MATCH($E$1,'Data qoq'!$A$1:$AT$1,),))/100+1)^4)-1)</f>
        <v>1.9585343037633374E-2</v>
      </c>
      <c r="F98" s="32">
        <f>IF((((VLOOKUP(B98,'Data qoq'!$A:$AT,MATCH($F$1,'Data qoq'!$A$1:$AT$1,),))/100+1)^4)-1=0,#N/A,(((VLOOKUP(B98,'Data qoq'!$A:$AT,MATCH($F$1,'Data qoq'!$A$1:$AT$1,),))/100+1)^4)-1)</f>
        <v>3.8600901276545141E-2</v>
      </c>
      <c r="G98" s="32">
        <f>IF((((VLOOKUP(B98,'Data qoq'!$A:$AT,MATCH($G$1,'Data qoq'!$A$1:$AT$1,),))/100+1)^4)-1=0,#N/A,(((VLOOKUP(B98,'Data qoq'!$A:$AT,MATCH($G$1,'Data qoq'!$A$1:$AT$1,),))/100+1)^4)-1)</f>
        <v>-1.125728863137998E-3</v>
      </c>
      <c r="H98" s="32">
        <f>IF((((VLOOKUP(B98,'Data qoq'!$A:$AT,MATCH($H$1,'Data qoq'!$A$1:$AT$1,),))/100+1)^4)-1=0,#N/A,(((VLOOKUP(B98,'Data qoq'!$A:$AT,MATCH($H$1,'Data qoq'!$A$1:$AT$1,),))/100+1)^4)-1)</f>
        <v>2.0688131512163865E-2</v>
      </c>
      <c r="I98" s="32">
        <f>IF((((VLOOKUP(B98,'Data qoq'!$A:$AT,MATCH($I$1,'Data qoq'!$A$1:$AT$1,),))/100+1)^4)-1=0,#N/A,(((VLOOKUP(B98,'Data qoq'!$A:$AT,MATCH($I$1,'Data qoq'!$A$1:$AT$1,),))/100+1)^4)-1)</f>
        <v>6.6448898784597255E-2</v>
      </c>
      <c r="J98" s="32">
        <f>IF((((VLOOKUP(B98,'Data qoq'!$A:$AT,MATCH($J$1,'Data qoq'!$A$1:$AT$1,),))/100+1)^4)-1=0,#N/A,(((VLOOKUP(B98,'Data qoq'!$A:$AT,MATCH($J$1,'Data qoq'!$A$1:$AT$1,),))/100+1)^4)-1)</f>
        <v>3.428941217842052E-2</v>
      </c>
      <c r="K98" s="32">
        <f>IF((((VLOOKUP(B98,'Data qoq'!$A:$AT,MATCH($K$1,'Data qoq'!$A$1:$AT$1,),))/100+1)^4)-1=0,#N/A,(((VLOOKUP(B98,'Data qoq'!$A:$AT,MATCH($K$1,'Data qoq'!$A$1:$AT$1,),))/100+1)^4)-1)</f>
        <v>9.3737322365880837E-2</v>
      </c>
      <c r="L98" s="32">
        <f>IF((((VLOOKUP(B98,'Data qoq'!$A:$AT,MATCH($L$1,'Data qoq'!$A$1:$AT$1,),))/100+1)^4)-1=0,#N/A,(((VLOOKUP(B98,'Data qoq'!$A:$AT,MATCH($L$1,'Data qoq'!$A$1:$AT$1,),))/100+1)^4)-1)</f>
        <v>5.4302526681997421E-2</v>
      </c>
      <c r="M98" s="32">
        <f>IF((((VLOOKUP(B98,'Data qoq'!$A:$AT,MATCH($M$1,'Data qoq'!$A$1:$AT$1,),))/100+1)^4)-1=0,#N/A,(((VLOOKUP(B98,'Data qoq'!$A:$AT,MATCH($M$1,'Data qoq'!$A$1:$AT$1,),))/100+1)^4)-1)</f>
        <v>1.2480704054785186E-2</v>
      </c>
      <c r="N98" s="32" t="e">
        <f>IF((((VLOOKUP(B98,'Data qoq'!$A:$AT,MATCH($N$1,'Data qoq'!$A$1:$AT$1,),))/100+1)^4)-1=0,#N/A,(((VLOOKUP(B98,'Data qoq'!$A:$AT,MATCH($N$1,'Data qoq'!$A$1:$AT$1,),))/100+1)^4)-1)</f>
        <v>#N/A</v>
      </c>
      <c r="O98" s="32">
        <f>IF((((VLOOKUP(B98,'Data qoq'!$A:$AT,MATCH($O$1,'Data qoq'!$A$1:$AT$1,),))/100+1)^4)-1=0,#N/A,(((VLOOKUP(B98,'Data qoq'!$A:$AT,MATCH($O$1,'Data qoq'!$A$1:$AT$1,),))/100+1)^4)-1)</f>
        <v>0.21476600216521557</v>
      </c>
      <c r="P98" s="32">
        <f>IF((((VLOOKUP(B98,'Data qoq'!$A:$AT,MATCH($P$1,'Data qoq'!$A$1:$AT$1,),))/100+1)^4)-1=0,#N/A,(((VLOOKUP(B98,'Data qoq'!$A:$AT,MATCH($P$1,'Data qoq'!$A$1:$AT$1,),))/100+1)^4)-1)</f>
        <v>6.5660508676168572E-2</v>
      </c>
      <c r="Q98" s="32">
        <f>IF((((VLOOKUP(B98,'Data qoq'!$A:$AT,MATCH($Q$1,'Data qoq'!$A$1:$AT$1,),))/100+1)^4)-1=0,#N/A,(((VLOOKUP(B98,'Data qoq'!$A:$AT,MATCH($Q$1,'Data qoq'!$A$1:$AT$1,),))/100+1)^4)-1)</f>
        <v>0.16328081020000274</v>
      </c>
      <c r="R98" s="32">
        <f>IF((((VLOOKUP(B98,'Data qoq'!$A:$AT,MATCH($R$1,'Data qoq'!$A$1:$AT$1,),))/100+1)^4)-1=0,#N/A,(((VLOOKUP(B98,'Data qoq'!$A:$AT,MATCH($R$1,'Data qoq'!$A$1:$AT$1,),))/100+1)^4)-1)</f>
        <v>4.3395582888756667E-3</v>
      </c>
      <c r="S98" s="32">
        <f>IF((((VLOOKUP(B98,'Data qoq'!$A:$AT,MATCH($S$1,'Data qoq'!$A$1:$AT$1,),))/100+1)^4)-1=0,#N/A,(((VLOOKUP(B98,'Data qoq'!$A:$AT,MATCH($S$1,'Data qoq'!$A$1:$AT$1,),))/100+1)^4)-1)</f>
        <v>5.4594424555507448E-2</v>
      </c>
      <c r="T98" s="32">
        <f>IF((((VLOOKUP(B98,'Data qoq'!$A:$AT,MATCH($T$1,'Data qoq'!$A$1:$AT$1,),))/100+1)^4)-1=0,#N/A,(((VLOOKUP(B98,'Data qoq'!$A:$AT,MATCH($T$1,'Data qoq'!$A$1:$AT$1,),))/100+1)^4)-1)</f>
        <v>3.1357521268737365E-2</v>
      </c>
      <c r="U98" s="32">
        <f>IF((((VLOOKUP(B98,'Data qoq'!$A:$AT,MATCH($U$1,'Data qoq'!$A$1:$AT$1,),))/100+1)^4)-1=0,#N/A,(((VLOOKUP(B98,'Data qoq'!$A:$AT,MATCH($U$1,'Data qoq'!$A$1:$AT$1,),))/100+1)^4)-1)</f>
        <v>3.7476133884492668E-2</v>
      </c>
      <c r="V98" s="32">
        <f>IF((((VLOOKUP(B98,'Data qoq'!$A:$AT,MATCH($V$1,'Data qoq'!$A$1:$AT$1,),))/100+1)^4)-1=0,#N/A,(((VLOOKUP(B98,'Data qoq'!$A:$AT,MATCH($V$1,'Data qoq'!$A$1:$AT$1,),))/100+1)^4)-1)</f>
        <v>-7.2107906278601308E-2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7.3255474636446882E-2</v>
      </c>
      <c r="Z98" s="32">
        <f>IF((((VLOOKUP(B98,'Data qoq'!$A:$AU,MATCH($Z$1,'Data qoq'!$A$1:$AU$1,),))/100+1)^4)-1=0,#N/A,(((VLOOKUP(B98,'Data qoq'!$A:$AU,MATCH($Z$1,'Data qoq'!$A$1:$AU$1,),))/100+1)^4)-1)</f>
        <v>6.687407032696524E-2</v>
      </c>
      <c r="AA98" s="32">
        <f>IF((((VLOOKUP(B98,'Data qoq'!$A:$AU,MATCH($AA$1,'Data qoq'!$A$1:$AU$1,),))/100+1)^4)-1=0,#N/A,(((VLOOKUP(B98,'Data qoq'!$A:$AU,MATCH($AA$1,'Data qoq'!$A$1:$AU$1,),))/100+1)^4)-1)</f>
        <v>0.12635318263535322</v>
      </c>
      <c r="AC98" s="26" t="str">
        <f t="shared" si="10"/>
        <v>2021-Q4</v>
      </c>
      <c r="AD98" s="31">
        <f t="shared" si="11"/>
        <v>-4.6863555746963881E-2</v>
      </c>
    </row>
    <row r="99" spans="1:30" s="73" customFormat="1" x14ac:dyDescent="0.2">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5.718701441600027E-2</v>
      </c>
      <c r="E99" s="32">
        <f>IF((((VLOOKUP(B99,'Data qoq'!$A:$AT,MATCH($E$1,'Data qoq'!$A$1:$AT$1,),))/100+1)^4)-1=0,#N/A,(((VLOOKUP(B99,'Data qoq'!$A:$AT,MATCH($E$1,'Data qoq'!$A$1:$AT$1,),))/100+1)^4)-1)</f>
        <v>2.6901155729758486E-2</v>
      </c>
      <c r="F99" s="32">
        <f>IF((((VLOOKUP(B99,'Data qoq'!$A:$AT,MATCH($F$1,'Data qoq'!$A$1:$AT$1,),))/100+1)^4)-1=0,#N/A,(((VLOOKUP(B99,'Data qoq'!$A:$AT,MATCH($F$1,'Data qoq'!$A$1:$AT$1,),))/100+1)^4)-1)</f>
        <v>2.0866068585849717E-3</v>
      </c>
      <c r="G99" s="32">
        <f>IF((((VLOOKUP(B99,'Data qoq'!$A:$AT,MATCH($G$1,'Data qoq'!$A$1:$AT$1,),))/100+1)^4)-1=0,#N/A,(((VLOOKUP(B99,'Data qoq'!$A:$AT,MATCH($G$1,'Data qoq'!$A$1:$AT$1,),))/100+1)^4)-1)</f>
        <v>3.2309117068457738E-2</v>
      </c>
      <c r="H99" s="32">
        <f>IF((((VLOOKUP(B99,'Data qoq'!$A:$AT,MATCH($H$1,'Data qoq'!$A$1:$AT$1,),))/100+1)^4)-1=0,#N/A,(((VLOOKUP(B99,'Data qoq'!$A:$AT,MATCH($H$1,'Data qoq'!$A$1:$AT$1,),))/100+1)^4)-1)</f>
        <v>-9.9197284289941345E-3</v>
      </c>
      <c r="I99" s="32">
        <f>IF((((VLOOKUP(B99,'Data qoq'!$A:$AT,MATCH($I$1,'Data qoq'!$A$1:$AT$1,),))/100+1)^4)-1=0,#N/A,(((VLOOKUP(B99,'Data qoq'!$A:$AT,MATCH($I$1,'Data qoq'!$A$1:$AT$1,),))/100+1)^4)-1)</f>
        <v>2.7952670849427097E-2</v>
      </c>
      <c r="J99" s="32">
        <f>IF((((VLOOKUP(B99,'Data qoq'!$A:$AT,MATCH($J$1,'Data qoq'!$A$1:$AT$1,),))/100+1)^4)-1=0,#N/A,(((VLOOKUP(B99,'Data qoq'!$A:$AT,MATCH($J$1,'Data qoq'!$A$1:$AT$1,),))/100+1)^4)-1)</f>
        <v>5.646446054809573E-3</v>
      </c>
      <c r="K99" s="32">
        <f>IF((((VLOOKUP(B99,'Data qoq'!$A:$AT,MATCH($K$1,'Data qoq'!$A$1:$AT$1,),))/100+1)^4)-1=0,#N/A,(((VLOOKUP(B99,'Data qoq'!$A:$AT,MATCH($K$1,'Data qoq'!$A$1:$AT$1,),))/100+1)^4)-1)</f>
        <v>-7.5329751223935926E-3</v>
      </c>
      <c r="L99" s="32">
        <f>IF((((VLOOKUP(B99,'Data qoq'!$A:$AT,MATCH($L$1,'Data qoq'!$A$1:$AT$1,),))/100+1)^4)-1=0,#N/A,(((VLOOKUP(B99,'Data qoq'!$A:$AT,MATCH($L$1,'Data qoq'!$A$1:$AT$1,),))/100+1)^4)-1)</f>
        <v>7.2550253926373376E-3</v>
      </c>
      <c r="M99" s="32">
        <f>IF((((VLOOKUP(B99,'Data qoq'!$A:$AT,MATCH($M$1,'Data qoq'!$A$1:$AT$1,),))/100+1)^4)-1=0,#N/A,(((VLOOKUP(B99,'Data qoq'!$A:$AT,MATCH($M$1,'Data qoq'!$A$1:$AT$1,),))/100+1)^4)-1)</f>
        <v>4.6464783221415784E-2</v>
      </c>
      <c r="N99" s="32" t="e">
        <f>IF((((VLOOKUP(B99,'Data qoq'!$A:$AT,MATCH($N$1,'Data qoq'!$A$1:$AT$1,),))/100+1)^4)-1=0,#N/A,(((VLOOKUP(B99,'Data qoq'!$A:$AT,MATCH($N$1,'Data qoq'!$A$1:$AT$1,),))/100+1)^4)-1)</f>
        <v>#N/A</v>
      </c>
      <c r="O99" s="32">
        <f>IF((((VLOOKUP(B99,'Data qoq'!$A:$AT,MATCH($O$1,'Data qoq'!$A$1:$AT$1,),))/100+1)^4)-1=0,#N/A,(((VLOOKUP(B99,'Data qoq'!$A:$AT,MATCH($O$1,'Data qoq'!$A$1:$AT$1,),))/100+1)^4)-1)</f>
        <v>-5.3048019491998222E-2</v>
      </c>
      <c r="P99" s="32">
        <f>IF((((VLOOKUP(B99,'Data qoq'!$A:$AT,MATCH($P$1,'Data qoq'!$A$1:$AT$1,),))/100+1)^4)-1=0,#N/A,(((VLOOKUP(B99,'Data qoq'!$A:$AT,MATCH($P$1,'Data qoq'!$A$1:$AT$1,),))/100+1)^4)-1)</f>
        <v>3.0950957118940803E-2</v>
      </c>
      <c r="Q99" s="32">
        <f>IF((((VLOOKUP(B99,'Data qoq'!$A:$AT,MATCH($Q$1,'Data qoq'!$A$1:$AT$1,),))/100+1)^4)-1=0,#N/A,(((VLOOKUP(B99,'Data qoq'!$A:$AT,MATCH($Q$1,'Data qoq'!$A$1:$AT$1,),))/100+1)^4)-1)</f>
        <v>2.8743048535984528E-2</v>
      </c>
      <c r="R99" s="32">
        <f>IF((((VLOOKUP(B99,'Data qoq'!$A:$AT,MATCH($R$1,'Data qoq'!$A$1:$AT$1,),))/100+1)^4)-1=0,#N/A,(((VLOOKUP(B99,'Data qoq'!$A:$AT,MATCH($R$1,'Data qoq'!$A$1:$AT$1,),))/100+1)^4)-1)</f>
        <v>1.2463131495667135E-2</v>
      </c>
      <c r="S99" s="32">
        <f>IF((((VLOOKUP(B99,'Data qoq'!$A:$AT,MATCH($S$1,'Data qoq'!$A$1:$AT$1,),))/100+1)^4)-1=0,#N/A,(((VLOOKUP(B99,'Data qoq'!$A:$AT,MATCH($S$1,'Data qoq'!$A$1:$AT$1,),))/100+1)^4)-1)</f>
        <v>2.5600885388403993E-2</v>
      </c>
      <c r="T99" s="32">
        <f>IF((((VLOOKUP(B99,'Data qoq'!$A:$AT,MATCH($T$1,'Data qoq'!$A$1:$AT$1,),))/100+1)^4)-1=0,#N/A,(((VLOOKUP(B99,'Data qoq'!$A:$AT,MATCH($T$1,'Data qoq'!$A$1:$AT$1,),))/100+1)^4)-1)</f>
        <v>4.5655925614057624E-2</v>
      </c>
      <c r="U99" s="32">
        <f>IF((((VLOOKUP(B99,'Data qoq'!$A:$AT,MATCH($U$1,'Data qoq'!$A$1:$AT$1,),))/100+1)^4)-1=0,#N/A,(((VLOOKUP(B99,'Data qoq'!$A:$AT,MATCH($U$1,'Data qoq'!$A$1:$AT$1,),))/100+1)^4)-1)</f>
        <v>0.11997925988585467</v>
      </c>
      <c r="V99" s="32">
        <f>IF((((VLOOKUP(B99,'Data qoq'!$A:$AT,MATCH($V$1,'Data qoq'!$A$1:$AT$1,),))/100+1)^4)-1=0,#N/A,(((VLOOKUP(B99,'Data qoq'!$A:$AT,MATCH($V$1,'Data qoq'!$A$1:$AT$1,),))/100+1)^4)-1)</f>
        <v>0.27149328001615158</v>
      </c>
      <c r="W99" s="32">
        <f>IF((((VLOOKUP(B99,'Data qoq'!$A:$AT,MATCH($W$1,'Data qoq'!$A$1:$AT$1,),))/100+1)^4)-1=0,#N/A,(((VLOOKUP(B99,'Data qoq'!$A:$AT,MATCH($W$1,'Data qoq'!$A$1:$AT$1,),))/100+1)^4)-1)</f>
        <v>2.7230709408206488E-2</v>
      </c>
      <c r="X99" s="32">
        <f>IF((((VLOOKUP(B99,'Data qoq'!$A:$AT,MATCH($X$1,'Data qoq'!$A$1:$AT$1,),))/100+1)^4)-1=0,#N/A,(((VLOOKUP(B99,'Data qoq'!$A:$AT,MATCH($X$1,'Data qoq'!$A$1:$AT$1,),))/100+1)^4)-1)</f>
        <v>2.5055023777596386E-2</v>
      </c>
      <c r="Y99" s="32">
        <f>IF((((VLOOKUP(B99,'Data qoq'!$A:$AT,MATCH($Y$1,'Data qoq'!$A$1:$AT$1,),))/100+1)^4)-1=0,#N/A,(((VLOOKUP(B99,'Data qoq'!$A:$AT,MATCH($Y$1,'Data qoq'!$A$1:$AT$1,),))/100+1)^4)-1)</f>
        <v>0.1023380590332843</v>
      </c>
      <c r="Z99" s="32">
        <f>IF((((VLOOKUP(B99,'Data qoq'!$A:$AU,MATCH($Z$1,'Data qoq'!$A$1:$AU$1,),))/100+1)^4)-1=0,#N/A,(((VLOOKUP(B99,'Data qoq'!$A:$AU,MATCH($Z$1,'Data qoq'!$A$1:$AU$1,),))/100+1)^4)-1)</f>
        <v>4.7998799404568748E-2</v>
      </c>
      <c r="AA99" s="32">
        <f>IF((((VLOOKUP(B99,'Data qoq'!$A:$AU,MATCH($AA$1,'Data qoq'!$A$1:$AU$1,),))/100+1)^4)-1=0,#N/A,(((VLOOKUP(B99,'Data qoq'!$A:$AU,MATCH($AA$1,'Data qoq'!$A$1:$AU$1,),))/100+1)^4)-1)</f>
        <v>-9.4141372366290943E-3</v>
      </c>
      <c r="AC99" s="26" t="str">
        <f t="shared" si="10"/>
        <v>2022-Q1</v>
      </c>
      <c r="AD99" s="31">
        <f t="shared" si="11"/>
        <v>-1.0515151196686112E-3</v>
      </c>
    </row>
    <row r="100" spans="1:30" s="73" customFormat="1" x14ac:dyDescent="0.2">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-0.10001384702400007</v>
      </c>
      <c r="E100" s="32">
        <f>IF((((VLOOKUP(B100,'Data qoq'!$A:$AT,MATCH($E$1,'Data qoq'!$A$1:$AT$1,),))/100+1)^4)-1=0,#N/A,(((VLOOKUP(B100,'Data qoq'!$A:$AT,MATCH($E$1,'Data qoq'!$A$1:$AT$1,),))/100+1)^4)-1)</f>
        <v>3.1217125735772511E-2</v>
      </c>
      <c r="F100" s="32">
        <f>IF((((VLOOKUP(B100,'Data qoq'!$A:$AT,MATCH($F$1,'Data qoq'!$A$1:$AT$1,),))/100+1)^4)-1=0,#N/A,(((VLOOKUP(B100,'Data qoq'!$A:$AT,MATCH($F$1,'Data qoq'!$A$1:$AT$1,),))/100+1)^4)-1)</f>
        <v>3.4901607095428222E-2</v>
      </c>
      <c r="G100" s="32">
        <f>IF((((VLOOKUP(B100,'Data qoq'!$A:$AT,MATCH($G$1,'Data qoq'!$A$1:$AT$1,),))/100+1)^4)-1=0,#N/A,(((VLOOKUP(B100,'Data qoq'!$A:$AT,MATCH($G$1,'Data qoq'!$A$1:$AT$1,),))/100+1)^4)-1)</f>
        <v>5.6007186149438226E-3</v>
      </c>
      <c r="H100" s="32">
        <f>IF((((VLOOKUP(B100,'Data qoq'!$A:$AT,MATCH($H$1,'Data qoq'!$A$1:$AT$1,),))/100+1)^4)-1=0,#N/A,(((VLOOKUP(B100,'Data qoq'!$A:$AT,MATCH($H$1,'Data qoq'!$A$1:$AT$1,),))/100+1)^4)-1)</f>
        <v>2.1665232924436451E-2</v>
      </c>
      <c r="I100" s="32">
        <f>IF((((VLOOKUP(B100,'Data qoq'!$A:$AT,MATCH($I$1,'Data qoq'!$A$1:$AT$1,),))/100+1)^4)-1=0,#N/A,(((VLOOKUP(B100,'Data qoq'!$A:$AT,MATCH($I$1,'Data qoq'!$A$1:$AT$1,),))/100+1)^4)-1)</f>
        <v>9.4322958897823383E-3</v>
      </c>
      <c r="J100" s="32">
        <f>IF((((VLOOKUP(B100,'Data qoq'!$A:$AT,MATCH($J$1,'Data qoq'!$A$1:$AT$1,),))/100+1)^4)-1=0,#N/A,(((VLOOKUP(B100,'Data qoq'!$A:$AT,MATCH($J$1,'Data qoq'!$A$1:$AT$1,),))/100+1)^4)-1)</f>
        <v>4.4352722882303519E-2</v>
      </c>
      <c r="K100" s="32">
        <f>IF((((VLOOKUP(B100,'Data qoq'!$A:$AT,MATCH($K$1,'Data qoq'!$A$1:$AT$1,),))/100+1)^4)-1=0,#N/A,(((VLOOKUP(B100,'Data qoq'!$A:$AT,MATCH($K$1,'Data qoq'!$A$1:$AT$1,),))/100+1)^4)-1)</f>
        <v>5.9648579344191877E-2</v>
      </c>
      <c r="L100" s="32">
        <f>IF((((VLOOKUP(B100,'Data qoq'!$A:$AT,MATCH($L$1,'Data qoq'!$A$1:$AT$1,),))/100+1)^4)-1=0,#N/A,(((VLOOKUP(B100,'Data qoq'!$A:$AT,MATCH($L$1,'Data qoq'!$A$1:$AT$1,),))/100+1)^4)-1)</f>
        <v>3.64467102271544E-2</v>
      </c>
      <c r="M100" s="32">
        <f>IF((((VLOOKUP(B100,'Data qoq'!$A:$AT,MATCH($M$1,'Data qoq'!$A$1:$AT$1,),))/100+1)^4)-1=0,#N/A,(((VLOOKUP(B100,'Data qoq'!$A:$AT,MATCH($M$1,'Data qoq'!$A$1:$AT$1,),))/100+1)^4)-1)</f>
        <v>3.7490874090505333E-2</v>
      </c>
      <c r="N100" s="32" t="e">
        <f>IF((((VLOOKUP(B100,'Data qoq'!$A:$AT,MATCH($N$1,'Data qoq'!$A$1:$AT$1,),))/100+1)^4)-1=0,#N/A,(((VLOOKUP(B100,'Data qoq'!$A:$AT,MATCH($N$1,'Data qoq'!$A$1:$AT$1,),))/100+1)^4)-1)</f>
        <v>#N/A</v>
      </c>
      <c r="O100" s="32">
        <f>IF((((VLOOKUP(B100,'Data qoq'!$A:$AT,MATCH($O$1,'Data qoq'!$A$1:$AT$1,),))/100+1)^4)-1=0,#N/A,(((VLOOKUP(B100,'Data qoq'!$A:$AT,MATCH($O$1,'Data qoq'!$A$1:$AT$1,),))/100+1)^4)-1)</f>
        <v>-5.6060563401650443E-2</v>
      </c>
      <c r="P100" s="32">
        <f>IF((((VLOOKUP(B100,'Data qoq'!$A:$AT,MATCH($P$1,'Data qoq'!$A$1:$AT$1,),))/100+1)^4)-1=0,#N/A,(((VLOOKUP(B100,'Data qoq'!$A:$AT,MATCH($P$1,'Data qoq'!$A$1:$AT$1,),))/100+1)^4)-1)</f>
        <v>3.2677519427319002E-2</v>
      </c>
      <c r="Q100" s="32">
        <f>IF((((VLOOKUP(B100,'Data qoq'!$A:$AT,MATCH($Q$1,'Data qoq'!$A$1:$AT$1,),))/100+1)^4)-1=0,#N/A,(((VLOOKUP(B100,'Data qoq'!$A:$AT,MATCH($Q$1,'Data qoq'!$A$1:$AT$1,),))/100+1)^4)-1)</f>
        <v>3.6198371128323803E-2</v>
      </c>
      <c r="R100" s="32">
        <f>IF((((VLOOKUP(B100,'Data qoq'!$A:$AT,MATCH($R$1,'Data qoq'!$A$1:$AT$1,),))/100+1)^4)-1=0,#N/A,(((VLOOKUP(B100,'Data qoq'!$A:$AT,MATCH($R$1,'Data qoq'!$A$1:$AT$1,),))/100+1)^4)-1)</f>
        <v>1.0847353950648619E-2</v>
      </c>
      <c r="S100" s="32">
        <f>IF((((VLOOKUP(B100,'Data qoq'!$A:$AT,MATCH($S$1,'Data qoq'!$A$1:$AT$1,),))/100+1)^4)-1=0,#N/A,(((VLOOKUP(B100,'Data qoq'!$A:$AT,MATCH($S$1,'Data qoq'!$A$1:$AT$1,),))/100+1)^4)-1)</f>
        <v>2.9900198592973215E-2</v>
      </c>
      <c r="T100" s="32">
        <f>IF((((VLOOKUP(B100,'Data qoq'!$A:$AT,MATCH($T$1,'Data qoq'!$A$1:$AT$1,),))/100+1)^4)-1=0,#N/A,(((VLOOKUP(B100,'Data qoq'!$A:$AT,MATCH($T$1,'Data qoq'!$A$1:$AT$1,),))/100+1)^4)-1)</f>
        <v>5.0220120188312123E-2</v>
      </c>
      <c r="U100" s="32">
        <f>IF((((VLOOKUP(B100,'Data qoq'!$A:$AT,MATCH($U$1,'Data qoq'!$A$1:$AT$1,),))/100+1)^4)-1=0,#N/A,(((VLOOKUP(B100,'Data qoq'!$A:$AT,MATCH($U$1,'Data qoq'!$A$1:$AT$1,),))/100+1)^4)-1)</f>
        <v>5.0052817023635621E-2</v>
      </c>
      <c r="V100" s="32">
        <f>IF((((VLOOKUP(B100,'Data qoq'!$A:$AT,MATCH($V$1,'Data qoq'!$A$1:$AT$1,),))/100+1)^4)-1=0,#N/A,(((VLOOKUP(B100,'Data qoq'!$A:$AT,MATCH($V$1,'Data qoq'!$A$1:$AT$1,),))/100+1)^4)-1)</f>
        <v>7.3183079098746662E-2</v>
      </c>
      <c r="W100" s="32">
        <f>IF((((VLOOKUP(B100,'Data qoq'!$A:$AT,MATCH($W$1,'Data qoq'!$A$1:$AT$1,),))/100+1)^4)-1=0,#N/A,(((VLOOKUP(B100,'Data qoq'!$A:$AT,MATCH($W$1,'Data qoq'!$A$1:$AT$1,),))/100+1)^4)-1)</f>
        <v>8.5403513503491624E-2</v>
      </c>
      <c r="X100" s="32">
        <f>IF((((VLOOKUP(B100,'Data qoq'!$A:$AT,MATCH($X$1,'Data qoq'!$A$1:$AT$1,),))/100+1)^4)-1=0,#N/A,(((VLOOKUP(B100,'Data qoq'!$A:$AT,MATCH($X$1,'Data qoq'!$A$1:$AT$1,),))/100+1)^4)-1)</f>
        <v>1.8175121644148584E-2</v>
      </c>
      <c r="Y100" s="32">
        <f>IF((((VLOOKUP(B100,'Data qoq'!$A:$AT,MATCH($Y$1,'Data qoq'!$A$1:$AT$1,),))/100+1)^4)-1=0,#N/A,(((VLOOKUP(B100,'Data qoq'!$A:$AT,MATCH($Y$1,'Data qoq'!$A$1:$AT$1,),))/100+1)^4)-1)</f>
        <v>-8.2060748025180708E-2</v>
      </c>
      <c r="Z100" s="32">
        <f>IF((((VLOOKUP(B100,'Data qoq'!$A:$AU,MATCH($Z$1,'Data qoq'!$A$1:$AU$1,),))/100+1)^4)-1=0,#N/A,(((VLOOKUP(B100,'Data qoq'!$A:$AU,MATCH($Z$1,'Data qoq'!$A$1:$AU$1,),))/100+1)^4)-1)</f>
        <v>4.2361579903028801E-2</v>
      </c>
      <c r="AA100" s="32">
        <f>IF((((VLOOKUP(B100,'Data qoq'!$A:$AU,MATCH($AA$1,'Data qoq'!$A$1:$AU$1,),))/100+1)^4)-1=0,#N/A,(((VLOOKUP(B100,'Data qoq'!$A:$AU,MATCH($AA$1,'Data qoq'!$A$1:$AU$1,),))/100+1)^4)-1)</f>
        <v>7.0335234100887156E-2</v>
      </c>
      <c r="AC100" s="26" t="str">
        <f t="shared" si="10"/>
        <v>2022-Q2</v>
      </c>
      <c r="AD100" s="31">
        <f t="shared" si="11"/>
        <v>2.1784829845990172E-2</v>
      </c>
    </row>
    <row r="101" spans="1:30" s="73" customFormat="1" x14ac:dyDescent="0.2"/>
    <row r="102" spans="1:30" s="73" customFormat="1" x14ac:dyDescent="0.2"/>
    <row r="103" spans="1:30" s="73" customFormat="1" x14ac:dyDescent="0.2"/>
    <row r="104" spans="1:30" s="73" customFormat="1" x14ac:dyDescent="0.2"/>
    <row r="105" spans="1:30" s="73" customFormat="1" x14ac:dyDescent="0.2"/>
    <row r="106" spans="1:30" s="73" customFormat="1" x14ac:dyDescent="0.2"/>
    <row r="107" spans="1:30" s="73" customFormat="1" x14ac:dyDescent="0.2"/>
    <row r="108" spans="1:30" s="73" customFormat="1" x14ac:dyDescent="0.2"/>
    <row r="109" spans="1:30" s="73" customFormat="1" x14ac:dyDescent="0.2"/>
    <row r="110" spans="1:30" s="73" customFormat="1" x14ac:dyDescent="0.2"/>
    <row r="111" spans="1:30" s="73" customFormat="1" x14ac:dyDescent="0.2"/>
    <row r="112" spans="1:30"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80" zoomScaleNormal="180" workbookViewId="0">
      <selection activeCell="F175" sqref="F175"/>
    </sheetView>
  </sheetViews>
  <sheetFormatPr baseColWidth="10" defaultColWidth="9.1640625" defaultRowHeight="15" x14ac:dyDescent="0.2"/>
  <cols>
    <col min="1" max="1" width="9.1640625" style="73" customWidth="1"/>
    <col min="2" max="2" width="31.83203125" style="73" customWidth="1"/>
    <col min="3" max="3" width="13.83203125" style="73" customWidth="1"/>
    <col min="4" max="4" width="12.33203125" style="73" customWidth="1"/>
    <col min="5" max="5" width="18.33203125" style="73" customWidth="1"/>
    <col min="6" max="26" width="9.1640625" style="73" customWidth="1"/>
    <col min="27" max="16384" width="9.1640625" style="73"/>
  </cols>
  <sheetData>
    <row r="1" spans="2:5" ht="16" customHeight="1" thickBot="1" x14ac:dyDescent="0.25"/>
    <row r="2" spans="2:5" ht="17" customHeight="1" thickBot="1" x14ac:dyDescent="0.25">
      <c r="B2" s="70" t="s">
        <v>591</v>
      </c>
      <c r="C2" s="60" t="s">
        <v>592</v>
      </c>
      <c r="D2" s="61" t="s">
        <v>593</v>
      </c>
      <c r="E2" s="61" t="s">
        <v>594</v>
      </c>
    </row>
    <row r="3" spans="2:5" ht="16" customHeight="1" x14ac:dyDescent="0.2">
      <c r="B3" s="68" t="s">
        <v>559</v>
      </c>
      <c r="C3" s="71">
        <f>VLOOKUP(B3,'Data World GDP'!$A$2:$L$182,5,FALSE)/$C$31</f>
        <v>0.20907165131692593</v>
      </c>
      <c r="D3" s="33">
        <f>VLOOKUP(B3,'Data World GDP'!$A$2:$L$182,7,FALSE)</f>
        <v>1.7999999999999999E-2</v>
      </c>
      <c r="E3" s="33">
        <f>VLOOKUP(B3,'Data World GDP'!$A$2:$L$182,6,FALSE)</f>
        <v>-6.0000000000000001E-3</v>
      </c>
    </row>
    <row r="4" spans="2:5" ht="16" customHeight="1" x14ac:dyDescent="0.2">
      <c r="B4" s="68" t="s">
        <v>418</v>
      </c>
      <c r="C4" s="71">
        <f>VLOOKUP(B4,'Data World GDP'!$A$2:$L$182,5,FALSE)/$C$31</f>
        <v>0.16123137347601169</v>
      </c>
      <c r="D4" s="33">
        <f>VLOOKUP(B4,'Data World GDP'!$A$2:$L$182,7,FALSE)</f>
        <v>4.0000000000000001E-3</v>
      </c>
      <c r="E4" s="33">
        <f>VLOOKUP(B4,'Data World GDP'!$A$2:$L$182,6,FALSE)</f>
        <v>-2.5999999999999999E-2</v>
      </c>
    </row>
    <row r="5" spans="2:5" ht="16" customHeight="1" x14ac:dyDescent="0.2">
      <c r="B5" s="68" t="s">
        <v>438</v>
      </c>
      <c r="C5" s="71">
        <f>VLOOKUP(B5,'Data World GDP'!$A$2:$L$182,5,FALSE)/$C$31</f>
        <v>0.13176532625396623</v>
      </c>
      <c r="D5" s="33">
        <f>VLOOKUP(B5,'Data World GDP'!$A$2:$L$182,7,FALSE)</f>
        <v>4.0999999999999988E-2</v>
      </c>
      <c r="E5" s="33">
        <f>VLOOKUP(B5,'Data World GDP'!$A$2:$L$182,6,FALSE)</f>
        <v>8.0000000000000002E-3</v>
      </c>
    </row>
    <row r="6" spans="2:5" ht="16" customHeight="1" x14ac:dyDescent="0.2">
      <c r="B6" s="68" t="s">
        <v>466</v>
      </c>
      <c r="C6" s="71">
        <f>VLOOKUP(B6,'Data World GDP'!$A$2:$L$182,5,FALSE)/$C$31</f>
        <v>4.4885490631051635E-2</v>
      </c>
      <c r="D6" s="33">
        <f>VLOOKUP(B6,'Data World GDP'!$A$2:$L$182,7,FALSE)</f>
        <v>1.6E-2</v>
      </c>
      <c r="E6" s="33">
        <f>VLOOKUP(B6,'Data World GDP'!$A$2:$L$182,6,FALSE)</f>
        <v>9.0000000000000011E-3</v>
      </c>
    </row>
    <row r="7" spans="2:5" ht="16" customHeight="1" x14ac:dyDescent="0.2">
      <c r="B7" s="68" t="s">
        <v>445</v>
      </c>
      <c r="C7" s="71">
        <f>VLOOKUP(B7,'Data World GDP'!$A$2:$L$182,5,FALSE)/$C$31</f>
        <v>3.8394050422307278E-2</v>
      </c>
      <c r="D7" s="33">
        <f>VLOOKUP(B7,'Data World GDP'!$A$2:$L$182,7,FALSE)</f>
        <v>1.7000000000000001E-2</v>
      </c>
      <c r="E7" s="33">
        <f>VLOOKUP(B7,'Data World GDP'!$A$2:$L$182,6,FALSE)</f>
        <v>1E-3</v>
      </c>
    </row>
    <row r="8" spans="2:5" ht="16" customHeight="1" x14ac:dyDescent="0.2">
      <c r="B8" s="68" t="s">
        <v>558</v>
      </c>
      <c r="C8" s="71">
        <f>VLOOKUP(B8,'Data World GDP'!$A$2:$L$182,5,FALSE)/$C$31</f>
        <v>2.8975097962560575E-2</v>
      </c>
      <c r="D8" s="33">
        <f>VLOOKUP(B8,'Data World GDP'!$A$2:$L$182,7,FALSE)</f>
        <v>4.3999999999999997E-2</v>
      </c>
      <c r="E8" s="33">
        <f>VLOOKUP(B8,'Data World GDP'!$A$2:$L$182,6,FALSE)</f>
        <v>2E-3</v>
      </c>
    </row>
    <row r="9" spans="2:5" ht="16" customHeight="1" x14ac:dyDescent="0.2">
      <c r="B9" s="68" t="s">
        <v>457</v>
      </c>
      <c r="C9" s="71">
        <f>VLOOKUP(B9,'Data World GDP'!$A$2:$L$182,5,FALSE)/$C$31</f>
        <v>2.8847814821212646E-2</v>
      </c>
      <c r="D9" s="33">
        <f>VLOOKUP(B9,'Data World GDP'!$A$2:$L$182,7,FALSE)</f>
        <v>0.13500000000000001</v>
      </c>
      <c r="E9" s="33">
        <f>VLOOKUP(B9,'Data World GDP'!$A$2:$L$182,6,FALSE)</f>
        <v>-1.4E-2</v>
      </c>
    </row>
    <row r="10" spans="2:5" ht="16" customHeight="1" x14ac:dyDescent="0.2">
      <c r="B10" s="68" t="s">
        <v>441</v>
      </c>
      <c r="C10" s="71">
        <f>VLOOKUP(B10,'Data World GDP'!$A$2:$L$182,5,FALSE)/$C$31</f>
        <v>2.6702184724204707E-2</v>
      </c>
      <c r="D10" s="33">
        <f>VLOOKUP(B10,'Data World GDP'!$A$2:$L$182,7,FALSE)</f>
        <v>4.2000000000000003E-2</v>
      </c>
      <c r="E10" s="33">
        <f>VLOOKUP(B10,'Data World GDP'!$A$2:$L$182,6,FALSE)</f>
        <v>5.0000000000000001E-3</v>
      </c>
    </row>
    <row r="11" spans="2:5" ht="16" customHeight="1" x14ac:dyDescent="0.2">
      <c r="B11" s="68" t="s">
        <v>405</v>
      </c>
      <c r="C11" s="71">
        <f>VLOOKUP(B11,'Data World GDP'!$A$2:$L$182,5,FALSE)/$C$31</f>
        <v>1.4628469602058351E-2</v>
      </c>
      <c r="D11" s="33">
        <f>VLOOKUP(B11,'Data World GDP'!$A$2:$L$182,7,FALSE)</f>
        <v>3.2000000000000001E-2</v>
      </c>
      <c r="E11" s="33">
        <f>VLOOKUP(B11,'Data World GDP'!$A$2:$L$182,6,FALSE)</f>
        <v>1.2E-2</v>
      </c>
    </row>
    <row r="12" spans="2:5" ht="16" customHeight="1" x14ac:dyDescent="0.2">
      <c r="B12" s="68" t="s">
        <v>463</v>
      </c>
      <c r="C12" s="71">
        <f>VLOOKUP(B12,'Data World GDP'!$A$2:$L$182,5,FALSE)/$C$31</f>
        <v>1.9092471202189269E-2</v>
      </c>
      <c r="D12" s="33">
        <f>VLOOKUP(B12,'Data World GDP'!$A$2:$L$182,7,FALSE)</f>
        <v>0.05</v>
      </c>
      <c r="E12" s="33">
        <f>VLOOKUP(B12,'Data World GDP'!$A$2:$L$182,6,FALSE)</f>
        <v>1.0999999999999999E-2</v>
      </c>
    </row>
    <row r="13" spans="2:5" ht="16" customHeight="1" x14ac:dyDescent="0.2">
      <c r="B13" s="68" t="s">
        <v>412</v>
      </c>
      <c r="C13" s="71">
        <f>VLOOKUP(B13,'Data World GDP'!$A$2:$L$182,5,FALSE)/$C$31</f>
        <v>1.8101481030266112E-2</v>
      </c>
      <c r="D13" s="33">
        <f>VLOOKUP(B13,'Data World GDP'!$A$2:$L$182,7,FALSE)</f>
        <v>2.9000000000000001E-2</v>
      </c>
      <c r="E13" s="33">
        <f>VLOOKUP(B13,'Data World GDP'!$A$2:$L$182,6,FALSE)</f>
        <v>8.0000000000000002E-3</v>
      </c>
    </row>
    <row r="14" spans="2:5" ht="16" customHeight="1" x14ac:dyDescent="0.2">
      <c r="B14" s="68" t="s">
        <v>523</v>
      </c>
      <c r="C14" s="71">
        <f>VLOOKUP(B14,'Data World GDP'!$A$2:$L$182,5,FALSE)/$C$31</f>
        <v>1.6146775645280068E-2</v>
      </c>
      <c r="D14" s="33">
        <f>VLOOKUP(B14,'Data World GDP'!$A$2:$L$182,7,FALSE)</f>
        <v>-4.0999999999999988E-2</v>
      </c>
      <c r="E14" s="33">
        <f>VLOOKUP(B14,'Data World GDP'!$A$2:$L$182,6,FALSE)</f>
        <v>-8.0000000000000002E-3</v>
      </c>
    </row>
    <row r="15" spans="2:5" ht="16" customHeight="1" x14ac:dyDescent="0.2">
      <c r="B15" s="68" t="s">
        <v>536</v>
      </c>
      <c r="C15" s="71">
        <f>VLOOKUP(B15,'Data World GDP'!$A$2:$L$182,5,FALSE)/$C$31</f>
        <v>1.6355883663208809E-2</v>
      </c>
      <c r="D15" s="33">
        <f>VLOOKUP(B15,'Data World GDP'!$A$2:$L$182,7,FALSE)</f>
        <v>2.9000000000000001E-2</v>
      </c>
      <c r="E15" s="33">
        <f>VLOOKUP(B15,'Data World GDP'!$A$2:$L$182,6,FALSE)</f>
        <v>6.9999999999999993E-3</v>
      </c>
    </row>
    <row r="16" spans="2:5" ht="16" customHeight="1" x14ac:dyDescent="0.2">
      <c r="B16" s="68" t="s">
        <v>392</v>
      </c>
      <c r="C16" s="71">
        <f>VLOOKUP(B16,'Data World GDP'!$A$2:$L$182,5,FALSE)/$C$31</f>
        <v>1.4028420507132402E-2</v>
      </c>
      <c r="D16" s="33">
        <f>VLOOKUP(B16,'Data World GDP'!$A$2:$L$182,7,FALSE)</f>
        <v>3.5999999999999997E-2</v>
      </c>
      <c r="E16" s="33">
        <f>VLOOKUP(B16,'Data World GDP'!$A$2:$L$182,6,FALSE)</f>
        <v>9.0000000000000011E-3</v>
      </c>
    </row>
    <row r="17" spans="2:8" ht="16" customHeight="1" x14ac:dyDescent="0.2">
      <c r="B17" s="68" t="s">
        <v>538</v>
      </c>
      <c r="C17" s="71">
        <f>VLOOKUP(B17,'Data World GDP'!$A$2:$L$182,5,FALSE)/$C$31</f>
        <v>1.2955605458628434E-2</v>
      </c>
      <c r="D17" s="33">
        <f>VLOOKUP(B17,'Data World GDP'!$A$2:$L$182,7,FALSE)</f>
        <v>6.8000000000000005E-2</v>
      </c>
      <c r="E17" s="33">
        <f>VLOOKUP(B17,'Data World GDP'!$A$2:$L$182,6,FALSE)</f>
        <v>1.4999999999999999E-2</v>
      </c>
    </row>
    <row r="18" spans="2:8" ht="16" customHeight="1" x14ac:dyDescent="0.2">
      <c r="B18" s="68" t="s">
        <v>492</v>
      </c>
      <c r="C18" s="71">
        <f>VLOOKUP(B18,'Data World GDP'!$A$2:$L$182,5,FALSE)/$C$31</f>
        <v>1.1755507268776536E-2</v>
      </c>
      <c r="D18" s="33">
        <f>VLOOKUP(B18,'Data World GDP'!$A$2:$L$182,7,FALSE)</f>
        <v>0.02</v>
      </c>
      <c r="E18" s="33">
        <f>VLOOKUP(B18,'Data World GDP'!$A$2:$L$182,6,FALSE)</f>
        <v>9.0000000000000011E-3</v>
      </c>
    </row>
    <row r="19" spans="2:8" ht="16" customHeight="1" x14ac:dyDescent="0.2">
      <c r="B19" s="68" t="s">
        <v>458</v>
      </c>
      <c r="C19" s="71">
        <f>VLOOKUP(B19,'Data World GDP'!$A$2:$L$182,5,FALSE)/$C$31</f>
        <v>1.0782700402760225E-2</v>
      </c>
      <c r="D19" s="33">
        <f>VLOOKUP(B19,'Data World GDP'!$A$2:$L$182,7,FALSE)</f>
        <v>5.4399999999999997E-2</v>
      </c>
      <c r="E19" s="33">
        <f>VLOOKUP(B19,'Data World GDP'!$A$2:$L$182,6,FALSE)</f>
        <v>3.7199999999999997E-2</v>
      </c>
    </row>
    <row r="20" spans="2:8" ht="16" customHeight="1" x14ac:dyDescent="0.2">
      <c r="B20" s="68" t="s">
        <v>553</v>
      </c>
      <c r="C20" s="71">
        <f>VLOOKUP(B20,'Data World GDP'!$A$2:$L$182,5,FALSE)/$C$31</f>
        <v>7.4096971570401212E-3</v>
      </c>
      <c r="D20" s="33">
        <f>VLOOKUP(B20,'Data World GDP'!$A$2:$L$182,7,FALSE)</f>
        <v>7.5999999999999998E-2</v>
      </c>
      <c r="E20" s="33">
        <f>VLOOKUP(B20,'Data World GDP'!$A$2:$L$182,6,FALSE)</f>
        <v>2.1000000000000001E-2</v>
      </c>
    </row>
    <row r="21" spans="2:8" ht="16" customHeight="1" x14ac:dyDescent="0.2">
      <c r="B21" s="68" t="s">
        <v>546</v>
      </c>
      <c r="C21" s="71">
        <f>VLOOKUP(B21,'Data World GDP'!$A$2:$L$182,5,FALSE)/$C$31</f>
        <v>6.0823158258402959E-3</v>
      </c>
      <c r="D21" s="33">
        <f>VLOOKUP(B21,'Data World GDP'!$A$2:$L$182,7,FALSE)</f>
        <v>3.0499999999999999E-2</v>
      </c>
      <c r="E21" s="33">
        <f>VLOOKUP(B21,'Data World GDP'!$A$2:$L$182,6,FALSE)</f>
        <v>-1.7999999999999999E-2</v>
      </c>
    </row>
    <row r="22" spans="2:8" ht="16" customHeight="1" x14ac:dyDescent="0.2">
      <c r="B22" s="68" t="s">
        <v>517</v>
      </c>
      <c r="C22" s="71">
        <f>VLOOKUP(B22,'Data World GDP'!$A$2:$L$182,5,FALSE)/$C$31</f>
        <v>6.127774090607413E-3</v>
      </c>
      <c r="D22" s="33">
        <f>VLOOKUP(B22,'Data World GDP'!$A$2:$L$182,7,FALSE)</f>
        <v>5.5E-2</v>
      </c>
      <c r="E22" s="33">
        <f>VLOOKUP(B22,'Data World GDP'!$A$2:$L$182,6,FALSE)</f>
        <v>-2.1000000000000001E-2</v>
      </c>
    </row>
    <row r="23" spans="2:8" ht="16" customHeight="1" x14ac:dyDescent="0.2">
      <c r="B23" s="68" t="s">
        <v>461</v>
      </c>
      <c r="C23" s="71">
        <f>VLOOKUP(B23,'Data World GDP'!$A$2:$L$182,5,FALSE)/$C$31</f>
        <v>4.5367348237583078E-3</v>
      </c>
      <c r="D23" s="33">
        <f>VLOOKUP(B23,'Data World GDP'!$A$2:$L$182,7,FALSE)</f>
        <v>0.111</v>
      </c>
      <c r="E23" s="33">
        <f>VLOOKUP(B23,'Data World GDP'!$A$2:$L$182,6,FALSE)</f>
        <v>1.7999999999999999E-2</v>
      </c>
    </row>
    <row r="24" spans="2:8" ht="16" customHeight="1" x14ac:dyDescent="0.2">
      <c r="B24" s="68" t="s">
        <v>427</v>
      </c>
      <c r="C24" s="71">
        <f>VLOOKUP(B24,'Data World GDP'!$A$2:$L$182,5,FALSE)/$C$31</f>
        <v>3.6093862225091145E-3</v>
      </c>
      <c r="D24" s="33">
        <f>VLOOKUP(B24,'Data World GDP'!$A$2:$L$182,7,FALSE)</f>
        <v>3.9E-2</v>
      </c>
      <c r="E24" s="33">
        <f>VLOOKUP(B24,'Data World GDP'!$A$2:$L$182,6,FALSE)</f>
        <v>9.0000000000000011E-3</v>
      </c>
      <c r="H24" s="62" t="s">
        <v>18</v>
      </c>
    </row>
    <row r="25" spans="2:8" ht="16" customHeight="1" x14ac:dyDescent="0.2">
      <c r="B25" s="68" t="s">
        <v>426</v>
      </c>
      <c r="C25" s="71">
        <f>VLOOKUP(B25,'Data World GDP'!$A$2:$L$182,5,FALSE)/$C$31</f>
        <v>2.5638461328654164E-3</v>
      </c>
      <c r="D25" s="33">
        <f>VLOOKUP(B25,'Data World GDP'!$A$2:$L$182,7,FALSE)</f>
        <v>3.7000000000000012E-2</v>
      </c>
      <c r="E25" s="33">
        <f>VLOOKUP(B25,'Data World GDP'!$A$2:$L$182,6,FALSE)</f>
        <v>5.0000000000000001E-3</v>
      </c>
      <c r="H25" s="73" t="s">
        <v>595</v>
      </c>
    </row>
    <row r="26" spans="2:8" ht="16" customHeight="1" x14ac:dyDescent="0.2">
      <c r="B26" s="68" t="s">
        <v>504</v>
      </c>
      <c r="C26" s="71">
        <f>VLOOKUP(B26,'Data World GDP'!$A$2:$L$182,5,FALSE)/$C$31</f>
        <v>2.2729132383558655E-3</v>
      </c>
      <c r="D26" s="33">
        <f>VLOOKUP(B26,'Data World GDP'!$A$2:$L$182,7,FALSE)</f>
        <v>4.0000000000000001E-3</v>
      </c>
      <c r="E26" s="33">
        <f>VLOOKUP(B26,'Data World GDP'!$A$2:$L$182,6,FALSE)</f>
        <v>1.7000000000000001E-2</v>
      </c>
      <c r="H26" s="73" t="s">
        <v>596</v>
      </c>
    </row>
    <row r="27" spans="2:8" ht="17" customHeight="1" thickBot="1" x14ac:dyDescent="0.25">
      <c r="B27" s="69" t="s">
        <v>447</v>
      </c>
      <c r="C27" s="72">
        <f>VLOOKUP(B27,'Data World GDP'!$A$2:$L$182,5,FALSE)/$C$31</f>
        <v>1.9637970379394677E-3</v>
      </c>
      <c r="D27" s="34">
        <f>VLOOKUP(B27,'Data World GDP'!$A$2:$L$182,7,FALSE)</f>
        <v>7.6999999999999999E-2</v>
      </c>
      <c r="E27" s="34">
        <f>VLOOKUP(B27,'Data World GDP'!$A$2:$L$182,6,FALSE)</f>
        <v>1.2E-2</v>
      </c>
    </row>
    <row r="31" spans="2:8" x14ac:dyDescent="0.2">
      <c r="B31" s="73" t="s">
        <v>597</v>
      </c>
      <c r="C31" s="73">
        <f>SUM('Data World GDP'!$E$2:$E$182)</f>
        <v>109991</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3" customWidth="1"/>
  </cols>
  <sheetData>
    <row r="1" spans="1:22" ht="32" customHeight="1" x14ac:dyDescent="0.2">
      <c r="A1" s="39" t="s">
        <v>598</v>
      </c>
      <c r="B1" s="45" t="s">
        <v>64</v>
      </c>
      <c r="C1" s="40" t="s">
        <v>599</v>
      </c>
      <c r="D1" s="46"/>
      <c r="E1" s="47" t="s">
        <v>600</v>
      </c>
      <c r="F1" s="46"/>
      <c r="G1" s="46"/>
      <c r="H1" s="46"/>
      <c r="J1" s="73" t="str">
        <f>B1&amp;" GDP % yoy"</f>
        <v>USA GDP % yoy</v>
      </c>
    </row>
    <row r="2" spans="1:22" x14ac:dyDescent="0.2">
      <c r="A2" s="42">
        <v>17349</v>
      </c>
      <c r="B2" s="43">
        <f>VLOOKUP(A2,'Data yoy'!$B:$AW,MATCH($B$1,'Data yoy'!$B$1:$AW$1,0),FALSE)</f>
        <v>0</v>
      </c>
      <c r="C2" s="44"/>
      <c r="D2" s="46"/>
      <c r="E2" s="46"/>
      <c r="F2" s="46"/>
      <c r="G2" s="46"/>
      <c r="H2" s="46"/>
      <c r="J2" s="73" t="str">
        <f>B1&amp;" "&amp;C1</f>
        <v>USA Quarter Change</v>
      </c>
      <c r="V2" s="73" t="s">
        <v>23</v>
      </c>
    </row>
    <row r="3" spans="1:22" x14ac:dyDescent="0.2">
      <c r="A3" s="42">
        <v>17441</v>
      </c>
      <c r="B3" s="43">
        <f>VLOOKUP(A3,'Data yoy'!$B:$AW,MATCH($B$1,'Data yoy'!$B$1:$AW$1,0),FALSE)</f>
        <v>0</v>
      </c>
      <c r="C3" s="43">
        <f>Table13456789101112131415161734[[#This Row],[USA]]-B2</f>
        <v>0</v>
      </c>
      <c r="D3" s="46"/>
      <c r="E3" s="46"/>
      <c r="F3" s="46"/>
      <c r="G3" s="46"/>
      <c r="H3" s="46"/>
      <c r="J3" s="73" t="str">
        <f>J2&amp;" 2000-"</f>
        <v>USA Quarter Change 2000-</v>
      </c>
      <c r="V3" s="73" t="s">
        <v>24</v>
      </c>
    </row>
    <row r="4" spans="1:22" x14ac:dyDescent="0.2">
      <c r="A4" s="42">
        <v>17533</v>
      </c>
      <c r="B4" s="43">
        <f>VLOOKUP(A4,'Data yoy'!$B:$AW,MATCH($B$1,'Data yoy'!$B$1:$AW$1,0),FALSE)</f>
        <v>0</v>
      </c>
      <c r="C4" s="43">
        <f>Table13456789101112131415161734[[#This Row],[USA]]-B3</f>
        <v>0</v>
      </c>
      <c r="D4" s="46"/>
      <c r="E4" s="46"/>
      <c r="F4" s="46"/>
      <c r="G4" s="46"/>
      <c r="H4" s="46"/>
      <c r="V4" s="73" t="s">
        <v>26</v>
      </c>
    </row>
    <row r="5" spans="1:22" x14ac:dyDescent="0.2">
      <c r="A5" s="42">
        <v>17624</v>
      </c>
      <c r="B5" s="43">
        <f>VLOOKUP(A5,'Data yoy'!$B:$AW,MATCH($B$1,'Data yoy'!$B$1:$AW$1,0),FALSE)</f>
        <v>2.6047334659999999</v>
      </c>
      <c r="C5" s="43">
        <f>Table13456789101112131415161734[[#This Row],[USA]]-B4</f>
        <v>2.6047334659999999</v>
      </c>
      <c r="D5" s="46"/>
      <c r="E5" s="46"/>
      <c r="F5" s="46"/>
      <c r="G5" s="46"/>
      <c r="H5" s="46"/>
      <c r="V5" s="73" t="s">
        <v>28</v>
      </c>
    </row>
    <row r="6" spans="1:22" x14ac:dyDescent="0.2">
      <c r="A6" s="42">
        <v>17715</v>
      </c>
      <c r="B6" s="43">
        <f>VLOOKUP(A6,'Data yoy'!$B:$AW,MATCH($B$1,'Data yoy'!$B$1:$AW$1,0),FALSE)</f>
        <v>4.5773238760000003</v>
      </c>
      <c r="C6" s="43">
        <f>Table13456789101112131415161734[[#This Row],[USA]]-B5</f>
        <v>1.9725904100000005</v>
      </c>
      <c r="D6" s="46"/>
      <c r="E6" s="46"/>
      <c r="F6" s="46"/>
      <c r="G6" s="46"/>
      <c r="H6" s="46"/>
      <c r="V6" s="73" t="s">
        <v>30</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3" t="s">
        <v>31</v>
      </c>
    </row>
    <row r="8" spans="1:22" x14ac:dyDescent="0.2">
      <c r="A8" s="42">
        <v>17899</v>
      </c>
      <c r="B8" s="43">
        <f>VLOOKUP(A8,'Data yoy'!$B:$AW,MATCH($B$1,'Data yoy'!$B$1:$AW$1,0),FALSE)</f>
        <v>3.8867828379999998</v>
      </c>
      <c r="C8" s="43">
        <f>Table13456789101112131415161734[[#This Row],[USA]]-B7</f>
        <v>-1.5073383589999998</v>
      </c>
      <c r="D8" s="46"/>
      <c r="E8" s="46"/>
      <c r="F8" s="46"/>
      <c r="G8" s="46"/>
      <c r="H8" s="46"/>
      <c r="V8" s="73" t="s">
        <v>32</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3" t="s">
        <v>34</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3" t="s">
        <v>35</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3" t="s">
        <v>37</v>
      </c>
    </row>
    <row r="12" spans="1:22" x14ac:dyDescent="0.2">
      <c r="A12" s="42">
        <v>18264</v>
      </c>
      <c r="B12" s="43">
        <f>VLOOKUP(A12,'Data yoy'!$B:$AW,MATCH($B$1,'Data yoy'!$B$1:$AW$1,0),FALSE)</f>
        <v>-1.5330175429999999</v>
      </c>
      <c r="C12" s="43">
        <f>Table13456789101112131415161734[[#This Row],[USA]]-B11</f>
        <v>-0.9443263369999999</v>
      </c>
      <c r="D12" s="27"/>
      <c r="V12" s="73" t="s">
        <v>38</v>
      </c>
    </row>
    <row r="13" spans="1:22" x14ac:dyDescent="0.2">
      <c r="A13" s="42">
        <v>18354</v>
      </c>
      <c r="B13" s="43">
        <f>VLOOKUP(A13,'Data yoy'!$B:$AW,MATCH($B$1,'Data yoy'!$B$1:$AW$1,0),FALSE)</f>
        <v>3.7666806990000001</v>
      </c>
      <c r="C13" s="43">
        <f>Table13456789101112131415161734[[#This Row],[USA]]-B12</f>
        <v>5.2996982419999998</v>
      </c>
      <c r="D13" s="27"/>
      <c r="V13" s="73" t="s">
        <v>40</v>
      </c>
    </row>
    <row r="14" spans="1:22" x14ac:dyDescent="0.2">
      <c r="A14" s="42">
        <v>18445</v>
      </c>
      <c r="B14" s="43">
        <f>VLOOKUP(A14,'Data yoy'!$B:$AW,MATCH($B$1,'Data yoy'!$B$1:$AW$1,0),FALSE)</f>
        <v>7.2973606230000003</v>
      </c>
      <c r="C14" s="43">
        <f>Table13456789101112131415161734[[#This Row],[USA]]-B13</f>
        <v>3.5306799240000002</v>
      </c>
      <c r="D14" s="27"/>
      <c r="V14" s="73" t="s">
        <v>41</v>
      </c>
    </row>
    <row r="15" spans="1:22" x14ac:dyDescent="0.2">
      <c r="A15" s="42">
        <v>18537</v>
      </c>
      <c r="B15" s="43">
        <f>VLOOKUP(A15,'Data yoy'!$B:$AW,MATCH($B$1,'Data yoy'!$B$1:$AW$1,0),FALSE)</f>
        <v>10.304959761999999</v>
      </c>
      <c r="C15" s="43">
        <f>Table13456789101112131415161734[[#This Row],[USA]]-B14</f>
        <v>3.007599138999999</v>
      </c>
      <c r="D15" s="27"/>
      <c r="V15" s="73" t="s">
        <v>42</v>
      </c>
    </row>
    <row r="16" spans="1:22" x14ac:dyDescent="0.2">
      <c r="A16" s="42">
        <v>18629</v>
      </c>
      <c r="B16" s="43">
        <f>VLOOKUP(A16,'Data yoy'!$B:$AW,MATCH($B$1,'Data yoy'!$B$1:$AW$1,0),FALSE)</f>
        <v>13.368522327999999</v>
      </c>
      <c r="C16" s="43">
        <f>Table13456789101112131415161734[[#This Row],[USA]]-B15</f>
        <v>3.0635625659999999</v>
      </c>
      <c r="D16" s="27"/>
      <c r="V16" s="73" t="s">
        <v>44</v>
      </c>
    </row>
    <row r="17" spans="1:22" x14ac:dyDescent="0.2">
      <c r="A17" s="42">
        <v>18719</v>
      </c>
      <c r="B17" s="43">
        <f>VLOOKUP(A17,'Data yoy'!$B:$AW,MATCH($B$1,'Data yoy'!$B$1:$AW$1,0),FALSE)</f>
        <v>10.563012123</v>
      </c>
      <c r="C17" s="43">
        <f>Table13456789101112131415161734[[#This Row],[USA]]-B16</f>
        <v>-2.8055102049999991</v>
      </c>
      <c r="D17" s="27"/>
      <c r="V17" s="73" t="s">
        <v>45</v>
      </c>
    </row>
    <row r="18" spans="1:22" x14ac:dyDescent="0.2">
      <c r="A18" s="42">
        <v>18810</v>
      </c>
      <c r="B18" s="43">
        <f>VLOOKUP(A18,'Data yoy'!$B:$AW,MATCH($B$1,'Data yoy'!$B$1:$AW$1,0),FALSE)</f>
        <v>9.1498838239999998</v>
      </c>
      <c r="C18" s="43">
        <f>Table13456789101112131415161734[[#This Row],[USA]]-B17</f>
        <v>-1.4131282990000003</v>
      </c>
      <c r="D18" s="27"/>
      <c r="V18" s="73" t="s">
        <v>46</v>
      </c>
    </row>
    <row r="19" spans="1:22" x14ac:dyDescent="0.2">
      <c r="A19" s="42">
        <v>18902</v>
      </c>
      <c r="B19" s="43">
        <f>VLOOKUP(A19,'Data yoy'!$B:$AW,MATCH($B$1,'Data yoy'!$B$1:$AW$1,0),FALSE)</f>
        <v>7.2546955019999997</v>
      </c>
      <c r="C19" s="43">
        <f>Table13456789101112131415161734[[#This Row],[USA]]-B18</f>
        <v>-1.8951883220000001</v>
      </c>
      <c r="D19" s="27"/>
      <c r="V19" s="73" t="s">
        <v>47</v>
      </c>
    </row>
    <row r="20" spans="1:22" x14ac:dyDescent="0.2">
      <c r="A20" s="42">
        <v>18994</v>
      </c>
      <c r="B20" s="43">
        <f>VLOOKUP(A20,'Data yoy'!$B:$AW,MATCH($B$1,'Data yoy'!$B$1:$AW$1,0),FALSE)</f>
        <v>5.4713784949999997</v>
      </c>
      <c r="C20" s="43">
        <f>Table13456789101112131415161734[[#This Row],[USA]]-B19</f>
        <v>-1.783317007</v>
      </c>
      <c r="D20" s="27"/>
      <c r="V20" s="73" t="s">
        <v>48</v>
      </c>
    </row>
    <row r="21" spans="1:22" x14ac:dyDescent="0.2">
      <c r="A21" s="42">
        <v>19085</v>
      </c>
      <c r="B21" s="43">
        <f>VLOOKUP(A21,'Data yoy'!$B:$AW,MATCH($B$1,'Data yoy'!$B$1:$AW$1,0),FALSE)</f>
        <v>5.170000881</v>
      </c>
      <c r="C21" s="43">
        <f>Table13456789101112131415161734[[#This Row],[USA]]-B20</f>
        <v>-0.30137761399999974</v>
      </c>
      <c r="D21" s="27"/>
      <c r="V21" s="73" t="s">
        <v>49</v>
      </c>
    </row>
    <row r="22" spans="1:22" x14ac:dyDescent="0.2">
      <c r="A22" s="42">
        <v>19176</v>
      </c>
      <c r="B22" s="43">
        <f>VLOOKUP(A22,'Data yoy'!$B:$AW,MATCH($B$1,'Data yoy'!$B$1:$AW$1,0),FALSE)</f>
        <v>3.6014209519999998</v>
      </c>
      <c r="C22" s="43">
        <f>Table13456789101112131415161734[[#This Row],[USA]]-B21</f>
        <v>-1.5685799290000002</v>
      </c>
      <c r="D22" s="27"/>
      <c r="V22" s="73" t="s">
        <v>50</v>
      </c>
    </row>
    <row r="23" spans="1:22" x14ac:dyDescent="0.2">
      <c r="A23" s="42">
        <v>19268</v>
      </c>
      <c r="B23" s="43">
        <f>VLOOKUP(A23,'Data yoy'!$B:$AW,MATCH($B$1,'Data yoy'!$B$1:$AW$1,0),FALSE)</f>
        <v>2.2420593809999998</v>
      </c>
      <c r="C23" s="43">
        <f>Table13456789101112131415161734[[#This Row],[USA]]-B22</f>
        <v>-1.359361571</v>
      </c>
      <c r="D23" s="27"/>
      <c r="V23" s="73" t="s">
        <v>51</v>
      </c>
    </row>
    <row r="24" spans="1:22" x14ac:dyDescent="0.2">
      <c r="A24" s="42">
        <v>19360</v>
      </c>
      <c r="B24" s="43">
        <f>VLOOKUP(A24,'Data yoy'!$B:$AW,MATCH($B$1,'Data yoy'!$B$1:$AW$1,0),FALSE)</f>
        <v>5.3678369469999998</v>
      </c>
      <c r="C24" s="43">
        <f>Table13456789101112131415161734[[#This Row],[USA]]-B23</f>
        <v>3.125777566</v>
      </c>
      <c r="D24" s="27"/>
      <c r="V24" s="73" t="s">
        <v>52</v>
      </c>
    </row>
    <row r="25" spans="1:22" x14ac:dyDescent="0.2">
      <c r="A25" s="42">
        <v>19450</v>
      </c>
      <c r="B25" s="43">
        <f>VLOOKUP(A25,'Data yoy'!$B:$AW,MATCH($B$1,'Data yoy'!$B$1:$AW$1,0),FALSE)</f>
        <v>6.1917895940000003</v>
      </c>
      <c r="C25" s="43">
        <f>Table13456789101112131415161734[[#This Row],[USA]]-B24</f>
        <v>0.82395264700000048</v>
      </c>
      <c r="D25" s="27"/>
      <c r="V25" s="73" t="s">
        <v>53</v>
      </c>
    </row>
    <row r="26" spans="1:22" x14ac:dyDescent="0.2">
      <c r="A26" s="42">
        <v>19541</v>
      </c>
      <c r="B26" s="43">
        <f>VLOOKUP(A26,'Data yoy'!$B:$AW,MATCH($B$1,'Data yoy'!$B$1:$AW$1,0),FALSE)</f>
        <v>6.7825801630000004</v>
      </c>
      <c r="C26" s="43">
        <f>Table13456789101112131415161734[[#This Row],[USA]]-B25</f>
        <v>0.59079056900000015</v>
      </c>
      <c r="D26" s="27"/>
      <c r="V26" s="73" t="s">
        <v>54</v>
      </c>
    </row>
    <row r="27" spans="1:22" x14ac:dyDescent="0.2">
      <c r="A27" s="42">
        <v>19633</v>
      </c>
      <c r="B27" s="43">
        <f>VLOOKUP(A27,'Data yoy'!$B:$AW,MATCH($B$1,'Data yoy'!$B$1:$AW$1,0),FALSE)</f>
        <v>5.4207601810000003</v>
      </c>
      <c r="C27" s="43">
        <f>Table13456789101112131415161734[[#This Row],[USA]]-B26</f>
        <v>-1.3618199820000001</v>
      </c>
      <c r="D27" s="27"/>
      <c r="V27" s="73" t="s">
        <v>56</v>
      </c>
    </row>
    <row r="28" spans="1:22" x14ac:dyDescent="0.2">
      <c r="A28" s="42">
        <v>19725</v>
      </c>
      <c r="B28" s="43">
        <f>VLOOKUP(A28,'Data yoy'!$B:$AW,MATCH($B$1,'Data yoy'!$B$1:$AW$1,0),FALSE)</f>
        <v>0.52334884400000004</v>
      </c>
      <c r="C28" s="43">
        <f>Table13456789101112131415161734[[#This Row],[USA]]-B27</f>
        <v>-4.8974113370000003</v>
      </c>
      <c r="D28" s="27"/>
      <c r="V28" s="73" t="s">
        <v>57</v>
      </c>
    </row>
    <row r="29" spans="1:22" x14ac:dyDescent="0.2">
      <c r="A29" s="42">
        <v>19815</v>
      </c>
      <c r="B29" s="43">
        <f>VLOOKUP(A29,'Data yoy'!$B:$AW,MATCH($B$1,'Data yoy'!$B$1:$AW$1,0),FALSE)</f>
        <v>-1.782902464</v>
      </c>
      <c r="C29" s="43">
        <f>Table13456789101112131415161734[[#This Row],[USA]]-B28</f>
        <v>-2.3062513080000002</v>
      </c>
      <c r="D29" s="27"/>
      <c r="V29" s="73" t="s">
        <v>58</v>
      </c>
    </row>
    <row r="30" spans="1:22" x14ac:dyDescent="0.2">
      <c r="A30" s="42">
        <v>19906</v>
      </c>
      <c r="B30" s="43">
        <f>VLOOKUP(A30,'Data yoy'!$B:$AW,MATCH($B$1,'Data yoy'!$B$1:$AW$1,0),FALSE)</f>
        <v>-2.4300090499999998</v>
      </c>
      <c r="C30" s="43">
        <f>Table13456789101112131415161734[[#This Row],[USA]]-B29</f>
        <v>-0.64710658599999982</v>
      </c>
      <c r="D30" s="27"/>
      <c r="V30" s="73" t="s">
        <v>60</v>
      </c>
    </row>
    <row r="31" spans="1:22" x14ac:dyDescent="0.2">
      <c r="A31" s="42">
        <v>19998</v>
      </c>
      <c r="B31" s="43">
        <f>VLOOKUP(A31,'Data yoy'!$B:$AW,MATCH($B$1,'Data yoy'!$B$1:$AW$1,0),FALSE)</f>
        <v>-0.76976022300000002</v>
      </c>
      <c r="C31" s="43">
        <f>Table13456789101112131415161734[[#This Row],[USA]]-B30</f>
        <v>1.6602488269999998</v>
      </c>
      <c r="D31" s="27"/>
      <c r="V31" s="73" t="s">
        <v>61</v>
      </c>
    </row>
    <row r="32" spans="1:22" x14ac:dyDescent="0.2">
      <c r="A32" s="42">
        <v>20090</v>
      </c>
      <c r="B32" s="43">
        <f>VLOOKUP(A32,'Data yoy'!$B:$AW,MATCH($B$1,'Data yoy'!$B$1:$AW$1,0),FALSE)</f>
        <v>2.7270932499999998</v>
      </c>
      <c r="C32" s="43">
        <f>Table13456789101112131415161734[[#This Row],[USA]]-B31</f>
        <v>3.4968534729999998</v>
      </c>
      <c r="D32" s="27"/>
      <c r="V32" s="73" t="s">
        <v>62</v>
      </c>
    </row>
    <row r="33" spans="1:22" x14ac:dyDescent="0.2">
      <c r="A33" s="42">
        <v>20180</v>
      </c>
      <c r="B33" s="43">
        <f>VLOOKUP(A33,'Data yoy'!$B:$AW,MATCH($B$1,'Data yoy'!$B$1:$AW$1,0),FALSE)</f>
        <v>6.1687319870000001</v>
      </c>
      <c r="C33" s="43">
        <f>Table13456789101112131415161734[[#This Row],[USA]]-B32</f>
        <v>3.4416387370000003</v>
      </c>
      <c r="D33" s="27"/>
      <c r="V33" s="73" t="s">
        <v>63</v>
      </c>
    </row>
    <row r="34" spans="1:22" x14ac:dyDescent="0.2">
      <c r="A34" s="42">
        <v>20271</v>
      </c>
      <c r="B34" s="43">
        <f>VLOOKUP(A34,'Data yoy'!$B:$AW,MATCH($B$1,'Data yoy'!$B$1:$AW$1,0),FALSE)</f>
        <v>7.7788443279999999</v>
      </c>
      <c r="C34" s="43">
        <f>Table13456789101112131415161734[[#This Row],[USA]]-B33</f>
        <v>1.6101123409999998</v>
      </c>
      <c r="D34" s="27"/>
      <c r="V34" s="73" t="s">
        <v>64</v>
      </c>
    </row>
    <row r="35" spans="1:22" x14ac:dyDescent="0.2">
      <c r="A35" s="42">
        <v>20363</v>
      </c>
      <c r="B35" s="43">
        <f>VLOOKUP(A35,'Data yoy'!$B:$AW,MATCH($B$1,'Data yoy'!$B$1:$AW$1,0),FALSE)</f>
        <v>8.0145013810000005</v>
      </c>
      <c r="C35" s="43">
        <f>Table13456789101112131415161734[[#This Row],[USA]]-B34</f>
        <v>0.23565705300000062</v>
      </c>
      <c r="D35" s="27"/>
      <c r="V35" s="73" t="s">
        <v>33</v>
      </c>
    </row>
    <row r="36" spans="1:22" x14ac:dyDescent="0.2">
      <c r="A36" s="42">
        <v>20455</v>
      </c>
      <c r="B36" s="43">
        <f>VLOOKUP(A36,'Data yoy'!$B:$AW,MATCH($B$1,'Data yoy'!$B$1:$AW$1,0),FALSE)</f>
        <v>6.5775531980000004</v>
      </c>
      <c r="C36" s="43">
        <f>Table13456789101112131415161734[[#This Row],[USA]]-B35</f>
        <v>-1.4369481830000002</v>
      </c>
      <c r="D36" s="27"/>
      <c r="V36" t="s">
        <v>36</v>
      </c>
    </row>
    <row r="37" spans="1:22" x14ac:dyDescent="0.2">
      <c r="A37" s="42">
        <v>20546</v>
      </c>
      <c r="B37" s="43">
        <f>VLOOKUP(A37,'Data yoy'!$B:$AW,MATCH($B$1,'Data yoy'!$B$1:$AW$1,0),FALSE)</f>
        <v>3.2155485320000001</v>
      </c>
      <c r="C37" s="43">
        <f>Table13456789101112131415161734[[#This Row],[USA]]-B36</f>
        <v>-3.3620046660000003</v>
      </c>
      <c r="D37" s="27"/>
      <c r="V37" s="73" t="s">
        <v>39</v>
      </c>
    </row>
    <row r="38" spans="1:22" x14ac:dyDescent="0.2">
      <c r="A38" s="42">
        <v>20637</v>
      </c>
      <c r="B38" s="43">
        <f>VLOOKUP(A38,'Data yoy'!$B:$AW,MATCH($B$1,'Data yoy'!$B$1:$AW$1,0),FALSE)</f>
        <v>2.4021458670000002</v>
      </c>
      <c r="C38" s="43">
        <f>Table13456789101112131415161734[[#This Row],[USA]]-B37</f>
        <v>-0.81340266499999991</v>
      </c>
      <c r="D38" s="27"/>
      <c r="V38" s="73" t="s">
        <v>27</v>
      </c>
    </row>
    <row r="39" spans="1:22" x14ac:dyDescent="0.2">
      <c r="A39" s="42">
        <v>20729</v>
      </c>
      <c r="B39" s="43">
        <f>VLOOKUP(A39,'Data yoy'!$B:$AW,MATCH($B$1,'Data yoy'!$B$1:$AW$1,0),FALSE)</f>
        <v>0.94689641000000002</v>
      </c>
      <c r="C39" s="43">
        <f>Table13456789101112131415161734[[#This Row],[USA]]-B38</f>
        <v>-1.4552494570000003</v>
      </c>
      <c r="D39" s="27"/>
      <c r="V39" s="73" t="s">
        <v>43</v>
      </c>
    </row>
    <row r="40" spans="1:22" x14ac:dyDescent="0.2">
      <c r="A40" s="42">
        <v>20821</v>
      </c>
      <c r="B40" s="43">
        <f>VLOOKUP(A40,'Data yoy'!$B:$AW,MATCH($B$1,'Data yoy'!$B$1:$AW$1,0),FALSE)</f>
        <v>1.9960335760000001</v>
      </c>
      <c r="C40" s="43">
        <f>Table13456789101112131415161734[[#This Row],[USA]]-B39</f>
        <v>1.049137166</v>
      </c>
      <c r="D40" s="27"/>
      <c r="V40" s="73" t="s">
        <v>65</v>
      </c>
    </row>
    <row r="41" spans="1:22" x14ac:dyDescent="0.2">
      <c r="A41" s="42">
        <v>20911</v>
      </c>
      <c r="B41" s="43">
        <f>VLOOKUP(A41,'Data yoy'!$B:$AW,MATCH($B$1,'Data yoy'!$B$1:$AW$1,0),FALSE)</f>
        <v>3.0493286199999998</v>
      </c>
      <c r="C41" s="43">
        <f>Table13456789101112131415161734[[#This Row],[USA]]-B40</f>
        <v>1.0532950439999997</v>
      </c>
      <c r="D41" s="27"/>
      <c r="V41" s="73" t="s">
        <v>59</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1.8424163549999999</v>
      </c>
      <c r="C281" s="43">
        <f>Table13456789101112131415161734[[#This Row],[USA]]-B280</f>
        <v>-0.16176069100000023</v>
      </c>
      <c r="D281" s="27"/>
    </row>
    <row r="282" spans="1:4" x14ac:dyDescent="0.2">
      <c r="A282" s="42">
        <v>42917</v>
      </c>
      <c r="B282" s="43">
        <f>VLOOKUP(A282,'Data yoy'!$B:$AW,MATCH($B$1,'Data yoy'!$B$1:$AW$1,0),FALSE)</f>
        <v>2.0469128589999999</v>
      </c>
      <c r="C282" s="43">
        <f>Table13456789101112131415161734[[#This Row],[USA]]-B281</f>
        <v>0.20449650399999997</v>
      </c>
      <c r="D282" s="27"/>
    </row>
    <row r="283" spans="1:4" x14ac:dyDescent="0.2">
      <c r="A283" s="42">
        <v>43009</v>
      </c>
      <c r="B283" s="43">
        <f>VLOOKUP(A283,'Data yoy'!$B:$AW,MATCH($B$1,'Data yoy'!$B$1:$AW$1,0),FALSE)</f>
        <v>2.2765395380000002</v>
      </c>
      <c r="C283" s="43">
        <f>Table13456789101112131415161734[[#This Row],[USA]]-B282</f>
        <v>0.22962667900000033</v>
      </c>
      <c r="D283" s="27"/>
    </row>
    <row r="284" spans="1:4" x14ac:dyDescent="0.2">
      <c r="A284" s="42">
        <v>43101</v>
      </c>
      <c r="B284" s="43">
        <f>VLOOKUP(A284,'Data yoy'!$B:$AW,MATCH($B$1,'Data yoy'!$B$1:$AW$1,0),FALSE)</f>
        <v>2.7943204119999998</v>
      </c>
      <c r="C284" s="43">
        <f>Table13456789101112131415161734[[#This Row],[USA]]-B283</f>
        <v>0.51778087399999961</v>
      </c>
      <c r="D284" s="27"/>
    </row>
    <row r="285" spans="1:4" x14ac:dyDescent="0.2">
      <c r="A285" s="42">
        <v>43191</v>
      </c>
      <c r="B285" s="43">
        <f>VLOOKUP(A285,'Data yoy'!$B:$AW,MATCH($B$1,'Data yoy'!$B$1:$AW$1,0),FALSE)</f>
        <v>3.0635033840000001</v>
      </c>
      <c r="C285" s="43">
        <f>Table13456789101112131415161734[[#This Row],[USA]]-B284</f>
        <v>0.2691829720000003</v>
      </c>
      <c r="D285" s="27"/>
    </row>
    <row r="286" spans="1:4" x14ac:dyDescent="0.2">
      <c r="A286" s="42">
        <v>43282</v>
      </c>
      <c r="B286" s="43">
        <f>VLOOKUP(A286,'Data yoy'!$B:$AW,MATCH($B$1,'Data yoy'!$B$1:$AW$1,0),FALSE)</f>
        <v>3.2619828069999999</v>
      </c>
      <c r="C286" s="43">
        <f>Table13456789101112131415161734[[#This Row],[USA]]-B285</f>
        <v>0.19847942299999977</v>
      </c>
    </row>
    <row r="287" spans="1:4" x14ac:dyDescent="0.2">
      <c r="A287" s="42">
        <v>43374</v>
      </c>
      <c r="B287" s="43">
        <f>VLOOKUP(A287,'Data yoy'!$B:$AW,MATCH($B$1,'Data yoy'!$B$1:$AW$1,0),FALSE)</f>
        <v>3.1539838329999998</v>
      </c>
      <c r="C287" s="43">
        <f>Table13456789101112131415161734[[#This Row],[USA]]-B286</f>
        <v>-0.10799897400000003</v>
      </c>
    </row>
    <row r="288" spans="1:4" x14ac:dyDescent="0.2">
      <c r="A288" s="42">
        <v>43466</v>
      </c>
      <c r="B288" s="43">
        <f>VLOOKUP(A288,'Data yoy'!$B:$AW,MATCH($B$1,'Data yoy'!$B$1:$AW$1,0),FALSE)</f>
        <v>2.3125836280000001</v>
      </c>
      <c r="C288" s="43">
        <f>Table13456789101112131415161734[[#This Row],[USA]]-B287</f>
        <v>-0.84140020499999979</v>
      </c>
    </row>
    <row r="289" spans="1:4" x14ac:dyDescent="0.2">
      <c r="A289" s="42">
        <v>43556</v>
      </c>
      <c r="B289" s="43">
        <f>VLOOKUP(A289,'Data yoy'!$B:$AW,MATCH($B$1,'Data yoy'!$B$1:$AW$1,0),FALSE)</f>
        <v>2.1602281090000002</v>
      </c>
      <c r="C289" s="43">
        <f>Table13456789101112131415161734[[#This Row],[USA]]-B288</f>
        <v>-0.15235551899999988</v>
      </c>
    </row>
    <row r="290" spans="1:4" x14ac:dyDescent="0.2">
      <c r="A290" s="42">
        <v>43647</v>
      </c>
      <c r="B290" s="43">
        <f>VLOOKUP(A290,'Data yoy'!$B:$AW,MATCH($B$1,'Data yoy'!$B$1:$AW$1,0),FALSE)</f>
        <v>2.1355406160000001</v>
      </c>
      <c r="C290" s="43">
        <f>Table13456789101112131415161734[[#This Row],[USA]]-B289</f>
        <v>-2.468749300000006E-2</v>
      </c>
    </row>
    <row r="291" spans="1:4" s="73" customFormat="1" x14ac:dyDescent="0.2">
      <c r="A291" s="42">
        <v>43739</v>
      </c>
      <c r="B291" s="43">
        <f>VLOOKUP(A291,'Data yoy'!$B:$AW,MATCH($B$1,'Data yoy'!$B$1:$AW$1,0),FALSE)</f>
        <v>2.3058278649999999</v>
      </c>
      <c r="C291" s="43">
        <f>Table13456789101112131415161734[[#This Row],[USA]]-B290</f>
        <v>0.17028724899999981</v>
      </c>
      <c r="D291" s="48"/>
    </row>
    <row r="292" spans="1:4" s="73" customFormat="1" x14ac:dyDescent="0.2">
      <c r="A292" s="42">
        <v>43831</v>
      </c>
      <c r="B292" s="43">
        <f>VLOOKUP(A292,'Data yoy'!$B:$AW,MATCH($B$1,'Data yoy'!$B$1:$AW$1,0),FALSE)</f>
        <v>2.5726308480000002</v>
      </c>
      <c r="C292" s="43">
        <f>Table13456789101112131415161734[[#This Row],[USA]]-B291</f>
        <v>0.26680298300000027</v>
      </c>
      <c r="D292" s="48"/>
    </row>
    <row r="293" spans="1:4" s="73" customFormat="1" x14ac:dyDescent="0.2">
      <c r="A293" s="42">
        <v>43922</v>
      </c>
      <c r="B293" s="43">
        <f>VLOOKUP(A293,'Data yoy'!$B:$AW,MATCH($B$1,'Data yoy'!$B$1:$AW$1,0),FALSE)</f>
        <v>0.82008298099999999</v>
      </c>
      <c r="C293" s="43">
        <f>Table13456789101112131415161734[[#This Row],[USA]]-B292</f>
        <v>-1.7525478670000001</v>
      </c>
      <c r="D293" s="48"/>
    </row>
    <row r="294" spans="1:4" s="73" customFormat="1" x14ac:dyDescent="0.2">
      <c r="A294" s="42">
        <v>44013</v>
      </c>
      <c r="B294" s="43">
        <f>VLOOKUP(A294,'Data yoy'!$B:$AW,MATCH($B$1,'Data yoy'!$B$1:$AW$1,0),FALSE)</f>
        <v>-8.3506401560000008</v>
      </c>
      <c r="C294" s="43">
        <f>Table13456789101112131415161734[[#This Row],[USA]]-B293</f>
        <v>-9.1707231370000013</v>
      </c>
      <c r="D294" s="48"/>
    </row>
    <row r="295" spans="1:4" s="73" customFormat="1" x14ac:dyDescent="0.2">
      <c r="A295" s="42">
        <v>44105</v>
      </c>
      <c r="B295" s="43">
        <f>VLOOKUP(A295,'Data yoy'!$B:$AW,MATCH($B$1,'Data yoy'!$B$1:$AW$1,0),FALSE)</f>
        <v>-2.0240101209999999</v>
      </c>
      <c r="C295" s="43">
        <f>Table13456789101112131415161734[[#This Row],[USA]]-B294</f>
        <v>6.3266300350000009</v>
      </c>
      <c r="D295" s="48"/>
    </row>
    <row r="296" spans="1:4" s="73" customFormat="1" x14ac:dyDescent="0.2">
      <c r="A296" s="42">
        <v>44197</v>
      </c>
      <c r="B296" s="43">
        <f>VLOOKUP(A296,'Data yoy'!$B:$AW,MATCH($B$1,'Data yoy'!$B$1:$AW$1,0),FALSE)</f>
        <v>-1.5166199330000001</v>
      </c>
      <c r="C296" s="43">
        <f>Table13456789101112131415161734[[#This Row],[USA]]-B295</f>
        <v>0.5073901879999998</v>
      </c>
      <c r="D296" s="48"/>
    </row>
    <row r="297" spans="1:4" s="73" customFormat="1" x14ac:dyDescent="0.2">
      <c r="A297" s="42">
        <v>44287</v>
      </c>
      <c r="B297" s="43">
        <f>VLOOKUP(A297,'Data yoy'!$B:$AW,MATCH($B$1,'Data yoy'!$B$1:$AW$1,0),FALSE)</f>
        <v>1.1919350500000001</v>
      </c>
      <c r="C297" s="43">
        <f>Table13456789101112131415161734[[#This Row],[USA]]-B296</f>
        <v>2.708554983</v>
      </c>
      <c r="D297" s="48"/>
    </row>
    <row r="298" spans="1:4" s="73" customFormat="1" x14ac:dyDescent="0.2">
      <c r="A298" s="42">
        <v>44378</v>
      </c>
      <c r="B298" s="43">
        <f>VLOOKUP(A298,'Data yoy'!$B:$AW,MATCH($B$1,'Data yoy'!$B$1:$AW$1,0),FALSE)</f>
        <v>12.460854405999999</v>
      </c>
      <c r="C298" s="43">
        <f>Table13456789101112131415161734[[#This Row],[USA]]-B297</f>
        <v>11.268919356</v>
      </c>
      <c r="D298" s="48"/>
    </row>
    <row r="299" spans="1:4" s="73" customFormat="1" x14ac:dyDescent="0.2">
      <c r="A299" s="42">
        <v>44470</v>
      </c>
      <c r="B299" s="43">
        <f>VLOOKUP(A299,'Data yoy'!$B:$AW,MATCH($B$1,'Data yoy'!$B$1:$AW$1,0),FALSE)</f>
        <v>4.9556544809999998</v>
      </c>
      <c r="C299" s="43">
        <f>Table13456789101112131415161734[[#This Row],[USA]]-B298</f>
        <v>-7.5051999249999994</v>
      </c>
      <c r="D299" s="48"/>
    </row>
    <row r="300" spans="1:4" s="73" customFormat="1" x14ac:dyDescent="0.2">
      <c r="A300" s="42">
        <v>44562</v>
      </c>
      <c r="B300" s="43">
        <f>VLOOKUP(A300,'Data yoy'!$B:$AW,MATCH($B$1,'Data yoy'!$B$1:$AW$1,0),FALSE)</f>
        <v>5.7171000909999998</v>
      </c>
      <c r="C300" s="43">
        <f>Table13456789101112131415161734[[#This Row],[USA]]-B299</f>
        <v>0.76144560999999999</v>
      </c>
      <c r="D300" s="48"/>
    </row>
    <row r="301" spans="1:4" s="73" customFormat="1" x14ac:dyDescent="0.2">
      <c r="A301" s="42">
        <v>44652</v>
      </c>
      <c r="B301" s="43">
        <f>VLOOKUP(A301,'Data yoy'!$B:$AW,MATCH($B$1,'Data yoy'!$B$1:$AW$1,0),FALSE)</f>
        <v>3.6836789579999998</v>
      </c>
      <c r="C301" s="43">
        <f>Table13456789101112131415161734[[#This Row],[USA]]-B300</f>
        <v>-2.033421133</v>
      </c>
      <c r="D301" s="48"/>
    </row>
    <row r="302" spans="1:4" s="73" customFormat="1" x14ac:dyDescent="0.2">
      <c r="A302" s="42">
        <v>44743</v>
      </c>
      <c r="B302" s="43">
        <f>VLOOKUP(A302,'Data yoy'!$B:$AW,MATCH($B$1,'Data yoy'!$B$1:$AW$1,0),FALSE)</f>
        <v>1.796042498</v>
      </c>
      <c r="C302" s="43">
        <f>Table13456789101112131415161734[[#This Row],[USA]]-B301</f>
        <v>-1.8876364599999997</v>
      </c>
      <c r="D302" s="48"/>
    </row>
    <row r="303" spans="1:4" s="73" customFormat="1" x14ac:dyDescent="0.2">
      <c r="A303" s="49"/>
      <c r="B303" s="50"/>
      <c r="C303" s="41"/>
      <c r="D303" s="48"/>
    </row>
    <row r="304" spans="1:4" s="73" customFormat="1" x14ac:dyDescent="0.2">
      <c r="A304" s="49"/>
      <c r="B304" s="50"/>
      <c r="C304" s="41"/>
      <c r="D304" s="48"/>
    </row>
    <row r="305" spans="1:4" s="73" customFormat="1" x14ac:dyDescent="0.2">
      <c r="A305" s="49"/>
      <c r="B305" s="50"/>
      <c r="C305" s="41"/>
      <c r="D305" s="48"/>
    </row>
    <row r="306" spans="1:4" s="73" customFormat="1" x14ac:dyDescent="0.2">
      <c r="A306" s="49"/>
      <c r="B306" s="50"/>
      <c r="C306" s="41"/>
      <c r="D306" s="48"/>
    </row>
    <row r="307" spans="1:4" s="73" customFormat="1" x14ac:dyDescent="0.2">
      <c r="A307" s="49"/>
      <c r="B307" s="50"/>
      <c r="C307" s="41"/>
      <c r="D307" s="48"/>
    </row>
    <row r="308" spans="1:4" s="73" customFormat="1" x14ac:dyDescent="0.2">
      <c r="A308" s="49"/>
      <c r="B308" s="50"/>
      <c r="C308" s="41"/>
      <c r="D308" s="48"/>
    </row>
    <row r="309" spans="1:4" s="73" customFormat="1" x14ac:dyDescent="0.2">
      <c r="A309" s="49"/>
      <c r="B309" s="50"/>
      <c r="C309" s="41"/>
      <c r="D309" s="48"/>
    </row>
    <row r="310" spans="1:4" s="73" customFormat="1" x14ac:dyDescent="0.2">
      <c r="A310" s="49"/>
      <c r="B310" s="50"/>
      <c r="C310" s="41"/>
      <c r="D310" s="48"/>
    </row>
    <row r="311" spans="1:4" s="73" customFormat="1" x14ac:dyDescent="0.2">
      <c r="A311" s="49"/>
      <c r="B311" s="50"/>
      <c r="C311" s="41"/>
      <c r="D311" s="48"/>
    </row>
    <row r="312" spans="1:4" s="73" customFormat="1" x14ac:dyDescent="0.2">
      <c r="A312" s="49"/>
      <c r="B312" s="50"/>
      <c r="C312" s="41"/>
      <c r="D312" s="48"/>
    </row>
    <row r="313" spans="1:4" s="73" customFormat="1" x14ac:dyDescent="0.2">
      <c r="A313" s="49"/>
      <c r="B313" s="50"/>
      <c r="C313" s="41"/>
      <c r="D313" s="48"/>
    </row>
    <row r="314" spans="1:4" s="73" customFormat="1" x14ac:dyDescent="0.2">
      <c r="A314" s="49"/>
      <c r="B314" s="50"/>
      <c r="C314" s="41"/>
      <c r="D314" s="48"/>
    </row>
    <row r="315" spans="1:4" s="73" customFormat="1" x14ac:dyDescent="0.2">
      <c r="A315" s="49"/>
      <c r="B315" s="50"/>
      <c r="C315" s="41"/>
      <c r="D315" s="48"/>
    </row>
    <row r="316" spans="1:4" s="73" customFormat="1" x14ac:dyDescent="0.2">
      <c r="A316" s="49"/>
      <c r="B316" s="50"/>
      <c r="C316" s="41"/>
      <c r="D316" s="48"/>
    </row>
    <row r="317" spans="1:4" s="73" customFormat="1" x14ac:dyDescent="0.2">
      <c r="A317" s="49"/>
      <c r="B317" s="50"/>
      <c r="C317" s="41"/>
      <c r="D317" s="48"/>
    </row>
    <row r="318" spans="1:4" s="73" customFormat="1" x14ac:dyDescent="0.2">
      <c r="A318" s="49"/>
      <c r="B318" s="50"/>
      <c r="C318" s="41"/>
      <c r="D318" s="48"/>
    </row>
    <row r="319" spans="1:4" s="73" customFormat="1" x14ac:dyDescent="0.2">
      <c r="A319" s="49"/>
      <c r="B319" s="50"/>
      <c r="C319" s="41"/>
      <c r="D319" s="48"/>
    </row>
    <row r="320" spans="1:4" s="73" customFormat="1" x14ac:dyDescent="0.2">
      <c r="A320" s="49"/>
      <c r="B320" s="50"/>
      <c r="C320" s="41"/>
      <c r="D320" s="48"/>
    </row>
    <row r="321" spans="1:4" s="73" customFormat="1" x14ac:dyDescent="0.2">
      <c r="A321" s="49"/>
      <c r="B321" s="50"/>
      <c r="C321" s="41"/>
      <c r="D321" s="48"/>
    </row>
    <row r="322" spans="1:4" s="73" customFormat="1" x14ac:dyDescent="0.2">
      <c r="A322" s="49"/>
      <c r="B322" s="50"/>
      <c r="C322" s="41"/>
      <c r="D322" s="48"/>
    </row>
    <row r="323" spans="1:4" s="73" customFormat="1" x14ac:dyDescent="0.2">
      <c r="A323" s="49"/>
      <c r="B323" s="50"/>
      <c r="C323" s="41"/>
      <c r="D323" s="48"/>
    </row>
    <row r="324" spans="1:4" s="73" customFormat="1" x14ac:dyDescent="0.2">
      <c r="A324" s="49"/>
      <c r="B324" s="50"/>
      <c r="C324" s="41"/>
      <c r="D324" s="48"/>
    </row>
    <row r="325" spans="1:4" s="73" customFormat="1" x14ac:dyDescent="0.2">
      <c r="A325" s="49"/>
      <c r="B325" s="50"/>
      <c r="C325" s="41"/>
      <c r="D325" s="48"/>
    </row>
    <row r="326" spans="1:4" s="73" customFormat="1" x14ac:dyDescent="0.2">
      <c r="A326" s="49"/>
      <c r="B326" s="50"/>
      <c r="C326" s="41"/>
      <c r="D326" s="48"/>
    </row>
    <row r="327" spans="1:4" s="73" customFormat="1" x14ac:dyDescent="0.2">
      <c r="A327" s="49"/>
      <c r="B327" s="50"/>
      <c r="C327" s="41"/>
      <c r="D327" s="48"/>
    </row>
    <row r="328" spans="1:4" s="73" customFormat="1" x14ac:dyDescent="0.2">
      <c r="A328" s="49"/>
      <c r="B328" s="50"/>
      <c r="C328" s="41"/>
      <c r="D328" s="48"/>
    </row>
    <row r="329" spans="1:4" s="73" customFormat="1" x14ac:dyDescent="0.2">
      <c r="A329" s="49"/>
      <c r="B329" s="50"/>
      <c r="C329" s="41"/>
      <c r="D329" s="48"/>
    </row>
    <row r="330" spans="1:4" s="73" customFormat="1" x14ac:dyDescent="0.2">
      <c r="A330" s="49"/>
      <c r="B330" s="50"/>
      <c r="C330" s="41"/>
      <c r="D330" s="48"/>
    </row>
    <row r="331" spans="1:4" s="73" customFormat="1" x14ac:dyDescent="0.2">
      <c r="A331" s="49"/>
      <c r="B331" s="50"/>
      <c r="C331" s="41"/>
      <c r="D331" s="48"/>
    </row>
    <row r="332" spans="1:4" s="73" customFormat="1" x14ac:dyDescent="0.2">
      <c r="A332" s="49"/>
      <c r="B332" s="50"/>
      <c r="C332" s="41"/>
      <c r="D332" s="48"/>
    </row>
    <row r="333" spans="1:4" s="73" customFormat="1" x14ac:dyDescent="0.2">
      <c r="A333" s="49"/>
      <c r="B333" s="50"/>
      <c r="C333" s="41"/>
      <c r="D333" s="48"/>
    </row>
    <row r="334" spans="1:4" s="73" customFormat="1" x14ac:dyDescent="0.2">
      <c r="A334" s="49"/>
      <c r="B334" s="50"/>
      <c r="C334" s="41"/>
      <c r="D334" s="48"/>
    </row>
    <row r="335" spans="1:4" s="73" customFormat="1" x14ac:dyDescent="0.2">
      <c r="A335" s="49"/>
      <c r="B335" s="50"/>
      <c r="C335" s="41"/>
      <c r="D335" s="48"/>
    </row>
    <row r="336" spans="1:4" s="73" customFormat="1" x14ac:dyDescent="0.2">
      <c r="A336" s="49"/>
      <c r="B336" s="50"/>
      <c r="C336" s="41"/>
      <c r="D336" s="48"/>
    </row>
    <row r="337" spans="1:4" s="73" customFormat="1" x14ac:dyDescent="0.2">
      <c r="A337" s="49"/>
      <c r="B337" s="50"/>
      <c r="C337" s="41"/>
      <c r="D337" s="48"/>
    </row>
    <row r="338" spans="1:4" s="73" customFormat="1" x14ac:dyDescent="0.2">
      <c r="A338" s="49"/>
      <c r="B338" s="50"/>
      <c r="C338" s="41"/>
      <c r="D338" s="48"/>
    </row>
    <row r="339" spans="1:4" s="73" customFormat="1" x14ac:dyDescent="0.2">
      <c r="A339" s="49"/>
      <c r="B339" s="50"/>
      <c r="C339" s="41"/>
      <c r="D339" s="48"/>
    </row>
    <row r="340" spans="1:4" s="73" customFormat="1" x14ac:dyDescent="0.2">
      <c r="A340" s="49"/>
      <c r="B340" s="50"/>
      <c r="C340" s="41"/>
      <c r="D340" s="48"/>
    </row>
    <row r="341" spans="1:4" s="73" customFormat="1" x14ac:dyDescent="0.2">
      <c r="A341" s="49"/>
      <c r="B341" s="50"/>
      <c r="C341" s="41"/>
      <c r="D341" s="48"/>
    </row>
    <row r="342" spans="1:4" s="73" customFormat="1" x14ac:dyDescent="0.2">
      <c r="A342" s="49"/>
      <c r="B342" s="50"/>
      <c r="C342" s="41"/>
      <c r="D342" s="48"/>
    </row>
    <row r="343" spans="1:4" s="73" customFormat="1" x14ac:dyDescent="0.2">
      <c r="A343" s="49"/>
      <c r="B343" s="50"/>
      <c r="C343" s="41"/>
      <c r="D343" s="48"/>
    </row>
    <row r="344" spans="1:4" s="73" customFormat="1" x14ac:dyDescent="0.2">
      <c r="A344" s="49"/>
      <c r="B344" s="50"/>
      <c r="C344" s="41"/>
      <c r="D344" s="48"/>
    </row>
    <row r="345" spans="1:4" s="73" customFormat="1" x14ac:dyDescent="0.2">
      <c r="A345" s="49"/>
      <c r="B345" s="50"/>
      <c r="C345" s="41"/>
      <c r="D345" s="48"/>
    </row>
    <row r="346" spans="1:4" s="73" customFormat="1" x14ac:dyDescent="0.2">
      <c r="A346" s="49"/>
      <c r="B346" s="50"/>
      <c r="C346" s="41"/>
      <c r="D346" s="48"/>
    </row>
    <row r="347" spans="1:4" s="73" customFormat="1" x14ac:dyDescent="0.2">
      <c r="A347" s="49"/>
      <c r="B347" s="50"/>
      <c r="C347" s="41"/>
      <c r="D347" s="48"/>
    </row>
    <row r="348" spans="1:4" s="73" customFormat="1" x14ac:dyDescent="0.2">
      <c r="A348" s="49"/>
      <c r="B348" s="50"/>
      <c r="C348" s="41"/>
      <c r="D348" s="48"/>
    </row>
    <row r="349" spans="1:4" s="73" customFormat="1" x14ac:dyDescent="0.2">
      <c r="A349" s="49"/>
      <c r="B349" s="50"/>
      <c r="C349" s="41"/>
      <c r="D349" s="48"/>
    </row>
    <row r="350" spans="1:4" s="73" customFormat="1" x14ac:dyDescent="0.2">
      <c r="A350" s="49"/>
      <c r="B350" s="50"/>
      <c r="C350" s="41"/>
      <c r="D350" s="48"/>
    </row>
    <row r="351" spans="1:4" s="73" customFormat="1" x14ac:dyDescent="0.2">
      <c r="A351" s="49"/>
      <c r="B351" s="50"/>
      <c r="C351" s="41"/>
      <c r="D351" s="48"/>
    </row>
    <row r="352" spans="1:4" s="73" customFormat="1" x14ac:dyDescent="0.2">
      <c r="A352" s="49"/>
      <c r="B352" s="50"/>
      <c r="C352" s="41"/>
      <c r="D352" s="48"/>
    </row>
    <row r="353" spans="1:4" s="73" customFormat="1" x14ac:dyDescent="0.2">
      <c r="A353" s="49"/>
      <c r="B353" s="50"/>
      <c r="C353" s="41"/>
      <c r="D353" s="48"/>
    </row>
    <row r="354" spans="1:4" s="73" customFormat="1" x14ac:dyDescent="0.2">
      <c r="A354" s="49"/>
      <c r="B354" s="50"/>
      <c r="C354" s="41"/>
      <c r="D354" s="48"/>
    </row>
    <row r="355" spans="1:4" s="73" customFormat="1" x14ac:dyDescent="0.2">
      <c r="A355" s="49"/>
      <c r="B355" s="50"/>
      <c r="C355" s="41"/>
      <c r="D355" s="48"/>
    </row>
    <row r="356" spans="1:4" s="73" customFormat="1" x14ac:dyDescent="0.2">
      <c r="A356" s="49"/>
      <c r="B356" s="50"/>
      <c r="C356" s="41"/>
      <c r="D356" s="48"/>
    </row>
    <row r="357" spans="1:4" s="73" customFormat="1" x14ac:dyDescent="0.2">
      <c r="A357" s="49"/>
      <c r="B357" s="50"/>
      <c r="C357" s="41"/>
      <c r="D357" s="48"/>
    </row>
    <row r="358" spans="1:4" s="73" customFormat="1" x14ac:dyDescent="0.2">
      <c r="A358" s="49"/>
      <c r="B358" s="50"/>
      <c r="C358" s="41"/>
      <c r="D358" s="48"/>
    </row>
    <row r="359" spans="1:4" s="73" customFormat="1" x14ac:dyDescent="0.2">
      <c r="A359" s="49"/>
      <c r="B359" s="50"/>
      <c r="C359" s="41"/>
      <c r="D359" s="48"/>
    </row>
    <row r="360" spans="1:4" s="73" customFormat="1" x14ac:dyDescent="0.2">
      <c r="A360" s="49"/>
      <c r="B360" s="50"/>
      <c r="C360" s="41"/>
      <c r="D360" s="48"/>
    </row>
    <row r="361" spans="1:4" s="73" customFormat="1" x14ac:dyDescent="0.2">
      <c r="A361" s="49"/>
      <c r="B361" s="50"/>
      <c r="C361" s="41"/>
      <c r="D361" s="48"/>
    </row>
    <row r="362" spans="1:4" s="73" customFormat="1" x14ac:dyDescent="0.2">
      <c r="A362" s="49"/>
      <c r="B362" s="50"/>
      <c r="C362" s="41"/>
      <c r="D362" s="48"/>
    </row>
    <row r="363" spans="1:4" s="73" customFormat="1" x14ac:dyDescent="0.2">
      <c r="A363" s="49"/>
      <c r="B363" s="50"/>
      <c r="C363" s="41"/>
      <c r="D363" s="48"/>
    </row>
    <row r="364" spans="1:4" s="73" customFormat="1" x14ac:dyDescent="0.2">
      <c r="A364" s="49"/>
      <c r="B364" s="50"/>
      <c r="C364" s="41"/>
      <c r="D364" s="48"/>
    </row>
    <row r="365" spans="1:4" s="73" customFormat="1" x14ac:dyDescent="0.2">
      <c r="A365" s="49"/>
      <c r="B365" s="50"/>
      <c r="C365" s="41"/>
      <c r="D365" s="48"/>
    </row>
    <row r="366" spans="1:4" s="73" customFormat="1" x14ac:dyDescent="0.2">
      <c r="A366" s="49"/>
      <c r="B366" s="50"/>
      <c r="C366" s="41"/>
      <c r="D366" s="48"/>
    </row>
    <row r="367" spans="1:4" s="73" customFormat="1" x14ac:dyDescent="0.2">
      <c r="A367" s="49"/>
      <c r="B367" s="50"/>
      <c r="C367" s="41"/>
      <c r="D367" s="48"/>
    </row>
    <row r="368" spans="1:4" s="73" customFormat="1" x14ac:dyDescent="0.2">
      <c r="A368" s="49"/>
      <c r="B368" s="50"/>
      <c r="C368" s="41"/>
      <c r="D368" s="48"/>
    </row>
    <row r="369" spans="1:4" s="73" customFormat="1" x14ac:dyDescent="0.2">
      <c r="A369" s="49"/>
      <c r="B369" s="50"/>
      <c r="C369" s="41"/>
      <c r="D369" s="48"/>
    </row>
    <row r="370" spans="1:4" s="73" customFormat="1" x14ac:dyDescent="0.2">
      <c r="A370" s="49"/>
      <c r="B370" s="50"/>
      <c r="C370" s="41"/>
      <c r="D370" s="48"/>
    </row>
    <row r="371" spans="1:4" s="73" customFormat="1" x14ac:dyDescent="0.2">
      <c r="A371" s="49"/>
      <c r="B371" s="50"/>
      <c r="C371" s="41"/>
      <c r="D371" s="48"/>
    </row>
    <row r="372" spans="1:4" s="73" customFormat="1" x14ac:dyDescent="0.2">
      <c r="A372" s="49"/>
      <c r="B372" s="50"/>
      <c r="C372" s="41"/>
      <c r="D372" s="48"/>
    </row>
    <row r="373" spans="1:4" s="73" customFormat="1" x14ac:dyDescent="0.2">
      <c r="A373" s="49"/>
      <c r="B373" s="50"/>
      <c r="C373" s="41"/>
      <c r="D373" s="48"/>
    </row>
    <row r="374" spans="1:4" s="73" customFormat="1" x14ac:dyDescent="0.2">
      <c r="A374" s="49"/>
      <c r="B374" s="50"/>
      <c r="C374" s="41"/>
      <c r="D374" s="48"/>
    </row>
    <row r="375" spans="1:4" s="73" customFormat="1" x14ac:dyDescent="0.2">
      <c r="A375" s="49"/>
      <c r="B375" s="50"/>
      <c r="C375" s="41"/>
      <c r="D375" s="48"/>
    </row>
    <row r="376" spans="1:4" s="73" customFormat="1" x14ac:dyDescent="0.2">
      <c r="A376" s="49"/>
      <c r="B376" s="50"/>
      <c r="C376" s="41"/>
      <c r="D376" s="48"/>
    </row>
    <row r="377" spans="1:4" s="73" customFormat="1" x14ac:dyDescent="0.2">
      <c r="A377" s="49"/>
      <c r="B377" s="50"/>
      <c r="C377" s="41"/>
      <c r="D377" s="48"/>
    </row>
    <row r="378" spans="1:4" s="73" customFormat="1" x14ac:dyDescent="0.2">
      <c r="A378" s="49"/>
      <c r="B378" s="50"/>
      <c r="C378" s="41"/>
      <c r="D378" s="48"/>
    </row>
    <row r="379" spans="1:4" s="73" customFormat="1" x14ac:dyDescent="0.2">
      <c r="A379" s="49"/>
      <c r="B379" s="50"/>
      <c r="C379" s="41"/>
      <c r="D379" s="48"/>
    </row>
    <row r="380" spans="1:4" s="73" customFormat="1" x14ac:dyDescent="0.2">
      <c r="A380" s="49"/>
      <c r="B380" s="50"/>
      <c r="C380" s="41"/>
      <c r="D380" s="48"/>
    </row>
    <row r="381" spans="1:4" s="73" customFormat="1" x14ac:dyDescent="0.2">
      <c r="A381" s="49"/>
      <c r="B381" s="50"/>
      <c r="C381" s="41"/>
      <c r="D381" s="48"/>
    </row>
    <row r="382" spans="1:4" s="73" customFormat="1" x14ac:dyDescent="0.2">
      <c r="A382" s="49"/>
      <c r="B382" s="50"/>
      <c r="C382" s="41"/>
      <c r="D382" s="48"/>
    </row>
    <row r="383" spans="1:4" s="73" customFormat="1" x14ac:dyDescent="0.2">
      <c r="A383" s="49"/>
      <c r="B383" s="50"/>
      <c r="C383" s="41"/>
      <c r="D383" s="48"/>
    </row>
    <row r="384" spans="1:4" s="73" customFormat="1" x14ac:dyDescent="0.2">
      <c r="A384" s="49"/>
      <c r="B384" s="50"/>
      <c r="C384" s="41"/>
      <c r="D384" s="48"/>
    </row>
    <row r="385" spans="1:4" s="73" customFormat="1" x14ac:dyDescent="0.2">
      <c r="A385" s="49"/>
      <c r="B385" s="50"/>
      <c r="C385" s="41"/>
      <c r="D385" s="48"/>
    </row>
    <row r="386" spans="1:4" s="73" customFormat="1" x14ac:dyDescent="0.2">
      <c r="A386" s="49"/>
      <c r="B386" s="50"/>
      <c r="C386" s="41"/>
      <c r="D386" s="48"/>
    </row>
    <row r="387" spans="1:4" s="73" customFormat="1" x14ac:dyDescent="0.2">
      <c r="A387" s="49"/>
      <c r="B387" s="50"/>
      <c r="C387" s="41"/>
      <c r="D387" s="48"/>
    </row>
    <row r="388" spans="1:4" s="73" customFormat="1" x14ac:dyDescent="0.2">
      <c r="A388" s="49"/>
      <c r="B388" s="50"/>
      <c r="C388" s="41"/>
      <c r="D388" s="48"/>
    </row>
    <row r="389" spans="1:4" s="73" customFormat="1" x14ac:dyDescent="0.2">
      <c r="A389" s="49"/>
      <c r="B389" s="50"/>
      <c r="C389" s="41"/>
      <c r="D389" s="48"/>
    </row>
    <row r="390" spans="1:4" s="73" customFormat="1" x14ac:dyDescent="0.2">
      <c r="A390" s="49"/>
      <c r="B390" s="50"/>
      <c r="C390" s="41"/>
      <c r="D390" s="48"/>
    </row>
    <row r="391" spans="1:4" s="73" customFormat="1" x14ac:dyDescent="0.2">
      <c r="A391" s="49"/>
      <c r="B391" s="50"/>
      <c r="C391" s="41"/>
      <c r="D391" s="48"/>
    </row>
    <row r="392" spans="1:4" s="73" customFormat="1" x14ac:dyDescent="0.2">
      <c r="A392" s="49"/>
      <c r="B392" s="50"/>
      <c r="C392" s="41"/>
      <c r="D392" s="48"/>
    </row>
    <row r="393" spans="1:4" s="73" customFormat="1" x14ac:dyDescent="0.2">
      <c r="A393" s="49"/>
      <c r="B393" s="50"/>
      <c r="C393" s="41"/>
      <c r="D393" s="48"/>
    </row>
    <row r="394" spans="1:4" s="73" customFormat="1" x14ac:dyDescent="0.2">
      <c r="A394" s="49"/>
      <c r="B394" s="50"/>
      <c r="C394" s="41"/>
      <c r="D394" s="48"/>
    </row>
    <row r="395" spans="1:4" s="73" customFormat="1" x14ac:dyDescent="0.2">
      <c r="A395" s="49"/>
      <c r="B395" s="50"/>
      <c r="C395" s="41"/>
      <c r="D395" s="48"/>
    </row>
    <row r="396" spans="1:4" s="73" customFormat="1" x14ac:dyDescent="0.2">
      <c r="A396" s="49"/>
      <c r="B396" s="50"/>
      <c r="C396" s="41"/>
      <c r="D396" s="48"/>
    </row>
    <row r="397" spans="1:4" s="73" customFormat="1" x14ac:dyDescent="0.2">
      <c r="A397" s="49"/>
      <c r="B397" s="50"/>
      <c r="C397" s="41"/>
      <c r="D397" s="48"/>
    </row>
    <row r="398" spans="1:4" s="73" customFormat="1" x14ac:dyDescent="0.2">
      <c r="A398" s="49"/>
      <c r="B398" s="50"/>
      <c r="C398" s="41"/>
      <c r="D398" s="48"/>
    </row>
    <row r="399" spans="1:4" s="73" customFormat="1" x14ac:dyDescent="0.2">
      <c r="A399" s="49"/>
      <c r="B399" s="50"/>
      <c r="C399" s="41"/>
      <c r="D399" s="48"/>
    </row>
    <row r="400" spans="1:4" s="73" customFormat="1" x14ac:dyDescent="0.2">
      <c r="A400" s="49"/>
      <c r="B400" s="50"/>
      <c r="C400" s="41"/>
      <c r="D400" s="48"/>
    </row>
    <row r="401" spans="1:4" s="73" customFormat="1" x14ac:dyDescent="0.2">
      <c r="A401" s="49"/>
      <c r="B401" s="50"/>
      <c r="C401" s="41"/>
      <c r="D401" s="48"/>
    </row>
    <row r="402" spans="1:4" s="73" customFormat="1" x14ac:dyDescent="0.2">
      <c r="A402" s="49"/>
      <c r="B402" s="50"/>
      <c r="C402" s="41"/>
      <c r="D402" s="48"/>
    </row>
    <row r="403" spans="1:4" s="73" customFormat="1" x14ac:dyDescent="0.2">
      <c r="A403" s="49"/>
      <c r="B403" s="50"/>
      <c r="C403" s="41"/>
      <c r="D403" s="48"/>
    </row>
    <row r="404" spans="1:4" s="73" customFormat="1" x14ac:dyDescent="0.2">
      <c r="A404" s="49"/>
      <c r="B404" s="50"/>
      <c r="C404" s="41"/>
      <c r="D404" s="48"/>
    </row>
    <row r="405" spans="1:4" s="73" customFormat="1" x14ac:dyDescent="0.2">
      <c r="A405" s="49"/>
      <c r="B405" s="50"/>
      <c r="C405" s="41"/>
      <c r="D405" s="48"/>
    </row>
    <row r="406" spans="1:4" s="73" customFormat="1" x14ac:dyDescent="0.2">
      <c r="A406" s="49"/>
      <c r="B406" s="50"/>
      <c r="C406" s="41"/>
      <c r="D406" s="48"/>
    </row>
    <row r="407" spans="1:4" s="73" customFormat="1" x14ac:dyDescent="0.2">
      <c r="A407" s="49"/>
      <c r="B407" s="50"/>
      <c r="C407" s="41"/>
      <c r="D407" s="48"/>
    </row>
    <row r="408" spans="1:4" s="73" customFormat="1" x14ac:dyDescent="0.2">
      <c r="A408" s="49"/>
      <c r="B408" s="50"/>
      <c r="C408" s="41"/>
      <c r="D408" s="48"/>
    </row>
    <row r="409" spans="1:4" s="73" customFormat="1" x14ac:dyDescent="0.2">
      <c r="A409" s="49"/>
      <c r="B409" s="50"/>
      <c r="C409" s="41"/>
      <c r="D409" s="48"/>
    </row>
    <row r="410" spans="1:4" s="73" customFormat="1" x14ac:dyDescent="0.2">
      <c r="A410" s="49"/>
      <c r="B410" s="50"/>
      <c r="C410" s="41"/>
      <c r="D410" s="48"/>
    </row>
    <row r="411" spans="1:4" s="73" customFormat="1" x14ac:dyDescent="0.2">
      <c r="A411" s="49"/>
      <c r="B411" s="50"/>
      <c r="C411" s="41"/>
      <c r="D411" s="48"/>
    </row>
    <row r="412" spans="1:4" s="73" customFormat="1" x14ac:dyDescent="0.2">
      <c r="A412" s="49"/>
      <c r="B412" s="50"/>
      <c r="C412" s="41"/>
      <c r="D412" s="48"/>
    </row>
    <row r="413" spans="1:4" s="73" customFormat="1" x14ac:dyDescent="0.2">
      <c r="A413" s="49"/>
      <c r="B413" s="50"/>
      <c r="C413" s="41"/>
      <c r="D413" s="48"/>
    </row>
    <row r="414" spans="1:4" s="73" customFormat="1" x14ac:dyDescent="0.2">
      <c r="A414" s="49"/>
      <c r="B414" s="50"/>
      <c r="C414" s="41"/>
      <c r="D414" s="48"/>
    </row>
    <row r="415" spans="1:4" s="73" customFormat="1" x14ac:dyDescent="0.2">
      <c r="A415" s="49"/>
      <c r="B415" s="50"/>
      <c r="C415" s="41"/>
      <c r="D415" s="48"/>
    </row>
    <row r="416" spans="1:4" s="73" customFormat="1" x14ac:dyDescent="0.2">
      <c r="A416" s="49"/>
      <c r="B416" s="50"/>
      <c r="C416" s="41"/>
      <c r="D416" s="48"/>
    </row>
    <row r="417" spans="1:4" s="73" customFormat="1" x14ac:dyDescent="0.2">
      <c r="A417" s="49"/>
      <c r="B417" s="50"/>
      <c r="C417" s="41"/>
      <c r="D417" s="48"/>
    </row>
    <row r="418" spans="1:4" s="73" customFormat="1" x14ac:dyDescent="0.2">
      <c r="A418" s="49"/>
      <c r="B418" s="50"/>
      <c r="C418" s="41"/>
      <c r="D418" s="48"/>
    </row>
    <row r="419" spans="1:4" s="73" customFormat="1" x14ac:dyDescent="0.2">
      <c r="A419" s="49"/>
      <c r="B419" s="50"/>
      <c r="C419" s="41"/>
      <c r="D419" s="48"/>
    </row>
    <row r="420" spans="1:4" s="73" customFormat="1" x14ac:dyDescent="0.2">
      <c r="A420" s="49"/>
      <c r="B420" s="50"/>
      <c r="C420" s="41"/>
      <c r="D420" s="48"/>
    </row>
    <row r="421" spans="1:4" s="73" customFormat="1" x14ac:dyDescent="0.2">
      <c r="A421" s="49"/>
      <c r="B421" s="50"/>
      <c r="C421" s="41"/>
      <c r="D421" s="48"/>
    </row>
    <row r="422" spans="1:4" s="73" customFormat="1" x14ac:dyDescent="0.2">
      <c r="A422" s="49"/>
      <c r="B422" s="50"/>
      <c r="C422" s="41"/>
      <c r="D422" s="48"/>
    </row>
    <row r="423" spans="1:4" s="73" customFormat="1" x14ac:dyDescent="0.2">
      <c r="A423" s="49"/>
      <c r="B423" s="50"/>
      <c r="C423" s="41"/>
      <c r="D423" s="48"/>
    </row>
    <row r="424" spans="1:4" s="73" customFormat="1" x14ac:dyDescent="0.2">
      <c r="A424" s="49"/>
      <c r="B424" s="50"/>
      <c r="C424" s="41"/>
      <c r="D424" s="48"/>
    </row>
    <row r="425" spans="1:4" s="73" customFormat="1" x14ac:dyDescent="0.2">
      <c r="A425" s="49"/>
      <c r="B425" s="50"/>
      <c r="C425" s="41"/>
      <c r="D425" s="48"/>
    </row>
    <row r="426" spans="1:4" s="73" customFormat="1" x14ac:dyDescent="0.2">
      <c r="A426" s="49"/>
      <c r="B426" s="50"/>
      <c r="C426" s="41"/>
      <c r="D426" s="48"/>
    </row>
    <row r="427" spans="1:4" s="73" customFormat="1" x14ac:dyDescent="0.2">
      <c r="A427" s="49"/>
      <c r="B427" s="50"/>
      <c r="C427" s="41"/>
      <c r="D427" s="48"/>
    </row>
    <row r="428" spans="1:4" s="73" customFormat="1" x14ac:dyDescent="0.2">
      <c r="A428" s="49"/>
      <c r="B428" s="50"/>
      <c r="C428" s="41"/>
      <c r="D428" s="48"/>
    </row>
    <row r="429" spans="1:4" s="73" customFormat="1" x14ac:dyDescent="0.2">
      <c r="A429" s="49"/>
      <c r="B429" s="50"/>
      <c r="C429" s="41"/>
      <c r="D429" s="48"/>
    </row>
    <row r="430" spans="1:4" s="73" customFormat="1" x14ac:dyDescent="0.2">
      <c r="A430" s="49"/>
      <c r="B430" s="50"/>
      <c r="C430" s="41"/>
      <c r="D430" s="48"/>
    </row>
    <row r="431" spans="1:4" s="73" customFormat="1" x14ac:dyDescent="0.2">
      <c r="A431" s="49"/>
      <c r="B431" s="50"/>
      <c r="C431" s="41"/>
      <c r="D431" s="48"/>
    </row>
    <row r="432" spans="1:4" s="73" customFormat="1" x14ac:dyDescent="0.2">
      <c r="A432" s="49"/>
      <c r="B432" s="50"/>
      <c r="C432" s="41"/>
      <c r="D432" s="48"/>
    </row>
    <row r="433" spans="1:4" s="73" customFormat="1" x14ac:dyDescent="0.2">
      <c r="A433" s="49"/>
      <c r="B433" s="50"/>
      <c r="C433" s="41"/>
      <c r="D433" s="48"/>
    </row>
    <row r="434" spans="1:4" s="73"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78" activePane="bottomLeft" state="frozen"/>
      <selection activeCell="F175" sqref="F175"/>
      <selection pane="bottomLeft" activeCell="F175" sqref="F175"/>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3" customWidth="1"/>
  </cols>
  <sheetData>
    <row r="1" spans="1:22" ht="32" customHeight="1" x14ac:dyDescent="0.2">
      <c r="A1" s="51" t="s">
        <v>598</v>
      </c>
      <c r="B1" s="45" t="s">
        <v>64</v>
      </c>
      <c r="C1" s="52" t="s">
        <v>599</v>
      </c>
      <c r="D1" s="53" t="s">
        <v>601</v>
      </c>
      <c r="E1" s="47" t="s">
        <v>600</v>
      </c>
      <c r="F1" s="46"/>
      <c r="G1" s="46"/>
      <c r="H1" s="46"/>
      <c r="J1" s="73" t="str">
        <f>B1&amp;" GDP % qoq"</f>
        <v>USA GDP % qoq</v>
      </c>
      <c r="V1" s="73" t="s">
        <v>22</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3" t="str">
        <f>B1&amp;" GDP % qoq annualized"</f>
        <v>USA GDP % qoq annualized</v>
      </c>
      <c r="V2" s="73" t="s">
        <v>23</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3" t="s">
        <v>24</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3" t="s">
        <v>26</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3" t="s">
        <v>28</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3" t="s">
        <v>30</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3" t="s">
        <v>31</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3" t="s">
        <v>32</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3" t="s">
        <v>34</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3" t="s">
        <v>35</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3" t="s">
        <v>37</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3" t="s">
        <v>38</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3" t="s">
        <v>40</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3" t="s">
        <v>41</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3" t="s">
        <v>42</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3" t="s">
        <v>44</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3" t="s">
        <v>45</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3" t="s">
        <v>46</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3" t="s">
        <v>47</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3" t="s">
        <v>48</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3" t="s">
        <v>49</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3" t="s">
        <v>50</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3" t="s">
        <v>51</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3" t="s">
        <v>52</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3" t="s">
        <v>53</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3" t="s">
        <v>54</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3" t="s">
        <v>56</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3" t="s">
        <v>57</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3" t="s">
        <v>58</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3" t="s">
        <v>60</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3" t="s">
        <v>61</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3" t="s">
        <v>62</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3" t="s">
        <v>63</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3" t="s">
        <v>64</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3" t="s">
        <v>33</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3" t="s">
        <v>36</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3" t="s">
        <v>39</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3" t="s">
        <v>27</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3" t="s">
        <v>43</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3" t="s">
        <v>65</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3" t="s">
        <v>59</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2">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2">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2">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2">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2">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2">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2">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2">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2">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3" customFormat="1" x14ac:dyDescent="0.2">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3" customFormat="1" x14ac:dyDescent="0.2">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3" customFormat="1" x14ac:dyDescent="0.2">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3" customFormat="1" x14ac:dyDescent="0.2">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3" customFormat="1" x14ac:dyDescent="0.2">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3" customFormat="1" x14ac:dyDescent="0.2">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3" customFormat="1" x14ac:dyDescent="0.2">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3" customFormat="1" x14ac:dyDescent="0.2">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3" customFormat="1" x14ac:dyDescent="0.2">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3" customFormat="1" x14ac:dyDescent="0.2">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3" customFormat="1" x14ac:dyDescent="0.2">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3" customFormat="1" x14ac:dyDescent="0.2">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3" customFormat="1" x14ac:dyDescent="0.2">
      <c r="A303" s="49"/>
      <c r="B303" s="50"/>
      <c r="C303" s="41"/>
      <c r="D303" s="56"/>
    </row>
    <row r="304" spans="1:4" s="73" customFormat="1" x14ac:dyDescent="0.2">
      <c r="A304" s="49"/>
      <c r="B304" s="50"/>
      <c r="C304" s="41"/>
      <c r="D304" s="56"/>
    </row>
    <row r="305" spans="1:4" s="73" customFormat="1" x14ac:dyDescent="0.2">
      <c r="A305" s="49"/>
      <c r="B305" s="50"/>
      <c r="C305" s="41"/>
      <c r="D305" s="56"/>
    </row>
    <row r="306" spans="1:4" s="73" customFormat="1" x14ac:dyDescent="0.2">
      <c r="A306" s="49"/>
      <c r="B306" s="50"/>
      <c r="C306" s="41"/>
      <c r="D306" s="56"/>
    </row>
    <row r="307" spans="1:4" s="73" customFormat="1" x14ac:dyDescent="0.2">
      <c r="A307" s="49"/>
      <c r="B307" s="50"/>
      <c r="C307" s="41"/>
      <c r="D307" s="56"/>
    </row>
    <row r="308" spans="1:4" s="73" customFormat="1" x14ac:dyDescent="0.2">
      <c r="A308" s="49"/>
      <c r="B308" s="50"/>
      <c r="C308" s="41"/>
      <c r="D308" s="56"/>
    </row>
    <row r="309" spans="1:4" s="73" customFormat="1" x14ac:dyDescent="0.2">
      <c r="A309" s="49"/>
      <c r="B309" s="50"/>
      <c r="C309" s="41"/>
      <c r="D309" s="56"/>
    </row>
    <row r="310" spans="1:4" s="73" customFormat="1" x14ac:dyDescent="0.2">
      <c r="A310" s="49"/>
      <c r="B310" s="50"/>
      <c r="C310" s="41"/>
      <c r="D310" s="56"/>
    </row>
    <row r="311" spans="1:4" s="73" customFormat="1" x14ac:dyDescent="0.2">
      <c r="A311" s="49"/>
      <c r="B311" s="50"/>
      <c r="C311" s="41"/>
      <c r="D311" s="56"/>
    </row>
    <row r="312" spans="1:4" s="73" customFormat="1" x14ac:dyDescent="0.2">
      <c r="A312" s="49"/>
      <c r="B312" s="50"/>
      <c r="C312" s="41"/>
      <c r="D312" s="56"/>
    </row>
    <row r="313" spans="1:4" s="73" customFormat="1" x14ac:dyDescent="0.2">
      <c r="A313" s="49"/>
      <c r="B313" s="50"/>
      <c r="C313" s="41"/>
      <c r="D313" s="56"/>
    </row>
    <row r="314" spans="1:4" s="73" customFormat="1" x14ac:dyDescent="0.2">
      <c r="A314" s="49"/>
      <c r="B314" s="50"/>
      <c r="C314" s="41"/>
      <c r="D314" s="56"/>
    </row>
    <row r="315" spans="1:4" s="73" customFormat="1" x14ac:dyDescent="0.2">
      <c r="A315" s="49"/>
      <c r="B315" s="50"/>
      <c r="C315" s="41"/>
      <c r="D315" s="56"/>
    </row>
    <row r="316" spans="1:4" s="73" customFormat="1" x14ac:dyDescent="0.2">
      <c r="A316" s="49"/>
      <c r="B316" s="50"/>
      <c r="C316" s="41"/>
      <c r="D316" s="56"/>
    </row>
    <row r="317" spans="1:4" s="73" customFormat="1" x14ac:dyDescent="0.2">
      <c r="A317" s="49"/>
      <c r="B317" s="50"/>
      <c r="C317" s="41"/>
      <c r="D317" s="56"/>
    </row>
    <row r="318" spans="1:4" s="73" customFormat="1" x14ac:dyDescent="0.2">
      <c r="A318" s="49"/>
      <c r="B318" s="50"/>
      <c r="C318" s="41"/>
      <c r="D318" s="56"/>
    </row>
    <row r="319" spans="1:4" s="73" customFormat="1" x14ac:dyDescent="0.2">
      <c r="A319" s="49"/>
      <c r="B319" s="50"/>
      <c r="C319" s="41"/>
      <c r="D319" s="56"/>
    </row>
    <row r="320" spans="1:4" s="73" customFormat="1" x14ac:dyDescent="0.2">
      <c r="A320" s="49"/>
      <c r="B320" s="50"/>
      <c r="C320" s="41"/>
      <c r="D320" s="56"/>
    </row>
    <row r="321" spans="1:4" s="73" customFormat="1" x14ac:dyDescent="0.2">
      <c r="A321" s="49"/>
      <c r="B321" s="50"/>
      <c r="C321" s="41"/>
      <c r="D321" s="56"/>
    </row>
    <row r="322" spans="1:4" s="73" customFormat="1" x14ac:dyDescent="0.2">
      <c r="A322" s="49"/>
      <c r="B322" s="50"/>
      <c r="C322" s="41"/>
      <c r="D322" s="56"/>
    </row>
    <row r="323" spans="1:4" s="73" customFormat="1" x14ac:dyDescent="0.2">
      <c r="A323" s="49"/>
      <c r="B323" s="50"/>
      <c r="C323" s="41"/>
      <c r="D323" s="56"/>
    </row>
    <row r="324" spans="1:4" s="73" customFormat="1" x14ac:dyDescent="0.2">
      <c r="A324" s="49"/>
      <c r="B324" s="50"/>
      <c r="C324" s="41"/>
      <c r="D324" s="56"/>
    </row>
    <row r="325" spans="1:4" s="73" customFormat="1" x14ac:dyDescent="0.2">
      <c r="A325" s="49"/>
      <c r="B325" s="50"/>
      <c r="C325" s="41"/>
      <c r="D325" s="56"/>
    </row>
    <row r="326" spans="1:4" s="73" customFormat="1" x14ac:dyDescent="0.2">
      <c r="A326" s="49"/>
      <c r="B326" s="50"/>
      <c r="C326" s="41"/>
      <c r="D326" s="56"/>
    </row>
    <row r="327" spans="1:4" s="73" customFormat="1" x14ac:dyDescent="0.2">
      <c r="A327" s="49"/>
      <c r="B327" s="50"/>
      <c r="C327" s="41"/>
      <c r="D327" s="56"/>
    </row>
    <row r="328" spans="1:4" s="73" customFormat="1" x14ac:dyDescent="0.2">
      <c r="A328" s="49"/>
      <c r="B328" s="50"/>
      <c r="C328" s="41"/>
      <c r="D328" s="56"/>
    </row>
    <row r="329" spans="1:4" s="73" customFormat="1" x14ac:dyDescent="0.2">
      <c r="A329" s="49"/>
      <c r="B329" s="50"/>
      <c r="C329" s="41"/>
      <c r="D329" s="56"/>
    </row>
    <row r="330" spans="1:4" s="73" customFormat="1" x14ac:dyDescent="0.2">
      <c r="A330" s="49"/>
      <c r="B330" s="50"/>
      <c r="C330" s="41"/>
      <c r="D330" s="56"/>
    </row>
    <row r="331" spans="1:4" s="73" customFormat="1" x14ac:dyDescent="0.2">
      <c r="A331" s="49"/>
      <c r="B331" s="50"/>
      <c r="C331" s="41"/>
      <c r="D331" s="56"/>
    </row>
    <row r="332" spans="1:4" s="73" customFormat="1" x14ac:dyDescent="0.2">
      <c r="A332" s="49"/>
      <c r="B332" s="50"/>
      <c r="C332" s="41"/>
      <c r="D332" s="56"/>
    </row>
    <row r="333" spans="1:4" s="73" customFormat="1" x14ac:dyDescent="0.2">
      <c r="A333" s="49"/>
      <c r="B333" s="50"/>
      <c r="C333" s="41"/>
      <c r="D333" s="56"/>
    </row>
    <row r="334" spans="1:4" s="73" customFormat="1" x14ac:dyDescent="0.2">
      <c r="A334" s="49"/>
      <c r="B334" s="50"/>
      <c r="C334" s="41"/>
      <c r="D334" s="56"/>
    </row>
    <row r="335" spans="1:4" s="73" customFormat="1" x14ac:dyDescent="0.2">
      <c r="A335" s="49"/>
      <c r="B335" s="50"/>
      <c r="C335" s="41"/>
      <c r="D335" s="56"/>
    </row>
    <row r="336" spans="1:4" s="73" customFormat="1" x14ac:dyDescent="0.2">
      <c r="A336" s="49"/>
      <c r="B336" s="50"/>
      <c r="C336" s="41"/>
      <c r="D336" s="56"/>
    </row>
    <row r="337" spans="1:4" s="73" customFormat="1" x14ac:dyDescent="0.2">
      <c r="A337" s="49"/>
      <c r="B337" s="50"/>
      <c r="C337" s="41"/>
      <c r="D337" s="56"/>
    </row>
    <row r="338" spans="1:4" s="73" customFormat="1" x14ac:dyDescent="0.2">
      <c r="A338" s="49"/>
      <c r="B338" s="50"/>
      <c r="C338" s="41"/>
      <c r="D338" s="56"/>
    </row>
    <row r="339" spans="1:4" s="73" customFormat="1" x14ac:dyDescent="0.2">
      <c r="A339" s="49"/>
      <c r="B339" s="50"/>
      <c r="C339" s="41"/>
      <c r="D339" s="56"/>
    </row>
    <row r="340" spans="1:4" s="73" customFormat="1" x14ac:dyDescent="0.2">
      <c r="A340" s="49"/>
      <c r="B340" s="50"/>
      <c r="C340" s="41"/>
      <c r="D340" s="56"/>
    </row>
    <row r="341" spans="1:4" s="73" customFormat="1" x14ac:dyDescent="0.2">
      <c r="A341" s="49"/>
      <c r="B341" s="50"/>
      <c r="C341" s="41"/>
      <c r="D341" s="56"/>
    </row>
    <row r="342" spans="1:4" s="73" customFormat="1" x14ac:dyDescent="0.2">
      <c r="A342" s="49"/>
      <c r="B342" s="50"/>
      <c r="C342" s="41"/>
      <c r="D342" s="56"/>
    </row>
    <row r="343" spans="1:4" s="73" customFormat="1" x14ac:dyDescent="0.2">
      <c r="A343" s="49"/>
      <c r="B343" s="50"/>
      <c r="C343" s="41"/>
      <c r="D343" s="56"/>
    </row>
    <row r="344" spans="1:4" s="73" customFormat="1" x14ac:dyDescent="0.2">
      <c r="A344" s="49"/>
      <c r="B344" s="50"/>
      <c r="C344" s="41"/>
      <c r="D344" s="56"/>
    </row>
    <row r="345" spans="1:4" s="73" customFormat="1" x14ac:dyDescent="0.2">
      <c r="A345" s="49"/>
      <c r="B345" s="50"/>
      <c r="C345" s="41"/>
      <c r="D345" s="56"/>
    </row>
    <row r="346" spans="1:4" s="73" customFormat="1" x14ac:dyDescent="0.2">
      <c r="A346" s="49"/>
      <c r="B346" s="50"/>
      <c r="C346" s="41"/>
      <c r="D346" s="56"/>
    </row>
    <row r="347" spans="1:4" s="73" customFormat="1" x14ac:dyDescent="0.2">
      <c r="A347" s="49"/>
      <c r="B347" s="50"/>
      <c r="C347" s="41"/>
      <c r="D347" s="56"/>
    </row>
    <row r="348" spans="1:4" s="73" customFormat="1" x14ac:dyDescent="0.2">
      <c r="A348" s="49"/>
      <c r="B348" s="50"/>
      <c r="C348" s="41"/>
      <c r="D348" s="56"/>
    </row>
    <row r="349" spans="1:4" s="73" customFormat="1" x14ac:dyDescent="0.2">
      <c r="A349" s="49"/>
      <c r="B349" s="50"/>
      <c r="C349" s="41"/>
      <c r="D349" s="56"/>
    </row>
    <row r="350" spans="1:4" s="73" customFormat="1" x14ac:dyDescent="0.2">
      <c r="A350" s="49"/>
      <c r="B350" s="50"/>
      <c r="C350" s="41"/>
      <c r="D350" s="56"/>
    </row>
    <row r="351" spans="1:4" s="73" customFormat="1" x14ac:dyDescent="0.2">
      <c r="A351" s="49"/>
      <c r="B351" s="50"/>
      <c r="C351" s="41"/>
      <c r="D351" s="56"/>
    </row>
    <row r="352" spans="1:4" s="73" customFormat="1" x14ac:dyDescent="0.2">
      <c r="A352" s="49"/>
      <c r="B352" s="50"/>
      <c r="C352" s="41"/>
      <c r="D352" s="56"/>
    </row>
    <row r="353" spans="1:4" s="73" customFormat="1" x14ac:dyDescent="0.2">
      <c r="A353" s="49"/>
      <c r="B353" s="50"/>
      <c r="C353" s="41"/>
      <c r="D353" s="56"/>
    </row>
    <row r="354" spans="1:4" s="73" customFormat="1" x14ac:dyDescent="0.2">
      <c r="A354" s="49"/>
      <c r="B354" s="50"/>
      <c r="C354" s="41"/>
      <c r="D354" s="56"/>
    </row>
    <row r="355" spans="1:4" s="73" customFormat="1" x14ac:dyDescent="0.2">
      <c r="A355" s="49"/>
      <c r="B355" s="50"/>
      <c r="C355" s="41"/>
      <c r="D355" s="56"/>
    </row>
    <row r="356" spans="1:4" s="73" customFormat="1" x14ac:dyDescent="0.2">
      <c r="A356" s="49"/>
      <c r="B356" s="50"/>
      <c r="C356" s="41"/>
      <c r="D356" s="56"/>
    </row>
    <row r="357" spans="1:4" s="73" customFormat="1" x14ac:dyDescent="0.2">
      <c r="A357" s="49"/>
      <c r="B357" s="50"/>
      <c r="C357" s="41"/>
      <c r="D357" s="56"/>
    </row>
    <row r="358" spans="1:4" s="73" customFormat="1" x14ac:dyDescent="0.2">
      <c r="A358" s="49"/>
      <c r="B358" s="50"/>
      <c r="C358" s="41"/>
      <c r="D358" s="56"/>
    </row>
    <row r="359" spans="1:4" s="73" customFormat="1" x14ac:dyDescent="0.2">
      <c r="A359" s="49"/>
      <c r="B359" s="50"/>
      <c r="C359" s="41"/>
      <c r="D359" s="56"/>
    </row>
    <row r="360" spans="1:4" s="73" customFormat="1" x14ac:dyDescent="0.2">
      <c r="A360" s="49"/>
      <c r="B360" s="50"/>
      <c r="C360" s="41"/>
      <c r="D360" s="56"/>
    </row>
    <row r="361" spans="1:4" s="73" customFormat="1" x14ac:dyDescent="0.2">
      <c r="A361" s="49"/>
      <c r="B361" s="50"/>
      <c r="C361" s="41"/>
      <c r="D361" s="56"/>
    </row>
    <row r="362" spans="1:4" s="73" customFormat="1" x14ac:dyDescent="0.2">
      <c r="A362" s="49"/>
      <c r="B362" s="50"/>
      <c r="C362" s="41"/>
      <c r="D362" s="56"/>
    </row>
    <row r="363" spans="1:4" s="73" customFormat="1" x14ac:dyDescent="0.2">
      <c r="A363" s="49"/>
      <c r="B363" s="50"/>
      <c r="C363" s="41"/>
      <c r="D363" s="56"/>
    </row>
    <row r="364" spans="1:4" s="73" customFormat="1" x14ac:dyDescent="0.2">
      <c r="A364" s="49"/>
      <c r="B364" s="50"/>
      <c r="C364" s="41"/>
      <c r="D364" s="56"/>
    </row>
    <row r="365" spans="1:4" s="73" customFormat="1" x14ac:dyDescent="0.2">
      <c r="A365" s="49"/>
      <c r="B365" s="50"/>
      <c r="C365" s="41"/>
      <c r="D365" s="56"/>
    </row>
    <row r="366" spans="1:4" s="73" customFormat="1" x14ac:dyDescent="0.2">
      <c r="A366" s="49"/>
      <c r="B366" s="50"/>
      <c r="C366" s="41"/>
      <c r="D366" s="56"/>
    </row>
    <row r="367" spans="1:4" s="73" customFormat="1" x14ac:dyDescent="0.2">
      <c r="A367" s="49"/>
      <c r="B367" s="50"/>
      <c r="C367" s="41"/>
      <c r="D367" s="56"/>
    </row>
    <row r="368" spans="1:4" s="73" customFormat="1" x14ac:dyDescent="0.2">
      <c r="A368" s="49"/>
      <c r="B368" s="50"/>
      <c r="C368" s="41"/>
      <c r="D368" s="56"/>
    </row>
    <row r="369" spans="1:4" s="73" customFormat="1" x14ac:dyDescent="0.2">
      <c r="A369" s="49"/>
      <c r="B369" s="50"/>
      <c r="C369" s="41"/>
      <c r="D369" s="56"/>
    </row>
    <row r="370" spans="1:4" s="73" customFormat="1" x14ac:dyDescent="0.2">
      <c r="A370" s="49"/>
      <c r="B370" s="50"/>
      <c r="C370" s="41"/>
      <c r="D370" s="56"/>
    </row>
    <row r="371" spans="1:4" s="73" customFormat="1" x14ac:dyDescent="0.2">
      <c r="A371" s="49"/>
      <c r="B371" s="50"/>
      <c r="C371" s="41"/>
      <c r="D371" s="56"/>
    </row>
    <row r="372" spans="1:4" s="73" customFormat="1" x14ac:dyDescent="0.2">
      <c r="A372" s="49"/>
      <c r="B372" s="50"/>
      <c r="C372" s="41"/>
      <c r="D372" s="56"/>
    </row>
    <row r="373" spans="1:4" s="73" customFormat="1" x14ac:dyDescent="0.2">
      <c r="A373" s="49"/>
      <c r="B373" s="50"/>
      <c r="C373" s="41"/>
      <c r="D373" s="56"/>
    </row>
    <row r="374" spans="1:4" s="73" customFormat="1" x14ac:dyDescent="0.2">
      <c r="A374" s="49"/>
      <c r="B374" s="50"/>
      <c r="C374" s="41"/>
      <c r="D374" s="56"/>
    </row>
    <row r="375" spans="1:4" s="73" customFormat="1" x14ac:dyDescent="0.2">
      <c r="A375" s="49"/>
      <c r="B375" s="50"/>
      <c r="C375" s="41"/>
      <c r="D375" s="56"/>
    </row>
    <row r="376" spans="1:4" s="73" customFormat="1" x14ac:dyDescent="0.2">
      <c r="A376" s="49"/>
      <c r="B376" s="50"/>
      <c r="C376" s="41"/>
      <c r="D376" s="56"/>
    </row>
    <row r="377" spans="1:4" s="73" customFormat="1" x14ac:dyDescent="0.2">
      <c r="A377" s="49"/>
      <c r="B377" s="50"/>
      <c r="C377" s="41"/>
      <c r="D377" s="56"/>
    </row>
    <row r="378" spans="1:4" s="73" customFormat="1" x14ac:dyDescent="0.2">
      <c r="A378" s="49"/>
      <c r="B378" s="50"/>
      <c r="C378" s="41"/>
      <c r="D378" s="56"/>
    </row>
    <row r="379" spans="1:4" s="73" customFormat="1" x14ac:dyDescent="0.2">
      <c r="A379" s="49"/>
      <c r="B379" s="50"/>
      <c r="C379" s="41"/>
      <c r="D379" s="56"/>
    </row>
    <row r="380" spans="1:4" s="73" customFormat="1" x14ac:dyDescent="0.2">
      <c r="A380" s="49"/>
      <c r="B380" s="50"/>
      <c r="C380" s="41"/>
      <c r="D380" s="56"/>
    </row>
    <row r="381" spans="1:4" s="73" customFormat="1" x14ac:dyDescent="0.2">
      <c r="A381" s="49"/>
      <c r="B381" s="50"/>
      <c r="C381" s="41"/>
      <c r="D381" s="56"/>
    </row>
    <row r="382" spans="1:4" s="73" customFormat="1" x14ac:dyDescent="0.2">
      <c r="A382" s="49"/>
      <c r="B382" s="50"/>
      <c r="C382" s="41"/>
      <c r="D382" s="56"/>
    </row>
    <row r="383" spans="1:4" s="73" customFormat="1" x14ac:dyDescent="0.2">
      <c r="A383" s="49"/>
      <c r="B383" s="50"/>
      <c r="C383" s="41"/>
      <c r="D383" s="56"/>
    </row>
    <row r="384" spans="1:4" s="73" customFormat="1" x14ac:dyDescent="0.2">
      <c r="A384" s="49"/>
      <c r="B384" s="50"/>
      <c r="C384" s="41"/>
      <c r="D384" s="56"/>
    </row>
    <row r="385" spans="1:4" s="73" customFormat="1" x14ac:dyDescent="0.2">
      <c r="A385" s="49"/>
      <c r="B385" s="50"/>
      <c r="C385" s="41"/>
      <c r="D385" s="56"/>
    </row>
    <row r="386" spans="1:4" s="73" customFormat="1" x14ac:dyDescent="0.2">
      <c r="A386" s="49"/>
      <c r="B386" s="50"/>
      <c r="C386" s="41"/>
      <c r="D386" s="56"/>
    </row>
    <row r="387" spans="1:4" s="73" customFormat="1" x14ac:dyDescent="0.2">
      <c r="A387" s="49"/>
      <c r="B387" s="50"/>
      <c r="C387" s="41"/>
      <c r="D387" s="56"/>
    </row>
    <row r="388" spans="1:4" s="73" customFormat="1" x14ac:dyDescent="0.2">
      <c r="A388" s="49"/>
      <c r="B388" s="50"/>
      <c r="C388" s="41"/>
      <c r="D388" s="56"/>
    </row>
    <row r="389" spans="1:4" s="73" customFormat="1" x14ac:dyDescent="0.2">
      <c r="A389" s="49"/>
      <c r="B389" s="50"/>
      <c r="C389" s="41"/>
      <c r="D389" s="56"/>
    </row>
    <row r="390" spans="1:4" s="73" customFormat="1" x14ac:dyDescent="0.2">
      <c r="A390" s="49"/>
      <c r="B390" s="50"/>
      <c r="C390" s="41"/>
      <c r="D390" s="56"/>
    </row>
    <row r="391" spans="1:4" s="73" customFormat="1" x14ac:dyDescent="0.2">
      <c r="A391" s="49"/>
      <c r="B391" s="50"/>
      <c r="C391" s="41"/>
      <c r="D391" s="56"/>
    </row>
    <row r="392" spans="1:4" s="73" customFormat="1" x14ac:dyDescent="0.2">
      <c r="A392" s="49"/>
      <c r="B392" s="50"/>
      <c r="C392" s="41"/>
      <c r="D392" s="56"/>
    </row>
    <row r="393" spans="1:4" s="73" customFormat="1" x14ac:dyDescent="0.2">
      <c r="A393" s="49"/>
      <c r="B393" s="50"/>
      <c r="C393" s="41"/>
      <c r="D393" s="56"/>
    </row>
    <row r="394" spans="1:4" s="73" customFormat="1" x14ac:dyDescent="0.2">
      <c r="A394" s="49"/>
      <c r="B394" s="50"/>
      <c r="C394" s="41"/>
      <c r="D394" s="56"/>
    </row>
    <row r="395" spans="1:4" s="73" customFormat="1" x14ac:dyDescent="0.2">
      <c r="A395" s="49"/>
      <c r="B395" s="50"/>
      <c r="C395" s="41"/>
      <c r="D395" s="56"/>
    </row>
    <row r="396" spans="1:4" s="73" customFormat="1" x14ac:dyDescent="0.2">
      <c r="A396" s="49"/>
      <c r="B396" s="50"/>
      <c r="C396" s="41"/>
      <c r="D396" s="56"/>
    </row>
    <row r="397" spans="1:4" s="73" customFormat="1" x14ac:dyDescent="0.2">
      <c r="A397" s="49"/>
      <c r="B397" s="50"/>
      <c r="C397" s="41"/>
      <c r="D397" s="56"/>
    </row>
    <row r="398" spans="1:4" s="73" customFormat="1" x14ac:dyDescent="0.2">
      <c r="A398" s="49"/>
      <c r="B398" s="50"/>
      <c r="C398" s="41"/>
      <c r="D398" s="56"/>
    </row>
    <row r="399" spans="1:4" s="73" customFormat="1" x14ac:dyDescent="0.2">
      <c r="A399" s="49"/>
      <c r="B399" s="50"/>
      <c r="C399" s="41"/>
      <c r="D399" s="56"/>
    </row>
    <row r="400" spans="1:4" s="73" customFormat="1" x14ac:dyDescent="0.2">
      <c r="A400" s="49"/>
      <c r="B400" s="50"/>
      <c r="C400" s="41"/>
      <c r="D400" s="56"/>
    </row>
    <row r="401" spans="1:4" s="73" customFormat="1" x14ac:dyDescent="0.2">
      <c r="A401" s="49"/>
      <c r="B401" s="50"/>
      <c r="C401" s="41"/>
      <c r="D401" s="56"/>
    </row>
    <row r="402" spans="1:4" s="73" customFormat="1" x14ac:dyDescent="0.2">
      <c r="A402" s="49"/>
      <c r="B402" s="50"/>
      <c r="C402" s="41"/>
      <c r="D402" s="56"/>
    </row>
    <row r="403" spans="1:4" s="73" customFormat="1" x14ac:dyDescent="0.2">
      <c r="A403" s="49"/>
      <c r="B403" s="50"/>
      <c r="C403" s="41"/>
      <c r="D403" s="56"/>
    </row>
    <row r="404" spans="1:4" s="73" customFormat="1" x14ac:dyDescent="0.2">
      <c r="A404" s="49"/>
      <c r="B404" s="50"/>
      <c r="C404" s="41"/>
      <c r="D404" s="56"/>
    </row>
    <row r="405" spans="1:4" s="73" customFormat="1" x14ac:dyDescent="0.2">
      <c r="A405" s="49"/>
      <c r="B405" s="50"/>
      <c r="C405" s="41"/>
      <c r="D405" s="56"/>
    </row>
    <row r="406" spans="1:4" s="73" customFormat="1" x14ac:dyDescent="0.2">
      <c r="A406" s="49"/>
      <c r="B406" s="50"/>
      <c r="C406" s="41"/>
      <c r="D406" s="56"/>
    </row>
    <row r="407" spans="1:4" s="73" customFormat="1" x14ac:dyDescent="0.2">
      <c r="A407" s="49"/>
      <c r="B407" s="50"/>
      <c r="C407" s="41"/>
      <c r="D407" s="56"/>
    </row>
    <row r="408" spans="1:4" s="73" customFormat="1" x14ac:dyDescent="0.2">
      <c r="A408" s="49"/>
      <c r="B408" s="50"/>
      <c r="C408" s="41"/>
      <c r="D408" s="56"/>
    </row>
    <row r="409" spans="1:4" s="73" customFormat="1" x14ac:dyDescent="0.2">
      <c r="A409" s="49"/>
      <c r="B409" s="50"/>
      <c r="C409" s="41"/>
      <c r="D409" s="56"/>
    </row>
    <row r="410" spans="1:4" s="73" customFormat="1" x14ac:dyDescent="0.2">
      <c r="A410" s="49"/>
      <c r="B410" s="50"/>
      <c r="C410" s="41"/>
      <c r="D410" s="56"/>
    </row>
    <row r="411" spans="1:4" s="73" customFormat="1" x14ac:dyDescent="0.2">
      <c r="A411" s="49"/>
      <c r="B411" s="50"/>
      <c r="C411" s="41"/>
      <c r="D411" s="56"/>
    </row>
    <row r="412" spans="1:4" s="73" customFormat="1" x14ac:dyDescent="0.2">
      <c r="A412" s="49"/>
      <c r="B412" s="50"/>
      <c r="C412" s="41"/>
      <c r="D412" s="56"/>
    </row>
    <row r="413" spans="1:4" s="73" customFormat="1" x14ac:dyDescent="0.2">
      <c r="A413" s="49"/>
      <c r="B413" s="50"/>
      <c r="C413" s="41"/>
      <c r="D413" s="56"/>
    </row>
    <row r="414" spans="1:4" s="73" customFormat="1" x14ac:dyDescent="0.2">
      <c r="A414" s="49"/>
      <c r="B414" s="50"/>
      <c r="C414" s="41"/>
      <c r="D414" s="56"/>
    </row>
    <row r="415" spans="1:4" s="73" customFormat="1" x14ac:dyDescent="0.2">
      <c r="A415" s="49"/>
      <c r="B415" s="50"/>
      <c r="C415" s="41"/>
      <c r="D415" s="56"/>
    </row>
    <row r="416" spans="1:4" s="73" customFormat="1" x14ac:dyDescent="0.2">
      <c r="A416" s="49"/>
      <c r="B416" s="50"/>
      <c r="C416" s="41"/>
      <c r="D416" s="56"/>
    </row>
    <row r="417" spans="1:4" s="73" customFormat="1" x14ac:dyDescent="0.2">
      <c r="A417" s="49"/>
      <c r="B417" s="50"/>
      <c r="C417" s="41"/>
      <c r="D417" s="56"/>
    </row>
    <row r="418" spans="1:4" s="73" customFormat="1" x14ac:dyDescent="0.2">
      <c r="A418" s="49"/>
      <c r="B418" s="50"/>
      <c r="C418" s="41"/>
      <c r="D418" s="56"/>
    </row>
    <row r="419" spans="1:4" s="73" customFormat="1" x14ac:dyDescent="0.2">
      <c r="A419" s="49"/>
      <c r="B419" s="50"/>
      <c r="C419" s="41"/>
      <c r="D419" s="56"/>
    </row>
    <row r="420" spans="1:4" s="73" customFormat="1" x14ac:dyDescent="0.2">
      <c r="A420" s="49"/>
      <c r="B420" s="50"/>
      <c r="C420" s="41"/>
      <c r="D420" s="56"/>
    </row>
    <row r="421" spans="1:4" s="73" customFormat="1" x14ac:dyDescent="0.2">
      <c r="A421" s="49"/>
      <c r="B421" s="50"/>
      <c r="C421" s="41"/>
      <c r="D421" s="56"/>
    </row>
    <row r="422" spans="1:4" s="73" customFormat="1" x14ac:dyDescent="0.2">
      <c r="A422" s="49"/>
      <c r="B422" s="50"/>
      <c r="C422" s="41"/>
      <c r="D422" s="56"/>
    </row>
    <row r="423" spans="1:4" s="73" customFormat="1" x14ac:dyDescent="0.2">
      <c r="A423" s="49"/>
      <c r="B423" s="50"/>
      <c r="C423" s="41"/>
      <c r="D423" s="56"/>
    </row>
    <row r="424" spans="1:4" s="73" customFormat="1" x14ac:dyDescent="0.2">
      <c r="A424" s="49"/>
      <c r="B424" s="50"/>
      <c r="C424" s="41"/>
      <c r="D424" s="56"/>
    </row>
    <row r="425" spans="1:4" s="73" customFormat="1" x14ac:dyDescent="0.2">
      <c r="A425" s="49"/>
      <c r="B425" s="50"/>
      <c r="C425" s="41"/>
      <c r="D425" s="56"/>
    </row>
    <row r="426" spans="1:4" s="73" customFormat="1" x14ac:dyDescent="0.2">
      <c r="A426" s="49"/>
      <c r="B426" s="50"/>
      <c r="C426" s="41"/>
      <c r="D426" s="56"/>
    </row>
    <row r="427" spans="1:4" s="73" customFormat="1" x14ac:dyDescent="0.2">
      <c r="A427" s="49"/>
      <c r="B427" s="50"/>
      <c r="C427" s="41"/>
      <c r="D427" s="56"/>
    </row>
    <row r="428" spans="1:4" s="73" customFormat="1" x14ac:dyDescent="0.2">
      <c r="A428" s="49"/>
      <c r="B428" s="50"/>
      <c r="C428" s="41"/>
      <c r="D428" s="56"/>
    </row>
    <row r="429" spans="1:4" s="73" customFormat="1" x14ac:dyDescent="0.2">
      <c r="A429" s="49"/>
      <c r="B429" s="50"/>
      <c r="C429" s="41"/>
      <c r="D429" s="56"/>
    </row>
    <row r="430" spans="1:4" s="73" customFormat="1" x14ac:dyDescent="0.2">
      <c r="A430" s="49"/>
      <c r="B430" s="50"/>
      <c r="C430" s="41"/>
      <c r="D430" s="56"/>
    </row>
    <row r="431" spans="1:4" s="73"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2022-10-08T02:17:50Z</dcterms:modified>
</cp:coreProperties>
</file>