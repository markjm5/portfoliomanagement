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DE358CA-15CC-4E3E-B780-2E9890A77219}" xr6:coauthVersionLast="47" xr6:coauthVersionMax="47" xr10:uidLastSave="{00000000-0000-0000-0000-000000000000}"/>
  <bookViews>
    <workbookView xWindow="-110" yWindow="-110" windowWidth="19420" windowHeight="11500" activeTab="4"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D302" i="10"/>
  <c r="B302" i="10"/>
  <c r="D301" i="10"/>
  <c r="B301" i="10"/>
  <c r="B300" i="10"/>
  <c r="B299" i="10"/>
  <c r="D299" i="10" s="1"/>
  <c r="B298" i="10"/>
  <c r="B297" i="10"/>
  <c r="D297" i="10" s="1"/>
  <c r="B296" i="10"/>
  <c r="C297" i="10" s="1"/>
  <c r="B295" i="10"/>
  <c r="B294" i="10"/>
  <c r="D293" i="10"/>
  <c r="C293" i="10"/>
  <c r="B293" i="10"/>
  <c r="B292" i="10"/>
  <c r="D292" i="10" s="1"/>
  <c r="B291" i="10"/>
  <c r="B290" i="10"/>
  <c r="D289" i="10"/>
  <c r="B289" i="10"/>
  <c r="B288" i="10"/>
  <c r="C289" i="10" s="1"/>
  <c r="B287" i="10"/>
  <c r="D287" i="10" s="1"/>
  <c r="B286" i="10"/>
  <c r="C287" i="10" s="1"/>
  <c r="B285" i="10"/>
  <c r="B284" i="10"/>
  <c r="B283" i="10"/>
  <c r="D283" i="10" s="1"/>
  <c r="B282" i="10"/>
  <c r="C283" i="10" s="1"/>
  <c r="D281" i="10"/>
  <c r="B281" i="10"/>
  <c r="C280" i="10"/>
  <c r="B280" i="10"/>
  <c r="C281" i="10" s="1"/>
  <c r="B279" i="10"/>
  <c r="D279" i="10" s="1"/>
  <c r="B278" i="10"/>
  <c r="C277" i="10"/>
  <c r="B277" i="10"/>
  <c r="D276" i="10"/>
  <c r="C276" i="10"/>
  <c r="B276" i="10"/>
  <c r="B275" i="10"/>
  <c r="D275" i="10" s="1"/>
  <c r="B274" i="10"/>
  <c r="B273" i="10"/>
  <c r="D273" i="10" s="1"/>
  <c r="B272" i="10"/>
  <c r="C273" i="10" s="1"/>
  <c r="B271" i="10"/>
  <c r="D270" i="10"/>
  <c r="C270" i="10"/>
  <c r="B270" i="10"/>
  <c r="D269" i="10"/>
  <c r="B269" i="10"/>
  <c r="B268" i="10"/>
  <c r="B267" i="10"/>
  <c r="B266" i="10"/>
  <c r="D265" i="10"/>
  <c r="C265" i="10"/>
  <c r="B265" i="10"/>
  <c r="D264" i="10"/>
  <c r="B264" i="10"/>
  <c r="B263" i="10"/>
  <c r="D263" i="10" s="1"/>
  <c r="C262" i="10"/>
  <c r="B262" i="10"/>
  <c r="D261" i="10"/>
  <c r="B261" i="10"/>
  <c r="B260" i="10"/>
  <c r="C260" i="10" s="1"/>
  <c r="B259" i="10"/>
  <c r="D259" i="10" s="1"/>
  <c r="D258" i="10"/>
  <c r="B258" i="10"/>
  <c r="C259" i="10" s="1"/>
  <c r="B257" i="10"/>
  <c r="D256" i="10"/>
  <c r="C256" i="10"/>
  <c r="B256" i="10"/>
  <c r="B255" i="10"/>
  <c r="D255" i="10" s="1"/>
  <c r="B254" i="10"/>
  <c r="C255" i="10" s="1"/>
  <c r="B253" i="10"/>
  <c r="B252" i="10"/>
  <c r="C253" i="10" s="1"/>
  <c r="B251" i="10"/>
  <c r="B250" i="10"/>
  <c r="C249" i="10"/>
  <c r="B249" i="10"/>
  <c r="D249" i="10" s="1"/>
  <c r="D248" i="10"/>
  <c r="C248" i="10"/>
  <c r="B248" i="10"/>
  <c r="B247" i="10"/>
  <c r="D247" i="10" s="1"/>
  <c r="C246" i="10"/>
  <c r="B246" i="10"/>
  <c r="D245" i="10"/>
  <c r="C245" i="10"/>
  <c r="B245" i="10"/>
  <c r="D244" i="10"/>
  <c r="B244" i="10"/>
  <c r="B243" i="10"/>
  <c r="D242" i="10"/>
  <c r="B242" i="10"/>
  <c r="D241" i="10"/>
  <c r="B241" i="10"/>
  <c r="B240" i="10"/>
  <c r="C241" i="10" s="1"/>
  <c r="B239" i="10"/>
  <c r="D239" i="10" s="1"/>
  <c r="B238" i="10"/>
  <c r="C239" i="10" s="1"/>
  <c r="D237" i="10"/>
  <c r="B237" i="10"/>
  <c r="B236" i="10"/>
  <c r="C236" i="10" s="1"/>
  <c r="B235" i="10"/>
  <c r="D235" i="10" s="1"/>
  <c r="D234" i="10"/>
  <c r="B234" i="10"/>
  <c r="C235" i="10" s="1"/>
  <c r="B233" i="10"/>
  <c r="C234" i="10" s="1"/>
  <c r="D232" i="10"/>
  <c r="C232" i="10"/>
  <c r="B232" i="10"/>
  <c r="B231" i="10"/>
  <c r="D231" i="10" s="1"/>
  <c r="B230" i="10"/>
  <c r="C231" i="10" s="1"/>
  <c r="B229" i="10"/>
  <c r="D228" i="10"/>
  <c r="C228" i="10"/>
  <c r="B228" i="10"/>
  <c r="B227" i="10"/>
  <c r="D227" i="10" s="1"/>
  <c r="B226" i="10"/>
  <c r="D226" i="10" s="1"/>
  <c r="B225" i="10"/>
  <c r="D225" i="10" s="1"/>
  <c r="B224" i="10"/>
  <c r="C225" i="10" s="1"/>
  <c r="B223" i="10"/>
  <c r="B222" i="10"/>
  <c r="C223" i="10" s="1"/>
  <c r="D221" i="10"/>
  <c r="C221" i="10"/>
  <c r="B221" i="10"/>
  <c r="B220" i="10"/>
  <c r="D220" i="10" s="1"/>
  <c r="B219" i="10"/>
  <c r="B218" i="10"/>
  <c r="D217" i="10"/>
  <c r="B217" i="10"/>
  <c r="B216" i="10"/>
  <c r="C217" i="10" s="1"/>
  <c r="B215" i="10"/>
  <c r="D215" i="10" s="1"/>
  <c r="B214" i="10"/>
  <c r="C215" i="10" s="1"/>
  <c r="B213" i="10"/>
  <c r="B212" i="10"/>
  <c r="B211" i="10"/>
  <c r="D211" i="10" s="1"/>
  <c r="B210" i="10"/>
  <c r="D209" i="10"/>
  <c r="B209" i="10"/>
  <c r="C208" i="10"/>
  <c r="B208" i="10"/>
  <c r="C209" i="10" s="1"/>
  <c r="B207" i="10"/>
  <c r="D207" i="10" s="1"/>
  <c r="B206" i="10"/>
  <c r="C207" i="10" s="1"/>
  <c r="B205" i="10"/>
  <c r="D204" i="10"/>
  <c r="C204" i="10"/>
  <c r="B204" i="10"/>
  <c r="B203" i="10"/>
  <c r="D203" i="10" s="1"/>
  <c r="B202" i="10"/>
  <c r="B201" i="10"/>
  <c r="D201" i="10" s="1"/>
  <c r="D200" i="10"/>
  <c r="C200" i="10"/>
  <c r="B200" i="10"/>
  <c r="C201" i="10" s="1"/>
  <c r="B199" i="10"/>
  <c r="D199" i="10" s="1"/>
  <c r="D198" i="10"/>
  <c r="C198" i="10"/>
  <c r="B198" i="10"/>
  <c r="D197" i="10"/>
  <c r="B197" i="10"/>
  <c r="B196" i="10"/>
  <c r="B195" i="10"/>
  <c r="C194" i="10"/>
  <c r="B194" i="10"/>
  <c r="D193" i="10"/>
  <c r="C193" i="10"/>
  <c r="B193" i="10"/>
  <c r="D192" i="10"/>
  <c r="B192" i="10"/>
  <c r="B191" i="10"/>
  <c r="D191" i="10" s="1"/>
  <c r="B190" i="10"/>
  <c r="D189" i="10"/>
  <c r="B189" i="10"/>
  <c r="C189" i="10" s="1"/>
  <c r="D188" i="10"/>
  <c r="B188" i="10"/>
  <c r="C188" i="10" s="1"/>
  <c r="B187" i="10"/>
  <c r="D187" i="10" s="1"/>
  <c r="D186" i="10"/>
  <c r="B186" i="10"/>
  <c r="C187" i="10" s="1"/>
  <c r="B185" i="10"/>
  <c r="B184" i="10"/>
  <c r="B183" i="10"/>
  <c r="D183" i="10" s="1"/>
  <c r="D182" i="10"/>
  <c r="B182" i="10"/>
  <c r="C183" i="10" s="1"/>
  <c r="B181" i="10"/>
  <c r="B180" i="10"/>
  <c r="C181" i="10" s="1"/>
  <c r="B179" i="10"/>
  <c r="B178" i="10"/>
  <c r="C177" i="10"/>
  <c r="B177" i="10"/>
  <c r="D177" i="10" s="1"/>
  <c r="D176" i="10"/>
  <c r="C176" i="10"/>
  <c r="B176" i="10"/>
  <c r="B175" i="10"/>
  <c r="D175" i="10" s="1"/>
  <c r="C174" i="10"/>
  <c r="B174" i="10"/>
  <c r="D173" i="10"/>
  <c r="C173" i="10"/>
  <c r="B173" i="10"/>
  <c r="B172" i="10"/>
  <c r="D172" i="10" s="1"/>
  <c r="B171" i="10"/>
  <c r="D170" i="10"/>
  <c r="B170" i="10"/>
  <c r="D169" i="10"/>
  <c r="B169" i="10"/>
  <c r="B168" i="10"/>
  <c r="C169" i="10" s="1"/>
  <c r="B167" i="10"/>
  <c r="D167" i="10" s="1"/>
  <c r="D166" i="10"/>
  <c r="B166" i="10"/>
  <c r="C167" i="10" s="1"/>
  <c r="D165" i="10"/>
  <c r="B165" i="10"/>
  <c r="B164" i="10"/>
  <c r="C164" i="10" s="1"/>
  <c r="B163" i="10"/>
  <c r="D163" i="10" s="1"/>
  <c r="D162" i="10"/>
  <c r="B162" i="10"/>
  <c r="C163" i="10" s="1"/>
  <c r="D161" i="10"/>
  <c r="C161" i="10"/>
  <c r="B161" i="10"/>
  <c r="D160" i="10"/>
  <c r="C160" i="10"/>
  <c r="B160" i="10"/>
  <c r="B159" i="10"/>
  <c r="D159" i="10" s="1"/>
  <c r="B158" i="10"/>
  <c r="C159" i="10" s="1"/>
  <c r="B157" i="10"/>
  <c r="D156" i="10"/>
  <c r="C156" i="10"/>
  <c r="B156" i="10"/>
  <c r="B155" i="10"/>
  <c r="D155" i="10" s="1"/>
  <c r="D154" i="10"/>
  <c r="B154" i="10"/>
  <c r="B153" i="10"/>
  <c r="D153" i="10" s="1"/>
  <c r="B152" i="10"/>
  <c r="C153" i="10" s="1"/>
  <c r="B151" i="10"/>
  <c r="B150" i="10"/>
  <c r="D149" i="10"/>
  <c r="C149" i="10"/>
  <c r="B149" i="10"/>
  <c r="B148" i="10"/>
  <c r="D148" i="10" s="1"/>
  <c r="B147" i="10"/>
  <c r="B146" i="10"/>
  <c r="D145" i="10"/>
  <c r="B145" i="10"/>
  <c r="B144" i="10"/>
  <c r="C145" i="10" s="1"/>
  <c r="B143" i="10"/>
  <c r="D143" i="10" s="1"/>
  <c r="B142" i="10"/>
  <c r="C143" i="10" s="1"/>
  <c r="B141" i="10"/>
  <c r="B140" i="10"/>
  <c r="B139" i="10"/>
  <c r="D139" i="10" s="1"/>
  <c r="B138" i="10"/>
  <c r="C139" i="10" s="1"/>
  <c r="D137" i="10"/>
  <c r="B137" i="10"/>
  <c r="C136" i="10"/>
  <c r="B136" i="10"/>
  <c r="C137" i="10" s="1"/>
  <c r="B135" i="10"/>
  <c r="D135" i="10" s="1"/>
  <c r="D134" i="10"/>
  <c r="B134" i="10"/>
  <c r="C135" i="10" s="1"/>
  <c r="C133" i="10"/>
  <c r="B133" i="10"/>
  <c r="D132" i="10"/>
  <c r="C132" i="10"/>
  <c r="B132" i="10"/>
  <c r="B131" i="10"/>
  <c r="D131" i="10" s="1"/>
  <c r="B130" i="10"/>
  <c r="B129" i="10"/>
  <c r="D129" i="10" s="1"/>
  <c r="C128" i="10"/>
  <c r="B128" i="10"/>
  <c r="B127" i="10"/>
  <c r="D127" i="10" s="1"/>
  <c r="D126" i="10"/>
  <c r="C126" i="10"/>
  <c r="B126" i="10"/>
  <c r="D125" i="10"/>
  <c r="B125" i="10"/>
  <c r="B124" i="10"/>
  <c r="B123" i="10"/>
  <c r="B122" i="10"/>
  <c r="D121" i="10"/>
  <c r="C121" i="10"/>
  <c r="B121" i="10"/>
  <c r="D120" i="10"/>
  <c r="B120" i="10"/>
  <c r="B119" i="10"/>
  <c r="D119" i="10" s="1"/>
  <c r="B118" i="10"/>
  <c r="B117" i="10"/>
  <c r="C118" i="10" s="1"/>
  <c r="B116" i="10"/>
  <c r="B115" i="10"/>
  <c r="D115" i="10" s="1"/>
  <c r="D114" i="10"/>
  <c r="B114" i="10"/>
  <c r="C115" i="10" s="1"/>
  <c r="B113" i="10"/>
  <c r="D112" i="10"/>
  <c r="C112" i="10"/>
  <c r="B112" i="10"/>
  <c r="B111" i="10"/>
  <c r="D111" i="10" s="1"/>
  <c r="B110" i="10"/>
  <c r="C111" i="10" s="1"/>
  <c r="B109" i="10"/>
  <c r="B108" i="10"/>
  <c r="C109" i="10" s="1"/>
  <c r="B107" i="10"/>
  <c r="B106" i="10"/>
  <c r="C105" i="10"/>
  <c r="B105" i="10"/>
  <c r="D105" i="10" s="1"/>
  <c r="D104" i="10"/>
  <c r="C104" i="10"/>
  <c r="B104" i="10"/>
  <c r="B103" i="10"/>
  <c r="D103" i="10" s="1"/>
  <c r="C102" i="10"/>
  <c r="B102" i="10"/>
  <c r="D101" i="10"/>
  <c r="C101" i="10"/>
  <c r="B101" i="10"/>
  <c r="B100" i="10"/>
  <c r="D100" i="10" s="1"/>
  <c r="B99" i="10"/>
  <c r="D98" i="10"/>
  <c r="B98" i="10"/>
  <c r="D97" i="10"/>
  <c r="B97" i="10"/>
  <c r="B96" i="10"/>
  <c r="B95" i="10"/>
  <c r="D95" i="10" s="1"/>
  <c r="D94" i="10"/>
  <c r="C94" i="10"/>
  <c r="B94" i="10"/>
  <c r="C95" i="10" s="1"/>
  <c r="D93" i="10"/>
  <c r="B93" i="10"/>
  <c r="C92" i="10"/>
  <c r="B92" i="10"/>
  <c r="C93" i="10" s="1"/>
  <c r="B91" i="10"/>
  <c r="D91" i="10" s="1"/>
  <c r="B90" i="10"/>
  <c r="C91" i="10" s="1"/>
  <c r="B89" i="10"/>
  <c r="C90" i="10" s="1"/>
  <c r="D88" i="10"/>
  <c r="B88" i="10"/>
  <c r="B87" i="10"/>
  <c r="D87" i="10" s="1"/>
  <c r="D86" i="10"/>
  <c r="B86" i="10"/>
  <c r="C87" i="10" s="1"/>
  <c r="B85" i="10"/>
  <c r="B84" i="10"/>
  <c r="B83" i="10"/>
  <c r="D82" i="10"/>
  <c r="B82" i="10"/>
  <c r="B81" i="10"/>
  <c r="D81" i="10" s="1"/>
  <c r="C80" i="10"/>
  <c r="B80" i="10"/>
  <c r="B79" i="10"/>
  <c r="D79" i="10" s="1"/>
  <c r="B78" i="10"/>
  <c r="D77" i="10"/>
  <c r="B77" i="10"/>
  <c r="B76" i="10"/>
  <c r="C77" i="10" s="1"/>
  <c r="B75" i="10"/>
  <c r="B74" i="10"/>
  <c r="C75" i="10" s="1"/>
  <c r="D73" i="10"/>
  <c r="C73" i="10"/>
  <c r="B73" i="10"/>
  <c r="D72" i="10"/>
  <c r="B72" i="10"/>
  <c r="B71" i="10"/>
  <c r="D71" i="10" s="1"/>
  <c r="B70" i="10"/>
  <c r="C71" i="10" s="1"/>
  <c r="D69" i="10"/>
  <c r="B69" i="10"/>
  <c r="C70" i="10" s="1"/>
  <c r="D68" i="10"/>
  <c r="C68" i="10"/>
  <c r="B68" i="10"/>
  <c r="B67" i="10"/>
  <c r="D67" i="10" s="1"/>
  <c r="B66" i="10"/>
  <c r="C67" i="10" s="1"/>
  <c r="B65" i="10"/>
  <c r="B64" i="10"/>
  <c r="B63" i="10"/>
  <c r="B62" i="10"/>
  <c r="C63" i="10" s="1"/>
  <c r="C61" i="10"/>
  <c r="B61" i="10"/>
  <c r="B60" i="10"/>
  <c r="D60" i="10" s="1"/>
  <c r="B59" i="10"/>
  <c r="D59" i="10" s="1"/>
  <c r="B58" i="10"/>
  <c r="C59" i="10" s="1"/>
  <c r="C57" i="10"/>
  <c r="B57" i="10"/>
  <c r="D57" i="10" s="1"/>
  <c r="D56" i="10"/>
  <c r="C56" i="10"/>
  <c r="B56" i="10"/>
  <c r="B55" i="10"/>
  <c r="D55" i="10" s="1"/>
  <c r="C54" i="10"/>
  <c r="B54" i="10"/>
  <c r="D53" i="10"/>
  <c r="B53" i="10"/>
  <c r="B52" i="10"/>
  <c r="C53" i="10" s="1"/>
  <c r="B51" i="10"/>
  <c r="D50" i="10"/>
  <c r="B50" i="10"/>
  <c r="B49" i="10"/>
  <c r="C50" i="10" s="1"/>
  <c r="B48" i="10"/>
  <c r="C49" i="10" s="1"/>
  <c r="B47" i="10"/>
  <c r="D47" i="10" s="1"/>
  <c r="D46" i="10"/>
  <c r="B46" i="10"/>
  <c r="C47" i="10" s="1"/>
  <c r="D45" i="10"/>
  <c r="B45" i="10"/>
  <c r="C44" i="10"/>
  <c r="B44" i="10"/>
  <c r="C45" i="10" s="1"/>
  <c r="B43" i="10"/>
  <c r="D43" i="10" s="1"/>
  <c r="B42" i="10"/>
  <c r="C43" i="10" s="1"/>
  <c r="D41" i="10"/>
  <c r="B41" i="10"/>
  <c r="D40" i="10"/>
  <c r="B40" i="10"/>
  <c r="B39" i="10"/>
  <c r="D39" i="10" s="1"/>
  <c r="D38" i="10"/>
  <c r="B38" i="10"/>
  <c r="C39" i="10" s="1"/>
  <c r="B37" i="10"/>
  <c r="B36" i="10"/>
  <c r="C37" i="10" s="1"/>
  <c r="B35" i="10"/>
  <c r="D35" i="10" s="1"/>
  <c r="D34" i="10"/>
  <c r="B34" i="10"/>
  <c r="B33" i="10"/>
  <c r="D33" i="10" s="1"/>
  <c r="B32" i="10"/>
  <c r="B31" i="10"/>
  <c r="C30" i="10"/>
  <c r="B30" i="10"/>
  <c r="D29" i="10"/>
  <c r="B29" i="10"/>
  <c r="B28" i="10"/>
  <c r="C29" i="10" s="1"/>
  <c r="B27" i="10"/>
  <c r="B26" i="10"/>
  <c r="C27" i="10" s="1"/>
  <c r="B25" i="10"/>
  <c r="D24" i="10"/>
  <c r="B24" i="10"/>
  <c r="B23" i="10"/>
  <c r="D23" i="10" s="1"/>
  <c r="B22" i="10"/>
  <c r="C23" i="10" s="1"/>
  <c r="D21" i="10"/>
  <c r="B21" i="10"/>
  <c r="C22" i="10" s="1"/>
  <c r="B20" i="10"/>
  <c r="C21" i="10" s="1"/>
  <c r="B19" i="10"/>
  <c r="D19" i="10" s="1"/>
  <c r="B18" i="10"/>
  <c r="C19" i="10" s="1"/>
  <c r="B17" i="10"/>
  <c r="D16" i="10"/>
  <c r="C16" i="10"/>
  <c r="B16" i="10"/>
  <c r="C17" i="10" s="1"/>
  <c r="B15" i="10"/>
  <c r="D15" i="10" s="1"/>
  <c r="D14" i="10"/>
  <c r="B14" i="10"/>
  <c r="C13" i="10"/>
  <c r="B13" i="10"/>
  <c r="B12" i="10"/>
  <c r="D12" i="10" s="1"/>
  <c r="B11" i="10"/>
  <c r="D11" i="10" s="1"/>
  <c r="B10" i="10"/>
  <c r="C11" i="10" s="1"/>
  <c r="C9" i="10"/>
  <c r="B9" i="10"/>
  <c r="D9" i="10" s="1"/>
  <c r="D8" i="10"/>
  <c r="C8" i="10"/>
  <c r="B8" i="10"/>
  <c r="B7" i="10"/>
  <c r="D7" i="10" s="1"/>
  <c r="C6" i="10"/>
  <c r="B6" i="10"/>
  <c r="D5" i="10"/>
  <c r="B5" i="10"/>
  <c r="B4" i="10"/>
  <c r="C5" i="10" s="1"/>
  <c r="B3" i="10"/>
  <c r="J2" i="10"/>
  <c r="B2" i="10"/>
  <c r="J1" i="10"/>
  <c r="C303" i="9"/>
  <c r="B303" i="9"/>
  <c r="C302" i="9"/>
  <c r="B302" i="9"/>
  <c r="B301" i="9"/>
  <c r="B300" i="9"/>
  <c r="C301" i="9" s="1"/>
  <c r="C299" i="9"/>
  <c r="B299" i="9"/>
  <c r="B298" i="9"/>
  <c r="B297" i="9"/>
  <c r="C298" i="9" s="1"/>
  <c r="B296" i="9"/>
  <c r="C297" i="9" s="1"/>
  <c r="B295" i="9"/>
  <c r="B294" i="9"/>
  <c r="B293" i="9"/>
  <c r="C294" i="9" s="1"/>
  <c r="C292" i="9"/>
  <c r="B292" i="9"/>
  <c r="B291" i="9"/>
  <c r="B290" i="9"/>
  <c r="C291" i="9" s="1"/>
  <c r="B289" i="9"/>
  <c r="B288" i="9"/>
  <c r="C289" i="9" s="1"/>
  <c r="B287" i="9"/>
  <c r="C288" i="9" s="1"/>
  <c r="B286" i="9"/>
  <c r="B285" i="9"/>
  <c r="C286" i="9" s="1"/>
  <c r="B284" i="9"/>
  <c r="B283" i="9"/>
  <c r="C284" i="9" s="1"/>
  <c r="B282" i="9"/>
  <c r="C281" i="9"/>
  <c r="B281" i="9"/>
  <c r="C280" i="9"/>
  <c r="B280" i="9"/>
  <c r="C279" i="9"/>
  <c r="B279" i="9"/>
  <c r="C278" i="9"/>
  <c r="B278" i="9"/>
  <c r="B277" i="9"/>
  <c r="B276" i="9"/>
  <c r="C277" i="9" s="1"/>
  <c r="B275" i="9"/>
  <c r="B274" i="9"/>
  <c r="C275" i="9" s="1"/>
  <c r="C273" i="9"/>
  <c r="B273" i="9"/>
  <c r="C272" i="9"/>
  <c r="B272" i="9"/>
  <c r="C271" i="9"/>
  <c r="B271" i="9"/>
  <c r="B270" i="9"/>
  <c r="C269" i="9"/>
  <c r="B269" i="9"/>
  <c r="B268" i="9"/>
  <c r="B267" i="9"/>
  <c r="C268" i="9" s="1"/>
  <c r="C266" i="9"/>
  <c r="B266" i="9"/>
  <c r="C265" i="9"/>
  <c r="B265" i="9"/>
  <c r="B264" i="9"/>
  <c r="B263" i="9"/>
  <c r="B262" i="9"/>
  <c r="C263" i="9" s="1"/>
  <c r="B261" i="9"/>
  <c r="C262" i="9" s="1"/>
  <c r="B260" i="9"/>
  <c r="C261" i="9" s="1"/>
  <c r="B259" i="9"/>
  <c r="C260" i="9" s="1"/>
  <c r="B258" i="9"/>
  <c r="C259" i="9" s="1"/>
  <c r="C257" i="9"/>
  <c r="B257" i="9"/>
  <c r="C256" i="9"/>
  <c r="B256" i="9"/>
  <c r="C255" i="9"/>
  <c r="B255" i="9"/>
  <c r="B254" i="9"/>
  <c r="B253" i="9"/>
  <c r="C254" i="9" s="1"/>
  <c r="B252" i="9"/>
  <c r="C253" i="9" s="1"/>
  <c r="B251" i="9"/>
  <c r="C252" i="9" s="1"/>
  <c r="B250" i="9"/>
  <c r="C250" i="9" s="1"/>
  <c r="B249" i="9"/>
  <c r="B248" i="9"/>
  <c r="C249" i="9" s="1"/>
  <c r="B247" i="9"/>
  <c r="C248" i="9" s="1"/>
  <c r="B246" i="9"/>
  <c r="C247" i="9" s="1"/>
  <c r="B245" i="9"/>
  <c r="C246" i="9" s="1"/>
  <c r="B244" i="9"/>
  <c r="C245" i="9" s="1"/>
  <c r="B243" i="9"/>
  <c r="B242" i="9"/>
  <c r="C243" i="9" s="1"/>
  <c r="B241" i="9"/>
  <c r="B240" i="9"/>
  <c r="C241" i="9" s="1"/>
  <c r="B239" i="9"/>
  <c r="C240" i="9" s="1"/>
  <c r="B238" i="9"/>
  <c r="B237" i="9"/>
  <c r="B236" i="9"/>
  <c r="C237" i="9" s="1"/>
  <c r="B235" i="9"/>
  <c r="C236" i="9" s="1"/>
  <c r="B234" i="9"/>
  <c r="B233" i="9"/>
  <c r="C234" i="9" s="1"/>
  <c r="B232" i="9"/>
  <c r="C233" i="9" s="1"/>
  <c r="B231" i="9"/>
  <c r="B230" i="9"/>
  <c r="C231" i="9" s="1"/>
  <c r="C229" i="9"/>
  <c r="B229" i="9"/>
  <c r="C228" i="9"/>
  <c r="B228" i="9"/>
  <c r="B227" i="9"/>
  <c r="B226" i="9"/>
  <c r="C227" i="9" s="1"/>
  <c r="B225" i="9"/>
  <c r="C226" i="9" s="1"/>
  <c r="B224" i="9"/>
  <c r="C225" i="9" s="1"/>
  <c r="B223" i="9"/>
  <c r="B222" i="9"/>
  <c r="C223" i="9" s="1"/>
  <c r="C221" i="9"/>
  <c r="B221" i="9"/>
  <c r="B220" i="9"/>
  <c r="B219" i="9"/>
  <c r="C220" i="9" s="1"/>
  <c r="B218" i="9"/>
  <c r="C219" i="9" s="1"/>
  <c r="B217" i="9"/>
  <c r="C218" i="9" s="1"/>
  <c r="B216" i="9"/>
  <c r="C217" i="9" s="1"/>
  <c r="C215" i="9"/>
  <c r="B215" i="9"/>
  <c r="C214" i="9"/>
  <c r="B214" i="9"/>
  <c r="B213" i="9"/>
  <c r="B212" i="9"/>
  <c r="C213" i="9" s="1"/>
  <c r="B211" i="9"/>
  <c r="C212" i="9" s="1"/>
  <c r="B210" i="9"/>
  <c r="C211" i="9" s="1"/>
  <c r="B209" i="9"/>
  <c r="C210" i="9" s="1"/>
  <c r="B208" i="9"/>
  <c r="C209" i="9" s="1"/>
  <c r="B207" i="9"/>
  <c r="B206" i="9"/>
  <c r="C207" i="9" s="1"/>
  <c r="B205" i="9"/>
  <c r="B204" i="9"/>
  <c r="C205" i="9" s="1"/>
  <c r="B203" i="9"/>
  <c r="C204" i="9" s="1"/>
  <c r="B202" i="9"/>
  <c r="B201" i="9"/>
  <c r="B200" i="9"/>
  <c r="C201" i="9" s="1"/>
  <c r="B199" i="9"/>
  <c r="C200" i="9" s="1"/>
  <c r="B198" i="9"/>
  <c r="B197" i="9"/>
  <c r="C198" i="9" s="1"/>
  <c r="B196" i="9"/>
  <c r="C197" i="9" s="1"/>
  <c r="B195" i="9"/>
  <c r="B194" i="9"/>
  <c r="C195" i="9" s="1"/>
  <c r="C193" i="9"/>
  <c r="B193" i="9"/>
  <c r="C192" i="9"/>
  <c r="B192" i="9"/>
  <c r="B191" i="9"/>
  <c r="B190" i="9"/>
  <c r="C191" i="9" s="1"/>
  <c r="B189" i="9"/>
  <c r="C190" i="9" s="1"/>
  <c r="B188" i="9"/>
  <c r="C189" i="9" s="1"/>
  <c r="C187" i="9"/>
  <c r="B187" i="9"/>
  <c r="B186" i="9"/>
  <c r="C186" i="9" s="1"/>
  <c r="C185" i="9"/>
  <c r="B185" i="9"/>
  <c r="B184" i="9"/>
  <c r="C184" i="9" s="1"/>
  <c r="B183" i="9"/>
  <c r="B182" i="9"/>
  <c r="C183" i="9" s="1"/>
  <c r="B181" i="9"/>
  <c r="C182" i="9" s="1"/>
  <c r="B180" i="9"/>
  <c r="C181" i="9" s="1"/>
  <c r="B179" i="9"/>
  <c r="C180" i="9" s="1"/>
  <c r="C178" i="9"/>
  <c r="B178" i="9"/>
  <c r="B177" i="9"/>
  <c r="B176" i="9"/>
  <c r="C177" i="9" s="1"/>
  <c r="B175" i="9"/>
  <c r="C176" i="9" s="1"/>
  <c r="B174" i="9"/>
  <c r="C175" i="9" s="1"/>
  <c r="B173" i="9"/>
  <c r="C174" i="9" s="1"/>
  <c r="B172" i="9"/>
  <c r="C173" i="9" s="1"/>
  <c r="B171" i="9"/>
  <c r="B170" i="9"/>
  <c r="C171" i="9" s="1"/>
  <c r="B169" i="9"/>
  <c r="B168" i="9"/>
  <c r="C169" i="9" s="1"/>
  <c r="B167" i="9"/>
  <c r="C168" i="9" s="1"/>
  <c r="B166" i="9"/>
  <c r="B165" i="9"/>
  <c r="B164" i="9"/>
  <c r="C165" i="9" s="1"/>
  <c r="B163" i="9"/>
  <c r="C164" i="9" s="1"/>
  <c r="B162" i="9"/>
  <c r="B161" i="9"/>
  <c r="C162" i="9" s="1"/>
  <c r="B160" i="9"/>
  <c r="C161" i="9" s="1"/>
  <c r="B159" i="9"/>
  <c r="B158" i="9"/>
  <c r="C159" i="9" s="1"/>
  <c r="C157" i="9"/>
  <c r="B157" i="9"/>
  <c r="C156" i="9"/>
  <c r="B156" i="9"/>
  <c r="B155" i="9"/>
  <c r="B154" i="9"/>
  <c r="C155" i="9" s="1"/>
  <c r="B153" i="9"/>
  <c r="C154" i="9" s="1"/>
  <c r="B152" i="9"/>
  <c r="C153" i="9" s="1"/>
  <c r="B151" i="9"/>
  <c r="C152" i="9" s="1"/>
  <c r="B150" i="9"/>
  <c r="C151" i="9" s="1"/>
  <c r="C149" i="9"/>
  <c r="B149" i="9"/>
  <c r="B148" i="9"/>
  <c r="C148" i="9" s="1"/>
  <c r="B147" i="9"/>
  <c r="B146" i="9"/>
  <c r="C147" i="9" s="1"/>
  <c r="B145" i="9"/>
  <c r="C146" i="9" s="1"/>
  <c r="B144" i="9"/>
  <c r="C145" i="9" s="1"/>
  <c r="C143" i="9"/>
  <c r="B143" i="9"/>
  <c r="C142" i="9"/>
  <c r="B142" i="9"/>
  <c r="B141" i="9"/>
  <c r="B140" i="9"/>
  <c r="C141" i="9" s="1"/>
  <c r="B139" i="9"/>
  <c r="C140" i="9" s="1"/>
  <c r="B138" i="9"/>
  <c r="C139" i="9" s="1"/>
  <c r="B137" i="9"/>
  <c r="C138" i="9" s="1"/>
  <c r="B136" i="9"/>
  <c r="C137" i="9" s="1"/>
  <c r="B135" i="9"/>
  <c r="C136" i="9" s="1"/>
  <c r="B134" i="9"/>
  <c r="B133" i="9"/>
  <c r="B132" i="9"/>
  <c r="C133" i="9" s="1"/>
  <c r="B131" i="9"/>
  <c r="C132" i="9" s="1"/>
  <c r="B130" i="9"/>
  <c r="B129" i="9"/>
  <c r="B128" i="9"/>
  <c r="C129" i="9" s="1"/>
  <c r="B127" i="9"/>
  <c r="C128" i="9" s="1"/>
  <c r="B126" i="9"/>
  <c r="B125" i="9"/>
  <c r="C126" i="9" s="1"/>
  <c r="B124" i="9"/>
  <c r="C125" i="9" s="1"/>
  <c r="B123" i="9"/>
  <c r="C124" i="9" s="1"/>
  <c r="B122" i="9"/>
  <c r="C121" i="9"/>
  <c r="B121" i="9"/>
  <c r="C120" i="9"/>
  <c r="B120" i="9"/>
  <c r="B119" i="9"/>
  <c r="B118" i="9"/>
  <c r="C119" i="9" s="1"/>
  <c r="B117" i="9"/>
  <c r="C118" i="9" s="1"/>
  <c r="B116" i="9"/>
  <c r="C117" i="9" s="1"/>
  <c r="B115" i="9"/>
  <c r="C116" i="9" s="1"/>
  <c r="C114" i="9"/>
  <c r="B114" i="9"/>
  <c r="C113" i="9"/>
  <c r="B113" i="9"/>
  <c r="B112" i="9"/>
  <c r="C112" i="9" s="1"/>
  <c r="B111" i="9"/>
  <c r="B110" i="9"/>
  <c r="C111" i="9" s="1"/>
  <c r="B109" i="9"/>
  <c r="C110" i="9" s="1"/>
  <c r="B108" i="9"/>
  <c r="C109" i="9" s="1"/>
  <c r="B107" i="9"/>
  <c r="B106" i="9"/>
  <c r="C107" i="9" s="1"/>
  <c r="B105" i="9"/>
  <c r="B104" i="9"/>
  <c r="C105" i="9" s="1"/>
  <c r="B103" i="9"/>
  <c r="C104" i="9" s="1"/>
  <c r="B102" i="9"/>
  <c r="C103" i="9" s="1"/>
  <c r="B101" i="9"/>
  <c r="C102" i="9" s="1"/>
  <c r="B100" i="9"/>
  <c r="C101" i="9" s="1"/>
  <c r="B99" i="9"/>
  <c r="C100" i="9" s="1"/>
  <c r="B98" i="9"/>
  <c r="C99" i="9" s="1"/>
  <c r="B97" i="9"/>
  <c r="B96" i="9"/>
  <c r="C97" i="9" s="1"/>
  <c r="B95" i="9"/>
  <c r="C96" i="9" s="1"/>
  <c r="B94" i="9"/>
  <c r="B93" i="9"/>
  <c r="B92" i="9"/>
  <c r="C93" i="9" s="1"/>
  <c r="B91" i="9"/>
  <c r="C92" i="9" s="1"/>
  <c r="B90" i="9"/>
  <c r="B89" i="9"/>
  <c r="C90" i="9" s="1"/>
  <c r="B88" i="9"/>
  <c r="C89" i="9" s="1"/>
  <c r="B87" i="9"/>
  <c r="C88" i="9" s="1"/>
  <c r="B86" i="9"/>
  <c r="C87" i="9" s="1"/>
  <c r="C85" i="9"/>
  <c r="B85" i="9"/>
  <c r="C84" i="9"/>
  <c r="B84" i="9"/>
  <c r="B83" i="9"/>
  <c r="B82" i="9"/>
  <c r="C83" i="9" s="1"/>
  <c r="B81" i="9"/>
  <c r="C82" i="9" s="1"/>
  <c r="B80" i="9"/>
  <c r="C81" i="9" s="1"/>
  <c r="B79" i="9"/>
  <c r="C80" i="9" s="1"/>
  <c r="B78" i="9"/>
  <c r="C78" i="9" s="1"/>
  <c r="C77" i="9"/>
  <c r="B77" i="9"/>
  <c r="B76" i="9"/>
  <c r="C76" i="9" s="1"/>
  <c r="B75" i="9"/>
  <c r="B74" i="9"/>
  <c r="C75" i="9" s="1"/>
  <c r="B73" i="9"/>
  <c r="C74" i="9" s="1"/>
  <c r="B72" i="9"/>
  <c r="C73" i="9" s="1"/>
  <c r="B71" i="9"/>
  <c r="B70" i="9"/>
  <c r="C71" i="9" s="1"/>
  <c r="B69" i="9"/>
  <c r="B68" i="9"/>
  <c r="C69" i="9" s="1"/>
  <c r="B67" i="9"/>
  <c r="C68" i="9" s="1"/>
  <c r="B66" i="9"/>
  <c r="C67" i="9" s="1"/>
  <c r="B65" i="9"/>
  <c r="C66" i="9" s="1"/>
  <c r="B64" i="9"/>
  <c r="C65" i="9" s="1"/>
  <c r="B63" i="9"/>
  <c r="B62" i="9"/>
  <c r="B61" i="9"/>
  <c r="B60" i="9"/>
  <c r="C61" i="9" s="1"/>
  <c r="B59" i="9"/>
  <c r="C60" i="9" s="1"/>
  <c r="B58" i="9"/>
  <c r="B57" i="9"/>
  <c r="B56" i="9"/>
  <c r="C57" i="9" s="1"/>
  <c r="B55" i="9"/>
  <c r="C56" i="9" s="1"/>
  <c r="B54" i="9"/>
  <c r="B53" i="9"/>
  <c r="C54" i="9" s="1"/>
  <c r="B52" i="9"/>
  <c r="C53" i="9" s="1"/>
  <c r="B51" i="9"/>
  <c r="B50" i="9"/>
  <c r="C49" i="9"/>
  <c r="B49" i="9"/>
  <c r="C48" i="9"/>
  <c r="B48" i="9"/>
  <c r="B47" i="9"/>
  <c r="B46" i="9"/>
  <c r="C47" i="9" s="1"/>
  <c r="B45" i="9"/>
  <c r="C46" i="9" s="1"/>
  <c r="B44" i="9"/>
  <c r="C45" i="9" s="1"/>
  <c r="C43" i="9"/>
  <c r="B43" i="9"/>
  <c r="C42" i="9"/>
  <c r="B42" i="9"/>
  <c r="C41" i="9"/>
  <c r="B41" i="9"/>
  <c r="B40" i="9"/>
  <c r="C40" i="9" s="1"/>
  <c r="B39" i="9"/>
  <c r="B38" i="9"/>
  <c r="C39" i="9" s="1"/>
  <c r="B37" i="9"/>
  <c r="C38" i="9" s="1"/>
  <c r="B36" i="9"/>
  <c r="C37" i="9" s="1"/>
  <c r="B35" i="9"/>
  <c r="C36" i="9" s="1"/>
  <c r="C34" i="9"/>
  <c r="B34" i="9"/>
  <c r="B33" i="9"/>
  <c r="B32" i="9"/>
  <c r="C33" i="9" s="1"/>
  <c r="B31" i="9"/>
  <c r="C32" i="9" s="1"/>
  <c r="B30" i="9"/>
  <c r="C31" i="9" s="1"/>
  <c r="B29" i="9"/>
  <c r="C30" i="9" s="1"/>
  <c r="B28" i="9"/>
  <c r="C29" i="9" s="1"/>
  <c r="B27" i="9"/>
  <c r="B26" i="9"/>
  <c r="B25" i="9"/>
  <c r="B24" i="9"/>
  <c r="C25" i="9" s="1"/>
  <c r="B23" i="9"/>
  <c r="C24" i="9" s="1"/>
  <c r="B22" i="9"/>
  <c r="B21" i="9"/>
  <c r="B20" i="9"/>
  <c r="C21" i="9" s="1"/>
  <c r="B19" i="9"/>
  <c r="B18" i="9"/>
  <c r="B17" i="9"/>
  <c r="C18" i="9" s="1"/>
  <c r="B16" i="9"/>
  <c r="C17" i="9" s="1"/>
  <c r="B15" i="9"/>
  <c r="B14" i="9"/>
  <c r="C13" i="9"/>
  <c r="B13" i="9"/>
  <c r="C12" i="9"/>
  <c r="B12" i="9"/>
  <c r="B11" i="9"/>
  <c r="B10" i="9"/>
  <c r="C11" i="9" s="1"/>
  <c r="B9" i="9"/>
  <c r="C10" i="9" s="1"/>
  <c r="B8" i="9"/>
  <c r="C9" i="9" s="1"/>
  <c r="B7" i="9"/>
  <c r="C8" i="9" s="1"/>
  <c r="C6" i="9"/>
  <c r="B6" i="9"/>
  <c r="C5" i="9"/>
  <c r="B5" i="9"/>
  <c r="B4" i="9"/>
  <c r="C4" i="9" s="1"/>
  <c r="B3" i="9"/>
  <c r="J2" i="9"/>
  <c r="J3" i="9" s="1"/>
  <c r="B2" i="9"/>
  <c r="C3" i="9" s="1"/>
  <c r="J1" i="9"/>
  <c r="C31" i="8"/>
  <c r="C27" i="8" s="1"/>
  <c r="E27" i="8"/>
  <c r="D27" i="8"/>
  <c r="E26" i="8"/>
  <c r="D26" i="8"/>
  <c r="E25" i="8"/>
  <c r="D25" i="8"/>
  <c r="E24" i="8"/>
  <c r="D24" i="8"/>
  <c r="E23" i="8"/>
  <c r="D23" i="8"/>
  <c r="C23" i="8"/>
  <c r="E22" i="8"/>
  <c r="D22" i="8"/>
  <c r="E21" i="8"/>
  <c r="D21" i="8"/>
  <c r="E20" i="8"/>
  <c r="D20" i="8"/>
  <c r="E19" i="8"/>
  <c r="D19" i="8"/>
  <c r="E18" i="8"/>
  <c r="D18" i="8"/>
  <c r="E17" i="8"/>
  <c r="D17" i="8"/>
  <c r="E16" i="8"/>
  <c r="D16" i="8"/>
  <c r="E15" i="8"/>
  <c r="D15" i="8"/>
  <c r="E14" i="8"/>
  <c r="D14" i="8"/>
  <c r="E13" i="8"/>
  <c r="D13" i="8"/>
  <c r="E12" i="8"/>
  <c r="D12" i="8"/>
  <c r="C12" i="8"/>
  <c r="E11" i="8"/>
  <c r="D11" i="8"/>
  <c r="E10" i="8"/>
  <c r="D10" i="8"/>
  <c r="E9" i="8"/>
  <c r="D9" i="8"/>
  <c r="E8" i="8"/>
  <c r="D8" i="8"/>
  <c r="E7" i="8"/>
  <c r="D7" i="8"/>
  <c r="C7" i="8"/>
  <c r="E6" i="8"/>
  <c r="D6" i="8"/>
  <c r="E5" i="8"/>
  <c r="D5" i="8"/>
  <c r="E4" i="8"/>
  <c r="D4" i="8"/>
  <c r="E3" i="8"/>
  <c r="D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R6" i="7" s="1"/>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Z4" i="7" s="1"/>
  <c r="Y75" i="7"/>
  <c r="Y4" i="7" s="1"/>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T4" i="7" s="1"/>
  <c r="S73" i="7"/>
  <c r="R73" i="7"/>
  <c r="Q73" i="7"/>
  <c r="P73" i="7"/>
  <c r="O73" i="7"/>
  <c r="N73" i="7"/>
  <c r="M73" i="7"/>
  <c r="L73" i="7"/>
  <c r="K73" i="7"/>
  <c r="J73" i="7"/>
  <c r="I73" i="7"/>
  <c r="H73" i="7"/>
  <c r="H6" i="7" s="1"/>
  <c r="H7" i="7" s="1"/>
  <c r="G73" i="7"/>
  <c r="G6" i="7" s="1"/>
  <c r="F73" i="7"/>
  <c r="E73" i="7"/>
  <c r="D73" i="7"/>
  <c r="C73" i="7"/>
  <c r="AC72" i="7"/>
  <c r="AA72" i="7"/>
  <c r="Z72" i="7"/>
  <c r="Y72" i="7"/>
  <c r="X72" i="7"/>
  <c r="W72" i="7"/>
  <c r="V72" i="7"/>
  <c r="V4" i="7" s="1"/>
  <c r="U72" i="7"/>
  <c r="U6" i="7" s="1"/>
  <c r="U7" i="7" s="1"/>
  <c r="T72" i="7"/>
  <c r="T6" i="7" s="1"/>
  <c r="S72" i="7"/>
  <c r="R72" i="7"/>
  <c r="Q72" i="7"/>
  <c r="P72" i="7"/>
  <c r="O72" i="7"/>
  <c r="N72" i="7"/>
  <c r="M72" i="7"/>
  <c r="L72" i="7"/>
  <c r="K72" i="7"/>
  <c r="J72" i="7"/>
  <c r="J6" i="7" s="1"/>
  <c r="I72" i="7"/>
  <c r="I5" i="7" s="1"/>
  <c r="H72" i="7"/>
  <c r="H5" i="7" s="1"/>
  <c r="G72" i="7"/>
  <c r="F72" i="7"/>
  <c r="E72" i="7"/>
  <c r="D72" i="7"/>
  <c r="C72" i="7"/>
  <c r="AC71" i="7"/>
  <c r="AD71" i="7" s="1"/>
  <c r="AA71" i="7"/>
  <c r="Z71" i="7"/>
  <c r="Y71" i="7"/>
  <c r="X71" i="7"/>
  <c r="X6" i="7" s="1"/>
  <c r="W71" i="7"/>
  <c r="W6" i="7" s="1"/>
  <c r="V71" i="7"/>
  <c r="V6" i="7" s="1"/>
  <c r="V7" i="7" s="1"/>
  <c r="U71" i="7"/>
  <c r="T71" i="7"/>
  <c r="S71" i="7"/>
  <c r="R71" i="7"/>
  <c r="Q71" i="7"/>
  <c r="P71" i="7"/>
  <c r="O71" i="7"/>
  <c r="N71" i="7"/>
  <c r="M71" i="7"/>
  <c r="L71" i="7"/>
  <c r="L6" i="7" s="1"/>
  <c r="K71" i="7"/>
  <c r="K4" i="7" s="1"/>
  <c r="J71" i="7"/>
  <c r="J4" i="7" s="1"/>
  <c r="I71" i="7"/>
  <c r="H71" i="7"/>
  <c r="G71" i="7"/>
  <c r="F71" i="7"/>
  <c r="E71" i="7"/>
  <c r="D71" i="7"/>
  <c r="C71" i="7"/>
  <c r="AC70" i="7"/>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A40" i="7"/>
  <c r="Z40" i="7"/>
  <c r="Y40" i="7"/>
  <c r="X40" i="7"/>
  <c r="W40" i="7"/>
  <c r="V40" i="7"/>
  <c r="U40" i="7"/>
  <c r="T40" i="7"/>
  <c r="S40" i="7"/>
  <c r="R40" i="7"/>
  <c r="Q40" i="7"/>
  <c r="P40" i="7"/>
  <c r="O40" i="7"/>
  <c r="N40" i="7"/>
  <c r="M40" i="7"/>
  <c r="L40" i="7"/>
  <c r="K40" i="7"/>
  <c r="J40" i="7"/>
  <c r="I40" i="7"/>
  <c r="H40" i="7"/>
  <c r="G40" i="7"/>
  <c r="F40" i="7"/>
  <c r="E40" i="7"/>
  <c r="D40" i="7"/>
  <c r="C40" i="7"/>
  <c r="AC39" i="7"/>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A14" i="7"/>
  <c r="Z14" i="7"/>
  <c r="Y14" i="7"/>
  <c r="X14" i="7"/>
  <c r="W14" i="7"/>
  <c r="V14" i="7"/>
  <c r="U14" i="7"/>
  <c r="T14" i="7"/>
  <c r="S14" i="7"/>
  <c r="R14" i="7"/>
  <c r="Q14" i="7"/>
  <c r="P14" i="7"/>
  <c r="O14" i="7"/>
  <c r="N14" i="7"/>
  <c r="M14" i="7"/>
  <c r="L14" i="7"/>
  <c r="K14" i="7"/>
  <c r="J14" i="7"/>
  <c r="I14" i="7"/>
  <c r="H14" i="7"/>
  <c r="G14" i="7"/>
  <c r="F14" i="7"/>
  <c r="E14" i="7"/>
  <c r="AD14" i="7" s="1"/>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A11" i="7"/>
  <c r="Z11" i="7"/>
  <c r="Y11" i="7"/>
  <c r="X11" i="7"/>
  <c r="W11" i="7"/>
  <c r="V11" i="7"/>
  <c r="U11" i="7"/>
  <c r="T11" i="7"/>
  <c r="S11" i="7"/>
  <c r="R11" i="7"/>
  <c r="Q11" i="7"/>
  <c r="P11" i="7"/>
  <c r="O11" i="7"/>
  <c r="N11" i="7"/>
  <c r="M11" i="7"/>
  <c r="L11" i="7"/>
  <c r="K11" i="7"/>
  <c r="J11" i="7"/>
  <c r="I11" i="7"/>
  <c r="H11" i="7"/>
  <c r="G11" i="7"/>
  <c r="F11" i="7"/>
  <c r="E11" i="7"/>
  <c r="D11" i="7"/>
  <c r="C11" i="7"/>
  <c r="AA8" i="7"/>
  <c r="S8" i="7"/>
  <c r="R8" i="7"/>
  <c r="F8" i="7"/>
  <c r="E8" i="7"/>
  <c r="Q6" i="7"/>
  <c r="K6" i="7"/>
  <c r="T5" i="7"/>
  <c r="S5" i="7"/>
  <c r="AE4" i="7"/>
  <c r="X4" i="7"/>
  <c r="H4" i="7"/>
  <c r="AE3" i="7"/>
  <c r="T9" i="7" s="1"/>
  <c r="AE2" i="7"/>
  <c r="Q9" i="7" s="1"/>
  <c r="AC100" i="6"/>
  <c r="AD100" i="6" s="1"/>
  <c r="AA100" i="6"/>
  <c r="Z100" i="6"/>
  <c r="Y100" i="6"/>
  <c r="X100" i="6"/>
  <c r="W100" i="6"/>
  <c r="V100" i="6"/>
  <c r="U100" i="6"/>
  <c r="T100" i="6"/>
  <c r="S100" i="6"/>
  <c r="R100" i="6"/>
  <c r="Q100" i="6"/>
  <c r="P100" i="6"/>
  <c r="O100" i="6"/>
  <c r="N100" i="6"/>
  <c r="M100" i="6"/>
  <c r="L100" i="6"/>
  <c r="K100" i="6"/>
  <c r="J100" i="6"/>
  <c r="I100" i="6"/>
  <c r="H100" i="6"/>
  <c r="G100" i="6"/>
  <c r="F100" i="6"/>
  <c r="E100" i="6"/>
  <c r="E9" i="6" s="1"/>
  <c r="D100" i="6"/>
  <c r="C100" i="6"/>
  <c r="AC99" i="6"/>
  <c r="AA99" i="6"/>
  <c r="Z99" i="6"/>
  <c r="Y99" i="6"/>
  <c r="X99" i="6"/>
  <c r="W99" i="6"/>
  <c r="V99" i="6"/>
  <c r="U99" i="6"/>
  <c r="T99" i="6"/>
  <c r="S99" i="6"/>
  <c r="R99" i="6"/>
  <c r="Q99" i="6"/>
  <c r="P99" i="6"/>
  <c r="O99" i="6"/>
  <c r="N99" i="6"/>
  <c r="M99" i="6"/>
  <c r="L99" i="6"/>
  <c r="K99" i="6"/>
  <c r="J99" i="6"/>
  <c r="I99" i="6"/>
  <c r="H99" i="6"/>
  <c r="G99" i="6"/>
  <c r="AD99" i="6" s="1"/>
  <c r="F99" i="6"/>
  <c r="E99" i="6"/>
  <c r="D99" i="6"/>
  <c r="C99" i="6"/>
  <c r="AC98" i="6"/>
  <c r="AA98" i="6"/>
  <c r="Z98" i="6"/>
  <c r="Y98" i="6"/>
  <c r="X98" i="6"/>
  <c r="W98" i="6"/>
  <c r="V98" i="6"/>
  <c r="U98" i="6"/>
  <c r="U9" i="6" s="1"/>
  <c r="T98" i="6"/>
  <c r="S98" i="6"/>
  <c r="R98" i="6"/>
  <c r="Q98" i="6"/>
  <c r="P98" i="6"/>
  <c r="O98" i="6"/>
  <c r="N98" i="6"/>
  <c r="M98" i="6"/>
  <c r="L98" i="6"/>
  <c r="K98" i="6"/>
  <c r="J98" i="6"/>
  <c r="I98" i="6"/>
  <c r="H98" i="6"/>
  <c r="G98" i="6"/>
  <c r="AD98" i="6" s="1"/>
  <c r="F98" i="6"/>
  <c r="E98" i="6"/>
  <c r="D98" i="6"/>
  <c r="C98" i="6"/>
  <c r="AC97" i="6"/>
  <c r="AA97" i="6"/>
  <c r="Z97" i="6"/>
  <c r="Z4" i="6" s="1"/>
  <c r="Y97" i="6"/>
  <c r="X97" i="6"/>
  <c r="W97" i="6"/>
  <c r="V97" i="6"/>
  <c r="U97" i="6"/>
  <c r="T97" i="6"/>
  <c r="S97" i="6"/>
  <c r="R97" i="6"/>
  <c r="Q97" i="6"/>
  <c r="P97" i="6"/>
  <c r="O97" i="6"/>
  <c r="N97" i="6"/>
  <c r="N4" i="6" s="1"/>
  <c r="M97" i="6"/>
  <c r="L97" i="6"/>
  <c r="K97" i="6"/>
  <c r="J97" i="6"/>
  <c r="I97" i="6"/>
  <c r="H97" i="6"/>
  <c r="G97" i="6"/>
  <c r="F97" i="6"/>
  <c r="E97" i="6"/>
  <c r="D97" i="6"/>
  <c r="C97" i="6"/>
  <c r="AD96" i="6"/>
  <c r="AC96" i="6"/>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AD94" i="6" s="1"/>
  <c r="F94" i="6"/>
  <c r="E94" i="6"/>
  <c r="D94" i="6"/>
  <c r="C94" i="6"/>
  <c r="AC93" i="6"/>
  <c r="AD93" i="6" s="1"/>
  <c r="AA93" i="6"/>
  <c r="Z93" i="6"/>
  <c r="Y93" i="6"/>
  <c r="X93" i="6"/>
  <c r="X5" i="6" s="1"/>
  <c r="W93" i="6"/>
  <c r="V93" i="6"/>
  <c r="U93" i="6"/>
  <c r="T93" i="6"/>
  <c r="S93" i="6"/>
  <c r="R93" i="6"/>
  <c r="Q93" i="6"/>
  <c r="P93" i="6"/>
  <c r="O93" i="6"/>
  <c r="N93" i="6"/>
  <c r="M93" i="6"/>
  <c r="L93" i="6"/>
  <c r="L4" i="6" s="1"/>
  <c r="K93" i="6"/>
  <c r="J93" i="6"/>
  <c r="I93" i="6"/>
  <c r="H93" i="6"/>
  <c r="G93" i="6"/>
  <c r="F93" i="6"/>
  <c r="E93" i="6"/>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A90" i="6"/>
  <c r="Z90" i="6"/>
  <c r="Y90" i="6"/>
  <c r="X90" i="6"/>
  <c r="W90" i="6"/>
  <c r="V90" i="6"/>
  <c r="U90" i="6"/>
  <c r="T90" i="6"/>
  <c r="S90" i="6"/>
  <c r="R90" i="6"/>
  <c r="Q90" i="6"/>
  <c r="P90" i="6"/>
  <c r="O90" i="6"/>
  <c r="N90" i="6"/>
  <c r="M90" i="6"/>
  <c r="L90" i="6"/>
  <c r="K90" i="6"/>
  <c r="J90" i="6"/>
  <c r="I90" i="6"/>
  <c r="H90" i="6"/>
  <c r="G90" i="6"/>
  <c r="AD90" i="6" s="1"/>
  <c r="F90" i="6"/>
  <c r="E90" i="6"/>
  <c r="D90" i="6"/>
  <c r="C90" i="6"/>
  <c r="AC89" i="6"/>
  <c r="AD89" i="6" s="1"/>
  <c r="AA89" i="6"/>
  <c r="Z89" i="6"/>
  <c r="Y89" i="6"/>
  <c r="X89" i="6"/>
  <c r="W89" i="6"/>
  <c r="V89" i="6"/>
  <c r="U89" i="6"/>
  <c r="T89" i="6"/>
  <c r="S89" i="6"/>
  <c r="R89" i="6"/>
  <c r="Q89" i="6"/>
  <c r="P89" i="6"/>
  <c r="O89" i="6"/>
  <c r="N89" i="6"/>
  <c r="M89" i="6"/>
  <c r="L89" i="6"/>
  <c r="K89" i="6"/>
  <c r="J89" i="6"/>
  <c r="I89" i="6"/>
  <c r="H89" i="6"/>
  <c r="G89" i="6"/>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AD86" i="6" s="1"/>
  <c r="F86" i="6"/>
  <c r="E86" i="6"/>
  <c r="D86" i="6"/>
  <c r="C86" i="6"/>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AD84" i="6" s="1"/>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A82" i="6"/>
  <c r="Z82" i="6"/>
  <c r="Y82" i="6"/>
  <c r="X82" i="6"/>
  <c r="W82" i="6"/>
  <c r="V82" i="6"/>
  <c r="U82" i="6"/>
  <c r="T82" i="6"/>
  <c r="S82" i="6"/>
  <c r="R82" i="6"/>
  <c r="Q82" i="6"/>
  <c r="P82" i="6"/>
  <c r="O82" i="6"/>
  <c r="N82" i="6"/>
  <c r="M82" i="6"/>
  <c r="L82" i="6"/>
  <c r="K82" i="6"/>
  <c r="J82" i="6"/>
  <c r="I82" i="6"/>
  <c r="H82" i="6"/>
  <c r="G82" i="6"/>
  <c r="AD82" i="6" s="1"/>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0" i="6"/>
  <c r="AC80" i="6"/>
  <c r="AA80" i="6"/>
  <c r="Z80" i="6"/>
  <c r="Y80" i="6"/>
  <c r="X80" i="6"/>
  <c r="W80" i="6"/>
  <c r="V80" i="6"/>
  <c r="U80" i="6"/>
  <c r="T80" i="6"/>
  <c r="S80" i="6"/>
  <c r="R80" i="6"/>
  <c r="Q80" i="6"/>
  <c r="P80" i="6"/>
  <c r="O80" i="6"/>
  <c r="N80" i="6"/>
  <c r="M80" i="6"/>
  <c r="L80" i="6"/>
  <c r="K80" i="6"/>
  <c r="J80" i="6"/>
  <c r="I80" i="6"/>
  <c r="H80" i="6"/>
  <c r="G80" i="6"/>
  <c r="F80" i="6"/>
  <c r="E80" i="6"/>
  <c r="D80" i="6"/>
  <c r="C80" i="6"/>
  <c r="AC79" i="6"/>
  <c r="AA79" i="6"/>
  <c r="Z79" i="6"/>
  <c r="Y79" i="6"/>
  <c r="X79" i="6"/>
  <c r="W79" i="6"/>
  <c r="V79" i="6"/>
  <c r="U79" i="6"/>
  <c r="T79" i="6"/>
  <c r="S79" i="6"/>
  <c r="R79" i="6"/>
  <c r="Q79" i="6"/>
  <c r="P79" i="6"/>
  <c r="O79" i="6"/>
  <c r="N79" i="6"/>
  <c r="M79" i="6"/>
  <c r="L79" i="6"/>
  <c r="K79" i="6"/>
  <c r="J79" i="6"/>
  <c r="I79" i="6"/>
  <c r="H79" i="6"/>
  <c r="G79" i="6"/>
  <c r="AD79" i="6" s="1"/>
  <c r="F79" i="6"/>
  <c r="E79" i="6"/>
  <c r="D79" i="6"/>
  <c r="C79" i="6"/>
  <c r="AC78" i="6"/>
  <c r="AA78" i="6"/>
  <c r="Z78" i="6"/>
  <c r="Y78" i="6"/>
  <c r="X78" i="6"/>
  <c r="W78" i="6"/>
  <c r="V78" i="6"/>
  <c r="U78" i="6"/>
  <c r="T78" i="6"/>
  <c r="S78" i="6"/>
  <c r="R78" i="6"/>
  <c r="Q78" i="6"/>
  <c r="P78" i="6"/>
  <c r="O78" i="6"/>
  <c r="N78" i="6"/>
  <c r="M78" i="6"/>
  <c r="L78" i="6"/>
  <c r="K78" i="6"/>
  <c r="J78" i="6"/>
  <c r="I78" i="6"/>
  <c r="H78" i="6"/>
  <c r="G78" i="6"/>
  <c r="AD78" i="6" s="1"/>
  <c r="F78" i="6"/>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C76" i="6"/>
  <c r="AD76" i="6" s="1"/>
  <c r="AA76" i="6"/>
  <c r="Z76" i="6"/>
  <c r="Y76" i="6"/>
  <c r="X76" i="6"/>
  <c r="W76" i="6"/>
  <c r="V76" i="6"/>
  <c r="U76" i="6"/>
  <c r="T76" i="6"/>
  <c r="S76" i="6"/>
  <c r="S5" i="6" s="1"/>
  <c r="R76" i="6"/>
  <c r="Q76" i="6"/>
  <c r="P76" i="6"/>
  <c r="O76" i="6"/>
  <c r="N76" i="6"/>
  <c r="M76" i="6"/>
  <c r="L76" i="6"/>
  <c r="K76" i="6"/>
  <c r="J76" i="6"/>
  <c r="I76" i="6"/>
  <c r="H76" i="6"/>
  <c r="G76" i="6"/>
  <c r="G5" i="6" s="1"/>
  <c r="F76" i="6"/>
  <c r="E76" i="6"/>
  <c r="D76" i="6"/>
  <c r="C76" i="6"/>
  <c r="AC75" i="6"/>
  <c r="AA75" i="6"/>
  <c r="Z75" i="6"/>
  <c r="Y75" i="6"/>
  <c r="X75" i="6"/>
  <c r="W75" i="6"/>
  <c r="V75" i="6"/>
  <c r="V5" i="6" s="1"/>
  <c r="U75" i="6"/>
  <c r="T75" i="6"/>
  <c r="S75" i="6"/>
  <c r="R75" i="6"/>
  <c r="Q75" i="6"/>
  <c r="P75" i="6"/>
  <c r="O75" i="6"/>
  <c r="N75" i="6"/>
  <c r="M75" i="6"/>
  <c r="L75" i="6"/>
  <c r="K75" i="6"/>
  <c r="J75" i="6"/>
  <c r="J6" i="6" s="1"/>
  <c r="J7" i="6" s="1"/>
  <c r="I75" i="6"/>
  <c r="H75" i="6"/>
  <c r="G75" i="6"/>
  <c r="AD75" i="6" s="1"/>
  <c r="F75" i="6"/>
  <c r="E75" i="6"/>
  <c r="D75" i="6"/>
  <c r="C75" i="6"/>
  <c r="AC74" i="6"/>
  <c r="AA74" i="6"/>
  <c r="Z74" i="6"/>
  <c r="Y74" i="6"/>
  <c r="Y4" i="6" s="1"/>
  <c r="X74" i="6"/>
  <c r="W74" i="6"/>
  <c r="V74" i="6"/>
  <c r="U74" i="6"/>
  <c r="T74" i="6"/>
  <c r="S74" i="6"/>
  <c r="R74" i="6"/>
  <c r="Q74" i="6"/>
  <c r="P74" i="6"/>
  <c r="O74" i="6"/>
  <c r="N74" i="6"/>
  <c r="M74" i="6"/>
  <c r="M6" i="6" s="1"/>
  <c r="L74" i="6"/>
  <c r="K74" i="6"/>
  <c r="J74" i="6"/>
  <c r="I74" i="6"/>
  <c r="H74" i="6"/>
  <c r="G74" i="6"/>
  <c r="AD74" i="6" s="1"/>
  <c r="F74" i="6"/>
  <c r="E74" i="6"/>
  <c r="D74" i="6"/>
  <c r="C74" i="6"/>
  <c r="AC73" i="6"/>
  <c r="AA73" i="6"/>
  <c r="Z73" i="6"/>
  <c r="Y73" i="6"/>
  <c r="Y6" i="6" s="1"/>
  <c r="Y7" i="6" s="1"/>
  <c r="X73" i="6"/>
  <c r="X4" i="6" s="1"/>
  <c r="W73" i="6"/>
  <c r="W4" i="6" s="1"/>
  <c r="V73" i="6"/>
  <c r="U73" i="6"/>
  <c r="T73" i="6"/>
  <c r="S73" i="6"/>
  <c r="R73" i="6"/>
  <c r="Q73" i="6"/>
  <c r="P73" i="6"/>
  <c r="O73" i="6"/>
  <c r="O5" i="6" s="1"/>
  <c r="N73" i="6"/>
  <c r="M73" i="6"/>
  <c r="M5" i="6" s="1"/>
  <c r="L73" i="6"/>
  <c r="L5" i="6" s="1"/>
  <c r="K73" i="6"/>
  <c r="K5" i="6" s="1"/>
  <c r="J73" i="6"/>
  <c r="I73" i="6"/>
  <c r="H73" i="6"/>
  <c r="G73" i="6"/>
  <c r="F73" i="6"/>
  <c r="E73" i="6"/>
  <c r="D73" i="6"/>
  <c r="C73" i="6"/>
  <c r="AC72" i="6"/>
  <c r="AD72" i="6" s="1"/>
  <c r="AA72" i="6"/>
  <c r="Z72" i="6"/>
  <c r="Y72" i="6"/>
  <c r="X72" i="6"/>
  <c r="W72" i="6"/>
  <c r="V72" i="6"/>
  <c r="U72" i="6"/>
  <c r="T72" i="6"/>
  <c r="S72" i="6"/>
  <c r="R72" i="6"/>
  <c r="R6" i="6" s="1"/>
  <c r="Q72" i="6"/>
  <c r="P72" i="6"/>
  <c r="O72" i="6"/>
  <c r="N72" i="6"/>
  <c r="N5" i="6" s="1"/>
  <c r="M72" i="6"/>
  <c r="L72" i="6"/>
  <c r="K72" i="6"/>
  <c r="J72" i="6"/>
  <c r="I72" i="6"/>
  <c r="H72" i="6"/>
  <c r="G72" i="6"/>
  <c r="F72" i="6"/>
  <c r="E72" i="6"/>
  <c r="D72" i="6"/>
  <c r="D4" i="6" s="1"/>
  <c r="C72" i="6"/>
  <c r="AD71" i="6"/>
  <c r="AC71" i="6"/>
  <c r="AA71" i="6"/>
  <c r="Z71" i="6"/>
  <c r="Z5" i="6" s="1"/>
  <c r="Y71" i="6"/>
  <c r="X71" i="6"/>
  <c r="W71" i="6"/>
  <c r="V71" i="6"/>
  <c r="U71" i="6"/>
  <c r="U4" i="6" s="1"/>
  <c r="T71" i="6"/>
  <c r="S71" i="6"/>
  <c r="R71" i="6"/>
  <c r="Q71" i="6"/>
  <c r="P71" i="6"/>
  <c r="P4" i="6" s="1"/>
  <c r="O71" i="6"/>
  <c r="N71" i="6"/>
  <c r="M71" i="6"/>
  <c r="L71" i="6"/>
  <c r="K71" i="6"/>
  <c r="J71" i="6"/>
  <c r="J5" i="6" s="1"/>
  <c r="I71" i="6"/>
  <c r="I6" i="6" s="1"/>
  <c r="I7" i="6" s="1"/>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AD70" i="6" s="1"/>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8" i="6"/>
  <c r="AC68" i="6"/>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AD66" i="6" s="1"/>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AD62" i="6" s="1"/>
  <c r="F62" i="6"/>
  <c r="E62" i="6"/>
  <c r="D62" i="6"/>
  <c r="C62"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D55" i="6"/>
  <c r="AC55" i="6"/>
  <c r="AA55" i="6"/>
  <c r="Z55" i="6"/>
  <c r="Y55" i="6"/>
  <c r="X55" i="6"/>
  <c r="W55" i="6"/>
  <c r="V55" i="6"/>
  <c r="U55" i="6"/>
  <c r="T55" i="6"/>
  <c r="S55" i="6"/>
  <c r="R55" i="6"/>
  <c r="Q55" i="6"/>
  <c r="P55" i="6"/>
  <c r="O55" i="6"/>
  <c r="N55" i="6"/>
  <c r="M55" i="6"/>
  <c r="L55" i="6"/>
  <c r="K55" i="6"/>
  <c r="J55" i="6"/>
  <c r="I55" i="6"/>
  <c r="H55" i="6"/>
  <c r="G55" i="6"/>
  <c r="F55" i="6"/>
  <c r="E55" i="6"/>
  <c r="D55" i="6"/>
  <c r="C55" i="6"/>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D52" i="6" s="1"/>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A50" i="6"/>
  <c r="Z50" i="6"/>
  <c r="Y50" i="6"/>
  <c r="X50" i="6"/>
  <c r="W50" i="6"/>
  <c r="V50" i="6"/>
  <c r="U50" i="6"/>
  <c r="T50" i="6"/>
  <c r="S50" i="6"/>
  <c r="R50" i="6"/>
  <c r="Q50" i="6"/>
  <c r="P50" i="6"/>
  <c r="O50" i="6"/>
  <c r="N50" i="6"/>
  <c r="M50" i="6"/>
  <c r="L50" i="6"/>
  <c r="K50" i="6"/>
  <c r="J50" i="6"/>
  <c r="I50" i="6"/>
  <c r="H50" i="6"/>
  <c r="G50" i="6"/>
  <c r="AD50" i="6" s="1"/>
  <c r="F50" i="6"/>
  <c r="E50" i="6"/>
  <c r="D50" i="6"/>
  <c r="C50"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A48" i="6"/>
  <c r="Z48" i="6"/>
  <c r="Y48" i="6"/>
  <c r="X48" i="6"/>
  <c r="W48" i="6"/>
  <c r="V48" i="6"/>
  <c r="U48" i="6"/>
  <c r="T48" i="6"/>
  <c r="S48" i="6"/>
  <c r="R48" i="6"/>
  <c r="Q48" i="6"/>
  <c r="P48" i="6"/>
  <c r="O48" i="6"/>
  <c r="N48" i="6"/>
  <c r="M48" i="6"/>
  <c r="L48" i="6"/>
  <c r="K48" i="6"/>
  <c r="J48" i="6"/>
  <c r="I48" i="6"/>
  <c r="H48" i="6"/>
  <c r="G48" i="6"/>
  <c r="AD48" i="6" s="1"/>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AD46" i="6" s="1"/>
  <c r="F46" i="6"/>
  <c r="E46" i="6"/>
  <c r="D46" i="6"/>
  <c r="C46" i="6"/>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AD44" i="6" s="1"/>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A40" i="6"/>
  <c r="Z40" i="6"/>
  <c r="Y40" i="6"/>
  <c r="X40" i="6"/>
  <c r="W40" i="6"/>
  <c r="V40" i="6"/>
  <c r="U40" i="6"/>
  <c r="T40" i="6"/>
  <c r="S40" i="6"/>
  <c r="R40" i="6"/>
  <c r="Q40" i="6"/>
  <c r="P40" i="6"/>
  <c r="O40" i="6"/>
  <c r="N40" i="6"/>
  <c r="M40" i="6"/>
  <c r="L40" i="6"/>
  <c r="K40" i="6"/>
  <c r="J40" i="6"/>
  <c r="I40" i="6"/>
  <c r="H40" i="6"/>
  <c r="G40" i="6"/>
  <c r="AD40" i="6" s="1"/>
  <c r="F40" i="6"/>
  <c r="E40" i="6"/>
  <c r="D40" i="6"/>
  <c r="C40" i="6"/>
  <c r="AC39" i="6"/>
  <c r="AA39" i="6"/>
  <c r="Z39" i="6"/>
  <c r="Y39" i="6"/>
  <c r="X39" i="6"/>
  <c r="W39" i="6"/>
  <c r="V39" i="6"/>
  <c r="U39" i="6"/>
  <c r="T39" i="6"/>
  <c r="S39" i="6"/>
  <c r="R39" i="6"/>
  <c r="Q39" i="6"/>
  <c r="P39" i="6"/>
  <c r="O39" i="6"/>
  <c r="N39" i="6"/>
  <c r="M39" i="6"/>
  <c r="L39" i="6"/>
  <c r="K39" i="6"/>
  <c r="J39" i="6"/>
  <c r="I39" i="6"/>
  <c r="H39" i="6"/>
  <c r="G39" i="6"/>
  <c r="AD39" i="6" s="1"/>
  <c r="F39" i="6"/>
  <c r="E39" i="6"/>
  <c r="D39" i="6"/>
  <c r="C39" i="6"/>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6"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A35" i="6"/>
  <c r="Z35" i="6"/>
  <c r="Y35" i="6"/>
  <c r="X35" i="6"/>
  <c r="W35" i="6"/>
  <c r="V35" i="6"/>
  <c r="U35" i="6"/>
  <c r="T35" i="6"/>
  <c r="S35" i="6"/>
  <c r="R35" i="6"/>
  <c r="Q35" i="6"/>
  <c r="P35" i="6"/>
  <c r="O35" i="6"/>
  <c r="N35" i="6"/>
  <c r="M35" i="6"/>
  <c r="L35" i="6"/>
  <c r="K35" i="6"/>
  <c r="J35" i="6"/>
  <c r="I35" i="6"/>
  <c r="H35" i="6"/>
  <c r="G35" i="6"/>
  <c r="AD35" i="6" s="1"/>
  <c r="F35" i="6"/>
  <c r="E35" i="6"/>
  <c r="D35" i="6"/>
  <c r="C35" i="6"/>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C31" i="6"/>
  <c r="AA31" i="6"/>
  <c r="Z31" i="6"/>
  <c r="Y31" i="6"/>
  <c r="X31" i="6"/>
  <c r="W31" i="6"/>
  <c r="V31" i="6"/>
  <c r="U31" i="6"/>
  <c r="T31" i="6"/>
  <c r="S31" i="6"/>
  <c r="R31" i="6"/>
  <c r="Q31" i="6"/>
  <c r="P31" i="6"/>
  <c r="O31" i="6"/>
  <c r="N31" i="6"/>
  <c r="M31" i="6"/>
  <c r="L31" i="6"/>
  <c r="K31" i="6"/>
  <c r="J31" i="6"/>
  <c r="I31" i="6"/>
  <c r="H31" i="6"/>
  <c r="G31" i="6"/>
  <c r="AD31" i="6" s="1"/>
  <c r="F31" i="6"/>
  <c r="E31" i="6"/>
  <c r="D31" i="6"/>
  <c r="C31" i="6"/>
  <c r="AC30" i="6"/>
  <c r="AA30" i="6"/>
  <c r="Z30" i="6"/>
  <c r="Y30" i="6"/>
  <c r="X30" i="6"/>
  <c r="W30" i="6"/>
  <c r="V30" i="6"/>
  <c r="U30" i="6"/>
  <c r="T30" i="6"/>
  <c r="S30" i="6"/>
  <c r="R30" i="6"/>
  <c r="Q30" i="6"/>
  <c r="P30" i="6"/>
  <c r="O30" i="6"/>
  <c r="N30" i="6"/>
  <c r="M30" i="6"/>
  <c r="L30" i="6"/>
  <c r="K30" i="6"/>
  <c r="J30" i="6"/>
  <c r="I30" i="6"/>
  <c r="H30" i="6"/>
  <c r="G30" i="6"/>
  <c r="AD30" i="6" s="1"/>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AD27" i="6" s="1"/>
  <c r="F27" i="6"/>
  <c r="E27" i="6"/>
  <c r="D27" i="6"/>
  <c r="C27" i="6"/>
  <c r="AC26" i="6"/>
  <c r="AA26" i="6"/>
  <c r="Z26" i="6"/>
  <c r="Y26" i="6"/>
  <c r="X26" i="6"/>
  <c r="W26" i="6"/>
  <c r="V26" i="6"/>
  <c r="U26" i="6"/>
  <c r="T26" i="6"/>
  <c r="S26" i="6"/>
  <c r="R26" i="6"/>
  <c r="Q26" i="6"/>
  <c r="P26" i="6"/>
  <c r="O26" i="6"/>
  <c r="N26" i="6"/>
  <c r="M26" i="6"/>
  <c r="L26" i="6"/>
  <c r="K26" i="6"/>
  <c r="J26" i="6"/>
  <c r="I26" i="6"/>
  <c r="H26" i="6"/>
  <c r="G26" i="6"/>
  <c r="AD26" i="6" s="1"/>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D23" i="6"/>
  <c r="AC23" i="6"/>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AD22" i="6" s="1"/>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0"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D19" i="6" s="1"/>
  <c r="AA19" i="6"/>
  <c r="Z19" i="6"/>
  <c r="Y19" i="6"/>
  <c r="X19" i="6"/>
  <c r="W19" i="6"/>
  <c r="V19" i="6"/>
  <c r="U19" i="6"/>
  <c r="T19" i="6"/>
  <c r="S19" i="6"/>
  <c r="R19" i="6"/>
  <c r="Q19" i="6"/>
  <c r="P19" i="6"/>
  <c r="O19" i="6"/>
  <c r="N19" i="6"/>
  <c r="M19" i="6"/>
  <c r="L19" i="6"/>
  <c r="K19" i="6"/>
  <c r="J19" i="6"/>
  <c r="I19" i="6"/>
  <c r="H19" i="6"/>
  <c r="G19" i="6"/>
  <c r="F19" i="6"/>
  <c r="E19" i="6"/>
  <c r="D19" i="6"/>
  <c r="C19" i="6"/>
  <c r="AC18" i="6"/>
  <c r="AA18" i="6"/>
  <c r="Z18" i="6"/>
  <c r="Y18" i="6"/>
  <c r="X18" i="6"/>
  <c r="W18" i="6"/>
  <c r="V18" i="6"/>
  <c r="U18" i="6"/>
  <c r="T18" i="6"/>
  <c r="S18" i="6"/>
  <c r="R18" i="6"/>
  <c r="Q18" i="6"/>
  <c r="P18" i="6"/>
  <c r="O18" i="6"/>
  <c r="N18" i="6"/>
  <c r="M18" i="6"/>
  <c r="L18" i="6"/>
  <c r="K18" i="6"/>
  <c r="J18" i="6"/>
  <c r="I18" i="6"/>
  <c r="H18" i="6"/>
  <c r="G18" i="6"/>
  <c r="AD18" i="6" s="1"/>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AD14" i="6" s="1"/>
  <c r="F14" i="6"/>
  <c r="E14" i="6"/>
  <c r="D14" i="6"/>
  <c r="C14" i="6"/>
  <c r="AC13" i="6"/>
  <c r="AD13" i="6" s="1"/>
  <c r="AA13" i="6"/>
  <c r="Z13" i="6"/>
  <c r="Y13" i="6"/>
  <c r="X13" i="6"/>
  <c r="W13" i="6"/>
  <c r="V13" i="6"/>
  <c r="U13" i="6"/>
  <c r="T13" i="6"/>
  <c r="S13" i="6"/>
  <c r="R13" i="6"/>
  <c r="Q13" i="6"/>
  <c r="P13" i="6"/>
  <c r="O13" i="6"/>
  <c r="N13" i="6"/>
  <c r="M13" i="6"/>
  <c r="L13" i="6"/>
  <c r="K13" i="6"/>
  <c r="J13" i="6"/>
  <c r="I13" i="6"/>
  <c r="H13" i="6"/>
  <c r="G13" i="6"/>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A12" i="6" s="1"/>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AA9" i="6"/>
  <c r="W9" i="6"/>
  <c r="V9" i="6"/>
  <c r="Q9" i="6"/>
  <c r="O9" i="6"/>
  <c r="K9" i="6"/>
  <c r="J9" i="6"/>
  <c r="I9" i="6"/>
  <c r="H9" i="6"/>
  <c r="G9" i="6"/>
  <c r="F9" i="6"/>
  <c r="T8" i="6"/>
  <c r="R8" i="6"/>
  <c r="P8" i="6"/>
  <c r="L8" i="6"/>
  <c r="Z6" i="6"/>
  <c r="N6" i="6"/>
  <c r="L6" i="6"/>
  <c r="K6" i="6"/>
  <c r="K7" i="6" s="1"/>
  <c r="W5" i="6"/>
  <c r="U5" i="6"/>
  <c r="C5" i="6"/>
  <c r="AE4" i="6"/>
  <c r="K8" i="6" s="1"/>
  <c r="AA4" i="6"/>
  <c r="M4" i="6"/>
  <c r="K4" i="6"/>
  <c r="E4" i="6"/>
  <c r="AE3" i="6"/>
  <c r="T9" i="6" s="1"/>
  <c r="AE2" i="6"/>
  <c r="R9" i="6" s="1"/>
  <c r="AC101" i="5"/>
  <c r="AD101" i="5" s="1"/>
  <c r="AA101" i="5"/>
  <c r="Z101" i="5"/>
  <c r="Y101" i="5"/>
  <c r="X101" i="5"/>
  <c r="X8" i="5" s="1"/>
  <c r="W101" i="5"/>
  <c r="V101" i="5"/>
  <c r="U101" i="5"/>
  <c r="U8" i="5" s="1"/>
  <c r="T101" i="5"/>
  <c r="S101" i="5"/>
  <c r="R101" i="5"/>
  <c r="Q101" i="5"/>
  <c r="P101" i="5"/>
  <c r="P9" i="5" s="1"/>
  <c r="O101" i="5"/>
  <c r="N101" i="5"/>
  <c r="M101" i="5"/>
  <c r="L101" i="5"/>
  <c r="L8" i="5" s="1"/>
  <c r="K101" i="5"/>
  <c r="J101" i="5"/>
  <c r="I101" i="5"/>
  <c r="H101" i="5"/>
  <c r="G101" i="5"/>
  <c r="F101" i="5"/>
  <c r="E101" i="5"/>
  <c r="D101" i="5"/>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E99" i="5"/>
  <c r="AC99" i="5"/>
  <c r="AA99" i="5"/>
  <c r="Z99" i="5"/>
  <c r="Y99" i="5"/>
  <c r="X99" i="5"/>
  <c r="W99" i="5"/>
  <c r="V99" i="5"/>
  <c r="U99" i="5"/>
  <c r="T99" i="5"/>
  <c r="S99" i="5"/>
  <c r="R99" i="5"/>
  <c r="Q99" i="5"/>
  <c r="P99" i="5"/>
  <c r="O99" i="5"/>
  <c r="N99" i="5"/>
  <c r="M99" i="5"/>
  <c r="L99" i="5"/>
  <c r="K99" i="5"/>
  <c r="J99" i="5"/>
  <c r="I99" i="5"/>
  <c r="AD99" i="5" s="1"/>
  <c r="AF99" i="5" s="1"/>
  <c r="H99" i="5"/>
  <c r="G99" i="5"/>
  <c r="F99" i="5"/>
  <c r="E99" i="5"/>
  <c r="D99" i="5"/>
  <c r="C99"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D97" i="5"/>
  <c r="AF97" i="5" s="1"/>
  <c r="AC97" i="5"/>
  <c r="AE97" i="5" s="1"/>
  <c r="AA97" i="5"/>
  <c r="Z97" i="5"/>
  <c r="Y97" i="5"/>
  <c r="X97" i="5"/>
  <c r="W97" i="5"/>
  <c r="V97" i="5"/>
  <c r="U97" i="5"/>
  <c r="T97" i="5"/>
  <c r="S97" i="5"/>
  <c r="R97" i="5"/>
  <c r="Q97" i="5"/>
  <c r="P97" i="5"/>
  <c r="O97" i="5"/>
  <c r="N97" i="5"/>
  <c r="M97" i="5"/>
  <c r="L97" i="5"/>
  <c r="K97" i="5"/>
  <c r="J97" i="5"/>
  <c r="I97" i="5"/>
  <c r="H97" i="5"/>
  <c r="G97" i="5"/>
  <c r="F97" i="5"/>
  <c r="E97" i="5"/>
  <c r="D97" i="5"/>
  <c r="C97" i="5"/>
  <c r="AC96" i="5"/>
  <c r="AA96" i="5"/>
  <c r="Z96" i="5"/>
  <c r="Y96" i="5"/>
  <c r="Y8" i="5" s="1"/>
  <c r="X96" i="5"/>
  <c r="W96" i="5"/>
  <c r="V96" i="5"/>
  <c r="U96" i="5"/>
  <c r="T96" i="5"/>
  <c r="T8" i="5" s="1"/>
  <c r="S96" i="5"/>
  <c r="S8" i="5" s="1"/>
  <c r="R96" i="5"/>
  <c r="Q96" i="5"/>
  <c r="P96" i="5"/>
  <c r="O96" i="5"/>
  <c r="N96" i="5"/>
  <c r="M96" i="5"/>
  <c r="L96" i="5"/>
  <c r="K96" i="5"/>
  <c r="J96" i="5"/>
  <c r="I96" i="5"/>
  <c r="AD96" i="5" s="1"/>
  <c r="AF96" i="5" s="1"/>
  <c r="H96" i="5"/>
  <c r="H8" i="5" s="1"/>
  <c r="G96" i="5"/>
  <c r="G8" i="5" s="1"/>
  <c r="F96" i="5"/>
  <c r="E96" i="5"/>
  <c r="AE96" i="5" s="1"/>
  <c r="D96" i="5"/>
  <c r="C96" i="5"/>
  <c r="AC95" i="5"/>
  <c r="AD95" i="5" s="1"/>
  <c r="AA95" i="5"/>
  <c r="Z95" i="5"/>
  <c r="Y95" i="5"/>
  <c r="X95" i="5"/>
  <c r="W95" i="5"/>
  <c r="V95" i="5"/>
  <c r="U95" i="5"/>
  <c r="T95" i="5"/>
  <c r="S95" i="5"/>
  <c r="R95" i="5"/>
  <c r="Q95" i="5"/>
  <c r="P95" i="5"/>
  <c r="O95" i="5"/>
  <c r="N95" i="5"/>
  <c r="M95" i="5"/>
  <c r="L95" i="5"/>
  <c r="K95" i="5"/>
  <c r="J95" i="5"/>
  <c r="I95" i="5"/>
  <c r="H95" i="5"/>
  <c r="G95" i="5"/>
  <c r="F95" i="5"/>
  <c r="E95" i="5"/>
  <c r="D95" i="5"/>
  <c r="C95" i="5"/>
  <c r="AE94" i="5"/>
  <c r="AD94" i="5"/>
  <c r="AF94" i="5" s="1"/>
  <c r="AC94" i="5"/>
  <c r="AA94" i="5"/>
  <c r="Z94" i="5"/>
  <c r="Y94" i="5"/>
  <c r="X94" i="5"/>
  <c r="W94" i="5"/>
  <c r="V94" i="5"/>
  <c r="U94" i="5"/>
  <c r="T94" i="5"/>
  <c r="S94" i="5"/>
  <c r="R94" i="5"/>
  <c r="Q94" i="5"/>
  <c r="P94" i="5"/>
  <c r="O94" i="5"/>
  <c r="N94" i="5"/>
  <c r="M94" i="5"/>
  <c r="L94" i="5"/>
  <c r="K94" i="5"/>
  <c r="J94" i="5"/>
  <c r="I94" i="5"/>
  <c r="H94" i="5"/>
  <c r="G94" i="5"/>
  <c r="F94" i="5"/>
  <c r="E94" i="5"/>
  <c r="D94" i="5"/>
  <c r="C94" i="5"/>
  <c r="AC93" i="5"/>
  <c r="AA93" i="5"/>
  <c r="Z93" i="5"/>
  <c r="Y93" i="5"/>
  <c r="X93" i="5"/>
  <c r="W93" i="5"/>
  <c r="V93" i="5"/>
  <c r="U93" i="5"/>
  <c r="T93" i="5"/>
  <c r="S93" i="5"/>
  <c r="R93" i="5"/>
  <c r="Q93" i="5"/>
  <c r="P93" i="5"/>
  <c r="O93" i="5"/>
  <c r="N93" i="5"/>
  <c r="M93" i="5"/>
  <c r="L93" i="5"/>
  <c r="K93" i="5"/>
  <c r="J93" i="5"/>
  <c r="I93" i="5"/>
  <c r="H93" i="5"/>
  <c r="G93" i="5"/>
  <c r="F93" i="5"/>
  <c r="E93" i="5"/>
  <c r="D93" i="5"/>
  <c r="C93" i="5"/>
  <c r="AC92" i="5"/>
  <c r="AD92" i="5" s="1"/>
  <c r="AA92" i="5"/>
  <c r="Z92" i="5"/>
  <c r="Y92" i="5"/>
  <c r="X92" i="5"/>
  <c r="W92" i="5"/>
  <c r="V92" i="5"/>
  <c r="U92" i="5"/>
  <c r="T92" i="5"/>
  <c r="S92" i="5"/>
  <c r="R92" i="5"/>
  <c r="Q92" i="5"/>
  <c r="P92" i="5"/>
  <c r="O92" i="5"/>
  <c r="N92" i="5"/>
  <c r="M92" i="5"/>
  <c r="L92" i="5"/>
  <c r="K92" i="5"/>
  <c r="J92" i="5"/>
  <c r="I92" i="5"/>
  <c r="H92" i="5"/>
  <c r="G92" i="5"/>
  <c r="F92" i="5"/>
  <c r="E92" i="5"/>
  <c r="D92" i="5"/>
  <c r="C92" i="5"/>
  <c r="AE91" i="5"/>
  <c r="AC91" i="5"/>
  <c r="AD91" i="5" s="1"/>
  <c r="AF91" i="5" s="1"/>
  <c r="AA91" i="5"/>
  <c r="Z91" i="5"/>
  <c r="Y91" i="5"/>
  <c r="X91" i="5"/>
  <c r="W91" i="5"/>
  <c r="V91" i="5"/>
  <c r="U91" i="5"/>
  <c r="T91" i="5"/>
  <c r="S91" i="5"/>
  <c r="R91" i="5"/>
  <c r="Q91" i="5"/>
  <c r="P91" i="5"/>
  <c r="O91" i="5"/>
  <c r="N91" i="5"/>
  <c r="M91" i="5"/>
  <c r="L91" i="5"/>
  <c r="K91" i="5"/>
  <c r="J91" i="5"/>
  <c r="I91" i="5"/>
  <c r="H91" i="5"/>
  <c r="G91" i="5"/>
  <c r="F91" i="5"/>
  <c r="E91" i="5"/>
  <c r="D91" i="5"/>
  <c r="C91" i="5"/>
  <c r="AF90" i="5"/>
  <c r="AE90" i="5"/>
  <c r="AD90" i="5"/>
  <c r="AC90" i="5"/>
  <c r="AA90" i="5"/>
  <c r="Z90" i="5"/>
  <c r="Y90" i="5"/>
  <c r="X90" i="5"/>
  <c r="W90" i="5"/>
  <c r="V90" i="5"/>
  <c r="U90" i="5"/>
  <c r="T90" i="5"/>
  <c r="S90" i="5"/>
  <c r="R90" i="5"/>
  <c r="Q90" i="5"/>
  <c r="P90" i="5"/>
  <c r="O90" i="5"/>
  <c r="N90" i="5"/>
  <c r="M90" i="5"/>
  <c r="L90" i="5"/>
  <c r="K90" i="5"/>
  <c r="J90" i="5"/>
  <c r="I90" i="5"/>
  <c r="H90" i="5"/>
  <c r="G90" i="5"/>
  <c r="F90" i="5"/>
  <c r="E90" i="5"/>
  <c r="D90" i="5"/>
  <c r="C90" i="5"/>
  <c r="AC89" i="5"/>
  <c r="AD89" i="5" s="1"/>
  <c r="AA89" i="5"/>
  <c r="Z89" i="5"/>
  <c r="Y89" i="5"/>
  <c r="X89" i="5"/>
  <c r="W89" i="5"/>
  <c r="V89" i="5"/>
  <c r="U89" i="5"/>
  <c r="T89" i="5"/>
  <c r="S89" i="5"/>
  <c r="R89" i="5"/>
  <c r="Q89" i="5"/>
  <c r="P89" i="5"/>
  <c r="O89" i="5"/>
  <c r="N89" i="5"/>
  <c r="M89" i="5"/>
  <c r="L89" i="5"/>
  <c r="K89" i="5"/>
  <c r="J89" i="5"/>
  <c r="I89" i="5"/>
  <c r="H89" i="5"/>
  <c r="G89" i="5"/>
  <c r="F89" i="5"/>
  <c r="E89" i="5"/>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E87" i="5"/>
  <c r="AC87" i="5"/>
  <c r="AA87" i="5"/>
  <c r="Z87" i="5"/>
  <c r="Y87" i="5"/>
  <c r="X87" i="5"/>
  <c r="W87" i="5"/>
  <c r="V87" i="5"/>
  <c r="U87" i="5"/>
  <c r="T87" i="5"/>
  <c r="S87" i="5"/>
  <c r="R87" i="5"/>
  <c r="Q87" i="5"/>
  <c r="P87" i="5"/>
  <c r="O87" i="5"/>
  <c r="N87" i="5"/>
  <c r="M87" i="5"/>
  <c r="L87" i="5"/>
  <c r="K87" i="5"/>
  <c r="J87" i="5"/>
  <c r="I87" i="5"/>
  <c r="AD87" i="5" s="1"/>
  <c r="AF87" i="5" s="1"/>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D85" i="5"/>
  <c r="AF85" i="5" s="1"/>
  <c r="AC85" i="5"/>
  <c r="AE85" i="5" s="1"/>
  <c r="AA85" i="5"/>
  <c r="Z85" i="5"/>
  <c r="Y85" i="5"/>
  <c r="X85" i="5"/>
  <c r="W85" i="5"/>
  <c r="V85" i="5"/>
  <c r="U85" i="5"/>
  <c r="T85" i="5"/>
  <c r="S85" i="5"/>
  <c r="R85" i="5"/>
  <c r="Q85" i="5"/>
  <c r="P85" i="5"/>
  <c r="O85" i="5"/>
  <c r="N85" i="5"/>
  <c r="M85" i="5"/>
  <c r="L85" i="5"/>
  <c r="K85" i="5"/>
  <c r="J85" i="5"/>
  <c r="I85" i="5"/>
  <c r="H85" i="5"/>
  <c r="G85" i="5"/>
  <c r="F85" i="5"/>
  <c r="E85" i="5"/>
  <c r="D85" i="5"/>
  <c r="C85" i="5"/>
  <c r="AC84" i="5"/>
  <c r="AA84" i="5"/>
  <c r="Z84" i="5"/>
  <c r="Y84" i="5"/>
  <c r="X84" i="5"/>
  <c r="W84" i="5"/>
  <c r="V84" i="5"/>
  <c r="U84" i="5"/>
  <c r="T84" i="5"/>
  <c r="S84" i="5"/>
  <c r="R84" i="5"/>
  <c r="Q84" i="5"/>
  <c r="P84" i="5"/>
  <c r="O84" i="5"/>
  <c r="N84" i="5"/>
  <c r="M84" i="5"/>
  <c r="L84" i="5"/>
  <c r="K84" i="5"/>
  <c r="J84" i="5"/>
  <c r="I84" i="5"/>
  <c r="AD84" i="5" s="1"/>
  <c r="AF84" i="5" s="1"/>
  <c r="H84" i="5"/>
  <c r="G84" i="5"/>
  <c r="F84" i="5"/>
  <c r="E84" i="5"/>
  <c r="AE84" i="5" s="1"/>
  <c r="D84" i="5"/>
  <c r="C84" i="5"/>
  <c r="AC83" i="5"/>
  <c r="AD83" i="5" s="1"/>
  <c r="AA83" i="5"/>
  <c r="Z83" i="5"/>
  <c r="Y83" i="5"/>
  <c r="X83" i="5"/>
  <c r="W83" i="5"/>
  <c r="V83" i="5"/>
  <c r="U83" i="5"/>
  <c r="T83" i="5"/>
  <c r="S83" i="5"/>
  <c r="R83" i="5"/>
  <c r="Q83" i="5"/>
  <c r="P83" i="5"/>
  <c r="O83" i="5"/>
  <c r="N83" i="5"/>
  <c r="M83" i="5"/>
  <c r="L83" i="5"/>
  <c r="K83" i="5"/>
  <c r="J83" i="5"/>
  <c r="I83" i="5"/>
  <c r="H83" i="5"/>
  <c r="G83" i="5"/>
  <c r="F83" i="5"/>
  <c r="E83" i="5"/>
  <c r="D83" i="5"/>
  <c r="C83" i="5"/>
  <c r="AE82" i="5"/>
  <c r="AD82" i="5"/>
  <c r="AF82" i="5" s="1"/>
  <c r="AC82" i="5"/>
  <c r="AA82" i="5"/>
  <c r="Z82" i="5"/>
  <c r="Y82" i="5"/>
  <c r="X82" i="5"/>
  <c r="W82" i="5"/>
  <c r="V82" i="5"/>
  <c r="U82" i="5"/>
  <c r="T82" i="5"/>
  <c r="S82" i="5"/>
  <c r="R82" i="5"/>
  <c r="Q82" i="5"/>
  <c r="P82" i="5"/>
  <c r="O82" i="5"/>
  <c r="N82" i="5"/>
  <c r="M82" i="5"/>
  <c r="L82" i="5"/>
  <c r="K82" i="5"/>
  <c r="J82" i="5"/>
  <c r="I82" i="5"/>
  <c r="H82" i="5"/>
  <c r="G82" i="5"/>
  <c r="F82" i="5"/>
  <c r="E82" i="5"/>
  <c r="D82" i="5"/>
  <c r="C82" i="5"/>
  <c r="AC81" i="5"/>
  <c r="AA81" i="5"/>
  <c r="Z81" i="5"/>
  <c r="Y81" i="5"/>
  <c r="X81" i="5"/>
  <c r="W81" i="5"/>
  <c r="V81" i="5"/>
  <c r="U81" i="5"/>
  <c r="T81" i="5"/>
  <c r="T6" i="5" s="1"/>
  <c r="T7" i="5" s="1"/>
  <c r="S81" i="5"/>
  <c r="R81" i="5"/>
  <c r="Q81" i="5"/>
  <c r="P81" i="5"/>
  <c r="O81" i="5"/>
  <c r="N81" i="5"/>
  <c r="M81" i="5"/>
  <c r="L81" i="5"/>
  <c r="K81" i="5"/>
  <c r="J81" i="5"/>
  <c r="I81" i="5"/>
  <c r="H81" i="5"/>
  <c r="G81" i="5"/>
  <c r="F81" i="5"/>
  <c r="E81" i="5"/>
  <c r="D81" i="5"/>
  <c r="C81" i="5"/>
  <c r="AC80" i="5"/>
  <c r="AD80" i="5" s="1"/>
  <c r="AA80" i="5"/>
  <c r="Z80" i="5"/>
  <c r="Y80" i="5"/>
  <c r="X80" i="5"/>
  <c r="W80" i="5"/>
  <c r="V80" i="5"/>
  <c r="U80" i="5"/>
  <c r="T80" i="5"/>
  <c r="S80" i="5"/>
  <c r="R80" i="5"/>
  <c r="Q80" i="5"/>
  <c r="P80" i="5"/>
  <c r="O80" i="5"/>
  <c r="N80" i="5"/>
  <c r="M80" i="5"/>
  <c r="L80" i="5"/>
  <c r="K80" i="5"/>
  <c r="J80" i="5"/>
  <c r="I80" i="5"/>
  <c r="H80" i="5"/>
  <c r="G80" i="5"/>
  <c r="F80" i="5"/>
  <c r="E80" i="5"/>
  <c r="D80" i="5"/>
  <c r="C80" i="5"/>
  <c r="AE79" i="5"/>
  <c r="AC79" i="5"/>
  <c r="AD79" i="5" s="1"/>
  <c r="AF79" i="5" s="1"/>
  <c r="AA79" i="5"/>
  <c r="Z79" i="5"/>
  <c r="Y79" i="5"/>
  <c r="X79" i="5"/>
  <c r="W79" i="5"/>
  <c r="V79" i="5"/>
  <c r="U79" i="5"/>
  <c r="T79" i="5"/>
  <c r="S79" i="5"/>
  <c r="R79" i="5"/>
  <c r="Q79" i="5"/>
  <c r="P79" i="5"/>
  <c r="O79" i="5"/>
  <c r="N79" i="5"/>
  <c r="M79" i="5"/>
  <c r="L79" i="5"/>
  <c r="K79" i="5"/>
  <c r="J79" i="5"/>
  <c r="I79" i="5"/>
  <c r="H79" i="5"/>
  <c r="G79" i="5"/>
  <c r="F79" i="5"/>
  <c r="E79" i="5"/>
  <c r="D79" i="5"/>
  <c r="C79" i="5"/>
  <c r="AF78" i="5"/>
  <c r="AE78" i="5"/>
  <c r="AD78" i="5"/>
  <c r="AC78" i="5"/>
  <c r="AA78" i="5"/>
  <c r="Z78" i="5"/>
  <c r="Y78" i="5"/>
  <c r="X78" i="5"/>
  <c r="W78" i="5"/>
  <c r="V78" i="5"/>
  <c r="U78" i="5"/>
  <c r="T78" i="5"/>
  <c r="S78" i="5"/>
  <c r="R78" i="5"/>
  <c r="Q78" i="5"/>
  <c r="P78" i="5"/>
  <c r="O78" i="5"/>
  <c r="N78" i="5"/>
  <c r="M78" i="5"/>
  <c r="L78" i="5"/>
  <c r="K78" i="5"/>
  <c r="J78" i="5"/>
  <c r="I78" i="5"/>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E75" i="5"/>
  <c r="AC75" i="5"/>
  <c r="AA75" i="5"/>
  <c r="Z75" i="5"/>
  <c r="Y75" i="5"/>
  <c r="X75" i="5"/>
  <c r="W75" i="5"/>
  <c r="V75" i="5"/>
  <c r="U75" i="5"/>
  <c r="U6" i="5" s="1"/>
  <c r="U7" i="5" s="1"/>
  <c r="T75" i="5"/>
  <c r="S75" i="5"/>
  <c r="R75" i="5"/>
  <c r="Q75" i="5"/>
  <c r="P75" i="5"/>
  <c r="O75" i="5"/>
  <c r="N75" i="5"/>
  <c r="M75" i="5"/>
  <c r="L75" i="5"/>
  <c r="K75" i="5"/>
  <c r="J75" i="5"/>
  <c r="I75" i="5"/>
  <c r="AD75" i="5" s="1"/>
  <c r="AF75" i="5" s="1"/>
  <c r="H75" i="5"/>
  <c r="G75" i="5"/>
  <c r="F75" i="5"/>
  <c r="E75" i="5"/>
  <c r="D75" i="5"/>
  <c r="C75" i="5"/>
  <c r="AC74" i="5"/>
  <c r="AE74" i="5" s="1"/>
  <c r="AA74" i="5"/>
  <c r="Z74" i="5"/>
  <c r="Y74" i="5"/>
  <c r="X74" i="5"/>
  <c r="W74" i="5"/>
  <c r="V74" i="5"/>
  <c r="U74" i="5"/>
  <c r="T74" i="5"/>
  <c r="S74" i="5"/>
  <c r="R74" i="5"/>
  <c r="Q74" i="5"/>
  <c r="P74" i="5"/>
  <c r="O74" i="5"/>
  <c r="N74" i="5"/>
  <c r="M74" i="5"/>
  <c r="L74" i="5"/>
  <c r="K74" i="5"/>
  <c r="J74" i="5"/>
  <c r="I74" i="5"/>
  <c r="H74" i="5"/>
  <c r="G74" i="5"/>
  <c r="F74" i="5"/>
  <c r="E74" i="5"/>
  <c r="D74" i="5"/>
  <c r="C74" i="5"/>
  <c r="AD73" i="5"/>
  <c r="AC73" i="5"/>
  <c r="AA73" i="5"/>
  <c r="Z73" i="5"/>
  <c r="Y73" i="5"/>
  <c r="X73" i="5"/>
  <c r="W73" i="5"/>
  <c r="V73" i="5"/>
  <c r="U73" i="5"/>
  <c r="T73" i="5"/>
  <c r="S73" i="5"/>
  <c r="R73" i="5"/>
  <c r="Q73" i="5"/>
  <c r="P73" i="5"/>
  <c r="O73" i="5"/>
  <c r="N73" i="5"/>
  <c r="M73" i="5"/>
  <c r="L73" i="5"/>
  <c r="K73" i="5"/>
  <c r="J73" i="5"/>
  <c r="I73" i="5"/>
  <c r="H73" i="5"/>
  <c r="H5" i="5" s="1"/>
  <c r="G73" i="5"/>
  <c r="G5" i="5" s="1"/>
  <c r="F73" i="5"/>
  <c r="F6" i="5" s="1"/>
  <c r="F7" i="5" s="1"/>
  <c r="E73" i="5"/>
  <c r="E6" i="5" s="1"/>
  <c r="E7" i="5" s="1"/>
  <c r="D73" i="5"/>
  <c r="C73" i="5"/>
  <c r="AE72" i="5"/>
  <c r="AC72" i="5"/>
  <c r="AA72" i="5"/>
  <c r="Z72" i="5"/>
  <c r="Y72" i="5"/>
  <c r="X72" i="5"/>
  <c r="X4" i="5" s="1"/>
  <c r="W72" i="5"/>
  <c r="W5" i="5" s="1"/>
  <c r="V72" i="5"/>
  <c r="V5" i="5" s="1"/>
  <c r="U72" i="5"/>
  <c r="U5" i="5" s="1"/>
  <c r="T72" i="5"/>
  <c r="T5" i="5" s="1"/>
  <c r="S72" i="5"/>
  <c r="S5" i="5" s="1"/>
  <c r="R72" i="5"/>
  <c r="Q72" i="5"/>
  <c r="P72" i="5"/>
  <c r="O72" i="5"/>
  <c r="N72" i="5"/>
  <c r="M72" i="5"/>
  <c r="M5" i="5" s="1"/>
  <c r="L72" i="5"/>
  <c r="L5" i="5" s="1"/>
  <c r="K72" i="5"/>
  <c r="K6" i="5" s="1"/>
  <c r="K7" i="5" s="1"/>
  <c r="J72" i="5"/>
  <c r="J5" i="5" s="1"/>
  <c r="I72" i="5"/>
  <c r="AD72" i="5" s="1"/>
  <c r="AF72" i="5" s="1"/>
  <c r="H72" i="5"/>
  <c r="H6" i="5" s="1"/>
  <c r="H7" i="5" s="1"/>
  <c r="G72" i="5"/>
  <c r="F72" i="5"/>
  <c r="E72" i="5"/>
  <c r="D72" i="5"/>
  <c r="C72" i="5"/>
  <c r="AC71" i="5"/>
  <c r="AE71" i="5" s="1"/>
  <c r="AA71" i="5"/>
  <c r="Z71" i="5"/>
  <c r="Z4" i="5" s="1"/>
  <c r="Y71" i="5"/>
  <c r="Y4" i="5" s="1"/>
  <c r="X71" i="5"/>
  <c r="X6" i="5" s="1"/>
  <c r="X7" i="5" s="1"/>
  <c r="W71" i="5"/>
  <c r="V71" i="5"/>
  <c r="U71" i="5"/>
  <c r="T71" i="5"/>
  <c r="S71" i="5"/>
  <c r="R71" i="5"/>
  <c r="R4" i="5" s="1"/>
  <c r="Q71" i="5"/>
  <c r="P71" i="5"/>
  <c r="O71" i="5"/>
  <c r="N71" i="5"/>
  <c r="M71" i="5"/>
  <c r="M4" i="5" s="1"/>
  <c r="L71" i="5"/>
  <c r="L4" i="5" s="1"/>
  <c r="K71" i="5"/>
  <c r="K4" i="5" s="1"/>
  <c r="J71" i="5"/>
  <c r="I71" i="5"/>
  <c r="H71" i="5"/>
  <c r="G71" i="5"/>
  <c r="F71" i="5"/>
  <c r="F5" i="5" s="1"/>
  <c r="E71" i="5"/>
  <c r="D71" i="5"/>
  <c r="C71" i="5"/>
  <c r="AE70" i="5"/>
  <c r="AC70" i="5"/>
  <c r="AA70" i="5"/>
  <c r="Z70" i="5"/>
  <c r="Y70" i="5"/>
  <c r="X70" i="5"/>
  <c r="W70" i="5"/>
  <c r="V70" i="5"/>
  <c r="U70" i="5"/>
  <c r="T70" i="5"/>
  <c r="S70" i="5"/>
  <c r="R70" i="5"/>
  <c r="Q70" i="5"/>
  <c r="P70" i="5"/>
  <c r="O70" i="5"/>
  <c r="N70" i="5"/>
  <c r="M70" i="5"/>
  <c r="L70" i="5"/>
  <c r="K70" i="5"/>
  <c r="J70" i="5"/>
  <c r="I70" i="5"/>
  <c r="AD70" i="5" s="1"/>
  <c r="AF70" i="5" s="1"/>
  <c r="H70" i="5"/>
  <c r="G70" i="5"/>
  <c r="F70" i="5"/>
  <c r="E70" i="5"/>
  <c r="D70" i="5"/>
  <c r="C70" i="5"/>
  <c r="AC69" i="5"/>
  <c r="AA69" i="5"/>
  <c r="Z69" i="5"/>
  <c r="Y69" i="5"/>
  <c r="X69" i="5"/>
  <c r="W69" i="5"/>
  <c r="V69" i="5"/>
  <c r="U69" i="5"/>
  <c r="T69" i="5"/>
  <c r="S69" i="5"/>
  <c r="R69" i="5"/>
  <c r="Q69" i="5"/>
  <c r="P69" i="5"/>
  <c r="O69" i="5"/>
  <c r="N69" i="5"/>
  <c r="M69" i="5"/>
  <c r="L69" i="5"/>
  <c r="K69" i="5"/>
  <c r="J69" i="5"/>
  <c r="I69" i="5"/>
  <c r="H69" i="5"/>
  <c r="G69" i="5"/>
  <c r="F69" i="5"/>
  <c r="E69" i="5"/>
  <c r="D69" i="5"/>
  <c r="C69" i="5"/>
  <c r="AC68" i="5"/>
  <c r="AD68" i="5" s="1"/>
  <c r="AA68" i="5"/>
  <c r="Z68" i="5"/>
  <c r="Y68" i="5"/>
  <c r="X68" i="5"/>
  <c r="W68" i="5"/>
  <c r="V68" i="5"/>
  <c r="U68" i="5"/>
  <c r="T68" i="5"/>
  <c r="S68" i="5"/>
  <c r="R68" i="5"/>
  <c r="Q68" i="5"/>
  <c r="P68" i="5"/>
  <c r="O68" i="5"/>
  <c r="N68" i="5"/>
  <c r="M68" i="5"/>
  <c r="L68" i="5"/>
  <c r="K68" i="5"/>
  <c r="J68" i="5"/>
  <c r="I68" i="5"/>
  <c r="H68" i="5"/>
  <c r="G68" i="5"/>
  <c r="F68" i="5"/>
  <c r="E68" i="5"/>
  <c r="D68" i="5"/>
  <c r="C68" i="5"/>
  <c r="AE67" i="5"/>
  <c r="AC67" i="5"/>
  <c r="AA67" i="5"/>
  <c r="Z67" i="5"/>
  <c r="Y67" i="5"/>
  <c r="X67" i="5"/>
  <c r="W67" i="5"/>
  <c r="V67" i="5"/>
  <c r="U67" i="5"/>
  <c r="T67" i="5"/>
  <c r="S67" i="5"/>
  <c r="R67" i="5"/>
  <c r="Q67" i="5"/>
  <c r="P67" i="5"/>
  <c r="O67" i="5"/>
  <c r="N67" i="5"/>
  <c r="M67" i="5"/>
  <c r="L67" i="5"/>
  <c r="K67" i="5"/>
  <c r="J67" i="5"/>
  <c r="I67" i="5"/>
  <c r="H67" i="5"/>
  <c r="G67" i="5"/>
  <c r="F67" i="5"/>
  <c r="E67" i="5"/>
  <c r="D67" i="5"/>
  <c r="C67" i="5"/>
  <c r="AC66" i="5"/>
  <c r="AD66" i="5" s="1"/>
  <c r="AA66" i="5"/>
  <c r="Z66" i="5"/>
  <c r="Y66" i="5"/>
  <c r="X66" i="5"/>
  <c r="W66" i="5"/>
  <c r="V66" i="5"/>
  <c r="U66" i="5"/>
  <c r="T66" i="5"/>
  <c r="S66" i="5"/>
  <c r="R66" i="5"/>
  <c r="Q66" i="5"/>
  <c r="P66" i="5"/>
  <c r="O66" i="5"/>
  <c r="N66" i="5"/>
  <c r="M66" i="5"/>
  <c r="L66" i="5"/>
  <c r="K66" i="5"/>
  <c r="J66" i="5"/>
  <c r="I66" i="5"/>
  <c r="H66" i="5"/>
  <c r="G66" i="5"/>
  <c r="F66" i="5"/>
  <c r="E66" i="5"/>
  <c r="D66" i="5"/>
  <c r="C66" i="5"/>
  <c r="AC65" i="5"/>
  <c r="AD65" i="5" s="1"/>
  <c r="AA65" i="5"/>
  <c r="Z65" i="5"/>
  <c r="Y65" i="5"/>
  <c r="X65" i="5"/>
  <c r="W65" i="5"/>
  <c r="V65" i="5"/>
  <c r="U65" i="5"/>
  <c r="T65" i="5"/>
  <c r="S65" i="5"/>
  <c r="R65" i="5"/>
  <c r="Q65" i="5"/>
  <c r="P65" i="5"/>
  <c r="O65" i="5"/>
  <c r="N65" i="5"/>
  <c r="M65" i="5"/>
  <c r="L65" i="5"/>
  <c r="K65" i="5"/>
  <c r="J65" i="5"/>
  <c r="I65" i="5"/>
  <c r="H65" i="5"/>
  <c r="G65" i="5"/>
  <c r="F65" i="5"/>
  <c r="E65" i="5"/>
  <c r="D65" i="5"/>
  <c r="C65" i="5"/>
  <c r="AC64" i="5"/>
  <c r="AA64" i="5"/>
  <c r="Z64" i="5"/>
  <c r="Y64" i="5"/>
  <c r="X64" i="5"/>
  <c r="W64" i="5"/>
  <c r="V64" i="5"/>
  <c r="U64" i="5"/>
  <c r="T64" i="5"/>
  <c r="S64" i="5"/>
  <c r="R64" i="5"/>
  <c r="Q64" i="5"/>
  <c r="P64" i="5"/>
  <c r="O64" i="5"/>
  <c r="N64" i="5"/>
  <c r="M64" i="5"/>
  <c r="L64" i="5"/>
  <c r="K64" i="5"/>
  <c r="J64" i="5"/>
  <c r="I64" i="5"/>
  <c r="AD64" i="5" s="1"/>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C62" i="5"/>
  <c r="AE62" i="5" s="1"/>
  <c r="AA62" i="5"/>
  <c r="Z62" i="5"/>
  <c r="Y62" i="5"/>
  <c r="X62" i="5"/>
  <c r="W62" i="5"/>
  <c r="V62" i="5"/>
  <c r="U62" i="5"/>
  <c r="T62" i="5"/>
  <c r="S62" i="5"/>
  <c r="R62" i="5"/>
  <c r="Q62" i="5"/>
  <c r="P62" i="5"/>
  <c r="O62" i="5"/>
  <c r="N62" i="5"/>
  <c r="M62" i="5"/>
  <c r="L62" i="5"/>
  <c r="K62" i="5"/>
  <c r="J62" i="5"/>
  <c r="I62" i="5"/>
  <c r="H62" i="5"/>
  <c r="G62" i="5"/>
  <c r="F62" i="5"/>
  <c r="E62" i="5"/>
  <c r="D62" i="5"/>
  <c r="C62" i="5"/>
  <c r="AF61" i="5"/>
  <c r="AE61" i="5"/>
  <c r="AD61" i="5"/>
  <c r="AC61" i="5"/>
  <c r="AA61" i="5"/>
  <c r="Z61" i="5"/>
  <c r="Y61" i="5"/>
  <c r="X61" i="5"/>
  <c r="W61" i="5"/>
  <c r="V61" i="5"/>
  <c r="U61" i="5"/>
  <c r="T61" i="5"/>
  <c r="S61" i="5"/>
  <c r="R61" i="5"/>
  <c r="Q61" i="5"/>
  <c r="P61" i="5"/>
  <c r="O61" i="5"/>
  <c r="N61" i="5"/>
  <c r="M61" i="5"/>
  <c r="L61" i="5"/>
  <c r="K61" i="5"/>
  <c r="J61" i="5"/>
  <c r="I61" i="5"/>
  <c r="H61" i="5"/>
  <c r="G61" i="5"/>
  <c r="F61" i="5"/>
  <c r="E61" i="5"/>
  <c r="D61" i="5"/>
  <c r="C61" i="5"/>
  <c r="AD60" i="5"/>
  <c r="AC60" i="5"/>
  <c r="AA60" i="5"/>
  <c r="Z60" i="5"/>
  <c r="Y60" i="5"/>
  <c r="X60" i="5"/>
  <c r="W60" i="5"/>
  <c r="V60" i="5"/>
  <c r="U60" i="5"/>
  <c r="T60" i="5"/>
  <c r="S60" i="5"/>
  <c r="R60" i="5"/>
  <c r="Q60" i="5"/>
  <c r="P60" i="5"/>
  <c r="O60" i="5"/>
  <c r="N60" i="5"/>
  <c r="M60" i="5"/>
  <c r="L60" i="5"/>
  <c r="K60" i="5"/>
  <c r="J60" i="5"/>
  <c r="I60" i="5"/>
  <c r="H60" i="5"/>
  <c r="G60" i="5"/>
  <c r="F60" i="5"/>
  <c r="E60" i="5"/>
  <c r="AE60" i="5" s="1"/>
  <c r="D60" i="5"/>
  <c r="C60" i="5"/>
  <c r="AD59" i="5"/>
  <c r="AC59" i="5"/>
  <c r="AA59" i="5"/>
  <c r="Z59" i="5"/>
  <c r="Y59" i="5"/>
  <c r="X59" i="5"/>
  <c r="W59" i="5"/>
  <c r="V59" i="5"/>
  <c r="U59" i="5"/>
  <c r="T59" i="5"/>
  <c r="S59" i="5"/>
  <c r="R59" i="5"/>
  <c r="Q59" i="5"/>
  <c r="P59" i="5"/>
  <c r="O59" i="5"/>
  <c r="N59" i="5"/>
  <c r="M59" i="5"/>
  <c r="L59" i="5"/>
  <c r="K59" i="5"/>
  <c r="J59" i="5"/>
  <c r="I59" i="5"/>
  <c r="H59" i="5"/>
  <c r="G59" i="5"/>
  <c r="F59" i="5"/>
  <c r="E59" i="5"/>
  <c r="AE59" i="5" s="1"/>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E55" i="5"/>
  <c r="AC55" i="5"/>
  <c r="AA55" i="5"/>
  <c r="Z55" i="5"/>
  <c r="Y55" i="5"/>
  <c r="X55" i="5"/>
  <c r="W55" i="5"/>
  <c r="V55" i="5"/>
  <c r="U55" i="5"/>
  <c r="T55" i="5"/>
  <c r="S55" i="5"/>
  <c r="R55" i="5"/>
  <c r="Q55" i="5"/>
  <c r="P55" i="5"/>
  <c r="O55" i="5"/>
  <c r="N55" i="5"/>
  <c r="M55" i="5"/>
  <c r="L55" i="5"/>
  <c r="K55" i="5"/>
  <c r="J55" i="5"/>
  <c r="I55" i="5"/>
  <c r="H55" i="5"/>
  <c r="G55" i="5"/>
  <c r="F55" i="5"/>
  <c r="E55" i="5"/>
  <c r="D55" i="5"/>
  <c r="C55" i="5"/>
  <c r="AC54" i="5"/>
  <c r="AD54" i="5" s="1"/>
  <c r="AA54" i="5"/>
  <c r="Z54" i="5"/>
  <c r="Y54" i="5"/>
  <c r="X54" i="5"/>
  <c r="W54" i="5"/>
  <c r="V54" i="5"/>
  <c r="U54" i="5"/>
  <c r="T54" i="5"/>
  <c r="S54" i="5"/>
  <c r="R54" i="5"/>
  <c r="Q54" i="5"/>
  <c r="P54" i="5"/>
  <c r="O54" i="5"/>
  <c r="N54" i="5"/>
  <c r="M54" i="5"/>
  <c r="L54" i="5"/>
  <c r="K54" i="5"/>
  <c r="J54" i="5"/>
  <c r="I54" i="5"/>
  <c r="H54" i="5"/>
  <c r="G54" i="5"/>
  <c r="F54" i="5"/>
  <c r="E54" i="5"/>
  <c r="D54" i="5"/>
  <c r="C54" i="5"/>
  <c r="AE53" i="5"/>
  <c r="AC53" i="5"/>
  <c r="AA53" i="5"/>
  <c r="Z53" i="5"/>
  <c r="Y53" i="5"/>
  <c r="X53" i="5"/>
  <c r="W53" i="5"/>
  <c r="V53" i="5"/>
  <c r="U53" i="5"/>
  <c r="T53" i="5"/>
  <c r="S53" i="5"/>
  <c r="R53" i="5"/>
  <c r="Q53" i="5"/>
  <c r="P53" i="5"/>
  <c r="O53" i="5"/>
  <c r="N53" i="5"/>
  <c r="M53" i="5"/>
  <c r="L53" i="5"/>
  <c r="K53" i="5"/>
  <c r="J53" i="5"/>
  <c r="I53" i="5"/>
  <c r="AD53" i="5" s="1"/>
  <c r="AF53" i="5" s="1"/>
  <c r="H53" i="5"/>
  <c r="G53" i="5"/>
  <c r="F53" i="5"/>
  <c r="E53" i="5"/>
  <c r="D53" i="5"/>
  <c r="C53" i="5"/>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C51" i="5"/>
  <c r="AE51" i="5" s="1"/>
  <c r="AA51" i="5"/>
  <c r="Z51" i="5"/>
  <c r="Y51" i="5"/>
  <c r="X51" i="5"/>
  <c r="W51" i="5"/>
  <c r="V51" i="5"/>
  <c r="U51" i="5"/>
  <c r="T51" i="5"/>
  <c r="S51" i="5"/>
  <c r="R51" i="5"/>
  <c r="Q51" i="5"/>
  <c r="P51" i="5"/>
  <c r="O51" i="5"/>
  <c r="N51" i="5"/>
  <c r="M51" i="5"/>
  <c r="L51" i="5"/>
  <c r="K51" i="5"/>
  <c r="J51" i="5"/>
  <c r="I51" i="5"/>
  <c r="H51" i="5"/>
  <c r="G51" i="5"/>
  <c r="F51" i="5"/>
  <c r="E51" i="5"/>
  <c r="D51" i="5"/>
  <c r="C51" i="5"/>
  <c r="AC50" i="5"/>
  <c r="AE50" i="5" s="1"/>
  <c r="AA50" i="5"/>
  <c r="Z50" i="5"/>
  <c r="Y50" i="5"/>
  <c r="X50" i="5"/>
  <c r="W50" i="5"/>
  <c r="V50" i="5"/>
  <c r="U50" i="5"/>
  <c r="T50" i="5"/>
  <c r="S50" i="5"/>
  <c r="R50" i="5"/>
  <c r="Q50" i="5"/>
  <c r="P50" i="5"/>
  <c r="O50" i="5"/>
  <c r="N50" i="5"/>
  <c r="M50" i="5"/>
  <c r="L50" i="5"/>
  <c r="K50" i="5"/>
  <c r="J50" i="5"/>
  <c r="I50" i="5"/>
  <c r="H50" i="5"/>
  <c r="G50" i="5"/>
  <c r="F50" i="5"/>
  <c r="E50" i="5"/>
  <c r="D50" i="5"/>
  <c r="C50" i="5"/>
  <c r="AC49" i="5"/>
  <c r="AD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E47"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C45" i="5"/>
  <c r="AE45" i="5" s="1"/>
  <c r="Z45" i="5"/>
  <c r="Y45" i="5"/>
  <c r="X45" i="5"/>
  <c r="W45" i="5"/>
  <c r="V45" i="5"/>
  <c r="U45" i="5"/>
  <c r="T45" i="5"/>
  <c r="S45" i="5"/>
  <c r="R45" i="5"/>
  <c r="Q45" i="5"/>
  <c r="P45" i="5"/>
  <c r="O45" i="5"/>
  <c r="N45" i="5"/>
  <c r="M45" i="5"/>
  <c r="L45" i="5"/>
  <c r="K45" i="5"/>
  <c r="J45" i="5"/>
  <c r="I45" i="5"/>
  <c r="H45" i="5"/>
  <c r="G45" i="5"/>
  <c r="F45" i="5"/>
  <c r="E45" i="5"/>
  <c r="D45" i="5"/>
  <c r="C45" i="5"/>
  <c r="AA45" i="5" s="1"/>
  <c r="AE44" i="5"/>
  <c r="AD44" i="5"/>
  <c r="AC44" i="5"/>
  <c r="Z44" i="5"/>
  <c r="Y44" i="5"/>
  <c r="X44" i="5"/>
  <c r="W44" i="5"/>
  <c r="V44" i="5"/>
  <c r="U44" i="5"/>
  <c r="T44" i="5"/>
  <c r="S44" i="5"/>
  <c r="R44" i="5"/>
  <c r="Q44" i="5"/>
  <c r="P44" i="5"/>
  <c r="O44" i="5"/>
  <c r="N44" i="5"/>
  <c r="M44" i="5"/>
  <c r="L44" i="5"/>
  <c r="K44" i="5"/>
  <c r="J44" i="5"/>
  <c r="I44" i="5"/>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D41" i="5"/>
  <c r="AC41" i="5"/>
  <c r="Z41" i="5"/>
  <c r="Y41" i="5"/>
  <c r="X41" i="5"/>
  <c r="W41" i="5"/>
  <c r="V41" i="5"/>
  <c r="U41" i="5"/>
  <c r="T41" i="5"/>
  <c r="S41" i="5"/>
  <c r="R41" i="5"/>
  <c r="Q41" i="5"/>
  <c r="P41" i="5"/>
  <c r="O41" i="5"/>
  <c r="N41" i="5"/>
  <c r="M41" i="5"/>
  <c r="L41" i="5"/>
  <c r="K41" i="5"/>
  <c r="J41" i="5"/>
  <c r="I41" i="5"/>
  <c r="H41" i="5"/>
  <c r="G41" i="5"/>
  <c r="F41" i="5"/>
  <c r="E41" i="5"/>
  <c r="AE41" i="5" s="1"/>
  <c r="D41" i="5"/>
  <c r="C41" i="5"/>
  <c r="AA41" i="5" s="1"/>
  <c r="AE40" i="5"/>
  <c r="AC40" i="5"/>
  <c r="Z40" i="5"/>
  <c r="Y40" i="5"/>
  <c r="X40" i="5"/>
  <c r="W40" i="5"/>
  <c r="V40" i="5"/>
  <c r="U40" i="5"/>
  <c r="T40" i="5"/>
  <c r="S40" i="5"/>
  <c r="R40" i="5"/>
  <c r="Q40" i="5"/>
  <c r="P40" i="5"/>
  <c r="O40" i="5"/>
  <c r="N40" i="5"/>
  <c r="M40" i="5"/>
  <c r="L40" i="5"/>
  <c r="K40" i="5"/>
  <c r="J40" i="5"/>
  <c r="I40" i="5"/>
  <c r="AD40" i="5" s="1"/>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H38" i="5"/>
  <c r="G38" i="5"/>
  <c r="F38" i="5"/>
  <c r="E38" i="5"/>
  <c r="D38" i="5"/>
  <c r="C38" i="5"/>
  <c r="AA38" i="5" s="1"/>
  <c r="AE37" i="5"/>
  <c r="AC37" i="5"/>
  <c r="Z37" i="5"/>
  <c r="Y37" i="5"/>
  <c r="X37" i="5"/>
  <c r="W37" i="5"/>
  <c r="V37" i="5"/>
  <c r="U37" i="5"/>
  <c r="T37" i="5"/>
  <c r="S37" i="5"/>
  <c r="R37" i="5"/>
  <c r="Q37" i="5"/>
  <c r="P37" i="5"/>
  <c r="O37" i="5"/>
  <c r="N37" i="5"/>
  <c r="M37" i="5"/>
  <c r="L37" i="5"/>
  <c r="K37" i="5"/>
  <c r="J37" i="5"/>
  <c r="I37" i="5"/>
  <c r="AD37" i="5" s="1"/>
  <c r="H37" i="5"/>
  <c r="G37" i="5"/>
  <c r="F37" i="5"/>
  <c r="E37" i="5"/>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D34" i="5"/>
  <c r="AC34" i="5"/>
  <c r="Z34" i="5"/>
  <c r="Y34" i="5"/>
  <c r="X34" i="5"/>
  <c r="W34" i="5"/>
  <c r="V34" i="5"/>
  <c r="U34" i="5"/>
  <c r="T34" i="5"/>
  <c r="S34" i="5"/>
  <c r="R34" i="5"/>
  <c r="Q34" i="5"/>
  <c r="P34" i="5"/>
  <c r="O34" i="5"/>
  <c r="N34" i="5"/>
  <c r="M34" i="5"/>
  <c r="L34" i="5"/>
  <c r="K34" i="5"/>
  <c r="J34" i="5"/>
  <c r="I34" i="5"/>
  <c r="H34" i="5"/>
  <c r="G34" i="5"/>
  <c r="F34" i="5"/>
  <c r="E34" i="5"/>
  <c r="AE34" i="5" s="1"/>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C32" i="5"/>
  <c r="AD32" i="5" s="1"/>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E29" i="5"/>
  <c r="AD29" i="5"/>
  <c r="AC29" i="5"/>
  <c r="Z29" i="5"/>
  <c r="Y29" i="5"/>
  <c r="X29" i="5"/>
  <c r="W29" i="5"/>
  <c r="V29" i="5"/>
  <c r="U29" i="5"/>
  <c r="T29" i="5"/>
  <c r="S29" i="5"/>
  <c r="R29" i="5"/>
  <c r="Q29" i="5"/>
  <c r="P29" i="5"/>
  <c r="O29" i="5"/>
  <c r="N29" i="5"/>
  <c r="M29" i="5"/>
  <c r="L29" i="5"/>
  <c r="K29" i="5"/>
  <c r="J29" i="5"/>
  <c r="I29" i="5"/>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E26" i="5"/>
  <c r="AD26" i="5"/>
  <c r="AC26" i="5"/>
  <c r="Z26" i="5"/>
  <c r="Y26" i="5"/>
  <c r="X26" i="5"/>
  <c r="W26" i="5"/>
  <c r="V26" i="5"/>
  <c r="U26" i="5"/>
  <c r="T26" i="5"/>
  <c r="S26" i="5"/>
  <c r="R26" i="5"/>
  <c r="Q26" i="5"/>
  <c r="P26" i="5"/>
  <c r="O26" i="5"/>
  <c r="N26" i="5"/>
  <c r="M26" i="5"/>
  <c r="L26" i="5"/>
  <c r="K26" i="5"/>
  <c r="J26" i="5"/>
  <c r="I26" i="5"/>
  <c r="H26" i="5"/>
  <c r="G26" i="5"/>
  <c r="F26" i="5"/>
  <c r="E26" i="5"/>
  <c r="D26" i="5"/>
  <c r="C26" i="5"/>
  <c r="AA26" i="5" s="1"/>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D23" i="5"/>
  <c r="AC23" i="5"/>
  <c r="Z23" i="5"/>
  <c r="Y23" i="5"/>
  <c r="X23" i="5"/>
  <c r="W23" i="5"/>
  <c r="V23" i="5"/>
  <c r="U23" i="5"/>
  <c r="T23" i="5"/>
  <c r="S23" i="5"/>
  <c r="R23" i="5"/>
  <c r="Q23" i="5"/>
  <c r="P23" i="5"/>
  <c r="O23" i="5"/>
  <c r="N23" i="5"/>
  <c r="M23" i="5"/>
  <c r="L23" i="5"/>
  <c r="K23" i="5"/>
  <c r="J23" i="5"/>
  <c r="I23" i="5"/>
  <c r="H23" i="5"/>
  <c r="G23" i="5"/>
  <c r="F23" i="5"/>
  <c r="E23" i="5"/>
  <c r="AE23" i="5" s="1"/>
  <c r="D23" i="5"/>
  <c r="C23" i="5"/>
  <c r="AA23" i="5" s="1"/>
  <c r="AE22" i="5"/>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E19" i="5"/>
  <c r="AC19" i="5"/>
  <c r="Z19" i="5"/>
  <c r="Y19" i="5"/>
  <c r="X19" i="5"/>
  <c r="W19" i="5"/>
  <c r="V19" i="5"/>
  <c r="U19" i="5"/>
  <c r="T19" i="5"/>
  <c r="S19" i="5"/>
  <c r="R19" i="5"/>
  <c r="Q19" i="5"/>
  <c r="P19" i="5"/>
  <c r="O19" i="5"/>
  <c r="N19" i="5"/>
  <c r="M19" i="5"/>
  <c r="L19" i="5"/>
  <c r="K19" i="5"/>
  <c r="J19" i="5"/>
  <c r="I19" i="5"/>
  <c r="AD19" i="5" s="1"/>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Z16" i="5"/>
  <c r="Y16" i="5"/>
  <c r="X16" i="5"/>
  <c r="W16" i="5"/>
  <c r="V16" i="5"/>
  <c r="U16" i="5"/>
  <c r="T16" i="5"/>
  <c r="S16" i="5"/>
  <c r="R16" i="5"/>
  <c r="Q16" i="5"/>
  <c r="P16" i="5"/>
  <c r="O16" i="5"/>
  <c r="N16" i="5"/>
  <c r="M16" i="5"/>
  <c r="L16" i="5"/>
  <c r="K16" i="5"/>
  <c r="J16" i="5"/>
  <c r="I16" i="5"/>
  <c r="H16" i="5"/>
  <c r="G16" i="5"/>
  <c r="F16" i="5"/>
  <c r="E16" i="5"/>
  <c r="AE16" i="5" s="1"/>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C14" i="5"/>
  <c r="AD14" i="5" s="1"/>
  <c r="Z14" i="5"/>
  <c r="Y14" i="5"/>
  <c r="X14" i="5"/>
  <c r="W14" i="5"/>
  <c r="V14" i="5"/>
  <c r="U14" i="5"/>
  <c r="T14" i="5"/>
  <c r="S14" i="5"/>
  <c r="R14" i="5"/>
  <c r="Q14" i="5"/>
  <c r="P14" i="5"/>
  <c r="O14" i="5"/>
  <c r="N14" i="5"/>
  <c r="M14" i="5"/>
  <c r="L14" i="5"/>
  <c r="K14" i="5"/>
  <c r="J14" i="5"/>
  <c r="I14" i="5"/>
  <c r="H14" i="5"/>
  <c r="G14" i="5"/>
  <c r="F14" i="5"/>
  <c r="E14" i="5"/>
  <c r="D14" i="5"/>
  <c r="C14" i="5"/>
  <c r="AA14" i="5" s="1"/>
  <c r="AC13" i="5"/>
  <c r="AD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D11" i="5"/>
  <c r="AC11" i="5"/>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X9" i="5"/>
  <c r="T9" i="5"/>
  <c r="S9" i="5"/>
  <c r="R9" i="5"/>
  <c r="Q9" i="5"/>
  <c r="O9" i="5"/>
  <c r="N9" i="5"/>
  <c r="M9" i="5"/>
  <c r="H9" i="5"/>
  <c r="G9" i="5"/>
  <c r="F9" i="5"/>
  <c r="E9" i="5"/>
  <c r="D9" i="5"/>
  <c r="C9" i="5"/>
  <c r="AA8" i="5"/>
  <c r="Z8" i="5"/>
  <c r="R8" i="5"/>
  <c r="Q8" i="5"/>
  <c r="P8" i="5"/>
  <c r="O8" i="5"/>
  <c r="N8" i="5"/>
  <c r="M8" i="5"/>
  <c r="F8" i="5"/>
  <c r="E8" i="5"/>
  <c r="D8" i="5"/>
  <c r="C8" i="5"/>
  <c r="AG6" i="5"/>
  <c r="S6" i="5"/>
  <c r="S7" i="5" s="1"/>
  <c r="R6" i="5"/>
  <c r="R7" i="5" s="1"/>
  <c r="Q6" i="5"/>
  <c r="Q7" i="5" s="1"/>
  <c r="D6" i="5"/>
  <c r="D7" i="5" s="1"/>
  <c r="Y5" i="5"/>
  <c r="X5" i="5"/>
  <c r="K5" i="5"/>
  <c r="I5" i="5"/>
  <c r="U4" i="5"/>
  <c r="T4" i="5"/>
  <c r="S4" i="5"/>
  <c r="F4" i="5"/>
  <c r="AF56" i="5" l="1"/>
  <c r="AF60" i="5"/>
  <c r="AF65" i="5"/>
  <c r="AF48" i="5"/>
  <c r="AF59" i="5"/>
  <c r="K9" i="5"/>
  <c r="K8" i="5"/>
  <c r="W9" i="5"/>
  <c r="W8" i="5"/>
  <c r="E6" i="6"/>
  <c r="E7" i="6" s="1"/>
  <c r="E5" i="6"/>
  <c r="Q6" i="6"/>
  <c r="Q7" i="6" s="1"/>
  <c r="Q5" i="6"/>
  <c r="J5" i="7"/>
  <c r="O9" i="7"/>
  <c r="AD17" i="7"/>
  <c r="AD22" i="7"/>
  <c r="AD72" i="7"/>
  <c r="D25" i="10"/>
  <c r="C26" i="10"/>
  <c r="C114" i="10"/>
  <c r="D113" i="10"/>
  <c r="D195" i="10"/>
  <c r="C196" i="10"/>
  <c r="C211" i="10"/>
  <c r="D210" i="10"/>
  <c r="C6" i="5"/>
  <c r="C7" i="5" s="1"/>
  <c r="C5" i="5"/>
  <c r="C4" i="5"/>
  <c r="O6" i="5"/>
  <c r="O7" i="5" s="1"/>
  <c r="O5" i="5"/>
  <c r="O4" i="5"/>
  <c r="AA6" i="5"/>
  <c r="AA7" i="5" s="1"/>
  <c r="AA5" i="5"/>
  <c r="AA4" i="5"/>
  <c r="AE73" i="5"/>
  <c r="AF73" i="5" s="1"/>
  <c r="AD76" i="5"/>
  <c r="AF76" i="5" s="1"/>
  <c r="I4" i="6"/>
  <c r="AD41" i="6"/>
  <c r="F5" i="6"/>
  <c r="F4" i="6"/>
  <c r="R5" i="6"/>
  <c r="R4" i="6"/>
  <c r="C6" i="6"/>
  <c r="C7" i="6" s="1"/>
  <c r="O6" i="6"/>
  <c r="AA6" i="6"/>
  <c r="U4" i="7"/>
  <c r="K5" i="7"/>
  <c r="P9" i="7"/>
  <c r="D5" i="7"/>
  <c r="P5" i="7"/>
  <c r="M5" i="7"/>
  <c r="Y5" i="7"/>
  <c r="C35" i="9"/>
  <c r="C106" i="9"/>
  <c r="D4" i="10"/>
  <c r="C25" i="10"/>
  <c r="D62" i="10"/>
  <c r="D168" i="10"/>
  <c r="C191" i="10"/>
  <c r="D190" i="10"/>
  <c r="C197" i="10"/>
  <c r="D196" i="10"/>
  <c r="D271" i="10"/>
  <c r="C272" i="10"/>
  <c r="AD37" i="6"/>
  <c r="G6" i="6"/>
  <c r="G7" i="6" s="1"/>
  <c r="G4" i="6"/>
  <c r="S6" i="6"/>
  <c r="S7" i="6" s="1"/>
  <c r="S4" i="6"/>
  <c r="AD81" i="6"/>
  <c r="L5" i="7"/>
  <c r="I6" i="7"/>
  <c r="I7" i="7" s="1"/>
  <c r="C8" i="7"/>
  <c r="T8" i="7"/>
  <c r="AD57" i="7"/>
  <c r="G4" i="7"/>
  <c r="S4" i="7"/>
  <c r="E5" i="7"/>
  <c r="E4" i="7"/>
  <c r="Q5" i="7"/>
  <c r="Q4" i="7"/>
  <c r="N6" i="7"/>
  <c r="N7" i="7" s="1"/>
  <c r="N5" i="7"/>
  <c r="Z6" i="7"/>
  <c r="Z5" i="7"/>
  <c r="C15" i="9"/>
  <c r="C27" i="9"/>
  <c r="C108" i="9"/>
  <c r="C115" i="9"/>
  <c r="C196" i="9"/>
  <c r="C208" i="9"/>
  <c r="C10" i="10"/>
  <c r="D63" i="10"/>
  <c r="C64" i="10"/>
  <c r="C107" i="10"/>
  <c r="C106" i="10"/>
  <c r="C123" i="10"/>
  <c r="C122" i="10"/>
  <c r="D122" i="10"/>
  <c r="C185" i="10"/>
  <c r="D184" i="10"/>
  <c r="C190" i="10"/>
  <c r="D243" i="10"/>
  <c r="C244" i="10"/>
  <c r="C258" i="10"/>
  <c r="D257" i="10"/>
  <c r="C299" i="10"/>
  <c r="C298" i="10"/>
  <c r="AD20" i="5"/>
  <c r="AD31" i="5"/>
  <c r="AE65" i="5"/>
  <c r="AE13" i="5"/>
  <c r="AD88" i="5"/>
  <c r="AF88" i="5" s="1"/>
  <c r="AD100" i="5"/>
  <c r="AF100" i="5" s="1"/>
  <c r="S8" i="6"/>
  <c r="AD33" i="6"/>
  <c r="H5" i="6"/>
  <c r="H4" i="6"/>
  <c r="T5" i="6"/>
  <c r="T4" i="6"/>
  <c r="Y9" i="7"/>
  <c r="M9" i="7"/>
  <c r="Z8" i="7"/>
  <c r="N8" i="7"/>
  <c r="O7" i="7"/>
  <c r="X9" i="7"/>
  <c r="L9" i="7"/>
  <c r="Y8" i="7"/>
  <c r="M8" i="7"/>
  <c r="Z7" i="7"/>
  <c r="W9" i="7"/>
  <c r="K9" i="7"/>
  <c r="X8" i="7"/>
  <c r="L8" i="7"/>
  <c r="V9" i="7"/>
  <c r="J9" i="7"/>
  <c r="W8" i="7"/>
  <c r="K8" i="7"/>
  <c r="X7" i="7"/>
  <c r="L7" i="7"/>
  <c r="U9" i="7"/>
  <c r="I9" i="7"/>
  <c r="V8" i="7"/>
  <c r="J8" i="7"/>
  <c r="W7" i="7"/>
  <c r="K7" i="7"/>
  <c r="W4" i="7"/>
  <c r="R5" i="7"/>
  <c r="G7" i="7"/>
  <c r="D8" i="7"/>
  <c r="U8" i="7"/>
  <c r="R9" i="7"/>
  <c r="F4" i="7"/>
  <c r="R4" i="7"/>
  <c r="C6" i="7"/>
  <c r="C7" i="7" s="1"/>
  <c r="C5" i="7"/>
  <c r="C4" i="7"/>
  <c r="O6" i="7"/>
  <c r="O5" i="7"/>
  <c r="O4" i="7"/>
  <c r="AA6" i="7"/>
  <c r="AA7" i="7" s="1"/>
  <c r="AA5" i="7"/>
  <c r="AA4" i="7"/>
  <c r="C16" i="9"/>
  <c r="C28" i="9"/>
  <c r="C188" i="9"/>
  <c r="C258" i="9"/>
  <c r="C274" i="9"/>
  <c r="C293" i="9"/>
  <c r="D10" i="10"/>
  <c r="D48" i="10"/>
  <c r="C65" i="10"/>
  <c r="D64" i="10"/>
  <c r="D106" i="10"/>
  <c r="C157" i="10"/>
  <c r="C184" i="10"/>
  <c r="D298" i="10"/>
  <c r="N6" i="5"/>
  <c r="N7" i="5" s="1"/>
  <c r="N5" i="5"/>
  <c r="AD51" i="5"/>
  <c r="AF51" i="5" s="1"/>
  <c r="P5" i="5"/>
  <c r="P4" i="5"/>
  <c r="Q4" i="5"/>
  <c r="AD71" i="5"/>
  <c r="AF71" i="5" s="1"/>
  <c r="W4" i="5"/>
  <c r="AD17" i="5"/>
  <c r="AD28" i="5"/>
  <c r="AE54" i="5"/>
  <c r="AF54" i="5" s="1"/>
  <c r="S9" i="7"/>
  <c r="C230" i="10"/>
  <c r="D229" i="10"/>
  <c r="I4" i="5"/>
  <c r="Q5" i="5"/>
  <c r="V6" i="5"/>
  <c r="V7" i="5" s="1"/>
  <c r="AD63" i="5"/>
  <c r="AF63" i="5" s="1"/>
  <c r="AD25" i="6"/>
  <c r="C7" i="9"/>
  <c r="C179" i="9"/>
  <c r="C301" i="10"/>
  <c r="D300" i="10"/>
  <c r="J4" i="5"/>
  <c r="R5" i="5"/>
  <c r="W6" i="5"/>
  <c r="W7" i="5" s="1"/>
  <c r="AD43" i="5"/>
  <c r="AD97" i="6"/>
  <c r="I4" i="7"/>
  <c r="U5" i="7"/>
  <c r="J7" i="7"/>
  <c r="G8" i="7"/>
  <c r="D9" i="7"/>
  <c r="Z9" i="7"/>
  <c r="M6" i="7"/>
  <c r="M7" i="7" s="1"/>
  <c r="Y6" i="7"/>
  <c r="Y7" i="7" s="1"/>
  <c r="C26" i="8"/>
  <c r="C22" i="8"/>
  <c r="C18" i="8"/>
  <c r="C14" i="8"/>
  <c r="C10" i="8"/>
  <c r="C6" i="8"/>
  <c r="C25" i="8"/>
  <c r="C21" i="8"/>
  <c r="C17" i="8"/>
  <c r="C13" i="8"/>
  <c r="C9" i="8"/>
  <c r="C5" i="8"/>
  <c r="C16" i="8"/>
  <c r="C11" i="8"/>
  <c r="C20" i="8"/>
  <c r="C15" i="8"/>
  <c r="C24" i="8"/>
  <c r="C70" i="9"/>
  <c r="C267" i="9"/>
  <c r="D36" i="10"/>
  <c r="C140" i="10"/>
  <c r="C141" i="10"/>
  <c r="C158" i="10"/>
  <c r="D157" i="10"/>
  <c r="C222" i="10"/>
  <c r="C238" i="10"/>
  <c r="D251" i="10"/>
  <c r="C252" i="10"/>
  <c r="D282" i="10"/>
  <c r="C300" i="10"/>
  <c r="I6" i="5"/>
  <c r="I7" i="5" s="1"/>
  <c r="AE14" i="5"/>
  <c r="AE25" i="5"/>
  <c r="AE32" i="5"/>
  <c r="AE49" i="5"/>
  <c r="AF49" i="5" s="1"/>
  <c r="AD52" i="5"/>
  <c r="AF52" i="5" s="1"/>
  <c r="AD55" i="5"/>
  <c r="AF55" i="5" s="1"/>
  <c r="AD58" i="5"/>
  <c r="AF58" i="5" s="1"/>
  <c r="AE66" i="5"/>
  <c r="AF66" i="5" s="1"/>
  <c r="AD69" i="5"/>
  <c r="AF69" i="5" s="1"/>
  <c r="AE69" i="5"/>
  <c r="AE80" i="5"/>
  <c r="AF80" i="5" s="1"/>
  <c r="AE83" i="5"/>
  <c r="AF83" i="5" s="1"/>
  <c r="AE92" i="5"/>
  <c r="AF92" i="5" s="1"/>
  <c r="AE95" i="5"/>
  <c r="AF95" i="5" s="1"/>
  <c r="U6" i="6"/>
  <c r="U7" i="6" s="1"/>
  <c r="L7" i="6"/>
  <c r="G8" i="6"/>
  <c r="W8" i="6"/>
  <c r="AD17" i="6"/>
  <c r="AD65" i="6"/>
  <c r="V5" i="7"/>
  <c r="S6" i="7"/>
  <c r="H8" i="7"/>
  <c r="E9" i="7"/>
  <c r="AA9" i="7"/>
  <c r="AD30" i="7"/>
  <c r="AD44" i="7"/>
  <c r="AD70" i="7"/>
  <c r="AD96" i="7"/>
  <c r="C20" i="9"/>
  <c r="C19" i="9"/>
  <c r="C72" i="9"/>
  <c r="C79" i="9"/>
  <c r="C150" i="9"/>
  <c r="C160" i="9"/>
  <c r="C172" i="9"/>
  <c r="C251" i="9"/>
  <c r="C31" i="10"/>
  <c r="C38" i="10"/>
  <c r="D37" i="10"/>
  <c r="D51" i="10"/>
  <c r="C52" i="10"/>
  <c r="C89" i="10"/>
  <c r="C97" i="10"/>
  <c r="D96" i="10"/>
  <c r="C134" i="10"/>
  <c r="D133" i="10"/>
  <c r="D140" i="10"/>
  <c r="D216" i="10"/>
  <c r="D222" i="10"/>
  <c r="D238" i="10"/>
  <c r="V4" i="5"/>
  <c r="E4" i="5"/>
  <c r="AD46" i="5"/>
  <c r="AF46" i="5" s="1"/>
  <c r="AE68" i="5"/>
  <c r="AF68" i="5" s="1"/>
  <c r="AD77" i="5"/>
  <c r="AF77" i="5" s="1"/>
  <c r="C116" i="10"/>
  <c r="C117" i="10"/>
  <c r="C291" i="10"/>
  <c r="D290" i="10"/>
  <c r="C290" i="10"/>
  <c r="L9" i="5"/>
  <c r="V4" i="6"/>
  <c r="AD73" i="6"/>
  <c r="C36" i="10"/>
  <c r="AE89" i="5"/>
  <c r="AF89" i="5" s="1"/>
  <c r="AD69" i="6"/>
  <c r="E5" i="5"/>
  <c r="J6" i="5"/>
  <c r="J7" i="5" s="1"/>
  <c r="P9" i="6"/>
  <c r="D9" i="6"/>
  <c r="Q8" i="6"/>
  <c r="E8" i="6"/>
  <c r="R7" i="6"/>
  <c r="Z9" i="6"/>
  <c r="N9" i="6"/>
  <c r="AA8" i="6"/>
  <c r="O8" i="6"/>
  <c r="C8" i="6"/>
  <c r="M9" i="6"/>
  <c r="N8" i="6"/>
  <c r="O7" i="6"/>
  <c r="X9" i="6"/>
  <c r="L9" i="6"/>
  <c r="M8" i="6"/>
  <c r="Z7" i="6"/>
  <c r="N7" i="6"/>
  <c r="Y9" i="6"/>
  <c r="Z8" i="6"/>
  <c r="AA7" i="6"/>
  <c r="Y8" i="6"/>
  <c r="Q4" i="6"/>
  <c r="AA5" i="6"/>
  <c r="V6" i="6"/>
  <c r="V7" i="6" s="1"/>
  <c r="M7" i="6"/>
  <c r="H8" i="6"/>
  <c r="X8" i="6"/>
  <c r="S9" i="6"/>
  <c r="F5" i="7"/>
  <c r="W5" i="7"/>
  <c r="Q7" i="7"/>
  <c r="I8" i="7"/>
  <c r="F9" i="7"/>
  <c r="C3" i="8"/>
  <c r="D89" i="10"/>
  <c r="C142" i="10"/>
  <c r="D141" i="10"/>
  <c r="C151" i="10"/>
  <c r="D150" i="10"/>
  <c r="C150" i="10"/>
  <c r="D223" i="10"/>
  <c r="C224" i="10"/>
  <c r="C284" i="10"/>
  <c r="C285" i="10"/>
  <c r="Z6" i="5"/>
  <c r="Z7" i="5" s="1"/>
  <c r="Z5" i="5"/>
  <c r="D5" i="5"/>
  <c r="D4" i="5"/>
  <c r="AD35" i="5"/>
  <c r="AE57" i="5"/>
  <c r="AD57" i="5"/>
  <c r="AF57" i="5" s="1"/>
  <c r="D107" i="10"/>
  <c r="C108" i="10"/>
  <c r="C251" i="10"/>
  <c r="C250" i="10"/>
  <c r="D8" i="6"/>
  <c r="U8" i="6"/>
  <c r="J4" i="6"/>
  <c r="C9" i="7"/>
  <c r="D42" i="10"/>
  <c r="D116" i="10"/>
  <c r="D250" i="10"/>
  <c r="AE101" i="5"/>
  <c r="AF101" i="5" s="1"/>
  <c r="O4" i="6"/>
  <c r="I5" i="6"/>
  <c r="Y5" i="6"/>
  <c r="T6" i="6"/>
  <c r="T7" i="6" s="1"/>
  <c r="F8" i="6"/>
  <c r="V8" i="6"/>
  <c r="AD21" i="6"/>
  <c r="AF47" i="5"/>
  <c r="AE64" i="5"/>
  <c r="AF64" i="5" s="1"/>
  <c r="F6" i="6"/>
  <c r="F7" i="6" s="1"/>
  <c r="W6" i="6"/>
  <c r="W7" i="6" s="1"/>
  <c r="I8" i="6"/>
  <c r="C9" i="6"/>
  <c r="L4" i="7"/>
  <c r="G5" i="7"/>
  <c r="X5" i="7"/>
  <c r="R7" i="7"/>
  <c r="O8" i="7"/>
  <c r="G9" i="7"/>
  <c r="AD11" i="7"/>
  <c r="AD26" i="7"/>
  <c r="AD40" i="7"/>
  <c r="D6" i="7"/>
  <c r="D7" i="7" s="1"/>
  <c r="P6" i="7"/>
  <c r="P7" i="7" s="1"/>
  <c r="AD81" i="7"/>
  <c r="C8" i="8"/>
  <c r="C19" i="8"/>
  <c r="C51" i="9"/>
  <c r="C63" i="9"/>
  <c r="C144" i="9"/>
  <c r="C222" i="9"/>
  <c r="C232" i="9"/>
  <c r="C244" i="9"/>
  <c r="D30" i="10"/>
  <c r="C74" i="10"/>
  <c r="C195" i="10"/>
  <c r="C278" i="10"/>
  <c r="D277" i="10"/>
  <c r="D284" i="10"/>
  <c r="AD38" i="5"/>
  <c r="G4" i="5"/>
  <c r="H4" i="5"/>
  <c r="G6" i="5"/>
  <c r="G7" i="5" s="1"/>
  <c r="N4" i="5"/>
  <c r="L6" i="5"/>
  <c r="L7" i="5" s="1"/>
  <c r="I8" i="5"/>
  <c r="AD67" i="5"/>
  <c r="AF67" i="5" s="1"/>
  <c r="AE81" i="5"/>
  <c r="AD81" i="5"/>
  <c r="AF81" i="5" s="1"/>
  <c r="AD93" i="5"/>
  <c r="AE93" i="5"/>
  <c r="I9" i="5"/>
  <c r="U9" i="5"/>
  <c r="C4" i="6"/>
  <c r="H6" i="6"/>
  <c r="H7" i="6" s="1"/>
  <c r="X6" i="6"/>
  <c r="X7" i="6" s="1"/>
  <c r="J8" i="6"/>
  <c r="M4" i="7"/>
  <c r="E6" i="7"/>
  <c r="E7" i="7" s="1"/>
  <c r="S7" i="7"/>
  <c r="P8" i="7"/>
  <c r="H9" i="7"/>
  <c r="C52" i="9"/>
  <c r="C64" i="9"/>
  <c r="C224" i="9"/>
  <c r="D31" i="10"/>
  <c r="C32" i="10"/>
  <c r="D74" i="10"/>
  <c r="D83" i="10"/>
  <c r="C84" i="10"/>
  <c r="C286" i="10"/>
  <c r="D285" i="10"/>
  <c r="P6" i="5"/>
  <c r="P7" i="5" s="1"/>
  <c r="M6" i="5"/>
  <c r="M7" i="5" s="1"/>
  <c r="Y6" i="5"/>
  <c r="Y7" i="5" s="1"/>
  <c r="J8" i="5"/>
  <c r="J9" i="5"/>
  <c r="V9" i="5"/>
  <c r="V8" i="5"/>
  <c r="D6" i="6"/>
  <c r="D7" i="6" s="1"/>
  <c r="D5" i="6"/>
  <c r="P5" i="6"/>
  <c r="P6" i="6"/>
  <c r="P7" i="6" s="1"/>
  <c r="N4" i="7"/>
  <c r="F6" i="7"/>
  <c r="F7" i="7" s="1"/>
  <c r="T7" i="7"/>
  <c r="Q8" i="7"/>
  <c r="N9" i="7"/>
  <c r="AD61" i="7"/>
  <c r="AD66" i="7"/>
  <c r="C4" i="8"/>
  <c r="C44" i="9"/>
  <c r="C123" i="9"/>
  <c r="C135" i="9"/>
  <c r="C216" i="9"/>
  <c r="C300" i="9"/>
  <c r="D3" i="10"/>
  <c r="C4" i="10"/>
  <c r="C69" i="10"/>
  <c r="C85" i="10"/>
  <c r="D84" i="10"/>
  <c r="C129" i="10"/>
  <c r="D128" i="10"/>
  <c r="D194" i="10"/>
  <c r="C279" i="10"/>
  <c r="D278" i="10"/>
  <c r="C33" i="10"/>
  <c r="D32" i="10"/>
  <c r="C55" i="9"/>
  <c r="C91" i="9"/>
  <c r="C127" i="9"/>
  <c r="C163" i="9"/>
  <c r="C199" i="9"/>
  <c r="C235" i="9"/>
  <c r="C285" i="9"/>
  <c r="C20" i="10"/>
  <c r="D52" i="10"/>
  <c r="C79" i="10"/>
  <c r="D90" i="10"/>
  <c r="D110" i="10"/>
  <c r="D144" i="10"/>
  <c r="C186" i="10"/>
  <c r="D185" i="10"/>
  <c r="C233" i="10"/>
  <c r="D260" i="10"/>
  <c r="C267" i="10"/>
  <c r="C295" i="10"/>
  <c r="C219" i="10"/>
  <c r="D218" i="10"/>
  <c r="C218" i="10"/>
  <c r="AD18" i="5"/>
  <c r="AD27" i="5"/>
  <c r="AD36" i="5"/>
  <c r="AD45" i="5"/>
  <c r="AD50" i="5"/>
  <c r="AF50" i="5" s="1"/>
  <c r="AD74" i="5"/>
  <c r="AF74" i="5" s="1"/>
  <c r="D4" i="7"/>
  <c r="P4" i="7"/>
  <c r="AD39" i="7"/>
  <c r="C287" i="9"/>
  <c r="C295" i="9"/>
  <c r="C296" i="9"/>
  <c r="D20" i="10"/>
  <c r="C58" i="10"/>
  <c r="C78" i="10"/>
  <c r="C86" i="10"/>
  <c r="D85" i="10"/>
  <c r="D117" i="10"/>
  <c r="D123" i="10"/>
  <c r="C124" i="10"/>
  <c r="D151" i="10"/>
  <c r="C152" i="10"/>
  <c r="C179" i="10"/>
  <c r="C178" i="10"/>
  <c r="C206" i="10"/>
  <c r="D205" i="10"/>
  <c r="C212" i="10"/>
  <c r="C213" i="10"/>
  <c r="D233" i="10"/>
  <c r="D240" i="10"/>
  <c r="C266" i="10"/>
  <c r="D272" i="10"/>
  <c r="C294" i="10"/>
  <c r="D171" i="10"/>
  <c r="C172" i="10"/>
  <c r="C227" i="10"/>
  <c r="C226" i="10"/>
  <c r="AD12" i="5"/>
  <c r="AD15" i="5"/>
  <c r="AD21" i="5"/>
  <c r="AD24" i="5"/>
  <c r="AD30" i="5"/>
  <c r="AD33" i="5"/>
  <c r="AD39" i="5"/>
  <c r="AD42" i="5"/>
  <c r="AD62" i="5"/>
  <c r="AF62" i="5" s="1"/>
  <c r="AD86" i="5"/>
  <c r="AF86" i="5" s="1"/>
  <c r="AD98" i="5"/>
  <c r="AF98" i="5" s="1"/>
  <c r="AD35" i="7"/>
  <c r="AD80" i="7"/>
  <c r="C15" i="10"/>
  <c r="D26" i="10"/>
  <c r="C46" i="10"/>
  <c r="D58" i="10"/>
  <c r="D78" i="10"/>
  <c r="C113" i="10"/>
  <c r="C119" i="10"/>
  <c r="D118" i="10"/>
  <c r="C125" i="10"/>
  <c r="D124" i="10"/>
  <c r="C166" i="10"/>
  <c r="D178" i="10"/>
  <c r="C205" i="10"/>
  <c r="D212" i="10"/>
  <c r="C229" i="10"/>
  <c r="D254" i="10"/>
  <c r="C261" i="10"/>
  <c r="D266" i="10"/>
  <c r="D288" i="10"/>
  <c r="D294" i="10"/>
  <c r="AD31" i="7"/>
  <c r="C23" i="9"/>
  <c r="C59" i="9"/>
  <c r="C95" i="9"/>
  <c r="C131" i="9"/>
  <c r="C167" i="9"/>
  <c r="C203" i="9"/>
  <c r="C239" i="9"/>
  <c r="C42" i="10"/>
  <c r="D179" i="10"/>
  <c r="C180" i="10"/>
  <c r="C214" i="10"/>
  <c r="D213" i="10"/>
  <c r="D267" i="10"/>
  <c r="C268" i="10"/>
  <c r="D295" i="10"/>
  <c r="C296" i="10"/>
  <c r="AD27" i="7"/>
  <c r="AD76" i="7"/>
  <c r="AD100" i="7"/>
  <c r="C14" i="9"/>
  <c r="C22" i="9"/>
  <c r="C50" i="9"/>
  <c r="C58" i="9"/>
  <c r="C86" i="9"/>
  <c r="C94" i="9"/>
  <c r="C122" i="9"/>
  <c r="C130" i="9"/>
  <c r="C158" i="9"/>
  <c r="C166" i="9"/>
  <c r="C194" i="9"/>
  <c r="C202" i="9"/>
  <c r="C230" i="9"/>
  <c r="C238" i="9"/>
  <c r="C41" i="10"/>
  <c r="C81" i="10"/>
  <c r="D80" i="10"/>
  <c r="D99" i="10"/>
  <c r="C100" i="10"/>
  <c r="D138" i="10"/>
  <c r="C147" i="10"/>
  <c r="D146" i="10"/>
  <c r="C146" i="10"/>
  <c r="C155" i="10"/>
  <c r="C154" i="10"/>
  <c r="C162" i="10"/>
  <c r="D206" i="10"/>
  <c r="C257" i="10"/>
  <c r="C263" i="10"/>
  <c r="D262" i="10"/>
  <c r="C269" i="10"/>
  <c r="D268" i="10"/>
  <c r="C276" i="9"/>
  <c r="C7" i="10"/>
  <c r="C18" i="10"/>
  <c r="D27" i="10"/>
  <c r="C28" i="10"/>
  <c r="C55" i="10"/>
  <c r="C66" i="10"/>
  <c r="D75" i="10"/>
  <c r="C76" i="10"/>
  <c r="C103" i="10"/>
  <c r="C175" i="10"/>
  <c r="C247" i="10"/>
  <c r="C131" i="10"/>
  <c r="C130" i="10"/>
  <c r="C203" i="10"/>
  <c r="C202" i="10"/>
  <c r="C275" i="10"/>
  <c r="C274" i="10"/>
  <c r="C283" i="9"/>
  <c r="C290" i="9"/>
  <c r="D6" i="10"/>
  <c r="C12" i="10"/>
  <c r="D17" i="10"/>
  <c r="D22" i="10"/>
  <c r="D28" i="10"/>
  <c r="D44" i="10"/>
  <c r="D49" i="10"/>
  <c r="D54" i="10"/>
  <c r="C60" i="10"/>
  <c r="D65" i="10"/>
  <c r="D70" i="10"/>
  <c r="D76" i="10"/>
  <c r="D92" i="10"/>
  <c r="D102" i="10"/>
  <c r="D108" i="10"/>
  <c r="D130" i="10"/>
  <c r="D136" i="10"/>
  <c r="D147" i="10"/>
  <c r="C148" i="10"/>
  <c r="D152" i="10"/>
  <c r="D158" i="10"/>
  <c r="D164" i="10"/>
  <c r="D174" i="10"/>
  <c r="D180" i="10"/>
  <c r="D202" i="10"/>
  <c r="D208" i="10"/>
  <c r="D219" i="10"/>
  <c r="C220" i="10"/>
  <c r="D224" i="10"/>
  <c r="D230" i="10"/>
  <c r="D236" i="10"/>
  <c r="D246" i="10"/>
  <c r="D252" i="10"/>
  <c r="D274" i="10"/>
  <c r="D280" i="10"/>
  <c r="D291" i="10"/>
  <c r="C292" i="10"/>
  <c r="D296" i="10"/>
  <c r="C303" i="10"/>
  <c r="C302" i="10"/>
  <c r="C26" i="9"/>
  <c r="C62" i="9"/>
  <c r="C98" i="9"/>
  <c r="C134" i="9"/>
  <c r="C170" i="9"/>
  <c r="C206" i="9"/>
  <c r="C242" i="9"/>
  <c r="C264" i="9"/>
  <c r="C3" i="10"/>
  <c r="C35" i="10"/>
  <c r="C51" i="10"/>
  <c r="C83" i="10"/>
  <c r="C99" i="10"/>
  <c r="C110" i="10"/>
  <c r="D109" i="10"/>
  <c r="C138" i="10"/>
  <c r="C171" i="10"/>
  <c r="C182" i="10"/>
  <c r="D181" i="10"/>
  <c r="C210" i="10"/>
  <c r="C243" i="10"/>
  <c r="C254" i="10"/>
  <c r="D253" i="10"/>
  <c r="C282" i="10"/>
  <c r="D2" i="10"/>
  <c r="C14" i="10"/>
  <c r="D13" i="10"/>
  <c r="D18" i="10"/>
  <c r="C34" i="10"/>
  <c r="C40" i="10"/>
  <c r="C62" i="10"/>
  <c r="D61" i="10"/>
  <c r="D66" i="10"/>
  <c r="C82" i="10"/>
  <c r="C88" i="10"/>
  <c r="C98" i="10"/>
  <c r="C127" i="10"/>
  <c r="D142" i="10"/>
  <c r="C165" i="10"/>
  <c r="C170" i="10"/>
  <c r="C199" i="10"/>
  <c r="D214" i="10"/>
  <c r="C237" i="10"/>
  <c r="C242" i="10"/>
  <c r="C271" i="10"/>
  <c r="D286" i="10"/>
  <c r="C282" i="9"/>
  <c r="C270" i="9"/>
  <c r="C24" i="10"/>
  <c r="C48" i="10"/>
  <c r="C72" i="10"/>
  <c r="C96" i="10"/>
  <c r="C120" i="10"/>
  <c r="C144" i="10"/>
  <c r="C168" i="10"/>
  <c r="C192" i="10"/>
  <c r="C216" i="10"/>
  <c r="C240" i="10"/>
  <c r="C264" i="10"/>
  <c r="C288" i="10"/>
  <c r="AF93" i="5" l="1"/>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<sst xmlns="http://schemas.openxmlformats.org/spreadsheetml/2006/main" count="1538" uniqueCount="606">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</sst>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3CAF-4575-9FEE-46CAA02999A9}"/>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3CAF-4575-9FEE-46CAA02999A9}"/>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3CAF-4575-9FEE-46CAA02999A9}"/>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3CAF-4575-9FEE-46CAA02999A9}"/>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3CAF-4575-9FEE-46CAA02999A9}"/>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3CAF-4575-9FEE-46CAA02999A9}"/>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3CAF-4575-9FEE-46CAA02999A9}"/>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3CAF-4575-9FEE-46CAA02999A9}"/>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3CAF-4575-9FEE-46CAA02999A9}"/>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341B-4D62-B766-55E75EACA32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3B90-43A2-8458-F8B8E44F021F}"/>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684E-4366-A169-CBF67EAF4F0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C534-4746-B558-61B7C3EF623E}"/>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6C95-4C6B-88C6-CF355BF2935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40" width="9.1796875" style="72" customWidth="1"/>
    <col min="41" max="16384" width="9.1796875" style="72"/>
  </cols>
  <sheetData>
    <row r="1" spans="2:10" ht="16" customHeight="1" thickBot="1" x14ac:dyDescent="0.4">
      <c r="B1" s="74"/>
      <c r="C1" s="75"/>
      <c r="D1" s="75"/>
      <c r="E1" s="75"/>
      <c r="F1" s="75"/>
      <c r="G1" s="75"/>
      <c r="H1" s="75"/>
      <c r="I1" s="75"/>
      <c r="J1" s="75"/>
    </row>
    <row r="2" spans="2:10" ht="16" customHeight="1" thickBot="1" x14ac:dyDescent="0.4">
      <c r="B2" s="76"/>
      <c r="C2" s="76"/>
      <c r="D2" s="76"/>
      <c r="E2" s="76"/>
      <c r="F2" s="76"/>
      <c r="G2" s="76"/>
      <c r="H2" s="76"/>
      <c r="I2" s="76"/>
      <c r="J2" s="76"/>
    </row>
    <row r="3" spans="2:10" ht="16" customHeight="1" thickBot="1" x14ac:dyDescent="0.4">
      <c r="B3" s="77" t="s">
        <v>0</v>
      </c>
      <c r="C3" s="78"/>
      <c r="D3" s="78"/>
      <c r="E3" s="78"/>
      <c r="F3" s="78"/>
      <c r="G3" s="78"/>
      <c r="H3" s="78"/>
      <c r="I3" s="78"/>
      <c r="J3" s="79"/>
    </row>
    <row r="5" spans="2:10" x14ac:dyDescent="0.35">
      <c r="B5" s="80" t="s">
        <v>1</v>
      </c>
      <c r="C5" s="81"/>
      <c r="D5" s="81"/>
      <c r="E5" s="81"/>
      <c r="F5" s="81"/>
      <c r="G5" s="81"/>
      <c r="H5" s="81"/>
      <c r="I5" s="81"/>
      <c r="J5" s="82"/>
    </row>
    <row r="7" spans="2:10" ht="132" customHeight="1" x14ac:dyDescent="0.35">
      <c r="B7" s="83" t="s">
        <v>2</v>
      </c>
      <c r="C7" s="75"/>
      <c r="D7" s="75"/>
      <c r="E7" s="75"/>
      <c r="F7" s="75"/>
      <c r="G7" s="75"/>
      <c r="H7" s="75"/>
      <c r="I7" s="75"/>
      <c r="J7" s="75"/>
    </row>
    <row r="8" spans="2:10" x14ac:dyDescent="0.35">
      <c r="B8" s="59"/>
      <c r="C8" s="57"/>
      <c r="D8" s="57"/>
      <c r="E8" s="57"/>
    </row>
    <row r="9" spans="2:10" x14ac:dyDescent="0.35">
      <c r="B9" s="80" t="s">
        <v>3</v>
      </c>
      <c r="C9" s="81"/>
      <c r="D9" s="81"/>
      <c r="E9" s="81"/>
      <c r="F9" s="81"/>
      <c r="G9" s="81"/>
      <c r="H9" s="81"/>
      <c r="I9" s="81"/>
      <c r="J9" s="82"/>
    </row>
    <row r="10" spans="2:10" ht="16" customHeight="1" x14ac:dyDescent="0.35"/>
    <row r="11" spans="2:10" ht="17" customHeight="1" x14ac:dyDescent="0.35">
      <c r="B11" s="80" t="s">
        <v>4</v>
      </c>
      <c r="C11" s="81"/>
      <c r="D11" s="81"/>
      <c r="E11" s="81"/>
      <c r="F11" s="82"/>
      <c r="G11" s="80" t="s">
        <v>5</v>
      </c>
      <c r="H11" s="81"/>
      <c r="I11" s="81"/>
      <c r="J11" s="82"/>
    </row>
    <row r="12" spans="2:10" ht="16" customHeight="1" x14ac:dyDescent="0.35"/>
    <row r="13" spans="2:10" ht="16" customHeight="1" x14ac:dyDescent="0.35">
      <c r="B13" s="85" t="s">
        <v>6</v>
      </c>
      <c r="C13" s="75"/>
      <c r="D13" s="75"/>
      <c r="E13" s="75"/>
      <c r="F13" s="75"/>
      <c r="G13" s="75" t="s">
        <v>7</v>
      </c>
      <c r="H13" s="75"/>
      <c r="I13" s="75"/>
      <c r="J13" s="75"/>
    </row>
    <row r="14" spans="2:10" ht="16" customHeight="1" x14ac:dyDescent="0.35">
      <c r="B14" s="75" t="s">
        <v>8</v>
      </c>
      <c r="C14" s="75"/>
      <c r="D14" s="75"/>
      <c r="E14" s="75"/>
      <c r="F14" s="75"/>
      <c r="G14" s="75" t="s">
        <v>9</v>
      </c>
      <c r="H14" s="75"/>
      <c r="I14" s="75"/>
      <c r="J14" s="75"/>
    </row>
    <row r="15" spans="2:10" ht="16" customHeight="1" x14ac:dyDescent="0.35">
      <c r="B15" s="75" t="s">
        <v>10</v>
      </c>
      <c r="C15" s="75"/>
      <c r="D15" s="75"/>
      <c r="E15" s="75"/>
      <c r="F15" s="75"/>
      <c r="G15" s="75" t="s">
        <v>11</v>
      </c>
      <c r="H15" s="75"/>
      <c r="I15" s="75"/>
      <c r="J15" s="75"/>
    </row>
    <row r="16" spans="2:10" ht="16" customHeight="1" x14ac:dyDescent="0.35">
      <c r="B16" s="75" t="s">
        <v>12</v>
      </c>
      <c r="C16" s="75"/>
      <c r="D16" s="75"/>
      <c r="E16" s="75"/>
      <c r="F16" s="75"/>
    </row>
    <row r="17" spans="2:10" ht="16" customHeight="1" x14ac:dyDescent="0.35">
      <c r="B17" s="75" t="s">
        <v>13</v>
      </c>
      <c r="C17" s="75"/>
      <c r="D17" s="75"/>
      <c r="E17" s="75"/>
      <c r="F17" s="75"/>
    </row>
    <row r="18" spans="2:10" ht="16" customHeight="1" x14ac:dyDescent="0.35"/>
    <row r="19" spans="2:10" ht="16" customHeight="1" x14ac:dyDescent="0.35">
      <c r="B19" s="85" t="s">
        <v>6</v>
      </c>
      <c r="C19" s="75"/>
      <c r="D19" s="75"/>
      <c r="E19" s="75"/>
      <c r="F19" s="75"/>
      <c r="G19" s="75" t="s">
        <v>14</v>
      </c>
      <c r="H19" s="75"/>
      <c r="I19" s="75"/>
      <c r="J19" s="75"/>
    </row>
    <row r="20" spans="2:10" ht="16" customHeight="1" x14ac:dyDescent="0.35">
      <c r="B20" s="75" t="s">
        <v>8</v>
      </c>
      <c r="C20" s="75"/>
      <c r="D20" s="75"/>
      <c r="E20" s="75"/>
      <c r="F20" s="75"/>
      <c r="G20" s="75" t="s">
        <v>9</v>
      </c>
      <c r="H20" s="75"/>
      <c r="I20" s="75"/>
      <c r="J20" s="75"/>
    </row>
    <row r="21" spans="2:10" ht="16" customHeight="1" x14ac:dyDescent="0.35">
      <c r="B21" s="75" t="s">
        <v>10</v>
      </c>
      <c r="C21" s="75"/>
      <c r="D21" s="75"/>
      <c r="E21" s="75"/>
      <c r="F21" s="75"/>
      <c r="G21" s="75" t="s">
        <v>15</v>
      </c>
      <c r="H21" s="75"/>
      <c r="I21" s="75"/>
      <c r="J21" s="75"/>
    </row>
    <row r="22" spans="2:10" ht="16" customHeight="1" x14ac:dyDescent="0.35">
      <c r="B22" s="75" t="s">
        <v>16</v>
      </c>
      <c r="C22" s="75"/>
      <c r="D22" s="75"/>
      <c r="E22" s="75"/>
      <c r="F22" s="75"/>
    </row>
    <row r="23" spans="2:10" ht="16" customHeight="1" x14ac:dyDescent="0.35">
      <c r="B23" s="75" t="s">
        <v>13</v>
      </c>
      <c r="C23" s="75"/>
      <c r="D23" s="75"/>
      <c r="E23" s="75"/>
      <c r="F23" s="75"/>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84"/>
      <c r="C39" s="75"/>
      <c r="D39" s="75"/>
      <c r="E39" s="75"/>
      <c r="F39" s="75"/>
      <c r="G39" s="75"/>
      <c r="H39" s="75"/>
      <c r="I39" s="75"/>
      <c r="J39" s="75"/>
    </row>
    <row r="40" spans="2:10" x14ac:dyDescent="0.35">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1.076869598</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1.383945124</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0.72436645799999999</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0.39310985399999998</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2.3808751250000002</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2.2289982359999998</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1.2992790380000001</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1.826574522</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1.2399055459999999</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1.2151407789999999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0.80734298299999996</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1.6147606320000001</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1.173222776</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1.5806596470000001</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1.715414204</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1.6677389929999999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1.2824608639999999</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1.035874886</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0.62747178800000003</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1.1005528680000001</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0.76957019000000004</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1.329250872</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1.043787158</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1.880228843</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1.1605221859999999</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1.9992304219999999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1.574208461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1.3065105459999999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1.181345388</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1.309978037</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0.70342232500000001</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0.83887070900000005</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1.3603078479999999</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7.2652494999999997E-2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0.89047986099999998</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1.220909399</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1.341860724</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0.52573878699999999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1.536192877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1.8003378990000001</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1.2806184629999999</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1.7568654690000001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2.3266461430000001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1.104378611</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0.36460062599999998</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1.1372722930000001</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-0.43725989100000001</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0.465107979</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1.7686317999999999E-2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-0.61142780399999996</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-0.52142497899999996</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0.53073426800000001</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1.0960014929999999</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1.3719503930000001</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1.6404370079999999</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1.0265318889999999</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0.88562494700000005</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0.95451385300000002</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0.90271892300000001</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0.87083749600000004</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0.92249627199999995</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0.81638822300000002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0.79479907100000002</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1.981682825</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0.90144307999999995</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1.3151977749999999</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0.57257413400000001</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1.2314429170000001</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0.48135506300000003</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0.67994528099999996</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0.57169221999999997</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-1.067691768</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0.29906458699999999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1.1528929919999999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1.0394567649999999</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0.21372127299999999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0.64208974900000004</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-6.2738645999999995E-2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-0.30518819600000002</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0.24824949800000001</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-0.15413548599999999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0.198681679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0.79704725499999995</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1.0951287540000001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1.3175914559999999</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1.431302477</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1.427742582</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0.66562461299999998</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0.616105185</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0.96742952199999999</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1.0772021629999999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1.1457347170000001</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0.81965538900000001</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0.42640198299999998</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0.62989764999999998</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0.68498718999999997</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0.58603380500000002</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0.319189108</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1.652446404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1.102742361</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1.8199178460000001</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0.82125283900000001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0.69470858499999999</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1.0502781670000001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1.1584847089999999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1.225949532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0.39952959599999999</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0.97809791599999996</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0.96000730499999998</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0.96742162399999998</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0.90896545299999998</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0.36044494599999999</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0.23004841100000001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6.5210209000000005E-2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0.63462929400000001</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0.31953464199999998</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0.60977115299999995</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0.87247960300000005</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0.27468570599999997</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0.48762076199999999</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0.27690393099999999</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0.20356513600000001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0.42379050099999999</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0.38767459100000001</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0.86828824100000002</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0.92490703399999996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0.55558439400000004</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0.92076833899999999</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0.97415384699999996</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0.34265895400000002</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0.58886499999999997</v>
      </c>
      <c r="P194">
        <v>0.62647534400000005</v>
      </c>
      <c r="Q194">
        <v>-0.98834845299999996</v>
      </c>
      <c r="R194">
        <v>1.119561</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0.36516291299999998</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0.245474</v>
      </c>
      <c r="P195">
        <v>0.40478576599999999</v>
      </c>
      <c r="Q195">
        <v>-0.33768755299999997</v>
      </c>
      <c r="R195">
        <v>0.39953300000000003</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0.86606692100000005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0.325293</v>
      </c>
      <c r="P196">
        <v>0.74775839799999999</v>
      </c>
      <c r="Q196">
        <v>1.169999579</v>
      </c>
      <c r="R196">
        <v>0.54205899999999996</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0.54472299800000001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0.20393900000000001</v>
      </c>
      <c r="P197">
        <v>0.59609136699999998</v>
      </c>
      <c r="Q197">
        <v>0.89931266099999996</v>
      </c>
      <c r="R197">
        <v>-6.8849999999999996E-3</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0.719599302</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0.70567599999999997</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0.50426099999999996</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0.39816600000000002</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0.255189</v>
      </c>
      <c r="P201">
        <v>1.0202487600000001</v>
      </c>
      <c r="Q201">
        <v>3.625720109</v>
      </c>
      <c r="R201">
        <v>0.38661099999999998</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1.2186330000000001</v>
      </c>
      <c r="P202">
        <v>0.91289625900000004</v>
      </c>
      <c r="Q202">
        <v>4.2028336370000003</v>
      </c>
      <c r="R202">
        <v>1.2053750000000001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0.760494</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1.114614</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0.68968099999999999</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0.40834257499999999</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0.42414200000000002</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0.45682294200000001</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0.63085899999999995</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0.70653073</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0.17253599999999999</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0.84216655500000004</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1.109788</v>
      </c>
      <c r="P209">
        <v>1.003493424</v>
      </c>
      <c r="Q209">
        <v>-0.75795565399999998</v>
      </c>
      <c r="R209">
        <v>1.0545249999999999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0.67398359900000004</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0.45177499999999998</v>
      </c>
      <c r="P210">
        <v>1.1924241390000001</v>
      </c>
      <c r="Q210">
        <v>0.87741145399999998</v>
      </c>
      <c r="R210">
        <v>0.49348399999999998</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0.71121354599999997</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1.1198650000000001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1.1717850000000001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1.327673772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1.217508</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1.0272191509999999</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0.917628</v>
      </c>
      <c r="P214">
        <v>1.2583178719999999</v>
      </c>
      <c r="Q214">
        <v>2.5042493280000002</v>
      </c>
      <c r="R214">
        <v>0.97497999999999996</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1.259398885</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0.55781800000000004</v>
      </c>
      <c r="P215">
        <v>1.0801129709999999</v>
      </c>
      <c r="Q215">
        <v>1.2338408270000001</v>
      </c>
      <c r="R215">
        <v>0.55277799999999999</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0.48315897899999999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0.68317499999999998</v>
      </c>
      <c r="P216">
        <v>1.0185955010000001</v>
      </c>
      <c r="Q216">
        <v>2.2499212270000002</v>
      </c>
      <c r="R216">
        <v>0.68419300000000005</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0.58275241499999997</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0.90486800000000001</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0.26177962599999999</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9.9589999999999998E-2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0.14206917499999999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0.14366000000000001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-9.1634443999999995E-2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0.104002</v>
      </c>
      <c r="P220">
        <v>0.68050729499999996</v>
      </c>
      <c r="Q220">
        <v>1.467099435</v>
      </c>
      <c r="R220">
        <v>0.14003499999999999</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0.171339672</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0.13954800000000001</v>
      </c>
      <c r="P221">
        <v>0.43075532100000002</v>
      </c>
      <c r="Q221">
        <v>0.69699863500000003</v>
      </c>
      <c r="R221">
        <v>0.17611399999999999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0.56218979700000005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0.55357699999999999</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0.39756900000000001</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0.49719487299999998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0.25827699999999998</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0.34893320300000003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-0.31859399999999999</v>
      </c>
      <c r="P225">
        <v>0.93673244700000002</v>
      </c>
      <c r="Q225">
        <v>2.293806472</v>
      </c>
      <c r="R225">
        <v>-0.20891899999999999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0.204451049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8.9718999999999993E-2</v>
      </c>
      <c r="P226">
        <v>0.52695173500000003</v>
      </c>
      <c r="Q226">
        <v>2.3157523480000002</v>
      </c>
      <c r="R226">
        <v>0.11762</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0.58710600000000002</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1.0459102309999999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0.76689700000000005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0.50619899999999995</v>
      </c>
      <c r="P229">
        <v>0.60844005000000001</v>
      </c>
      <c r="Q229">
        <v>2.3190782140000001</v>
      </c>
      <c r="R229">
        <v>0.63236999999999999</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0.76177652600000001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0.61320600000000003</v>
      </c>
      <c r="P230">
        <v>0.983144346</v>
      </c>
      <c r="Q230">
        <v>-0.67963392099999997</v>
      </c>
      <c r="R230">
        <v>0.63503600000000004</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0.69623707300000004</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0.28690900000000003</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0.47149400000000002</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0.23824400000000001</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0.74701653800000001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0.61543800000000004</v>
      </c>
      <c r="P234">
        <v>0.88880827100000004</v>
      </c>
      <c r="Q234">
        <v>3.9599279319999998</v>
      </c>
      <c r="R234">
        <v>0.66988599999999998</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0.68463167400000002</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0.77897799999999995</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0.89629868800000001</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0.69316100000000003</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0.75383703700000004</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0.94449499999999997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1.0205397380000001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1.23054</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0.67456616800000002</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0.62660400000000005</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0.37078999200000001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1.173619</v>
      </c>
      <c r="P240">
        <v>0.948808227</v>
      </c>
      <c r="Q240">
        <v>2.4809643499999998</v>
      </c>
      <c r="R240">
        <v>1.0559909999999999</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0.967461715</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0.60006000000000004</v>
      </c>
      <c r="P241">
        <v>0.92037080000000004</v>
      </c>
      <c r="Q241">
        <v>3.3156808999999998</v>
      </c>
      <c r="R241">
        <v>0.727688</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0.68166806800000002</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0.71818599999999999</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0.66963345699999999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0.52890199999999998</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0.52809238400000003</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0.60305399999999998</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0.70907420499999996</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0.51700299999999999</v>
      </c>
      <c r="P245">
        <v>0.22113556700000001</v>
      </c>
      <c r="Q245">
        <v>-2.2201614639999998</v>
      </c>
      <c r="R245">
        <v>0.56302300000000005</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-0.33751700000000001</v>
      </c>
      <c r="P246">
        <v>0.11566206699999999</v>
      </c>
      <c r="Q246">
        <v>1.015879371</v>
      </c>
      <c r="R246">
        <v>-0.255056</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1.8589574000000001E-2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-0.485987</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-0.49350404599999997</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-1.8425739999999999</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-2.0195762610000001</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-3.0935969999999999</v>
      </c>
      <c r="P249">
        <v>-2.6003410159999998</v>
      </c>
      <c r="Q249">
        <v>-2.6519689309999999</v>
      </c>
      <c r="R249">
        <v>-2.883092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-2.3240424580000001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-2.4795999999999999E-2</v>
      </c>
      <c r="P250">
        <v>-4.4601379999999998E-3</v>
      </c>
      <c r="Q250">
        <v>-3.374436657</v>
      </c>
      <c r="R250">
        <v>-6.7305000000000004E-2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0.19396396699999999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0.38684200000000002</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0.59831844099999998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0.428425</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0.87865591499999995</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0.44192399999999998</v>
      </c>
      <c r="P253">
        <v>-2.2261963999999999E-2</v>
      </c>
      <c r="Q253">
        <v>1.3781541230000001</v>
      </c>
      <c r="R253">
        <v>0.42348599999999997</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0.62745076099999997</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0.96978500000000001</v>
      </c>
      <c r="P254">
        <v>0.156239562</v>
      </c>
      <c r="Q254">
        <v>1.267533638</v>
      </c>
      <c r="R254">
        <v>1.0016989999999999</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1.1042490869999999</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0.50095500000000004</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0.84031113800000001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0.59082299999999999</v>
      </c>
      <c r="P256">
        <v>5.2271008000000001E-2</v>
      </c>
      <c r="Q256">
        <v>2.1011254899999998</v>
      </c>
      <c r="R256">
        <v>0.61726899999999996</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0.56299827899999999</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0.90277200000000002</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0.29131794300000002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-2.2478999999999999E-2</v>
      </c>
      <c r="P258">
        <v>-0.31022249899999998</v>
      </c>
      <c r="Q258">
        <v>1.9091788789999999</v>
      </c>
      <c r="R258">
        <v>7.2369000000000003E-2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0.36353437799999999</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0.204316</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0.59403166100000004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-0.36896800000000002</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0.42111015499999999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-0.21496599999999999</v>
      </c>
      <c r="P261">
        <v>-0.93119561900000003</v>
      </c>
      <c r="Q261">
        <v>0.59375622100000003</v>
      </c>
      <c r="R261">
        <v>-0.18284400000000001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0.49134401599999999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-0.26388400000000001</v>
      </c>
      <c r="P262">
        <v>-0.95860267899999996</v>
      </c>
      <c r="Q262">
        <v>1.2261679089999999</v>
      </c>
      <c r="R262">
        <v>-0.228187</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0.14801983499999999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-0.108254</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0.17682104800000001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-0.41617900000000002</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4.9368454999999999E-2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-0.33240700000000001</v>
      </c>
      <c r="P265">
        <v>-0.30752821299999999</v>
      </c>
      <c r="Q265">
        <v>0.47925561799999999</v>
      </c>
      <c r="R265">
        <v>-0.250338</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0.57366806400000003</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0.51473599999999997</v>
      </c>
      <c r="P266">
        <v>-8.8247811999999995E-2</v>
      </c>
      <c r="Q266">
        <v>-0.25655010900000003</v>
      </c>
      <c r="R266">
        <v>0.50035600000000002</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0.52267520000000001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0.34581499999999998</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0.70679130300000004</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0.34134100000000001</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0.50501315199999997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0.41415299999999999</v>
      </c>
      <c r="P269">
        <v>0.36728831200000001</v>
      </c>
      <c r="Q269">
        <v>1.641611766</v>
      </c>
      <c r="R269">
        <v>0.45104</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0.37041156800000002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0.19501299999999999</v>
      </c>
      <c r="P270">
        <v>0.47133307099999999</v>
      </c>
      <c r="Q270">
        <v>0.40810270799999998</v>
      </c>
      <c r="R270">
        <v>0.26806400000000002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0.48011266499999999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0.493919</v>
      </c>
      <c r="P271">
        <v>0.73426099700000003</v>
      </c>
      <c r="Q271">
        <v>1.3404200660000001</v>
      </c>
      <c r="R271">
        <v>0.56614200000000003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0.78233655499999999</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0.355854</v>
      </c>
      <c r="P272">
        <v>0.85916726899999996</v>
      </c>
      <c r="Q272">
        <v>1.4976567009999999</v>
      </c>
      <c r="R272">
        <v>0.410686</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0.55121686700000005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0.73136699999999999</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0.80800557100000003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0.48732199999999998</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0.54446363099999995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0.416823</v>
      </c>
      <c r="P275">
        <v>0.905855831</v>
      </c>
      <c r="Q275">
        <v>0.744766873</v>
      </c>
      <c r="R275">
        <v>0.52261000000000002</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0.51094782100000002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0.46210099999999998</v>
      </c>
      <c r="P276">
        <v>0.97305720900000003</v>
      </c>
      <c r="Q276">
        <v>-0.185241553</v>
      </c>
      <c r="R276">
        <v>0.48653400000000002</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0.30847865899999999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0.55582699999999996</v>
      </c>
      <c r="P277">
        <v>0.68024474199999996</v>
      </c>
      <c r="Q277">
        <v>1.6236699130000001</v>
      </c>
      <c r="R277">
        <v>0.50329199999999996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0.551537944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0.23383999999999999</v>
      </c>
      <c r="P278">
        <v>0.414833758</v>
      </c>
      <c r="Q278">
        <v>-0.17840165499999999</v>
      </c>
      <c r="R278">
        <v>0.31708799999999998</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0.36435026599999998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0.484093</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0.40051772699999999</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0.757131</v>
      </c>
      <c r="P280">
        <v>0.54375701700000001</v>
      </c>
      <c r="Q280">
        <v>1.2088196179999999</v>
      </c>
      <c r="R280">
        <v>0.81669499999999995</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0.80710336199999999</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0.68294999999999995</v>
      </c>
      <c r="P281">
        <v>0.78518248999999996</v>
      </c>
      <c r="Q281">
        <v>2.0711212159999999</v>
      </c>
      <c r="R281">
        <v>0.76520600000000005</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0.642647945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0.84644399999999997</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0.70069078200000001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0.79063300000000003</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0.79916611500000001</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0.812886</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0.81581607700000003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-3.5100000000000001E-3</v>
      </c>
      <c r="P285">
        <v>0.42700115700000002</v>
      </c>
      <c r="Q285">
        <v>0.68753054700000005</v>
      </c>
      <c r="R285">
        <v>0.145622</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0.53906989100000002</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0.53935200000000005</v>
      </c>
      <c r="P286">
        <v>0.58588025099999996</v>
      </c>
      <c r="Q286">
        <v>0.86980534399999998</v>
      </c>
      <c r="R286">
        <v>0.61618399999999995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0.59385263600000004</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8.7019999999999997E-3</v>
      </c>
      <c r="P287">
        <v>0.52041550999999997</v>
      </c>
      <c r="Q287">
        <v>0.86293033200000002</v>
      </c>
      <c r="R287">
        <v>9.4108999999999998E-2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0.28679828200000002</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0.64659100000000003</v>
      </c>
      <c r="P288">
        <v>0.65925895599999995</v>
      </c>
      <c r="Q288">
        <v>1.107363251</v>
      </c>
      <c r="R288">
        <v>0.68504900000000002</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0.216192351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0.62815399999999999</v>
      </c>
      <c r="P289">
        <v>0.60886152699999996</v>
      </c>
      <c r="Q289">
        <v>1.52625079</v>
      </c>
      <c r="R289">
        <v>0.67134700000000003</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0.55262812900000002</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0.313693</v>
      </c>
      <c r="P290">
        <v>0.34620021699999998</v>
      </c>
      <c r="Q290">
        <v>0.16689965500000001</v>
      </c>
      <c r="R290">
        <v>0.379722</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0.55617846599999998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0.207452</v>
      </c>
      <c r="P291">
        <v>0.29500010100000001</v>
      </c>
      <c r="Q291">
        <v>0.29478254199999998</v>
      </c>
      <c r="R291">
        <v>0.25863000000000003</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1.5764E-2</v>
      </c>
      <c r="P292">
        <v>0.21716943599999999</v>
      </c>
      <c r="Q292">
        <v>1.1552874630000001</v>
      </c>
      <c r="R292">
        <v>6.1197000000000001E-2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2.7379840999999999E-2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-3.363785</v>
      </c>
      <c r="P293">
        <v>-5.4872551700000001</v>
      </c>
      <c r="Q293">
        <v>0.71607565399999995</v>
      </c>
      <c r="R293">
        <v>-2.9234170000000002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-1.219603247</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-1.6288863600000001</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-11.450082</v>
      </c>
      <c r="P294">
        <v>-17.826255917000001</v>
      </c>
      <c r="Q294">
        <v>-6.7561927449999999</v>
      </c>
      <c r="R294">
        <v>-11.072227</v>
      </c>
      <c r="S294">
        <v>-6.2400753829999998</v>
      </c>
      <c r="T294">
        <v>-13.50293709</v>
      </c>
      <c r="U294">
        <v>-10.193087</v>
      </c>
      <c r="V294">
        <v>-20.991372605999999</v>
      </c>
      <c r="W294">
        <v>-13.354608133999999</v>
      </c>
      <c r="X294">
        <v>-14.358048646</v>
      </c>
      <c r="Y294">
        <v>-23.058240000000001</v>
      </c>
      <c r="Z294">
        <v>-5.5838926769999997</v>
      </c>
      <c r="AA294">
        <v>-6.5273831009999999</v>
      </c>
      <c r="AB294">
        <v>-8.7938380429999992</v>
      </c>
      <c r="AC294">
        <v>-12.100581745</v>
      </c>
      <c r="AD294">
        <v>-7.9517180649999997</v>
      </c>
      <c r="AE294">
        <v>-3.026935758</v>
      </c>
      <c r="AF294">
        <v>-5.5592997930000001</v>
      </c>
      <c r="AG294">
        <v>-7.0816959329999998</v>
      </c>
      <c r="AH294">
        <v>-17.755667377999998</v>
      </c>
      <c r="AI294">
        <v>-7.90431054</v>
      </c>
      <c r="AJ294">
        <v>-5.4146763260000004</v>
      </c>
      <c r="AK294">
        <v>-10.136491369</v>
      </c>
      <c r="AL294">
        <v>-10.322254539999999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12.351114000000001</v>
      </c>
      <c r="P295">
        <v>16.637933628999999</v>
      </c>
      <c r="Q295">
        <v>4.7791880320000004</v>
      </c>
      <c r="R295">
        <v>11.492728</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9.0463410470000003</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9.4586861829999993</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-0.26234400000000002</v>
      </c>
      <c r="P296">
        <v>-5.8975087000000002E-2</v>
      </c>
      <c r="Q296">
        <v>2.6660140320000001</v>
      </c>
      <c r="R296">
        <v>-0.117855</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2.1213657279999998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1.0216552910000001</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0.9</v>
      </c>
      <c r="L297">
        <v>-0.51575419600000005</v>
      </c>
      <c r="M297">
        <v>-1.468048603</v>
      </c>
      <c r="N297">
        <v>1.0328808190000001</v>
      </c>
      <c r="O297">
        <v>-6.2096999999999999E-2</v>
      </c>
      <c r="P297">
        <v>-0.22866331500000001</v>
      </c>
      <c r="Q297">
        <v>2.6144887040000002</v>
      </c>
      <c r="R297">
        <v>0.20141400000000001</v>
      </c>
      <c r="S297">
        <v>-0.140874833</v>
      </c>
      <c r="T297">
        <v>7.5525414999999999E-2</v>
      </c>
      <c r="U297">
        <v>0.60125600000000001</v>
      </c>
      <c r="V297">
        <v>-1.0529393410000001</v>
      </c>
      <c r="W297">
        <v>3.0616529859999999</v>
      </c>
      <c r="X297">
        <v>1.117595444</v>
      </c>
      <c r="Y297">
        <v>0.75983000000000001</v>
      </c>
      <c r="Z297">
        <v>8.9422876819999999</v>
      </c>
      <c r="AA297">
        <v>-3.83936637</v>
      </c>
      <c r="AB297">
        <v>-0.23226623699999999</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0.84905566300000002</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1.6</v>
      </c>
      <c r="L298">
        <v>1.407038024</v>
      </c>
      <c r="M298">
        <v>1.928643933</v>
      </c>
      <c r="N298">
        <v>1.8541308249999999</v>
      </c>
      <c r="O298">
        <v>1.9862120000000001</v>
      </c>
      <c r="P298">
        <v>1.3522055589999999</v>
      </c>
      <c r="Q298">
        <v>2.8521731099999998</v>
      </c>
      <c r="R298">
        <v>1.9323950000000001</v>
      </c>
      <c r="S298">
        <v>1.5271213939999999</v>
      </c>
      <c r="T298">
        <v>1.106267903</v>
      </c>
      <c r="U298">
        <v>1.80962</v>
      </c>
      <c r="V298">
        <v>6.5284429499999996</v>
      </c>
      <c r="W298">
        <v>1.3228741740000001</v>
      </c>
      <c r="X298">
        <v>2.3639560689999999</v>
      </c>
      <c r="Y298">
        <v>-8.6488399999999999</v>
      </c>
      <c r="Z298">
        <v>1.931800848</v>
      </c>
      <c r="AA298">
        <v>4.7902804889999997</v>
      </c>
      <c r="AB298">
        <v>3.8239064659999999</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1.715077813</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0.3</v>
      </c>
      <c r="L299">
        <v>1.6988365430000001</v>
      </c>
      <c r="M299">
        <v>0.78523687499999995</v>
      </c>
      <c r="N299">
        <v>0.90318139200000003</v>
      </c>
      <c r="O299">
        <v>2.2506379999999999</v>
      </c>
      <c r="P299">
        <v>3.1081884460000002</v>
      </c>
      <c r="Q299">
        <v>0.710336729</v>
      </c>
      <c r="R299">
        <v>2.1651039999999999</v>
      </c>
      <c r="S299">
        <v>0.95876611</v>
      </c>
      <c r="T299">
        <v>3.2863651250000001</v>
      </c>
      <c r="U299">
        <v>0.98600299999999996</v>
      </c>
      <c r="V299">
        <v>1.7335132870000001</v>
      </c>
      <c r="W299">
        <v>3.58576804</v>
      </c>
      <c r="X299">
        <v>1.7038326930000001</v>
      </c>
      <c r="Y299">
        <v>8.6877399999999998</v>
      </c>
      <c r="Z299">
        <v>3.7974186369999998</v>
      </c>
      <c r="AA299">
        <v>0.92805134899999997</v>
      </c>
      <c r="AB299">
        <v>2.2864998179999998</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1.202729782</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1.5</v>
      </c>
      <c r="L300">
        <v>0.84683267900000003</v>
      </c>
      <c r="M300">
        <v>-2.8155110000000001E-2</v>
      </c>
      <c r="N300">
        <v>2.6046939610000002</v>
      </c>
      <c r="O300">
        <v>0.53520599999999996</v>
      </c>
      <c r="P300">
        <v>2.2652908900000002</v>
      </c>
      <c r="Q300">
        <v>0.82982534399999996</v>
      </c>
      <c r="R300">
        <v>0.68043299999999995</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4.3258857859999997</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1.353489127</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1.3</v>
      </c>
      <c r="L301">
        <v>0.62057495900000004</v>
      </c>
      <c r="M301">
        <v>0.798122004</v>
      </c>
      <c r="N301">
        <v>-0.48750227000000002</v>
      </c>
      <c r="O301">
        <v>0.61132600000000004</v>
      </c>
      <c r="P301">
        <v>0.112070009</v>
      </c>
      <c r="Q301">
        <v>1.3246175000000001E-2</v>
      </c>
      <c r="R301">
        <v>0.73964799999999997</v>
      </c>
      <c r="S301">
        <v>-3.419797E-3</v>
      </c>
      <c r="T301">
        <v>-0.20215835400000001</v>
      </c>
      <c r="U301">
        <v>-0.105341</v>
      </c>
      <c r="V301">
        <v>0.61839764500000005</v>
      </c>
      <c r="W301">
        <v>2.1791437679999999</v>
      </c>
      <c r="X301">
        <v>1.582497673</v>
      </c>
      <c r="Y301">
        <v>-7.6910000000000006E-2</v>
      </c>
      <c r="Z301">
        <v>6.9712807650000004</v>
      </c>
      <c r="AA301">
        <v>-1.0147827119999999</v>
      </c>
      <c r="AB301">
        <v>-0.84068924199999995</v>
      </c>
      <c r="AC301">
        <v>0.160524687</v>
      </c>
      <c r="AD301">
        <v>-0.45009723299999999</v>
      </c>
      <c r="AE301">
        <v>0.63396788500000001</v>
      </c>
      <c r="AF301">
        <v>0.745967202</v>
      </c>
      <c r="AG301">
        <v>1.7828977479999999</v>
      </c>
      <c r="AH301">
        <v>1.225600174</v>
      </c>
      <c r="AI301">
        <v>0.319872618</v>
      </c>
      <c r="AJ301">
        <v>-0.72173495300000001</v>
      </c>
      <c r="AK301">
        <v>-0.43952824000000001</v>
      </c>
      <c r="AL301">
        <v>0.242369107</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-2.4</v>
      </c>
      <c r="L302">
        <v>0.372471</v>
      </c>
      <c r="M302">
        <v>0.102467351</v>
      </c>
      <c r="N302">
        <v>0.81599424700000001</v>
      </c>
      <c r="O302">
        <v>0.79510899999999995</v>
      </c>
      <c r="P302">
        <v>1.9517740100000001</v>
      </c>
      <c r="Q302">
        <v>-1.343134517</v>
      </c>
      <c r="R302">
        <v>0.66735699999999998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1.690970455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0.46319292000000001</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0.318413</v>
      </c>
      <c r="P303">
        <v>5.3545163999999999E-2</v>
      </c>
      <c r="Q303">
        <v>-1.7827658500000001</v>
      </c>
      <c r="R303">
        <v>0.35816399999999998</v>
      </c>
      <c r="S303">
        <v>-0.242097957</v>
      </c>
      <c r="T303">
        <v>0.17479292699999999</v>
      </c>
      <c r="U303">
        <v>0.48153499999999999</v>
      </c>
      <c r="V303">
        <v>-0.31220909400000002</v>
      </c>
      <c r="W303">
        <v>-0.53899532999999999</v>
      </c>
      <c r="X303">
        <v>-0.434562852</v>
      </c>
      <c r="Y303">
        <v>0.75570000000000004</v>
      </c>
      <c r="Z303">
        <v>2.3164391979999999</v>
      </c>
      <c r="AA303">
        <v>-0.50556511199999998</v>
      </c>
      <c r="AB303">
        <v>0.47486577299999999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0.45411230200000002</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c r="K304">
        <v>0</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3.6237779350000001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4.9606414489999997</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5.8355069579999999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6.4395928060000003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7.9593922800000003</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6.7562536839999998</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5.6974971099999996</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5.1842021459999996</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4.9654039089999999</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4.8962672979999997</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5.2750798410000002</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6.2233963780000003</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6.2787775200000002</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6.3935281430000002</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5.8229316039999999</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4.6910554109999998</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4.107002745</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3.579808694</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3.880571454</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4.310345528</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5.1147750590000003</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5.5225849870000001</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6.2202904700000001</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6.777885414</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6.1765869359999996</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6.1984426609999996</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5.4808144050000003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4.5765373040000004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4.0938027330000004</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4.1177244540000002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4.1694491259999999</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3.5169693569999998</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3.5699491550000002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3.5866419889999999</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3.5677896819999999</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4.036700465</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4.7025497280000002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5.3019085129999999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5.2382731419999997</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6.5271136680000001</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7.3564209570000001</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6.6224774369999997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5.658145932</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5.0147980280000004</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2.1782833479999999</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1.5322225469999999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1.181272308</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-0.56818856600000001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-0.65224297399999998</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-0.58734656600000001</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0.484445601</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2.4896928250000001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4.7169922299999998</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5.2334356440000001</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5.0144492720000002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4.5820133930000004</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3.8229450059999999</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3.6629409929999999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3.5589442349999998</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3.4481834349999998</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4.5874119200000001</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4.5655941990000004</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5.0829537089999999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4.8512745659999998</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4.0799241779999997</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3.6466030310000002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2.9967324830000002</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2.9958293110000001</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0.65662247299999998</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0.47401403199999997</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0.94599437399999997</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1.4154998190000001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2.7290762050000001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3.0804120639999999</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1.8416159560000001</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0.48629576699999999</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0.52091790699999996</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-0.27434868299999998</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-1.3481896E-2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1.091978688</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1.9459856170000001</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3.4486683199999999</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4.7212696950000002</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5.3765192009999998</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4.9288255100000002</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4.8367510500000002</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3.994184373</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3.522223941</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3.9454808720000001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3.8603034959999998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4.0704168359999997</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3.5127621370000002</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3.054679358</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2.585236047</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2.3475232190000002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3.2771514910000001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3.7056618910000001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4.9778142599999997</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5.5031928399999996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4.5091744819999997</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4.454942623</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3.7763920820000001</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4.1929507089999998</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3.8875168859999998</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3.813309995</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3.6096237069999999</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3.3450079690000001</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3.8693894360000001</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3.2340512960000001</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2.4876506570000001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1.571854979</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1.2957166550000001</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1.254425103</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1.6380287090000001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2.4579867110000002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2.091521454</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2.262576551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1.9242410270000001</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1.2483520269999999</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1.3989046270000001</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1.298052083</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1.895458627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2.6289800689999998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2.7636680029999998</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3.3093791079999999</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3.417806744</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2.821176822</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2.6264650020000002</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2.5708390570000001</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2.1346176990000001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1.370107425</v>
      </c>
      <c r="P197">
        <v>2.3960428390000001</v>
      </c>
      <c r="Q197">
        <v>0.72962578300000003</v>
      </c>
      <c r="R197">
        <v>2.0668565669999999</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2.5182895959999998</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1.4738416329999999</v>
      </c>
      <c r="P198">
        <v>2.516054263</v>
      </c>
      <c r="Q198">
        <v>3.4673073169999999</v>
      </c>
      <c r="R198">
        <v>1.6490938660000001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3.2947938329999999</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1.7477897</v>
      </c>
      <c r="P199">
        <v>2.978766115</v>
      </c>
      <c r="Q199">
        <v>7.1198534909999998</v>
      </c>
      <c r="R199">
        <v>1.7551255059999999</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3.1584094399999998</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1.8976636120000001</v>
      </c>
      <c r="P200">
        <v>2.7474443339999999</v>
      </c>
      <c r="Q200">
        <v>8.0325961170000006</v>
      </c>
      <c r="R200">
        <v>1.6094971229999999</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1.9497797109999999</v>
      </c>
      <c r="P201">
        <v>3.1806727769999998</v>
      </c>
      <c r="Q201">
        <v>10.951752521</v>
      </c>
      <c r="R201">
        <v>2.0093538519999998</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2.4831952839999998</v>
      </c>
      <c r="P202">
        <v>3.3532306250000001</v>
      </c>
      <c r="Q202">
        <v>13.679319289</v>
      </c>
      <c r="R202">
        <v>2.5155222410000002</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2.787496134</v>
      </c>
      <c r="P203">
        <v>3.6945386020000002</v>
      </c>
      <c r="Q203">
        <v>13.142515742000001</v>
      </c>
      <c r="R203">
        <v>2.7768825590000001</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3.45180906</v>
      </c>
      <c r="P204">
        <v>4.5658017360000001</v>
      </c>
      <c r="Q204">
        <v>14.362157887</v>
      </c>
      <c r="R204">
        <v>3.510304836</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3.8532515859999998</v>
      </c>
      <c r="P205">
        <v>4.4221078729999999</v>
      </c>
      <c r="Q205">
        <v>11.264362952999999</v>
      </c>
      <c r="R205">
        <v>3.822804895</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3.6054301039999999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3.0533491760000002</v>
      </c>
      <c r="P206">
        <v>4.6510644819999998</v>
      </c>
      <c r="Q206">
        <v>6.1731221339999998</v>
      </c>
      <c r="R206">
        <v>3.0213665519999999</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2.7593272080000002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2.8378239449999998</v>
      </c>
      <c r="P207">
        <v>4.3973660710000004</v>
      </c>
      <c r="Q207">
        <v>3.2834233460000002</v>
      </c>
      <c r="R207">
        <v>2.8888230629999998</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2.5375969650000001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1.8222156389999999</v>
      </c>
      <c r="P208">
        <v>4.1093773340000004</v>
      </c>
      <c r="Q208">
        <v>-1.6764219149999999</v>
      </c>
      <c r="R208">
        <v>1.9302153559999999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2.4351576449999999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2.2932257570000001</v>
      </c>
      <c r="P209">
        <v>4.2353493880000004</v>
      </c>
      <c r="Q209">
        <v>-3.214104941</v>
      </c>
      <c r="R209">
        <v>2.2995547489999999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2.7061608260000001</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2.306213509</v>
      </c>
      <c r="P210">
        <v>4.2954016429999999</v>
      </c>
      <c r="Q210">
        <v>-1.809839835</v>
      </c>
      <c r="R210">
        <v>2.370192495</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2.9662475129999999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2.845703351</v>
      </c>
      <c r="P211">
        <v>4.6928302039999998</v>
      </c>
      <c r="Q211">
        <v>-0.69614755699999997</v>
      </c>
      <c r="R211">
        <v>2.8676501769999998</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3.429995731</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3.9030105929999999</v>
      </c>
      <c r="P212">
        <v>4.7294823199999998</v>
      </c>
      <c r="Q212">
        <v>3.7650010649999999</v>
      </c>
      <c r="R212">
        <v>3.8937831379999999</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3.9279621179999999</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4.039284018</v>
      </c>
      <c r="P213">
        <v>5.353171143</v>
      </c>
      <c r="Q213">
        <v>8.5286290610000002</v>
      </c>
      <c r="R213">
        <v>4.0613457119999996</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4.2926149279999999</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4.5217741949999999</v>
      </c>
      <c r="P214">
        <v>5.4217742400000004</v>
      </c>
      <c r="Q214">
        <v>10.278857199999999</v>
      </c>
      <c r="R214">
        <v>4.5599357559999998</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4.8602943390000002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3.9260501849999998</v>
      </c>
      <c r="P215">
        <v>5.1613920420000001</v>
      </c>
      <c r="Q215">
        <v>10.499842051</v>
      </c>
      <c r="R215">
        <v>3.9735566809999998</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4.1585909509999999</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3.4432600390000001</v>
      </c>
      <c r="P216">
        <v>5.0540509890000003</v>
      </c>
      <c r="Q216">
        <v>10.133563129000001</v>
      </c>
      <c r="R216">
        <v>3.4724615779999999</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3.3928578009999999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3.1931010830000002</v>
      </c>
      <c r="P217">
        <v>4.4975796209999999</v>
      </c>
      <c r="Q217">
        <v>7.6345762580000001</v>
      </c>
      <c r="R217">
        <v>3.152856109</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2.6094948549999999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2.3443492560000001</v>
      </c>
      <c r="P218">
        <v>3.9682211660000002</v>
      </c>
      <c r="Q218">
        <v>5.1354704230000001</v>
      </c>
      <c r="R218">
        <v>2.2585853519999999</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1.477267739</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1.8606098449999999</v>
      </c>
      <c r="P219">
        <v>3.8158713720000002</v>
      </c>
      <c r="Q219">
        <v>5.9987887960000004</v>
      </c>
      <c r="R219">
        <v>1.842526873</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0.89678771999999995</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1.2746634080000001</v>
      </c>
      <c r="P220">
        <v>3.468421266</v>
      </c>
      <c r="Q220">
        <v>5.187265805</v>
      </c>
      <c r="R220">
        <v>1.292109019</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0.48409048100000002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0.41429639899999998</v>
      </c>
      <c r="P221">
        <v>2.8172711939999999</v>
      </c>
      <c r="Q221">
        <v>4.4139326030000001</v>
      </c>
      <c r="R221">
        <v>0.56055872200000001</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0.78516675300000005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0.84671877100000004</v>
      </c>
      <c r="P222">
        <v>2.894485768</v>
      </c>
      <c r="Q222">
        <v>7.9312116359999996</v>
      </c>
      <c r="R222">
        <v>1.0166361779999999</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1.439384403</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1.1271505479999999</v>
      </c>
      <c r="P223">
        <v>2.573236589</v>
      </c>
      <c r="Q223">
        <v>7.8670740620000004</v>
      </c>
      <c r="R223">
        <v>1.2727585800000001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2.0372370759999998</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1.265920876</v>
      </c>
      <c r="P224">
        <v>2.6423426829999999</v>
      </c>
      <c r="Q224">
        <v>7.0856313489999998</v>
      </c>
      <c r="R224">
        <v>1.3923377290000001</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2.2181386519999999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0.80262596799999997</v>
      </c>
      <c r="P225">
        <v>3.1594619389999998</v>
      </c>
      <c r="Q225">
        <v>8.783747258</v>
      </c>
      <c r="R225">
        <v>1.0026295460000001</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1.854509051</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0.37252589400000002</v>
      </c>
      <c r="P226">
        <v>2.8585656089999998</v>
      </c>
      <c r="Q226">
        <v>7.5421194089999997</v>
      </c>
      <c r="R226">
        <v>0.56472572200000004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1.5781339080000001</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0.52834618099999997</v>
      </c>
      <c r="P227">
        <v>2.90247711</v>
      </c>
      <c r="Q227">
        <v>6.465869337</v>
      </c>
      <c r="R227">
        <v>0.75457829600000004</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1.026082597</v>
      </c>
      <c r="P228">
        <v>3.0088083339999998</v>
      </c>
      <c r="Q228">
        <v>8.4519277030000008</v>
      </c>
      <c r="R228">
        <v>1.2657165180000001</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2.8725995200000001</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1.862001689</v>
      </c>
      <c r="P229">
        <v>2.673776599</v>
      </c>
      <c r="Q229">
        <v>8.4787208120000006</v>
      </c>
      <c r="R229">
        <v>2.1194374890000001</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3.4447649280000001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2.3947579710000002</v>
      </c>
      <c r="P230">
        <v>3.1397115289999999</v>
      </c>
      <c r="Q230">
        <v>5.3029080620000002</v>
      </c>
      <c r="R230">
        <v>2.6471991909999999</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3.6275525810000002</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2.0976948750000002</v>
      </c>
      <c r="P231">
        <v>3.4280170320000001</v>
      </c>
      <c r="Q231">
        <v>6.6352675909999999</v>
      </c>
      <c r="R231">
        <v>2.340853976</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3.1739972590000001</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1.75250499</v>
      </c>
      <c r="P232">
        <v>3.2428210239999999</v>
      </c>
      <c r="Q232">
        <v>6.0817642770000004</v>
      </c>
      <c r="R232">
        <v>2.040836525</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2.7857825589999998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1.4505068459999999</v>
      </c>
      <c r="P233">
        <v>3.6257023190000002</v>
      </c>
      <c r="Q233">
        <v>5.4982480779999996</v>
      </c>
      <c r="R233">
        <v>1.641194566</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2.7707260869999999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1.452757544</v>
      </c>
      <c r="P234">
        <v>3.5288976289999998</v>
      </c>
      <c r="Q234">
        <v>10.42639793</v>
      </c>
      <c r="R234">
        <v>1.676393775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1.9667220999999999</v>
      </c>
      <c r="P235">
        <v>3.5557230299999998</v>
      </c>
      <c r="Q235">
        <v>10.570552229</v>
      </c>
      <c r="R235">
        <v>2.1752811400000001</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3.0577953990000002</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2.212500302</v>
      </c>
      <c r="P236">
        <v>3.8947489979999999</v>
      </c>
      <c r="Q236">
        <v>10.820482529</v>
      </c>
      <c r="R236">
        <v>2.4007069109999999</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3.1174604889999999</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2.8910133469999999</v>
      </c>
      <c r="P237">
        <v>4.0686440739999998</v>
      </c>
      <c r="Q237">
        <v>11.409671842</v>
      </c>
      <c r="R237">
        <v>3.122193389</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3.3974193270000002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3.3908379900000001</v>
      </c>
      <c r="P238">
        <v>4.1582633710000003</v>
      </c>
      <c r="Q238">
        <v>9.4108712509999997</v>
      </c>
      <c r="R238">
        <v>3.6965047919999998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3.3870826219999999</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3.2488468610000001</v>
      </c>
      <c r="P239">
        <v>4.1195848670000004</v>
      </c>
      <c r="Q239">
        <v>9.2990847179999996</v>
      </c>
      <c r="R239">
        <v>3.5397190150000002</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2.8486009179999998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3.7972403360000002</v>
      </c>
      <c r="P240">
        <v>4.0653242059999997</v>
      </c>
      <c r="Q240">
        <v>9.4825437959999999</v>
      </c>
      <c r="R240">
        <v>3.9128063590000002</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3.0666670470000001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3.5162794389999998</v>
      </c>
      <c r="P241">
        <v>3.8284908830000002</v>
      </c>
      <c r="Q241">
        <v>10.572500509999999</v>
      </c>
      <c r="R241">
        <v>3.6896243690000001</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2.7209316779999999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3.1250373969999998</v>
      </c>
      <c r="P242">
        <v>3.7532224350000001</v>
      </c>
      <c r="Q242">
        <v>8.7264895899999999</v>
      </c>
      <c r="R242">
        <v>3.1648236440000002</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2.7158987020000001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2.9783761289999999</v>
      </c>
      <c r="P243">
        <v>3.5862868959999998</v>
      </c>
      <c r="Q243">
        <v>6.505878858</v>
      </c>
      <c r="R243">
        <v>3.0646579310000002</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2.876876378</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2.3019869900000001</v>
      </c>
      <c r="P244">
        <v>3.259416399</v>
      </c>
      <c r="Q244">
        <v>3.3035584839999999</v>
      </c>
      <c r="R244">
        <v>2.6027183059999999</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2.6136024529999999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2.2175241510000001</v>
      </c>
      <c r="P245">
        <v>2.543974892</v>
      </c>
      <c r="Q245">
        <v>-2.2316343380000001</v>
      </c>
      <c r="R245">
        <v>2.4349881899999999</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2.1071362200000001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1.1421923949999999</v>
      </c>
      <c r="P246">
        <v>1.7443479580000001</v>
      </c>
      <c r="Q246">
        <v>-1.622401295</v>
      </c>
      <c r="R246">
        <v>1.4451570170000001</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1.446795815</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0.15559809499999999</v>
      </c>
      <c r="P247">
        <v>0.78495414799999996</v>
      </c>
      <c r="Q247">
        <v>-1.772981648</v>
      </c>
      <c r="R247">
        <v>0.42101745499999998</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0.41586324699999999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-2.1662616369999999</v>
      </c>
      <c r="P248">
        <v>-1.475901573</v>
      </c>
      <c r="Q248">
        <v>-12.838646636</v>
      </c>
      <c r="R248">
        <v>-2.0201855520000001</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-2.3048428489999999</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-5.6804780839999998</v>
      </c>
      <c r="P249">
        <v>-4.2496023000000003</v>
      </c>
      <c r="Q249">
        <v>-13.223561602</v>
      </c>
      <c r="R249">
        <v>-5.3777781349999998</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-4.7512796110000002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-5.3845223249999998</v>
      </c>
      <c r="P250">
        <v>-4.3644869120000003</v>
      </c>
      <c r="Q250">
        <v>-16.995008137999999</v>
      </c>
      <c r="R250">
        <v>-5.1996697989999996</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-4.5842687929999997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-4.4989750959999997</v>
      </c>
      <c r="P251">
        <v>-3.9846582289999999</v>
      </c>
      <c r="Q251">
        <v>-18.666625132</v>
      </c>
      <c r="R251">
        <v>-4.3681837139999997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-3.5373317069999999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-2.3160833360000002</v>
      </c>
      <c r="P252">
        <v>-2.4309188260000001</v>
      </c>
      <c r="Q252">
        <v>-7.3549506759999996</v>
      </c>
      <c r="R252">
        <v>-2.1556177010000002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-0.68399429199999995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1.2478047699999999</v>
      </c>
      <c r="P253">
        <v>0.15164467600000001</v>
      </c>
      <c r="Q253">
        <v>-3.5195269389999999</v>
      </c>
      <c r="R253">
        <v>1.1757288589999999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2.3170565779999999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2.2550459169999999</v>
      </c>
      <c r="P254">
        <v>0.31259524700000002</v>
      </c>
      <c r="Q254">
        <v>1.1154731019999999</v>
      </c>
      <c r="R254">
        <v>2.2580298029999999</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3.246630481</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2.2707671559999998</v>
      </c>
      <c r="P255">
        <v>5.0071770000000002E-2</v>
      </c>
      <c r="Q255">
        <v>4.6562901999999999</v>
      </c>
      <c r="R255">
        <v>2.3742699219999999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3.494993784</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2.4415429909999999</v>
      </c>
      <c r="P256">
        <v>0.13765314400000001</v>
      </c>
      <c r="Q256">
        <v>6.3566215809999997</v>
      </c>
      <c r="R256">
        <v>2.56677212</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3.1711494120000001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2.9185114410000002</v>
      </c>
      <c r="P257">
        <v>9.6489990000000001E-3</v>
      </c>
      <c r="Q257">
        <v>7.0378228759999999</v>
      </c>
      <c r="R257">
        <v>3.056286461</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2.8265197020000001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1.907096898</v>
      </c>
      <c r="P258">
        <v>-0.45613034000000002</v>
      </c>
      <c r="Q258">
        <v>7.7160294760000001</v>
      </c>
      <c r="R258">
        <v>2.1080518270000002</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2.0731872130000002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1.638030989</v>
      </c>
      <c r="P259">
        <v>-1.0509809160000001</v>
      </c>
      <c r="Q259">
        <v>7.9334044099999996</v>
      </c>
      <c r="R259">
        <v>1.8066692820000001</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1.8238967159999999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0.61316333099999998</v>
      </c>
      <c r="P260">
        <v>-1.758500717</v>
      </c>
      <c r="Q260">
        <v>5.677474685</v>
      </c>
      <c r="R260">
        <v>0.80877391099999996</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1.680229543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-0.508081899</v>
      </c>
      <c r="P261">
        <v>-2.5270516989999998</v>
      </c>
      <c r="Q261">
        <v>4.1924712749999999</v>
      </c>
      <c r="R261">
        <v>-0.27583005799999999</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1.8830257319999999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-0.74831438299999997</v>
      </c>
      <c r="P262">
        <v>-3.1610136679999998</v>
      </c>
      <c r="Q262">
        <v>3.4941573290000001</v>
      </c>
      <c r="R262">
        <v>-0.57534005700000002</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1.6642483260000001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-0.99792389000000004</v>
      </c>
      <c r="P263">
        <v>-3.0380685839999999</v>
      </c>
      <c r="Q263">
        <v>2.302596292</v>
      </c>
      <c r="R263">
        <v>-0.88547815600000002</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1.2425990229999999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-1.0192147170000001</v>
      </c>
      <c r="P264">
        <v>-3.1137914260000001</v>
      </c>
      <c r="Q264">
        <v>3.2452003519999999</v>
      </c>
      <c r="R264">
        <v>-0.93244421099999997</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0.86781631199999998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-1.135708978</v>
      </c>
      <c r="P265">
        <v>-2.5038641049999999</v>
      </c>
      <c r="Q265">
        <v>3.1276817490000002</v>
      </c>
      <c r="R265">
        <v>-0.999431387</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0.950448772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-0.363896043</v>
      </c>
      <c r="P266">
        <v>-1.64708867</v>
      </c>
      <c r="Q266">
        <v>1.617111162</v>
      </c>
      <c r="R266">
        <v>-0.27651969300000001</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1.3281060360000001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3.7991766000000003E-2</v>
      </c>
      <c r="P267">
        <v>-1.1696109800000001</v>
      </c>
      <c r="Q267">
        <v>0.86017889000000003</v>
      </c>
      <c r="R267">
        <v>0.17678370099999999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1.8641669890000001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0.77432346600000002</v>
      </c>
      <c r="P268">
        <v>-0.26665421</v>
      </c>
      <c r="Q268">
        <v>-7.7655272999999997E-2</v>
      </c>
      <c r="R268">
        <v>0.93881465500000005</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2.3280766389999998</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1.529173932</v>
      </c>
      <c r="P269">
        <v>0.40843899</v>
      </c>
      <c r="Q269">
        <v>1.078258462</v>
      </c>
      <c r="R269">
        <v>1.6485537809999999</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2.1212745339999999</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1.206224212</v>
      </c>
      <c r="P270">
        <v>0.97080169299999997</v>
      </c>
      <c r="Q270">
        <v>1.751805941</v>
      </c>
      <c r="R270">
        <v>1.413607938</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2.0780351330000002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1.397969585</v>
      </c>
      <c r="P271">
        <v>1.7495709150000001</v>
      </c>
      <c r="Q271">
        <v>3.372776843</v>
      </c>
      <c r="R271">
        <v>1.6362799379999999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2.1546090229999999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1.466697892</v>
      </c>
      <c r="P272">
        <v>2.4535327589999998</v>
      </c>
      <c r="Q272">
        <v>4.9733410219999996</v>
      </c>
      <c r="R272">
        <v>1.706520201</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2.2015710830000002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1.6925816250000001</v>
      </c>
      <c r="P273">
        <v>3.2499426389999999</v>
      </c>
      <c r="Q273">
        <v>1.8353174350000001</v>
      </c>
      <c r="R273">
        <v>1.990351126</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2.6471485590000001</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1.9622311450000001</v>
      </c>
      <c r="P274">
        <v>3.8745137500000002</v>
      </c>
      <c r="Q274">
        <v>3.421863063</v>
      </c>
      <c r="R274">
        <v>2.2133745490000001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2.7128873699999998</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1.8840087590000001</v>
      </c>
      <c r="P275">
        <v>4.0514578180000003</v>
      </c>
      <c r="Q275">
        <v>2.8139756789999999</v>
      </c>
      <c r="R275">
        <v>2.1691290890000001</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2.4363000100000001</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1.991873166</v>
      </c>
      <c r="P276">
        <v>4.1689524850000002</v>
      </c>
      <c r="Q276">
        <v>1.109251985</v>
      </c>
      <c r="R276">
        <v>2.2463047060000001</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2.1890110699999998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1.908904725</v>
      </c>
      <c r="P277">
        <v>3.6877589450000001</v>
      </c>
      <c r="Q277">
        <v>4.2065042339999996</v>
      </c>
      <c r="R277">
        <v>2.014799145</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1.92903</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1.6787829460000001</v>
      </c>
      <c r="P278">
        <v>3.0063532880000001</v>
      </c>
      <c r="Q278">
        <v>2.00856784</v>
      </c>
      <c r="R278">
        <v>1.8419780750000001</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1.7464363510000001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1.7395868969999999</v>
      </c>
      <c r="P279">
        <v>2.9560997950000001</v>
      </c>
      <c r="Q279">
        <v>2.3530050349999998</v>
      </c>
      <c r="R279">
        <v>1.80295603</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1.634648842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2.0383692299999998</v>
      </c>
      <c r="P280">
        <v>2.5183684369999999</v>
      </c>
      <c r="Q280">
        <v>3.7825165859999998</v>
      </c>
      <c r="R280">
        <v>2.1374429670000001</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2.1398658199999998</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2.1673664010000002</v>
      </c>
      <c r="P281">
        <v>2.625222038</v>
      </c>
      <c r="Q281">
        <v>4.23947334</v>
      </c>
      <c r="R281">
        <v>2.403616</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2.2324150089999999</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2.7329836759999999</v>
      </c>
      <c r="P282">
        <v>3.2481650160000002</v>
      </c>
      <c r="Q282">
        <v>6.2611311990000003</v>
      </c>
      <c r="R282">
        <v>2.9439820239999999</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2.5750157740000001</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3.0388699159999999</v>
      </c>
      <c r="P283">
        <v>3.0157711059999999</v>
      </c>
      <c r="Q283">
        <v>5.49032155</v>
      </c>
      <c r="R283">
        <v>3.2580261730000002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2.9822981830000002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3.0920472970000001</v>
      </c>
      <c r="P284">
        <v>3.01123371</v>
      </c>
      <c r="Q284">
        <v>5.8205009519999997</v>
      </c>
      <c r="R284">
        <v>3.2541244420000002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2.9911989000000001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2.3891616579999999</v>
      </c>
      <c r="P285">
        <v>2.6451411949999999</v>
      </c>
      <c r="Q285">
        <v>4.38608683</v>
      </c>
      <c r="R285">
        <v>2.6192358850000002</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2.8852037949999998</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2.1358013900000001</v>
      </c>
      <c r="P286">
        <v>2.1996272060000002</v>
      </c>
      <c r="Q286">
        <v>3.4753857570000002</v>
      </c>
      <c r="R286">
        <v>2.3849283080000001</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2.7760479949999999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1.358109295</v>
      </c>
      <c r="P287">
        <v>2.088722846</v>
      </c>
      <c r="Q287">
        <v>4.0025554420000002</v>
      </c>
      <c r="R287">
        <v>1.6773871739999999</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2.2536315600000001</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1.1946844830000001</v>
      </c>
      <c r="P288">
        <v>2.2105015269999999</v>
      </c>
      <c r="Q288">
        <v>3.5741167279999999</v>
      </c>
      <c r="R288">
        <v>1.5484534510000001</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1.6454561169999999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1.833917569</v>
      </c>
      <c r="P289">
        <v>2.3955915870000002</v>
      </c>
      <c r="Q289">
        <v>4.4368820360000001</v>
      </c>
      <c r="R289">
        <v>2.0815428580000002</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1.6591635579999999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1.6053524079999999</v>
      </c>
      <c r="P290">
        <v>2.1515993010000001</v>
      </c>
      <c r="Q290">
        <v>3.7091193690000002</v>
      </c>
      <c r="R290">
        <v>1.841637132</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1.6210904100000001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1.807275508</v>
      </c>
      <c r="P291">
        <v>1.9225259880000001</v>
      </c>
      <c r="Q291">
        <v>3.1249393649999999</v>
      </c>
      <c r="R291">
        <v>2.0090301340000001</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1.8703514409999999</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1.1691736129999999</v>
      </c>
      <c r="P292">
        <v>1.474888274</v>
      </c>
      <c r="Q292">
        <v>3.1738198949999998</v>
      </c>
      <c r="R292">
        <v>1.3769752369999999</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1.67842241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-2.8442276610000001</v>
      </c>
      <c r="P293">
        <v>-4.673702928</v>
      </c>
      <c r="Q293">
        <v>2.350497228</v>
      </c>
      <c r="R293">
        <v>-2.2429848090000002</v>
      </c>
      <c r="T293">
        <v>0.40296441599999999</v>
      </c>
      <c r="U293">
        <v>-5.1739890170000002</v>
      </c>
      <c r="V293">
        <v>-0.94610927899999997</v>
      </c>
      <c r="X293">
        <v>-1.963017842</v>
      </c>
      <c r="Y293">
        <v>-1.5861174659999999</v>
      </c>
      <c r="Z293">
        <v>1.7398722639999999</v>
      </c>
      <c r="AA293">
        <v>2.18188</v>
      </c>
      <c r="AB293">
        <v>7.5585218469999997</v>
      </c>
      <c r="AC293">
        <v>-4.080151968</v>
      </c>
      <c r="AD293">
        <v>1.1894777249999999</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-0.52751652100000002</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-14.237673179</v>
      </c>
      <c r="P294">
        <v>-21.937066645000002</v>
      </c>
      <c r="Q294">
        <v>-4.7235157640000001</v>
      </c>
      <c r="R294">
        <v>-13.395719623</v>
      </c>
      <c r="T294">
        <v>-6.6181198840000004</v>
      </c>
      <c r="U294">
        <v>-18.545083525999999</v>
      </c>
      <c r="V294">
        <v>-11.463974794</v>
      </c>
      <c r="X294">
        <v>-22.627407624</v>
      </c>
      <c r="Y294">
        <v>-15.603636497</v>
      </c>
      <c r="Z294">
        <v>-13.193439874999999</v>
      </c>
      <c r="AA294">
        <v>-22.412600000000001</v>
      </c>
      <c r="AB294">
        <v>-9.3123172000000004E-2</v>
      </c>
      <c r="AC294">
        <v>-10.240516599999999</v>
      </c>
      <c r="AD294">
        <v>-8.0807227099999999</v>
      </c>
      <c r="AE294">
        <v>-17.874119216</v>
      </c>
      <c r="AF294">
        <v>-9.8703626419999999</v>
      </c>
      <c r="AG294">
        <v>-2.5967072330000001</v>
      </c>
      <c r="AH294">
        <v>-6.261168037</v>
      </c>
      <c r="AI294">
        <v>-7.133380754</v>
      </c>
      <c r="AJ294">
        <v>-18.785313702</v>
      </c>
      <c r="AK294">
        <v>-8.5495127469999996</v>
      </c>
      <c r="AL294">
        <v>-5.3274220840000002</v>
      </c>
      <c r="AM294">
        <v>-9.8539411119999993</v>
      </c>
      <c r="AN294">
        <v>-11.288712537</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-3.8445467359999999</v>
      </c>
      <c r="P295">
        <v>-9.2168180829999997</v>
      </c>
      <c r="Q295">
        <v>-0.46348968600000001</v>
      </c>
      <c r="R295">
        <v>-3.6916078350000001</v>
      </c>
      <c r="T295">
        <v>-2.037661119</v>
      </c>
      <c r="U295">
        <v>-3.6374267310000001</v>
      </c>
      <c r="V295">
        <v>-3.5957013309999999</v>
      </c>
      <c r="X295">
        <v>-10.324677638000001</v>
      </c>
      <c r="Y295">
        <v>-10.744605912000001</v>
      </c>
      <c r="Z295">
        <v>-4.1967708229999996</v>
      </c>
      <c r="AA295">
        <v>-6.2041300000000001</v>
      </c>
      <c r="AB295">
        <v>10.790588268</v>
      </c>
      <c r="AC295">
        <v>-7.4251536939999996</v>
      </c>
      <c r="AD295">
        <v>-0.91855680900000003</v>
      </c>
      <c r="AE295">
        <v>-6.0774131929999999</v>
      </c>
      <c r="AF295">
        <v>-5.0480202480000003</v>
      </c>
      <c r="AG295">
        <v>-0.83293149700000002</v>
      </c>
      <c r="AH295">
        <v>1.5199058599999999</v>
      </c>
      <c r="AI295">
        <v>-1.672447711</v>
      </c>
      <c r="AJ295">
        <v>-8.3276767409999994</v>
      </c>
      <c r="AK295">
        <v>-3.1384525490000001</v>
      </c>
      <c r="AL295">
        <v>-1.687727832</v>
      </c>
      <c r="AM295">
        <v>1.952087905</v>
      </c>
      <c r="AN295">
        <v>-3.4123959560000001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-4.1119206720000001</v>
      </c>
      <c r="P296">
        <v>-9.4669676190000001</v>
      </c>
      <c r="Q296">
        <v>1.0230608889999999</v>
      </c>
      <c r="R296">
        <v>-3.863944821</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0.32811642000000002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-2.4523119480000002</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-0.83579305500000001</v>
      </c>
      <c r="P297">
        <v>-4.4298028690000004</v>
      </c>
      <c r="Q297">
        <v>2.9272603510000001</v>
      </c>
      <c r="R297">
        <v>-0.76938858899999996</v>
      </c>
      <c r="T297">
        <v>-1.045247526</v>
      </c>
      <c r="U297">
        <v>1.4743354470000001</v>
      </c>
      <c r="V297">
        <v>-0.23552552900000001</v>
      </c>
      <c r="X297">
        <v>-7.7326331389999998</v>
      </c>
      <c r="Y297">
        <v>-2.0692543190000001</v>
      </c>
      <c r="Z297">
        <v>-1.713340477</v>
      </c>
      <c r="AA297">
        <v>1.4454199999999999</v>
      </c>
      <c r="AB297">
        <v>10.727248470999999</v>
      </c>
      <c r="AC297">
        <v>-2.8509284799999999</v>
      </c>
      <c r="AD297">
        <v>1.33092331</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4.8882049999999996E-3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14.211080344999999</v>
      </c>
      <c r="P298">
        <v>17.875245591999999</v>
      </c>
      <c r="Q298">
        <v>13.533463627</v>
      </c>
      <c r="R298">
        <v>13.741900412</v>
      </c>
      <c r="T298">
        <v>7.1522956950000003</v>
      </c>
      <c r="U298">
        <v>18.613175984000002</v>
      </c>
      <c r="V298">
        <v>13.098012029</v>
      </c>
      <c r="X298">
        <v>24.405387753999999</v>
      </c>
      <c r="Y298">
        <v>14.519934745</v>
      </c>
      <c r="Z298">
        <v>17.477604591999999</v>
      </c>
      <c r="AA298">
        <v>20.44378</v>
      </c>
      <c r="AB298">
        <v>19.541338439</v>
      </c>
      <c r="AC298">
        <v>8.9118802010000007</v>
      </c>
      <c r="AD298">
        <v>15.349358839000001</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13.428420097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3.9433916029999998</v>
      </c>
      <c r="P299">
        <v>4.2019749280000003</v>
      </c>
      <c r="Q299">
        <v>9.1246607900000001</v>
      </c>
      <c r="R299">
        <v>4.2261079519999996</v>
      </c>
      <c r="T299">
        <v>3.073076446</v>
      </c>
      <c r="U299">
        <v>3.577475389</v>
      </c>
      <c r="V299">
        <v>4.3155494570000004</v>
      </c>
      <c r="X299">
        <v>8.5356964820000005</v>
      </c>
      <c r="Y299">
        <v>12.616570761</v>
      </c>
      <c r="Z299">
        <v>6.736881425</v>
      </c>
      <c r="AA299">
        <v>7.8330700000000002</v>
      </c>
      <c r="AB299">
        <v>9.9087201769999993</v>
      </c>
      <c r="AC299">
        <v>7.0131604159999998</v>
      </c>
      <c r="AD299">
        <v>8.1987901529999991</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4.8730452470000003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4.7745718190000002</v>
      </c>
      <c r="P300">
        <v>6.6253351580000004</v>
      </c>
      <c r="Q300">
        <v>7.1729587629999996</v>
      </c>
      <c r="R300">
        <v>5.0591144479999999</v>
      </c>
      <c r="T300">
        <v>2.9847855179999998</v>
      </c>
      <c r="U300">
        <v>5.1008028889999997</v>
      </c>
      <c r="V300">
        <v>4.7649264240000004</v>
      </c>
      <c r="X300">
        <v>8.8693362320000002</v>
      </c>
      <c r="Y300">
        <v>8.793923586</v>
      </c>
      <c r="Z300">
        <v>7.4379358179999997</v>
      </c>
      <c r="AA300">
        <v>5.0333800000000002</v>
      </c>
      <c r="AB300">
        <v>13.989575426</v>
      </c>
      <c r="AC300">
        <v>4.9309896049999997</v>
      </c>
      <c r="AD300">
        <v>10.534505127999999</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5.2175300480000004</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5.4805861509999998</v>
      </c>
      <c r="P301">
        <v>6.989475863</v>
      </c>
      <c r="Q301">
        <v>4.4561605609999999</v>
      </c>
      <c r="R301">
        <v>5.623441015</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9.8604221039999995</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4.5845636750000001</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4.2486724689999997</v>
      </c>
      <c r="P302">
        <v>7.62239267</v>
      </c>
      <c r="Q302">
        <v>0.19542679399999999</v>
      </c>
      <c r="R302">
        <v>4.3125950550000001</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7.6034732140000001</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3.2973618359999999</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2.2786899100000002</v>
      </c>
      <c r="P303">
        <v>4.4340133210000001</v>
      </c>
      <c r="Q303">
        <v>-2.2849290959999999</v>
      </c>
      <c r="R303">
        <v>2.4676737540000002</v>
      </c>
      <c r="T303">
        <v>1.3728796059999999</v>
      </c>
      <c r="U303">
        <v>1.024525965</v>
      </c>
      <c r="V303">
        <v>1.886512475</v>
      </c>
      <c r="X303">
        <v>1.8973918869999999</v>
      </c>
      <c r="Y303">
        <v>2.815397881</v>
      </c>
      <c r="Z303">
        <v>4.0570896899999997</v>
      </c>
      <c r="AA303">
        <v>5.6846399999999999</v>
      </c>
      <c r="AB303">
        <v>10.582239980000001</v>
      </c>
      <c r="AC303">
        <v>5.3686772649999996</v>
      </c>
      <c r="AD303">
        <v>5.6976682849999998</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2.5332499300000002</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c r="K304">
        <v>2.9</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6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10.199999999999999</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7.4</v>
      </c>
      <c r="J3">
        <v>3.1E-2</v>
      </c>
      <c r="K3">
        <v>2.75</v>
      </c>
      <c r="L3">
        <v>5.0000000000000001E-3</v>
      </c>
      <c r="M3">
        <v>10.6</v>
      </c>
      <c r="N3">
        <v>0.11600000000000001</v>
      </c>
      <c r="O3">
        <v>2.83</v>
      </c>
    </row>
    <row r="4" spans="1:15" x14ac:dyDescent="0.35">
      <c r="A4" t="s">
        <v>392</v>
      </c>
      <c r="B4">
        <v>134.37</v>
      </c>
      <c r="C4">
        <v>-2.8</v>
      </c>
      <c r="D4">
        <v>62.5</v>
      </c>
      <c r="E4">
        <v>163</v>
      </c>
      <c r="F4">
        <v>8.0000000000000002E-3</v>
      </c>
      <c r="G4">
        <v>1.6E-2</v>
      </c>
      <c r="H4">
        <v>-7.2</v>
      </c>
      <c r="I4">
        <v>8.6</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13.86</v>
      </c>
      <c r="J5">
        <v>0.26979999999999998</v>
      </c>
      <c r="K5">
        <v>19.5</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7.3</v>
      </c>
      <c r="J8">
        <v>0.03</v>
      </c>
      <c r="K8">
        <v>3.1</v>
      </c>
      <c r="L8">
        <v>1E-3</v>
      </c>
      <c r="M8">
        <v>3.4</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-1.1000000000000001</v>
      </c>
      <c r="I10">
        <v>13.9</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128.5</v>
      </c>
      <c r="E12">
        <v>39</v>
      </c>
      <c r="F12">
        <v>-2.6200000000000001E-2</v>
      </c>
      <c r="G12">
        <v>4.2000000000000003E-2</v>
      </c>
      <c r="H12">
        <v>-35</v>
      </c>
      <c r="I12">
        <v>3.9</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6</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11.5</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407</v>
      </c>
      <c r="B19">
        <v>1.77</v>
      </c>
      <c r="C19">
        <v>-2.1</v>
      </c>
      <c r="D19">
        <v>24.8</v>
      </c>
      <c r="E19">
        <v>23</v>
      </c>
      <c r="F19">
        <v>1.4E-2</v>
      </c>
      <c r="G19">
        <v>2.5999999999999999E-2</v>
      </c>
      <c r="H19">
        <v>-0.3</v>
      </c>
      <c r="I19">
        <v>16.3</v>
      </c>
      <c r="J19">
        <v>4.2999999999999997E-2</v>
      </c>
      <c r="K19">
        <v>3.77</v>
      </c>
      <c r="L19">
        <v>3.44E-2</v>
      </c>
      <c r="M19">
        <v>31.12</v>
      </c>
      <c r="N19">
        <v>0.31730000000000003</v>
      </c>
      <c r="O19">
        <v>3.46</v>
      </c>
    </row>
    <row r="20" spans="1:15" x14ac:dyDescent="0.35">
      <c r="A20" t="s">
        <v>408</v>
      </c>
      <c r="B20">
        <v>11.03</v>
      </c>
      <c r="C20">
        <v>-0.5</v>
      </c>
      <c r="D20">
        <v>24.2</v>
      </c>
      <c r="E20">
        <v>18</v>
      </c>
      <c r="F20">
        <v>0.04</v>
      </c>
      <c r="G20">
        <v>6.3E-2</v>
      </c>
      <c r="H20">
        <v>-5.0999999999999996</v>
      </c>
      <c r="I20">
        <v>12.4</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8.3000000000000007</v>
      </c>
      <c r="N21">
        <v>0.126</v>
      </c>
      <c r="O21">
        <v>213.32</v>
      </c>
    </row>
    <row r="22" spans="1:15" x14ac:dyDescent="0.35">
      <c r="A22" t="s">
        <v>410</v>
      </c>
      <c r="B22">
        <v>1.35</v>
      </c>
      <c r="C22">
        <v>4.5999999999999996</v>
      </c>
      <c r="D22">
        <v>1.8</v>
      </c>
      <c r="E22">
        <v>14</v>
      </c>
      <c r="G22">
        <v>9.0000000000000011E-3</v>
      </c>
      <c r="H22">
        <v>-19.3</v>
      </c>
      <c r="I22">
        <v>3.1</v>
      </c>
      <c r="J22">
        <v>2.1999999999999999E-2</v>
      </c>
      <c r="K22">
        <v>5.5</v>
      </c>
      <c r="L22">
        <v>5.5E-2</v>
      </c>
      <c r="M22">
        <v>4.9000000000000004</v>
      </c>
      <c r="N22">
        <v>8.4000000000000005E-2</v>
      </c>
      <c r="O22">
        <v>0.43</v>
      </c>
    </row>
    <row r="23" spans="1:15" x14ac:dyDescent="0.35">
      <c r="A23" t="s">
        <v>411</v>
      </c>
      <c r="B23">
        <v>1.66</v>
      </c>
      <c r="C23">
        <v>-0.4</v>
      </c>
      <c r="D23">
        <v>22.4</v>
      </c>
      <c r="E23">
        <v>84</v>
      </c>
      <c r="F23">
        <v>6.0000000000000001E-3</v>
      </c>
      <c r="G23">
        <v>3.3000000000000002E-2</v>
      </c>
      <c r="H23">
        <v>-3.9</v>
      </c>
      <c r="I23">
        <v>16.899999999999999</v>
      </c>
      <c r="J23">
        <v>7.2999999999999995E-2</v>
      </c>
      <c r="K23">
        <v>0.59</v>
      </c>
      <c r="L23">
        <v>0</v>
      </c>
      <c r="M23">
        <v>4.4000000000000004</v>
      </c>
      <c r="N23">
        <v>4.7E-2</v>
      </c>
      <c r="O23">
        <v>6.52</v>
      </c>
    </row>
    <row r="24" spans="1:15" x14ac:dyDescent="0.35">
      <c r="A24" t="s">
        <v>412</v>
      </c>
      <c r="B24">
        <v>588.96</v>
      </c>
      <c r="C24">
        <v>5.2</v>
      </c>
      <c r="D24">
        <v>51</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26.8</v>
      </c>
      <c r="J25">
        <v>9.8699999999999996E-2</v>
      </c>
      <c r="K25">
        <v>5.93</v>
      </c>
      <c r="L25">
        <v>7.0599999999999996E-2</v>
      </c>
      <c r="M25">
        <v>1.8</v>
      </c>
      <c r="N25">
        <v>8.0000000000000002E-3</v>
      </c>
      <c r="O25">
        <v>12.26</v>
      </c>
    </row>
    <row r="26" spans="1:15" x14ac:dyDescent="0.35">
      <c r="A26" t="s">
        <v>414</v>
      </c>
      <c r="B26">
        <v>4061</v>
      </c>
      <c r="C26">
        <v>-48</v>
      </c>
      <c r="D26">
        <v>38.700000000000003</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4.25</v>
      </c>
      <c r="L28">
        <v>2.5000000000000001E-3</v>
      </c>
      <c r="M28">
        <v>5</v>
      </c>
      <c r="N28">
        <v>0.06</v>
      </c>
      <c r="O28">
        <v>38.44</v>
      </c>
    </row>
    <row r="29" spans="1:15" x14ac:dyDescent="0.35">
      <c r="A29" t="s">
        <v>417</v>
      </c>
      <c r="B29">
        <v>99.94</v>
      </c>
      <c r="C29">
        <v>-11</v>
      </c>
      <c r="D29">
        <v>157</v>
      </c>
      <c r="E29">
        <v>2</v>
      </c>
      <c r="F29">
        <v>2.1000000000000001E-2</v>
      </c>
      <c r="G29">
        <v>0.17100000000000001</v>
      </c>
      <c r="H29">
        <v>-7.6</v>
      </c>
      <c r="I29">
        <v>7.6</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47.6</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58.2</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71.5</v>
      </c>
      <c r="E34">
        <v>17734</v>
      </c>
      <c r="F34">
        <v>0</v>
      </c>
      <c r="G34">
        <v>2.9000000000000001E-2</v>
      </c>
      <c r="H34">
        <v>-3.1</v>
      </c>
      <c r="I34">
        <v>1.8</v>
      </c>
      <c r="J34">
        <v>2.3E-2</v>
      </c>
      <c r="K34">
        <v>3.65</v>
      </c>
      <c r="L34">
        <v>3.7999999999999999E-2</v>
      </c>
      <c r="M34">
        <v>5.5</v>
      </c>
      <c r="N34">
        <v>0.05</v>
      </c>
      <c r="O34">
        <v>1411.75</v>
      </c>
    </row>
    <row r="35" spans="1:15" x14ac:dyDescent="0.35">
      <c r="A35" t="s">
        <v>423</v>
      </c>
      <c r="B35">
        <v>3354</v>
      </c>
      <c r="C35">
        <v>-5.7</v>
      </c>
      <c r="D35">
        <v>64.5</v>
      </c>
      <c r="E35">
        <v>314</v>
      </c>
      <c r="F35">
        <v>1.6E-2</v>
      </c>
      <c r="G35">
        <v>7.0000000000000007E-2</v>
      </c>
      <c r="H35">
        <v>-7.1</v>
      </c>
      <c r="I35">
        <v>13.12</v>
      </c>
      <c r="J35">
        <v>5.2600000000000001E-2</v>
      </c>
      <c r="K35">
        <v>12</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12.7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2.5</v>
      </c>
      <c r="L39">
        <v>2.5000000000000001E-2</v>
      </c>
      <c r="M39">
        <v>6.7</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-5.0999999999999996</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7.83</v>
      </c>
      <c r="J45">
        <v>8.2299999999999998E-2</v>
      </c>
      <c r="K45">
        <v>8.5</v>
      </c>
      <c r="L45">
        <v>0.03</v>
      </c>
      <c r="M45">
        <v>5.2</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1.7000000000000001E-2</v>
      </c>
      <c r="H47">
        <v>-8.9</v>
      </c>
      <c r="I47">
        <v>3.74</v>
      </c>
      <c r="J47">
        <v>1.84E-2</v>
      </c>
      <c r="K47">
        <v>8.5399999999999991</v>
      </c>
      <c r="L47">
        <v>9.3299999999999994E-2</v>
      </c>
      <c r="M47">
        <v>5.4</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171</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33.799999999999997</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5.9</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69.5</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13.24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-2.6</v>
      </c>
      <c r="I61">
        <v>8.6</v>
      </c>
      <c r="J61">
        <v>5.1999999999999998E-2</v>
      </c>
      <c r="K61">
        <v>2.5</v>
      </c>
      <c r="L61">
        <v>0</v>
      </c>
      <c r="M61">
        <v>5.5</v>
      </c>
      <c r="N61">
        <v>5.2999999999999999E-2</v>
      </c>
      <c r="O61">
        <v>83.16</v>
      </c>
    </row>
    <row r="62" spans="1:15" x14ac:dyDescent="0.35">
      <c r="A62" t="s">
        <v>450</v>
      </c>
      <c r="B62">
        <v>5.88</v>
      </c>
      <c r="C62">
        <v>-2.1</v>
      </c>
      <c r="D62">
        <v>81.8</v>
      </c>
      <c r="E62">
        <v>78</v>
      </c>
      <c r="F62">
        <v>1.0999999999999999E-2</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3.7999999999999999E-2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24.2</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9.8000000000000007</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1.8</v>
      </c>
      <c r="J70">
        <v>1.7999999999999999E-2</v>
      </c>
      <c r="K70">
        <v>4.75</v>
      </c>
      <c r="L70">
        <v>8.6E-3</v>
      </c>
      <c r="M70">
        <v>3.7</v>
      </c>
      <c r="N70">
        <v>4.0999999999999988E-2</v>
      </c>
      <c r="O70">
        <v>7.41</v>
      </c>
    </row>
    <row r="71" spans="1:15" x14ac:dyDescent="0.35">
      <c r="A71" t="s">
        <v>459</v>
      </c>
      <c r="B71">
        <v>302.98</v>
      </c>
      <c r="C71">
        <v>-2.9</v>
      </c>
      <c r="D71">
        <v>73.5</v>
      </c>
      <c r="E71">
        <v>182</v>
      </c>
      <c r="F71">
        <v>-4.0000000000000001E-3</v>
      </c>
      <c r="G71">
        <v>0.04</v>
      </c>
      <c r="H71">
        <v>-6.1</v>
      </c>
      <c r="I71">
        <v>24.5</v>
      </c>
      <c r="J71">
        <v>7.400000000000001E-2</v>
      </c>
      <c r="K71">
        <v>13</v>
      </c>
      <c r="L71">
        <v>2.4E-2</v>
      </c>
      <c r="M71">
        <v>3.8</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41.2</v>
      </c>
      <c r="E74">
        <v>1186</v>
      </c>
      <c r="F74">
        <v>1.8100000000000002E-2</v>
      </c>
      <c r="G74">
        <v>5.7200000000000001E-2</v>
      </c>
      <c r="H74">
        <v>-2.38</v>
      </c>
      <c r="I74">
        <v>5.51</v>
      </c>
      <c r="J74">
        <v>1.7500000000000002E-2</v>
      </c>
      <c r="K74">
        <v>5.5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59.3</v>
      </c>
      <c r="E76">
        <v>208</v>
      </c>
      <c r="G76">
        <v>5.8999999999999997E-2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-1.7</v>
      </c>
      <c r="I77">
        <v>8.1999999999999993</v>
      </c>
      <c r="J77">
        <v>5.2999999999999999E-2</v>
      </c>
      <c r="K77">
        <v>2.5</v>
      </c>
      <c r="L77">
        <v>0</v>
      </c>
      <c r="M77">
        <v>4.3</v>
      </c>
      <c r="N77">
        <v>5.1999999999999998E-2</v>
      </c>
      <c r="O77">
        <v>5.01</v>
      </c>
    </row>
    <row r="78" spans="1:15" x14ac:dyDescent="0.35">
      <c r="A78" t="s">
        <v>466</v>
      </c>
      <c r="B78">
        <v>3.28</v>
      </c>
      <c r="C78">
        <v>4.7</v>
      </c>
      <c r="D78">
        <v>68.8</v>
      </c>
      <c r="E78">
        <v>489</v>
      </c>
      <c r="F78">
        <v>5.0000000000000001E-3</v>
      </c>
      <c r="G78">
        <v>5.8299999999999998E-2</v>
      </c>
      <c r="H78">
        <v>0.6</v>
      </c>
      <c r="I78">
        <v>5.3</v>
      </c>
      <c r="J78">
        <v>2.4E-2</v>
      </c>
      <c r="K78">
        <v>3.75</v>
      </c>
      <c r="L78">
        <v>1E-3</v>
      </c>
      <c r="M78">
        <v>4.3</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5.7</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10.3</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-5.9</v>
      </c>
      <c r="I82">
        <v>3.8</v>
      </c>
      <c r="J82">
        <v>1E-3</v>
      </c>
      <c r="K82">
        <v>-0.1</v>
      </c>
      <c r="L82">
        <v>-1E-3</v>
      </c>
      <c r="M82">
        <v>2.5</v>
      </c>
      <c r="N82">
        <v>2.7E-2</v>
      </c>
      <c r="O82">
        <v>125.31</v>
      </c>
    </row>
    <row r="83" spans="1:15" x14ac:dyDescent="0.35">
      <c r="A83" t="s">
        <v>471</v>
      </c>
      <c r="B83">
        <v>0.71</v>
      </c>
      <c r="C83">
        <v>-8.8000000000000007</v>
      </c>
      <c r="D83">
        <v>89.4</v>
      </c>
      <c r="E83">
        <v>46</v>
      </c>
      <c r="G83">
        <v>2.5999999999999999E-2</v>
      </c>
      <c r="H83">
        <v>-5.4</v>
      </c>
      <c r="I83">
        <v>4.3499999999999996</v>
      </c>
      <c r="J83">
        <v>1.7000000000000001E-2</v>
      </c>
      <c r="K83">
        <v>6.5</v>
      </c>
      <c r="L83">
        <v>2.5000000000000001E-2</v>
      </c>
      <c r="M83">
        <v>23.1</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-6.2</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8.6999999999999993</v>
      </c>
      <c r="E87">
        <v>106</v>
      </c>
      <c r="F87">
        <v>4.7E-2</v>
      </c>
      <c r="G87">
        <v>1.2999999999999999E-2</v>
      </c>
      <c r="H87">
        <v>-0.5</v>
      </c>
      <c r="I87">
        <v>3.2</v>
      </c>
      <c r="J87">
        <v>3.3599999999999998E-2</v>
      </c>
      <c r="K87">
        <v>3.5</v>
      </c>
      <c r="L87">
        <v>1.4999999999999999E-2</v>
      </c>
      <c r="M87">
        <v>3.7</v>
      </c>
      <c r="N87">
        <v>2.3E-2</v>
      </c>
      <c r="O87">
        <v>4.33</v>
      </c>
    </row>
    <row r="88" spans="1:15" x14ac:dyDescent="0.35">
      <c r="A88" t="s">
        <v>476</v>
      </c>
      <c r="B88">
        <v>69.989999999999995</v>
      </c>
      <c r="C88">
        <v>-8.5</v>
      </c>
      <c r="D88">
        <v>60.3</v>
      </c>
      <c r="E88">
        <v>9</v>
      </c>
      <c r="G88">
        <v>7.22E-2</v>
      </c>
      <c r="H88">
        <v>-0.2</v>
      </c>
      <c r="I88">
        <v>14.7</v>
      </c>
      <c r="J88">
        <v>0.123</v>
      </c>
      <c r="K88">
        <v>13</v>
      </c>
      <c r="L88">
        <v>0.08</v>
      </c>
      <c r="M88">
        <v>2.8</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142.37</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8.5</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8.9</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4.9000000000000004</v>
      </c>
      <c r="N97">
        <v>5.2999999999999999E-2</v>
      </c>
      <c r="O97">
        <v>0.63</v>
      </c>
    </row>
    <row r="98" spans="1:15" x14ac:dyDescent="0.35">
      <c r="A98" t="s">
        <v>486</v>
      </c>
      <c r="B98">
        <v>8.0299999999999994</v>
      </c>
      <c r="C98">
        <v>13.8</v>
      </c>
      <c r="E98">
        <v>30</v>
      </c>
      <c r="G98">
        <v>-0.33400000000000002</v>
      </c>
      <c r="I98">
        <v>0.76</v>
      </c>
      <c r="J98">
        <v>1.21E-2</v>
      </c>
      <c r="K98">
        <v>4.75</v>
      </c>
      <c r="L98">
        <v>5.0000000000000001E-3</v>
      </c>
      <c r="M98">
        <v>3.7</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25.8</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4</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-7.8</v>
      </c>
      <c r="I105">
        <v>7.3</v>
      </c>
      <c r="J105">
        <v>2.4E-2</v>
      </c>
      <c r="K105">
        <v>2.5</v>
      </c>
      <c r="L105">
        <v>0</v>
      </c>
      <c r="M105">
        <v>2.9</v>
      </c>
      <c r="N105">
        <v>3.5999999999999997E-2</v>
      </c>
      <c r="O105">
        <v>0.52</v>
      </c>
    </row>
    <row r="106" spans="1:15" x14ac:dyDescent="0.35">
      <c r="A106" t="s">
        <v>494</v>
      </c>
      <c r="B106">
        <v>357.3</v>
      </c>
      <c r="C106">
        <v>-7.6</v>
      </c>
      <c r="D106">
        <v>44.2</v>
      </c>
      <c r="E106">
        <v>10</v>
      </c>
      <c r="G106">
        <v>3.9E-2</v>
      </c>
      <c r="H106">
        <v>-0.4</v>
      </c>
      <c r="I106">
        <v>11</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-2.3E-2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13.2</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19.989999999999998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130</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3.6</v>
      </c>
      <c r="N118">
        <v>2.7E-2</v>
      </c>
      <c r="O118">
        <v>17.48</v>
      </c>
    </row>
    <row r="119" spans="1:15" ht="16" customHeight="1" thickBot="1" x14ac:dyDescent="0.4">
      <c r="A119" t="s">
        <v>507</v>
      </c>
      <c r="B119">
        <v>107</v>
      </c>
      <c r="E119">
        <v>9</v>
      </c>
      <c r="G119">
        <v>-0.03</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21.34</v>
      </c>
      <c r="J123">
        <v>0.154</v>
      </c>
      <c r="K123">
        <v>16.5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3.2</v>
      </c>
      <c r="N124">
        <v>4.2000000000000003E-2</v>
      </c>
      <c r="O124">
        <v>5.43</v>
      </c>
    </row>
    <row r="125" spans="1:15" ht="16" customHeight="1" thickBot="1" x14ac:dyDescent="0.4">
      <c r="A125" t="s">
        <v>513</v>
      </c>
      <c r="B125">
        <v>0.38</v>
      </c>
      <c r="C125">
        <v>-5</v>
      </c>
      <c r="D125">
        <v>67.7</v>
      </c>
      <c r="E125">
        <v>88</v>
      </c>
      <c r="G125">
        <v>2.1000000000000001E-2</v>
      </c>
      <c r="H125">
        <v>-2.6</v>
      </c>
      <c r="I125">
        <v>2.06</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16</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2.0699999999999998</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6.25</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7.75</v>
      </c>
      <c r="L131">
        <v>2.5000000000000001E-2</v>
      </c>
      <c r="M131">
        <v>7.1</v>
      </c>
      <c r="N131">
        <v>9.0999999999999998E-2</v>
      </c>
      <c r="O131">
        <v>32.78</v>
      </c>
    </row>
    <row r="132" spans="1:15" x14ac:dyDescent="0.35">
      <c r="A132" t="s">
        <v>520</v>
      </c>
      <c r="B132">
        <v>50.07</v>
      </c>
      <c r="C132">
        <v>-1.8</v>
      </c>
      <c r="D132">
        <v>60.4</v>
      </c>
      <c r="E132">
        <v>394</v>
      </c>
      <c r="F132">
        <v>2.9000000000000001E-2</v>
      </c>
      <c r="G132">
        <v>7.5999999999999998E-2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-1.8</v>
      </c>
      <c r="I133">
        <v>16.600000000000001</v>
      </c>
      <c r="J133">
        <v>7.8E-2</v>
      </c>
      <c r="K133">
        <v>6.75</v>
      </c>
      <c r="L133">
        <v>1.7500000000000002E-2</v>
      </c>
      <c r="M133">
        <v>5.0999999999999996</v>
      </c>
      <c r="N133">
        <v>5.5E-2</v>
      </c>
      <c r="O133">
        <v>37.840000000000003</v>
      </c>
    </row>
    <row r="134" spans="1:15" x14ac:dyDescent="0.35">
      <c r="A134" t="s">
        <v>522</v>
      </c>
      <c r="B134">
        <v>1.1100000000000001</v>
      </c>
      <c r="C134">
        <v>-1.1000000000000001</v>
      </c>
      <c r="D134">
        <v>127.4</v>
      </c>
      <c r="E134">
        <v>254</v>
      </c>
      <c r="F134">
        <v>4.0000000000000001E-3</v>
      </c>
      <c r="G134">
        <v>4.9000000000000002E-2</v>
      </c>
      <c r="H134">
        <v>-2.9</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6.2</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5.93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16.37</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11.9</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3.3</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12.8</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35.049999999999997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6.7</v>
      </c>
      <c r="J147">
        <v>3.2000000000000001E-2</v>
      </c>
      <c r="K147">
        <v>3.36</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-5.5</v>
      </c>
      <c r="I148">
        <v>15.4</v>
      </c>
      <c r="J148">
        <v>5.5999999999999987E-2</v>
      </c>
      <c r="K148">
        <v>2.5</v>
      </c>
      <c r="L148">
        <v>0</v>
      </c>
      <c r="M148">
        <v>5.8</v>
      </c>
      <c r="N148">
        <v>6.6000000000000003E-2</v>
      </c>
      <c r="O148">
        <v>5.46</v>
      </c>
    </row>
    <row r="149" spans="1:15" x14ac:dyDescent="0.35">
      <c r="A149" t="s">
        <v>537</v>
      </c>
      <c r="B149">
        <v>1.1100000000000001</v>
      </c>
      <c r="C149">
        <v>3.3</v>
      </c>
      <c r="D149">
        <v>74.7</v>
      </c>
      <c r="E149">
        <v>62</v>
      </c>
      <c r="F149">
        <v>-1.4E-2</v>
      </c>
      <c r="G149">
        <v>3.4000000000000002E-2</v>
      </c>
      <c r="H149">
        <v>-4.7</v>
      </c>
      <c r="I149">
        <v>10.3</v>
      </c>
      <c r="J149">
        <v>4.5999999999999999E-2</v>
      </c>
      <c r="K149">
        <v>2.5</v>
      </c>
      <c r="L149">
        <v>0</v>
      </c>
      <c r="M149">
        <v>5.4</v>
      </c>
      <c r="N149">
        <v>6.8000000000000005E-2</v>
      </c>
      <c r="O149">
        <v>2.11</v>
      </c>
    </row>
    <row r="150" spans="1:15" ht="16" customHeight="1" thickBot="1" x14ac:dyDescent="0.4">
      <c r="A150" t="s">
        <v>538</v>
      </c>
      <c r="B150">
        <v>578.5</v>
      </c>
      <c r="E150">
        <v>8</v>
      </c>
      <c r="G150">
        <v>2.9000000000000001E-2</v>
      </c>
      <c r="I150">
        <v>6.1</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7.2</v>
      </c>
      <c r="J151">
        <v>5.5E-2</v>
      </c>
      <c r="K151">
        <v>7</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3.0000000000000001E-3</v>
      </c>
      <c r="G152">
        <v>3.1E-2</v>
      </c>
      <c r="H152">
        <v>-5.6</v>
      </c>
      <c r="I152">
        <v>5</v>
      </c>
      <c r="J152">
        <v>3.7000000000000012E-2</v>
      </c>
      <c r="K152">
        <v>3.5</v>
      </c>
      <c r="L152">
        <v>0.01</v>
      </c>
      <c r="M152">
        <v>3.3</v>
      </c>
      <c r="N152">
        <v>3.1E-2</v>
      </c>
      <c r="O152">
        <v>51.74</v>
      </c>
    </row>
    <row r="153" spans="1:15" ht="16" customHeight="1" thickBot="1" x14ac:dyDescent="0.4">
      <c r="A153" t="s">
        <v>541</v>
      </c>
      <c r="B153">
        <v>175.31</v>
      </c>
      <c r="E153">
        <v>1</v>
      </c>
      <c r="G153">
        <v>-0.06</v>
      </c>
      <c r="I153">
        <v>-11.57</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1E-3</v>
      </c>
      <c r="G154">
        <v>4.3999999999999997E-2</v>
      </c>
      <c r="H154">
        <v>-6.9</v>
      </c>
      <c r="I154">
        <v>5.7</v>
      </c>
      <c r="J154">
        <v>5.5E-2</v>
      </c>
      <c r="K154">
        <v>2.5</v>
      </c>
      <c r="L154">
        <v>0</v>
      </c>
      <c r="M154">
        <v>12.67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49.4</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-0.1</v>
      </c>
      <c r="I159">
        <v>12.3</v>
      </c>
      <c r="J159">
        <v>3.3000000000000002E-2</v>
      </c>
      <c r="K159">
        <v>2.5</v>
      </c>
      <c r="L159">
        <v>0</v>
      </c>
      <c r="M159">
        <v>6.4</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2.71</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1.25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-5.9</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10.5</v>
      </c>
      <c r="J174">
        <v>5.0999999999999997E-2</v>
      </c>
      <c r="K174">
        <v>3.5</v>
      </c>
      <c r="L174">
        <v>2.5000000000000001E-3</v>
      </c>
      <c r="M174">
        <v>3.7</v>
      </c>
      <c r="N174">
        <v>4.2000000000000003E-2</v>
      </c>
      <c r="O174">
        <v>67.53</v>
      </c>
    </row>
    <row r="175" spans="1:15" ht="16" customHeight="1" thickBot="1" x14ac:dyDescent="0.4">
      <c r="A175" t="s">
        <v>563</v>
      </c>
      <c r="B175">
        <v>98.56</v>
      </c>
      <c r="C175">
        <v>-3.6</v>
      </c>
      <c r="D175">
        <v>137.19999999999999</v>
      </c>
      <c r="E175">
        <v>23315</v>
      </c>
      <c r="F175">
        <v>3.2000000000000001E-2</v>
      </c>
      <c r="G175">
        <v>1.9E-2</v>
      </c>
      <c r="H175">
        <v>-16.7</v>
      </c>
      <c r="I175">
        <v>6.5</v>
      </c>
      <c r="J175">
        <v>6.8000000000000005E-2</v>
      </c>
      <c r="K175">
        <v>4.5</v>
      </c>
      <c r="L175">
        <v>2.5000000000000001E-3</v>
      </c>
      <c r="M175">
        <v>3.5</v>
      </c>
      <c r="N175">
        <v>4.2000000000000003E-2</v>
      </c>
      <c r="O175">
        <v>332.4</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7.8</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9.9</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tabSelected="1" zoomScale="124" zoomScaleNormal="130" workbookViewId="0">
      <pane xSplit="2" ySplit="9" topLeftCell="C96" activePane="bottomRight" state="frozen"/>
      <selection activeCell="F175" sqref="F175"/>
      <selection pane="topRight" activeCell="F175" sqref="F175"/>
      <selection pane="bottomLeft" activeCell="F175" sqref="F175"/>
      <selection pane="bottomRight" activeCell="F100" sqref="F100"/>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14.211080344999999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-14.237673179</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0.85266705058333336</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-11.932390434999999</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-3.2018962409999996</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1.6925816250000001</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1.6925816250000001</v>
      </c>
      <c r="AF71" s="27">
        <f t="shared" si="12"/>
        <v>1.0314647279999998</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1.9622311450000001</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1.9622311450000001</v>
      </c>
      <c r="AF72" s="27">
        <f t="shared" si="12"/>
        <v>0.51603291900000015</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1.8840087590000001</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1.8840087590000001</v>
      </c>
      <c r="AF73" s="27">
        <f t="shared" si="12"/>
        <v>0.25989697199999973</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1.991873166</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1.991873166</v>
      </c>
      <c r="AF74" s="27">
        <f t="shared" si="12"/>
        <v>0.24134733499999994</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1.908904725</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1.908904725</v>
      </c>
      <c r="AF75" s="27">
        <f t="shared" si="12"/>
        <v>0.27614289699999994</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1.6787829460000001</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1.6787829460000001</v>
      </c>
      <c r="AF76" s="27">
        <f t="shared" si="12"/>
        <v>0.50279146899999994</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1.7395868969999999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1.7395868969999999</v>
      </c>
      <c r="AF77" s="27">
        <f t="shared" si="12"/>
        <v>0.45288365900000005</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2.0383692299999998</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2.0383692299999998</v>
      </c>
      <c r="AF78" s="27">
        <f t="shared" ref="AF78:AF109" si="16">AD78-AE78</f>
        <v>6.4106095000000085E-2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2.1673664010000002</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2.1673664010000002</v>
      </c>
      <c r="AF79" s="27">
        <f t="shared" si="16"/>
        <v>0.31535642799999986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2.7329836759999999</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2.7329836759999999</v>
      </c>
      <c r="AF80" s="27">
        <f t="shared" si="16"/>
        <v>-0.34523697099999984</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3.0388699159999999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3.0388699159999999</v>
      </c>
      <c r="AF81" s="27">
        <f t="shared" si="16"/>
        <v>-0.57535076500000004</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3.0920472970000001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3.0920472970000001</v>
      </c>
      <c r="AF82" s="27">
        <f t="shared" si="16"/>
        <v>-0.65156362700000026</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2.3891616579999999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2.3891616579999999</v>
      </c>
      <c r="AF83" s="27">
        <f t="shared" si="16"/>
        <v>-0.54802551199999994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2.1358013900000001</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2.1358013900000001</v>
      </c>
      <c r="AF84" s="27">
        <f t="shared" si="16"/>
        <v>-0.37707814500000003</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1.358109295</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1.358109295</v>
      </c>
      <c r="AF85" s="27">
        <f t="shared" si="16"/>
        <v>0.440962152</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1.1946844830000001</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1.1946844830000001</v>
      </c>
      <c r="AF86" s="27">
        <f t="shared" si="16"/>
        <v>0.22992439499999984</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1.833917569</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1.833917569</v>
      </c>
      <c r="AF87" s="27">
        <f t="shared" si="16"/>
        <v>7.7406501000000016E-2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1.6053524079999999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1.6053524079999999</v>
      </c>
      <c r="AF88" s="27">
        <f t="shared" si="16"/>
        <v>-4.3907361999999894E-2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1.807275508</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1.807275508</v>
      </c>
      <c r="AF89" s="27">
        <f t="shared" si="16"/>
        <v>-0.19021264400000004</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1.1691736129999999</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1.1691736129999999</v>
      </c>
      <c r="AF90" s="27">
        <f t="shared" si="16"/>
        <v>0.16177449600000005</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-2.8442276610000001</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-2.8442276610000001</v>
      </c>
      <c r="AF91" s="27">
        <f t="shared" si="16"/>
        <v>0.88120981900000017</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-14.237673179</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-14.237673179</v>
      </c>
      <c r="AF92" s="27">
        <f t="shared" si="16"/>
        <v>-8.3897344450000002</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-3.8445467359999999</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-3.8445467359999999</v>
      </c>
      <c r="AF93" s="27">
        <f t="shared" si="16"/>
        <v>-6.4801309020000009</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-4.1119206720000001</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-4.1119206720000001</v>
      </c>
      <c r="AF94" s="27">
        <f t="shared" si="16"/>
        <v>-5.1014067470000004</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-0.83579305500000001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-0.83579305500000001</v>
      </c>
      <c r="AF95" s="27">
        <f t="shared" si="16"/>
        <v>-6.8968400839999999</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14.211080344999999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14.211080344999999</v>
      </c>
      <c r="AF96" s="27">
        <f t="shared" si="16"/>
        <v>10.194307409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3.9433916029999998</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3.9433916029999998</v>
      </c>
      <c r="AF97" s="27">
        <f t="shared" si="16"/>
        <v>4.5923048790000003</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4.7745718190000002</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4.7745718190000002</v>
      </c>
      <c r="AF98" s="27">
        <f t="shared" si="16"/>
        <v>4.094764413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5.4805861509999998</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5.4805861509999998</v>
      </c>
      <c r="AF99" s="27">
        <f t="shared" si="16"/>
        <v>5.227686449000001</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4.2486724689999997</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4.2486724689999997</v>
      </c>
      <c r="AF100" s="27">
        <f t="shared" si="16"/>
        <v>-0.26021433199999988</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2.2786899100000002</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2.2786899100000002</v>
      </c>
      <c r="AF101" s="27">
        <f t="shared" si="16"/>
        <v>-0.38129802300000026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82" activePane="bottomLeft" state="frozen"/>
      <selection activeCell="F175" sqref="F175"/>
      <selection pane="bottomLeft" activeCell="F99" sqref="F99"/>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12.351114000000001</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-11.450082</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1.1833333333333333</v>
      </c>
      <c r="E6" s="13">
        <f t="shared" ca="1" si="2"/>
        <v>0.34960583333333334</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2.2999999999999998</v>
      </c>
      <c r="E8" s="13">
        <f t="shared" si="4"/>
        <v>-1.667799</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2.5999999999999996</v>
      </c>
      <c r="E9" s="13">
        <f t="shared" si="5"/>
        <v>-0.29291300000000003</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0.917628</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0.917628</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0.55781800000000004</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0.55781800000000004</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0.68317499999999998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0.68317499999999998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0.104002</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0.104002</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0.13954800000000001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0.13954800000000001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-0.31859399999999999</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-0.31859399999999999</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8.9718999999999993E-2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8.9718999999999993E-2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0.50619899999999995</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0.50619899999999995</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0.61320600000000003</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0.61320600000000003</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0.61543800000000004</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0.61543800000000004</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0.60006000000000004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0.60006000000000004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0.51700299999999999</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0.51700299999999999</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-0.33751700000000001</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-0.33751700000000001</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-3.0935969999999999</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-3.0935969999999999</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-2.4795999999999999E-2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-2.4795999999999999E-2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0.44192399999999998</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0.44192399999999998</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0.96978500000000001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0.96978500000000001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0.59082299999999999</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0.59082299999999999</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-2.2478999999999999E-2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-2.2478999999999999E-2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-0.21496599999999999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-0.21496599999999999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-0.26388400000000001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-0.26388400000000001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-0.33240700000000001</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-0.33240700000000001</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0.51473599999999997</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0.51473599999999997</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0.41415299999999999</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0.41415299999999999</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0.19501299999999999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0.19501299999999999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0.355854</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0.355854</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0.416823</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0.46210099999999998</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0.55582699999999996</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0.23383999999999999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0.757131</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0.68294999999999995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-3.5100000000000001E-3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0.53935200000000005</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8.7019999999999997E-3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0.64659100000000003</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0.62815399999999999</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0.313693</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0.207452</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1.5764E-2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-3.363785</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-11.450082</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12.351114000000001</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0.9</v>
      </c>
      <c r="E94" s="25">
        <f>IF(VLOOKUP(B94,'Data qoq'!$A:$AT,MATCH($E$1,'Data qoq'!$A$1:$AT$1,),)=0,#N/A,VLOOKUP(B94,'Data qoq'!$A:$AT,MATCH($E$1,'Data qoq'!$A$1:$AT$1,),))</f>
        <v>-6.2096999999999999E-2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1.6</v>
      </c>
      <c r="E95" s="25">
        <f>IF(VLOOKUP(B95,'Data qoq'!$A:$AT,MATCH($E$1,'Data qoq'!$A$1:$AT$1,),)=0,#N/A,VLOOKUP(B95,'Data qoq'!$A:$AT,MATCH($E$1,'Data qoq'!$A$1:$AT$1,),))</f>
        <v>1.9862120000000001</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0.3</v>
      </c>
      <c r="E96" s="25">
        <f>IF(VLOOKUP(B96,'Data qoq'!$A:$AT,MATCH($E$1,'Data qoq'!$A$1:$AT$1,),)=0,#N/A,VLOOKUP(B96,'Data qoq'!$A:$AT,MATCH($E$1,'Data qoq'!$A$1:$AT$1,),))</f>
        <v>2.2506379999999999</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1.5</v>
      </c>
      <c r="E97" s="25">
        <f>IF(VLOOKUP(B97,'Data qoq'!$A:$AT,MATCH($E$1,'Data qoq'!$A$1:$AT$1,),)=0,#N/A,VLOOKUP(B97,'Data qoq'!$A:$AT,MATCH($E$1,'Data qoq'!$A$1:$AT$1,),))</f>
        <v>0.53520599999999996</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1.3</v>
      </c>
      <c r="E98" s="25">
        <f>IF(VLOOKUP(B98,'Data qoq'!$A:$AT,MATCH($E$1,'Data qoq'!$A$1:$AT$1,),)=0,#N/A,VLOOKUP(B98,'Data qoq'!$A:$AT,MATCH($E$1,'Data qoq'!$A$1:$AT$1,),))</f>
        <v>0.61132600000000004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-2.4</v>
      </c>
      <c r="E99" s="25">
        <f>IF(VLOOKUP(B99,'Data qoq'!$A:$AT,MATCH($E$1,'Data qoq'!$A$1:$AT$1,),)=0,#N/A,VLOOKUP(B99,'Data qoq'!$A:$AT,MATCH($E$1,'Data qoq'!$A$1:$AT$1,),))</f>
        <v>0.79510899999999995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0.318413</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B102" sqref="B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0.59334393590629042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-0.38517339324294853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6.5343088659249871E-2</v>
      </c>
      <c r="E6" s="29">
        <f t="shared" ca="1" si="2"/>
        <v>2.7846124710143905E-2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9.9813139904999293E-2</v>
      </c>
      <c r="E8" s="28">
        <f t="shared" si="4"/>
        <v>-6.9049519889268884E-2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0.1123427728799995</v>
      </c>
      <c r="E9" s="29">
        <f t="shared" si="5"/>
        <v>-1.1880705603879216E-2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3.7213442500295457E-2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1.0758095395071221E-2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2.2500111805537015E-2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1.9420191454220248E-3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2.7608314454551808E-2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1.0335933652895646E-2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4.1665743504881725E-3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-2.3463464471076279E-3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5.593615060407009E-3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-8.3718133128023453E-3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-1.2682987966759041E-2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-3.8257513312005886E-2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3.5935925887968789E-3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-3.1101087640915237E-2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2.0402221941655085E-2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2.4934228260040658E-3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2.4754776687785585E-2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3.4231628199468123E-3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2.4845712216593707E-2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-1.355485872740636E-2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4.777767399075894E-2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3.0197415501274527E-2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2.4219308757904123E-2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-1.8068210461937628E-2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2.0841048738930334E-2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1.3116481518864465E-3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-1.3432483031729725E-2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5.4883314142200046E-3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-0.11811918577654923</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-4.2713168772465893E-2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-9.9147115600917157E-4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1.0430724361161436E-2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1.7794483699885122E-2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-2.074333148960128E-2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3.9359346877832824E-2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-7.1812448082047009E-3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2.384318926754192E-2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1.8336416514152631E-2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-8.9885686216784055E-4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-3.1224145392377833E-3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-8.5709534845958002E-3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-4.2206340607699677E-2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-1.051365259423831E-2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-8.2739930835532549E-3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-1.3230130146186792E-2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-2.2637971394575906E-2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2.0748958115517357E-2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-6.6878386913273857E-3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1.6669318065221317E-2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-2.1349531098070473E-2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7.8233677219965436E-3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-2.7607259030827391E-2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1.990361616025349E-2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-1.0830011128105665E-2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1.4310319652059755E-2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-1.1971183756516401E-2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1.6777454827527238E-2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-5.6986560394833852E-4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1.8612557559765097E-2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-1.126318440898455E-2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2.2419134023716758E-2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7.7235786450007282E-3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9.3864598638164765E-3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-1.603057445406364E-2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3.0630927790183282E-2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4.3782138138157567E-3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2.7599128765058101E-2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-2.2966922466889361E-3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-1.4039260811271603E-4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-6.1445081818141123E-3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2.1749248785412068E-2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3.4310586759089823E-3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3.4812543751860936E-4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-2.2069385134569242E-2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2.6115571007534033E-2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1.5788875003985625E-2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2.5363899447151672E-2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-9.0062850415906226E-5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1.2606885549484748E-2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8.2010874143150225E-3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8.3239375297969875E-3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-1.6335028259095274E-2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6.3070911788809525E-4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1.6348189275856573E-3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-0.12791333555628936</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-2.6391400649447783E-2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-0.38517339324294853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0.22515562321482807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0.59334393590629042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-0.25559487142960413</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-1.045253755067721E-2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-5.9899057456141547E-2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3.648892256099967E-2</v>
      </c>
      <c r="E95" s="32">
        <f>IF((((VLOOKUP(B95,'Data qoq'!$A:$AT,MATCH($E$1,'Data qoq'!$A$1:$AT$1,),))/100+1)^4)-1=0,#N/A,(((VLOOKUP(B95,'Data qoq'!$A:$AT,MATCH($E$1,'Data qoq'!$A$1:$AT$1,),))/100+1)^4)-1)</f>
        <v>-2.4815673351994416E-3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3.897545475600761E-2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6.5552449536000035E-2</v>
      </c>
      <c r="E96" s="32">
        <f>IF((((VLOOKUP(B96,'Data qoq'!$A:$AT,MATCH($E$1,'Data qoq'!$A$1:$AT$1,),))/100+1)^4)-1=0,#N/A,(((VLOOKUP(B96,'Data qoq'!$A:$AT,MATCH($E$1,'Data qoq'!$A$1:$AT$1,),))/100+1)^4)-1)</f>
        <v>8.1847001226752703E-2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-0.20599420608150409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1.2054108080999493E-2</v>
      </c>
      <c r="E97" s="32">
        <f>IF((((VLOOKUP(B97,'Data qoq'!$A:$AT,MATCH($E$1,'Data qoq'!$A$1:$AT$1,),))/100+1)^4)-1=0,#N/A,(((VLOOKUP(B97,'Data qoq'!$A:$AT,MATCH($E$1,'Data qoq'!$A$1:$AT$1,),))/100+1)^4)-1)</f>
        <v>9.3110600693592893E-2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2.1946100616095698E-2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6.136355062499943E-2</v>
      </c>
      <c r="E98" s="32">
        <f>IF((((VLOOKUP(B98,'Data qoq'!$A:$AT,MATCH($E$1,'Data qoq'!$A$1:$AT$1,),))/100+1)^4)-1=0,#N/A,(((VLOOKUP(B98,'Data qoq'!$A:$AT,MATCH($E$1,'Data qoq'!$A$1:$AT$1,),))/100+1)^4)-1)</f>
        <v>2.1580721327292718E-2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-4.0829455135928283E-2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5.302281656099983E-2</v>
      </c>
      <c r="E99" s="32">
        <f>IF((((VLOOKUP(B99,'Data qoq'!$A:$AT,MATCH($E$1,'Data qoq'!$A$1:$AT$1,),))/100+1)^4)-1=0,#N/A,(((VLOOKUP(B99,'Data qoq'!$A:$AT,MATCH($E$1,'Data qoq'!$A$1:$AT$1,),))/100+1)^4)-1)</f>
        <v>2.4678186941363034E-2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-2.8811564920228072E-4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-9.2598964224000047E-2</v>
      </c>
      <c r="E100" s="32">
        <f>IF((((VLOOKUP(B100,'Data qoq'!$A:$AT,MATCH($E$1,'Data qoq'!$A$1:$AT$1,),))/100+1)^4)-1=0,#N/A,(((VLOOKUP(B100,'Data qoq'!$A:$AT,MATCH($E$1,'Data qoq'!$A$1:$AT$1,),))/100+1)^4)-1)</f>
        <v>3.2185693656177738E-2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2.9689863553284068E-2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1.2797481337483818E-2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2.5227482021169534E-2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70" zoomScaleNormal="170" workbookViewId="0">
      <selection activeCell="K16" sqref="K16"/>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4" width="9.1796875" style="72" customWidth="1"/>
    <col min="35"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0.21079898375270109</v>
      </c>
      <c r="D3" s="33">
        <f>VLOOKUP(B3,'Data World GDP'!$A$2:$L$182,7,FALSE)</f>
        <v>1.9E-2</v>
      </c>
      <c r="E3" s="33">
        <f>VLOOKUP(B3,'Data World GDP'!$A$2:$L$182,6,FALSE)</f>
        <v>3.2000000000000001E-2</v>
      </c>
    </row>
    <row r="4" spans="2:5" ht="16" customHeight="1" x14ac:dyDescent="0.35">
      <c r="B4" s="67" t="s">
        <v>422</v>
      </c>
      <c r="C4" s="70">
        <f>VLOOKUP(B4,'Data World GDP'!$A$2:$L$182,5,FALSE)/$C$31</f>
        <v>0.16033923130475666</v>
      </c>
      <c r="D4" s="33">
        <f>VLOOKUP(B4,'Data World GDP'!$A$2:$L$182,7,FALSE)</f>
        <v>2.9000000000000001E-2</v>
      </c>
      <c r="E4" s="33">
        <f>VLOOKUP(B4,'Data World GDP'!$A$2:$L$182,6,FALSE)</f>
        <v>0</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3.1E-2</v>
      </c>
      <c r="E15" s="33">
        <f>VLOOKUP(B15,'Data World GDP'!$A$2:$L$182,6,FALSE)</f>
        <v>3.0000000000000001E-3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4.3999999999999997E-2</v>
      </c>
      <c r="E17" s="33">
        <f>VLOOKUP(B17,'Data World GDP'!$A$2:$L$182,6,FALSE)</f>
        <v>1E-3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-8.6E-3</v>
      </c>
      <c r="E21" s="33">
        <f>VLOOKUP(B21,'Data World GDP'!$A$2:$L$182,6,FALSE)</f>
        <v>-1.0800000000000001E-2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599</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601</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 activePane="bottomLeft" state="frozen"/>
      <selection activeCell="F175" sqref="F175"/>
      <selection pane="bottomLeft" activeCell="R298" sqref="R298"/>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93" activePane="bottomLeft" state="frozen"/>
      <selection activeCell="T15" sqref="T15"/>
      <selection pane="bottomLeft" activeCell="T15" sqref="T15"/>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2023-01-19T03:30:19Z</dcterms:modified>
</cp:coreProperties>
</file>