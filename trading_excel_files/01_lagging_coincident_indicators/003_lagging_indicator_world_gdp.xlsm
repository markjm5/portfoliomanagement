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89F1258-441F-E243-A0C9-68F6A21713C0}" xr6:coauthVersionLast="47" xr6:coauthVersionMax="47" xr10:uidLastSave="{00000000-0000-0000-0000-000000000000}"/>
  <bookViews>
    <workbookView xWindow="-62500" yWindow="1780" windowWidth="50820" windowHeight="25580" activeTab="8"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6" l="1"/>
  <c r="C7" i="6"/>
  <c r="B301" i="10"/>
  <c r="D301" i="10" s="1"/>
  <c r="B300" i="10"/>
  <c r="D299" i="10"/>
  <c r="C299" i="10"/>
  <c r="B299" i="10"/>
  <c r="C298" i="10"/>
  <c r="B298" i="10"/>
  <c r="D298" i="10" s="1"/>
  <c r="C297" i="10"/>
  <c r="B297" i="10"/>
  <c r="D297" i="10" s="1"/>
  <c r="D296" i="10"/>
  <c r="B296" i="10"/>
  <c r="D295" i="10"/>
  <c r="B295" i="10"/>
  <c r="C296" i="10" s="1"/>
  <c r="B294" i="10"/>
  <c r="B293" i="10"/>
  <c r="D293" i="10" s="1"/>
  <c r="B292" i="10"/>
  <c r="D291" i="10"/>
  <c r="C291" i="10"/>
  <c r="B291" i="10"/>
  <c r="C290" i="10"/>
  <c r="B290" i="10"/>
  <c r="D290" i="10" s="1"/>
  <c r="C289" i="10"/>
  <c r="B289" i="10"/>
  <c r="D289" i="10" s="1"/>
  <c r="D288" i="10"/>
  <c r="B288" i="10"/>
  <c r="D287" i="10"/>
  <c r="B287" i="10"/>
  <c r="C288" i="10" s="1"/>
  <c r="B286" i="10"/>
  <c r="B285" i="10"/>
  <c r="D285" i="10" s="1"/>
  <c r="B284" i="10"/>
  <c r="D283" i="10"/>
  <c r="C283" i="10"/>
  <c r="B283" i="10"/>
  <c r="C282" i="10"/>
  <c r="B282" i="10"/>
  <c r="D282" i="10" s="1"/>
  <c r="C281" i="10"/>
  <c r="B281" i="10"/>
  <c r="D281" i="10" s="1"/>
  <c r="D280" i="10"/>
  <c r="B280" i="10"/>
  <c r="D279" i="10"/>
  <c r="B279" i="10"/>
  <c r="C280" i="10" s="1"/>
  <c r="B278" i="10"/>
  <c r="B277" i="10"/>
  <c r="D277" i="10" s="1"/>
  <c r="B276" i="10"/>
  <c r="D275" i="10"/>
  <c r="C275" i="10"/>
  <c r="B275" i="10"/>
  <c r="C274" i="10"/>
  <c r="B274" i="10"/>
  <c r="D274" i="10" s="1"/>
  <c r="C273" i="10"/>
  <c r="B273" i="10"/>
  <c r="D273" i="10" s="1"/>
  <c r="D272" i="10"/>
  <c r="B272" i="10"/>
  <c r="D271" i="10"/>
  <c r="B271" i="10"/>
  <c r="C272" i="10" s="1"/>
  <c r="B270" i="10"/>
  <c r="B269" i="10"/>
  <c r="D269" i="10" s="1"/>
  <c r="B268" i="10"/>
  <c r="D267" i="10"/>
  <c r="C267" i="10"/>
  <c r="B267" i="10"/>
  <c r="C266" i="10"/>
  <c r="B266" i="10"/>
  <c r="D266" i="10" s="1"/>
  <c r="C265" i="10"/>
  <c r="B265" i="10"/>
  <c r="D265" i="10" s="1"/>
  <c r="D264" i="10"/>
  <c r="B264" i="10"/>
  <c r="D263" i="10"/>
  <c r="B263" i="10"/>
  <c r="C264" i="10" s="1"/>
  <c r="B262" i="10"/>
  <c r="B261" i="10"/>
  <c r="D261" i="10" s="1"/>
  <c r="B260" i="10"/>
  <c r="D259" i="10"/>
  <c r="C259" i="10"/>
  <c r="B259" i="10"/>
  <c r="C258" i="10"/>
  <c r="B258" i="10"/>
  <c r="D258" i="10" s="1"/>
  <c r="C257" i="10"/>
  <c r="B257" i="10"/>
  <c r="D257" i="10" s="1"/>
  <c r="D256" i="10"/>
  <c r="B256" i="10"/>
  <c r="D255" i="10"/>
  <c r="B255" i="10"/>
  <c r="C256" i="10" s="1"/>
  <c r="B254" i="10"/>
  <c r="B253" i="10"/>
  <c r="D253" i="10" s="1"/>
  <c r="B252" i="10"/>
  <c r="D251" i="10"/>
  <c r="C251" i="10"/>
  <c r="B251" i="10"/>
  <c r="C250" i="10"/>
  <c r="B250" i="10"/>
  <c r="D250" i="10" s="1"/>
  <c r="C249" i="10"/>
  <c r="B249" i="10"/>
  <c r="D249" i="10" s="1"/>
  <c r="D248" i="10"/>
  <c r="B248" i="10"/>
  <c r="D247" i="10"/>
  <c r="B247" i="10"/>
  <c r="C248" i="10" s="1"/>
  <c r="B246" i="10"/>
  <c r="B245" i="10"/>
  <c r="D245" i="10" s="1"/>
  <c r="B244" i="10"/>
  <c r="D243" i="10"/>
  <c r="C243" i="10"/>
  <c r="B243" i="10"/>
  <c r="C242" i="10"/>
  <c r="B242" i="10"/>
  <c r="D242" i="10" s="1"/>
  <c r="C241" i="10"/>
  <c r="B241" i="10"/>
  <c r="D241" i="10" s="1"/>
  <c r="D240" i="10"/>
  <c r="B240" i="10"/>
  <c r="B239" i="10"/>
  <c r="B238" i="10"/>
  <c r="C239" i="10" s="1"/>
  <c r="B237" i="10"/>
  <c r="D237" i="10" s="1"/>
  <c r="C236" i="10"/>
  <c r="B236" i="10"/>
  <c r="D235" i="10"/>
  <c r="C235" i="10"/>
  <c r="B235" i="10"/>
  <c r="C234" i="10"/>
  <c r="B234" i="10"/>
  <c r="D234" i="10" s="1"/>
  <c r="D233" i="10"/>
  <c r="C233" i="10"/>
  <c r="B233" i="10"/>
  <c r="D232" i="10"/>
  <c r="B232" i="10"/>
  <c r="B231" i="10"/>
  <c r="C232" i="10" s="1"/>
  <c r="D230" i="10"/>
  <c r="C230" i="10"/>
  <c r="B230" i="10"/>
  <c r="B229" i="10"/>
  <c r="D229" i="10" s="1"/>
  <c r="B228" i="10"/>
  <c r="D227" i="10"/>
  <c r="C227" i="10"/>
  <c r="B227" i="10"/>
  <c r="B226" i="10"/>
  <c r="D226" i="10" s="1"/>
  <c r="B225" i="10"/>
  <c r="D224" i="10"/>
  <c r="B224" i="10"/>
  <c r="D223" i="10"/>
  <c r="B223" i="10"/>
  <c r="C224" i="10" s="1"/>
  <c r="B222" i="10"/>
  <c r="C223" i="10" s="1"/>
  <c r="B221" i="10"/>
  <c r="B220" i="10"/>
  <c r="D219" i="10"/>
  <c r="C219" i="10"/>
  <c r="B219" i="10"/>
  <c r="B218" i="10"/>
  <c r="D218" i="10" s="1"/>
  <c r="B217" i="10"/>
  <c r="C218" i="10" s="1"/>
  <c r="D216" i="10"/>
  <c r="B216" i="10"/>
  <c r="D215" i="10"/>
  <c r="B215" i="10"/>
  <c r="C216" i="10" s="1"/>
  <c r="B214" i="10"/>
  <c r="B213" i="10"/>
  <c r="D213" i="10" s="1"/>
  <c r="C212" i="10"/>
  <c r="B212" i="10"/>
  <c r="D211" i="10"/>
  <c r="C211" i="10"/>
  <c r="B211" i="10"/>
  <c r="C210" i="10"/>
  <c r="B210" i="10"/>
  <c r="D210" i="10" s="1"/>
  <c r="D209" i="10"/>
  <c r="C209" i="10"/>
  <c r="B209" i="10"/>
  <c r="D208" i="10"/>
  <c r="B208" i="10"/>
  <c r="B207" i="10"/>
  <c r="B206" i="10"/>
  <c r="C207" i="10" s="1"/>
  <c r="B205" i="10"/>
  <c r="D205" i="10" s="1"/>
  <c r="C204" i="10"/>
  <c r="B204" i="10"/>
  <c r="D203" i="10"/>
  <c r="C203" i="10"/>
  <c r="B203" i="10"/>
  <c r="C202" i="10"/>
  <c r="B202" i="10"/>
  <c r="D202" i="10" s="1"/>
  <c r="D201" i="10"/>
  <c r="C201" i="10"/>
  <c r="B201" i="10"/>
  <c r="D200" i="10"/>
  <c r="B200" i="10"/>
  <c r="B199" i="10"/>
  <c r="C200" i="10" s="1"/>
  <c r="D198" i="10"/>
  <c r="C198" i="10"/>
  <c r="B198" i="10"/>
  <c r="B197" i="10"/>
  <c r="D197" i="10" s="1"/>
  <c r="B196" i="10"/>
  <c r="D195" i="10"/>
  <c r="C195" i="10"/>
  <c r="B195" i="10"/>
  <c r="B194" i="10"/>
  <c r="D194" i="10" s="1"/>
  <c r="B193" i="10"/>
  <c r="D192" i="10"/>
  <c r="B192" i="10"/>
  <c r="D191" i="10"/>
  <c r="B191" i="10"/>
  <c r="C192" i="10" s="1"/>
  <c r="B190" i="10"/>
  <c r="C191" i="10" s="1"/>
  <c r="B189" i="10"/>
  <c r="B188" i="10"/>
  <c r="D187" i="10"/>
  <c r="C187" i="10"/>
  <c r="B187" i="10"/>
  <c r="B186" i="10"/>
  <c r="D186" i="10" s="1"/>
  <c r="B185" i="10"/>
  <c r="C186" i="10" s="1"/>
  <c r="D184" i="10"/>
  <c r="B184" i="10"/>
  <c r="D183" i="10"/>
  <c r="B183" i="10"/>
  <c r="C184" i="10" s="1"/>
  <c r="B182" i="10"/>
  <c r="B181" i="10"/>
  <c r="D181" i="10" s="1"/>
  <c r="C180" i="10"/>
  <c r="B180" i="10"/>
  <c r="D179" i="10"/>
  <c r="C179" i="10"/>
  <c r="B179" i="10"/>
  <c r="C178" i="10"/>
  <c r="B178" i="10"/>
  <c r="D178" i="10" s="1"/>
  <c r="D177" i="10"/>
  <c r="C177" i="10"/>
  <c r="B177" i="10"/>
  <c r="D176" i="10"/>
  <c r="B176" i="10"/>
  <c r="B175" i="10"/>
  <c r="B174" i="10"/>
  <c r="C175" i="10" s="1"/>
  <c r="B173" i="10"/>
  <c r="D173" i="10" s="1"/>
  <c r="C172" i="10"/>
  <c r="B172" i="10"/>
  <c r="D171" i="10"/>
  <c r="C171" i="10"/>
  <c r="B171" i="10"/>
  <c r="C170" i="10"/>
  <c r="B170" i="10"/>
  <c r="D170" i="10" s="1"/>
  <c r="D169" i="10"/>
  <c r="C169" i="10"/>
  <c r="B169" i="10"/>
  <c r="D168" i="10"/>
  <c r="B168" i="10"/>
  <c r="B167" i="10"/>
  <c r="C168" i="10" s="1"/>
  <c r="D166" i="10"/>
  <c r="C166" i="10"/>
  <c r="B166" i="10"/>
  <c r="B165" i="10"/>
  <c r="D165" i="10" s="1"/>
  <c r="B164" i="10"/>
  <c r="D163" i="10"/>
  <c r="C163" i="10"/>
  <c r="B163" i="10"/>
  <c r="B162" i="10"/>
  <c r="D162" i="10" s="1"/>
  <c r="B161" i="10"/>
  <c r="D160" i="10"/>
  <c r="B160" i="10"/>
  <c r="D159" i="10"/>
  <c r="B159" i="10"/>
  <c r="C160" i="10" s="1"/>
  <c r="B158" i="10"/>
  <c r="C159" i="10" s="1"/>
  <c r="B157" i="10"/>
  <c r="B156" i="10"/>
  <c r="D155" i="10"/>
  <c r="C155" i="10"/>
  <c r="B155" i="10"/>
  <c r="B154" i="10"/>
  <c r="D154" i="10" s="1"/>
  <c r="B153" i="10"/>
  <c r="C154" i="10" s="1"/>
  <c r="D152" i="10"/>
  <c r="B152" i="10"/>
  <c r="D151" i="10"/>
  <c r="B151" i="10"/>
  <c r="C152" i="10" s="1"/>
  <c r="B150" i="10"/>
  <c r="B149" i="10"/>
  <c r="D149" i="10" s="1"/>
  <c r="C148" i="10"/>
  <c r="B148" i="10"/>
  <c r="D147" i="10"/>
  <c r="C147" i="10"/>
  <c r="B147" i="10"/>
  <c r="C146" i="10"/>
  <c r="B146" i="10"/>
  <c r="D146" i="10" s="1"/>
  <c r="D145" i="10"/>
  <c r="C145" i="10"/>
  <c r="B145" i="10"/>
  <c r="D144" i="10"/>
  <c r="B144" i="10"/>
  <c r="B143" i="10"/>
  <c r="B142" i="10"/>
  <c r="C143" i="10" s="1"/>
  <c r="B141" i="10"/>
  <c r="D141" i="10" s="1"/>
  <c r="C140" i="10"/>
  <c r="B140" i="10"/>
  <c r="D139" i="10"/>
  <c r="C139" i="10"/>
  <c r="B139" i="10"/>
  <c r="C138" i="10"/>
  <c r="B138" i="10"/>
  <c r="D138" i="10" s="1"/>
  <c r="D137" i="10"/>
  <c r="C137" i="10"/>
  <c r="B137" i="10"/>
  <c r="D136" i="10"/>
  <c r="B136" i="10"/>
  <c r="B135" i="10"/>
  <c r="C136" i="10" s="1"/>
  <c r="D134" i="10"/>
  <c r="C134" i="10"/>
  <c r="B134" i="10"/>
  <c r="B133" i="10"/>
  <c r="D133" i="10" s="1"/>
  <c r="B132" i="10"/>
  <c r="D131" i="10"/>
  <c r="C131" i="10"/>
  <c r="B131" i="10"/>
  <c r="B130" i="10"/>
  <c r="D130" i="10" s="1"/>
  <c r="B129" i="10"/>
  <c r="D128" i="10"/>
  <c r="B128" i="10"/>
  <c r="D127" i="10"/>
  <c r="B127" i="10"/>
  <c r="C128" i="10" s="1"/>
  <c r="B126" i="10"/>
  <c r="C127" i="10" s="1"/>
  <c r="B125" i="10"/>
  <c r="B124" i="10"/>
  <c r="D123" i="10"/>
  <c r="C123" i="10"/>
  <c r="B123" i="10"/>
  <c r="B122" i="10"/>
  <c r="D122" i="10" s="1"/>
  <c r="B121" i="10"/>
  <c r="C122" i="10" s="1"/>
  <c r="D120" i="10"/>
  <c r="B120" i="10"/>
  <c r="D119" i="10"/>
  <c r="B119" i="10"/>
  <c r="C120" i="10" s="1"/>
  <c r="B118" i="10"/>
  <c r="B117" i="10"/>
  <c r="D117" i="10" s="1"/>
  <c r="C116" i="10"/>
  <c r="B116" i="10"/>
  <c r="D115" i="10"/>
  <c r="C115" i="10"/>
  <c r="B115" i="10"/>
  <c r="C114" i="10"/>
  <c r="B114" i="10"/>
  <c r="D114" i="10" s="1"/>
  <c r="D113" i="10"/>
  <c r="C113" i="10"/>
  <c r="B113" i="10"/>
  <c r="D112" i="10"/>
  <c r="B112" i="10"/>
  <c r="B111" i="10"/>
  <c r="B110" i="10"/>
  <c r="B109" i="10"/>
  <c r="D109" i="10" s="1"/>
  <c r="B108" i="10"/>
  <c r="D107" i="10"/>
  <c r="C107" i="10"/>
  <c r="B107" i="10"/>
  <c r="C106" i="10"/>
  <c r="B106" i="10"/>
  <c r="D106" i="10" s="1"/>
  <c r="D105" i="10"/>
  <c r="B105" i="10"/>
  <c r="C105" i="10" s="1"/>
  <c r="D104" i="10"/>
  <c r="B104" i="10"/>
  <c r="B103" i="10"/>
  <c r="D102" i="10"/>
  <c r="C102" i="10"/>
  <c r="B102" i="10"/>
  <c r="B101" i="10"/>
  <c r="D101" i="10" s="1"/>
  <c r="B100" i="10"/>
  <c r="D99" i="10"/>
  <c r="C99" i="10"/>
  <c r="B99" i="10"/>
  <c r="B98" i="10"/>
  <c r="D98" i="10" s="1"/>
  <c r="B97" i="10"/>
  <c r="D96" i="10"/>
  <c r="B96" i="10"/>
  <c r="D95" i="10"/>
  <c r="B95" i="10"/>
  <c r="C96" i="10" s="1"/>
  <c r="B94" i="10"/>
  <c r="C95" i="10" s="1"/>
  <c r="B93" i="10"/>
  <c r="B92" i="10"/>
  <c r="D91" i="10"/>
  <c r="C91" i="10"/>
  <c r="B91" i="10"/>
  <c r="B90" i="10"/>
  <c r="D90" i="10" s="1"/>
  <c r="D89" i="10"/>
  <c r="C89" i="10"/>
  <c r="B89" i="10"/>
  <c r="C90" i="10" s="1"/>
  <c r="D88" i="10"/>
  <c r="B88" i="10"/>
  <c r="B87" i="10"/>
  <c r="C88" i="10" s="1"/>
  <c r="B86" i="10"/>
  <c r="B85" i="10"/>
  <c r="D85" i="10" s="1"/>
  <c r="C84" i="10"/>
  <c r="B84" i="10"/>
  <c r="D83" i="10"/>
  <c r="C83" i="10"/>
  <c r="B83" i="10"/>
  <c r="C82" i="10"/>
  <c r="B82" i="10"/>
  <c r="D82" i="10" s="1"/>
  <c r="D81" i="10"/>
  <c r="C81" i="10"/>
  <c r="B81" i="10"/>
  <c r="D80" i="10"/>
  <c r="B80" i="10"/>
  <c r="B79" i="10"/>
  <c r="B78" i="10"/>
  <c r="C79" i="10" s="1"/>
  <c r="B77" i="10"/>
  <c r="D77" i="10" s="1"/>
  <c r="B76" i="10"/>
  <c r="D75" i="10"/>
  <c r="C75" i="10"/>
  <c r="B75" i="10"/>
  <c r="C74" i="10"/>
  <c r="B74" i="10"/>
  <c r="D74" i="10" s="1"/>
  <c r="D73" i="10"/>
  <c r="B73" i="10"/>
  <c r="C73" i="10" s="1"/>
  <c r="D72" i="10"/>
  <c r="B72" i="10"/>
  <c r="B71" i="10"/>
  <c r="C72" i="10" s="1"/>
  <c r="D70" i="10"/>
  <c r="C70" i="10"/>
  <c r="B70" i="10"/>
  <c r="B69" i="10"/>
  <c r="D69" i="10" s="1"/>
  <c r="B68" i="10"/>
  <c r="D67" i="10"/>
  <c r="C67" i="10"/>
  <c r="B67" i="10"/>
  <c r="B66" i="10"/>
  <c r="D66" i="10" s="1"/>
  <c r="B65" i="10"/>
  <c r="D64" i="10"/>
  <c r="B64" i="10"/>
  <c r="D63" i="10"/>
  <c r="B63" i="10"/>
  <c r="C64" i="10" s="1"/>
  <c r="B62" i="10"/>
  <c r="C63" i="10" s="1"/>
  <c r="B61" i="10"/>
  <c r="B60" i="10"/>
  <c r="D59" i="10"/>
  <c r="C59" i="10"/>
  <c r="B59" i="10"/>
  <c r="B58" i="10"/>
  <c r="D58" i="10" s="1"/>
  <c r="B57" i="10"/>
  <c r="C58" i="10" s="1"/>
  <c r="D56" i="10"/>
  <c r="B56" i="10"/>
  <c r="B55" i="10"/>
  <c r="C56" i="10" s="1"/>
  <c r="B54" i="10"/>
  <c r="B53" i="10"/>
  <c r="D53" i="10" s="1"/>
  <c r="C52" i="10"/>
  <c r="B52" i="10"/>
  <c r="D51" i="10"/>
  <c r="C51" i="10"/>
  <c r="B51" i="10"/>
  <c r="C50" i="10"/>
  <c r="B50" i="10"/>
  <c r="D50" i="10" s="1"/>
  <c r="D49" i="10"/>
  <c r="C49" i="10"/>
  <c r="B49" i="10"/>
  <c r="D48" i="10"/>
  <c r="B48" i="10"/>
  <c r="B47" i="10"/>
  <c r="B46" i="10"/>
  <c r="B45" i="10"/>
  <c r="D45" i="10" s="1"/>
  <c r="B44" i="10"/>
  <c r="D43" i="10"/>
  <c r="C43" i="10"/>
  <c r="B43" i="10"/>
  <c r="C42" i="10"/>
  <c r="B42" i="10"/>
  <c r="D42" i="10" s="1"/>
  <c r="D41" i="10"/>
  <c r="B41" i="10"/>
  <c r="C41" i="10" s="1"/>
  <c r="D40" i="10"/>
  <c r="B40" i="10"/>
  <c r="B39" i="10"/>
  <c r="D38" i="10"/>
  <c r="C38" i="10"/>
  <c r="B38" i="10"/>
  <c r="B37" i="10"/>
  <c r="D37" i="10" s="1"/>
  <c r="B36" i="10"/>
  <c r="D35" i="10"/>
  <c r="C35" i="10"/>
  <c r="B35" i="10"/>
  <c r="B34" i="10"/>
  <c r="D34" i="10" s="1"/>
  <c r="B33" i="10"/>
  <c r="D32" i="10"/>
  <c r="B32" i="10"/>
  <c r="D31" i="10"/>
  <c r="B31" i="10"/>
  <c r="C32" i="10" s="1"/>
  <c r="B30" i="10"/>
  <c r="C31" i="10" s="1"/>
  <c r="B29" i="10"/>
  <c r="B28" i="10"/>
  <c r="D27" i="10"/>
  <c r="C27" i="10"/>
  <c r="B27" i="10"/>
  <c r="B26" i="10"/>
  <c r="D26" i="10" s="1"/>
  <c r="D25" i="10"/>
  <c r="C25" i="10"/>
  <c r="B25" i="10"/>
  <c r="C26" i="10" s="1"/>
  <c r="D24" i="10"/>
  <c r="B24" i="10"/>
  <c r="B23" i="10"/>
  <c r="C24" i="10" s="1"/>
  <c r="B22" i="10"/>
  <c r="B21" i="10"/>
  <c r="D21" i="10" s="1"/>
  <c r="C20" i="10"/>
  <c r="B20" i="10"/>
  <c r="D19" i="10"/>
  <c r="C19" i="10"/>
  <c r="B19" i="10"/>
  <c r="C18" i="10"/>
  <c r="B18" i="10"/>
  <c r="D18" i="10" s="1"/>
  <c r="D17" i="10"/>
  <c r="C17" i="10"/>
  <c r="B17" i="10"/>
  <c r="D16" i="10"/>
  <c r="B16" i="10"/>
  <c r="B15" i="10"/>
  <c r="B14" i="10"/>
  <c r="C15" i="10" s="1"/>
  <c r="B13" i="10"/>
  <c r="D13" i="10" s="1"/>
  <c r="B12" i="10"/>
  <c r="D11" i="10"/>
  <c r="C11" i="10"/>
  <c r="B11" i="10"/>
  <c r="C10" i="10"/>
  <c r="B10" i="10"/>
  <c r="D10" i="10" s="1"/>
  <c r="D9" i="10"/>
  <c r="B9" i="10"/>
  <c r="C9" i="10" s="1"/>
  <c r="D8" i="10"/>
  <c r="B8" i="10"/>
  <c r="B7" i="10"/>
  <c r="C8" i="10" s="1"/>
  <c r="D6" i="10"/>
  <c r="C6" i="10"/>
  <c r="B6" i="10"/>
  <c r="B5" i="10"/>
  <c r="D5" i="10" s="1"/>
  <c r="B4" i="10"/>
  <c r="D3" i="10"/>
  <c r="C3" i="10"/>
  <c r="B3" i="10"/>
  <c r="J2" i="10"/>
  <c r="D2" i="10"/>
  <c r="B2" i="10"/>
  <c r="J1" i="10"/>
  <c r="B301" i="9"/>
  <c r="C301" i="9" s="1"/>
  <c r="C300" i="9"/>
  <c r="B300" i="9"/>
  <c r="B299" i="9"/>
  <c r="B298" i="9"/>
  <c r="B297" i="9"/>
  <c r="C298" i="9" s="1"/>
  <c r="C296" i="9"/>
  <c r="B296" i="9"/>
  <c r="C297" i="9" s="1"/>
  <c r="B295" i="9"/>
  <c r="B294" i="9"/>
  <c r="C295" i="9" s="1"/>
  <c r="B293" i="9"/>
  <c r="B292" i="9"/>
  <c r="C293" i="9" s="1"/>
  <c r="B291" i="9"/>
  <c r="C292" i="9" s="1"/>
  <c r="B290" i="9"/>
  <c r="C291" i="9" s="1"/>
  <c r="C289" i="9"/>
  <c r="B289" i="9"/>
  <c r="C288" i="9"/>
  <c r="B288" i="9"/>
  <c r="B287" i="9"/>
  <c r="B286" i="9"/>
  <c r="C287" i="9" s="1"/>
  <c r="B285" i="9"/>
  <c r="C286" i="9" s="1"/>
  <c r="C284" i="9"/>
  <c r="B284" i="9"/>
  <c r="B283" i="9"/>
  <c r="B282" i="9"/>
  <c r="B281" i="9"/>
  <c r="C282" i="9" s="1"/>
  <c r="B280" i="9"/>
  <c r="C281" i="9" s="1"/>
  <c r="B279" i="9"/>
  <c r="C280" i="9" s="1"/>
  <c r="C278" i="9"/>
  <c r="B278" i="9"/>
  <c r="B277" i="9"/>
  <c r="B276" i="9"/>
  <c r="C277" i="9" s="1"/>
  <c r="B275" i="9"/>
  <c r="C276" i="9" s="1"/>
  <c r="B274" i="9"/>
  <c r="C275" i="9" s="1"/>
  <c r="B273" i="9"/>
  <c r="B272" i="9"/>
  <c r="C273" i="9" s="1"/>
  <c r="B271" i="9"/>
  <c r="C272" i="9" s="1"/>
  <c r="B270" i="9"/>
  <c r="C271" i="9" s="1"/>
  <c r="C269" i="9"/>
  <c r="B269" i="9"/>
  <c r="B268" i="9"/>
  <c r="B267" i="9"/>
  <c r="C268" i="9" s="1"/>
  <c r="C266" i="9"/>
  <c r="B266" i="9"/>
  <c r="C267" i="9" s="1"/>
  <c r="B265" i="9"/>
  <c r="C265" i="9" s="1"/>
  <c r="C264" i="9"/>
  <c r="B264" i="9"/>
  <c r="B263" i="9"/>
  <c r="B262" i="9"/>
  <c r="C263" i="9" s="1"/>
  <c r="C261" i="9"/>
  <c r="B261" i="9"/>
  <c r="C260" i="9"/>
  <c r="B260" i="9"/>
  <c r="B259" i="9"/>
  <c r="B258" i="9"/>
  <c r="C259" i="9" s="1"/>
  <c r="B257" i="9"/>
  <c r="C258" i="9" s="1"/>
  <c r="C256" i="9"/>
  <c r="B256" i="9"/>
  <c r="B255" i="9"/>
  <c r="B254" i="9"/>
  <c r="C255" i="9" s="1"/>
  <c r="B253" i="9"/>
  <c r="C254" i="9" s="1"/>
  <c r="C252" i="9"/>
  <c r="B252" i="9"/>
  <c r="B251" i="9"/>
  <c r="B250" i="9"/>
  <c r="C251" i="9" s="1"/>
  <c r="B249" i="9"/>
  <c r="C250" i="9" s="1"/>
  <c r="C248" i="9"/>
  <c r="B248" i="9"/>
  <c r="B247" i="9"/>
  <c r="B246" i="9"/>
  <c r="C247" i="9" s="1"/>
  <c r="C245" i="9"/>
  <c r="B245" i="9"/>
  <c r="C244" i="9"/>
  <c r="B244" i="9"/>
  <c r="B243" i="9"/>
  <c r="B242" i="9"/>
  <c r="C243" i="9" s="1"/>
  <c r="B241" i="9"/>
  <c r="C242" i="9" s="1"/>
  <c r="C240" i="9"/>
  <c r="B240" i="9"/>
  <c r="B239" i="9"/>
  <c r="B238" i="9"/>
  <c r="C239" i="9" s="1"/>
  <c r="B237" i="9"/>
  <c r="C238" i="9" s="1"/>
  <c r="C236" i="9"/>
  <c r="B236" i="9"/>
  <c r="B235" i="9"/>
  <c r="B234" i="9"/>
  <c r="C235" i="9" s="1"/>
  <c r="B233" i="9"/>
  <c r="C234" i="9" s="1"/>
  <c r="C232" i="9"/>
  <c r="B232" i="9"/>
  <c r="B231" i="9"/>
  <c r="B230" i="9"/>
  <c r="C231" i="9" s="1"/>
  <c r="C229" i="9"/>
  <c r="B229" i="9"/>
  <c r="C228" i="9"/>
  <c r="B228" i="9"/>
  <c r="B227" i="9"/>
  <c r="B226" i="9"/>
  <c r="C227" i="9" s="1"/>
  <c r="B225" i="9"/>
  <c r="C226" i="9" s="1"/>
  <c r="C224" i="9"/>
  <c r="B224" i="9"/>
  <c r="B223" i="9"/>
  <c r="B222" i="9"/>
  <c r="C223" i="9" s="1"/>
  <c r="B221" i="9"/>
  <c r="C222" i="9" s="1"/>
  <c r="C220" i="9"/>
  <c r="B220" i="9"/>
  <c r="B219" i="9"/>
  <c r="B218" i="9"/>
  <c r="C219" i="9" s="1"/>
  <c r="B217" i="9"/>
  <c r="C218" i="9" s="1"/>
  <c r="C216" i="9"/>
  <c r="B216" i="9"/>
  <c r="B215" i="9"/>
  <c r="B214" i="9"/>
  <c r="C215" i="9" s="1"/>
  <c r="C213" i="9"/>
  <c r="B213" i="9"/>
  <c r="C212" i="9"/>
  <c r="B212" i="9"/>
  <c r="B211" i="9"/>
  <c r="B210" i="9"/>
  <c r="C211" i="9" s="1"/>
  <c r="B209" i="9"/>
  <c r="C210" i="9" s="1"/>
  <c r="C208" i="9"/>
  <c r="B208" i="9"/>
  <c r="B207" i="9"/>
  <c r="B206" i="9"/>
  <c r="C207" i="9" s="1"/>
  <c r="B205" i="9"/>
  <c r="C206" i="9" s="1"/>
  <c r="C204" i="9"/>
  <c r="B204" i="9"/>
  <c r="B203" i="9"/>
  <c r="B202" i="9"/>
  <c r="C203" i="9" s="1"/>
  <c r="B201" i="9"/>
  <c r="C202" i="9" s="1"/>
  <c r="C200" i="9"/>
  <c r="B200" i="9"/>
  <c r="B199" i="9"/>
  <c r="B198" i="9"/>
  <c r="C199" i="9" s="1"/>
  <c r="C197" i="9"/>
  <c r="B197" i="9"/>
  <c r="C196" i="9"/>
  <c r="B196" i="9"/>
  <c r="B195" i="9"/>
  <c r="B194" i="9"/>
  <c r="C195" i="9" s="1"/>
  <c r="B193" i="9"/>
  <c r="C194" i="9" s="1"/>
  <c r="C192" i="9"/>
  <c r="B192" i="9"/>
  <c r="B191" i="9"/>
  <c r="B190" i="9"/>
  <c r="C191" i="9" s="1"/>
  <c r="B189" i="9"/>
  <c r="C190" i="9" s="1"/>
  <c r="C188" i="9"/>
  <c r="B188" i="9"/>
  <c r="B187" i="9"/>
  <c r="B186" i="9"/>
  <c r="C187" i="9" s="1"/>
  <c r="B185" i="9"/>
  <c r="C186" i="9" s="1"/>
  <c r="C184" i="9"/>
  <c r="B184" i="9"/>
  <c r="B183" i="9"/>
  <c r="B182" i="9"/>
  <c r="C183" i="9" s="1"/>
  <c r="C181" i="9"/>
  <c r="B181" i="9"/>
  <c r="C180" i="9"/>
  <c r="B180" i="9"/>
  <c r="B179" i="9"/>
  <c r="B178" i="9"/>
  <c r="C179" i="9" s="1"/>
  <c r="B177" i="9"/>
  <c r="C178" i="9" s="1"/>
  <c r="C176" i="9"/>
  <c r="B176" i="9"/>
  <c r="B175" i="9"/>
  <c r="B174" i="9"/>
  <c r="C175" i="9" s="1"/>
  <c r="B173" i="9"/>
  <c r="C174" i="9" s="1"/>
  <c r="C172" i="9"/>
  <c r="B172" i="9"/>
  <c r="B171" i="9"/>
  <c r="B170" i="9"/>
  <c r="C171" i="9" s="1"/>
  <c r="B169" i="9"/>
  <c r="C170" i="9" s="1"/>
  <c r="C168" i="9"/>
  <c r="B168" i="9"/>
  <c r="B167" i="9"/>
  <c r="B166" i="9"/>
  <c r="C167" i="9" s="1"/>
  <c r="C165" i="9"/>
  <c r="B165" i="9"/>
  <c r="C164" i="9"/>
  <c r="B164" i="9"/>
  <c r="B163" i="9"/>
  <c r="B162" i="9"/>
  <c r="C163" i="9" s="1"/>
  <c r="B161" i="9"/>
  <c r="C162" i="9" s="1"/>
  <c r="C160" i="9"/>
  <c r="B160" i="9"/>
  <c r="B159" i="9"/>
  <c r="B158" i="9"/>
  <c r="C159" i="9" s="1"/>
  <c r="B157" i="9"/>
  <c r="C158" i="9" s="1"/>
  <c r="C156" i="9"/>
  <c r="B156" i="9"/>
  <c r="B155" i="9"/>
  <c r="B154" i="9"/>
  <c r="C155" i="9" s="1"/>
  <c r="B153" i="9"/>
  <c r="C154" i="9" s="1"/>
  <c r="C152" i="9"/>
  <c r="B152" i="9"/>
  <c r="B151" i="9"/>
  <c r="B150" i="9"/>
  <c r="C151" i="9" s="1"/>
  <c r="C149" i="9"/>
  <c r="B149" i="9"/>
  <c r="C148" i="9"/>
  <c r="B148" i="9"/>
  <c r="B147" i="9"/>
  <c r="B146" i="9"/>
  <c r="C147" i="9" s="1"/>
  <c r="B145" i="9"/>
  <c r="C146" i="9" s="1"/>
  <c r="C144" i="9"/>
  <c r="B144" i="9"/>
  <c r="B143" i="9"/>
  <c r="B142" i="9"/>
  <c r="C143" i="9" s="1"/>
  <c r="B141" i="9"/>
  <c r="C142" i="9" s="1"/>
  <c r="C140" i="9"/>
  <c r="B140" i="9"/>
  <c r="B139" i="9"/>
  <c r="B138" i="9"/>
  <c r="C139" i="9" s="1"/>
  <c r="B137" i="9"/>
  <c r="C138" i="9" s="1"/>
  <c r="C136" i="9"/>
  <c r="B136" i="9"/>
  <c r="B135" i="9"/>
  <c r="B134" i="9"/>
  <c r="C135" i="9" s="1"/>
  <c r="C133" i="9"/>
  <c r="B133" i="9"/>
  <c r="C132" i="9"/>
  <c r="B132" i="9"/>
  <c r="B131" i="9"/>
  <c r="B130" i="9"/>
  <c r="C131" i="9" s="1"/>
  <c r="B129" i="9"/>
  <c r="C130" i="9" s="1"/>
  <c r="C128" i="9"/>
  <c r="B128" i="9"/>
  <c r="B127" i="9"/>
  <c r="B126" i="9"/>
  <c r="C127" i="9" s="1"/>
  <c r="B125" i="9"/>
  <c r="C126" i="9" s="1"/>
  <c r="C124" i="9"/>
  <c r="B124" i="9"/>
  <c r="B123" i="9"/>
  <c r="B122" i="9"/>
  <c r="C123" i="9" s="1"/>
  <c r="B121" i="9"/>
  <c r="C122" i="9" s="1"/>
  <c r="C120" i="9"/>
  <c r="B120" i="9"/>
  <c r="B119" i="9"/>
  <c r="B118" i="9"/>
  <c r="C119" i="9" s="1"/>
  <c r="C117" i="9"/>
  <c r="B117" i="9"/>
  <c r="C116" i="9"/>
  <c r="B116" i="9"/>
  <c r="B115" i="9"/>
  <c r="B114" i="9"/>
  <c r="C115" i="9" s="1"/>
  <c r="B113" i="9"/>
  <c r="C114" i="9" s="1"/>
  <c r="C112" i="9"/>
  <c r="B112" i="9"/>
  <c r="B111" i="9"/>
  <c r="B110" i="9"/>
  <c r="C111" i="9" s="1"/>
  <c r="B109" i="9"/>
  <c r="C110" i="9" s="1"/>
  <c r="C108" i="9"/>
  <c r="B108" i="9"/>
  <c r="B107" i="9"/>
  <c r="B106" i="9"/>
  <c r="C107" i="9" s="1"/>
  <c r="B105" i="9"/>
  <c r="C106" i="9" s="1"/>
  <c r="C104" i="9"/>
  <c r="B104" i="9"/>
  <c r="B103" i="9"/>
  <c r="B102" i="9"/>
  <c r="C103" i="9" s="1"/>
  <c r="C101" i="9"/>
  <c r="B101" i="9"/>
  <c r="C100" i="9"/>
  <c r="B100" i="9"/>
  <c r="B99" i="9"/>
  <c r="B98" i="9"/>
  <c r="C99" i="9" s="1"/>
  <c r="B97" i="9"/>
  <c r="C98" i="9" s="1"/>
  <c r="C96" i="9"/>
  <c r="B96" i="9"/>
  <c r="B95" i="9"/>
  <c r="B94" i="9"/>
  <c r="C95" i="9" s="1"/>
  <c r="B93" i="9"/>
  <c r="C94" i="9" s="1"/>
  <c r="C92" i="9"/>
  <c r="B92" i="9"/>
  <c r="B91" i="9"/>
  <c r="B90" i="9"/>
  <c r="C91" i="9" s="1"/>
  <c r="B89" i="9"/>
  <c r="C90" i="9" s="1"/>
  <c r="C88" i="9"/>
  <c r="B88" i="9"/>
  <c r="B87" i="9"/>
  <c r="B86" i="9"/>
  <c r="C87" i="9" s="1"/>
  <c r="C85" i="9"/>
  <c r="B85" i="9"/>
  <c r="C84" i="9"/>
  <c r="B84" i="9"/>
  <c r="B83" i="9"/>
  <c r="B82" i="9"/>
  <c r="C83" i="9" s="1"/>
  <c r="B81" i="9"/>
  <c r="C82" i="9" s="1"/>
  <c r="C80" i="9"/>
  <c r="B80" i="9"/>
  <c r="B79" i="9"/>
  <c r="B78" i="9"/>
  <c r="C79" i="9" s="1"/>
  <c r="B77" i="9"/>
  <c r="C78" i="9" s="1"/>
  <c r="C76" i="9"/>
  <c r="B76" i="9"/>
  <c r="B75" i="9"/>
  <c r="B74" i="9"/>
  <c r="C75" i="9" s="1"/>
  <c r="B73" i="9"/>
  <c r="C74" i="9" s="1"/>
  <c r="C72" i="9"/>
  <c r="B72" i="9"/>
  <c r="B71" i="9"/>
  <c r="B70" i="9"/>
  <c r="C71" i="9" s="1"/>
  <c r="C69" i="9"/>
  <c r="B69" i="9"/>
  <c r="C68" i="9"/>
  <c r="B68" i="9"/>
  <c r="B67" i="9"/>
  <c r="B66" i="9"/>
  <c r="C67" i="9" s="1"/>
  <c r="B65" i="9"/>
  <c r="C66" i="9" s="1"/>
  <c r="C64" i="9"/>
  <c r="B64" i="9"/>
  <c r="B63" i="9"/>
  <c r="B62" i="9"/>
  <c r="C63" i="9" s="1"/>
  <c r="B61" i="9"/>
  <c r="C62" i="9" s="1"/>
  <c r="C60" i="9"/>
  <c r="B60" i="9"/>
  <c r="B59" i="9"/>
  <c r="B58" i="9"/>
  <c r="C59" i="9" s="1"/>
  <c r="B57" i="9"/>
  <c r="C58" i="9" s="1"/>
  <c r="C56" i="9"/>
  <c r="B56" i="9"/>
  <c r="B55" i="9"/>
  <c r="B54" i="9"/>
  <c r="C55" i="9" s="1"/>
  <c r="C53" i="9"/>
  <c r="B53" i="9"/>
  <c r="C52" i="9"/>
  <c r="B52" i="9"/>
  <c r="B51" i="9"/>
  <c r="B50" i="9"/>
  <c r="C51" i="9" s="1"/>
  <c r="B49" i="9"/>
  <c r="C50" i="9" s="1"/>
  <c r="C48" i="9"/>
  <c r="B48" i="9"/>
  <c r="B47" i="9"/>
  <c r="B46" i="9"/>
  <c r="C47" i="9" s="1"/>
  <c r="B45" i="9"/>
  <c r="C46" i="9" s="1"/>
  <c r="C44" i="9"/>
  <c r="B44" i="9"/>
  <c r="B43" i="9"/>
  <c r="B42" i="9"/>
  <c r="C43" i="9" s="1"/>
  <c r="B41" i="9"/>
  <c r="C42" i="9" s="1"/>
  <c r="C40" i="9"/>
  <c r="B40" i="9"/>
  <c r="B39" i="9"/>
  <c r="B38" i="9"/>
  <c r="C39" i="9" s="1"/>
  <c r="B37" i="9"/>
  <c r="C38" i="9" s="1"/>
  <c r="C36" i="9"/>
  <c r="B36" i="9"/>
  <c r="B35" i="9"/>
  <c r="C34" i="9"/>
  <c r="B34" i="9"/>
  <c r="C35" i="9" s="1"/>
  <c r="B33" i="9"/>
  <c r="C33" i="9" s="1"/>
  <c r="C32" i="9"/>
  <c r="B32" i="9"/>
  <c r="B31" i="9"/>
  <c r="B30" i="9"/>
  <c r="C29" i="9"/>
  <c r="B29" i="9"/>
  <c r="C28" i="9"/>
  <c r="B28" i="9"/>
  <c r="B27" i="9"/>
  <c r="B26" i="9"/>
  <c r="C27" i="9" s="1"/>
  <c r="C25" i="9"/>
  <c r="B25" i="9"/>
  <c r="C24" i="9"/>
  <c r="B24" i="9"/>
  <c r="B23" i="9"/>
  <c r="B22" i="9"/>
  <c r="C23" i="9" s="1"/>
  <c r="B21" i="9"/>
  <c r="C20" i="9"/>
  <c r="B20" i="9"/>
  <c r="B19" i="9"/>
  <c r="B18" i="9"/>
  <c r="C19" i="9" s="1"/>
  <c r="B17" i="9"/>
  <c r="C18" i="9" s="1"/>
  <c r="C16" i="9"/>
  <c r="B16" i="9"/>
  <c r="B15" i="9"/>
  <c r="B14" i="9"/>
  <c r="C15" i="9" s="1"/>
  <c r="B13" i="9"/>
  <c r="C14" i="9" s="1"/>
  <c r="C12" i="9"/>
  <c r="B12" i="9"/>
  <c r="B11" i="9"/>
  <c r="B10" i="9"/>
  <c r="C11" i="9" s="1"/>
  <c r="B9" i="9"/>
  <c r="C10" i="9" s="1"/>
  <c r="C8" i="9"/>
  <c r="B8" i="9"/>
  <c r="B7" i="9"/>
  <c r="B6" i="9"/>
  <c r="C7" i="9" s="1"/>
  <c r="B5" i="9"/>
  <c r="C6" i="9" s="1"/>
  <c r="B4" i="9"/>
  <c r="B3" i="9"/>
  <c r="C4" i="9" s="1"/>
  <c r="J2" i="9"/>
  <c r="J3" i="9" s="1"/>
  <c r="B2" i="9"/>
  <c r="J1" i="9"/>
  <c r="C31" i="8"/>
  <c r="E27" i="8"/>
  <c r="D27" i="8"/>
  <c r="E26" i="8"/>
  <c r="D26" i="8"/>
  <c r="C26" i="8"/>
  <c r="E25" i="8"/>
  <c r="D25" i="8"/>
  <c r="E24" i="8"/>
  <c r="D24" i="8"/>
  <c r="C24" i="8"/>
  <c r="E23" i="8"/>
  <c r="D23" i="8"/>
  <c r="C23" i="8"/>
  <c r="E22" i="8"/>
  <c r="D22" i="8"/>
  <c r="E21" i="8"/>
  <c r="D21" i="8"/>
  <c r="C21" i="8"/>
  <c r="E20" i="8"/>
  <c r="D20" i="8"/>
  <c r="C20" i="8"/>
  <c r="E19" i="8"/>
  <c r="D19" i="8"/>
  <c r="E18" i="8"/>
  <c r="D18" i="8"/>
  <c r="C18" i="8"/>
  <c r="E17" i="8"/>
  <c r="D17" i="8"/>
  <c r="E16" i="8"/>
  <c r="D16" i="8"/>
  <c r="E15" i="8"/>
  <c r="D15" i="8"/>
  <c r="C15" i="8"/>
  <c r="E14" i="8"/>
  <c r="D14" i="8"/>
  <c r="E13" i="8"/>
  <c r="D13" i="8"/>
  <c r="E12" i="8"/>
  <c r="D12" i="8"/>
  <c r="C12" i="8"/>
  <c r="E11" i="8"/>
  <c r="D11" i="8"/>
  <c r="E10" i="8"/>
  <c r="D10" i="8"/>
  <c r="E9" i="8"/>
  <c r="D9" i="8"/>
  <c r="E8" i="8"/>
  <c r="D8" i="8"/>
  <c r="C8" i="8"/>
  <c r="E7" i="8"/>
  <c r="D7" i="8"/>
  <c r="E6" i="8"/>
  <c r="D6" i="8"/>
  <c r="E5" i="8"/>
  <c r="D5" i="8"/>
  <c r="C5" i="8"/>
  <c r="E4" i="8"/>
  <c r="D4" i="8"/>
  <c r="E3" i="8"/>
  <c r="D3" i="8"/>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A95" i="7"/>
  <c r="Z95" i="7"/>
  <c r="Y95" i="7"/>
  <c r="X95" i="7"/>
  <c r="W95" i="7"/>
  <c r="V95" i="7"/>
  <c r="U95" i="7"/>
  <c r="T95" i="7"/>
  <c r="S95" i="7"/>
  <c r="R95" i="7"/>
  <c r="Q95" i="7"/>
  <c r="P95" i="7"/>
  <c r="O95" i="7"/>
  <c r="N95" i="7"/>
  <c r="M95" i="7"/>
  <c r="L95" i="7"/>
  <c r="K95" i="7"/>
  <c r="J95" i="7"/>
  <c r="I95" i="7"/>
  <c r="H95" i="7"/>
  <c r="G95" i="7"/>
  <c r="F95" i="7"/>
  <c r="E95" i="7"/>
  <c r="AD95" i="7" s="1"/>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W4" i="7" s="1"/>
  <c r="V92" i="7"/>
  <c r="V4" i="7" s="1"/>
  <c r="U92" i="7"/>
  <c r="T92" i="7"/>
  <c r="S92" i="7"/>
  <c r="R92" i="7"/>
  <c r="Q92" i="7"/>
  <c r="P92" i="7"/>
  <c r="O92" i="7"/>
  <c r="O4" i="7" s="1"/>
  <c r="N92" i="7"/>
  <c r="N4" i="7" s="1"/>
  <c r="M92" i="7"/>
  <c r="L92" i="7"/>
  <c r="K92" i="7"/>
  <c r="J92" i="7"/>
  <c r="I92" i="7"/>
  <c r="H92" i="7"/>
  <c r="G92" i="7"/>
  <c r="G4" i="7" s="1"/>
  <c r="F92" i="7"/>
  <c r="F4" i="7" s="1"/>
  <c r="E92" i="7"/>
  <c r="AD92" i="7" s="1"/>
  <c r="D92" i="7"/>
  <c r="C92" i="7"/>
  <c r="AC91" i="7"/>
  <c r="AA91" i="7"/>
  <c r="Z91" i="7"/>
  <c r="Y91" i="7"/>
  <c r="X91" i="7"/>
  <c r="W91" i="7"/>
  <c r="V91" i="7"/>
  <c r="U91" i="7"/>
  <c r="T91" i="7"/>
  <c r="S91" i="7"/>
  <c r="R91" i="7"/>
  <c r="Q91" i="7"/>
  <c r="P91" i="7"/>
  <c r="O91" i="7"/>
  <c r="N91" i="7"/>
  <c r="M91" i="7"/>
  <c r="L91" i="7"/>
  <c r="K91" i="7"/>
  <c r="J91" i="7"/>
  <c r="I91" i="7"/>
  <c r="H91" i="7"/>
  <c r="G91" i="7"/>
  <c r="F91" i="7"/>
  <c r="E91" i="7"/>
  <c r="D91" i="7"/>
  <c r="C91" i="7"/>
  <c r="AC90" i="7"/>
  <c r="AD90" i="7" s="1"/>
  <c r="AA90" i="7"/>
  <c r="Z90" i="7"/>
  <c r="Y90" i="7"/>
  <c r="X90" i="7"/>
  <c r="W90" i="7"/>
  <c r="V90" i="7"/>
  <c r="U90" i="7"/>
  <c r="U5" i="7" s="1"/>
  <c r="T90" i="7"/>
  <c r="S90" i="7"/>
  <c r="R90" i="7"/>
  <c r="Q90" i="7"/>
  <c r="P90" i="7"/>
  <c r="O90" i="7"/>
  <c r="N90" i="7"/>
  <c r="M90" i="7"/>
  <c r="M5" i="7" s="1"/>
  <c r="L90" i="7"/>
  <c r="K90" i="7"/>
  <c r="J90" i="7"/>
  <c r="I90" i="7"/>
  <c r="H90" i="7"/>
  <c r="G90" i="7"/>
  <c r="F90" i="7"/>
  <c r="E90" i="7"/>
  <c r="E5"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A87" i="7"/>
  <c r="Z87" i="7"/>
  <c r="Y87" i="7"/>
  <c r="X87" i="7"/>
  <c r="W87" i="7"/>
  <c r="V87" i="7"/>
  <c r="U87" i="7"/>
  <c r="T87" i="7"/>
  <c r="S87" i="7"/>
  <c r="R87" i="7"/>
  <c r="Q87" i="7"/>
  <c r="P87" i="7"/>
  <c r="O87" i="7"/>
  <c r="N87" i="7"/>
  <c r="M87" i="7"/>
  <c r="L87" i="7"/>
  <c r="K87" i="7"/>
  <c r="J87" i="7"/>
  <c r="I87" i="7"/>
  <c r="H87" i="7"/>
  <c r="G87" i="7"/>
  <c r="F87" i="7"/>
  <c r="E87" i="7"/>
  <c r="AD87" i="7" s="1"/>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A83" i="7"/>
  <c r="Z83" i="7"/>
  <c r="Y83" i="7"/>
  <c r="X83" i="7"/>
  <c r="W83" i="7"/>
  <c r="V83" i="7"/>
  <c r="U83" i="7"/>
  <c r="T83" i="7"/>
  <c r="S83" i="7"/>
  <c r="R83" i="7"/>
  <c r="Q83" i="7"/>
  <c r="P83" i="7"/>
  <c r="O83" i="7"/>
  <c r="N83" i="7"/>
  <c r="M83" i="7"/>
  <c r="L83" i="7"/>
  <c r="K83" i="7"/>
  <c r="J83" i="7"/>
  <c r="I83" i="7"/>
  <c r="H83" i="7"/>
  <c r="G83" i="7"/>
  <c r="F83" i="7"/>
  <c r="E83" i="7"/>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A79" i="7"/>
  <c r="Z79" i="7"/>
  <c r="Y79" i="7"/>
  <c r="X79" i="7"/>
  <c r="W79" i="7"/>
  <c r="V79" i="7"/>
  <c r="U79" i="7"/>
  <c r="T79" i="7"/>
  <c r="S79" i="7"/>
  <c r="R79" i="7"/>
  <c r="Q79" i="7"/>
  <c r="P79" i="7"/>
  <c r="O79" i="7"/>
  <c r="N79" i="7"/>
  <c r="M79" i="7"/>
  <c r="L79" i="7"/>
  <c r="K79" i="7"/>
  <c r="J79" i="7"/>
  <c r="I79" i="7"/>
  <c r="H79" i="7"/>
  <c r="G79" i="7"/>
  <c r="F79" i="7"/>
  <c r="E79" i="7"/>
  <c r="AD79" i="7" s="1"/>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A75" i="7"/>
  <c r="Z75" i="7"/>
  <c r="Y75" i="7"/>
  <c r="X75" i="7"/>
  <c r="W75" i="7"/>
  <c r="V75" i="7"/>
  <c r="U75" i="7"/>
  <c r="T75" i="7"/>
  <c r="S75" i="7"/>
  <c r="R75" i="7"/>
  <c r="Q75" i="7"/>
  <c r="P75" i="7"/>
  <c r="O75" i="7"/>
  <c r="N75" i="7"/>
  <c r="M75" i="7"/>
  <c r="L75" i="7"/>
  <c r="K75" i="7"/>
  <c r="J75" i="7"/>
  <c r="I75" i="7"/>
  <c r="H75" i="7"/>
  <c r="G75" i="7"/>
  <c r="F75" i="7"/>
  <c r="E75" i="7"/>
  <c r="AD75" i="7" s="1"/>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A71" i="7"/>
  <c r="Z71" i="7"/>
  <c r="Y71" i="7"/>
  <c r="X71" i="7"/>
  <c r="W71" i="7"/>
  <c r="V71" i="7"/>
  <c r="U71" i="7"/>
  <c r="T71" i="7"/>
  <c r="S71" i="7"/>
  <c r="R71" i="7"/>
  <c r="Q71" i="7"/>
  <c r="P71" i="7"/>
  <c r="O71" i="7"/>
  <c r="N71" i="7"/>
  <c r="M71" i="7"/>
  <c r="L71" i="7"/>
  <c r="K71" i="7"/>
  <c r="J71" i="7"/>
  <c r="I71" i="7"/>
  <c r="H71" i="7"/>
  <c r="G71" i="7"/>
  <c r="F71" i="7"/>
  <c r="E71" i="7"/>
  <c r="AD71" i="7" s="1"/>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A63" i="7"/>
  <c r="Z63" i="7"/>
  <c r="Y63" i="7"/>
  <c r="X63" i="7"/>
  <c r="W63" i="7"/>
  <c r="V63" i="7"/>
  <c r="U63" i="7"/>
  <c r="T63" i="7"/>
  <c r="S63" i="7"/>
  <c r="R63" i="7"/>
  <c r="Q63" i="7"/>
  <c r="P63" i="7"/>
  <c r="O63" i="7"/>
  <c r="N63" i="7"/>
  <c r="M63" i="7"/>
  <c r="L63" i="7"/>
  <c r="K63" i="7"/>
  <c r="J63" i="7"/>
  <c r="I63" i="7"/>
  <c r="H63" i="7"/>
  <c r="G63" i="7"/>
  <c r="F63" i="7"/>
  <c r="E63" i="7"/>
  <c r="AD63" i="7" s="1"/>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AD55" i="7" s="1"/>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A47" i="7"/>
  <c r="Z47" i="7"/>
  <c r="Y47" i="7"/>
  <c r="X47" i="7"/>
  <c r="W47" i="7"/>
  <c r="V47" i="7"/>
  <c r="U47" i="7"/>
  <c r="T47" i="7"/>
  <c r="S47" i="7"/>
  <c r="R47" i="7"/>
  <c r="Q47" i="7"/>
  <c r="P47" i="7"/>
  <c r="O47" i="7"/>
  <c r="N47" i="7"/>
  <c r="M47" i="7"/>
  <c r="L47" i="7"/>
  <c r="K47" i="7"/>
  <c r="J47" i="7"/>
  <c r="I47" i="7"/>
  <c r="H47" i="7"/>
  <c r="G47" i="7"/>
  <c r="F47" i="7"/>
  <c r="E47" i="7"/>
  <c r="AD47" i="7" s="1"/>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D44" i="7" s="1"/>
  <c r="AA44" i="7"/>
  <c r="Z44" i="7"/>
  <c r="Y44" i="7"/>
  <c r="X44" i="7"/>
  <c r="W44" i="7"/>
  <c r="V44" i="7"/>
  <c r="U44" i="7"/>
  <c r="T44" i="7"/>
  <c r="S44" i="7"/>
  <c r="R44" i="7"/>
  <c r="Q44" i="7"/>
  <c r="P44" i="7"/>
  <c r="O44" i="7"/>
  <c r="N44" i="7"/>
  <c r="M44" i="7"/>
  <c r="L44" i="7"/>
  <c r="K44" i="7"/>
  <c r="J44" i="7"/>
  <c r="I44" i="7"/>
  <c r="H44" i="7"/>
  <c r="G44" i="7"/>
  <c r="F44" i="7"/>
  <c r="E44" i="7"/>
  <c r="D44" i="7"/>
  <c r="C44" i="7"/>
  <c r="AD43" i="7"/>
  <c r="AC43" i="7"/>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AD39" i="7" s="1"/>
  <c r="D39" i="7"/>
  <c r="C39" i="7"/>
  <c r="AC38" i="7"/>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AD31" i="7" s="1"/>
  <c r="D31" i="7"/>
  <c r="C31" i="7"/>
  <c r="AC30" i="7"/>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AD23" i="7" s="1"/>
  <c r="D23" i="7"/>
  <c r="C23" i="7"/>
  <c r="AC22" i="7"/>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AD15" i="7" s="1"/>
  <c r="D15" i="7"/>
  <c r="C15" i="7"/>
  <c r="AC14" i="7"/>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T9" i="7"/>
  <c r="R9" i="7"/>
  <c r="F9" i="7"/>
  <c r="D9" i="7"/>
  <c r="T8" i="7"/>
  <c r="O7" i="7"/>
  <c r="F7" i="7"/>
  <c r="Z6" i="7"/>
  <c r="Y6" i="7"/>
  <c r="X6" i="7"/>
  <c r="W6" i="7"/>
  <c r="V6" i="7"/>
  <c r="U6" i="7"/>
  <c r="R6" i="7"/>
  <c r="Q6" i="7"/>
  <c r="P6" i="7"/>
  <c r="O6" i="7"/>
  <c r="N6" i="7"/>
  <c r="M6" i="7"/>
  <c r="J6" i="7"/>
  <c r="I6" i="7"/>
  <c r="H6" i="7"/>
  <c r="G6" i="7"/>
  <c r="F6" i="7"/>
  <c r="E6" i="7"/>
  <c r="Z5" i="7"/>
  <c r="Y5" i="7"/>
  <c r="X5" i="7"/>
  <c r="W5" i="7"/>
  <c r="V5" i="7"/>
  <c r="R5" i="7"/>
  <c r="Q5" i="7"/>
  <c r="P5" i="7"/>
  <c r="O5" i="7"/>
  <c r="N5" i="7"/>
  <c r="J5" i="7"/>
  <c r="I5" i="7"/>
  <c r="H5" i="7"/>
  <c r="G5" i="7"/>
  <c r="F5" i="7"/>
  <c r="AE4" i="7"/>
  <c r="D8" i="7" s="1"/>
  <c r="Z4" i="7"/>
  <c r="Y4" i="7"/>
  <c r="X4" i="7"/>
  <c r="U4" i="7"/>
  <c r="T4" i="7"/>
  <c r="R4" i="7"/>
  <c r="Q4" i="7"/>
  <c r="P4" i="7"/>
  <c r="M4" i="7"/>
  <c r="L4" i="7"/>
  <c r="K4" i="7"/>
  <c r="J4" i="7"/>
  <c r="I4" i="7"/>
  <c r="H4" i="7"/>
  <c r="E4" i="7"/>
  <c r="D4" i="7"/>
  <c r="C4" i="7"/>
  <c r="AE3" i="7"/>
  <c r="AE2" i="7"/>
  <c r="AC98" i="6"/>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C92" i="6"/>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V6" i="6" s="1"/>
  <c r="U91" i="6"/>
  <c r="T91" i="6"/>
  <c r="S91" i="6"/>
  <c r="R91" i="6"/>
  <c r="Q91" i="6"/>
  <c r="P91" i="6"/>
  <c r="O91" i="6"/>
  <c r="N91" i="6"/>
  <c r="N6" i="6" s="1"/>
  <c r="M91" i="6"/>
  <c r="L91" i="6"/>
  <c r="K91" i="6"/>
  <c r="J91" i="6"/>
  <c r="I91" i="6"/>
  <c r="H91" i="6"/>
  <c r="G91" i="6"/>
  <c r="F91" i="6"/>
  <c r="F6" i="6" s="1"/>
  <c r="E91" i="6"/>
  <c r="D91" i="6"/>
  <c r="C91" i="6"/>
  <c r="AC90" i="6"/>
  <c r="AA90" i="6"/>
  <c r="Z90" i="6"/>
  <c r="Y90" i="6"/>
  <c r="X90" i="6"/>
  <c r="W90" i="6"/>
  <c r="V90" i="6"/>
  <c r="U90" i="6"/>
  <c r="T90" i="6"/>
  <c r="S90" i="6"/>
  <c r="R90" i="6"/>
  <c r="Q90" i="6"/>
  <c r="P90" i="6"/>
  <c r="O90" i="6"/>
  <c r="N90" i="6"/>
  <c r="M90" i="6"/>
  <c r="L90" i="6"/>
  <c r="K90" i="6"/>
  <c r="J90" i="6"/>
  <c r="I90" i="6"/>
  <c r="H90" i="6"/>
  <c r="G90" i="6"/>
  <c r="F90" i="6"/>
  <c r="E90" i="6"/>
  <c r="D90" i="6"/>
  <c r="C90" i="6"/>
  <c r="AD89"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D85" i="6" s="1"/>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C79" i="6"/>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C76" i="6"/>
  <c r="AA76" i="6"/>
  <c r="Z76" i="6"/>
  <c r="Y76" i="6"/>
  <c r="X76" i="6"/>
  <c r="W76" i="6"/>
  <c r="V76" i="6"/>
  <c r="U76" i="6"/>
  <c r="T76" i="6"/>
  <c r="S76" i="6"/>
  <c r="R76" i="6"/>
  <c r="Q76" i="6"/>
  <c r="P76" i="6"/>
  <c r="O76" i="6"/>
  <c r="N76" i="6"/>
  <c r="M76" i="6"/>
  <c r="L76" i="6"/>
  <c r="K76" i="6"/>
  <c r="J76" i="6"/>
  <c r="I76" i="6"/>
  <c r="H76" i="6"/>
  <c r="G76" i="6"/>
  <c r="F76" i="6"/>
  <c r="E76" i="6"/>
  <c r="D76" i="6"/>
  <c r="C76" i="6"/>
  <c r="AC75" i="6"/>
  <c r="AA75" i="6"/>
  <c r="Z75" i="6"/>
  <c r="Y75" i="6"/>
  <c r="X75" i="6"/>
  <c r="W75" i="6"/>
  <c r="V75" i="6"/>
  <c r="U75" i="6"/>
  <c r="T75" i="6"/>
  <c r="S75" i="6"/>
  <c r="R75" i="6"/>
  <c r="Q75" i="6"/>
  <c r="P75" i="6"/>
  <c r="O75" i="6"/>
  <c r="N75" i="6"/>
  <c r="M75" i="6"/>
  <c r="L75" i="6"/>
  <c r="K75" i="6"/>
  <c r="J75" i="6"/>
  <c r="I75" i="6"/>
  <c r="H75" i="6"/>
  <c r="G75" i="6"/>
  <c r="F75" i="6"/>
  <c r="E75" i="6"/>
  <c r="D75" i="6"/>
  <c r="C75" i="6"/>
  <c r="AC74" i="6"/>
  <c r="AA74" i="6"/>
  <c r="Z74" i="6"/>
  <c r="Y74" i="6"/>
  <c r="X74" i="6"/>
  <c r="W74" i="6"/>
  <c r="V74" i="6"/>
  <c r="U74" i="6"/>
  <c r="T74" i="6"/>
  <c r="S74" i="6"/>
  <c r="R74" i="6"/>
  <c r="Q74" i="6"/>
  <c r="P74" i="6"/>
  <c r="O74" i="6"/>
  <c r="N74" i="6"/>
  <c r="M74" i="6"/>
  <c r="L74" i="6"/>
  <c r="K74" i="6"/>
  <c r="J74" i="6"/>
  <c r="I74" i="6"/>
  <c r="H74" i="6"/>
  <c r="G74" i="6"/>
  <c r="F74" i="6"/>
  <c r="E74" i="6"/>
  <c r="D74" i="6"/>
  <c r="C74" i="6"/>
  <c r="AD73" i="6"/>
  <c r="AC73" i="6"/>
  <c r="AA73" i="6"/>
  <c r="Z73" i="6"/>
  <c r="Y73" i="6"/>
  <c r="X73" i="6"/>
  <c r="W73" i="6"/>
  <c r="V73" i="6"/>
  <c r="U73" i="6"/>
  <c r="T73" i="6"/>
  <c r="S73" i="6"/>
  <c r="R73" i="6"/>
  <c r="Q73" i="6"/>
  <c r="P73" i="6"/>
  <c r="O73" i="6"/>
  <c r="N73" i="6"/>
  <c r="M73" i="6"/>
  <c r="L73" i="6"/>
  <c r="K73" i="6"/>
  <c r="J73" i="6"/>
  <c r="I73" i="6"/>
  <c r="H73" i="6"/>
  <c r="G73" i="6"/>
  <c r="F73" i="6"/>
  <c r="E73" i="6"/>
  <c r="D73" i="6"/>
  <c r="C73" i="6"/>
  <c r="AC72" i="6"/>
  <c r="AA72" i="6"/>
  <c r="Z72" i="6"/>
  <c r="Y72" i="6"/>
  <c r="X72" i="6"/>
  <c r="W72" i="6"/>
  <c r="V72" i="6"/>
  <c r="U72" i="6"/>
  <c r="T72" i="6"/>
  <c r="S72" i="6"/>
  <c r="R72" i="6"/>
  <c r="Q72" i="6"/>
  <c r="P72" i="6"/>
  <c r="O72" i="6"/>
  <c r="N72" i="6"/>
  <c r="M72" i="6"/>
  <c r="L72" i="6"/>
  <c r="K72" i="6"/>
  <c r="J72" i="6"/>
  <c r="I72" i="6"/>
  <c r="H72" i="6"/>
  <c r="G72" i="6"/>
  <c r="F72" i="6"/>
  <c r="E72" i="6"/>
  <c r="D72" i="6"/>
  <c r="C72" i="6"/>
  <c r="AC71" i="6"/>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C68" i="6"/>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A66" i="6"/>
  <c r="Z66" i="6"/>
  <c r="Y66" i="6"/>
  <c r="X66" i="6"/>
  <c r="W66" i="6"/>
  <c r="V66" i="6"/>
  <c r="U66" i="6"/>
  <c r="T66" i="6"/>
  <c r="S66" i="6"/>
  <c r="R66" i="6"/>
  <c r="Q66" i="6"/>
  <c r="P66" i="6"/>
  <c r="O66" i="6"/>
  <c r="N66" i="6"/>
  <c r="M66" i="6"/>
  <c r="L66" i="6"/>
  <c r="K66" i="6"/>
  <c r="J66" i="6"/>
  <c r="I66" i="6"/>
  <c r="H66" i="6"/>
  <c r="G66" i="6"/>
  <c r="F66" i="6"/>
  <c r="E66" i="6"/>
  <c r="D66" i="6"/>
  <c r="C66" i="6"/>
  <c r="AD65"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D57" i="6"/>
  <c r="AC57" i="6"/>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D53" i="6" s="1"/>
  <c r="AA53" i="6"/>
  <c r="Z53" i="6"/>
  <c r="Y53" i="6"/>
  <c r="X53" i="6"/>
  <c r="W53" i="6"/>
  <c r="V53" i="6"/>
  <c r="U53" i="6"/>
  <c r="T53" i="6"/>
  <c r="S53" i="6"/>
  <c r="R53" i="6"/>
  <c r="Q53" i="6"/>
  <c r="P53" i="6"/>
  <c r="O53" i="6"/>
  <c r="N53" i="6"/>
  <c r="M53" i="6"/>
  <c r="L53" i="6"/>
  <c r="K53" i="6"/>
  <c r="J53" i="6"/>
  <c r="I53" i="6"/>
  <c r="H53" i="6"/>
  <c r="G53" i="6"/>
  <c r="F53" i="6"/>
  <c r="E53" i="6"/>
  <c r="D53" i="6"/>
  <c r="C53"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C50" i="6"/>
  <c r="AA50" i="6"/>
  <c r="Z50" i="6"/>
  <c r="Y50" i="6"/>
  <c r="X50" i="6"/>
  <c r="W50" i="6"/>
  <c r="V50" i="6"/>
  <c r="U50" i="6"/>
  <c r="T50" i="6"/>
  <c r="S50" i="6"/>
  <c r="R50" i="6"/>
  <c r="Q50" i="6"/>
  <c r="P50" i="6"/>
  <c r="O50" i="6"/>
  <c r="N50" i="6"/>
  <c r="M50" i="6"/>
  <c r="L50" i="6"/>
  <c r="K50" i="6"/>
  <c r="J50" i="6"/>
  <c r="I50" i="6"/>
  <c r="H50" i="6"/>
  <c r="G50" i="6"/>
  <c r="F50" i="6"/>
  <c r="E50" i="6"/>
  <c r="D50" i="6"/>
  <c r="C50" i="6"/>
  <c r="AC49" i="6"/>
  <c r="AD49" i="6" s="1"/>
  <c r="AA49" i="6"/>
  <c r="Z49" i="6"/>
  <c r="Y49" i="6"/>
  <c r="X49" i="6"/>
  <c r="W49" i="6"/>
  <c r="V49" i="6"/>
  <c r="U49" i="6"/>
  <c r="T49" i="6"/>
  <c r="S49" i="6"/>
  <c r="R49" i="6"/>
  <c r="Q49" i="6"/>
  <c r="P49" i="6"/>
  <c r="O49" i="6"/>
  <c r="N49" i="6"/>
  <c r="M49" i="6"/>
  <c r="L49" i="6"/>
  <c r="K49" i="6"/>
  <c r="J49" i="6"/>
  <c r="I49" i="6"/>
  <c r="H49" i="6"/>
  <c r="G49" i="6"/>
  <c r="F49" i="6"/>
  <c r="E49" i="6"/>
  <c r="D49" i="6"/>
  <c r="C49" i="6"/>
  <c r="AC48" i="6"/>
  <c r="AA48" i="6"/>
  <c r="Z48" i="6"/>
  <c r="Y48" i="6"/>
  <c r="X48" i="6"/>
  <c r="W48" i="6"/>
  <c r="V48" i="6"/>
  <c r="U48" i="6"/>
  <c r="T48" i="6"/>
  <c r="S48" i="6"/>
  <c r="R48" i="6"/>
  <c r="Q48" i="6"/>
  <c r="P48" i="6"/>
  <c r="O48" i="6"/>
  <c r="N48" i="6"/>
  <c r="M48" i="6"/>
  <c r="L48" i="6"/>
  <c r="K48" i="6"/>
  <c r="J48" i="6"/>
  <c r="I48" i="6"/>
  <c r="H48" i="6"/>
  <c r="G48" i="6"/>
  <c r="F48" i="6"/>
  <c r="E48" i="6"/>
  <c r="D48" i="6"/>
  <c r="C48"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A40" i="6"/>
  <c r="Z40" i="6"/>
  <c r="Y40" i="6"/>
  <c r="X40" i="6"/>
  <c r="W40" i="6"/>
  <c r="V40" i="6"/>
  <c r="U40" i="6"/>
  <c r="T40" i="6"/>
  <c r="S40" i="6"/>
  <c r="R40" i="6"/>
  <c r="Q40" i="6"/>
  <c r="P40" i="6"/>
  <c r="O40" i="6"/>
  <c r="N40" i="6"/>
  <c r="M40" i="6"/>
  <c r="L40" i="6"/>
  <c r="K40" i="6"/>
  <c r="J40" i="6"/>
  <c r="I40" i="6"/>
  <c r="H40" i="6"/>
  <c r="G40" i="6"/>
  <c r="F40" i="6"/>
  <c r="E40" i="6"/>
  <c r="D40" i="6"/>
  <c r="C40"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D38" i="6"/>
  <c r="AC38" i="6"/>
  <c r="AA38" i="6"/>
  <c r="Z38" i="6"/>
  <c r="Y38" i="6"/>
  <c r="X38" i="6"/>
  <c r="W38" i="6"/>
  <c r="V38" i="6"/>
  <c r="U38" i="6"/>
  <c r="T38" i="6"/>
  <c r="S38" i="6"/>
  <c r="R38" i="6"/>
  <c r="Q38" i="6"/>
  <c r="P38" i="6"/>
  <c r="O38" i="6"/>
  <c r="N38" i="6"/>
  <c r="M38" i="6"/>
  <c r="L38" i="6"/>
  <c r="K38" i="6"/>
  <c r="J38" i="6"/>
  <c r="I38" i="6"/>
  <c r="H38" i="6"/>
  <c r="G38" i="6"/>
  <c r="F38" i="6"/>
  <c r="E38" i="6"/>
  <c r="D38" i="6"/>
  <c r="C38"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D35" i="6"/>
  <c r="AC35" i="6"/>
  <c r="AA35" i="6"/>
  <c r="Z35" i="6"/>
  <c r="Y35" i="6"/>
  <c r="X35" i="6"/>
  <c r="W35" i="6"/>
  <c r="V35" i="6"/>
  <c r="U35" i="6"/>
  <c r="T35" i="6"/>
  <c r="S35" i="6"/>
  <c r="R35" i="6"/>
  <c r="Q35" i="6"/>
  <c r="P35" i="6"/>
  <c r="O35" i="6"/>
  <c r="N35" i="6"/>
  <c r="M35" i="6"/>
  <c r="L35" i="6"/>
  <c r="K35" i="6"/>
  <c r="J35" i="6"/>
  <c r="I35" i="6"/>
  <c r="H35" i="6"/>
  <c r="G35" i="6"/>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C31" i="6"/>
  <c r="AA31" i="6"/>
  <c r="Z31" i="6"/>
  <c r="Y31" i="6"/>
  <c r="X31" i="6"/>
  <c r="W31" i="6"/>
  <c r="V31" i="6"/>
  <c r="U31" i="6"/>
  <c r="T31" i="6"/>
  <c r="S31" i="6"/>
  <c r="R31" i="6"/>
  <c r="Q31" i="6"/>
  <c r="P31" i="6"/>
  <c r="O31" i="6"/>
  <c r="N31" i="6"/>
  <c r="M31" i="6"/>
  <c r="L31" i="6"/>
  <c r="K31" i="6"/>
  <c r="J31" i="6"/>
  <c r="I31" i="6"/>
  <c r="H31" i="6"/>
  <c r="G31" i="6"/>
  <c r="AD31" i="6" s="1"/>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D29" i="6"/>
  <c r="AC29" i="6"/>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D27" i="6"/>
  <c r="AC27" i="6"/>
  <c r="AA27" i="6"/>
  <c r="Z27" i="6"/>
  <c r="Y27" i="6"/>
  <c r="X27" i="6"/>
  <c r="W27" i="6"/>
  <c r="V27" i="6"/>
  <c r="U27" i="6"/>
  <c r="T27" i="6"/>
  <c r="S27" i="6"/>
  <c r="R27" i="6"/>
  <c r="Q27" i="6"/>
  <c r="P27" i="6"/>
  <c r="O27" i="6"/>
  <c r="N27" i="6"/>
  <c r="M27" i="6"/>
  <c r="L27" i="6"/>
  <c r="K27" i="6"/>
  <c r="J27" i="6"/>
  <c r="I27" i="6"/>
  <c r="H27" i="6"/>
  <c r="G27" i="6"/>
  <c r="F27" i="6"/>
  <c r="E27" i="6"/>
  <c r="D27" i="6"/>
  <c r="C27"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A24" i="6"/>
  <c r="Z24" i="6"/>
  <c r="Y24" i="6"/>
  <c r="X24" i="6"/>
  <c r="W24" i="6"/>
  <c r="V24" i="6"/>
  <c r="U24" i="6"/>
  <c r="T24" i="6"/>
  <c r="S24" i="6"/>
  <c r="R24" i="6"/>
  <c r="Q24" i="6"/>
  <c r="P24" i="6"/>
  <c r="O24" i="6"/>
  <c r="N24" i="6"/>
  <c r="M24" i="6"/>
  <c r="L24" i="6"/>
  <c r="K24" i="6"/>
  <c r="J24" i="6"/>
  <c r="I24" i="6"/>
  <c r="H24" i="6"/>
  <c r="G24" i="6"/>
  <c r="F24" i="6"/>
  <c r="E24" i="6"/>
  <c r="D24" i="6"/>
  <c r="C24" i="6"/>
  <c r="AD23" i="6"/>
  <c r="AC23" i="6"/>
  <c r="AA23" i="6"/>
  <c r="Z23" i="6"/>
  <c r="Y23" i="6"/>
  <c r="X23" i="6"/>
  <c r="W23" i="6"/>
  <c r="V23" i="6"/>
  <c r="U23" i="6"/>
  <c r="T23" i="6"/>
  <c r="S23" i="6"/>
  <c r="R23" i="6"/>
  <c r="Q23" i="6"/>
  <c r="P23" i="6"/>
  <c r="O23" i="6"/>
  <c r="N23" i="6"/>
  <c r="M23" i="6"/>
  <c r="L23" i="6"/>
  <c r="K23" i="6"/>
  <c r="J23" i="6"/>
  <c r="I23" i="6"/>
  <c r="H23" i="6"/>
  <c r="G23" i="6"/>
  <c r="F23" i="6"/>
  <c r="E23" i="6"/>
  <c r="D23" i="6"/>
  <c r="C23" i="6"/>
  <c r="AD22" i="6"/>
  <c r="AC22" i="6"/>
  <c r="AA22" i="6"/>
  <c r="Z22" i="6"/>
  <c r="Y22" i="6"/>
  <c r="X22" i="6"/>
  <c r="W22" i="6"/>
  <c r="V22" i="6"/>
  <c r="U22" i="6"/>
  <c r="T22" i="6"/>
  <c r="S22" i="6"/>
  <c r="R22" i="6"/>
  <c r="Q22" i="6"/>
  <c r="P22" i="6"/>
  <c r="O22" i="6"/>
  <c r="N22" i="6"/>
  <c r="M22" i="6"/>
  <c r="L22" i="6"/>
  <c r="K22" i="6"/>
  <c r="J22" i="6"/>
  <c r="I22" i="6"/>
  <c r="H22" i="6"/>
  <c r="G22" i="6"/>
  <c r="F22" i="6"/>
  <c r="E22" i="6"/>
  <c r="D22" i="6"/>
  <c r="C22" i="6"/>
  <c r="AD21" i="6"/>
  <c r="AC21" i="6"/>
  <c r="AA21" i="6"/>
  <c r="Z21" i="6"/>
  <c r="Y21" i="6"/>
  <c r="X21" i="6"/>
  <c r="W21" i="6"/>
  <c r="V21" i="6"/>
  <c r="U21" i="6"/>
  <c r="T21" i="6"/>
  <c r="S21" i="6"/>
  <c r="R21" i="6"/>
  <c r="Q21" i="6"/>
  <c r="P21" i="6"/>
  <c r="O21" i="6"/>
  <c r="N21" i="6"/>
  <c r="M21" i="6"/>
  <c r="L21" i="6"/>
  <c r="K21" i="6"/>
  <c r="J21" i="6"/>
  <c r="I21" i="6"/>
  <c r="H21" i="6"/>
  <c r="G21" i="6"/>
  <c r="F21" i="6"/>
  <c r="E21" i="6"/>
  <c r="D21" i="6"/>
  <c r="C21" i="6"/>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D19" i="6"/>
  <c r="AC19" i="6"/>
  <c r="AA19" i="6"/>
  <c r="Z19" i="6"/>
  <c r="Y19" i="6"/>
  <c r="X19" i="6"/>
  <c r="W19" i="6"/>
  <c r="V19" i="6"/>
  <c r="U19" i="6"/>
  <c r="T19" i="6"/>
  <c r="S19" i="6"/>
  <c r="R19" i="6"/>
  <c r="Q19" i="6"/>
  <c r="P19" i="6"/>
  <c r="O19" i="6"/>
  <c r="N19" i="6"/>
  <c r="M19" i="6"/>
  <c r="L19" i="6"/>
  <c r="K19" i="6"/>
  <c r="J19" i="6"/>
  <c r="I19" i="6"/>
  <c r="H19" i="6"/>
  <c r="G19" i="6"/>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C15" i="6"/>
  <c r="AA15" i="6"/>
  <c r="Z15" i="6"/>
  <c r="Y15" i="6"/>
  <c r="X15" i="6"/>
  <c r="W15" i="6"/>
  <c r="V15" i="6"/>
  <c r="U15" i="6"/>
  <c r="T15" i="6"/>
  <c r="S15" i="6"/>
  <c r="R15" i="6"/>
  <c r="Q15" i="6"/>
  <c r="P15" i="6"/>
  <c r="O15" i="6"/>
  <c r="N15" i="6"/>
  <c r="M15" i="6"/>
  <c r="L15" i="6"/>
  <c r="K15" i="6"/>
  <c r="J15" i="6"/>
  <c r="I15" i="6"/>
  <c r="H15" i="6"/>
  <c r="G15" i="6"/>
  <c r="AD15" i="6" s="1"/>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D11" i="6"/>
  <c r="AC11" i="6"/>
  <c r="Z11" i="6"/>
  <c r="Y11" i="6"/>
  <c r="X11" i="6"/>
  <c r="W11" i="6"/>
  <c r="V11" i="6"/>
  <c r="U11" i="6"/>
  <c r="T11" i="6"/>
  <c r="S11" i="6"/>
  <c r="R11" i="6"/>
  <c r="Q11" i="6"/>
  <c r="P11" i="6"/>
  <c r="O11" i="6"/>
  <c r="N11" i="6"/>
  <c r="M11" i="6"/>
  <c r="L11" i="6"/>
  <c r="K11" i="6"/>
  <c r="J11" i="6"/>
  <c r="I11" i="6"/>
  <c r="H11" i="6"/>
  <c r="G11" i="6"/>
  <c r="F11" i="6"/>
  <c r="E11" i="6"/>
  <c r="D11" i="6"/>
  <c r="C11" i="6"/>
  <c r="AA11" i="6" s="1"/>
  <c r="X9" i="6"/>
  <c r="P9" i="6"/>
  <c r="J9" i="6"/>
  <c r="AA6" i="6"/>
  <c r="AA7" i="6" s="1"/>
  <c r="Z6" i="6"/>
  <c r="Y6" i="6"/>
  <c r="U6" i="6"/>
  <c r="T6" i="6"/>
  <c r="S6" i="6"/>
  <c r="R6" i="6"/>
  <c r="Q6" i="6"/>
  <c r="M6" i="6"/>
  <c r="L6" i="6"/>
  <c r="K6" i="6"/>
  <c r="J6" i="6"/>
  <c r="J7" i="6" s="1"/>
  <c r="I6" i="6"/>
  <c r="E6" i="6"/>
  <c r="D6" i="6"/>
  <c r="C6" i="6"/>
  <c r="AA5" i="6"/>
  <c r="Z5" i="6"/>
  <c r="V5" i="6"/>
  <c r="U5" i="6"/>
  <c r="T5" i="6"/>
  <c r="S5" i="6"/>
  <c r="R5" i="6"/>
  <c r="N5" i="6"/>
  <c r="M5" i="6"/>
  <c r="L5" i="6"/>
  <c r="K5" i="6"/>
  <c r="J5" i="6"/>
  <c r="F5" i="6"/>
  <c r="E5" i="6"/>
  <c r="D5" i="6"/>
  <c r="C5" i="6"/>
  <c r="AE4" i="6"/>
  <c r="Y8" i="6" s="1"/>
  <c r="X4" i="6"/>
  <c r="W4" i="6"/>
  <c r="V4" i="6"/>
  <c r="U4" i="6"/>
  <c r="T4" i="6"/>
  <c r="P4" i="6"/>
  <c r="O4" i="6"/>
  <c r="N4" i="6"/>
  <c r="M4" i="6"/>
  <c r="L4" i="6"/>
  <c r="H4" i="6"/>
  <c r="G4" i="6"/>
  <c r="F4" i="6"/>
  <c r="E4" i="6"/>
  <c r="D4" i="6"/>
  <c r="AE3" i="6"/>
  <c r="T9" i="6" s="1"/>
  <c r="AE2" i="6"/>
  <c r="U9" i="6" s="1"/>
  <c r="AC99" i="5"/>
  <c r="AD99" i="5" s="1"/>
  <c r="AA99" i="5"/>
  <c r="Z99" i="5"/>
  <c r="Y99" i="5"/>
  <c r="X99" i="5"/>
  <c r="W99" i="5"/>
  <c r="V99" i="5"/>
  <c r="U99" i="5"/>
  <c r="T99" i="5"/>
  <c r="S99" i="5"/>
  <c r="R99" i="5"/>
  <c r="Q99" i="5"/>
  <c r="P99" i="5"/>
  <c r="O99" i="5"/>
  <c r="N99" i="5"/>
  <c r="M99" i="5"/>
  <c r="L99" i="5"/>
  <c r="K99" i="5"/>
  <c r="J99" i="5"/>
  <c r="I99" i="5"/>
  <c r="H99" i="5"/>
  <c r="G99" i="5"/>
  <c r="F99" i="5"/>
  <c r="E99" i="5"/>
  <c r="D99" i="5"/>
  <c r="C99" i="5"/>
  <c r="AC98" i="5"/>
  <c r="AA98" i="5"/>
  <c r="AA5" i="5" s="1"/>
  <c r="Z98" i="5"/>
  <c r="Y98" i="5"/>
  <c r="Y8" i="5" s="1"/>
  <c r="X98" i="5"/>
  <c r="X9" i="5" s="1"/>
  <c r="W98" i="5"/>
  <c r="V98" i="5"/>
  <c r="U98" i="5"/>
  <c r="T98" i="5"/>
  <c r="T9" i="5" s="1"/>
  <c r="S98" i="5"/>
  <c r="S8" i="5" s="1"/>
  <c r="R98" i="5"/>
  <c r="Q98" i="5"/>
  <c r="Q8" i="5" s="1"/>
  <c r="P98" i="5"/>
  <c r="P9" i="5" s="1"/>
  <c r="O98" i="5"/>
  <c r="N98" i="5"/>
  <c r="M98" i="5"/>
  <c r="L98" i="5"/>
  <c r="L8" i="5" s="1"/>
  <c r="K98" i="5"/>
  <c r="K6" i="5" s="1"/>
  <c r="K7" i="5" s="1"/>
  <c r="J98" i="5"/>
  <c r="I98" i="5"/>
  <c r="I8" i="5" s="1"/>
  <c r="H98" i="5"/>
  <c r="H9" i="5" s="1"/>
  <c r="G98" i="5"/>
  <c r="F98" i="5"/>
  <c r="E98" i="5"/>
  <c r="D98" i="5"/>
  <c r="D9" i="5" s="1"/>
  <c r="C98" i="5"/>
  <c r="C8" i="5" s="1"/>
  <c r="AC97" i="5"/>
  <c r="AA97" i="5"/>
  <c r="Z97" i="5"/>
  <c r="Y97" i="5"/>
  <c r="X97" i="5"/>
  <c r="W97" i="5"/>
  <c r="V97" i="5"/>
  <c r="U97" i="5"/>
  <c r="T97" i="5"/>
  <c r="S97" i="5"/>
  <c r="R97" i="5"/>
  <c r="Q97" i="5"/>
  <c r="Q4" i="5" s="1"/>
  <c r="P97" i="5"/>
  <c r="P4" i="5" s="1"/>
  <c r="O97" i="5"/>
  <c r="N97" i="5"/>
  <c r="M97" i="5"/>
  <c r="L97" i="5"/>
  <c r="K97" i="5"/>
  <c r="J97" i="5"/>
  <c r="I97" i="5"/>
  <c r="AD97" i="5" s="1"/>
  <c r="H97" i="5"/>
  <c r="G97" i="5"/>
  <c r="F97" i="5"/>
  <c r="E97" i="5"/>
  <c r="AE97" i="5" s="1"/>
  <c r="D97" i="5"/>
  <c r="C97" i="5"/>
  <c r="AC96" i="5"/>
  <c r="AE96" i="5" s="1"/>
  <c r="AA96" i="5"/>
  <c r="Z96" i="5"/>
  <c r="Y96" i="5"/>
  <c r="X96" i="5"/>
  <c r="W96" i="5"/>
  <c r="V96" i="5"/>
  <c r="U96" i="5"/>
  <c r="T96" i="5"/>
  <c r="S96" i="5"/>
  <c r="R96" i="5"/>
  <c r="Q96" i="5"/>
  <c r="P96" i="5"/>
  <c r="O96" i="5"/>
  <c r="N96" i="5"/>
  <c r="M96" i="5"/>
  <c r="L96" i="5"/>
  <c r="K96" i="5"/>
  <c r="J96" i="5"/>
  <c r="I96" i="5"/>
  <c r="H96" i="5"/>
  <c r="G96" i="5"/>
  <c r="F96" i="5"/>
  <c r="E96" i="5"/>
  <c r="D96" i="5"/>
  <c r="C96" i="5"/>
  <c r="AC95" i="5"/>
  <c r="AE95" i="5" s="1"/>
  <c r="AA95" i="5"/>
  <c r="Z95" i="5"/>
  <c r="Y95" i="5"/>
  <c r="X95" i="5"/>
  <c r="X6" i="5" s="1"/>
  <c r="X7" i="5" s="1"/>
  <c r="W95" i="5"/>
  <c r="W6" i="5" s="1"/>
  <c r="W7" i="5" s="1"/>
  <c r="V95" i="5"/>
  <c r="U95" i="5"/>
  <c r="T95" i="5"/>
  <c r="S95" i="5"/>
  <c r="R95" i="5"/>
  <c r="Q95" i="5"/>
  <c r="P95" i="5"/>
  <c r="O95" i="5"/>
  <c r="N95" i="5"/>
  <c r="M95" i="5"/>
  <c r="L95" i="5"/>
  <c r="K95" i="5"/>
  <c r="J95" i="5"/>
  <c r="I95" i="5"/>
  <c r="AD95" i="5" s="1"/>
  <c r="H95" i="5"/>
  <c r="H4" i="5" s="1"/>
  <c r="G95" i="5"/>
  <c r="G4" i="5" s="1"/>
  <c r="F95" i="5"/>
  <c r="E95" i="5"/>
  <c r="D95" i="5"/>
  <c r="C95" i="5"/>
  <c r="AC94" i="5"/>
  <c r="AE94" i="5" s="1"/>
  <c r="AA94" i="5"/>
  <c r="Z94" i="5"/>
  <c r="Y94" i="5"/>
  <c r="X94" i="5"/>
  <c r="X5" i="5" s="1"/>
  <c r="W94" i="5"/>
  <c r="V94" i="5"/>
  <c r="U94" i="5"/>
  <c r="U8" i="5" s="1"/>
  <c r="T94" i="5"/>
  <c r="S94" i="5"/>
  <c r="R94" i="5"/>
  <c r="Q94" i="5"/>
  <c r="P94" i="5"/>
  <c r="P5" i="5" s="1"/>
  <c r="O94" i="5"/>
  <c r="O6" i="5" s="1"/>
  <c r="O7" i="5" s="1"/>
  <c r="N94" i="5"/>
  <c r="N6" i="5" s="1"/>
  <c r="N7" i="5" s="1"/>
  <c r="M94" i="5"/>
  <c r="M4" i="5" s="1"/>
  <c r="L94" i="5"/>
  <c r="K94" i="5"/>
  <c r="J94" i="5"/>
  <c r="I94" i="5"/>
  <c r="H94" i="5"/>
  <c r="H6" i="5" s="1"/>
  <c r="H7" i="5" s="1"/>
  <c r="G94" i="5"/>
  <c r="F94" i="5"/>
  <c r="E94" i="5"/>
  <c r="E6" i="5" s="1"/>
  <c r="E7" i="5" s="1"/>
  <c r="D94" i="5"/>
  <c r="C94" i="5"/>
  <c r="AC93" i="5"/>
  <c r="AE93" i="5" s="1"/>
  <c r="AA93" i="5"/>
  <c r="Z93" i="5"/>
  <c r="Y93" i="5"/>
  <c r="Y5" i="5" s="1"/>
  <c r="X93" i="5"/>
  <c r="W93" i="5"/>
  <c r="V93" i="5"/>
  <c r="U93" i="5"/>
  <c r="T93" i="5"/>
  <c r="S93" i="5"/>
  <c r="R93" i="5"/>
  <c r="Q93" i="5"/>
  <c r="Q6" i="5" s="1"/>
  <c r="Q7" i="5" s="1"/>
  <c r="P93" i="5"/>
  <c r="O93" i="5"/>
  <c r="N93" i="5"/>
  <c r="M93" i="5"/>
  <c r="L93" i="5"/>
  <c r="K93" i="5"/>
  <c r="J93" i="5"/>
  <c r="I93" i="5"/>
  <c r="I6" i="5" s="1"/>
  <c r="I7" i="5" s="1"/>
  <c r="H93" i="5"/>
  <c r="G93" i="5"/>
  <c r="F93" i="5"/>
  <c r="E93" i="5"/>
  <c r="D93" i="5"/>
  <c r="C93" i="5"/>
  <c r="AE92" i="5"/>
  <c r="AC92" i="5"/>
  <c r="AD92" i="5" s="1"/>
  <c r="AA92" i="5"/>
  <c r="Z92" i="5"/>
  <c r="Y92" i="5"/>
  <c r="X92" i="5"/>
  <c r="W92" i="5"/>
  <c r="W4" i="5" s="1"/>
  <c r="V92" i="5"/>
  <c r="V5" i="5" s="1"/>
  <c r="U92" i="5"/>
  <c r="T92" i="5"/>
  <c r="S92" i="5"/>
  <c r="R92" i="5"/>
  <c r="Q92" i="5"/>
  <c r="P92" i="5"/>
  <c r="O92" i="5"/>
  <c r="O5" i="5" s="1"/>
  <c r="N92" i="5"/>
  <c r="N5" i="5" s="1"/>
  <c r="M92" i="5"/>
  <c r="L92" i="5"/>
  <c r="K92" i="5"/>
  <c r="J92" i="5"/>
  <c r="I92" i="5"/>
  <c r="H92" i="5"/>
  <c r="G92" i="5"/>
  <c r="G5" i="5" s="1"/>
  <c r="F92" i="5"/>
  <c r="F5" i="5" s="1"/>
  <c r="E92" i="5"/>
  <c r="D92" i="5"/>
  <c r="C92" i="5"/>
  <c r="AC91" i="5"/>
  <c r="AE91" i="5" s="1"/>
  <c r="AA91" i="5"/>
  <c r="Z91" i="5"/>
  <c r="Y91" i="5"/>
  <c r="X91" i="5"/>
  <c r="W91" i="5"/>
  <c r="V91" i="5"/>
  <c r="U91" i="5"/>
  <c r="T91" i="5"/>
  <c r="S91" i="5"/>
  <c r="R91" i="5"/>
  <c r="Q91" i="5"/>
  <c r="P91" i="5"/>
  <c r="O91" i="5"/>
  <c r="N91" i="5"/>
  <c r="M91" i="5"/>
  <c r="L91" i="5"/>
  <c r="K91" i="5"/>
  <c r="J91" i="5"/>
  <c r="I91" i="5"/>
  <c r="H91" i="5"/>
  <c r="G91" i="5"/>
  <c r="F91" i="5"/>
  <c r="E91" i="5"/>
  <c r="D91" i="5"/>
  <c r="C91" i="5"/>
  <c r="AC90" i="5"/>
  <c r="AA90" i="5"/>
  <c r="AA6" i="5" s="1"/>
  <c r="AA7" i="5" s="1"/>
  <c r="Z90" i="5"/>
  <c r="Z6" i="5" s="1"/>
  <c r="Z7" i="5" s="1"/>
  <c r="Y90" i="5"/>
  <c r="X90" i="5"/>
  <c r="W90" i="5"/>
  <c r="V90" i="5"/>
  <c r="U90" i="5"/>
  <c r="T90" i="5"/>
  <c r="S90" i="5"/>
  <c r="S4" i="5" s="1"/>
  <c r="R90" i="5"/>
  <c r="R6" i="5" s="1"/>
  <c r="R7" i="5" s="1"/>
  <c r="Q90" i="5"/>
  <c r="P90" i="5"/>
  <c r="O90" i="5"/>
  <c r="N90" i="5"/>
  <c r="M90" i="5"/>
  <c r="L90" i="5"/>
  <c r="L4" i="5" s="1"/>
  <c r="K90" i="5"/>
  <c r="K4" i="5" s="1"/>
  <c r="J90" i="5"/>
  <c r="J4" i="5" s="1"/>
  <c r="I90" i="5"/>
  <c r="H90" i="5"/>
  <c r="G90" i="5"/>
  <c r="F90" i="5"/>
  <c r="E90" i="5"/>
  <c r="D90" i="5"/>
  <c r="C90" i="5"/>
  <c r="C5" i="5" s="1"/>
  <c r="AE89" i="5"/>
  <c r="AC89" i="5"/>
  <c r="AA89" i="5"/>
  <c r="Z89" i="5"/>
  <c r="Y89" i="5"/>
  <c r="X89" i="5"/>
  <c r="W89" i="5"/>
  <c r="V89" i="5"/>
  <c r="U89" i="5"/>
  <c r="T89" i="5"/>
  <c r="S89" i="5"/>
  <c r="R89" i="5"/>
  <c r="Q89" i="5"/>
  <c r="P89" i="5"/>
  <c r="O89" i="5"/>
  <c r="N89" i="5"/>
  <c r="M89" i="5"/>
  <c r="L89" i="5"/>
  <c r="K89" i="5"/>
  <c r="J89" i="5"/>
  <c r="I89" i="5"/>
  <c r="AD89" i="5" s="1"/>
  <c r="H89" i="5"/>
  <c r="G89" i="5"/>
  <c r="F89" i="5"/>
  <c r="E89" i="5"/>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C87" i="5"/>
  <c r="AE87" i="5" s="1"/>
  <c r="AA87" i="5"/>
  <c r="Z87" i="5"/>
  <c r="Y87" i="5"/>
  <c r="X87" i="5"/>
  <c r="W87" i="5"/>
  <c r="V87" i="5"/>
  <c r="U87" i="5"/>
  <c r="T87" i="5"/>
  <c r="S87" i="5"/>
  <c r="R87" i="5"/>
  <c r="Q87" i="5"/>
  <c r="P87" i="5"/>
  <c r="O87" i="5"/>
  <c r="N87" i="5"/>
  <c r="M87" i="5"/>
  <c r="L87" i="5"/>
  <c r="K87" i="5"/>
  <c r="J87" i="5"/>
  <c r="I87" i="5"/>
  <c r="AD87" i="5" s="1"/>
  <c r="AF87" i="5" s="1"/>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A85" i="5"/>
  <c r="Z85" i="5"/>
  <c r="Y85" i="5"/>
  <c r="X85" i="5"/>
  <c r="W85" i="5"/>
  <c r="V85" i="5"/>
  <c r="U85" i="5"/>
  <c r="T85" i="5"/>
  <c r="S85" i="5"/>
  <c r="R85" i="5"/>
  <c r="Q85" i="5"/>
  <c r="P85" i="5"/>
  <c r="O85" i="5"/>
  <c r="N85" i="5"/>
  <c r="M85" i="5"/>
  <c r="L85" i="5"/>
  <c r="K85" i="5"/>
  <c r="J85" i="5"/>
  <c r="I85" i="5"/>
  <c r="AD85" i="5" s="1"/>
  <c r="H85" i="5"/>
  <c r="G85" i="5"/>
  <c r="F85" i="5"/>
  <c r="E85" i="5"/>
  <c r="D85" i="5"/>
  <c r="C85" i="5"/>
  <c r="AE84" i="5"/>
  <c r="AC84" i="5"/>
  <c r="AD84" i="5" s="1"/>
  <c r="AF84" i="5" s="1"/>
  <c r="AA84" i="5"/>
  <c r="Z84" i="5"/>
  <c r="Y84" i="5"/>
  <c r="X84" i="5"/>
  <c r="W84" i="5"/>
  <c r="V84" i="5"/>
  <c r="U84" i="5"/>
  <c r="T84" i="5"/>
  <c r="S84" i="5"/>
  <c r="R84" i="5"/>
  <c r="Q84" i="5"/>
  <c r="P84" i="5"/>
  <c r="O84" i="5"/>
  <c r="N84" i="5"/>
  <c r="M84" i="5"/>
  <c r="L84" i="5"/>
  <c r="K84" i="5"/>
  <c r="J84" i="5"/>
  <c r="I84" i="5"/>
  <c r="H84" i="5"/>
  <c r="G84" i="5"/>
  <c r="F84" i="5"/>
  <c r="E84" i="5"/>
  <c r="D84" i="5"/>
  <c r="C84" i="5"/>
  <c r="AC83" i="5"/>
  <c r="AE83" i="5" s="1"/>
  <c r="AA83" i="5"/>
  <c r="Z83" i="5"/>
  <c r="Y83" i="5"/>
  <c r="X83" i="5"/>
  <c r="W83" i="5"/>
  <c r="V83" i="5"/>
  <c r="U83" i="5"/>
  <c r="T83" i="5"/>
  <c r="S83" i="5"/>
  <c r="R83" i="5"/>
  <c r="Q83" i="5"/>
  <c r="P83" i="5"/>
  <c r="O83" i="5"/>
  <c r="N83" i="5"/>
  <c r="M83" i="5"/>
  <c r="L83" i="5"/>
  <c r="K83" i="5"/>
  <c r="J83" i="5"/>
  <c r="I83" i="5"/>
  <c r="H83" i="5"/>
  <c r="G83" i="5"/>
  <c r="F83" i="5"/>
  <c r="E83" i="5"/>
  <c r="D83" i="5"/>
  <c r="C83" i="5"/>
  <c r="AC82" i="5"/>
  <c r="AA82" i="5"/>
  <c r="Z82" i="5"/>
  <c r="Y82" i="5"/>
  <c r="X82" i="5"/>
  <c r="W82" i="5"/>
  <c r="V82" i="5"/>
  <c r="U82" i="5"/>
  <c r="T82" i="5"/>
  <c r="S82" i="5"/>
  <c r="R82" i="5"/>
  <c r="Q82" i="5"/>
  <c r="P82" i="5"/>
  <c r="O82" i="5"/>
  <c r="N82" i="5"/>
  <c r="M82" i="5"/>
  <c r="L82" i="5"/>
  <c r="K82" i="5"/>
  <c r="J82" i="5"/>
  <c r="I82" i="5"/>
  <c r="H82" i="5"/>
  <c r="G82" i="5"/>
  <c r="F82" i="5"/>
  <c r="E82" i="5"/>
  <c r="D82" i="5"/>
  <c r="C82" i="5"/>
  <c r="AE81" i="5"/>
  <c r="AC81" i="5"/>
  <c r="AA81" i="5"/>
  <c r="Z81" i="5"/>
  <c r="Y81" i="5"/>
  <c r="X81" i="5"/>
  <c r="W81" i="5"/>
  <c r="V81" i="5"/>
  <c r="U81" i="5"/>
  <c r="T81" i="5"/>
  <c r="S81" i="5"/>
  <c r="R81" i="5"/>
  <c r="Q81" i="5"/>
  <c r="P81" i="5"/>
  <c r="O81" i="5"/>
  <c r="N81" i="5"/>
  <c r="M81" i="5"/>
  <c r="L81" i="5"/>
  <c r="K81" i="5"/>
  <c r="J81" i="5"/>
  <c r="I81" i="5"/>
  <c r="AD81" i="5" s="1"/>
  <c r="H81" i="5"/>
  <c r="G81" i="5"/>
  <c r="F81" i="5"/>
  <c r="E81" i="5"/>
  <c r="D81" i="5"/>
  <c r="C81" i="5"/>
  <c r="AC80" i="5"/>
  <c r="AD80" i="5" s="1"/>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AD79" i="5" s="1"/>
  <c r="H79" i="5"/>
  <c r="G79" i="5"/>
  <c r="F79" i="5"/>
  <c r="E79" i="5"/>
  <c r="D79" i="5"/>
  <c r="C79" i="5"/>
  <c r="AC78" i="5"/>
  <c r="AD78" i="5" s="1"/>
  <c r="AA78" i="5"/>
  <c r="Z78" i="5"/>
  <c r="Y78" i="5"/>
  <c r="X78" i="5"/>
  <c r="W78" i="5"/>
  <c r="V78" i="5"/>
  <c r="U78" i="5"/>
  <c r="T78" i="5"/>
  <c r="S78" i="5"/>
  <c r="R78" i="5"/>
  <c r="Q78" i="5"/>
  <c r="P78" i="5"/>
  <c r="O78" i="5"/>
  <c r="N78" i="5"/>
  <c r="M78" i="5"/>
  <c r="L78" i="5"/>
  <c r="K78" i="5"/>
  <c r="J78" i="5"/>
  <c r="I78" i="5"/>
  <c r="H78" i="5"/>
  <c r="G78" i="5"/>
  <c r="F78" i="5"/>
  <c r="E78" i="5"/>
  <c r="D78" i="5"/>
  <c r="C78" i="5"/>
  <c r="AD77" i="5"/>
  <c r="AC77" i="5"/>
  <c r="AA77" i="5"/>
  <c r="Z77" i="5"/>
  <c r="Y77" i="5"/>
  <c r="X77" i="5"/>
  <c r="W77" i="5"/>
  <c r="V77" i="5"/>
  <c r="U77" i="5"/>
  <c r="T77" i="5"/>
  <c r="S77" i="5"/>
  <c r="R77" i="5"/>
  <c r="Q77" i="5"/>
  <c r="P77" i="5"/>
  <c r="O77" i="5"/>
  <c r="N77" i="5"/>
  <c r="M77" i="5"/>
  <c r="L77" i="5"/>
  <c r="K77" i="5"/>
  <c r="J77" i="5"/>
  <c r="I77" i="5"/>
  <c r="H77" i="5"/>
  <c r="G77" i="5"/>
  <c r="F77" i="5"/>
  <c r="E77" i="5"/>
  <c r="D77" i="5"/>
  <c r="C77" i="5"/>
  <c r="AE76" i="5"/>
  <c r="AC76" i="5"/>
  <c r="AA76" i="5"/>
  <c r="Z76" i="5"/>
  <c r="Y76" i="5"/>
  <c r="X76" i="5"/>
  <c r="W76" i="5"/>
  <c r="V76" i="5"/>
  <c r="U76" i="5"/>
  <c r="T76" i="5"/>
  <c r="S76" i="5"/>
  <c r="R76" i="5"/>
  <c r="Q76" i="5"/>
  <c r="P76" i="5"/>
  <c r="O76" i="5"/>
  <c r="N76" i="5"/>
  <c r="M76" i="5"/>
  <c r="L76" i="5"/>
  <c r="K76" i="5"/>
  <c r="J76" i="5"/>
  <c r="I76" i="5"/>
  <c r="H76" i="5"/>
  <c r="G76" i="5"/>
  <c r="F76" i="5"/>
  <c r="E76" i="5"/>
  <c r="D76" i="5"/>
  <c r="C76" i="5"/>
  <c r="AE75" i="5"/>
  <c r="AF75" i="5" s="1"/>
  <c r="AD75" i="5"/>
  <c r="AC75" i="5"/>
  <c r="AA75" i="5"/>
  <c r="Z75" i="5"/>
  <c r="Y75" i="5"/>
  <c r="X75" i="5"/>
  <c r="W75" i="5"/>
  <c r="V75" i="5"/>
  <c r="U75" i="5"/>
  <c r="T75" i="5"/>
  <c r="S75" i="5"/>
  <c r="R75" i="5"/>
  <c r="Q75" i="5"/>
  <c r="P75" i="5"/>
  <c r="O75" i="5"/>
  <c r="N75" i="5"/>
  <c r="M75" i="5"/>
  <c r="L75" i="5"/>
  <c r="K75" i="5"/>
  <c r="J75" i="5"/>
  <c r="I75" i="5"/>
  <c r="H75" i="5"/>
  <c r="G75" i="5"/>
  <c r="F75" i="5"/>
  <c r="E75" i="5"/>
  <c r="D75" i="5"/>
  <c r="C75" i="5"/>
  <c r="AC74" i="5"/>
  <c r="AA74" i="5"/>
  <c r="Z74" i="5"/>
  <c r="Y74" i="5"/>
  <c r="X74" i="5"/>
  <c r="W74" i="5"/>
  <c r="V74" i="5"/>
  <c r="U74" i="5"/>
  <c r="T74" i="5"/>
  <c r="S74" i="5"/>
  <c r="R74" i="5"/>
  <c r="Q74" i="5"/>
  <c r="P74" i="5"/>
  <c r="O74" i="5"/>
  <c r="N74" i="5"/>
  <c r="M74" i="5"/>
  <c r="L74" i="5"/>
  <c r="K74" i="5"/>
  <c r="J74" i="5"/>
  <c r="I74" i="5"/>
  <c r="H74" i="5"/>
  <c r="G74" i="5"/>
  <c r="F74" i="5"/>
  <c r="E74" i="5"/>
  <c r="D74" i="5"/>
  <c r="C74" i="5"/>
  <c r="AD73" i="5"/>
  <c r="AC73" i="5"/>
  <c r="AA73" i="5"/>
  <c r="Z73" i="5"/>
  <c r="Y73" i="5"/>
  <c r="X73" i="5"/>
  <c r="W73" i="5"/>
  <c r="V73" i="5"/>
  <c r="U73" i="5"/>
  <c r="T73" i="5"/>
  <c r="S73" i="5"/>
  <c r="R73" i="5"/>
  <c r="Q73" i="5"/>
  <c r="P73" i="5"/>
  <c r="O73" i="5"/>
  <c r="N73" i="5"/>
  <c r="M73" i="5"/>
  <c r="L73" i="5"/>
  <c r="K73" i="5"/>
  <c r="J73" i="5"/>
  <c r="I73" i="5"/>
  <c r="H73" i="5"/>
  <c r="G73" i="5"/>
  <c r="F73" i="5"/>
  <c r="E73" i="5"/>
  <c r="AE73" i="5" s="1"/>
  <c r="D73" i="5"/>
  <c r="C73" i="5"/>
  <c r="AC72" i="5"/>
  <c r="AD72" i="5" s="1"/>
  <c r="AA72" i="5"/>
  <c r="Z72" i="5"/>
  <c r="Y72" i="5"/>
  <c r="X72" i="5"/>
  <c r="W72" i="5"/>
  <c r="V72" i="5"/>
  <c r="U72" i="5"/>
  <c r="T72" i="5"/>
  <c r="S72" i="5"/>
  <c r="R72" i="5"/>
  <c r="Q72" i="5"/>
  <c r="P72" i="5"/>
  <c r="O72" i="5"/>
  <c r="N72" i="5"/>
  <c r="M72" i="5"/>
  <c r="L72" i="5"/>
  <c r="K72" i="5"/>
  <c r="J72" i="5"/>
  <c r="I72" i="5"/>
  <c r="H72" i="5"/>
  <c r="G72" i="5"/>
  <c r="F72" i="5"/>
  <c r="E72" i="5"/>
  <c r="D72" i="5"/>
  <c r="C72" i="5"/>
  <c r="AD71" i="5"/>
  <c r="AC71" i="5"/>
  <c r="AA71" i="5"/>
  <c r="Z71" i="5"/>
  <c r="Y71" i="5"/>
  <c r="X71" i="5"/>
  <c r="W71" i="5"/>
  <c r="V71" i="5"/>
  <c r="U71" i="5"/>
  <c r="T71" i="5"/>
  <c r="S71" i="5"/>
  <c r="R71" i="5"/>
  <c r="Q71" i="5"/>
  <c r="P71" i="5"/>
  <c r="O71" i="5"/>
  <c r="N71" i="5"/>
  <c r="M71" i="5"/>
  <c r="L71" i="5"/>
  <c r="K71" i="5"/>
  <c r="J71" i="5"/>
  <c r="I71" i="5"/>
  <c r="H71" i="5"/>
  <c r="G71" i="5"/>
  <c r="F71" i="5"/>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A69" i="5"/>
  <c r="Z69" i="5"/>
  <c r="Y69" i="5"/>
  <c r="X69" i="5"/>
  <c r="W69" i="5"/>
  <c r="V69" i="5"/>
  <c r="U69" i="5"/>
  <c r="T69" i="5"/>
  <c r="S69" i="5"/>
  <c r="R69" i="5"/>
  <c r="Q69" i="5"/>
  <c r="P69" i="5"/>
  <c r="O69" i="5"/>
  <c r="N69" i="5"/>
  <c r="M69" i="5"/>
  <c r="L69" i="5"/>
  <c r="K69" i="5"/>
  <c r="J69" i="5"/>
  <c r="I69" i="5"/>
  <c r="AD69" i="5" s="1"/>
  <c r="H69" i="5"/>
  <c r="G69" i="5"/>
  <c r="F69" i="5"/>
  <c r="E69" i="5"/>
  <c r="D69" i="5"/>
  <c r="C69" i="5"/>
  <c r="AC68" i="5"/>
  <c r="AD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C66" i="5"/>
  <c r="AD66" i="5" s="1"/>
  <c r="AA66" i="5"/>
  <c r="Z66" i="5"/>
  <c r="Y66" i="5"/>
  <c r="X66" i="5"/>
  <c r="W66" i="5"/>
  <c r="V66" i="5"/>
  <c r="U66" i="5"/>
  <c r="T66" i="5"/>
  <c r="S66" i="5"/>
  <c r="R66" i="5"/>
  <c r="Q66" i="5"/>
  <c r="P66" i="5"/>
  <c r="O66" i="5"/>
  <c r="N66" i="5"/>
  <c r="M66" i="5"/>
  <c r="L66" i="5"/>
  <c r="K66" i="5"/>
  <c r="J66" i="5"/>
  <c r="I66" i="5"/>
  <c r="H66" i="5"/>
  <c r="G66" i="5"/>
  <c r="F66" i="5"/>
  <c r="E66" i="5"/>
  <c r="D66" i="5"/>
  <c r="C66" i="5"/>
  <c r="AE65" i="5"/>
  <c r="AC65" i="5"/>
  <c r="AA65" i="5"/>
  <c r="Z65" i="5"/>
  <c r="Y65" i="5"/>
  <c r="X65" i="5"/>
  <c r="W65" i="5"/>
  <c r="V65" i="5"/>
  <c r="U65" i="5"/>
  <c r="T65" i="5"/>
  <c r="S65" i="5"/>
  <c r="R65" i="5"/>
  <c r="Q65" i="5"/>
  <c r="P65" i="5"/>
  <c r="O65" i="5"/>
  <c r="N65" i="5"/>
  <c r="M65" i="5"/>
  <c r="L65" i="5"/>
  <c r="K65" i="5"/>
  <c r="J65" i="5"/>
  <c r="I65" i="5"/>
  <c r="AD65" i="5" s="1"/>
  <c r="H65" i="5"/>
  <c r="G65" i="5"/>
  <c r="F65" i="5"/>
  <c r="E65" i="5"/>
  <c r="D65" i="5"/>
  <c r="C65" i="5"/>
  <c r="AC64" i="5"/>
  <c r="AD64" i="5" s="1"/>
  <c r="AA64" i="5"/>
  <c r="Z64" i="5"/>
  <c r="Y64" i="5"/>
  <c r="X64" i="5"/>
  <c r="W64" i="5"/>
  <c r="V64" i="5"/>
  <c r="U64" i="5"/>
  <c r="T64" i="5"/>
  <c r="S64" i="5"/>
  <c r="R64" i="5"/>
  <c r="Q64" i="5"/>
  <c r="P64" i="5"/>
  <c r="O64" i="5"/>
  <c r="N64" i="5"/>
  <c r="M64" i="5"/>
  <c r="L64" i="5"/>
  <c r="K64" i="5"/>
  <c r="J64" i="5"/>
  <c r="I64" i="5"/>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AD63" i="5" s="1"/>
  <c r="AF63" i="5" s="1"/>
  <c r="H63" i="5"/>
  <c r="G63" i="5"/>
  <c r="F63" i="5"/>
  <c r="E63" i="5"/>
  <c r="D63" i="5"/>
  <c r="C63" i="5"/>
  <c r="AC62" i="5"/>
  <c r="AE62" i="5" s="1"/>
  <c r="AA62" i="5"/>
  <c r="Z62" i="5"/>
  <c r="Y62" i="5"/>
  <c r="X62" i="5"/>
  <c r="W62" i="5"/>
  <c r="V62" i="5"/>
  <c r="U62" i="5"/>
  <c r="T62" i="5"/>
  <c r="S62" i="5"/>
  <c r="R62" i="5"/>
  <c r="Q62" i="5"/>
  <c r="P62" i="5"/>
  <c r="O62" i="5"/>
  <c r="N62" i="5"/>
  <c r="M62" i="5"/>
  <c r="L62" i="5"/>
  <c r="K62" i="5"/>
  <c r="J62" i="5"/>
  <c r="I62" i="5"/>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C60" i="5"/>
  <c r="AD60" i="5" s="1"/>
  <c r="AA60" i="5"/>
  <c r="Z60" i="5"/>
  <c r="Y60" i="5"/>
  <c r="X60" i="5"/>
  <c r="W60" i="5"/>
  <c r="V60" i="5"/>
  <c r="U60" i="5"/>
  <c r="T60" i="5"/>
  <c r="S60" i="5"/>
  <c r="R60" i="5"/>
  <c r="Q60" i="5"/>
  <c r="P60" i="5"/>
  <c r="O60" i="5"/>
  <c r="N60" i="5"/>
  <c r="M60" i="5"/>
  <c r="L60" i="5"/>
  <c r="K60" i="5"/>
  <c r="J60" i="5"/>
  <c r="I60" i="5"/>
  <c r="H60" i="5"/>
  <c r="G60" i="5"/>
  <c r="F60" i="5"/>
  <c r="E60" i="5"/>
  <c r="D60" i="5"/>
  <c r="C60" i="5"/>
  <c r="AC59" i="5"/>
  <c r="AE59" i="5" s="1"/>
  <c r="AA59" i="5"/>
  <c r="Z59" i="5"/>
  <c r="Y59" i="5"/>
  <c r="X59" i="5"/>
  <c r="W59" i="5"/>
  <c r="V59" i="5"/>
  <c r="U59" i="5"/>
  <c r="T59" i="5"/>
  <c r="S59" i="5"/>
  <c r="R59" i="5"/>
  <c r="Q59" i="5"/>
  <c r="P59" i="5"/>
  <c r="O59" i="5"/>
  <c r="N59" i="5"/>
  <c r="M59" i="5"/>
  <c r="L59" i="5"/>
  <c r="K59" i="5"/>
  <c r="J59" i="5"/>
  <c r="I59" i="5"/>
  <c r="H59" i="5"/>
  <c r="G59" i="5"/>
  <c r="F59" i="5"/>
  <c r="E59" i="5"/>
  <c r="D59" i="5"/>
  <c r="C59" i="5"/>
  <c r="AC58" i="5"/>
  <c r="AD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AD57" i="5" s="1"/>
  <c r="H57" i="5"/>
  <c r="G57" i="5"/>
  <c r="F57" i="5"/>
  <c r="E57" i="5"/>
  <c r="AE57" i="5" s="1"/>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C55" i="5"/>
  <c r="AE55" i="5" s="1"/>
  <c r="AA55" i="5"/>
  <c r="Z55" i="5"/>
  <c r="Y55" i="5"/>
  <c r="X55" i="5"/>
  <c r="W55" i="5"/>
  <c r="V55" i="5"/>
  <c r="U55" i="5"/>
  <c r="T55" i="5"/>
  <c r="S55" i="5"/>
  <c r="R55" i="5"/>
  <c r="Q55" i="5"/>
  <c r="P55" i="5"/>
  <c r="O55" i="5"/>
  <c r="N55" i="5"/>
  <c r="M55" i="5"/>
  <c r="L55" i="5"/>
  <c r="K55" i="5"/>
  <c r="J55" i="5"/>
  <c r="I55" i="5"/>
  <c r="AD55" i="5" s="1"/>
  <c r="H55" i="5"/>
  <c r="G55" i="5"/>
  <c r="F55" i="5"/>
  <c r="E55" i="5"/>
  <c r="D55" i="5"/>
  <c r="C55" i="5"/>
  <c r="AE54" i="5"/>
  <c r="AF54" i="5" s="1"/>
  <c r="AD54" i="5"/>
  <c r="AC54" i="5"/>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E52" i="5"/>
  <c r="AC52" i="5"/>
  <c r="AA52" i="5"/>
  <c r="Z52" i="5"/>
  <c r="Y52" i="5"/>
  <c r="X52" i="5"/>
  <c r="W52" i="5"/>
  <c r="V52" i="5"/>
  <c r="U52" i="5"/>
  <c r="T52" i="5"/>
  <c r="S52" i="5"/>
  <c r="R52" i="5"/>
  <c r="Q52" i="5"/>
  <c r="P52" i="5"/>
  <c r="O52" i="5"/>
  <c r="N52" i="5"/>
  <c r="M52" i="5"/>
  <c r="L52" i="5"/>
  <c r="K52" i="5"/>
  <c r="J52" i="5"/>
  <c r="I52" i="5"/>
  <c r="H52" i="5"/>
  <c r="G52" i="5"/>
  <c r="F52" i="5"/>
  <c r="E52" i="5"/>
  <c r="D52" i="5"/>
  <c r="C52" i="5"/>
  <c r="AC51" i="5"/>
  <c r="AE51" i="5" s="1"/>
  <c r="AA51" i="5"/>
  <c r="Z51" i="5"/>
  <c r="Y51" i="5"/>
  <c r="X51" i="5"/>
  <c r="W51" i="5"/>
  <c r="V51" i="5"/>
  <c r="U51" i="5"/>
  <c r="T51" i="5"/>
  <c r="S51" i="5"/>
  <c r="R51" i="5"/>
  <c r="Q51" i="5"/>
  <c r="P51" i="5"/>
  <c r="O51" i="5"/>
  <c r="N51" i="5"/>
  <c r="M51" i="5"/>
  <c r="L51" i="5"/>
  <c r="K51" i="5"/>
  <c r="J51" i="5"/>
  <c r="I51" i="5"/>
  <c r="H51" i="5"/>
  <c r="G51" i="5"/>
  <c r="F51" i="5"/>
  <c r="E51" i="5"/>
  <c r="D51" i="5"/>
  <c r="C51" i="5"/>
  <c r="AE50" i="5"/>
  <c r="AC50" i="5"/>
  <c r="AA50" i="5"/>
  <c r="Z50" i="5"/>
  <c r="Y50" i="5"/>
  <c r="X50" i="5"/>
  <c r="W50" i="5"/>
  <c r="V50" i="5"/>
  <c r="U50" i="5"/>
  <c r="T50" i="5"/>
  <c r="S50" i="5"/>
  <c r="R50" i="5"/>
  <c r="Q50" i="5"/>
  <c r="P50" i="5"/>
  <c r="O50" i="5"/>
  <c r="N50" i="5"/>
  <c r="M50" i="5"/>
  <c r="L50" i="5"/>
  <c r="K50" i="5"/>
  <c r="J50" i="5"/>
  <c r="I50" i="5"/>
  <c r="H50" i="5"/>
  <c r="G50" i="5"/>
  <c r="F50" i="5"/>
  <c r="E50" i="5"/>
  <c r="D50" i="5"/>
  <c r="C50" i="5"/>
  <c r="AD49" i="5"/>
  <c r="AC49" i="5"/>
  <c r="AA49" i="5"/>
  <c r="Z49" i="5"/>
  <c r="Y49" i="5"/>
  <c r="X49" i="5"/>
  <c r="W49" i="5"/>
  <c r="V49" i="5"/>
  <c r="U49" i="5"/>
  <c r="T49" i="5"/>
  <c r="S49" i="5"/>
  <c r="R49" i="5"/>
  <c r="Q49" i="5"/>
  <c r="P49" i="5"/>
  <c r="O49" i="5"/>
  <c r="N49" i="5"/>
  <c r="M49" i="5"/>
  <c r="L49" i="5"/>
  <c r="K49" i="5"/>
  <c r="J49" i="5"/>
  <c r="I49" i="5"/>
  <c r="H49" i="5"/>
  <c r="G49" i="5"/>
  <c r="F49" i="5"/>
  <c r="E49" i="5"/>
  <c r="AE49" i="5" s="1"/>
  <c r="D49" i="5"/>
  <c r="C49"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D47"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H46" i="5"/>
  <c r="G46" i="5"/>
  <c r="F46" i="5"/>
  <c r="E46" i="5"/>
  <c r="D46" i="5"/>
  <c r="C46" i="5"/>
  <c r="AC45" i="5"/>
  <c r="AD45" i="5" s="1"/>
  <c r="Z45" i="5"/>
  <c r="Y45" i="5"/>
  <c r="X45" i="5"/>
  <c r="W45" i="5"/>
  <c r="V45" i="5"/>
  <c r="U45" i="5"/>
  <c r="T45" i="5"/>
  <c r="S45" i="5"/>
  <c r="R45" i="5"/>
  <c r="Q45" i="5"/>
  <c r="P45" i="5"/>
  <c r="O45" i="5"/>
  <c r="N45" i="5"/>
  <c r="M45" i="5"/>
  <c r="L45" i="5"/>
  <c r="K45" i="5"/>
  <c r="J45" i="5"/>
  <c r="I45" i="5"/>
  <c r="H45" i="5"/>
  <c r="G45" i="5"/>
  <c r="F45" i="5"/>
  <c r="E45" i="5"/>
  <c r="D45" i="5"/>
  <c r="C45" i="5"/>
  <c r="AA45" i="5" s="1"/>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E42" i="5"/>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E39" i="5"/>
  <c r="AC39" i="5"/>
  <c r="Z39" i="5"/>
  <c r="Y39" i="5"/>
  <c r="X39" i="5"/>
  <c r="W39" i="5"/>
  <c r="V39" i="5"/>
  <c r="U39" i="5"/>
  <c r="T39" i="5"/>
  <c r="S39" i="5"/>
  <c r="R39" i="5"/>
  <c r="Q39" i="5"/>
  <c r="P39" i="5"/>
  <c r="O39" i="5"/>
  <c r="N39" i="5"/>
  <c r="M39" i="5"/>
  <c r="L39" i="5"/>
  <c r="K39" i="5"/>
  <c r="J39" i="5"/>
  <c r="I39" i="5"/>
  <c r="AD39" i="5" s="1"/>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C35" i="5"/>
  <c r="AD35" i="5" s="1"/>
  <c r="Z35" i="5"/>
  <c r="Y35" i="5"/>
  <c r="X35" i="5"/>
  <c r="W35" i="5"/>
  <c r="V35" i="5"/>
  <c r="U35" i="5"/>
  <c r="T35" i="5"/>
  <c r="S35" i="5"/>
  <c r="R35" i="5"/>
  <c r="Q35" i="5"/>
  <c r="P35" i="5"/>
  <c r="O35" i="5"/>
  <c r="N35" i="5"/>
  <c r="M35" i="5"/>
  <c r="L35" i="5"/>
  <c r="K35" i="5"/>
  <c r="J35" i="5"/>
  <c r="I35" i="5"/>
  <c r="H35" i="5"/>
  <c r="G35" i="5"/>
  <c r="F35" i="5"/>
  <c r="E35" i="5"/>
  <c r="D35" i="5"/>
  <c r="C35" i="5"/>
  <c r="AA35" i="5" s="1"/>
  <c r="AC34" i="5"/>
  <c r="AE34" i="5" s="1"/>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E30" i="5"/>
  <c r="AC30" i="5"/>
  <c r="Z30" i="5"/>
  <c r="Y30" i="5"/>
  <c r="X30" i="5"/>
  <c r="W30" i="5"/>
  <c r="V30" i="5"/>
  <c r="U30" i="5"/>
  <c r="T30" i="5"/>
  <c r="S30" i="5"/>
  <c r="R30" i="5"/>
  <c r="Q30" i="5"/>
  <c r="P30" i="5"/>
  <c r="O30" i="5"/>
  <c r="N30" i="5"/>
  <c r="M30" i="5"/>
  <c r="L30" i="5"/>
  <c r="K30" i="5"/>
  <c r="J30" i="5"/>
  <c r="I30" i="5"/>
  <c r="AD30" i="5" s="1"/>
  <c r="H30" i="5"/>
  <c r="G30" i="5"/>
  <c r="F30" i="5"/>
  <c r="E30" i="5"/>
  <c r="D30" i="5"/>
  <c r="C30" i="5"/>
  <c r="AA30" i="5" s="1"/>
  <c r="AC29" i="5"/>
  <c r="AE29" i="5" s="1"/>
  <c r="Z29" i="5"/>
  <c r="Y29" i="5"/>
  <c r="X29" i="5"/>
  <c r="W29" i="5"/>
  <c r="V29" i="5"/>
  <c r="U29" i="5"/>
  <c r="T29" i="5"/>
  <c r="S29" i="5"/>
  <c r="R29" i="5"/>
  <c r="Q29" i="5"/>
  <c r="P29" i="5"/>
  <c r="O29" i="5"/>
  <c r="N29" i="5"/>
  <c r="M29" i="5"/>
  <c r="L29" i="5"/>
  <c r="K29" i="5"/>
  <c r="J29" i="5"/>
  <c r="I29" i="5"/>
  <c r="H29" i="5"/>
  <c r="G29" i="5"/>
  <c r="F29" i="5"/>
  <c r="E29" i="5"/>
  <c r="D29" i="5"/>
  <c r="C29" i="5"/>
  <c r="AA29" i="5" s="1"/>
  <c r="AD28" i="5"/>
  <c r="AC28" i="5"/>
  <c r="Z28" i="5"/>
  <c r="Y28" i="5"/>
  <c r="X28" i="5"/>
  <c r="W28" i="5"/>
  <c r="V28" i="5"/>
  <c r="U28" i="5"/>
  <c r="T28" i="5"/>
  <c r="S28" i="5"/>
  <c r="R28" i="5"/>
  <c r="Q28" i="5"/>
  <c r="P28" i="5"/>
  <c r="O28" i="5"/>
  <c r="N28" i="5"/>
  <c r="M28" i="5"/>
  <c r="L28" i="5"/>
  <c r="K28" i="5"/>
  <c r="J28" i="5"/>
  <c r="I28" i="5"/>
  <c r="H28" i="5"/>
  <c r="G28" i="5"/>
  <c r="F28" i="5"/>
  <c r="E28" i="5"/>
  <c r="AE28" i="5" s="1"/>
  <c r="D28" i="5"/>
  <c r="C28" i="5"/>
  <c r="AA28" i="5" s="1"/>
  <c r="AC27" i="5"/>
  <c r="AD27" i="5" s="1"/>
  <c r="Z27" i="5"/>
  <c r="Y27" i="5"/>
  <c r="X27" i="5"/>
  <c r="W27" i="5"/>
  <c r="V27" i="5"/>
  <c r="U27" i="5"/>
  <c r="T27" i="5"/>
  <c r="S27" i="5"/>
  <c r="R27" i="5"/>
  <c r="Q27" i="5"/>
  <c r="P27" i="5"/>
  <c r="O27" i="5"/>
  <c r="N27" i="5"/>
  <c r="M27" i="5"/>
  <c r="L27" i="5"/>
  <c r="K27" i="5"/>
  <c r="J27" i="5"/>
  <c r="I27" i="5"/>
  <c r="H27" i="5"/>
  <c r="G27" i="5"/>
  <c r="F27" i="5"/>
  <c r="E27" i="5"/>
  <c r="D27" i="5"/>
  <c r="C27" i="5"/>
  <c r="AA27" i="5" s="1"/>
  <c r="AC26" i="5"/>
  <c r="AE26" i="5" s="1"/>
  <c r="Z26" i="5"/>
  <c r="Y26" i="5"/>
  <c r="X26" i="5"/>
  <c r="W26" i="5"/>
  <c r="V26" i="5"/>
  <c r="U26" i="5"/>
  <c r="T26" i="5"/>
  <c r="S26" i="5"/>
  <c r="R26" i="5"/>
  <c r="Q26" i="5"/>
  <c r="P26" i="5"/>
  <c r="O26" i="5"/>
  <c r="N26" i="5"/>
  <c r="M26" i="5"/>
  <c r="L26" i="5"/>
  <c r="K26" i="5"/>
  <c r="J26" i="5"/>
  <c r="I26" i="5"/>
  <c r="H26" i="5"/>
  <c r="G26" i="5"/>
  <c r="F26" i="5"/>
  <c r="E26" i="5"/>
  <c r="D26" i="5"/>
  <c r="C26" i="5"/>
  <c r="AA26" i="5" s="1"/>
  <c r="AC25" i="5"/>
  <c r="AE25" i="5" s="1"/>
  <c r="Z25" i="5"/>
  <c r="Y25" i="5"/>
  <c r="X25" i="5"/>
  <c r="W25" i="5"/>
  <c r="V25" i="5"/>
  <c r="U25" i="5"/>
  <c r="T25" i="5"/>
  <c r="S25" i="5"/>
  <c r="R25" i="5"/>
  <c r="Q25" i="5"/>
  <c r="P25" i="5"/>
  <c r="O25" i="5"/>
  <c r="N25" i="5"/>
  <c r="M25" i="5"/>
  <c r="L25" i="5"/>
  <c r="K25" i="5"/>
  <c r="J25" i="5"/>
  <c r="I25" i="5"/>
  <c r="H25" i="5"/>
  <c r="G25" i="5"/>
  <c r="F25" i="5"/>
  <c r="E25" i="5"/>
  <c r="D25" i="5"/>
  <c r="C25" i="5"/>
  <c r="AA25" i="5" s="1"/>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E23" i="5"/>
  <c r="AC23" i="5"/>
  <c r="Z23" i="5"/>
  <c r="Y23" i="5"/>
  <c r="X23" i="5"/>
  <c r="W23" i="5"/>
  <c r="V23" i="5"/>
  <c r="U23" i="5"/>
  <c r="T23" i="5"/>
  <c r="S23" i="5"/>
  <c r="R23" i="5"/>
  <c r="Q23" i="5"/>
  <c r="P23" i="5"/>
  <c r="O23" i="5"/>
  <c r="N23" i="5"/>
  <c r="M23" i="5"/>
  <c r="L23" i="5"/>
  <c r="K23" i="5"/>
  <c r="J23" i="5"/>
  <c r="I23" i="5"/>
  <c r="AD23" i="5" s="1"/>
  <c r="H23" i="5"/>
  <c r="G23" i="5"/>
  <c r="F23" i="5"/>
  <c r="E23" i="5"/>
  <c r="D23" i="5"/>
  <c r="C23" i="5"/>
  <c r="AA23" i="5" s="1"/>
  <c r="AC22" i="5"/>
  <c r="AD22" i="5" s="1"/>
  <c r="Z22" i="5"/>
  <c r="Y22" i="5"/>
  <c r="X22" i="5"/>
  <c r="W22" i="5"/>
  <c r="V22" i="5"/>
  <c r="U22" i="5"/>
  <c r="T22" i="5"/>
  <c r="S22" i="5"/>
  <c r="R22" i="5"/>
  <c r="Q22" i="5"/>
  <c r="P22" i="5"/>
  <c r="O22" i="5"/>
  <c r="N22" i="5"/>
  <c r="M22" i="5"/>
  <c r="L22" i="5"/>
  <c r="K22" i="5"/>
  <c r="J22" i="5"/>
  <c r="I22" i="5"/>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AE19" i="5" s="1"/>
  <c r="Z19" i="5"/>
  <c r="Y19" i="5"/>
  <c r="X19" i="5"/>
  <c r="W19" i="5"/>
  <c r="V19" i="5"/>
  <c r="U19" i="5"/>
  <c r="T19" i="5"/>
  <c r="S19" i="5"/>
  <c r="R19" i="5"/>
  <c r="Q19" i="5"/>
  <c r="P19" i="5"/>
  <c r="O19" i="5"/>
  <c r="N19" i="5"/>
  <c r="M19" i="5"/>
  <c r="L19" i="5"/>
  <c r="K19" i="5"/>
  <c r="J19" i="5"/>
  <c r="I19" i="5"/>
  <c r="H19" i="5"/>
  <c r="G19" i="5"/>
  <c r="F19" i="5"/>
  <c r="E19" i="5"/>
  <c r="D19" i="5"/>
  <c r="C19" i="5"/>
  <c r="AA19" i="5" s="1"/>
  <c r="AC18" i="5"/>
  <c r="AE18" i="5" s="1"/>
  <c r="Z18" i="5"/>
  <c r="Y18" i="5"/>
  <c r="X18" i="5"/>
  <c r="W18" i="5"/>
  <c r="V18" i="5"/>
  <c r="U18" i="5"/>
  <c r="T18" i="5"/>
  <c r="S18" i="5"/>
  <c r="R18" i="5"/>
  <c r="Q18" i="5"/>
  <c r="P18" i="5"/>
  <c r="O18" i="5"/>
  <c r="N18" i="5"/>
  <c r="M18" i="5"/>
  <c r="L18" i="5"/>
  <c r="K18" i="5"/>
  <c r="J18" i="5"/>
  <c r="I18" i="5"/>
  <c r="H18" i="5"/>
  <c r="G18" i="5"/>
  <c r="F18" i="5"/>
  <c r="E18" i="5"/>
  <c r="D18" i="5"/>
  <c r="C18" i="5"/>
  <c r="AA18" i="5" s="1"/>
  <c r="AC17" i="5"/>
  <c r="AD17" i="5" s="1"/>
  <c r="AA17" i="5"/>
  <c r="Z17" i="5"/>
  <c r="Y17" i="5"/>
  <c r="X17" i="5"/>
  <c r="W17" i="5"/>
  <c r="V17" i="5"/>
  <c r="U17" i="5"/>
  <c r="T17" i="5"/>
  <c r="S17" i="5"/>
  <c r="R17" i="5"/>
  <c r="Q17" i="5"/>
  <c r="P17" i="5"/>
  <c r="O17" i="5"/>
  <c r="N17" i="5"/>
  <c r="M17" i="5"/>
  <c r="L17" i="5"/>
  <c r="K17" i="5"/>
  <c r="J17" i="5"/>
  <c r="I17" i="5"/>
  <c r="H17" i="5"/>
  <c r="G17" i="5"/>
  <c r="F17" i="5"/>
  <c r="E17" i="5"/>
  <c r="D17" i="5"/>
  <c r="C17" i="5"/>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C14" i="5"/>
  <c r="Z14" i="5"/>
  <c r="Y14" i="5"/>
  <c r="X14" i="5"/>
  <c r="W14" i="5"/>
  <c r="V14" i="5"/>
  <c r="U14" i="5"/>
  <c r="T14" i="5"/>
  <c r="S14" i="5"/>
  <c r="R14" i="5"/>
  <c r="Q14" i="5"/>
  <c r="P14" i="5"/>
  <c r="O14" i="5"/>
  <c r="N14" i="5"/>
  <c r="M14" i="5"/>
  <c r="L14" i="5"/>
  <c r="K14" i="5"/>
  <c r="J14" i="5"/>
  <c r="I14" i="5"/>
  <c r="AD14" i="5" s="1"/>
  <c r="H14" i="5"/>
  <c r="G14" i="5"/>
  <c r="F14" i="5"/>
  <c r="E14" i="5"/>
  <c r="AE14" i="5" s="1"/>
  <c r="D14" i="5"/>
  <c r="C14" i="5"/>
  <c r="AA14" i="5" s="1"/>
  <c r="AC13" i="5"/>
  <c r="AD13" i="5" s="1"/>
  <c r="Z13" i="5"/>
  <c r="Y13" i="5"/>
  <c r="X13" i="5"/>
  <c r="W13" i="5"/>
  <c r="V13" i="5"/>
  <c r="U13" i="5"/>
  <c r="T13" i="5"/>
  <c r="S13" i="5"/>
  <c r="R13" i="5"/>
  <c r="Q13" i="5"/>
  <c r="P13" i="5"/>
  <c r="O13" i="5"/>
  <c r="N13" i="5"/>
  <c r="M13" i="5"/>
  <c r="L13" i="5"/>
  <c r="K13" i="5"/>
  <c r="J13" i="5"/>
  <c r="I13" i="5"/>
  <c r="H13" i="5"/>
  <c r="G13" i="5"/>
  <c r="F13" i="5"/>
  <c r="E13" i="5"/>
  <c r="D13" i="5"/>
  <c r="C13" i="5"/>
  <c r="AA13" i="5" s="1"/>
  <c r="AE12" i="5"/>
  <c r="AD12" i="5"/>
  <c r="AC12" i="5"/>
  <c r="Z12" i="5"/>
  <c r="Y12" i="5"/>
  <c r="X12" i="5"/>
  <c r="W12" i="5"/>
  <c r="V12" i="5"/>
  <c r="U12" i="5"/>
  <c r="T12" i="5"/>
  <c r="S12" i="5"/>
  <c r="R12" i="5"/>
  <c r="Q12" i="5"/>
  <c r="P12" i="5"/>
  <c r="O12" i="5"/>
  <c r="N12" i="5"/>
  <c r="M12" i="5"/>
  <c r="L12" i="5"/>
  <c r="K12" i="5"/>
  <c r="J12" i="5"/>
  <c r="I12" i="5"/>
  <c r="H12" i="5"/>
  <c r="G12" i="5"/>
  <c r="F12" i="5"/>
  <c r="E12" i="5"/>
  <c r="D12" i="5"/>
  <c r="C12" i="5"/>
  <c r="AA12" i="5" s="1"/>
  <c r="AC11" i="5"/>
  <c r="AE11" i="5" s="1"/>
  <c r="Z11" i="5"/>
  <c r="Y11" i="5"/>
  <c r="X11" i="5"/>
  <c r="W11" i="5"/>
  <c r="V11" i="5"/>
  <c r="U11" i="5"/>
  <c r="T11" i="5"/>
  <c r="S11" i="5"/>
  <c r="R11" i="5"/>
  <c r="Q11" i="5"/>
  <c r="P11" i="5"/>
  <c r="O11" i="5"/>
  <c r="N11" i="5"/>
  <c r="M11" i="5"/>
  <c r="L11" i="5"/>
  <c r="K11" i="5"/>
  <c r="J11" i="5"/>
  <c r="I11" i="5"/>
  <c r="H11" i="5"/>
  <c r="G11" i="5"/>
  <c r="F11" i="5"/>
  <c r="E11" i="5"/>
  <c r="D11" i="5"/>
  <c r="C11" i="5"/>
  <c r="AA11" i="5" s="1"/>
  <c r="AA9" i="5"/>
  <c r="Z9" i="5"/>
  <c r="Y9" i="5"/>
  <c r="W9" i="5"/>
  <c r="V9" i="5"/>
  <c r="U9" i="5"/>
  <c r="R9" i="5"/>
  <c r="Q9" i="5"/>
  <c r="O9" i="5"/>
  <c r="N9" i="5"/>
  <c r="M9" i="5"/>
  <c r="J9" i="5"/>
  <c r="I9" i="5"/>
  <c r="G9" i="5"/>
  <c r="F9" i="5"/>
  <c r="E9" i="5"/>
  <c r="AA8" i="5"/>
  <c r="Z8" i="5"/>
  <c r="X8" i="5"/>
  <c r="W8" i="5"/>
  <c r="V8" i="5"/>
  <c r="R8" i="5"/>
  <c r="P8" i="5"/>
  <c r="O8" i="5"/>
  <c r="N8" i="5"/>
  <c r="M8" i="5"/>
  <c r="J8" i="5"/>
  <c r="H8" i="5"/>
  <c r="G8" i="5"/>
  <c r="F8" i="5"/>
  <c r="E8" i="5"/>
  <c r="D8" i="5"/>
  <c r="AG6" i="5"/>
  <c r="V6" i="5"/>
  <c r="V7" i="5" s="1"/>
  <c r="U6" i="5"/>
  <c r="U7" i="5" s="1"/>
  <c r="S6" i="5"/>
  <c r="S7" i="5" s="1"/>
  <c r="J6" i="5"/>
  <c r="J7" i="5" s="1"/>
  <c r="Z5" i="5"/>
  <c r="Q5" i="5"/>
  <c r="I5" i="5"/>
  <c r="H5" i="5"/>
  <c r="Y4" i="5"/>
  <c r="X4" i="5"/>
  <c r="O4" i="5"/>
  <c r="E4" i="5"/>
  <c r="AF97" i="5" l="1"/>
  <c r="F8" i="7"/>
  <c r="O8" i="7"/>
  <c r="AF79" i="5"/>
  <c r="AF47" i="5"/>
  <c r="AF89" i="5"/>
  <c r="AF55" i="5"/>
  <c r="K7" i="6"/>
  <c r="Y7" i="6"/>
  <c r="N9" i="6"/>
  <c r="Y9" i="6"/>
  <c r="AF92" i="5"/>
  <c r="L7" i="6"/>
  <c r="Z7" i="6"/>
  <c r="O9" i="6"/>
  <c r="Z9" i="6"/>
  <c r="Q7" i="6"/>
  <c r="F9" i="6"/>
  <c r="Q9" i="6"/>
  <c r="D7" i="6"/>
  <c r="R7" i="6"/>
  <c r="G9" i="6"/>
  <c r="R9" i="6"/>
  <c r="F7" i="6"/>
  <c r="N7" i="6"/>
  <c r="V7" i="6"/>
  <c r="AF65" i="5"/>
  <c r="AF81" i="5"/>
  <c r="AF95" i="5"/>
  <c r="S7" i="6"/>
  <c r="H9" i="6"/>
  <c r="V9" i="6"/>
  <c r="I7" i="6"/>
  <c r="T7" i="6"/>
  <c r="I9" i="6"/>
  <c r="W9" i="6"/>
  <c r="C8" i="6"/>
  <c r="AF73" i="5"/>
  <c r="AF49" i="5"/>
  <c r="AF57" i="5"/>
  <c r="AD26" i="5"/>
  <c r="AE98" i="5"/>
  <c r="AD98" i="5"/>
  <c r="Q8" i="6"/>
  <c r="AD76" i="6"/>
  <c r="AD79" i="6"/>
  <c r="AE60" i="5"/>
  <c r="AF60" i="5" s="1"/>
  <c r="G8" i="6"/>
  <c r="AD34" i="6"/>
  <c r="AD71" i="6"/>
  <c r="AD62" i="5"/>
  <c r="AF62" i="5" s="1"/>
  <c r="AD96" i="5"/>
  <c r="AF96" i="5" s="1"/>
  <c r="AD76" i="5"/>
  <c r="AF76" i="5" s="1"/>
  <c r="AD44" i="6"/>
  <c r="AD47" i="6"/>
  <c r="AD74" i="6"/>
  <c r="AD77" i="6"/>
  <c r="AA8" i="6"/>
  <c r="R5" i="5"/>
  <c r="AE17" i="5"/>
  <c r="AE22" i="5"/>
  <c r="AD69" i="6"/>
  <c r="I5" i="6"/>
  <c r="I4" i="6"/>
  <c r="Q5" i="6"/>
  <c r="Q4" i="6"/>
  <c r="Y5" i="6"/>
  <c r="Y4" i="6"/>
  <c r="G6" i="6"/>
  <c r="G5" i="6"/>
  <c r="O6" i="6"/>
  <c r="O5" i="6"/>
  <c r="W6" i="6"/>
  <c r="W5" i="6"/>
  <c r="AD92" i="6"/>
  <c r="AD19" i="5"/>
  <c r="AE58" i="5"/>
  <c r="AF58" i="5" s="1"/>
  <c r="AD94" i="5"/>
  <c r="AF94" i="5" s="1"/>
  <c r="Z4" i="5"/>
  <c r="S5" i="5"/>
  <c r="M6" i="5"/>
  <c r="M7" i="5" s="1"/>
  <c r="AD40" i="5"/>
  <c r="AD86" i="5"/>
  <c r="AF86" i="5" s="1"/>
  <c r="D6" i="5"/>
  <c r="D7" i="5" s="1"/>
  <c r="AE90" i="5"/>
  <c r="AD90" i="5"/>
  <c r="S9" i="5"/>
  <c r="AE64" i="5"/>
  <c r="AF64" i="5" s="1"/>
  <c r="AE66" i="5"/>
  <c r="AF66" i="5" s="1"/>
  <c r="AE68" i="5"/>
  <c r="AF68" i="5" s="1"/>
  <c r="AD70" i="5"/>
  <c r="AF70" i="5" s="1"/>
  <c r="AE82" i="5"/>
  <c r="AD82" i="5"/>
  <c r="AA12" i="6"/>
  <c r="AD20" i="5"/>
  <c r="AD29" i="5"/>
  <c r="AE31" i="5"/>
  <c r="AD36" i="5"/>
  <c r="AD59" i="5"/>
  <c r="AF59" i="5" s="1"/>
  <c r="AE78" i="5"/>
  <c r="AF78" i="5" s="1"/>
  <c r="AE80" i="5"/>
  <c r="AF80" i="5" s="1"/>
  <c r="L9" i="5"/>
  <c r="AD11" i="5"/>
  <c r="AE13" i="5"/>
  <c r="AD18" i="5"/>
  <c r="AD46" i="5"/>
  <c r="AF46" i="5" s="1"/>
  <c r="AE72" i="5"/>
  <c r="AF72" i="5" s="1"/>
  <c r="E5" i="5"/>
  <c r="M5" i="5"/>
  <c r="U5" i="5"/>
  <c r="AD91" i="5"/>
  <c r="AF91" i="5" s="1"/>
  <c r="AE99" i="5"/>
  <c r="AF99" i="5" s="1"/>
  <c r="J8" i="6"/>
  <c r="X8" i="6"/>
  <c r="AD42" i="6"/>
  <c r="AD45" i="6"/>
  <c r="AD48" i="6"/>
  <c r="AD72" i="6"/>
  <c r="J4" i="6"/>
  <c r="R4" i="6"/>
  <c r="Z4" i="6"/>
  <c r="H6" i="6"/>
  <c r="H7" i="6" s="1"/>
  <c r="H5" i="6"/>
  <c r="P6" i="6"/>
  <c r="P7" i="6" s="1"/>
  <c r="P5" i="6"/>
  <c r="X6" i="6"/>
  <c r="X7" i="6" s="1"/>
  <c r="X5" i="6"/>
  <c r="AF56" i="5"/>
  <c r="P8" i="6"/>
  <c r="AD24" i="5"/>
  <c r="AD33" i="5"/>
  <c r="AE35" i="5"/>
  <c r="AE45" i="5"/>
  <c r="AD88" i="5"/>
  <c r="AF88" i="5" s="1"/>
  <c r="T6" i="5"/>
  <c r="T7" i="5" s="1"/>
  <c r="R4" i="5"/>
  <c r="AA4" i="5"/>
  <c r="K5" i="5"/>
  <c r="T5" i="5"/>
  <c r="AD38" i="5"/>
  <c r="L5" i="5"/>
  <c r="F6" i="5"/>
  <c r="F7" i="5" s="1"/>
  <c r="K9" i="5"/>
  <c r="D5" i="5"/>
  <c r="W5" i="5"/>
  <c r="P6" i="5"/>
  <c r="P7" i="5" s="1"/>
  <c r="C9" i="5"/>
  <c r="AD34" i="5"/>
  <c r="AD61" i="5"/>
  <c r="AF61" i="5" s="1"/>
  <c r="C4" i="5"/>
  <c r="U4" i="5"/>
  <c r="K8" i="5"/>
  <c r="T8" i="5"/>
  <c r="AD16" i="5"/>
  <c r="AD25" i="5"/>
  <c r="AE27" i="5"/>
  <c r="AD32" i="5"/>
  <c r="AD44" i="5"/>
  <c r="AD48" i="5"/>
  <c r="AF48" i="5" s="1"/>
  <c r="AD50" i="5"/>
  <c r="AF50" i="5" s="1"/>
  <c r="AD52" i="5"/>
  <c r="AF52" i="5" s="1"/>
  <c r="AD67" i="5"/>
  <c r="AF67" i="5" s="1"/>
  <c r="AE69" i="5"/>
  <c r="AF69" i="5" s="1"/>
  <c r="AD83" i="5"/>
  <c r="AF83" i="5" s="1"/>
  <c r="AE85" i="5"/>
  <c r="AF85" i="5" s="1"/>
  <c r="F4" i="5"/>
  <c r="N4" i="5"/>
  <c r="V4" i="5"/>
  <c r="AD93" i="5"/>
  <c r="AF93" i="5" s="1"/>
  <c r="K8" i="6"/>
  <c r="AD17" i="6"/>
  <c r="AD33" i="6"/>
  <c r="AD56" i="6"/>
  <c r="AD75" i="6"/>
  <c r="AD78" i="6"/>
  <c r="C4" i="6"/>
  <c r="K4" i="6"/>
  <c r="S4" i="6"/>
  <c r="AA4" i="6"/>
  <c r="U8" i="6"/>
  <c r="M8" i="6"/>
  <c r="E8" i="6"/>
  <c r="J5" i="5"/>
  <c r="C6" i="5"/>
  <c r="C7" i="5" s="1"/>
  <c r="AD51" i="5"/>
  <c r="AF51" i="5" s="1"/>
  <c r="L6" i="5"/>
  <c r="L7" i="5" s="1"/>
  <c r="R8" i="6"/>
  <c r="AD18" i="6"/>
  <c r="I4" i="5"/>
  <c r="AD15" i="5"/>
  <c r="AD43" i="5"/>
  <c r="AD53" i="5"/>
  <c r="AF53" i="5" s="1"/>
  <c r="H8" i="6"/>
  <c r="S8" i="6"/>
  <c r="AE74" i="5"/>
  <c r="AD74" i="5"/>
  <c r="I8" i="6"/>
  <c r="W8" i="6"/>
  <c r="AD61" i="6"/>
  <c r="T4" i="5"/>
  <c r="G6" i="5"/>
  <c r="G7" i="5" s="1"/>
  <c r="Y6" i="5"/>
  <c r="Y7" i="5" s="1"/>
  <c r="AD41" i="5"/>
  <c r="D4" i="5"/>
  <c r="AE71" i="5"/>
  <c r="AF71" i="5" s="1"/>
  <c r="AE77" i="5"/>
  <c r="AF77" i="5" s="1"/>
  <c r="O8" i="6"/>
  <c r="Z8" i="6"/>
  <c r="AD24" i="6"/>
  <c r="AD40" i="6"/>
  <c r="AD59" i="6"/>
  <c r="AD62" i="6"/>
  <c r="AD81" i="6"/>
  <c r="AD97" i="6"/>
  <c r="C271" i="10"/>
  <c r="D270" i="10"/>
  <c r="C270" i="10"/>
  <c r="AD94" i="6"/>
  <c r="Y9" i="7"/>
  <c r="Q9" i="7"/>
  <c r="I9" i="7"/>
  <c r="Z8" i="7"/>
  <c r="R8" i="7"/>
  <c r="J8" i="7"/>
  <c r="AA7" i="7"/>
  <c r="X9" i="7"/>
  <c r="P9" i="7"/>
  <c r="H9" i="7"/>
  <c r="Y8" i="7"/>
  <c r="Q8" i="7"/>
  <c r="I8" i="7"/>
  <c r="Z7" i="7"/>
  <c r="R7" i="7"/>
  <c r="J7" i="7"/>
  <c r="W9" i="7"/>
  <c r="O9" i="7"/>
  <c r="G9" i="7"/>
  <c r="X8" i="7"/>
  <c r="P8" i="7"/>
  <c r="H8" i="7"/>
  <c r="Y7" i="7"/>
  <c r="Q7" i="7"/>
  <c r="I7" i="7"/>
  <c r="E7" i="7"/>
  <c r="P7" i="7"/>
  <c r="E8" i="7"/>
  <c r="S8" i="7"/>
  <c r="E9" i="7"/>
  <c r="S9" i="7"/>
  <c r="C6" i="7"/>
  <c r="C7" i="7" s="1"/>
  <c r="C5" i="7"/>
  <c r="K6" i="7"/>
  <c r="K7" i="7" s="1"/>
  <c r="K5" i="7"/>
  <c r="S6" i="7"/>
  <c r="S7" i="7" s="1"/>
  <c r="S5" i="7"/>
  <c r="AA6" i="7"/>
  <c r="AA5" i="7"/>
  <c r="D29" i="10"/>
  <c r="C30" i="10"/>
  <c r="C40" i="10"/>
  <c r="D39" i="10"/>
  <c r="C226" i="10"/>
  <c r="D225" i="10"/>
  <c r="C225" i="10"/>
  <c r="C112" i="10"/>
  <c r="D111" i="10"/>
  <c r="C221" i="10"/>
  <c r="D220" i="10"/>
  <c r="C220" i="10"/>
  <c r="C263" i="10"/>
  <c r="D262" i="10"/>
  <c r="C262" i="10"/>
  <c r="C295" i="10"/>
  <c r="D294" i="10"/>
  <c r="C294" i="10"/>
  <c r="AD90" i="6"/>
  <c r="G7" i="7"/>
  <c r="U7" i="7"/>
  <c r="G8" i="7"/>
  <c r="U8" i="7"/>
  <c r="J9" i="7"/>
  <c r="U9" i="7"/>
  <c r="AD12" i="7"/>
  <c r="AD22" i="7"/>
  <c r="AD28" i="7"/>
  <c r="AD38" i="7"/>
  <c r="H7" i="7"/>
  <c r="V7" i="7"/>
  <c r="K8" i="7"/>
  <c r="V8" i="7"/>
  <c r="K9" i="7"/>
  <c r="V9" i="7"/>
  <c r="AD68" i="7"/>
  <c r="D6" i="7"/>
  <c r="D7" i="7" s="1"/>
  <c r="D5" i="7"/>
  <c r="L6" i="7"/>
  <c r="L5" i="7"/>
  <c r="T6" i="7"/>
  <c r="T7" i="7" s="1"/>
  <c r="T5" i="7"/>
  <c r="C31" i="9"/>
  <c r="C30" i="9"/>
  <c r="C255" i="10"/>
  <c r="D254" i="10"/>
  <c r="C254" i="10"/>
  <c r="C287" i="10"/>
  <c r="D286" i="10"/>
  <c r="C286" i="10"/>
  <c r="E7" i="6"/>
  <c r="M7" i="6"/>
  <c r="U7" i="6"/>
  <c r="D8" i="6"/>
  <c r="L8" i="6"/>
  <c r="T8" i="6"/>
  <c r="K9" i="6"/>
  <c r="S9" i="6"/>
  <c r="AA9" i="6"/>
  <c r="AD54" i="6"/>
  <c r="AD70" i="6"/>
  <c r="AD86" i="6"/>
  <c r="AA4" i="7"/>
  <c r="L7" i="7"/>
  <c r="W7" i="7"/>
  <c r="L8" i="7"/>
  <c r="W8" i="7"/>
  <c r="L9" i="7"/>
  <c r="Z9" i="7"/>
  <c r="D93" i="10"/>
  <c r="C94" i="10"/>
  <c r="C104" i="10"/>
  <c r="D103" i="10"/>
  <c r="D9" i="6"/>
  <c r="L9" i="6"/>
  <c r="AD52" i="6"/>
  <c r="AD68" i="6"/>
  <c r="AD84" i="6"/>
  <c r="AD93" i="6"/>
  <c r="M7" i="7"/>
  <c r="X7" i="7"/>
  <c r="M8" i="7"/>
  <c r="AA8" i="7"/>
  <c r="M9" i="7"/>
  <c r="AA9" i="7"/>
  <c r="AD52" i="7"/>
  <c r="AD83" i="7"/>
  <c r="C48" i="10"/>
  <c r="D47" i="10"/>
  <c r="C133" i="10"/>
  <c r="D132" i="10"/>
  <c r="C132" i="10"/>
  <c r="C247" i="10"/>
  <c r="D246" i="10"/>
  <c r="C246" i="10"/>
  <c r="C279" i="10"/>
  <c r="D278" i="10"/>
  <c r="C278" i="10"/>
  <c r="G7" i="6"/>
  <c r="O7" i="6"/>
  <c r="W7" i="6"/>
  <c r="F8" i="6"/>
  <c r="N8" i="6"/>
  <c r="V8" i="6"/>
  <c r="E9" i="6"/>
  <c r="M9" i="6"/>
  <c r="AD50" i="6"/>
  <c r="AD66" i="6"/>
  <c r="AD82" i="6"/>
  <c r="AD98" i="6"/>
  <c r="S4" i="7"/>
  <c r="N7" i="7"/>
  <c r="C8" i="7"/>
  <c r="N8" i="7"/>
  <c r="C9" i="7"/>
  <c r="N9" i="7"/>
  <c r="AD14" i="7"/>
  <c r="AD20" i="7"/>
  <c r="AD30" i="7"/>
  <c r="AD36" i="7"/>
  <c r="AD91" i="7"/>
  <c r="C22" i="9"/>
  <c r="C21" i="9"/>
  <c r="C189" i="10"/>
  <c r="D188" i="10"/>
  <c r="C194" i="10"/>
  <c r="D193" i="10"/>
  <c r="C193" i="10"/>
  <c r="C17" i="9"/>
  <c r="C26" i="9"/>
  <c r="C49" i="9"/>
  <c r="C65" i="9"/>
  <c r="C81" i="9"/>
  <c r="C97" i="9"/>
  <c r="C113" i="9"/>
  <c r="C129" i="9"/>
  <c r="C145" i="9"/>
  <c r="C161" i="9"/>
  <c r="C177" i="9"/>
  <c r="C193" i="9"/>
  <c r="C209" i="9"/>
  <c r="C225" i="9"/>
  <c r="C241" i="9"/>
  <c r="C257" i="9"/>
  <c r="C285" i="9"/>
  <c r="C14" i="10"/>
  <c r="C23" i="10"/>
  <c r="D22" i="10"/>
  <c r="C61" i="10"/>
  <c r="D60" i="10"/>
  <c r="C66" i="10"/>
  <c r="D65" i="10"/>
  <c r="C65" i="10"/>
  <c r="C78" i="10"/>
  <c r="C87" i="10"/>
  <c r="D86" i="10"/>
  <c r="C157" i="10"/>
  <c r="D156" i="10"/>
  <c r="C162" i="10"/>
  <c r="D161" i="10"/>
  <c r="C161" i="10"/>
  <c r="C188" i="10"/>
  <c r="C217" i="10"/>
  <c r="D221" i="10"/>
  <c r="C222" i="10"/>
  <c r="C238" i="10"/>
  <c r="C13" i="9"/>
  <c r="C45" i="9"/>
  <c r="C274" i="9"/>
  <c r="D14" i="10"/>
  <c r="C22" i="10"/>
  <c r="C37" i="10"/>
  <c r="D36" i="10"/>
  <c r="C36" i="10"/>
  <c r="C60" i="10"/>
  <c r="D78" i="10"/>
  <c r="C86" i="10"/>
  <c r="C101" i="10"/>
  <c r="D100" i="10"/>
  <c r="C100" i="10"/>
  <c r="C125" i="10"/>
  <c r="D124" i="10"/>
  <c r="C130" i="10"/>
  <c r="D129" i="10"/>
  <c r="C129" i="10"/>
  <c r="C156" i="10"/>
  <c r="C185" i="10"/>
  <c r="D189" i="10"/>
  <c r="C190" i="10"/>
  <c r="C206" i="10"/>
  <c r="C215" i="10"/>
  <c r="D214" i="10"/>
  <c r="D217" i="10"/>
  <c r="D231" i="10"/>
  <c r="D238" i="10"/>
  <c r="C9" i="9"/>
  <c r="C41" i="9"/>
  <c r="C61" i="9"/>
  <c r="C77" i="9"/>
  <c r="C93" i="9"/>
  <c r="C109" i="9"/>
  <c r="C125" i="9"/>
  <c r="C141" i="9"/>
  <c r="C157" i="9"/>
  <c r="C173" i="9"/>
  <c r="C189" i="9"/>
  <c r="C205" i="9"/>
  <c r="C221" i="9"/>
  <c r="C237" i="9"/>
  <c r="C253" i="9"/>
  <c r="C16" i="10"/>
  <c r="D15" i="10"/>
  <c r="C57" i="10"/>
  <c r="D61" i="10"/>
  <c r="C62" i="10"/>
  <c r="C80" i="10"/>
  <c r="D79" i="10"/>
  <c r="C124" i="10"/>
  <c r="C153" i="10"/>
  <c r="D157" i="10"/>
  <c r="C158" i="10"/>
  <c r="C174" i="10"/>
  <c r="C183" i="10"/>
  <c r="D182" i="10"/>
  <c r="D185" i="10"/>
  <c r="D199" i="10"/>
  <c r="D206" i="10"/>
  <c r="C214" i="10"/>
  <c r="C240" i="10"/>
  <c r="D239" i="10"/>
  <c r="AD97" i="7"/>
  <c r="C25" i="8"/>
  <c r="C17" i="8"/>
  <c r="C9" i="8"/>
  <c r="C22" i="8"/>
  <c r="C14" i="8"/>
  <c r="C6" i="8"/>
  <c r="C27" i="8"/>
  <c r="C19" i="8"/>
  <c r="C11" i="8"/>
  <c r="C3" i="8"/>
  <c r="C5" i="9"/>
  <c r="C37" i="9"/>
  <c r="D7" i="10"/>
  <c r="C47" i="10"/>
  <c r="D57" i="10"/>
  <c r="D71" i="10"/>
  <c r="C111" i="10"/>
  <c r="C121" i="10"/>
  <c r="D125" i="10"/>
  <c r="C126" i="10"/>
  <c r="C142" i="10"/>
  <c r="C151" i="10"/>
  <c r="D150" i="10"/>
  <c r="D153" i="10"/>
  <c r="D167" i="10"/>
  <c r="D174" i="10"/>
  <c r="C182" i="10"/>
  <c r="C208" i="10"/>
  <c r="D207" i="10"/>
  <c r="C229" i="10"/>
  <c r="D228" i="10"/>
  <c r="C228" i="10"/>
  <c r="C4" i="8"/>
  <c r="C7" i="8"/>
  <c r="C10" i="8"/>
  <c r="C13" i="8"/>
  <c r="C16" i="8"/>
  <c r="C57" i="9"/>
  <c r="C73" i="9"/>
  <c r="C89" i="9"/>
  <c r="C105" i="9"/>
  <c r="C121" i="9"/>
  <c r="C137" i="9"/>
  <c r="C153" i="9"/>
  <c r="C169" i="9"/>
  <c r="C185" i="9"/>
  <c r="C201" i="9"/>
  <c r="C217" i="9"/>
  <c r="C233" i="9"/>
  <c r="C249" i="9"/>
  <c r="C270" i="9"/>
  <c r="C29" i="10"/>
  <c r="D28" i="10"/>
  <c r="C34" i="10"/>
  <c r="D33" i="10"/>
  <c r="C33" i="10"/>
  <c r="C46" i="10"/>
  <c r="C55" i="10"/>
  <c r="D54" i="10"/>
  <c r="C93" i="10"/>
  <c r="D92" i="10"/>
  <c r="C98" i="10"/>
  <c r="D97" i="10"/>
  <c r="C97" i="10"/>
  <c r="C110" i="10"/>
  <c r="C119" i="10"/>
  <c r="D118" i="10"/>
  <c r="D121" i="10"/>
  <c r="D135" i="10"/>
  <c r="D142" i="10"/>
  <c r="C150" i="10"/>
  <c r="C176" i="10"/>
  <c r="D175" i="10"/>
  <c r="C197" i="10"/>
  <c r="D196" i="10"/>
  <c r="C196" i="10"/>
  <c r="C3" i="9"/>
  <c r="C54" i="9"/>
  <c r="C70" i="9"/>
  <c r="C86" i="9"/>
  <c r="C102" i="9"/>
  <c r="C118" i="9"/>
  <c r="C134" i="9"/>
  <c r="C150" i="9"/>
  <c r="C166" i="9"/>
  <c r="C182" i="9"/>
  <c r="C198" i="9"/>
  <c r="C214" i="9"/>
  <c r="C230" i="9"/>
  <c r="C246" i="9"/>
  <c r="C262" i="9"/>
  <c r="C290" i="9"/>
  <c r="C5" i="10"/>
  <c r="D4" i="10"/>
  <c r="C4" i="10"/>
  <c r="C28" i="10"/>
  <c r="D46" i="10"/>
  <c r="C54" i="10"/>
  <c r="C69" i="10"/>
  <c r="D68" i="10"/>
  <c r="C68" i="10"/>
  <c r="C92" i="10"/>
  <c r="D110" i="10"/>
  <c r="C118" i="10"/>
  <c r="C144" i="10"/>
  <c r="D143" i="10"/>
  <c r="C165" i="10"/>
  <c r="D164" i="10"/>
  <c r="C164" i="10"/>
  <c r="C13" i="10"/>
  <c r="D12" i="10"/>
  <c r="C45" i="10"/>
  <c r="D44" i="10"/>
  <c r="C77" i="10"/>
  <c r="D76" i="10"/>
  <c r="C109" i="10"/>
  <c r="D108" i="10"/>
  <c r="C141" i="10"/>
  <c r="D140" i="10"/>
  <c r="C173" i="10"/>
  <c r="D172" i="10"/>
  <c r="C205" i="10"/>
  <c r="D204" i="10"/>
  <c r="C237" i="10"/>
  <c r="D236" i="10"/>
  <c r="C283" i="9"/>
  <c r="C294" i="9"/>
  <c r="C299" i="9"/>
  <c r="C7" i="10"/>
  <c r="C12" i="10"/>
  <c r="D23" i="10"/>
  <c r="D30" i="10"/>
  <c r="C39" i="10"/>
  <c r="C44" i="10"/>
  <c r="D55" i="10"/>
  <c r="D62" i="10"/>
  <c r="C71" i="10"/>
  <c r="C76" i="10"/>
  <c r="D87" i="10"/>
  <c r="D94" i="10"/>
  <c r="C103" i="10"/>
  <c r="C108" i="10"/>
  <c r="D126" i="10"/>
  <c r="C135" i="10"/>
  <c r="D158" i="10"/>
  <c r="C167" i="10"/>
  <c r="D190" i="10"/>
  <c r="C199" i="10"/>
  <c r="D222" i="10"/>
  <c r="C231" i="10"/>
  <c r="C245" i="10"/>
  <c r="D244" i="10"/>
  <c r="C244" i="10"/>
  <c r="C253" i="10"/>
  <c r="D252" i="10"/>
  <c r="C252" i="10"/>
  <c r="C261" i="10"/>
  <c r="D260" i="10"/>
  <c r="C260" i="10"/>
  <c r="C269" i="10"/>
  <c r="D268" i="10"/>
  <c r="C268" i="10"/>
  <c r="C277" i="10"/>
  <c r="D276" i="10"/>
  <c r="C276" i="10"/>
  <c r="C285" i="10"/>
  <c r="D284" i="10"/>
  <c r="C284" i="10"/>
  <c r="C293" i="10"/>
  <c r="D292" i="10"/>
  <c r="C292" i="10"/>
  <c r="C301" i="10"/>
  <c r="D300" i="10"/>
  <c r="C300" i="10"/>
  <c r="C279" i="9"/>
  <c r="C21" i="10"/>
  <c r="D20" i="10"/>
  <c r="C53" i="10"/>
  <c r="D52" i="10"/>
  <c r="C85" i="10"/>
  <c r="D84" i="10"/>
  <c r="C117" i="10"/>
  <c r="D116" i="10"/>
  <c r="C149" i="10"/>
  <c r="D148" i="10"/>
  <c r="C181" i="10"/>
  <c r="D180" i="10"/>
  <c r="C213" i="10"/>
  <c r="D212" i="10"/>
  <c r="AF90" i="5" l="1"/>
  <c r="AF82" i="5"/>
  <c r="AF74" i="5"/>
  <c r="AF98" i="5"/>
</calcChain>
</file>

<file path=xl/sharedStrings.xml><?xml version="1.0" encoding="utf-8"?>
<sst xmlns="http://schemas.openxmlformats.org/spreadsheetml/2006/main" count="1511" uniqueCount="602">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</sst>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7">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0" fontId="0" fillId="2" borderId="0" xfId="0" applyFill="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3FB1-CA45-8C34-78097AE2872C}"/>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3FB1-CA45-8C34-78097AE2872C}"/>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3FB1-CA45-8C34-78097AE2872C}"/>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3FB1-CA45-8C34-78097AE2872C}"/>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3FB1-CA45-8C34-78097AE2872C}"/>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3FB1-CA45-8C34-78097AE2872C}"/>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3FB1-CA45-8C34-78097AE2872C}"/>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3FB1-CA45-8C34-78097AE2872C}"/>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3FB1-CA45-8C34-78097AE2872C}"/>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pt idx="200">
                  <c:v>5.5334840380000001</c:v>
                </c:pt>
                <c:pt idx="201">
                  <c:v>3.5278923760000001</c:v>
                </c:pt>
              </c:numCache>
            </c:numRef>
          </c:val>
          <c:smooth val="0"/>
          <c:extLst>
            <c:ext xmlns:c16="http://schemas.microsoft.com/office/drawing/2014/chart" uri="{C3380CC4-5D6E-409C-BE32-E72D297353CC}">
              <c16:uniqueId val="{00000000-A512-534D-9131-3B006EFC902C}"/>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pt idx="200">
                  <c:v>1.6807782659999999</c:v>
                </c:pt>
                <c:pt idx="201">
                  <c:v>-0.39569248000000001</c:v>
                </c:pt>
              </c:numCache>
            </c:numRef>
          </c:val>
          <c:smooth val="0"/>
          <c:extLst>
            <c:ext xmlns:c16="http://schemas.microsoft.com/office/drawing/2014/chart" uri="{C3380CC4-5D6E-409C-BE32-E72D297353CC}">
              <c16:uniqueId val="{00000000-C334-554B-8CC4-EA30018EB0BA}"/>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pt idx="60">
                  <c:v>6.8945212693952929E-2</c:v>
                </c:pt>
                <c:pt idx="61">
                  <c:v>-1.5734003249917805E-2</c:v>
                </c:pt>
              </c:numCache>
            </c:numRef>
          </c:val>
          <c:extLst>
            <c:ext xmlns:c16="http://schemas.microsoft.com/office/drawing/2014/chart" uri="{C3380CC4-5D6E-409C-BE32-E72D297353CC}">
              <c16:uniqueId val="{00000000-E3A2-0847-934C-B18FAC638427}"/>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1" totalsRowShown="0" headerRowDxfId="10" dataDxfId="9">
  <autoFilter ref="A1:C301"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1" totalsRowShown="0" headerRowDxfId="5" dataDxfId="4">
  <autoFilter ref="A1:D301"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0" customWidth="1"/>
    <col min="2" max="10" width="12.83203125" style="70" customWidth="1"/>
    <col min="11" max="11" width="6.6640625" style="70" customWidth="1"/>
    <col min="12" max="29" width="9.1640625" style="70" customWidth="1"/>
    <col min="30" max="16384" width="9.1640625" style="70"/>
  </cols>
  <sheetData>
    <row r="1" spans="2:10" ht="16" customHeight="1" thickBot="1" x14ac:dyDescent="0.25">
      <c r="B1" s="75"/>
      <c r="C1" s="76"/>
      <c r="D1" s="76"/>
      <c r="E1" s="76"/>
      <c r="F1" s="76"/>
      <c r="G1" s="76"/>
      <c r="H1" s="76"/>
      <c r="I1" s="76"/>
      <c r="J1" s="76"/>
    </row>
    <row r="2" spans="2:10" ht="16" customHeight="1" thickBot="1" x14ac:dyDescent="0.25">
      <c r="B2" s="77"/>
      <c r="C2" s="77"/>
      <c r="D2" s="77"/>
      <c r="E2" s="77"/>
      <c r="F2" s="77"/>
      <c r="G2" s="77"/>
      <c r="H2" s="77"/>
      <c r="I2" s="77"/>
      <c r="J2" s="77"/>
    </row>
    <row r="3" spans="2:10" ht="16" customHeight="1" thickBot="1" x14ac:dyDescent="0.25">
      <c r="B3" s="78" t="s">
        <v>0</v>
      </c>
      <c r="C3" s="79"/>
      <c r="D3" s="79"/>
      <c r="E3" s="79"/>
      <c r="F3" s="79"/>
      <c r="G3" s="79"/>
      <c r="H3" s="79"/>
      <c r="I3" s="79"/>
      <c r="J3" s="80"/>
    </row>
    <row r="5" spans="2:10" x14ac:dyDescent="0.2">
      <c r="B5" s="81" t="s">
        <v>1</v>
      </c>
      <c r="C5" s="82"/>
      <c r="D5" s="82"/>
      <c r="E5" s="82"/>
      <c r="F5" s="82"/>
      <c r="G5" s="82"/>
      <c r="H5" s="82"/>
      <c r="I5" s="82"/>
      <c r="J5" s="83"/>
    </row>
    <row r="7" spans="2:10" ht="132" customHeight="1" x14ac:dyDescent="0.2">
      <c r="B7" s="84" t="s">
        <v>2</v>
      </c>
      <c r="C7" s="76"/>
      <c r="D7" s="76"/>
      <c r="E7" s="76"/>
      <c r="F7" s="76"/>
      <c r="G7" s="76"/>
      <c r="H7" s="76"/>
      <c r="I7" s="76"/>
      <c r="J7" s="76"/>
    </row>
    <row r="8" spans="2:10" x14ac:dyDescent="0.2">
      <c r="B8" s="59"/>
      <c r="C8" s="57"/>
      <c r="D8" s="57"/>
      <c r="E8" s="57"/>
    </row>
    <row r="9" spans="2:10" x14ac:dyDescent="0.2">
      <c r="B9" s="81" t="s">
        <v>3</v>
      </c>
      <c r="C9" s="82"/>
      <c r="D9" s="82"/>
      <c r="E9" s="82"/>
      <c r="F9" s="82"/>
      <c r="G9" s="82"/>
      <c r="H9" s="82"/>
      <c r="I9" s="82"/>
      <c r="J9" s="83"/>
    </row>
    <row r="10" spans="2:10" ht="16" customHeight="1" x14ac:dyDescent="0.2"/>
    <row r="11" spans="2:10" ht="17" customHeight="1" x14ac:dyDescent="0.2">
      <c r="B11" s="81" t="s">
        <v>4</v>
      </c>
      <c r="C11" s="82"/>
      <c r="D11" s="82"/>
      <c r="E11" s="82"/>
      <c r="F11" s="83"/>
      <c r="G11" s="81" t="s">
        <v>5</v>
      </c>
      <c r="H11" s="82"/>
      <c r="I11" s="82"/>
      <c r="J11" s="83"/>
    </row>
    <row r="12" spans="2:10" ht="16" customHeight="1" x14ac:dyDescent="0.2"/>
    <row r="13" spans="2:10" ht="16" customHeight="1" x14ac:dyDescent="0.2">
      <c r="B13" s="86" t="s">
        <v>6</v>
      </c>
      <c r="C13" s="76"/>
      <c r="D13" s="76"/>
      <c r="E13" s="76"/>
      <c r="F13" s="76"/>
      <c r="G13" s="76" t="s">
        <v>7</v>
      </c>
      <c r="H13" s="76"/>
      <c r="I13" s="76"/>
      <c r="J13" s="76"/>
    </row>
    <row r="14" spans="2:10" ht="16" customHeight="1" x14ac:dyDescent="0.2">
      <c r="B14" s="76" t="s">
        <v>8</v>
      </c>
      <c r="C14" s="76"/>
      <c r="D14" s="76"/>
      <c r="E14" s="76"/>
      <c r="F14" s="76"/>
      <c r="G14" s="76" t="s">
        <v>9</v>
      </c>
      <c r="H14" s="76"/>
      <c r="I14" s="76"/>
      <c r="J14" s="76"/>
    </row>
    <row r="15" spans="2:10" ht="16" customHeight="1" x14ac:dyDescent="0.2">
      <c r="B15" s="76" t="s">
        <v>10</v>
      </c>
      <c r="C15" s="76"/>
      <c r="D15" s="76"/>
      <c r="E15" s="76"/>
      <c r="F15" s="76"/>
      <c r="G15" s="76" t="s">
        <v>11</v>
      </c>
      <c r="H15" s="76"/>
      <c r="I15" s="76"/>
      <c r="J15" s="76"/>
    </row>
    <row r="16" spans="2:10" ht="16" customHeight="1" x14ac:dyDescent="0.2">
      <c r="B16" s="76" t="s">
        <v>12</v>
      </c>
      <c r="C16" s="76"/>
      <c r="D16" s="76"/>
      <c r="E16" s="76"/>
      <c r="F16" s="76"/>
    </row>
    <row r="17" spans="2:10" ht="16" customHeight="1" x14ac:dyDescent="0.2">
      <c r="B17" s="76" t="s">
        <v>13</v>
      </c>
      <c r="C17" s="76"/>
      <c r="D17" s="76"/>
      <c r="E17" s="76"/>
      <c r="F17" s="76"/>
    </row>
    <row r="18" spans="2:10" ht="16" customHeight="1" x14ac:dyDescent="0.2"/>
    <row r="19" spans="2:10" ht="16" customHeight="1" x14ac:dyDescent="0.2">
      <c r="B19" s="86" t="s">
        <v>6</v>
      </c>
      <c r="C19" s="76"/>
      <c r="D19" s="76"/>
      <c r="E19" s="76"/>
      <c r="F19" s="76"/>
      <c r="G19" s="76" t="s">
        <v>14</v>
      </c>
      <c r="H19" s="76"/>
      <c r="I19" s="76"/>
      <c r="J19" s="76"/>
    </row>
    <row r="20" spans="2:10" ht="16" customHeight="1" x14ac:dyDescent="0.2">
      <c r="B20" s="76" t="s">
        <v>8</v>
      </c>
      <c r="C20" s="76"/>
      <c r="D20" s="76"/>
      <c r="E20" s="76"/>
      <c r="F20" s="76"/>
      <c r="G20" s="76" t="s">
        <v>9</v>
      </c>
      <c r="H20" s="76"/>
      <c r="I20" s="76"/>
      <c r="J20" s="76"/>
    </row>
    <row r="21" spans="2:10" ht="16" customHeight="1" x14ac:dyDescent="0.2">
      <c r="B21" s="76" t="s">
        <v>10</v>
      </c>
      <c r="C21" s="76"/>
      <c r="D21" s="76"/>
      <c r="E21" s="76"/>
      <c r="F21" s="76"/>
      <c r="G21" s="76" t="s">
        <v>15</v>
      </c>
      <c r="H21" s="76"/>
      <c r="I21" s="76"/>
      <c r="J21" s="76"/>
    </row>
    <row r="22" spans="2:10" ht="16" customHeight="1" x14ac:dyDescent="0.2">
      <c r="B22" s="76" t="s">
        <v>16</v>
      </c>
      <c r="C22" s="76"/>
      <c r="D22" s="76"/>
      <c r="E22" s="76"/>
      <c r="F22" s="76"/>
    </row>
    <row r="23" spans="2:10" ht="16" customHeight="1" x14ac:dyDescent="0.2">
      <c r="B23" s="76" t="s">
        <v>13</v>
      </c>
      <c r="C23" s="76"/>
      <c r="D23" s="76"/>
      <c r="E23" s="76"/>
      <c r="F23" s="76"/>
    </row>
    <row r="24" spans="2:10" ht="16" customHeight="1" x14ac:dyDescent="0.2"/>
    <row r="25" spans="2:10" ht="16" customHeight="1" x14ac:dyDescent="0.2">
      <c r="B25" s="70" t="s">
        <v>17</v>
      </c>
    </row>
    <row r="26" spans="2:10" ht="16" customHeight="1" x14ac:dyDescent="0.2"/>
    <row r="27" spans="2:10" ht="16" customHeight="1" x14ac:dyDescent="0.2">
      <c r="B27" s="70" t="s">
        <v>0</v>
      </c>
      <c r="G27" s="62"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5"/>
      <c r="C39" s="76"/>
      <c r="D39" s="76"/>
      <c r="E39" s="76"/>
      <c r="F39" s="76"/>
      <c r="G39" s="76"/>
      <c r="H39" s="76"/>
      <c r="I39" s="76"/>
      <c r="J39" s="76"/>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R1" sqref="R1"/>
      <selection pane="bottomLeft" activeCell="R1" sqref="R1"/>
    </sheetView>
  </sheetViews>
  <sheetFormatPr baseColWidth="10" defaultColWidth="9.1640625" defaultRowHeight="15" x14ac:dyDescent="0.2"/>
  <cols>
    <col min="1" max="1" width="9.1640625" style="67" customWidth="1"/>
    <col min="2" max="2" width="16.1640625" style="67" customWidth="1"/>
    <col min="3" max="5" width="9.1640625" style="2" customWidth="1"/>
    <col min="6" max="6" width="10.6640625" style="2" bestFit="1" customWidth="1"/>
    <col min="7" max="7" width="10.6640625" style="2" customWidth="1"/>
    <col min="8" max="46" width="9.1640625" style="2" customWidth="1"/>
    <col min="47" max="64" width="9.1640625" style="67" customWidth="1"/>
    <col min="65" max="16384" width="9.1640625" style="67"/>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4">
        <v>17349</v>
      </c>
      <c r="AT2">
        <v>-0.26670598899999998</v>
      </c>
    </row>
    <row r="3" spans="1:47" x14ac:dyDescent="0.2">
      <c r="A3" t="s">
        <v>67</v>
      </c>
      <c r="B3" s="74">
        <v>17441</v>
      </c>
      <c r="AT3">
        <v>-0.20650322500000001</v>
      </c>
    </row>
    <row r="4" spans="1:47" x14ac:dyDescent="0.2">
      <c r="A4" t="s">
        <v>68</v>
      </c>
      <c r="B4" s="74">
        <v>17533</v>
      </c>
      <c r="AT4">
        <v>1.5642763799999999</v>
      </c>
    </row>
    <row r="5" spans="1:47" x14ac:dyDescent="0.2">
      <c r="A5" t="s">
        <v>69</v>
      </c>
      <c r="B5" s="74">
        <v>17624</v>
      </c>
      <c r="AT5">
        <v>1.5042003239999999</v>
      </c>
    </row>
    <row r="6" spans="1:47" x14ac:dyDescent="0.2">
      <c r="A6" t="s">
        <v>70</v>
      </c>
      <c r="B6" s="74">
        <v>17715</v>
      </c>
      <c r="AT6">
        <v>1.650680594</v>
      </c>
    </row>
    <row r="7" spans="1:47" x14ac:dyDescent="0.2">
      <c r="A7" t="s">
        <v>71</v>
      </c>
      <c r="B7" s="74">
        <v>17807</v>
      </c>
      <c r="AT7">
        <v>0.57293019099999998</v>
      </c>
    </row>
    <row r="8" spans="1:47" x14ac:dyDescent="0.2">
      <c r="A8" t="s">
        <v>72</v>
      </c>
      <c r="B8" s="74">
        <v>17899</v>
      </c>
      <c r="AT8">
        <v>0.11171215800000001</v>
      </c>
    </row>
    <row r="9" spans="1:47" x14ac:dyDescent="0.2">
      <c r="A9" t="s">
        <v>73</v>
      </c>
      <c r="B9" s="74">
        <v>17989</v>
      </c>
      <c r="AT9">
        <v>-1.37794649</v>
      </c>
    </row>
    <row r="10" spans="1:47" x14ac:dyDescent="0.2">
      <c r="A10" t="s">
        <v>74</v>
      </c>
      <c r="B10" s="74">
        <v>18080</v>
      </c>
      <c r="AT10">
        <v>-0.34110093000000002</v>
      </c>
    </row>
    <row r="11" spans="1:47" x14ac:dyDescent="0.2">
      <c r="A11" t="s">
        <v>75</v>
      </c>
      <c r="B11" s="74">
        <v>18172</v>
      </c>
      <c r="AT11">
        <v>1.0324247769999999</v>
      </c>
    </row>
    <row r="12" spans="1:47" x14ac:dyDescent="0.2">
      <c r="A12" t="s">
        <v>76</v>
      </c>
      <c r="B12" s="74">
        <v>18264</v>
      </c>
      <c r="AT12">
        <v>-0.83926743999999998</v>
      </c>
    </row>
    <row r="13" spans="1:47" x14ac:dyDescent="0.2">
      <c r="A13" t="s">
        <v>77</v>
      </c>
      <c r="B13" s="74">
        <v>18354</v>
      </c>
      <c r="AT13">
        <v>3.930097999</v>
      </c>
    </row>
    <row r="14" spans="1:47" x14ac:dyDescent="0.2">
      <c r="A14" t="s">
        <v>78</v>
      </c>
      <c r="B14" s="74">
        <v>18445</v>
      </c>
      <c r="AT14">
        <v>3.0498109879999999</v>
      </c>
    </row>
    <row r="15" spans="1:47" x14ac:dyDescent="0.2">
      <c r="A15" t="s">
        <v>79</v>
      </c>
      <c r="B15" s="74">
        <v>18537</v>
      </c>
      <c r="AT15">
        <v>3.8644146030000002</v>
      </c>
    </row>
    <row r="16" spans="1:47" x14ac:dyDescent="0.2">
      <c r="A16" t="s">
        <v>80</v>
      </c>
      <c r="B16" s="74">
        <v>18629</v>
      </c>
      <c r="AT16">
        <v>1.9147801470000001</v>
      </c>
    </row>
    <row r="17" spans="1:46" x14ac:dyDescent="0.2">
      <c r="A17" t="s">
        <v>81</v>
      </c>
      <c r="B17" s="74">
        <v>18719</v>
      </c>
      <c r="AT17">
        <v>1.3581587639999999</v>
      </c>
    </row>
    <row r="18" spans="1:46" x14ac:dyDescent="0.2">
      <c r="A18" t="s">
        <v>82</v>
      </c>
      <c r="B18" s="74">
        <v>18810</v>
      </c>
      <c r="AT18">
        <v>1.7327104369999999</v>
      </c>
    </row>
    <row r="19" spans="1:46" x14ac:dyDescent="0.2">
      <c r="A19" t="s">
        <v>83</v>
      </c>
      <c r="B19" s="74">
        <v>18902</v>
      </c>
      <c r="AT19">
        <v>2.060998798</v>
      </c>
    </row>
    <row r="20" spans="1:46" x14ac:dyDescent="0.2">
      <c r="A20" t="s">
        <v>84</v>
      </c>
      <c r="B20" s="74">
        <v>18994</v>
      </c>
      <c r="AT20">
        <v>0.220249574</v>
      </c>
    </row>
    <row r="21" spans="1:46" x14ac:dyDescent="0.2">
      <c r="A21" t="s">
        <v>85</v>
      </c>
      <c r="B21" s="74">
        <v>19085</v>
      </c>
      <c r="AT21">
        <v>1.068534409</v>
      </c>
    </row>
    <row r="22" spans="1:46" x14ac:dyDescent="0.2">
      <c r="A22" t="s">
        <v>86</v>
      </c>
      <c r="B22" s="74">
        <v>19176</v>
      </c>
      <c r="AT22">
        <v>0.215396694</v>
      </c>
    </row>
    <row r="23" spans="1:46" x14ac:dyDescent="0.2">
      <c r="A23" t="s">
        <v>87</v>
      </c>
      <c r="B23" s="74">
        <v>19268</v>
      </c>
      <c r="AT23">
        <v>0.72184921499999999</v>
      </c>
    </row>
    <row r="24" spans="1:46" x14ac:dyDescent="0.2">
      <c r="A24" t="s">
        <v>88</v>
      </c>
      <c r="B24" s="74">
        <v>19360</v>
      </c>
      <c r="AT24">
        <v>3.2842157109999999</v>
      </c>
    </row>
    <row r="25" spans="1:46" x14ac:dyDescent="0.2">
      <c r="A25" t="s">
        <v>89</v>
      </c>
      <c r="B25" s="74">
        <v>19450</v>
      </c>
      <c r="AT25">
        <v>1.858867482</v>
      </c>
    </row>
    <row r="26" spans="1:46" x14ac:dyDescent="0.2">
      <c r="A26" t="s">
        <v>90</v>
      </c>
      <c r="B26" s="74">
        <v>19541</v>
      </c>
      <c r="AT26">
        <v>0.77293802</v>
      </c>
    </row>
    <row r="27" spans="1:46" x14ac:dyDescent="0.2">
      <c r="A27" t="s">
        <v>91</v>
      </c>
      <c r="B27" s="74">
        <v>19633</v>
      </c>
      <c r="AT27">
        <v>-0.56267703099999999</v>
      </c>
    </row>
    <row r="28" spans="1:46" x14ac:dyDescent="0.2">
      <c r="A28" t="s">
        <v>92</v>
      </c>
      <c r="B28" s="74">
        <v>19725</v>
      </c>
      <c r="AT28">
        <v>-1.51394063</v>
      </c>
    </row>
    <row r="29" spans="1:46" x14ac:dyDescent="0.2">
      <c r="A29" t="s">
        <v>93</v>
      </c>
      <c r="B29" s="74">
        <v>19815</v>
      </c>
      <c r="AT29">
        <v>-0.47802388800000001</v>
      </c>
    </row>
    <row r="30" spans="1:46" x14ac:dyDescent="0.2">
      <c r="A30" t="s">
        <v>94</v>
      </c>
      <c r="B30" s="74">
        <v>19906</v>
      </c>
      <c r="AT30">
        <v>0.108992196</v>
      </c>
    </row>
    <row r="31" spans="1:46" x14ac:dyDescent="0.2">
      <c r="A31" t="s">
        <v>95</v>
      </c>
      <c r="B31" s="74">
        <v>19998</v>
      </c>
      <c r="AT31">
        <v>1.129346277</v>
      </c>
    </row>
    <row r="32" spans="1:46" x14ac:dyDescent="0.2">
      <c r="A32" t="s">
        <v>96</v>
      </c>
      <c r="B32" s="74">
        <v>20090</v>
      </c>
      <c r="AT32">
        <v>1.9566880769999999</v>
      </c>
    </row>
    <row r="33" spans="1:46" x14ac:dyDescent="0.2">
      <c r="A33" t="s">
        <v>97</v>
      </c>
      <c r="B33" s="74">
        <v>20180</v>
      </c>
      <c r="AT33">
        <v>2.8562346550000002</v>
      </c>
    </row>
    <row r="34" spans="1:46" x14ac:dyDescent="0.2">
      <c r="A34" t="s">
        <v>98</v>
      </c>
      <c r="B34" s="74">
        <v>20271</v>
      </c>
      <c r="V34">
        <v>8.7361201999999999E-2</v>
      </c>
      <c r="AT34">
        <v>1.627204957</v>
      </c>
    </row>
    <row r="35" spans="1:46" x14ac:dyDescent="0.2">
      <c r="A35" t="s">
        <v>99</v>
      </c>
      <c r="B35" s="74">
        <v>20363</v>
      </c>
      <c r="V35">
        <v>2.0214215210000002</v>
      </c>
      <c r="AT35">
        <v>1.350464288</v>
      </c>
    </row>
    <row r="36" spans="1:46" x14ac:dyDescent="0.2">
      <c r="A36" t="s">
        <v>100</v>
      </c>
      <c r="B36" s="74">
        <v>20455</v>
      </c>
      <c r="V36">
        <v>-0.543717267</v>
      </c>
      <c r="AT36">
        <v>0.600328737</v>
      </c>
    </row>
    <row r="37" spans="1:46" x14ac:dyDescent="0.2">
      <c r="A37" t="s">
        <v>101</v>
      </c>
      <c r="B37" s="74">
        <v>20546</v>
      </c>
      <c r="V37">
        <v>1.149656309</v>
      </c>
      <c r="AT37">
        <v>-0.38838046799999998</v>
      </c>
    </row>
    <row r="38" spans="1:46" x14ac:dyDescent="0.2">
      <c r="A38" t="s">
        <v>102</v>
      </c>
      <c r="B38" s="74">
        <v>20637</v>
      </c>
      <c r="V38">
        <v>-0.17644954900000001</v>
      </c>
      <c r="AT38">
        <v>0.82631942700000005</v>
      </c>
    </row>
    <row r="39" spans="1:46" x14ac:dyDescent="0.2">
      <c r="A39" t="s">
        <v>103</v>
      </c>
      <c r="B39" s="74">
        <v>20729</v>
      </c>
      <c r="V39">
        <v>-0.116248517</v>
      </c>
      <c r="AT39">
        <v>-8.9839592999999995E-2</v>
      </c>
    </row>
    <row r="40" spans="1:46" x14ac:dyDescent="0.2">
      <c r="A40" t="s">
        <v>104</v>
      </c>
      <c r="B40" s="74">
        <v>20821</v>
      </c>
      <c r="V40">
        <v>0.447997959</v>
      </c>
      <c r="AT40">
        <v>1.645864038</v>
      </c>
    </row>
    <row r="41" spans="1:46" x14ac:dyDescent="0.2">
      <c r="A41" t="s">
        <v>105</v>
      </c>
      <c r="B41" s="74">
        <v>20911</v>
      </c>
      <c r="V41">
        <v>1.999857153</v>
      </c>
      <c r="AT41">
        <v>0.64029115299999995</v>
      </c>
    </row>
    <row r="42" spans="1:46" x14ac:dyDescent="0.2">
      <c r="A42" t="s">
        <v>106</v>
      </c>
      <c r="B42" s="74">
        <v>21002</v>
      </c>
      <c r="V42">
        <v>1.0114448999999999E-2</v>
      </c>
      <c r="AT42">
        <v>-0.21908592399999999</v>
      </c>
    </row>
    <row r="43" spans="1:46" x14ac:dyDescent="0.2">
      <c r="A43" t="s">
        <v>107</v>
      </c>
      <c r="B43" s="74">
        <v>21094</v>
      </c>
      <c r="V43">
        <v>-0.61458511599999999</v>
      </c>
      <c r="AT43">
        <v>0.98001840200000001</v>
      </c>
    </row>
    <row r="44" spans="1:46" x14ac:dyDescent="0.2">
      <c r="A44" t="s">
        <v>108</v>
      </c>
      <c r="B44" s="74">
        <v>21186</v>
      </c>
      <c r="V44">
        <v>0.18081908699999999</v>
      </c>
      <c r="AT44">
        <v>-1.034279655</v>
      </c>
    </row>
    <row r="45" spans="1:46" x14ac:dyDescent="0.2">
      <c r="A45" t="s">
        <v>109</v>
      </c>
      <c r="B45" s="74">
        <v>21276</v>
      </c>
      <c r="V45">
        <v>2.2002922260000002</v>
      </c>
      <c r="AT45">
        <v>-2.5954400450000001</v>
      </c>
    </row>
    <row r="46" spans="1:46" x14ac:dyDescent="0.2">
      <c r="A46" t="s">
        <v>110</v>
      </c>
      <c r="B46" s="74">
        <v>21367</v>
      </c>
      <c r="V46">
        <v>-2.3761649550000001</v>
      </c>
      <c r="AT46">
        <v>0.65722672599999998</v>
      </c>
    </row>
    <row r="47" spans="1:46" x14ac:dyDescent="0.2">
      <c r="A47" t="s">
        <v>111</v>
      </c>
      <c r="B47" s="74">
        <v>21459</v>
      </c>
      <c r="V47">
        <v>2.2256854439999998</v>
      </c>
      <c r="AT47">
        <v>2.3132170410000001</v>
      </c>
    </row>
    <row r="48" spans="1:46" x14ac:dyDescent="0.2">
      <c r="A48" t="s">
        <v>112</v>
      </c>
      <c r="B48" s="74">
        <v>21551</v>
      </c>
      <c r="V48">
        <v>0.10265603299999999</v>
      </c>
      <c r="AT48">
        <v>2.3381095599999999</v>
      </c>
    </row>
    <row r="49" spans="1:47" x14ac:dyDescent="0.2">
      <c r="A49" t="s">
        <v>113</v>
      </c>
      <c r="B49" s="74">
        <v>21641</v>
      </c>
      <c r="V49">
        <v>0.652804457</v>
      </c>
      <c r="AT49">
        <v>1.9195528040000001</v>
      </c>
    </row>
    <row r="50" spans="1:47" x14ac:dyDescent="0.2">
      <c r="A50" t="s">
        <v>114</v>
      </c>
      <c r="B50" s="74">
        <v>21732</v>
      </c>
      <c r="V50">
        <v>1.6628649639999999</v>
      </c>
      <c r="AT50">
        <v>2.2551695309999999</v>
      </c>
    </row>
    <row r="51" spans="1:47" x14ac:dyDescent="0.2">
      <c r="A51" t="s">
        <v>115</v>
      </c>
      <c r="B51" s="74">
        <v>21824</v>
      </c>
      <c r="V51">
        <v>2.1494760930000001</v>
      </c>
      <c r="AT51">
        <v>7.0560340999999999E-2</v>
      </c>
    </row>
    <row r="52" spans="1:47" x14ac:dyDescent="0.2">
      <c r="A52" t="s">
        <v>116</v>
      </c>
      <c r="B52" s="74">
        <v>21916</v>
      </c>
      <c r="V52">
        <v>2.5611175789999998</v>
      </c>
      <c r="AT52">
        <v>0.284889055</v>
      </c>
    </row>
    <row r="53" spans="1:47" x14ac:dyDescent="0.2">
      <c r="A53" t="s">
        <v>117</v>
      </c>
      <c r="B53" s="74">
        <v>22007</v>
      </c>
      <c r="V53">
        <v>2.492165135</v>
      </c>
      <c r="AT53">
        <v>2.2477142919999999</v>
      </c>
    </row>
    <row r="54" spans="1:47" x14ac:dyDescent="0.2">
      <c r="A54" t="s">
        <v>118</v>
      </c>
      <c r="B54" s="74">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4">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4">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4">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4">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4">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4">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4">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4">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1.034332</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1.0755886830000001</v>
      </c>
      <c r="AN62">
        <v>1.6258781019999999</v>
      </c>
      <c r="AR62">
        <v>1.761047311</v>
      </c>
      <c r="AT62">
        <v>0.90366382300000003</v>
      </c>
      <c r="AU62">
        <v>0.64057107599999996</v>
      </c>
    </row>
    <row r="63" spans="1:47" x14ac:dyDescent="0.2">
      <c r="A63" t="s">
        <v>127</v>
      </c>
      <c r="B63" s="74">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1.298977</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1.3893070489999999</v>
      </c>
      <c r="AN63">
        <v>1.5393379</v>
      </c>
      <c r="AR63">
        <v>2.4472096310000002</v>
      </c>
      <c r="AT63">
        <v>1.2285130479999999</v>
      </c>
      <c r="AU63">
        <v>1.9520276400000001</v>
      </c>
    </row>
    <row r="64" spans="1:47" x14ac:dyDescent="0.2">
      <c r="A64" t="s">
        <v>128</v>
      </c>
      <c r="B64" s="74">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0.59236599999999995</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0.72709099300000002</v>
      </c>
      <c r="AN64">
        <v>1.4563907970000001</v>
      </c>
      <c r="AR64">
        <v>0.82405230500000004</v>
      </c>
      <c r="AT64">
        <v>0.32890157599999997</v>
      </c>
      <c r="AU64">
        <v>1.280861445</v>
      </c>
    </row>
    <row r="65" spans="1:47" x14ac:dyDescent="0.2">
      <c r="A65" t="s">
        <v>129</v>
      </c>
      <c r="B65" s="74">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0.16306599999999999</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0.38953693700000003</v>
      </c>
      <c r="AN65">
        <v>1.3766938440000001</v>
      </c>
      <c r="AR65">
        <v>-1.027403198</v>
      </c>
      <c r="AT65">
        <v>1.091574332</v>
      </c>
      <c r="AU65">
        <v>1.32273788</v>
      </c>
    </row>
    <row r="66" spans="1:47" x14ac:dyDescent="0.2">
      <c r="A66" t="s">
        <v>130</v>
      </c>
      <c r="B66" s="74">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2.455667</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2.379790421</v>
      </c>
      <c r="AN66">
        <v>1.411943883</v>
      </c>
      <c r="AR66">
        <v>3.823815287</v>
      </c>
      <c r="AT66">
        <v>1.1221214530000001</v>
      </c>
      <c r="AU66">
        <v>2.6442269810000001</v>
      </c>
    </row>
    <row r="67" spans="1:47" x14ac:dyDescent="0.2">
      <c r="A67" t="s">
        <v>131</v>
      </c>
      <c r="B67" s="74">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2.2604950000000001</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2.229749923</v>
      </c>
      <c r="AN67">
        <v>1.445410635</v>
      </c>
      <c r="AR67">
        <v>1.8545470420000001</v>
      </c>
      <c r="AT67">
        <v>2.198434459</v>
      </c>
      <c r="AU67">
        <v>2.639167193</v>
      </c>
    </row>
    <row r="68" spans="1:47" x14ac:dyDescent="0.2">
      <c r="A68" t="s">
        <v>132</v>
      </c>
      <c r="B68" s="74">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1.1767620000000001</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1.304695755</v>
      </c>
      <c r="AN68">
        <v>1.4772527090000001</v>
      </c>
      <c r="AR68">
        <v>0.877163154</v>
      </c>
      <c r="AT68">
        <v>0.65560243699999998</v>
      </c>
      <c r="AU68">
        <v>1.762170542</v>
      </c>
    </row>
    <row r="69" spans="1:47" x14ac:dyDescent="0.2">
      <c r="A69" t="s">
        <v>133</v>
      </c>
      <c r="B69" s="74">
        <v>23468</v>
      </c>
      <c r="D69">
        <v>-0.16938386599999999</v>
      </c>
      <c r="E69">
        <v>1.006058114</v>
      </c>
      <c r="F69">
        <v>1.987689142</v>
      </c>
      <c r="H69">
        <v>2.4806515450000002</v>
      </c>
      <c r="I69">
        <v>0.124762743</v>
      </c>
      <c r="M69">
        <v>1.375907483</v>
      </c>
      <c r="N69">
        <v>3.3064032700000001</v>
      </c>
      <c r="P69">
        <v>0.56548538199999998</v>
      </c>
      <c r="S69">
        <v>1.2626088579999999</v>
      </c>
      <c r="T69">
        <v>1.882604425</v>
      </c>
      <c r="U69">
        <v>1.929541</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1.822604678</v>
      </c>
      <c r="AN69">
        <v>1.5074208140000001</v>
      </c>
      <c r="AR69">
        <v>2.477562222</v>
      </c>
      <c r="AT69">
        <v>2.108252099</v>
      </c>
      <c r="AU69">
        <v>1.8730916129999999</v>
      </c>
    </row>
    <row r="70" spans="1:47" x14ac:dyDescent="0.2">
      <c r="A70" t="s">
        <v>134</v>
      </c>
      <c r="B70" s="74">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1.115464</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1.2398313750000001</v>
      </c>
      <c r="AN70">
        <v>1.692709544</v>
      </c>
      <c r="AR70">
        <v>0.54184420200000005</v>
      </c>
      <c r="AT70">
        <v>1.08873369</v>
      </c>
      <c r="AU70">
        <v>1.8098666830000001</v>
      </c>
    </row>
    <row r="71" spans="1:47" x14ac:dyDescent="0.2">
      <c r="A71" t="s">
        <v>135</v>
      </c>
      <c r="B71" s="74">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1.196332</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1.2170042619999999</v>
      </c>
      <c r="AN71">
        <v>1.868849429</v>
      </c>
      <c r="AR71">
        <v>1.9957499569999999</v>
      </c>
      <c r="AT71">
        <v>1.5623006660000001</v>
      </c>
      <c r="AU71">
        <v>0.93956852700000004</v>
      </c>
    </row>
    <row r="72" spans="1:47" x14ac:dyDescent="0.2">
      <c r="A72" t="s">
        <v>136</v>
      </c>
      <c r="B72" s="74">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0.66631600000000002</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0.80817054600000005</v>
      </c>
      <c r="AN72">
        <v>2.0350353289999998</v>
      </c>
      <c r="AR72">
        <v>1.0701503729999999</v>
      </c>
      <c r="AT72">
        <v>0.308871858</v>
      </c>
      <c r="AU72">
        <v>2.9242725599999999</v>
      </c>
    </row>
    <row r="73" spans="1:47" x14ac:dyDescent="0.2">
      <c r="A73" t="s">
        <v>137</v>
      </c>
      <c r="B73" s="74">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1.656603</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1.614920291</v>
      </c>
      <c r="AN73">
        <v>2.1910147129999999</v>
      </c>
      <c r="AR73">
        <v>1.9709185090000001</v>
      </c>
      <c r="AT73">
        <v>2.4197518790000001</v>
      </c>
      <c r="AU73">
        <v>1.9239982840000001</v>
      </c>
    </row>
    <row r="74" spans="1:47" x14ac:dyDescent="0.2">
      <c r="A74" t="s">
        <v>138</v>
      </c>
      <c r="B74" s="74">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1.32846</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1.172501147</v>
      </c>
      <c r="AN74">
        <v>1.7505410589999999</v>
      </c>
      <c r="AR74">
        <v>-0.73941296000000001</v>
      </c>
      <c r="AT74">
        <v>1.263298249</v>
      </c>
      <c r="AU74">
        <v>0.96739433699999999</v>
      </c>
    </row>
    <row r="75" spans="1:47" x14ac:dyDescent="0.2">
      <c r="A75" t="s">
        <v>139</v>
      </c>
      <c r="B75" s="74">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1.7240329999999999</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1.5800904609999999</v>
      </c>
      <c r="AN75">
        <v>1.3337269089999999</v>
      </c>
      <c r="AR75">
        <v>-0.10296211700000001</v>
      </c>
      <c r="AT75">
        <v>2.2232522819999998</v>
      </c>
      <c r="AU75">
        <v>-0.315747202</v>
      </c>
    </row>
    <row r="76" spans="1:47" x14ac:dyDescent="0.2">
      <c r="A76" t="s">
        <v>140</v>
      </c>
      <c r="B76" s="74">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1.714475</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1.7120997739999999</v>
      </c>
      <c r="AN76">
        <v>0.93459476500000005</v>
      </c>
      <c r="AR76">
        <v>1.9894289329999999</v>
      </c>
      <c r="AT76">
        <v>2.304040466</v>
      </c>
      <c r="AU76">
        <v>1.663322974</v>
      </c>
    </row>
    <row r="77" spans="1:47" x14ac:dyDescent="0.2">
      <c r="A77" t="s">
        <v>141</v>
      </c>
      <c r="B77" s="74">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1.9199839999999999</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1.669238604</v>
      </c>
      <c r="AN77">
        <v>0.547837083</v>
      </c>
      <c r="AR77">
        <v>1.383376129</v>
      </c>
      <c r="AT77">
        <v>2.4342287589999998</v>
      </c>
      <c r="AU77">
        <v>1.4043375380000001</v>
      </c>
    </row>
    <row r="78" spans="1:47" x14ac:dyDescent="0.2">
      <c r="A78" t="s">
        <v>142</v>
      </c>
      <c r="B78" s="74">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0.992923</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1.284180713</v>
      </c>
      <c r="AN78">
        <v>0.89069494400000004</v>
      </c>
      <c r="AR78">
        <v>-0.65978203000000002</v>
      </c>
      <c r="AT78">
        <v>0.34160196199999998</v>
      </c>
      <c r="AU78">
        <v>1.0882422460000001</v>
      </c>
    </row>
    <row r="79" spans="1:47" x14ac:dyDescent="0.2">
      <c r="A79" t="s">
        <v>143</v>
      </c>
      <c r="B79" s="74">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1.0163720000000001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1.03130411</v>
      </c>
      <c r="AN79">
        <v>1.2255920410000001</v>
      </c>
      <c r="AR79">
        <v>-2.5602851539999998</v>
      </c>
      <c r="AT79">
        <v>0.84690505199999999</v>
      </c>
      <c r="AU79">
        <v>1.473290107</v>
      </c>
    </row>
    <row r="80" spans="1:47" x14ac:dyDescent="0.2">
      <c r="A80" t="s">
        <v>144</v>
      </c>
      <c r="B80" s="74">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0.50332100000000002</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0.63241385400000005</v>
      </c>
      <c r="AN80">
        <v>1.5493923650000001</v>
      </c>
      <c r="AR80">
        <v>5.0669721499999998</v>
      </c>
      <c r="AT80">
        <v>0.82040710900000002</v>
      </c>
      <c r="AU80">
        <v>0.32904126500000003</v>
      </c>
    </row>
    <row r="81" spans="1:47" x14ac:dyDescent="0.2">
      <c r="A81" t="s">
        <v>145</v>
      </c>
      <c r="B81" s="74">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1.055688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1.1030397240000001</v>
      </c>
      <c r="AN81">
        <v>1.8592248950000001</v>
      </c>
      <c r="AR81">
        <v>1.0607375939999999</v>
      </c>
      <c r="AT81">
        <v>0.88555258699999995</v>
      </c>
      <c r="AU81">
        <v>3.6355161690000002</v>
      </c>
    </row>
    <row r="82" spans="1:47" x14ac:dyDescent="0.2">
      <c r="A82" t="s">
        <v>146</v>
      </c>
      <c r="B82" s="74">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0.76895000000000002</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0.76766524800000002</v>
      </c>
      <c r="AN82">
        <v>2.136933499</v>
      </c>
      <c r="AR82">
        <v>0.33586673299999997</v>
      </c>
      <c r="AT82">
        <v>6.1297813E-2</v>
      </c>
      <c r="AU82">
        <v>0.15892629599999999</v>
      </c>
    </row>
    <row r="83" spans="1:47" x14ac:dyDescent="0.2">
      <c r="A83" t="s">
        <v>147</v>
      </c>
      <c r="B83" s="74">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1.4075930000000001</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1.3254595680000001</v>
      </c>
      <c r="AN83">
        <v>2.3974302669999998</v>
      </c>
      <c r="AR83">
        <v>-1.597445134</v>
      </c>
      <c r="AT83">
        <v>0.94612091700000001</v>
      </c>
      <c r="AU83">
        <v>5.0283374009999999</v>
      </c>
    </row>
    <row r="84" spans="1:47" x14ac:dyDescent="0.2">
      <c r="A84" t="s">
        <v>148</v>
      </c>
      <c r="B84" s="74">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1.0405089999999999</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1.0425021080000001</v>
      </c>
      <c r="AN84">
        <v>2.6392798900000001</v>
      </c>
      <c r="AR84">
        <v>2.331611251</v>
      </c>
      <c r="AT84">
        <v>0.75401712700000001</v>
      </c>
      <c r="AU84">
        <v>-1.8157478659999999</v>
      </c>
    </row>
    <row r="85" spans="1:47" x14ac:dyDescent="0.2">
      <c r="A85" t="s">
        <v>149</v>
      </c>
      <c r="B85" s="74">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1.9895309999999999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1.8818455709999999</v>
      </c>
      <c r="AN85">
        <v>2.8617832430000001</v>
      </c>
      <c r="AR85">
        <v>-1.6841020170000001</v>
      </c>
      <c r="AT85">
        <v>2.039507129</v>
      </c>
      <c r="AU85">
        <v>1.641868589</v>
      </c>
    </row>
    <row r="86" spans="1:47" x14ac:dyDescent="0.2">
      <c r="A86" t="s">
        <v>150</v>
      </c>
      <c r="B86" s="74">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0.94937800000000006</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1.163479245</v>
      </c>
      <c r="AN86">
        <v>1.9413338280000001</v>
      </c>
      <c r="AR86">
        <v>5.4954567709999997</v>
      </c>
      <c r="AT86">
        <v>1.6707995499999999</v>
      </c>
      <c r="AU86">
        <v>0.44336943899999998</v>
      </c>
    </row>
    <row r="87" spans="1:47" x14ac:dyDescent="0.2">
      <c r="A87" t="s">
        <v>151</v>
      </c>
      <c r="B87" s="74">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2.149146</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1.9986816510000001</v>
      </c>
      <c r="AN87">
        <v>1.0794968970000001</v>
      </c>
      <c r="AR87">
        <v>0.72661108799999996</v>
      </c>
      <c r="AT87">
        <v>0.77495566299999996</v>
      </c>
      <c r="AU87">
        <v>1.0793265299999999</v>
      </c>
    </row>
    <row r="88" spans="1:47" x14ac:dyDescent="0.2">
      <c r="A88" t="s">
        <v>152</v>
      </c>
      <c r="B88" s="74">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1.448018</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1.571085402</v>
      </c>
      <c r="AN88">
        <v>0.25193510000000002</v>
      </c>
      <c r="AR88">
        <v>-0.54202259399999997</v>
      </c>
      <c r="AT88">
        <v>0.39332004100000001</v>
      </c>
      <c r="AU88">
        <v>1.890612969</v>
      </c>
    </row>
    <row r="89" spans="1:47" x14ac:dyDescent="0.2">
      <c r="A89" t="s">
        <v>153</v>
      </c>
      <c r="B89" s="74">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1.317488</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1.3065655899999999</v>
      </c>
      <c r="AN89">
        <v>-0.59196282300000003</v>
      </c>
      <c r="AR89">
        <v>-0.43319199000000003</v>
      </c>
      <c r="AT89">
        <v>1.565115509</v>
      </c>
      <c r="AU89">
        <v>0.71868768900000002</v>
      </c>
    </row>
    <row r="90" spans="1:47" x14ac:dyDescent="0.2">
      <c r="A90" t="s">
        <v>154</v>
      </c>
      <c r="B90" s="74">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1.1031059999999999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1.1819821580000001</v>
      </c>
      <c r="AN90">
        <v>-0.183559099</v>
      </c>
      <c r="AR90">
        <v>2.6426031769999998</v>
      </c>
      <c r="AT90">
        <v>0.30399532099999999</v>
      </c>
      <c r="AU90">
        <v>-8.4331489999999995E-2</v>
      </c>
    </row>
    <row r="91" spans="1:47" x14ac:dyDescent="0.2">
      <c r="A91" t="s">
        <v>155</v>
      </c>
      <c r="B91" s="74">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1.07623</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1.3110588169999999</v>
      </c>
      <c r="AN91">
        <v>1.9477467129999999</v>
      </c>
      <c r="AR91">
        <v>3.838758903</v>
      </c>
      <c r="AT91">
        <v>0.66051420500000002</v>
      </c>
      <c r="AU91">
        <v>4.5667663090000001</v>
      </c>
    </row>
    <row r="92" spans="1:47" x14ac:dyDescent="0.2">
      <c r="A92" t="s">
        <v>156</v>
      </c>
      <c r="B92" s="74">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0.50253300000000001</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0.70708245999999997</v>
      </c>
      <c r="AN92">
        <v>2.6376832270000001</v>
      </c>
      <c r="AR92">
        <v>0.71857372799999997</v>
      </c>
      <c r="AT92">
        <v>-0.48769458799999998</v>
      </c>
      <c r="AU92">
        <v>-1.349816884</v>
      </c>
    </row>
    <row r="93" spans="1:47" x14ac:dyDescent="0.2">
      <c r="A93" t="s">
        <v>157</v>
      </c>
      <c r="B93" s="74">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0.74297299999999999</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0.84067577400000004</v>
      </c>
      <c r="AN93">
        <v>2.917470963</v>
      </c>
      <c r="AR93">
        <v>1.3351543320000001</v>
      </c>
      <c r="AT93">
        <v>-0.14847070100000001</v>
      </c>
      <c r="AU93">
        <v>2.1524906399999999</v>
      </c>
    </row>
    <row r="94" spans="1:47" x14ac:dyDescent="0.2">
      <c r="A94" t="s">
        <v>158</v>
      </c>
      <c r="B94" s="74">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1.092849</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1.1980365639999999</v>
      </c>
      <c r="AN94">
        <v>2.9933256770000001</v>
      </c>
      <c r="AR94">
        <v>0.76995841300000001</v>
      </c>
      <c r="AT94">
        <v>0.141930001</v>
      </c>
      <c r="AU94">
        <v>2.0405876059999999</v>
      </c>
    </row>
    <row r="95" spans="1:47" x14ac:dyDescent="0.2">
      <c r="A95" t="s">
        <v>159</v>
      </c>
      <c r="B95" s="74">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1.431011</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1.362962566</v>
      </c>
      <c r="AN95">
        <v>0.64610706299999998</v>
      </c>
      <c r="AR95">
        <v>2.9206831489999998</v>
      </c>
      <c r="AT95">
        <v>0.92155083000000004</v>
      </c>
      <c r="AU95">
        <v>-1.154461151</v>
      </c>
    </row>
    <row r="96" spans="1:47" x14ac:dyDescent="0.2">
      <c r="A96" t="s">
        <v>160</v>
      </c>
      <c r="B96" s="74">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-0.19467499999999999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7.0503517000000002E-2</v>
      </c>
      <c r="AN96">
        <v>1.772498017</v>
      </c>
      <c r="AR96">
        <v>0.46252098800000002</v>
      </c>
      <c r="AT96">
        <v>-1.071638106</v>
      </c>
      <c r="AU96">
        <v>3.5184989799999999</v>
      </c>
    </row>
    <row r="97" spans="1:47" x14ac:dyDescent="0.2">
      <c r="A97" t="s">
        <v>161</v>
      </c>
      <c r="B97" s="74">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0.96522699999999995</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0.89500637199999999</v>
      </c>
      <c r="AN97">
        <v>-2.2926399E-2</v>
      </c>
      <c r="AR97">
        <v>-1.089008897</v>
      </c>
      <c r="AT97">
        <v>2.715992789</v>
      </c>
      <c r="AU97">
        <v>1.4811279150000001</v>
      </c>
    </row>
    <row r="98" spans="1:47" x14ac:dyDescent="0.2">
      <c r="A98" t="s">
        <v>162</v>
      </c>
      <c r="B98" s="74">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1.1880390000000001</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1.218374533</v>
      </c>
      <c r="AN98">
        <v>3.9647319780000001</v>
      </c>
      <c r="AR98">
        <v>-1.1759942759999999</v>
      </c>
      <c r="AT98">
        <v>0.54112008</v>
      </c>
      <c r="AU98">
        <v>-0.81523000199999995</v>
      </c>
    </row>
    <row r="99" spans="1:47" x14ac:dyDescent="0.2">
      <c r="A99" t="s">
        <v>163</v>
      </c>
      <c r="B99" s="74">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1.2741180000000001</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1.3412343360000001</v>
      </c>
      <c r="AN99">
        <v>0.58097699899999999</v>
      </c>
      <c r="AR99">
        <v>1.8275422400000001</v>
      </c>
      <c r="AT99">
        <v>0.82296708500000004</v>
      </c>
      <c r="AU99">
        <v>1.3026591190000001</v>
      </c>
    </row>
    <row r="100" spans="1:47" x14ac:dyDescent="0.2">
      <c r="A100" t="s">
        <v>164</v>
      </c>
      <c r="B100" s="74">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0.417715</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0.52801755800000005</v>
      </c>
      <c r="AN100">
        <v>3.4214536610000001</v>
      </c>
      <c r="AR100">
        <v>-0.98052384699999995</v>
      </c>
      <c r="AT100">
        <v>0.235783839</v>
      </c>
      <c r="AU100">
        <v>0.71876223699999997</v>
      </c>
    </row>
    <row r="101" spans="1:47" x14ac:dyDescent="0.2">
      <c r="A101" t="s">
        <v>165</v>
      </c>
      <c r="B101" s="74">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1.4840530000000001</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1.5394554600000001</v>
      </c>
      <c r="AN101">
        <v>-5.2890599000000003E-2</v>
      </c>
      <c r="AR101">
        <v>0.47354708299999998</v>
      </c>
      <c r="AT101">
        <v>1.838958884</v>
      </c>
      <c r="AU101">
        <v>-0.58951997499999997</v>
      </c>
    </row>
    <row r="102" spans="1:47" x14ac:dyDescent="0.2">
      <c r="A102" t="s">
        <v>166</v>
      </c>
      <c r="B102" s="74">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1.849863</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1.7980701219999999</v>
      </c>
      <c r="AN102">
        <v>1.9422763080000001</v>
      </c>
      <c r="AR102">
        <v>0.18998918400000001</v>
      </c>
      <c r="AT102">
        <v>2.2697723540000001</v>
      </c>
      <c r="AU102">
        <v>1.046169957</v>
      </c>
    </row>
    <row r="103" spans="1:47" x14ac:dyDescent="0.2">
      <c r="A103" t="s">
        <v>167</v>
      </c>
      <c r="B103" s="74">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1.240048</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1.283663241</v>
      </c>
      <c r="AN103">
        <v>4.9003837710000004</v>
      </c>
      <c r="AR103">
        <v>2.848964976</v>
      </c>
      <c r="AT103">
        <v>0.944381888</v>
      </c>
      <c r="AU103">
        <v>6.1773481999999998E-2</v>
      </c>
    </row>
    <row r="104" spans="1:47" x14ac:dyDescent="0.2">
      <c r="A104" t="s">
        <v>168</v>
      </c>
      <c r="B104" s="74">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1.7092860000000001</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1.7576701260000001</v>
      </c>
      <c r="AN104">
        <v>0.54074560800000004</v>
      </c>
      <c r="AR104">
        <v>1.704581047</v>
      </c>
      <c r="AT104">
        <v>1.674458738</v>
      </c>
      <c r="AU104">
        <v>1.770998777</v>
      </c>
    </row>
    <row r="105" spans="1:47" x14ac:dyDescent="0.2">
      <c r="A105" t="s">
        <v>169</v>
      </c>
      <c r="B105" s="74">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2.5236930000000002</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2.3318776780000001</v>
      </c>
      <c r="AN105">
        <v>3.9965673129999999</v>
      </c>
      <c r="AR105">
        <v>0.66499909599999996</v>
      </c>
      <c r="AT105">
        <v>2.4748063770000002</v>
      </c>
      <c r="AU105">
        <v>1.289677636</v>
      </c>
    </row>
    <row r="106" spans="1:47" x14ac:dyDescent="0.2">
      <c r="A106" t="s">
        <v>170</v>
      </c>
      <c r="B106" s="74">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1.1006501360000001</v>
      </c>
      <c r="AN106">
        <v>2.1144615230000001</v>
      </c>
      <c r="AR106">
        <v>3.6354188000000003E-2</v>
      </c>
      <c r="AT106">
        <v>1.0886625299999999</v>
      </c>
      <c r="AU106">
        <v>-0.44474834099999999</v>
      </c>
    </row>
    <row r="107" spans="1:47" x14ac:dyDescent="0.2">
      <c r="A107" t="s">
        <v>171</v>
      </c>
      <c r="B107" s="74">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0.103698</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0.36609984499999998</v>
      </c>
      <c r="AN107">
        <v>2.9849937820000001</v>
      </c>
      <c r="AR107">
        <v>0.78153996599999997</v>
      </c>
      <c r="AT107">
        <v>-0.52589853600000003</v>
      </c>
      <c r="AU107">
        <v>2.892126309</v>
      </c>
    </row>
    <row r="108" spans="1:47" x14ac:dyDescent="0.2">
      <c r="A108" t="s">
        <v>172</v>
      </c>
      <c r="B108" s="74">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0.97074000000000005</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1.1348218649999999</v>
      </c>
      <c r="AN108">
        <v>1.5937907609999999</v>
      </c>
      <c r="AR108">
        <v>1.3654840109999999</v>
      </c>
      <c r="AT108">
        <v>0.94921604299999995</v>
      </c>
      <c r="AU108">
        <v>1.9262149900000001</v>
      </c>
    </row>
    <row r="109" spans="1:47" x14ac:dyDescent="0.2">
      <c r="A109" t="s">
        <v>173</v>
      </c>
      <c r="B109" s="74">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-0.850773</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-0.442577055</v>
      </c>
      <c r="AN109">
        <v>0.54724524399999996</v>
      </c>
      <c r="AR109">
        <v>-0.53207444400000004</v>
      </c>
      <c r="AT109">
        <v>-0.85977257399999996</v>
      </c>
      <c r="AU109">
        <v>1.868574967</v>
      </c>
    </row>
    <row r="110" spans="1:47" x14ac:dyDescent="0.2">
      <c r="A110" t="s">
        <v>174</v>
      </c>
      <c r="B110" s="74">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0.48495700000000003</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0.46421471800000003</v>
      </c>
      <c r="AN110">
        <v>-2.0335644780000002</v>
      </c>
      <c r="AR110">
        <v>1.7026330110000001</v>
      </c>
      <c r="AT110">
        <v>0.237683227</v>
      </c>
      <c r="AU110">
        <v>1.3744174680000001</v>
      </c>
    </row>
    <row r="111" spans="1:47" x14ac:dyDescent="0.2">
      <c r="A111" t="s">
        <v>175</v>
      </c>
      <c r="B111" s="74">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-7.9294000000000003E-2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2.1756949000000001E-2</v>
      </c>
      <c r="AN111">
        <v>-1.6588354460000001</v>
      </c>
      <c r="AR111">
        <v>1.4086702120000001</v>
      </c>
      <c r="AT111">
        <v>-0.94514277800000002</v>
      </c>
      <c r="AU111">
        <v>1.1325671960000001</v>
      </c>
    </row>
    <row r="112" spans="1:47" x14ac:dyDescent="0.2">
      <c r="A112" t="s">
        <v>176</v>
      </c>
      <c r="B112" s="74">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-0.84960899999999995</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-0.61020946600000003</v>
      </c>
      <c r="AN112">
        <v>-0.77274609400000005</v>
      </c>
      <c r="AR112">
        <v>1.3609915239999999</v>
      </c>
      <c r="AT112">
        <v>-0.38814078299999999</v>
      </c>
      <c r="AU112">
        <v>-0.943914052</v>
      </c>
    </row>
    <row r="113" spans="1:47" x14ac:dyDescent="0.2">
      <c r="A113" t="s">
        <v>177</v>
      </c>
      <c r="B113" s="74">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-0.77897400000000006</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-0.51958824299999995</v>
      </c>
      <c r="AN113">
        <v>-1.987540613</v>
      </c>
      <c r="AR113">
        <v>0.63873113599999998</v>
      </c>
      <c r="AT113">
        <v>-1.217285876</v>
      </c>
      <c r="AU113">
        <v>-0.40046615200000002</v>
      </c>
    </row>
    <row r="114" spans="1:47" x14ac:dyDescent="0.2">
      <c r="A114" t="s">
        <v>178</v>
      </c>
      <c r="B114" s="74">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0.51668499999999995</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0.53345721400000001</v>
      </c>
      <c r="AN114">
        <v>-1.4921001439999999</v>
      </c>
      <c r="AR114">
        <v>-1.1544527529999999</v>
      </c>
      <c r="AT114">
        <v>0.71453621599999995</v>
      </c>
      <c r="AU114">
        <v>1.723782844</v>
      </c>
    </row>
    <row r="115" spans="1:47" x14ac:dyDescent="0.2">
      <c r="A115" t="s">
        <v>179</v>
      </c>
      <c r="B115" s="74">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1.247819</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1.0972517239999999</v>
      </c>
      <c r="AN115">
        <v>0.10498070700000001</v>
      </c>
      <c r="AR115">
        <v>0.91162099699999999</v>
      </c>
      <c r="AT115">
        <v>1.7116519670000001</v>
      </c>
      <c r="AU115">
        <v>0.80066534600000006</v>
      </c>
    </row>
    <row r="116" spans="1:47" x14ac:dyDescent="0.2">
      <c r="A116" t="s">
        <v>180</v>
      </c>
      <c r="B116" s="74">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1.3353930000000001</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1.371512836</v>
      </c>
      <c r="AN116">
        <v>2.344304561</v>
      </c>
      <c r="AR116">
        <v>1.2766893070000001</v>
      </c>
      <c r="AT116">
        <v>1.346524152</v>
      </c>
      <c r="AU116">
        <v>0.82446640900000001</v>
      </c>
    </row>
    <row r="117" spans="1:47" x14ac:dyDescent="0.2">
      <c r="A117" t="s">
        <v>181</v>
      </c>
      <c r="B117" s="74">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1.688204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1.6360041299999999</v>
      </c>
      <c r="AN117">
        <v>2.4043695430000001</v>
      </c>
      <c r="AR117">
        <v>-1.6661947100000001</v>
      </c>
      <c r="AT117">
        <v>2.2487601210000001</v>
      </c>
      <c r="AU117">
        <v>1.314343738</v>
      </c>
    </row>
    <row r="118" spans="1:47" x14ac:dyDescent="0.2">
      <c r="A118" t="s">
        <v>182</v>
      </c>
      <c r="B118" s="74">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0.92022300000000001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1.024831829</v>
      </c>
      <c r="AN118">
        <v>2.4879701220000001</v>
      </c>
      <c r="AR118">
        <v>1.766900116</v>
      </c>
      <c r="AT118">
        <v>0.73370057700000002</v>
      </c>
      <c r="AU118">
        <v>-1.995152109</v>
      </c>
    </row>
    <row r="119" spans="1:47" x14ac:dyDescent="0.2">
      <c r="A119" t="s">
        <v>183</v>
      </c>
      <c r="B119" s="74">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0.82508800000000004</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0.88536975500000004</v>
      </c>
      <c r="AN119">
        <v>0.46368765099999998</v>
      </c>
      <c r="AR119">
        <v>-0.54132572499999998</v>
      </c>
      <c r="AT119">
        <v>0.54870576400000004</v>
      </c>
      <c r="AU119">
        <v>2.3792481489999999</v>
      </c>
    </row>
    <row r="120" spans="1:47" x14ac:dyDescent="0.2">
      <c r="A120" t="s">
        <v>184</v>
      </c>
      <c r="B120" s="74">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0.98700600000000005</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0.95056313599999998</v>
      </c>
      <c r="AN120">
        <v>3.207685852</v>
      </c>
      <c r="AR120">
        <v>-0.46299633200000001</v>
      </c>
      <c r="AT120">
        <v>0.72485097799999998</v>
      </c>
      <c r="AU120">
        <v>-0.73083682400000005</v>
      </c>
    </row>
    <row r="121" spans="1:47" x14ac:dyDescent="0.2">
      <c r="A121" t="s">
        <v>185</v>
      </c>
      <c r="B121" s="74">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1.1085940000000001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0.90928589100000001</v>
      </c>
      <c r="AN121">
        <v>0.92198202600000001</v>
      </c>
      <c r="AR121">
        <v>-2.0328634829999999</v>
      </c>
      <c r="AT121">
        <v>1.181483598</v>
      </c>
      <c r="AU121">
        <v>-0.21838829300000001</v>
      </c>
    </row>
    <row r="122" spans="1:47" x14ac:dyDescent="0.2">
      <c r="A122" t="s">
        <v>186</v>
      </c>
      <c r="B122" s="74">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0.973464</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0.87198024799999996</v>
      </c>
      <c r="AN122">
        <v>0.889026235</v>
      </c>
      <c r="AR122">
        <v>1.010680614</v>
      </c>
      <c r="AT122">
        <v>1.944113078</v>
      </c>
      <c r="AU122">
        <v>9.6063880000000004E-2</v>
      </c>
    </row>
    <row r="123" spans="1:47" x14ac:dyDescent="0.2">
      <c r="A123" t="s">
        <v>187</v>
      </c>
      <c r="B123" s="74">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0.92668600000000001</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0.92104484099999995</v>
      </c>
      <c r="AN123">
        <v>1.0040164789999999</v>
      </c>
      <c r="AR123">
        <v>0.14307584200000001</v>
      </c>
      <c r="AT123">
        <v>1.8043558989999999</v>
      </c>
      <c r="AU123">
        <v>-0.385872981</v>
      </c>
    </row>
    <row r="124" spans="1:47" x14ac:dyDescent="0.2">
      <c r="A124" t="s">
        <v>188</v>
      </c>
      <c r="B124" s="74">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0.71222300000000005</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0.81649650500000004</v>
      </c>
      <c r="AN124">
        <v>0.70294707499999998</v>
      </c>
      <c r="AR124">
        <v>-0.59186844299999997</v>
      </c>
      <c r="AT124">
        <v>2.1857719999999999E-3</v>
      </c>
      <c r="AU124">
        <v>0.51350619099999995</v>
      </c>
    </row>
    <row r="125" spans="1:47" x14ac:dyDescent="0.2">
      <c r="A125" t="s">
        <v>189</v>
      </c>
      <c r="B125" s="74">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0.83296999999999999</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0.80790325600000001</v>
      </c>
      <c r="AN125">
        <v>0.48131377400000003</v>
      </c>
      <c r="AR125">
        <v>1.6226280049999999</v>
      </c>
      <c r="AT125">
        <v>0.31916324099999999</v>
      </c>
      <c r="AU125">
        <v>1.6443371369999999</v>
      </c>
    </row>
    <row r="126" spans="1:47" x14ac:dyDescent="0.2">
      <c r="A126" t="s">
        <v>190</v>
      </c>
      <c r="B126" s="74">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2.2770290000000002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1.9782782759999999</v>
      </c>
      <c r="AN126">
        <v>0.47728099200000002</v>
      </c>
      <c r="AR126">
        <v>1.5578885659999999</v>
      </c>
      <c r="AT126">
        <v>3.8642701879999999</v>
      </c>
      <c r="AU126">
        <v>1.932724731</v>
      </c>
    </row>
    <row r="127" spans="1:47" x14ac:dyDescent="0.2">
      <c r="A127" t="s">
        <v>191</v>
      </c>
      <c r="B127" s="74">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0.98814299999999999</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0.90138446999999999</v>
      </c>
      <c r="AN127">
        <v>0.53666714400000004</v>
      </c>
      <c r="AR127">
        <v>-2.0622517770000002</v>
      </c>
      <c r="AT127">
        <v>1.0055171270000001</v>
      </c>
      <c r="AU127">
        <v>-1.07584401</v>
      </c>
    </row>
    <row r="128" spans="1:47" x14ac:dyDescent="0.2">
      <c r="A128" t="s">
        <v>192</v>
      </c>
      <c r="B128" s="74">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1.258005</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1.316790648</v>
      </c>
      <c r="AN128">
        <v>1.7168464240000001</v>
      </c>
      <c r="AR128">
        <v>1.628870517</v>
      </c>
      <c r="AT128">
        <v>1.3441430640000001</v>
      </c>
      <c r="AU128">
        <v>0.91014468100000001</v>
      </c>
    </row>
    <row r="129" spans="1:47" x14ac:dyDescent="0.2">
      <c r="A129" t="s">
        <v>193</v>
      </c>
      <c r="B129" s="74">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0.52734199999999998</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0.586839852</v>
      </c>
      <c r="AN129">
        <v>1.0636691620000001</v>
      </c>
      <c r="AR129">
        <v>2.0640182729999998</v>
      </c>
      <c r="AT129">
        <v>0.17978728799999999</v>
      </c>
      <c r="AU129">
        <v>1.7503628760000001</v>
      </c>
    </row>
    <row r="130" spans="1:47" x14ac:dyDescent="0.2">
      <c r="A130" t="s">
        <v>194</v>
      </c>
      <c r="B130" s="74">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1.2509440000000001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1.2307613150000001</v>
      </c>
      <c r="AN130">
        <v>2.1268714360000001</v>
      </c>
      <c r="AR130">
        <v>1.6055902769999999</v>
      </c>
      <c r="AT130">
        <v>0.10691983100000001</v>
      </c>
      <c r="AU130">
        <v>0.64603035900000005</v>
      </c>
    </row>
    <row r="131" spans="1:47" x14ac:dyDescent="0.2">
      <c r="A131" t="s">
        <v>195</v>
      </c>
      <c r="B131" s="74">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0.51966400000000001</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0.48268629800000001</v>
      </c>
      <c r="AN131">
        <v>1.3294397710000001</v>
      </c>
      <c r="AR131">
        <v>0.275914039</v>
      </c>
      <c r="AT131">
        <v>0.74287146800000003</v>
      </c>
      <c r="AU131">
        <v>0.74638480799999996</v>
      </c>
    </row>
    <row r="132" spans="1:47" x14ac:dyDescent="0.2">
      <c r="A132" t="s">
        <v>196</v>
      </c>
      <c r="B132" s="74">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0.57013599999999998</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0.67943664100000001</v>
      </c>
      <c r="AN132">
        <v>2.064941605</v>
      </c>
      <c r="AR132">
        <v>0.106838671</v>
      </c>
      <c r="AT132">
        <v>0.25007503399999997</v>
      </c>
      <c r="AU132">
        <v>2.0521557920000002</v>
      </c>
    </row>
    <row r="133" spans="1:47" x14ac:dyDescent="0.2">
      <c r="A133" t="s">
        <v>197</v>
      </c>
      <c r="B133" s="74">
        <v>29312</v>
      </c>
      <c r="D133">
        <v>0.439293143</v>
      </c>
      <c r="E133">
        <v>1.069759922</v>
      </c>
      <c r="F133">
        <v>3.7624554510000001</v>
      </c>
      <c r="H133">
        <v>0.70018943499999997</v>
      </c>
      <c r="I133">
        <v>1.902427391</v>
      </c>
      <c r="M133">
        <v>0.80123501900000005</v>
      </c>
      <c r="N133">
        <v>1.5309836509999999</v>
      </c>
      <c r="P133">
        <v>0.66963796600000003</v>
      </c>
      <c r="S133">
        <v>1.6740043</v>
      </c>
      <c r="T133">
        <v>1.169906667</v>
      </c>
      <c r="U133">
        <v>0.32755200000000001</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0.580046705</v>
      </c>
      <c r="AN133">
        <v>1.57446299</v>
      </c>
      <c r="AR133">
        <v>3.1278397259999999</v>
      </c>
      <c r="AT133">
        <v>0.31451907600000001</v>
      </c>
      <c r="AU133">
        <v>2.0544454669999999</v>
      </c>
    </row>
    <row r="134" spans="1:47" x14ac:dyDescent="0.2">
      <c r="A134" t="s">
        <v>198</v>
      </c>
      <c r="B134" s="74">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-0.71187961799999999</v>
      </c>
      <c r="U134">
        <v>-1.2094529999999999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-1.0666414179999999</v>
      </c>
      <c r="AN134">
        <v>-2.6077098E-2</v>
      </c>
      <c r="AR134">
        <v>-4.7673214609999999</v>
      </c>
      <c r="AT134">
        <v>-2.0604721640000001</v>
      </c>
      <c r="AU134">
        <v>1.901048713</v>
      </c>
    </row>
    <row r="135" spans="1:47" x14ac:dyDescent="0.2">
      <c r="A135" t="s">
        <v>199</v>
      </c>
      <c r="B135" s="74">
        <v>29495</v>
      </c>
      <c r="D135">
        <v>0.529970037</v>
      </c>
      <c r="E135">
        <v>0.52110801200000001</v>
      </c>
      <c r="F135">
        <v>-0.97938113000000004</v>
      </c>
      <c r="H135">
        <v>-0.114812067</v>
      </c>
      <c r="I135">
        <v>0.45963853199999999</v>
      </c>
      <c r="M135">
        <v>-0.39672236799999999</v>
      </c>
      <c r="N135">
        <v>-1.327637339</v>
      </c>
      <c r="P135">
        <v>-0.39652320099999999</v>
      </c>
      <c r="S135">
        <v>4.9878591659999998</v>
      </c>
      <c r="T135">
        <v>0.17641694999999999</v>
      </c>
      <c r="U135">
        <v>0.26353100000000002</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0.30785962700000002</v>
      </c>
      <c r="AN135">
        <v>-0.342024614</v>
      </c>
      <c r="AR135">
        <v>3.7966277829999999</v>
      </c>
      <c r="AT135">
        <v>-0.118847117</v>
      </c>
      <c r="AU135">
        <v>1.7120136889999999</v>
      </c>
    </row>
    <row r="136" spans="1:47" x14ac:dyDescent="0.2">
      <c r="A136" t="s">
        <v>200</v>
      </c>
      <c r="B136" s="74">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-0.19614189800000001</v>
      </c>
      <c r="U136">
        <v>1.156857</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1.1584709630000001</v>
      </c>
      <c r="AN136">
        <v>1.670542679</v>
      </c>
      <c r="AR136">
        <v>-1.9569952660000001</v>
      </c>
      <c r="AT136">
        <v>1.864925605</v>
      </c>
      <c r="AU136">
        <v>0.22477212999999999</v>
      </c>
    </row>
    <row r="137" spans="1:47" x14ac:dyDescent="0.2">
      <c r="A137" t="s">
        <v>201</v>
      </c>
      <c r="B137" s="74">
        <v>29677</v>
      </c>
      <c r="D137">
        <v>0.376216412</v>
      </c>
      <c r="E137">
        <v>-0.69262949799999995</v>
      </c>
      <c r="F137">
        <v>2.2401138000000001E-2</v>
      </c>
      <c r="H137">
        <v>2.2039555700000002</v>
      </c>
      <c r="I137">
        <v>-0.107765661</v>
      </c>
      <c r="M137">
        <v>1.1898664919999999</v>
      </c>
      <c r="N137">
        <v>0.15638675899999999</v>
      </c>
      <c r="P137">
        <v>-0.56618610700000005</v>
      </c>
      <c r="S137">
        <v>-0.188211986</v>
      </c>
      <c r="T137">
        <v>0.313793086</v>
      </c>
      <c r="U137">
        <v>1.158026</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1.045996945</v>
      </c>
      <c r="AN137">
        <v>0.44706863499999999</v>
      </c>
      <c r="AR137">
        <v>0.61416171600000002</v>
      </c>
      <c r="AT137">
        <v>1.959429461</v>
      </c>
      <c r="AU137">
        <v>1.242016816</v>
      </c>
    </row>
    <row r="138" spans="1:47" x14ac:dyDescent="0.2">
      <c r="A138" t="s">
        <v>202</v>
      </c>
      <c r="B138" s="74">
        <v>29768</v>
      </c>
      <c r="D138">
        <v>1.545513575</v>
      </c>
      <c r="E138">
        <v>1.0063438549999999</v>
      </c>
      <c r="F138">
        <v>1.457925747</v>
      </c>
      <c r="H138">
        <v>1.123957546</v>
      </c>
      <c r="I138">
        <v>1.0381525039999999</v>
      </c>
      <c r="M138">
        <v>-0.24963233100000001</v>
      </c>
      <c r="N138">
        <v>-0.73448136600000002</v>
      </c>
      <c r="P138">
        <v>-0.11071861700000001</v>
      </c>
      <c r="S138">
        <v>1.171099643</v>
      </c>
      <c r="T138">
        <v>0.68752283700000005</v>
      </c>
      <c r="U138">
        <v>-1.6792999999999999E-2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0.217672278</v>
      </c>
      <c r="AN138">
        <v>8.0633903000000007E-2</v>
      </c>
      <c r="AR138">
        <v>-6.2042613000000003E-2</v>
      </c>
      <c r="AT138">
        <v>-0.74106361300000001</v>
      </c>
      <c r="AU138">
        <v>2.1838548950000001</v>
      </c>
    </row>
    <row r="139" spans="1:47" x14ac:dyDescent="0.2">
      <c r="A139" t="s">
        <v>203</v>
      </c>
      <c r="B139" s="74">
        <v>29860</v>
      </c>
      <c r="D139">
        <v>2.010750169</v>
      </c>
      <c r="E139">
        <v>-6.9449232E-2</v>
      </c>
      <c r="F139">
        <v>-0.428832296</v>
      </c>
      <c r="H139">
        <v>-0.89775248900000004</v>
      </c>
      <c r="I139">
        <v>0.51756613399999996</v>
      </c>
      <c r="M139">
        <v>0.26343396200000002</v>
      </c>
      <c r="N139">
        <v>0.612585924</v>
      </c>
      <c r="P139">
        <v>0.444684894</v>
      </c>
      <c r="S139">
        <v>0.49538944499999998</v>
      </c>
      <c r="T139">
        <v>0.65551647800000001</v>
      </c>
      <c r="U139">
        <v>0.61150400000000005</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0.64267160499999998</v>
      </c>
      <c r="AN139">
        <v>-0.171095832</v>
      </c>
      <c r="AR139">
        <v>0.76728678100000003</v>
      </c>
      <c r="AT139">
        <v>1.19752521</v>
      </c>
      <c r="AU139">
        <v>1.455404361</v>
      </c>
    </row>
    <row r="140" spans="1:47" x14ac:dyDescent="0.2">
      <c r="A140" t="s">
        <v>204</v>
      </c>
      <c r="B140" s="74">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0.59211122100000002</v>
      </c>
      <c r="U140">
        <v>-0.26009599999999999</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-5.7673729999999999E-2</v>
      </c>
      <c r="AN140">
        <v>0.48661910800000002</v>
      </c>
      <c r="AR140">
        <v>-1.122507363</v>
      </c>
      <c r="AT140">
        <v>-1.0895640870000001</v>
      </c>
      <c r="AU140">
        <v>0.62388485199999999</v>
      </c>
    </row>
    <row r="141" spans="1:47" x14ac:dyDescent="0.2">
      <c r="A141" t="s">
        <v>205</v>
      </c>
      <c r="B141" s="74">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0.83721474900000004</v>
      </c>
      <c r="U141">
        <v>-0.34276899999999999</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-0.291020948</v>
      </c>
      <c r="AN141">
        <v>2.426235309</v>
      </c>
      <c r="AR141">
        <v>0.28403597800000002</v>
      </c>
      <c r="AT141">
        <v>-1.5535444789999999</v>
      </c>
      <c r="AU141">
        <v>-0.92637916399999998</v>
      </c>
    </row>
    <row r="142" spans="1:47" x14ac:dyDescent="0.2">
      <c r="A142" t="s">
        <v>206</v>
      </c>
      <c r="B142" s="74">
        <v>30133</v>
      </c>
      <c r="D142">
        <v>0.90150082600000003</v>
      </c>
      <c r="E142">
        <v>0.293478183</v>
      </c>
      <c r="F142">
        <v>0.26939992299999999</v>
      </c>
      <c r="H142">
        <v>-1.157146926</v>
      </c>
      <c r="I142">
        <v>-0.57406771599999995</v>
      </c>
      <c r="M142">
        <v>-0.615593473</v>
      </c>
      <c r="N142">
        <v>1.182819965</v>
      </c>
      <c r="P142">
        <v>0.37978993700000002</v>
      </c>
      <c r="S142">
        <v>0.98560247400000001</v>
      </c>
      <c r="T142">
        <v>0.67721348000000003</v>
      </c>
      <c r="U142">
        <v>0.29724299999999998</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0.25340187600000003</v>
      </c>
      <c r="AN142">
        <v>-1.3446465839999999</v>
      </c>
      <c r="AR142">
        <v>2.1122900250000001</v>
      </c>
      <c r="AT142">
        <v>0.45619851500000003</v>
      </c>
      <c r="AU142">
        <v>-0.83441653000000005</v>
      </c>
    </row>
    <row r="143" spans="1:47" x14ac:dyDescent="0.2">
      <c r="A143" t="s">
        <v>207</v>
      </c>
      <c r="B143" s="74">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-2.1002859999999998E-3</v>
      </c>
      <c r="U143">
        <v>-0.23095599999999999</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-0.154640269</v>
      </c>
      <c r="AN143">
        <v>0.459236425</v>
      </c>
      <c r="AR143">
        <v>-1.2414885840000001</v>
      </c>
      <c r="AT143">
        <v>-0.38229927400000002</v>
      </c>
      <c r="AU143">
        <v>-2.5570618999999999E-2</v>
      </c>
    </row>
    <row r="144" spans="1:47" x14ac:dyDescent="0.2">
      <c r="A144" t="s">
        <v>208</v>
      </c>
      <c r="B144" s="74">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0.58839237799999999</v>
      </c>
      <c r="U144">
        <v>0.32145000000000001</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0.206252923</v>
      </c>
      <c r="AN144">
        <v>0.810506112</v>
      </c>
      <c r="AR144">
        <v>1.9483841639999999</v>
      </c>
      <c r="AT144">
        <v>3.9946273999999997E-2</v>
      </c>
      <c r="AU144">
        <v>-2.1140404610000001</v>
      </c>
    </row>
    <row r="145" spans="1:47" x14ac:dyDescent="0.2">
      <c r="A145" t="s">
        <v>209</v>
      </c>
      <c r="B145" s="74">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0.42009453899999999</v>
      </c>
      <c r="U145">
        <v>0.95147099999999996</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0.79758651000000003</v>
      </c>
      <c r="AN145">
        <v>0.92271629700000002</v>
      </c>
      <c r="AR145">
        <v>-1.1314152660000001</v>
      </c>
      <c r="AT145">
        <v>1.3178475759999999</v>
      </c>
      <c r="AU145">
        <v>-1.5434806599999999</v>
      </c>
    </row>
    <row r="146" spans="1:47" x14ac:dyDescent="0.2">
      <c r="A146" t="s">
        <v>210</v>
      </c>
      <c r="B146" s="74">
        <v>30498</v>
      </c>
      <c r="D146">
        <v>-0.183993824</v>
      </c>
      <c r="E146">
        <v>1.3086015040000001</v>
      </c>
      <c r="F146">
        <v>4.7185122000000003E-2</v>
      </c>
      <c r="H146">
        <v>1.9654456259999999</v>
      </c>
      <c r="I146">
        <v>0.186722737</v>
      </c>
      <c r="M146">
        <v>1.0527775180000001</v>
      </c>
      <c r="N146">
        <v>1.6415189990000001</v>
      </c>
      <c r="P146">
        <v>0.61760959400000004</v>
      </c>
      <c r="S146">
        <v>1.050322099</v>
      </c>
      <c r="T146">
        <v>1.8713779E-2</v>
      </c>
      <c r="U146">
        <v>1.361451</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1.106837651</v>
      </c>
      <c r="AN146">
        <v>-0.89468647800000001</v>
      </c>
      <c r="AR146">
        <v>0.78839974999999995</v>
      </c>
      <c r="AT146">
        <v>2.2756124390000001</v>
      </c>
      <c r="AU146">
        <v>0.41525426599999998</v>
      </c>
    </row>
    <row r="147" spans="1:47" x14ac:dyDescent="0.2">
      <c r="A147" t="s">
        <v>211</v>
      </c>
      <c r="B147" s="74">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0.100052138</v>
      </c>
      <c r="U147">
        <v>1.3771789999999999</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1.3198903790000001</v>
      </c>
      <c r="AN147">
        <v>-1.500339839</v>
      </c>
      <c r="AR147">
        <v>1.1273302510000001</v>
      </c>
      <c r="AT147">
        <v>1.9990642940000001</v>
      </c>
      <c r="AU147">
        <v>1.152778503</v>
      </c>
    </row>
    <row r="148" spans="1:47" x14ac:dyDescent="0.2">
      <c r="A148" t="s">
        <v>212</v>
      </c>
      <c r="B148" s="74">
        <v>30682</v>
      </c>
      <c r="D148">
        <v>1.677953348</v>
      </c>
      <c r="E148">
        <v>1.0135891370000001</v>
      </c>
      <c r="F148">
        <v>1.1173000399999999</v>
      </c>
      <c r="H148">
        <v>1.2601976669999999</v>
      </c>
      <c r="I148">
        <v>0.34978306399999998</v>
      </c>
      <c r="M148">
        <v>1.383273921</v>
      </c>
      <c r="N148">
        <v>2.339343054</v>
      </c>
      <c r="P148">
        <v>0.64611691400000004</v>
      </c>
      <c r="S148">
        <v>-0.242607342</v>
      </c>
      <c r="T148">
        <v>0.61322875700000001</v>
      </c>
      <c r="U148">
        <v>1.552872</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1.4361221280000001</v>
      </c>
      <c r="AN148">
        <v>-0.65249084899999998</v>
      </c>
      <c r="AR148">
        <v>2.014711165</v>
      </c>
      <c r="AT148">
        <v>2.0862174790000001</v>
      </c>
      <c r="AU148">
        <v>2.5363717960000001</v>
      </c>
    </row>
    <row r="149" spans="1:47" x14ac:dyDescent="0.2">
      <c r="A149" t="s">
        <v>213</v>
      </c>
      <c r="B149" s="74">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0.40582506099999999</v>
      </c>
      <c r="U149">
        <v>1.339134</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1.434829709</v>
      </c>
      <c r="AN149">
        <v>-0.77061182900000003</v>
      </c>
      <c r="AR149">
        <v>2.2568758149999999</v>
      </c>
      <c r="AT149">
        <v>1.954770289</v>
      </c>
      <c r="AU149">
        <v>1.6967664849999999</v>
      </c>
    </row>
    <row r="150" spans="1:47" x14ac:dyDescent="0.2">
      <c r="A150" t="s">
        <v>214</v>
      </c>
      <c r="B150" s="74">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0.41922830900000002</v>
      </c>
      <c r="U150">
        <v>0.89486699999999997</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0.67316105699999995</v>
      </c>
      <c r="AN150">
        <v>-1.0343337560000001</v>
      </c>
      <c r="AR150">
        <v>-1.5135630959999999</v>
      </c>
      <c r="AT150">
        <v>1.727792663</v>
      </c>
      <c r="AU150">
        <v>2.077491808</v>
      </c>
    </row>
    <row r="151" spans="1:47" x14ac:dyDescent="0.2">
      <c r="A151" t="s">
        <v>215</v>
      </c>
      <c r="B151" s="74">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0.70240442300000006</v>
      </c>
      <c r="U151">
        <v>1.1572340000000001</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1.229727518</v>
      </c>
      <c r="AN151">
        <v>2.404084272</v>
      </c>
      <c r="AR151">
        <v>1.3220528330000001</v>
      </c>
      <c r="AT151">
        <v>0.96406362800000001</v>
      </c>
      <c r="AU151">
        <v>-1.657470107</v>
      </c>
    </row>
    <row r="152" spans="1:47" x14ac:dyDescent="0.2">
      <c r="A152" t="s">
        <v>216</v>
      </c>
      <c r="B152" s="74">
        <v>31048</v>
      </c>
      <c r="D152">
        <v>0.70199863100000004</v>
      </c>
      <c r="E152">
        <v>0.95028882999999997</v>
      </c>
      <c r="F152">
        <v>0.64433674799999996</v>
      </c>
      <c r="H152">
        <v>1.584483871</v>
      </c>
      <c r="I152">
        <v>0.81125848099999998</v>
      </c>
      <c r="M152">
        <v>0.841814285</v>
      </c>
      <c r="N152">
        <v>0.46510026500000001</v>
      </c>
      <c r="P152">
        <v>0.127632419</v>
      </c>
      <c r="S152">
        <v>1.1804158279999999</v>
      </c>
      <c r="T152">
        <v>-6.7927285000000004E-2</v>
      </c>
      <c r="U152">
        <v>0.70080799999999999</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0.622404815</v>
      </c>
      <c r="AN152">
        <v>-0.23164779999999999</v>
      </c>
      <c r="AR152">
        <v>0.92983250799999995</v>
      </c>
      <c r="AT152">
        <v>0.82085714600000004</v>
      </c>
      <c r="AU152">
        <v>0.15461264699999999</v>
      </c>
    </row>
    <row r="153" spans="1:47" x14ac:dyDescent="0.2">
      <c r="A153" t="s">
        <v>217</v>
      </c>
      <c r="B153" s="74">
        <v>31138</v>
      </c>
      <c r="D153">
        <v>1.44634635</v>
      </c>
      <c r="E153">
        <v>0.48031977100000001</v>
      </c>
      <c r="F153">
        <v>0.42765625899999998</v>
      </c>
      <c r="H153">
        <v>1.51940209</v>
      </c>
      <c r="I153">
        <v>1.1747837999999999</v>
      </c>
      <c r="M153">
        <v>-0.54507092199999996</v>
      </c>
      <c r="N153">
        <v>0.31768604299999997</v>
      </c>
      <c r="P153">
        <v>1.115984954</v>
      </c>
      <c r="S153">
        <v>0.689380883</v>
      </c>
      <c r="T153">
        <v>0.25258355599999999</v>
      </c>
      <c r="U153">
        <v>0.96603600000000001</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0.97984017800000001</v>
      </c>
      <c r="AN153">
        <v>1.0888030870000001</v>
      </c>
      <c r="AR153">
        <v>0.138870664</v>
      </c>
      <c r="AT153">
        <v>0.96907230099999997</v>
      </c>
      <c r="AU153">
        <v>-0.59577559599999996</v>
      </c>
    </row>
    <row r="154" spans="1:47" x14ac:dyDescent="0.2">
      <c r="A154" t="s">
        <v>218</v>
      </c>
      <c r="B154" s="74">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0.88497171500000005</v>
      </c>
      <c r="U154">
        <v>1.1982660000000001</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1.087939311</v>
      </c>
      <c r="AN154">
        <v>0.97392293100000005</v>
      </c>
      <c r="AR154">
        <v>1.0569776790000001</v>
      </c>
      <c r="AT154">
        <v>0.88046635299999998</v>
      </c>
      <c r="AU154">
        <v>-0.727141963</v>
      </c>
    </row>
    <row r="155" spans="1:47" x14ac:dyDescent="0.2">
      <c r="A155" t="s">
        <v>219</v>
      </c>
      <c r="B155" s="74">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0.55113288400000005</v>
      </c>
      <c r="U155">
        <v>1.208941</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1.1492759050000001</v>
      </c>
      <c r="AN155">
        <v>-0.37398831700000001</v>
      </c>
      <c r="AR155">
        <v>1.103460017</v>
      </c>
      <c r="AT155">
        <v>1.527121263</v>
      </c>
      <c r="AU155">
        <v>-0.263979032</v>
      </c>
    </row>
    <row r="156" spans="1:47" x14ac:dyDescent="0.2">
      <c r="A156" t="s">
        <v>220</v>
      </c>
      <c r="B156" s="74">
        <v>31413</v>
      </c>
      <c r="D156">
        <v>-0.245823509</v>
      </c>
      <c r="E156">
        <v>-0.41635875300000003</v>
      </c>
      <c r="F156">
        <v>0.51796841199999999</v>
      </c>
      <c r="H156">
        <v>1.534781494</v>
      </c>
      <c r="I156">
        <v>0.91325540000000005</v>
      </c>
      <c r="M156">
        <v>0.59997725099999999</v>
      </c>
      <c r="N156">
        <v>1.901622049</v>
      </c>
      <c r="P156">
        <v>1.1484683010000001</v>
      </c>
      <c r="S156">
        <v>0.168415598</v>
      </c>
      <c r="T156">
        <v>0.44539264499999998</v>
      </c>
      <c r="U156">
        <v>0.79352500000000004</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0.82767677799999995</v>
      </c>
      <c r="AN156">
        <v>1.5871316870000001</v>
      </c>
      <c r="AR156">
        <v>-1.004893611</v>
      </c>
      <c r="AT156">
        <v>0.743327344</v>
      </c>
      <c r="AU156">
        <v>1.0693403159999999</v>
      </c>
    </row>
    <row r="157" spans="1:47" x14ac:dyDescent="0.2">
      <c r="A157" t="s">
        <v>221</v>
      </c>
      <c r="B157" s="74">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0.33852998499999998</v>
      </c>
      <c r="U157">
        <v>0.57395099999999999</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0.44212515000000002</v>
      </c>
      <c r="AN157">
        <v>1.321063257</v>
      </c>
      <c r="AR157">
        <v>2.0234702859999998</v>
      </c>
      <c r="AT157">
        <v>0.93352470799999998</v>
      </c>
      <c r="AU157">
        <v>-1.1913956510000001</v>
      </c>
    </row>
    <row r="158" spans="1:47" x14ac:dyDescent="0.2">
      <c r="A158" t="s">
        <v>222</v>
      </c>
      <c r="B158" s="74">
        <v>31594</v>
      </c>
      <c r="D158">
        <v>-0.177680054</v>
      </c>
      <c r="E158">
        <v>1.2099216310000001</v>
      </c>
      <c r="F158">
        <v>0.203576123</v>
      </c>
      <c r="H158">
        <v>0.56848401500000001</v>
      </c>
      <c r="I158">
        <v>0.480621358</v>
      </c>
      <c r="M158">
        <v>1.150684662</v>
      </c>
      <c r="N158">
        <v>-0.29674130199999998</v>
      </c>
      <c r="P158">
        <v>2.3815559180000001</v>
      </c>
      <c r="S158">
        <v>0.43515725999999999</v>
      </c>
      <c r="T158">
        <v>1.0965340640000001</v>
      </c>
      <c r="U158">
        <v>0.500888</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0.63809159599999998</v>
      </c>
      <c r="AN158">
        <v>1.128379966</v>
      </c>
      <c r="AR158">
        <v>0.50052435299999998</v>
      </c>
      <c r="AT158">
        <v>0.45037736299999998</v>
      </c>
      <c r="AU158">
        <v>0.69041002600000001</v>
      </c>
    </row>
    <row r="159" spans="1:47" x14ac:dyDescent="0.2">
      <c r="A159" t="s">
        <v>223</v>
      </c>
      <c r="B159" s="74">
        <v>31686</v>
      </c>
      <c r="D159">
        <v>0.282012916</v>
      </c>
      <c r="E159">
        <v>8.1471991999999993E-2</v>
      </c>
      <c r="F159">
        <v>1.2309365290000001</v>
      </c>
      <c r="H159">
        <v>0.12621459900000001</v>
      </c>
      <c r="I159">
        <v>-8.8404836000000001E-2</v>
      </c>
      <c r="M159">
        <v>0.738239227</v>
      </c>
      <c r="N159">
        <v>-3.9017767000000002E-2</v>
      </c>
      <c r="P159">
        <v>-0.70503902500000004</v>
      </c>
      <c r="S159">
        <v>4.358457381</v>
      </c>
      <c r="T159">
        <v>0.485649742</v>
      </c>
      <c r="U159">
        <v>0.76224400000000003</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0.683677639</v>
      </c>
      <c r="AN159">
        <v>0.53523350700000005</v>
      </c>
      <c r="AR159">
        <v>0.48903576300000001</v>
      </c>
      <c r="AT159">
        <v>0.95699288599999999</v>
      </c>
      <c r="AU159">
        <v>0.22503509099999999</v>
      </c>
    </row>
    <row r="160" spans="1:47" x14ac:dyDescent="0.2">
      <c r="A160" t="s">
        <v>224</v>
      </c>
      <c r="B160" s="74">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9.1363539999999993E-2</v>
      </c>
      <c r="U160">
        <v>0.63245099999999999</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0.59884707199999998</v>
      </c>
      <c r="AN160">
        <v>1.600706368</v>
      </c>
      <c r="AR160">
        <v>0.30368230099999999</v>
      </c>
      <c r="AT160">
        <v>0.53698571799999995</v>
      </c>
      <c r="AU160">
        <v>0.41988258499999997</v>
      </c>
    </row>
    <row r="161" spans="1:47" x14ac:dyDescent="0.2">
      <c r="A161" t="s">
        <v>225</v>
      </c>
      <c r="B161" s="74">
        <v>31868</v>
      </c>
      <c r="D161">
        <v>0.95539489799999999</v>
      </c>
      <c r="E161">
        <v>-0.85282705700000005</v>
      </c>
      <c r="F161">
        <v>0.706357821</v>
      </c>
      <c r="H161">
        <v>2.3071933269999998</v>
      </c>
      <c r="I161">
        <v>0.175169724</v>
      </c>
      <c r="M161">
        <v>-2.509804892</v>
      </c>
      <c r="N161">
        <v>-1.5691744940000001</v>
      </c>
      <c r="P161">
        <v>2.048184242</v>
      </c>
      <c r="S161">
        <v>0.76662058600000005</v>
      </c>
      <c r="T161">
        <v>0.151389946</v>
      </c>
      <c r="U161">
        <v>0.24424599999999999</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0.31955950799999999</v>
      </c>
      <c r="AN161">
        <v>1.8053965080000001</v>
      </c>
      <c r="AR161">
        <v>0.45626201</v>
      </c>
      <c r="AT161">
        <v>0.74501963000000004</v>
      </c>
      <c r="AU161">
        <v>0.72728254000000003</v>
      </c>
    </row>
    <row r="162" spans="1:47" x14ac:dyDescent="0.2">
      <c r="A162" t="s">
        <v>226</v>
      </c>
      <c r="B162" s="74">
        <v>31959</v>
      </c>
      <c r="D162">
        <v>1.5727519379999999</v>
      </c>
      <c r="E162">
        <v>1.764855166</v>
      </c>
      <c r="F162">
        <v>1.1111891780000001</v>
      </c>
      <c r="H162">
        <v>1.291592995</v>
      </c>
      <c r="I162">
        <v>0.75463332699999996</v>
      </c>
      <c r="M162">
        <v>2.2449939579999998</v>
      </c>
      <c r="N162">
        <v>3.0248369030000002</v>
      </c>
      <c r="P162">
        <v>1.4960575300000001</v>
      </c>
      <c r="S162">
        <v>1.741914027</v>
      </c>
      <c r="T162">
        <v>1.5041241359999999</v>
      </c>
      <c r="U162">
        <v>1.4871540000000001</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1.6550184100000001</v>
      </c>
      <c r="AN162">
        <v>1.60081077</v>
      </c>
      <c r="AR162">
        <v>2.212031342</v>
      </c>
      <c r="AT162">
        <v>1.078842316</v>
      </c>
      <c r="AU162">
        <v>0.35660318699999999</v>
      </c>
    </row>
    <row r="163" spans="1:47" x14ac:dyDescent="0.2">
      <c r="A163" t="s">
        <v>227</v>
      </c>
      <c r="B163" s="74">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0.65962984300000005</v>
      </c>
      <c r="U163">
        <v>1.131677</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0.54270208499999995</v>
      </c>
      <c r="AL163">
        <v>1.1059185549999999</v>
      </c>
      <c r="AN163">
        <v>1.547363343</v>
      </c>
      <c r="AR163">
        <v>1.1365519340000001</v>
      </c>
      <c r="AT163">
        <v>0.86756685600000005</v>
      </c>
      <c r="AU163">
        <v>0.36492787599999998</v>
      </c>
    </row>
    <row r="164" spans="1:47" x14ac:dyDescent="0.2">
      <c r="A164" t="s">
        <v>228</v>
      </c>
      <c r="B164" s="74">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1.4416940970000001</v>
      </c>
      <c r="U164">
        <v>1.7152510000000001</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0.46164772700000001</v>
      </c>
      <c r="AL164">
        <v>1.807357879</v>
      </c>
      <c r="AN164">
        <v>1.1974914400000001</v>
      </c>
      <c r="AR164">
        <v>0.31107987199999998</v>
      </c>
      <c r="AT164">
        <v>1.717036096</v>
      </c>
      <c r="AU164">
        <v>1.2276316940000001</v>
      </c>
    </row>
    <row r="165" spans="1:47" x14ac:dyDescent="0.2">
      <c r="A165" t="s">
        <v>229</v>
      </c>
      <c r="B165" s="74">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1.2762276480000001</v>
      </c>
      <c r="U165">
        <v>0.95329299999999995</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-0.385295157</v>
      </c>
      <c r="AL165">
        <v>0.83821291799999997</v>
      </c>
      <c r="AN165">
        <v>4.5566320009999997</v>
      </c>
      <c r="AR165">
        <v>0.47846825999999998</v>
      </c>
      <c r="AT165">
        <v>0.516654167</v>
      </c>
      <c r="AU165">
        <v>1.5029433089999999</v>
      </c>
    </row>
    <row r="166" spans="1:47" x14ac:dyDescent="0.2">
      <c r="A166" t="s">
        <v>230</v>
      </c>
      <c r="B166" s="74">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0.81752060599999998</v>
      </c>
      <c r="U166">
        <v>0.93982100000000002</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-0.47549767599999998</v>
      </c>
      <c r="AL166">
        <v>0.71191572000000003</v>
      </c>
      <c r="AN166">
        <v>0.45499446399999999</v>
      </c>
      <c r="AR166">
        <v>0.193406783</v>
      </c>
      <c r="AT166">
        <v>1.313900617</v>
      </c>
      <c r="AU166">
        <v>0.71005532699999996</v>
      </c>
    </row>
    <row r="167" spans="1:47" x14ac:dyDescent="0.2">
      <c r="A167" t="s">
        <v>231</v>
      </c>
      <c r="B167" s="74">
        <v>32417</v>
      </c>
      <c r="D167">
        <v>0.81653040799999999</v>
      </c>
      <c r="E167">
        <v>1.6612643419999999</v>
      </c>
      <c r="F167">
        <v>1.2289064649999999</v>
      </c>
      <c r="H167">
        <v>9.0986950000000004E-3</v>
      </c>
      <c r="I167">
        <v>1.1367375639999999</v>
      </c>
      <c r="M167">
        <v>1.1330757039999999</v>
      </c>
      <c r="N167">
        <v>-1.9012544499999999</v>
      </c>
      <c r="P167">
        <v>1.8029079160000001</v>
      </c>
      <c r="S167">
        <v>1.2316715540000001</v>
      </c>
      <c r="T167">
        <v>1.2795409099999999</v>
      </c>
      <c r="U167">
        <v>1.0898000000000001</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0.22818839799999999</v>
      </c>
      <c r="AL167">
        <v>1.06152793</v>
      </c>
      <c r="AN167">
        <v>0.762612717</v>
      </c>
      <c r="AR167">
        <v>0.165338555</v>
      </c>
      <c r="AT167">
        <v>0.58592831400000001</v>
      </c>
      <c r="AU167">
        <v>1.34491922</v>
      </c>
    </row>
    <row r="168" spans="1:47" x14ac:dyDescent="0.2">
      <c r="A168" t="s">
        <v>232</v>
      </c>
      <c r="B168" s="74">
        <v>32509</v>
      </c>
      <c r="D168">
        <v>1.581411339</v>
      </c>
      <c r="E168">
        <v>1.1832997249999999</v>
      </c>
      <c r="F168">
        <v>0.97988492100000002</v>
      </c>
      <c r="H168">
        <v>0.69744059199999997</v>
      </c>
      <c r="I168">
        <v>1.7501116560000001</v>
      </c>
      <c r="M168">
        <v>1.1775465940000001</v>
      </c>
      <c r="N168">
        <v>2.460192868</v>
      </c>
      <c r="P168">
        <v>-0.22428166399999999</v>
      </c>
      <c r="S168">
        <v>1.850135187</v>
      </c>
      <c r="T168">
        <v>0.85511433400000003</v>
      </c>
      <c r="U168">
        <v>1.152811</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-0.87510227299999999</v>
      </c>
      <c r="AL168">
        <v>1.1611871250000001</v>
      </c>
      <c r="AN168">
        <v>1.319190173</v>
      </c>
      <c r="AR168">
        <v>2.1167567940000001</v>
      </c>
      <c r="AT168">
        <v>1.332500553</v>
      </c>
      <c r="AU168">
        <v>0.93898047399999995</v>
      </c>
    </row>
    <row r="169" spans="1:47" x14ac:dyDescent="0.2">
      <c r="A169" t="s">
        <v>233</v>
      </c>
      <c r="B169" s="74">
        <v>32599</v>
      </c>
      <c r="D169">
        <v>1.014801469</v>
      </c>
      <c r="E169">
        <v>0.82313969799999998</v>
      </c>
      <c r="F169">
        <v>0.76019038999999999</v>
      </c>
      <c r="H169">
        <v>1.14072018</v>
      </c>
      <c r="I169">
        <v>0.31775637200000001</v>
      </c>
      <c r="M169">
        <v>1.045142904</v>
      </c>
      <c r="N169">
        <v>1.130299648</v>
      </c>
      <c r="P169">
        <v>2.358130461</v>
      </c>
      <c r="S169">
        <v>1.1945845500000001</v>
      </c>
      <c r="T169">
        <v>1.203065533</v>
      </c>
      <c r="U169">
        <v>1.2562150000000001</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1.2775883729999999</v>
      </c>
      <c r="AL169">
        <v>1.2223865540000001</v>
      </c>
      <c r="AN169">
        <v>3.7660291749999999</v>
      </c>
      <c r="AR169">
        <v>0.16471154700000001</v>
      </c>
      <c r="AT169">
        <v>1.016597674</v>
      </c>
      <c r="AU169">
        <v>0.61931594700000003</v>
      </c>
    </row>
    <row r="170" spans="1:47" x14ac:dyDescent="0.2">
      <c r="A170" t="s">
        <v>234</v>
      </c>
      <c r="B170" s="74">
        <v>32690</v>
      </c>
      <c r="D170">
        <v>2.1092306559999998</v>
      </c>
      <c r="E170">
        <v>0.47564930100000002</v>
      </c>
      <c r="F170">
        <v>0.96112367899999995</v>
      </c>
      <c r="H170">
        <v>0.38218308499999998</v>
      </c>
      <c r="I170">
        <v>1.8097043349999999</v>
      </c>
      <c r="M170">
        <v>0.402547977</v>
      </c>
      <c r="N170">
        <v>-2.0015842990000001</v>
      </c>
      <c r="P170">
        <v>0.98408883700000005</v>
      </c>
      <c r="S170">
        <v>1.7576075550000001</v>
      </c>
      <c r="T170">
        <v>1.169222677</v>
      </c>
      <c r="U170">
        <v>0.33035799999999998</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0.57758406900000003</v>
      </c>
      <c r="AL170">
        <v>0.409645761</v>
      </c>
      <c r="AN170">
        <v>-1.41413539</v>
      </c>
      <c r="AR170">
        <v>0.67541214900000002</v>
      </c>
      <c r="AT170">
        <v>0.76326565700000004</v>
      </c>
      <c r="AU170">
        <v>0.433857416</v>
      </c>
    </row>
    <row r="171" spans="1:47" x14ac:dyDescent="0.2">
      <c r="A171" t="s">
        <v>235</v>
      </c>
      <c r="B171" s="74">
        <v>32782</v>
      </c>
      <c r="D171">
        <v>0.84199453800000001</v>
      </c>
      <c r="E171">
        <v>0.829097953</v>
      </c>
      <c r="F171">
        <v>0.37144843</v>
      </c>
      <c r="H171">
        <v>0.357792585</v>
      </c>
      <c r="I171">
        <v>0.71513268399999996</v>
      </c>
      <c r="M171">
        <v>0.91324525599999995</v>
      </c>
      <c r="N171">
        <v>-1.4863533769999999</v>
      </c>
      <c r="P171">
        <v>1.339679544</v>
      </c>
      <c r="S171">
        <v>1.178506979</v>
      </c>
      <c r="T171">
        <v>1.099273087</v>
      </c>
      <c r="U171">
        <v>0.91833299999999995</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-1.123872604</v>
      </c>
      <c r="AL171">
        <v>0.98698190600000002</v>
      </c>
      <c r="AN171">
        <v>1.9729542149999999</v>
      </c>
      <c r="AR171">
        <v>3.0821688999999999E-2</v>
      </c>
      <c r="AT171">
        <v>0.74087699399999996</v>
      </c>
      <c r="AU171">
        <v>8.0345161999999998E-2</v>
      </c>
    </row>
    <row r="172" spans="1:47" x14ac:dyDescent="0.2">
      <c r="A172" t="s">
        <v>236</v>
      </c>
      <c r="B172" s="74">
        <v>32874</v>
      </c>
      <c r="D172">
        <v>-0.26986808000000001</v>
      </c>
      <c r="E172">
        <v>1.3003958980000001</v>
      </c>
      <c r="F172">
        <v>1.2986382889999999</v>
      </c>
      <c r="H172">
        <v>-0.21345312299999999</v>
      </c>
      <c r="I172">
        <v>1.31966816</v>
      </c>
      <c r="M172">
        <v>1.158805549</v>
      </c>
      <c r="N172">
        <v>1.6576394000000001</v>
      </c>
      <c r="P172">
        <v>-0.166005345</v>
      </c>
      <c r="S172">
        <v>4.7319185999999999E-2</v>
      </c>
      <c r="T172">
        <v>1.2842082500000001</v>
      </c>
      <c r="U172">
        <v>0.93735900000000005</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-0.192410476</v>
      </c>
      <c r="AL172">
        <v>0.95798240300000004</v>
      </c>
      <c r="AN172">
        <v>0.83261330099999997</v>
      </c>
      <c r="AR172">
        <v>1.307210199</v>
      </c>
      <c r="AT172">
        <v>0.19705097399999999</v>
      </c>
      <c r="AU172">
        <v>-0.61883212300000001</v>
      </c>
    </row>
    <row r="173" spans="1:47" x14ac:dyDescent="0.2">
      <c r="A173" t="s">
        <v>237</v>
      </c>
      <c r="B173" s="74">
        <v>32964</v>
      </c>
      <c r="D173">
        <v>0.794042998</v>
      </c>
      <c r="E173">
        <v>1.2323553650000001</v>
      </c>
      <c r="F173">
        <v>1.5632463169999999</v>
      </c>
      <c r="H173">
        <v>0.94276014100000005</v>
      </c>
      <c r="I173">
        <v>1.718724572</v>
      </c>
      <c r="M173">
        <v>2.0757065539999999</v>
      </c>
      <c r="N173">
        <v>-0.55573933200000003</v>
      </c>
      <c r="P173">
        <v>0.87601898</v>
      </c>
      <c r="S173">
        <v>1.354072902</v>
      </c>
      <c r="T173">
        <v>0.44755609000000002</v>
      </c>
      <c r="U173">
        <v>0.772563</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-0.17136125099999999</v>
      </c>
      <c r="AL173">
        <v>0.9473684</v>
      </c>
      <c r="AN173">
        <v>1.017439357</v>
      </c>
      <c r="AR173">
        <v>0.212357079</v>
      </c>
      <c r="AT173">
        <v>1.092795416</v>
      </c>
      <c r="AU173">
        <v>8.0051423999999996E-2</v>
      </c>
    </row>
    <row r="174" spans="1:47" x14ac:dyDescent="0.2">
      <c r="A174" t="s">
        <v>238</v>
      </c>
      <c r="B174" s="74">
        <v>33055</v>
      </c>
      <c r="D174">
        <v>0.126141221</v>
      </c>
      <c r="E174">
        <v>1.078142771</v>
      </c>
      <c r="F174">
        <v>-0.353727874</v>
      </c>
      <c r="H174">
        <v>-0.41411305999999998</v>
      </c>
      <c r="I174">
        <v>0.58343410699999998</v>
      </c>
      <c r="M174">
        <v>0.491660084</v>
      </c>
      <c r="N174">
        <v>2.2486860489999998</v>
      </c>
      <c r="P174">
        <v>1.699634141</v>
      </c>
      <c r="S174">
        <v>-1.3762998390000001</v>
      </c>
      <c r="T174">
        <v>0.49888262999999999</v>
      </c>
      <c r="U174">
        <v>0.861599</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-1.4304617E-2</v>
      </c>
      <c r="AL174">
        <v>0.92572193700000005</v>
      </c>
      <c r="AN174">
        <v>1.8702967779999999</v>
      </c>
      <c r="AR174">
        <v>-0.30510945900000003</v>
      </c>
      <c r="AT174">
        <v>0.36291179000000001</v>
      </c>
      <c r="AU174">
        <v>-8.2522011000000006E-2</v>
      </c>
    </row>
    <row r="175" spans="1:47" x14ac:dyDescent="0.2">
      <c r="A175" t="s">
        <v>239</v>
      </c>
      <c r="B175" s="74">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0.50532993699999995</v>
      </c>
      <c r="U175">
        <v>0.50934100000000004</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0.91204978699999995</v>
      </c>
      <c r="AL175">
        <v>0.37326053999999997</v>
      </c>
      <c r="AN175">
        <v>0.698606862</v>
      </c>
      <c r="AR175">
        <v>-0.79288496600000002</v>
      </c>
      <c r="AT175">
        <v>6.6512431999999996E-2</v>
      </c>
      <c r="AU175">
        <v>-8.4042341000000007E-2</v>
      </c>
    </row>
    <row r="176" spans="1:47" x14ac:dyDescent="0.2">
      <c r="A176" t="s">
        <v>240</v>
      </c>
      <c r="B176" s="74">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-4.5470850000000002E-3</v>
      </c>
      <c r="U176">
        <v>-0.344773</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1.1696320979999999</v>
      </c>
      <c r="AL176">
        <v>0.231115712</v>
      </c>
      <c r="AN176">
        <v>2.6589812319999999</v>
      </c>
      <c r="AR176">
        <v>1.13594325</v>
      </c>
      <c r="AT176">
        <v>-0.91039454099999995</v>
      </c>
      <c r="AU176">
        <v>9.2815014000000001E-2</v>
      </c>
    </row>
    <row r="177" spans="1:47" x14ac:dyDescent="0.2">
      <c r="A177" t="s">
        <v>241</v>
      </c>
      <c r="B177" s="74">
        <v>33329</v>
      </c>
      <c r="D177">
        <v>-1.291435742</v>
      </c>
      <c r="E177">
        <v>0.692705087</v>
      </c>
      <c r="F177">
        <v>-0.43152541300000002</v>
      </c>
      <c r="H177">
        <v>-1.427068555</v>
      </c>
      <c r="I177">
        <v>0.14597321999999999</v>
      </c>
      <c r="M177">
        <v>2.834538856</v>
      </c>
      <c r="N177">
        <v>0.29559123399999998</v>
      </c>
      <c r="P177">
        <v>-1.9217544129999999</v>
      </c>
      <c r="S177">
        <v>-1.9500463610000001</v>
      </c>
      <c r="T177">
        <v>0.124122225</v>
      </c>
      <c r="U177">
        <v>0.36493999999999999</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-2.4243273539999999</v>
      </c>
      <c r="AL177">
        <v>0.13338359699999999</v>
      </c>
      <c r="AN177">
        <v>-2.3305769060000001</v>
      </c>
      <c r="AR177">
        <v>-0.31136663999999997</v>
      </c>
      <c r="AT177">
        <v>-0.467867584</v>
      </c>
      <c r="AU177">
        <v>-0.79542260300000001</v>
      </c>
    </row>
    <row r="178" spans="1:47" x14ac:dyDescent="0.2">
      <c r="A178" t="s">
        <v>242</v>
      </c>
      <c r="B178" s="74">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0.415601685</v>
      </c>
      <c r="U178">
        <v>0.48728900000000003</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-0.67858681600000004</v>
      </c>
      <c r="AL178">
        <v>0.58595539900000004</v>
      </c>
      <c r="AN178">
        <v>1.962589301</v>
      </c>
      <c r="AR178">
        <v>-1.1471894659999999</v>
      </c>
      <c r="AT178">
        <v>0.77971803799999995</v>
      </c>
      <c r="AU178">
        <v>-0.225649346</v>
      </c>
    </row>
    <row r="179" spans="1:47" x14ac:dyDescent="0.2">
      <c r="A179" t="s">
        <v>243</v>
      </c>
      <c r="B179" s="74">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0.21222638099999999</v>
      </c>
      <c r="U179">
        <v>0.15495700000000001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0.31811444900000002</v>
      </c>
      <c r="AL179">
        <v>0.28444472900000001</v>
      </c>
      <c r="AN179">
        <v>1.073590737</v>
      </c>
      <c r="AR179">
        <v>-0.48588832700000001</v>
      </c>
      <c r="AT179">
        <v>0.50533843099999998</v>
      </c>
      <c r="AU179">
        <v>-3.8785792999999999E-2</v>
      </c>
    </row>
    <row r="180" spans="1:47" x14ac:dyDescent="0.2">
      <c r="A180" t="s">
        <v>244</v>
      </c>
      <c r="B180" s="74">
        <v>33604</v>
      </c>
      <c r="D180">
        <v>6.0990251000000002E-2</v>
      </c>
      <c r="E180">
        <v>0.61183127699999995</v>
      </c>
      <c r="F180">
        <v>0.50590435600000006</v>
      </c>
      <c r="H180">
        <v>0.184531308</v>
      </c>
      <c r="I180">
        <v>0.35493498699999998</v>
      </c>
      <c r="M180">
        <v>1.299062392</v>
      </c>
      <c r="N180">
        <v>-0.98514616899999996</v>
      </c>
      <c r="P180">
        <v>0.497512438</v>
      </c>
      <c r="S180">
        <v>-1.17266231</v>
      </c>
      <c r="T180">
        <v>0.66972786299999998</v>
      </c>
      <c r="U180">
        <v>0.591503</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0.648625275</v>
      </c>
      <c r="AL180">
        <v>0.64768622399999998</v>
      </c>
      <c r="AN180">
        <v>2.3666545000000001E-2</v>
      </c>
      <c r="AR180">
        <v>-0.15493615799999999</v>
      </c>
      <c r="AT180">
        <v>0.34856390199999998</v>
      </c>
      <c r="AU180">
        <v>-0.17206495399999999</v>
      </c>
    </row>
    <row r="181" spans="1:47" x14ac:dyDescent="0.2">
      <c r="A181" t="s">
        <v>245</v>
      </c>
      <c r="B181" s="74">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0.80263498600000005</v>
      </c>
      <c r="U181">
        <v>0.78065399999999996</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0.297160861</v>
      </c>
      <c r="AL181">
        <v>0.86225221399999996</v>
      </c>
      <c r="AN181">
        <v>1.768950341</v>
      </c>
      <c r="AR181">
        <v>0.91757323999999996</v>
      </c>
      <c r="AT181">
        <v>1.197157574</v>
      </c>
      <c r="AU181">
        <v>-0.70074789699999995</v>
      </c>
    </row>
    <row r="182" spans="1:47" x14ac:dyDescent="0.2">
      <c r="A182" t="s">
        <v>246</v>
      </c>
      <c r="B182" s="74">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9.9109435999999995E-2</v>
      </c>
      <c r="U182">
        <v>0.43828499999999998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7.1392870000000002E-3</v>
      </c>
      <c r="AL182">
        <v>0.305932808</v>
      </c>
      <c r="AN182">
        <v>-0.91937203599999995</v>
      </c>
      <c r="AR182">
        <v>-0.51364764900000004</v>
      </c>
      <c r="AT182">
        <v>1.084320604</v>
      </c>
      <c r="AU182">
        <v>-0.61337261099999996</v>
      </c>
    </row>
    <row r="183" spans="1:47" x14ac:dyDescent="0.2">
      <c r="A183" t="s">
        <v>247</v>
      </c>
      <c r="B183" s="74">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-8.8337225000000005E-2</v>
      </c>
      <c r="U183">
        <v>0.47282400000000002</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-0.77098800700000003</v>
      </c>
      <c r="AL183">
        <v>0.49892217599999999</v>
      </c>
      <c r="AN183">
        <v>-0.345960037</v>
      </c>
      <c r="AR183">
        <v>-1.4474356420000001</v>
      </c>
      <c r="AT183">
        <v>0.98810718900000005</v>
      </c>
      <c r="AU183">
        <v>-1.157736308</v>
      </c>
    </row>
    <row r="184" spans="1:47" x14ac:dyDescent="0.2">
      <c r="A184" t="s">
        <v>248</v>
      </c>
      <c r="B184" s="74">
        <v>33970</v>
      </c>
      <c r="D184">
        <v>2.0698504280000001</v>
      </c>
      <c r="E184">
        <v>-0.302467443</v>
      </c>
      <c r="F184">
        <v>-1.232574249</v>
      </c>
      <c r="H184">
        <v>0.56891053800000002</v>
      </c>
      <c r="I184">
        <v>-0.76557585399999994</v>
      </c>
      <c r="M184">
        <v>-0.322148143</v>
      </c>
      <c r="N184">
        <v>-0.44045066199999999</v>
      </c>
      <c r="P184">
        <v>-0.65159612499999997</v>
      </c>
      <c r="S184">
        <v>-0.706680486</v>
      </c>
      <c r="T184">
        <v>-0.19396112800000001</v>
      </c>
      <c r="U184">
        <v>0.304564</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1.2625899279999999</v>
      </c>
      <c r="AL184">
        <v>0.26324965299999997</v>
      </c>
      <c r="AN184">
        <v>-0.159542129</v>
      </c>
      <c r="AR184">
        <v>-1.3722997889999999</v>
      </c>
      <c r="AT184">
        <v>1.042879871</v>
      </c>
      <c r="AU184">
        <v>-0.84971449799999998</v>
      </c>
    </row>
    <row r="185" spans="1:47" x14ac:dyDescent="0.2">
      <c r="A185" t="s">
        <v>249</v>
      </c>
      <c r="B185" s="74">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-0.63418910500000003</v>
      </c>
      <c r="U185">
        <v>0.21540699999999999</v>
      </c>
      <c r="V185">
        <v>0.69005913900000004</v>
      </c>
      <c r="W185">
        <v>-2.6539310220000001</v>
      </c>
      <c r="Z185">
        <v>0.50061214799999998</v>
      </c>
      <c r="AA185">
        <v>0.53090806099999999</v>
      </c>
      <c r="AC185">
        <v>-0.13946523999999999</v>
      </c>
      <c r="AD185">
        <v>1.1268584660000001</v>
      </c>
      <c r="AE185">
        <v>1.9906578290000001</v>
      </c>
      <c r="AF185">
        <v>1.2771087809999999</v>
      </c>
      <c r="AH185">
        <v>-2.9189923E-2</v>
      </c>
      <c r="AI185">
        <v>0.61591251700000005</v>
      </c>
      <c r="AJ185">
        <v>-0.65795568500000001</v>
      </c>
      <c r="AK185">
        <v>1.644701787</v>
      </c>
      <c r="AL185">
        <v>0.212112934</v>
      </c>
      <c r="AN185">
        <v>-1.318634595</v>
      </c>
      <c r="AR185">
        <v>-1.81988678</v>
      </c>
      <c r="AT185">
        <v>0.166979092</v>
      </c>
      <c r="AU185">
        <v>1.2857332889999999</v>
      </c>
    </row>
    <row r="186" spans="1:47" x14ac:dyDescent="0.2">
      <c r="A186" t="s">
        <v>250</v>
      </c>
      <c r="B186" s="74">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-4.5849882000000002E-2</v>
      </c>
      <c r="U186">
        <v>0.18559600000000001</v>
      </c>
      <c r="V186">
        <v>0.47472242999999997</v>
      </c>
      <c r="W186">
        <v>1.7093619</v>
      </c>
      <c r="Z186">
        <v>0.53079156699999996</v>
      </c>
      <c r="AA186">
        <v>0.90494383300000003</v>
      </c>
      <c r="AC186">
        <v>-0.241254257</v>
      </c>
      <c r="AD186">
        <v>-0.63314586299999998</v>
      </c>
      <c r="AE186">
        <v>2.5653316730000002</v>
      </c>
      <c r="AF186">
        <v>1.3923682449999999</v>
      </c>
      <c r="AH186">
        <v>0.26584855800000001</v>
      </c>
      <c r="AI186">
        <v>0.249895847</v>
      </c>
      <c r="AJ186">
        <v>1.7361653130000001</v>
      </c>
      <c r="AK186">
        <v>2.2122038160000002</v>
      </c>
      <c r="AL186">
        <v>0.421055279</v>
      </c>
      <c r="AN186">
        <v>5.0113557000000003E-2</v>
      </c>
      <c r="AP186">
        <v>1.3909376</v>
      </c>
      <c r="AR186">
        <v>1.2971018489999999</v>
      </c>
      <c r="AT186">
        <v>0.58211345299999995</v>
      </c>
      <c r="AU186">
        <v>0.68276386200000005</v>
      </c>
    </row>
    <row r="187" spans="1:47" x14ac:dyDescent="0.2">
      <c r="A187" t="s">
        <v>251</v>
      </c>
      <c r="B187" s="74">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0.17928944099999999</v>
      </c>
      <c r="U187">
        <v>0.24518499999999999</v>
      </c>
      <c r="V187">
        <v>0.78488561099999998</v>
      </c>
      <c r="W187">
        <v>0.34040084900000001</v>
      </c>
      <c r="Z187">
        <v>0.71341299700000005</v>
      </c>
      <c r="AA187">
        <v>1.2106989290000001</v>
      </c>
      <c r="AC187">
        <v>-0.15770889099999999</v>
      </c>
      <c r="AD187">
        <v>-0.71786239100000004</v>
      </c>
      <c r="AE187">
        <v>1.843683328</v>
      </c>
      <c r="AF187">
        <v>1.336455741</v>
      </c>
      <c r="AH187">
        <v>1.01327677</v>
      </c>
      <c r="AI187">
        <v>0.81725829900000002</v>
      </c>
      <c r="AJ187">
        <v>1.9924875710000001</v>
      </c>
      <c r="AK187">
        <v>2.027558382</v>
      </c>
      <c r="AL187">
        <v>0.39470033399999999</v>
      </c>
      <c r="AN187">
        <v>0.69552905099999995</v>
      </c>
      <c r="AP187">
        <v>1.1598247989999999</v>
      </c>
      <c r="AR187">
        <v>1.360174182</v>
      </c>
      <c r="AT187">
        <v>0.47715658700000002</v>
      </c>
      <c r="AU187">
        <v>1.2823864279999999</v>
      </c>
    </row>
    <row r="188" spans="1:47" x14ac:dyDescent="0.2">
      <c r="A188" t="s">
        <v>252</v>
      </c>
      <c r="B188" s="74">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0.222743529</v>
      </c>
      <c r="U188">
        <v>0.84247700000000003</v>
      </c>
      <c r="V188">
        <v>0.66848534000000004</v>
      </c>
      <c r="W188">
        <v>0.19928804</v>
      </c>
      <c r="Z188">
        <v>1.002046454</v>
      </c>
      <c r="AA188">
        <v>1.34170469</v>
      </c>
      <c r="AC188">
        <v>0.73313064999999999</v>
      </c>
      <c r="AD188">
        <v>0.63000248400000003</v>
      </c>
      <c r="AE188">
        <v>1.9136639879999999</v>
      </c>
      <c r="AF188">
        <v>1.1626443870000001</v>
      </c>
      <c r="AH188">
        <v>1.3123425559999999</v>
      </c>
      <c r="AI188">
        <v>-0.62038722899999998</v>
      </c>
      <c r="AJ188">
        <v>3.557989504</v>
      </c>
      <c r="AK188">
        <v>0.93163538899999998</v>
      </c>
      <c r="AL188">
        <v>0.86715516299999995</v>
      </c>
      <c r="AN188">
        <v>0.335461909</v>
      </c>
      <c r="AP188">
        <v>1.5065066359999999</v>
      </c>
      <c r="AR188">
        <v>-0.16056067099999999</v>
      </c>
      <c r="AT188">
        <v>1.3600755600000001</v>
      </c>
      <c r="AU188">
        <v>0.853492158</v>
      </c>
    </row>
    <row r="189" spans="1:47" x14ac:dyDescent="0.2">
      <c r="A189" t="s">
        <v>253</v>
      </c>
      <c r="B189" s="74">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0.686601346</v>
      </c>
      <c r="U189">
        <v>1.005001</v>
      </c>
      <c r="V189">
        <v>1.1651326870000001</v>
      </c>
      <c r="W189">
        <v>-0.792530175</v>
      </c>
      <c r="Z189">
        <v>1.3507575359999999</v>
      </c>
      <c r="AA189">
        <v>1.2024590740000001</v>
      </c>
      <c r="AC189">
        <v>0.76166861100000005</v>
      </c>
      <c r="AD189">
        <v>0.90069298099999995</v>
      </c>
      <c r="AE189">
        <v>2.916855703</v>
      </c>
      <c r="AF189">
        <v>0.94974912300000003</v>
      </c>
      <c r="AH189">
        <v>1.0385369529999999</v>
      </c>
      <c r="AI189">
        <v>1.4965316099999999</v>
      </c>
      <c r="AJ189">
        <v>-1.1400918790000001</v>
      </c>
      <c r="AK189">
        <v>1.517365031</v>
      </c>
      <c r="AL189">
        <v>0.944966203</v>
      </c>
      <c r="AN189">
        <v>0.33869413999999998</v>
      </c>
      <c r="AP189">
        <v>1.7882290869999999</v>
      </c>
      <c r="AR189">
        <v>1.1354655760000001</v>
      </c>
      <c r="AT189">
        <v>0.97031283999999995</v>
      </c>
      <c r="AU189">
        <v>-4.7133474000000002E-2</v>
      </c>
    </row>
    <row r="190" spans="1:47" x14ac:dyDescent="0.2">
      <c r="A190" t="s">
        <v>254</v>
      </c>
      <c r="B190" s="74">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1.028747799</v>
      </c>
      <c r="U190">
        <v>0.79801</v>
      </c>
      <c r="V190">
        <v>1.1426640850000001</v>
      </c>
      <c r="W190">
        <v>1.2181871049999999</v>
      </c>
      <c r="Z190">
        <v>1.7295238639999999</v>
      </c>
      <c r="AA190">
        <v>0.85341513400000002</v>
      </c>
      <c r="AC190">
        <v>0.72363909699999995</v>
      </c>
      <c r="AD190">
        <v>-0.57446926700000001</v>
      </c>
      <c r="AE190">
        <v>1.6315920960000001</v>
      </c>
      <c r="AF190">
        <v>0.75336469900000003</v>
      </c>
      <c r="AH190">
        <v>2.1043226179999999</v>
      </c>
      <c r="AI190">
        <v>1.150384582</v>
      </c>
      <c r="AJ190">
        <v>2.3288079050000001</v>
      </c>
      <c r="AK190">
        <v>0.66394112800000005</v>
      </c>
      <c r="AL190">
        <v>0.54804341700000003</v>
      </c>
      <c r="AN190">
        <v>1.295817808</v>
      </c>
      <c r="AP190">
        <v>1.2185340520000001</v>
      </c>
      <c r="AR190">
        <v>1.025039933</v>
      </c>
      <c r="AT190">
        <v>1.3550997520000001</v>
      </c>
      <c r="AU190">
        <v>0.97566196199999999</v>
      </c>
    </row>
    <row r="191" spans="1:47" x14ac:dyDescent="0.2">
      <c r="A191" t="s">
        <v>255</v>
      </c>
      <c r="B191" s="74">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0.85691658199999998</v>
      </c>
      <c r="U191">
        <v>0.79132100000000005</v>
      </c>
      <c r="V191">
        <v>1.0882986269999999</v>
      </c>
      <c r="W191">
        <v>2.6822298490000001</v>
      </c>
      <c r="Z191">
        <v>2.1888918780000002</v>
      </c>
      <c r="AA191">
        <v>0.30634947600000001</v>
      </c>
      <c r="AC191">
        <v>0.62346925900000005</v>
      </c>
      <c r="AD191">
        <v>1.172140585</v>
      </c>
      <c r="AE191">
        <v>1.6821991110000001</v>
      </c>
      <c r="AF191">
        <v>0.55705723299999998</v>
      </c>
      <c r="AH191">
        <v>0.76142927599999999</v>
      </c>
      <c r="AI191">
        <v>0.75816823300000002</v>
      </c>
      <c r="AJ191">
        <v>-1.358435673</v>
      </c>
      <c r="AK191">
        <v>1.7122620049999999</v>
      </c>
      <c r="AL191">
        <v>0.91531901100000002</v>
      </c>
      <c r="AN191">
        <v>0.45218991800000002</v>
      </c>
      <c r="AP191">
        <v>1.899671272</v>
      </c>
      <c r="AR191">
        <v>1.159811404</v>
      </c>
      <c r="AT191">
        <v>0.58453601600000005</v>
      </c>
      <c r="AU191">
        <v>1.1245152570000001</v>
      </c>
    </row>
    <row r="192" spans="1:47" x14ac:dyDescent="0.2">
      <c r="A192" t="s">
        <v>256</v>
      </c>
      <c r="B192" s="74">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0.85455812399999997</v>
      </c>
      <c r="U192">
        <v>0.77448300000000003</v>
      </c>
      <c r="V192">
        <v>0.54227407000000005</v>
      </c>
      <c r="W192">
        <v>-0.82163945000000005</v>
      </c>
      <c r="Z192">
        <v>2.5322760720000002</v>
      </c>
      <c r="AA192">
        <v>-0.18225076300000001</v>
      </c>
      <c r="AC192">
        <v>0.93894745300000004</v>
      </c>
      <c r="AD192">
        <v>-0.39557184099999998</v>
      </c>
      <c r="AE192">
        <v>3.930438208</v>
      </c>
      <c r="AF192">
        <v>0.383915746</v>
      </c>
      <c r="AH192">
        <v>1.1540625090000001</v>
      </c>
      <c r="AI192">
        <v>0.94689765800000003</v>
      </c>
      <c r="AJ192">
        <v>3.9520079560000001</v>
      </c>
      <c r="AK192">
        <v>1.3288612040000001</v>
      </c>
      <c r="AL192">
        <v>0.96558303000000001</v>
      </c>
      <c r="AN192">
        <v>1.201951322</v>
      </c>
      <c r="AP192">
        <v>1.4163547649999999</v>
      </c>
      <c r="AR192">
        <v>1.5129430850000001</v>
      </c>
      <c r="AT192">
        <v>1.145518265</v>
      </c>
      <c r="AU192">
        <v>1.858295375</v>
      </c>
    </row>
    <row r="193" spans="1:47" x14ac:dyDescent="0.2">
      <c r="A193" t="s">
        <v>257</v>
      </c>
      <c r="B193" s="74">
        <v>34790</v>
      </c>
      <c r="C193">
        <v>-1.543121762</v>
      </c>
      <c r="D193">
        <v>3.9870547999999999E-2</v>
      </c>
      <c r="E193">
        <v>0.83618019099999996</v>
      </c>
      <c r="F193">
        <v>-5.5348256999999998E-2</v>
      </c>
      <c r="H193">
        <v>0.92948742500000003</v>
      </c>
      <c r="I193">
        <v>-0.40002790799999999</v>
      </c>
      <c r="L193">
        <v>1.7080415879999999</v>
      </c>
      <c r="M193">
        <v>-0.33240942200000001</v>
      </c>
      <c r="N193">
        <v>0.51421894800000001</v>
      </c>
      <c r="P193">
        <v>1.1420354989999999</v>
      </c>
      <c r="S193">
        <v>-0.82644628099999995</v>
      </c>
      <c r="T193">
        <v>0.36795443900000002</v>
      </c>
      <c r="U193">
        <v>0.50256800000000001</v>
      </c>
      <c r="V193">
        <v>0.36856514899999998</v>
      </c>
      <c r="W193">
        <v>-4.0633383000000002E-2</v>
      </c>
      <c r="Z193">
        <v>6.3858220489999997</v>
      </c>
      <c r="AA193">
        <v>-3.0044507340000002</v>
      </c>
      <c r="AC193">
        <v>1.2555749380000001</v>
      </c>
      <c r="AD193">
        <v>1.105599649</v>
      </c>
      <c r="AE193">
        <v>2.0904894180000002</v>
      </c>
      <c r="AF193">
        <v>1.175591279</v>
      </c>
      <c r="AH193">
        <v>-5.7375888240000004</v>
      </c>
      <c r="AI193">
        <v>0.68030274700000004</v>
      </c>
      <c r="AJ193">
        <v>-0.78115906199999996</v>
      </c>
      <c r="AK193">
        <v>1.2137070080000001</v>
      </c>
      <c r="AL193">
        <v>0.37354401700000001</v>
      </c>
      <c r="AN193">
        <v>0.17483652899999999</v>
      </c>
      <c r="AP193">
        <v>1.5161193070000001</v>
      </c>
      <c r="AR193">
        <v>1.268025892</v>
      </c>
      <c r="AT193">
        <v>0.35469547000000001</v>
      </c>
      <c r="AU193">
        <v>0.24994674</v>
      </c>
    </row>
    <row r="194" spans="1:47" x14ac:dyDescent="0.2">
      <c r="A194" t="s">
        <v>258</v>
      </c>
      <c r="B194" s="74">
        <v>34881</v>
      </c>
      <c r="C194">
        <v>-3.790303996</v>
      </c>
      <c r="D194">
        <v>0.40193846300000002</v>
      </c>
      <c r="E194">
        <v>0.42404422600000002</v>
      </c>
      <c r="F194">
        <v>0.42061727999999998</v>
      </c>
      <c r="H194">
        <v>4.0377508999999999E-2</v>
      </c>
      <c r="I194">
        <v>8.1265510999999999E-2</v>
      </c>
      <c r="J194">
        <v>2.757814856</v>
      </c>
      <c r="L194">
        <v>0.395624855</v>
      </c>
      <c r="M194">
        <v>0.73250322899999998</v>
      </c>
      <c r="N194">
        <v>-0.28609833200000001</v>
      </c>
      <c r="O194">
        <v>0.58728499999999995</v>
      </c>
      <c r="P194">
        <v>0.62025722900000002</v>
      </c>
      <c r="Q194">
        <v>-0.98834626000000003</v>
      </c>
      <c r="R194">
        <v>1.109926</v>
      </c>
      <c r="S194">
        <v>2.686170213</v>
      </c>
      <c r="T194">
        <v>0.62002154799999998</v>
      </c>
      <c r="U194">
        <v>0.45681300000000002</v>
      </c>
      <c r="V194">
        <v>0.36311861000000001</v>
      </c>
      <c r="W194">
        <v>0.94753337699999995</v>
      </c>
      <c r="X194">
        <v>-0.23161615399999999</v>
      </c>
      <c r="Z194">
        <v>0.693096661</v>
      </c>
      <c r="AA194">
        <v>2.721451777</v>
      </c>
      <c r="AB194">
        <v>2.433780552</v>
      </c>
      <c r="AC194">
        <v>7.0151350000000001E-2</v>
      </c>
      <c r="AD194">
        <v>0.92083173900000004</v>
      </c>
      <c r="AE194">
        <v>2.0218245910000001</v>
      </c>
      <c r="AF194">
        <v>1.049264784</v>
      </c>
      <c r="AG194">
        <v>0.56758760200000002</v>
      </c>
      <c r="AH194">
        <v>-4.8942154450000004</v>
      </c>
      <c r="AI194">
        <v>0.78455015500000003</v>
      </c>
      <c r="AJ194">
        <v>0.872547564</v>
      </c>
      <c r="AK194">
        <v>1.2770198719999999</v>
      </c>
      <c r="AL194">
        <v>0.37135601699999998</v>
      </c>
      <c r="AM194">
        <v>1.807767592</v>
      </c>
      <c r="AN194">
        <v>1.1791211070000001</v>
      </c>
      <c r="AP194">
        <v>1.6652400199999999</v>
      </c>
      <c r="AQ194">
        <v>0.21482011300000001</v>
      </c>
      <c r="AR194">
        <v>0.47307634999999998</v>
      </c>
      <c r="AT194">
        <v>0.29830569899999998</v>
      </c>
      <c r="AU194">
        <v>0.28748407500000001</v>
      </c>
    </row>
    <row r="195" spans="1:47" x14ac:dyDescent="0.2">
      <c r="A195" t="s">
        <v>259</v>
      </c>
      <c r="B195" s="74">
        <v>34973</v>
      </c>
      <c r="C195">
        <v>-0.38629951299999998</v>
      </c>
      <c r="D195">
        <v>2.256286818</v>
      </c>
      <c r="E195">
        <v>0.22681268900000001</v>
      </c>
      <c r="F195">
        <v>0.59956573499999999</v>
      </c>
      <c r="H195">
        <v>0.13178483299999999</v>
      </c>
      <c r="I195">
        <v>0.51147152699999998</v>
      </c>
      <c r="J195">
        <v>0.48926067099999998</v>
      </c>
      <c r="L195">
        <v>2.919067488</v>
      </c>
      <c r="M195">
        <v>0.194780866</v>
      </c>
      <c r="N195">
        <v>0.41705150000000002</v>
      </c>
      <c r="O195">
        <v>0.23694799999999999</v>
      </c>
      <c r="P195">
        <v>0.40367732699999997</v>
      </c>
      <c r="Q195">
        <v>-0.33768699000000002</v>
      </c>
      <c r="R195">
        <v>0.41016000000000002</v>
      </c>
      <c r="S195">
        <v>-0.45181156300000003</v>
      </c>
      <c r="T195">
        <v>0.157605151</v>
      </c>
      <c r="U195">
        <v>0.73628400000000005</v>
      </c>
      <c r="V195">
        <v>0.98374791399999995</v>
      </c>
      <c r="W195">
        <v>0.537860114</v>
      </c>
      <c r="X195">
        <v>-1.994889E-2</v>
      </c>
      <c r="Z195">
        <v>1.0803548999999999</v>
      </c>
      <c r="AA195">
        <v>-1.114206821</v>
      </c>
      <c r="AB195">
        <v>1.2404072880000001</v>
      </c>
      <c r="AC195">
        <v>0.44480592800000002</v>
      </c>
      <c r="AD195">
        <v>1.190638477</v>
      </c>
      <c r="AE195">
        <v>2.0758731149999998</v>
      </c>
      <c r="AF195">
        <v>1.0396086950000001</v>
      </c>
      <c r="AG195">
        <v>-1.05170308</v>
      </c>
      <c r="AH195">
        <v>1.8885936889999999</v>
      </c>
      <c r="AI195">
        <v>0.78569619400000001</v>
      </c>
      <c r="AJ195">
        <v>2.356398183</v>
      </c>
      <c r="AK195">
        <v>0.92262270899999999</v>
      </c>
      <c r="AL195">
        <v>0.85703270799999998</v>
      </c>
      <c r="AM195">
        <v>3.5603754169999999</v>
      </c>
      <c r="AN195">
        <v>0.43383271699999998</v>
      </c>
      <c r="AP195">
        <v>0.58444944899999995</v>
      </c>
      <c r="AQ195">
        <v>0.197830858</v>
      </c>
      <c r="AR195">
        <v>0.50527799799999995</v>
      </c>
      <c r="AT195">
        <v>0.85066486799999996</v>
      </c>
      <c r="AU195">
        <v>0.66346294900000002</v>
      </c>
    </row>
    <row r="196" spans="1:47" x14ac:dyDescent="0.2">
      <c r="A196" t="s">
        <v>260</v>
      </c>
      <c r="B196" s="74">
        <v>35065</v>
      </c>
      <c r="C196">
        <v>0.76678466499999998</v>
      </c>
      <c r="D196">
        <v>-2.6017147000000001E-2</v>
      </c>
      <c r="E196">
        <v>0.34477217599999999</v>
      </c>
      <c r="F196">
        <v>0.20609081900000001</v>
      </c>
      <c r="H196">
        <v>0.40981295899999998</v>
      </c>
      <c r="I196">
        <v>2.3843650000000001E-2</v>
      </c>
      <c r="J196">
        <v>1.839741522</v>
      </c>
      <c r="L196">
        <v>-0.77060441800000001</v>
      </c>
      <c r="M196">
        <v>2.5917782E-2</v>
      </c>
      <c r="N196">
        <v>0.73168733399999997</v>
      </c>
      <c r="O196">
        <v>0.321351</v>
      </c>
      <c r="P196">
        <v>0.76005553999999997</v>
      </c>
      <c r="Q196">
        <v>1.1699991860000001</v>
      </c>
      <c r="R196">
        <v>0.51677099999999998</v>
      </c>
      <c r="S196">
        <v>4.9144311000000003E-2</v>
      </c>
      <c r="T196">
        <v>3.0263905000000001E-2</v>
      </c>
      <c r="U196">
        <v>0.44877600000000001</v>
      </c>
      <c r="V196">
        <v>0.231353272</v>
      </c>
      <c r="W196">
        <v>0.57916797399999997</v>
      </c>
      <c r="X196">
        <v>-0.41475271200000002</v>
      </c>
      <c r="Z196">
        <v>0.176288946</v>
      </c>
      <c r="AA196">
        <v>9.2391406999999995E-2</v>
      </c>
      <c r="AB196">
        <v>0.88199602700000002</v>
      </c>
      <c r="AC196">
        <v>0.82815289800000003</v>
      </c>
      <c r="AD196">
        <v>0.24924801099999999</v>
      </c>
      <c r="AE196">
        <v>1.8705523159999999</v>
      </c>
      <c r="AF196">
        <v>1.070725294</v>
      </c>
      <c r="AG196">
        <v>0.14144082699999999</v>
      </c>
      <c r="AH196">
        <v>1.909567212</v>
      </c>
      <c r="AI196">
        <v>0.71237600300000004</v>
      </c>
      <c r="AJ196">
        <v>1.2337196589999999</v>
      </c>
      <c r="AK196">
        <v>0.67040468099999995</v>
      </c>
      <c r="AL196">
        <v>0.55193394100000004</v>
      </c>
      <c r="AM196">
        <v>-0.14773070899999999</v>
      </c>
      <c r="AN196">
        <v>0.67752244100000003</v>
      </c>
      <c r="AP196">
        <v>1.9027316439999999</v>
      </c>
      <c r="AQ196">
        <v>0.22835513800000001</v>
      </c>
      <c r="AR196">
        <v>0.996268394</v>
      </c>
      <c r="AT196">
        <v>0.67903653600000002</v>
      </c>
      <c r="AU196">
        <v>0.33636665500000001</v>
      </c>
    </row>
    <row r="197" spans="1:47" x14ac:dyDescent="0.2">
      <c r="A197" t="s">
        <v>261</v>
      </c>
      <c r="B197" s="74">
        <v>35156</v>
      </c>
      <c r="C197">
        <v>2.7496599580000001</v>
      </c>
      <c r="D197">
        <v>1.6436375649999999</v>
      </c>
      <c r="E197">
        <v>0.67693089900000003</v>
      </c>
      <c r="F197">
        <v>-0.20149803399999999</v>
      </c>
      <c r="H197">
        <v>6.880559E-2</v>
      </c>
      <c r="I197">
        <v>0.55607652200000002</v>
      </c>
      <c r="J197">
        <v>3.0792518950000001</v>
      </c>
      <c r="L197">
        <v>2.390120762</v>
      </c>
      <c r="M197">
        <v>-0.82925859099999999</v>
      </c>
      <c r="N197">
        <v>1.5030293E-2</v>
      </c>
      <c r="O197">
        <v>0.209401</v>
      </c>
      <c r="P197">
        <v>0.59106103200000004</v>
      </c>
      <c r="Q197">
        <v>0.89931139999999998</v>
      </c>
      <c r="R197">
        <v>9.1970000000000003E-3</v>
      </c>
      <c r="S197">
        <v>1.80299922</v>
      </c>
      <c r="T197">
        <v>0.68659085799999997</v>
      </c>
      <c r="U197">
        <v>0.49709900000000001</v>
      </c>
      <c r="V197">
        <v>0.55431160000000002</v>
      </c>
      <c r="W197">
        <v>0.542957052</v>
      </c>
      <c r="X197">
        <v>0.67163978999999996</v>
      </c>
      <c r="Z197">
        <v>5.8030503040000001</v>
      </c>
      <c r="AA197">
        <v>4.6069836390000001</v>
      </c>
      <c r="AB197">
        <v>1.686201474</v>
      </c>
      <c r="AC197">
        <v>0.220015719</v>
      </c>
      <c r="AD197">
        <v>0.81301111599999998</v>
      </c>
      <c r="AE197">
        <v>1.9081351989999999</v>
      </c>
      <c r="AF197">
        <v>1.1867050889999999</v>
      </c>
      <c r="AG197">
        <v>-8.8838785000000003E-2</v>
      </c>
      <c r="AH197">
        <v>2.7090134730000002</v>
      </c>
      <c r="AI197">
        <v>0.41082790899999999</v>
      </c>
      <c r="AJ197">
        <v>1.5103340030000001</v>
      </c>
      <c r="AK197">
        <v>1.4045283930000001</v>
      </c>
      <c r="AL197">
        <v>0.73156770500000001</v>
      </c>
      <c r="AM197">
        <v>2.9581256260000002</v>
      </c>
      <c r="AN197">
        <v>0.78990095000000005</v>
      </c>
      <c r="AP197">
        <v>1.689954451</v>
      </c>
      <c r="AQ197">
        <v>0.666078956</v>
      </c>
      <c r="AR197">
        <v>0.66911198900000002</v>
      </c>
      <c r="AT197">
        <v>0.74897132899999996</v>
      </c>
      <c r="AU197">
        <v>1.8524983070000001</v>
      </c>
    </row>
    <row r="198" spans="1:47" x14ac:dyDescent="0.2">
      <c r="A198" t="s">
        <v>262</v>
      </c>
      <c r="B198" s="74">
        <v>35247</v>
      </c>
      <c r="C198">
        <v>2.2287660229999999</v>
      </c>
      <c r="D198">
        <v>0.68640678799999999</v>
      </c>
      <c r="E198">
        <v>0.89094172800000004</v>
      </c>
      <c r="F198">
        <v>0.70179347199999997</v>
      </c>
      <c r="G198">
        <v>0.89439772399999995</v>
      </c>
      <c r="H198">
        <v>0.69629274799999996</v>
      </c>
      <c r="I198">
        <v>-0.38683347499999998</v>
      </c>
      <c r="J198">
        <v>0.994936771</v>
      </c>
      <c r="L198">
        <v>0.66402883099999999</v>
      </c>
      <c r="M198">
        <v>1.3587698989999999</v>
      </c>
      <c r="N198">
        <v>2.708013266</v>
      </c>
      <c r="O198">
        <v>0.69462999999999997</v>
      </c>
      <c r="P198">
        <v>0.73833626799999996</v>
      </c>
      <c r="Q198">
        <v>1.702644201</v>
      </c>
      <c r="R198">
        <v>0.71091599999999999</v>
      </c>
      <c r="S198">
        <v>0.78903300899999995</v>
      </c>
      <c r="T198">
        <v>0.11123942000000001</v>
      </c>
      <c r="U198">
        <v>1.172674</v>
      </c>
      <c r="V198">
        <v>0.21065647000000001</v>
      </c>
      <c r="W198">
        <v>0.57388104200000001</v>
      </c>
      <c r="X198">
        <v>-0.64389155099999995</v>
      </c>
      <c r="Z198">
        <v>1.1192487499999999</v>
      </c>
      <c r="AA198">
        <v>0.33778459</v>
      </c>
      <c r="AB198">
        <v>1.3873413020000001</v>
      </c>
      <c r="AC198">
        <v>-0.105363425</v>
      </c>
      <c r="AD198">
        <v>1.2581899679999999</v>
      </c>
      <c r="AE198">
        <v>2.020152462</v>
      </c>
      <c r="AF198">
        <v>-7.017608955</v>
      </c>
      <c r="AG198">
        <v>-7.3370694E-2</v>
      </c>
      <c r="AH198">
        <v>1.3025193850000001</v>
      </c>
      <c r="AI198">
        <v>1.1149671569999999</v>
      </c>
      <c r="AJ198">
        <v>-0.13700357799999999</v>
      </c>
      <c r="AK198">
        <v>0.88955223900000002</v>
      </c>
      <c r="AL198">
        <v>1.1317310540000001</v>
      </c>
      <c r="AM198">
        <v>2.194499183</v>
      </c>
      <c r="AN198">
        <v>1.1994918969999999</v>
      </c>
      <c r="AP198">
        <v>1.1811873319999999</v>
      </c>
      <c r="AQ198">
        <v>1.1575169000000001</v>
      </c>
      <c r="AR198">
        <v>-0.80383004499999999</v>
      </c>
      <c r="AT198">
        <v>1.667883947</v>
      </c>
      <c r="AU198">
        <v>1.19135893</v>
      </c>
    </row>
    <row r="199" spans="1:47" x14ac:dyDescent="0.2">
      <c r="A199" t="s">
        <v>263</v>
      </c>
      <c r="B199" s="74">
        <v>35339</v>
      </c>
      <c r="C199">
        <v>2.2966779590000002</v>
      </c>
      <c r="D199">
        <v>0.77415813300000003</v>
      </c>
      <c r="E199">
        <v>0.31047806300000003</v>
      </c>
      <c r="F199">
        <v>0.46045353999999999</v>
      </c>
      <c r="G199">
        <v>3.9163984589999998</v>
      </c>
      <c r="H199">
        <v>0.86397327899999998</v>
      </c>
      <c r="I199">
        <v>-0.290318721</v>
      </c>
      <c r="J199">
        <v>0.99691423899999998</v>
      </c>
      <c r="L199">
        <v>0.52237910399999998</v>
      </c>
      <c r="M199">
        <v>0.36092385399999999</v>
      </c>
      <c r="N199">
        <v>0.28281910700000001</v>
      </c>
      <c r="O199">
        <v>0.52449699999999999</v>
      </c>
      <c r="P199">
        <v>0.85689943300000004</v>
      </c>
      <c r="Q199">
        <v>3.180536596</v>
      </c>
      <c r="R199">
        <v>0.50943300000000002</v>
      </c>
      <c r="S199">
        <v>0.58010194000000004</v>
      </c>
      <c r="T199">
        <v>0.53473390200000004</v>
      </c>
      <c r="U199">
        <v>0.63381699999999996</v>
      </c>
      <c r="V199">
        <v>1.102764766</v>
      </c>
      <c r="W199">
        <v>1.360099317</v>
      </c>
      <c r="X199">
        <v>-0.16629945700000001</v>
      </c>
      <c r="Y199">
        <v>0.48898000000000003</v>
      </c>
      <c r="Z199">
        <v>-1.3221950099999999</v>
      </c>
      <c r="AA199">
        <v>-2.0632478590000001</v>
      </c>
      <c r="AB199">
        <v>1.2212624889999999</v>
      </c>
      <c r="AC199">
        <v>0.148144048</v>
      </c>
      <c r="AD199">
        <v>0.13744098599999999</v>
      </c>
      <c r="AE199">
        <v>1.758931416</v>
      </c>
      <c r="AF199">
        <v>7.7576161450000001</v>
      </c>
      <c r="AG199">
        <v>3.4822160210000002</v>
      </c>
      <c r="AH199">
        <v>1.682014144</v>
      </c>
      <c r="AI199">
        <v>1.4000731120000001</v>
      </c>
      <c r="AJ199">
        <v>3.332387583</v>
      </c>
      <c r="AK199">
        <v>0.65684359999999997</v>
      </c>
      <c r="AL199">
        <v>0.73653469100000002</v>
      </c>
      <c r="AM199">
        <v>0.87001016600000003</v>
      </c>
      <c r="AN199">
        <v>1.3568094740000001</v>
      </c>
      <c r="AP199">
        <v>2.5022295489999999</v>
      </c>
      <c r="AQ199">
        <v>1.3016125970000001</v>
      </c>
      <c r="AR199">
        <v>0.483709216</v>
      </c>
      <c r="AT199">
        <v>0.89701093600000004</v>
      </c>
      <c r="AU199">
        <v>1.191484164</v>
      </c>
    </row>
    <row r="200" spans="1:47" x14ac:dyDescent="0.2">
      <c r="A200" t="s">
        <v>264</v>
      </c>
      <c r="B200" s="74">
        <v>35431</v>
      </c>
      <c r="C200">
        <v>1.8222659830000001</v>
      </c>
      <c r="D200">
        <v>0.92401600500000003</v>
      </c>
      <c r="E200">
        <v>0.166845567</v>
      </c>
      <c r="F200">
        <v>0.78868044000000004</v>
      </c>
      <c r="G200">
        <v>-1.026888271</v>
      </c>
      <c r="H200">
        <v>0.80536635999999995</v>
      </c>
      <c r="I200">
        <v>0.59447457400000003</v>
      </c>
      <c r="J200">
        <v>1.4332506970000001</v>
      </c>
      <c r="L200">
        <v>3.648651E-2</v>
      </c>
      <c r="M200">
        <v>0.73207546999999995</v>
      </c>
      <c r="N200">
        <v>3.4009023999999999E-2</v>
      </c>
      <c r="O200">
        <v>0.46073199999999997</v>
      </c>
      <c r="P200">
        <v>0.53338098599999995</v>
      </c>
      <c r="Q200">
        <v>2.0320426089999999</v>
      </c>
      <c r="R200">
        <v>0.37549700000000003</v>
      </c>
      <c r="S200">
        <v>1.8730576480000001</v>
      </c>
      <c r="T200">
        <v>0.240039435</v>
      </c>
      <c r="U200">
        <v>0.88935200000000003</v>
      </c>
      <c r="V200">
        <v>1.542455669</v>
      </c>
      <c r="W200">
        <v>1.0594108179999999</v>
      </c>
      <c r="X200">
        <v>1.259990824</v>
      </c>
      <c r="Y200">
        <v>1.5855699999999999</v>
      </c>
      <c r="Z200">
        <v>0.698543688</v>
      </c>
      <c r="AA200">
        <v>2.3127915360000002</v>
      </c>
      <c r="AB200">
        <v>1.5943959270000001</v>
      </c>
      <c r="AC200">
        <v>-0.30440266700000002</v>
      </c>
      <c r="AD200">
        <v>1.125135292</v>
      </c>
      <c r="AE200">
        <v>1.6915792140000001</v>
      </c>
      <c r="AF200">
        <v>1.3479404450000001</v>
      </c>
      <c r="AG200">
        <v>5.1866391969999999</v>
      </c>
      <c r="AH200">
        <v>3.0164569769999998</v>
      </c>
      <c r="AI200">
        <v>0.71094114600000002</v>
      </c>
      <c r="AJ200">
        <v>-1.6042565870000001</v>
      </c>
      <c r="AK200">
        <v>1.3080540860000001</v>
      </c>
      <c r="AL200">
        <v>0.97992657900000002</v>
      </c>
      <c r="AM200">
        <v>-4.0578575079999997</v>
      </c>
      <c r="AN200">
        <v>0.282339693</v>
      </c>
      <c r="AP200">
        <v>1.96747947</v>
      </c>
      <c r="AQ200">
        <v>1.74219473</v>
      </c>
      <c r="AR200">
        <v>0.66027854100000005</v>
      </c>
      <c r="AT200">
        <v>1.038397649</v>
      </c>
      <c r="AU200">
        <v>0.93817146600000001</v>
      </c>
    </row>
    <row r="201" spans="1:47" x14ac:dyDescent="0.2">
      <c r="A201" t="s">
        <v>265</v>
      </c>
      <c r="B201" s="74">
        <v>35521</v>
      </c>
      <c r="C201">
        <v>2.1002052839999998</v>
      </c>
      <c r="D201">
        <v>0.62108596800000004</v>
      </c>
      <c r="E201">
        <v>0.56538970799999999</v>
      </c>
      <c r="F201">
        <v>1.002376205</v>
      </c>
      <c r="G201">
        <v>0.98126963499999997</v>
      </c>
      <c r="H201">
        <v>1.3191744510000001</v>
      </c>
      <c r="I201">
        <v>0.84050278499999997</v>
      </c>
      <c r="J201">
        <v>2.2677075790000001</v>
      </c>
      <c r="L201">
        <v>-0.45135587799999999</v>
      </c>
      <c r="M201">
        <v>-0.53556139300000005</v>
      </c>
      <c r="N201">
        <v>1.2551062850000001</v>
      </c>
      <c r="O201">
        <v>0.264208</v>
      </c>
      <c r="P201">
        <v>1.0153186540000001</v>
      </c>
      <c r="Q201">
        <v>3.6257223980000002</v>
      </c>
      <c r="R201">
        <v>0.41183799999999998</v>
      </c>
      <c r="S201">
        <v>1.1790248999999999</v>
      </c>
      <c r="T201">
        <v>0.32374463799999997</v>
      </c>
      <c r="U201">
        <v>0.51078199999999996</v>
      </c>
      <c r="V201">
        <v>1.7933402140000001</v>
      </c>
      <c r="W201">
        <v>0.57090113099999995</v>
      </c>
      <c r="X201">
        <v>1.0270823819999999</v>
      </c>
      <c r="Y201">
        <v>0.75236000000000003</v>
      </c>
      <c r="Z201">
        <v>6.6008188329999999</v>
      </c>
      <c r="AA201">
        <v>4.414953262</v>
      </c>
      <c r="AB201">
        <v>1.099180974</v>
      </c>
      <c r="AC201">
        <v>0.335582871</v>
      </c>
      <c r="AD201">
        <v>0.25441692300000002</v>
      </c>
      <c r="AE201">
        <v>0.46806386999999999</v>
      </c>
      <c r="AF201">
        <v>0.63123884100000005</v>
      </c>
      <c r="AG201">
        <v>-0.84103368899999997</v>
      </c>
      <c r="AH201">
        <v>0.183030891</v>
      </c>
      <c r="AI201">
        <v>1.0909732759999999</v>
      </c>
      <c r="AJ201">
        <v>2.6850251150000002</v>
      </c>
      <c r="AK201">
        <v>-0.37719425499999998</v>
      </c>
      <c r="AL201">
        <v>0.62545290399999998</v>
      </c>
      <c r="AM201">
        <v>7.2097144139999996</v>
      </c>
      <c r="AN201">
        <v>1.644745127</v>
      </c>
      <c r="AP201">
        <v>0.99097159000000001</v>
      </c>
      <c r="AQ201">
        <v>0.52696576799999995</v>
      </c>
      <c r="AR201">
        <v>0.90441643000000005</v>
      </c>
      <c r="AT201">
        <v>0.64556077700000003</v>
      </c>
      <c r="AU201">
        <v>0.46421678</v>
      </c>
    </row>
    <row r="202" spans="1:47" x14ac:dyDescent="0.2">
      <c r="A202" t="s">
        <v>266</v>
      </c>
      <c r="B202" s="74">
        <v>35612</v>
      </c>
      <c r="C202">
        <v>1.4875138809999999</v>
      </c>
      <c r="D202">
        <v>2.973065713</v>
      </c>
      <c r="E202">
        <v>0.29856756699999998</v>
      </c>
      <c r="F202">
        <v>1.546782044</v>
      </c>
      <c r="G202">
        <v>0.67213603499999997</v>
      </c>
      <c r="H202">
        <v>1.1296315130000001</v>
      </c>
      <c r="I202">
        <v>0.50984016499999996</v>
      </c>
      <c r="J202">
        <v>2.0812338549999998</v>
      </c>
      <c r="L202">
        <v>-0.226835869</v>
      </c>
      <c r="M202">
        <v>1.294704697</v>
      </c>
      <c r="N202">
        <v>1.7174871949999999</v>
      </c>
      <c r="O202">
        <v>1.2062120000000001</v>
      </c>
      <c r="P202">
        <v>0.90700166900000001</v>
      </c>
      <c r="Q202">
        <v>4.2028309640000003</v>
      </c>
      <c r="R202">
        <v>1.193028</v>
      </c>
      <c r="S202">
        <v>1.5184028249999999</v>
      </c>
      <c r="T202">
        <v>0.99766363499999999</v>
      </c>
      <c r="U202">
        <v>1.0407459999999999</v>
      </c>
      <c r="V202">
        <v>0.84506965300000003</v>
      </c>
      <c r="W202">
        <v>1.714354301</v>
      </c>
      <c r="X202">
        <v>1.0201519290000001</v>
      </c>
      <c r="Y202">
        <v>0.40984999999999999</v>
      </c>
      <c r="Z202">
        <v>3.7529112960000002</v>
      </c>
      <c r="AA202">
        <v>0.60046170700000001</v>
      </c>
      <c r="AB202">
        <v>0.58849035000000005</v>
      </c>
      <c r="AC202">
        <v>1.327081722</v>
      </c>
      <c r="AD202">
        <v>-0.764503457</v>
      </c>
      <c r="AE202">
        <v>3.5505527730000002</v>
      </c>
      <c r="AF202">
        <v>1.2107655390000001</v>
      </c>
      <c r="AG202">
        <v>4.2240124259999998</v>
      </c>
      <c r="AH202">
        <v>2.2927098780000001</v>
      </c>
      <c r="AI202">
        <v>1.041229521</v>
      </c>
      <c r="AJ202">
        <v>2.4121600569999999</v>
      </c>
      <c r="AK202">
        <v>1.960099024</v>
      </c>
      <c r="AL202">
        <v>1.2678020539999999</v>
      </c>
      <c r="AM202">
        <v>1.3724466550000001</v>
      </c>
      <c r="AN202">
        <v>0.90861801399999997</v>
      </c>
      <c r="AP202">
        <v>1.485824576</v>
      </c>
      <c r="AQ202">
        <v>2.2766184759999999</v>
      </c>
      <c r="AR202">
        <v>1.1783307110000001</v>
      </c>
      <c r="AT202">
        <v>1.661978105</v>
      </c>
      <c r="AU202">
        <v>0.62741087299999998</v>
      </c>
    </row>
    <row r="203" spans="1:47" x14ac:dyDescent="0.2">
      <c r="A203" t="s">
        <v>267</v>
      </c>
      <c r="B203" s="74">
        <v>35704</v>
      </c>
      <c r="C203">
        <v>2.5172173440000001</v>
      </c>
      <c r="D203">
        <v>0.141335448</v>
      </c>
      <c r="E203">
        <v>1.2468205539999999</v>
      </c>
      <c r="F203">
        <v>0.88144439699999999</v>
      </c>
      <c r="G203">
        <v>1.2497078639999999</v>
      </c>
      <c r="H203">
        <v>1.1834338419999999</v>
      </c>
      <c r="I203">
        <v>1.2260002699999999</v>
      </c>
      <c r="J203">
        <v>2.2589836050000001</v>
      </c>
      <c r="L203">
        <v>-0.58160963300000001</v>
      </c>
      <c r="M203">
        <v>0.34168294199999999</v>
      </c>
      <c r="N203">
        <v>-0.28229916399999999</v>
      </c>
      <c r="O203">
        <v>0.82482</v>
      </c>
      <c r="P203">
        <v>1.18948225</v>
      </c>
      <c r="Q203">
        <v>2.6933091390000001</v>
      </c>
      <c r="R203">
        <v>0.75566199999999994</v>
      </c>
      <c r="S203">
        <v>2.3572537059999998</v>
      </c>
      <c r="T203">
        <v>1.012320434</v>
      </c>
      <c r="U203">
        <v>0.86646599999999996</v>
      </c>
      <c r="V203">
        <v>0.67998449800000005</v>
      </c>
      <c r="W203">
        <v>1.595103859</v>
      </c>
      <c r="X203">
        <v>0.88612461399999998</v>
      </c>
      <c r="Y203">
        <v>1.1928300000000001</v>
      </c>
      <c r="Z203">
        <v>1.089718655</v>
      </c>
      <c r="AA203">
        <v>-1.247558344</v>
      </c>
      <c r="AB203">
        <v>-3.7633400999999997E-2</v>
      </c>
      <c r="AC203">
        <v>0.67142846</v>
      </c>
      <c r="AD203">
        <v>0.20717760499999999</v>
      </c>
      <c r="AE203">
        <v>0.79174437600000003</v>
      </c>
      <c r="AF203">
        <v>1.135210979</v>
      </c>
      <c r="AG203">
        <v>1.7652491400000001</v>
      </c>
      <c r="AH203">
        <v>1.902075239</v>
      </c>
      <c r="AI203">
        <v>1.45275968</v>
      </c>
      <c r="AJ203">
        <v>-0.107436238</v>
      </c>
      <c r="AK203">
        <v>-0.245658135</v>
      </c>
      <c r="AL203">
        <v>0.91546049600000001</v>
      </c>
      <c r="AM203">
        <v>-0.25796960299999999</v>
      </c>
      <c r="AN203">
        <v>1.3009623269999999</v>
      </c>
      <c r="AP203">
        <v>1.658920741</v>
      </c>
      <c r="AQ203">
        <v>0.87997306500000005</v>
      </c>
      <c r="AR203">
        <v>0.78238553499999997</v>
      </c>
      <c r="AT203">
        <v>1.2507785730000001</v>
      </c>
      <c r="AU203">
        <v>9.9423794999999995E-2</v>
      </c>
    </row>
    <row r="204" spans="1:47" x14ac:dyDescent="0.2">
      <c r="A204" t="s">
        <v>268</v>
      </c>
      <c r="B204" s="74">
        <v>35796</v>
      </c>
      <c r="C204">
        <v>1.3514575719999999</v>
      </c>
      <c r="D204">
        <v>1.446165615</v>
      </c>
      <c r="E204">
        <v>1.0594215119999999</v>
      </c>
      <c r="F204">
        <v>0.55697806400000005</v>
      </c>
      <c r="G204">
        <v>0.77529104400000004</v>
      </c>
      <c r="H204">
        <v>0.96832222199999995</v>
      </c>
      <c r="I204">
        <v>0.69911789800000002</v>
      </c>
      <c r="J204">
        <v>2.128630587</v>
      </c>
      <c r="L204">
        <v>-0.30988803599999998</v>
      </c>
      <c r="M204">
        <v>0.71887790299999998</v>
      </c>
      <c r="N204">
        <v>-1.3656432E-2</v>
      </c>
      <c r="O204">
        <v>1.1091610000000001</v>
      </c>
      <c r="P204">
        <v>1.3791626850000001</v>
      </c>
      <c r="Q204">
        <v>3.1319201419999998</v>
      </c>
      <c r="R204">
        <v>1.1025229999999999</v>
      </c>
      <c r="S204">
        <v>2.9460201279999998</v>
      </c>
      <c r="T204">
        <v>1.0186441319999999</v>
      </c>
      <c r="U204">
        <v>0.81030800000000003</v>
      </c>
      <c r="V204">
        <v>1.197077698</v>
      </c>
      <c r="W204">
        <v>0.95343378199999995</v>
      </c>
      <c r="X204">
        <v>0.84174820500000003</v>
      </c>
      <c r="Y204">
        <v>1.6008599999999999</v>
      </c>
      <c r="Z204">
        <v>1.0547856980000001</v>
      </c>
      <c r="AA204">
        <v>2.886175782</v>
      </c>
      <c r="AB204">
        <v>1.7847353349999999</v>
      </c>
      <c r="AC204">
        <v>1.780133338</v>
      </c>
      <c r="AD204">
        <v>4.2201001000000002E-2</v>
      </c>
      <c r="AE204">
        <v>-0.45599433099999997</v>
      </c>
      <c r="AF204">
        <v>1.1201756650000001</v>
      </c>
      <c r="AG204">
        <v>0.30095065599999998</v>
      </c>
      <c r="AH204">
        <v>2.4792126799999998</v>
      </c>
      <c r="AI204">
        <v>1.282980368</v>
      </c>
      <c r="AJ204">
        <v>1.412751042</v>
      </c>
      <c r="AK204">
        <v>-0.19471966099999999</v>
      </c>
      <c r="AL204">
        <v>0.92575872699999995</v>
      </c>
      <c r="AM204">
        <v>1.6760755759999999</v>
      </c>
      <c r="AN204">
        <v>0.67232428600000005</v>
      </c>
      <c r="AP204">
        <v>-0.52709608299999999</v>
      </c>
      <c r="AQ204">
        <v>0.37994766000000002</v>
      </c>
      <c r="AR204">
        <v>2.0063105970000001</v>
      </c>
      <c r="AT204">
        <v>0.85874356299999999</v>
      </c>
      <c r="AU204">
        <v>1.3815328999999999E-2</v>
      </c>
    </row>
    <row r="205" spans="1:47" x14ac:dyDescent="0.2">
      <c r="A205" t="s">
        <v>269</v>
      </c>
      <c r="B205" s="74">
        <v>35886</v>
      </c>
      <c r="C205">
        <v>0.51742156399999994</v>
      </c>
      <c r="D205">
        <v>0.67337528400000002</v>
      </c>
      <c r="E205">
        <v>0.76108437299999998</v>
      </c>
      <c r="F205">
        <v>0.25988344600000002</v>
      </c>
      <c r="G205">
        <v>-1.9436930080000001</v>
      </c>
      <c r="H205">
        <v>1.41241503</v>
      </c>
      <c r="I205">
        <v>1.03035243</v>
      </c>
      <c r="J205">
        <v>0.80332668600000001</v>
      </c>
      <c r="L205">
        <v>-5.7211900000000001E-3</v>
      </c>
      <c r="M205">
        <v>0.94533074800000005</v>
      </c>
      <c r="N205">
        <v>1.5077876960000001</v>
      </c>
      <c r="O205">
        <v>0.65831799999999996</v>
      </c>
      <c r="P205">
        <v>0.87619891400000005</v>
      </c>
      <c r="Q205">
        <v>0.81875170799999997</v>
      </c>
      <c r="R205">
        <v>0.71792599999999995</v>
      </c>
      <c r="S205">
        <v>-0.72875933199999998</v>
      </c>
      <c r="T205">
        <v>0.89204024000000004</v>
      </c>
      <c r="U205">
        <v>0.47344000000000003</v>
      </c>
      <c r="V205">
        <v>0.68894888700000001</v>
      </c>
      <c r="W205">
        <v>1.2009036099999999</v>
      </c>
      <c r="X205">
        <v>0.85908633899999998</v>
      </c>
      <c r="Y205">
        <v>1.6300699999999999</v>
      </c>
      <c r="Z205">
        <v>3.8885507229999998</v>
      </c>
      <c r="AA205">
        <v>-2.5101290280000002</v>
      </c>
      <c r="AB205">
        <v>1.410628668</v>
      </c>
      <c r="AC205">
        <v>-0.72167550300000005</v>
      </c>
      <c r="AD205">
        <v>-1.2227679469999999</v>
      </c>
      <c r="AE205">
        <v>-6.8180219849999997</v>
      </c>
      <c r="AF205">
        <v>1.0722199189999999</v>
      </c>
      <c r="AG205">
        <v>5.5736745279999997</v>
      </c>
      <c r="AH205">
        <v>0.92373008199999995</v>
      </c>
      <c r="AI205">
        <v>1.3490372850000001</v>
      </c>
      <c r="AJ205">
        <v>0.96486338400000005</v>
      </c>
      <c r="AK205">
        <v>-0.56234578499999999</v>
      </c>
      <c r="AL205">
        <v>0.421496027</v>
      </c>
      <c r="AM205">
        <v>2.7752912250000001</v>
      </c>
      <c r="AN205">
        <v>1.4476665689999999</v>
      </c>
      <c r="AP205">
        <v>1.763926342</v>
      </c>
      <c r="AQ205">
        <v>0.628505274</v>
      </c>
      <c r="AR205">
        <v>0.39645554799999999</v>
      </c>
      <c r="AT205">
        <v>0.999375401</v>
      </c>
      <c r="AU205">
        <v>0.26270384400000002</v>
      </c>
    </row>
    <row r="206" spans="1:47" x14ac:dyDescent="0.2">
      <c r="A206" t="s">
        <v>270</v>
      </c>
      <c r="B206" s="74">
        <v>35977</v>
      </c>
      <c r="C206">
        <v>1.9595053579999999</v>
      </c>
      <c r="D206">
        <v>0.91754457599999995</v>
      </c>
      <c r="E206">
        <v>1.0707581880000001</v>
      </c>
      <c r="F206">
        <v>0.33252166599999999</v>
      </c>
      <c r="G206">
        <v>1.633640319</v>
      </c>
      <c r="H206">
        <v>5.3398141000000003E-2</v>
      </c>
      <c r="I206">
        <v>0.99078902499999999</v>
      </c>
      <c r="J206">
        <v>1.696357568</v>
      </c>
      <c r="L206">
        <v>0.27408792900000001</v>
      </c>
      <c r="M206">
        <v>-0.43412806199999998</v>
      </c>
      <c r="N206">
        <v>-0.75521729999999998</v>
      </c>
      <c r="O206">
        <v>0.44191999999999998</v>
      </c>
      <c r="P206">
        <v>1.1279904000000001</v>
      </c>
      <c r="Q206">
        <v>-0.56528544599999997</v>
      </c>
      <c r="R206">
        <v>0.41909000000000002</v>
      </c>
      <c r="S206">
        <v>2.0181608899999999</v>
      </c>
      <c r="T206">
        <v>0.84173065999999996</v>
      </c>
      <c r="U206">
        <v>0.46445599999999998</v>
      </c>
      <c r="V206">
        <v>0.71752196000000001</v>
      </c>
      <c r="W206">
        <v>0.44231389199999999</v>
      </c>
      <c r="X206">
        <v>1.5180329610000001</v>
      </c>
      <c r="Y206">
        <v>1.31074</v>
      </c>
      <c r="Z206">
        <v>2.3334613919999998</v>
      </c>
      <c r="AA206">
        <v>10.151884432999999</v>
      </c>
      <c r="AB206">
        <v>0.10885400100000001</v>
      </c>
      <c r="AC206">
        <v>0.560939403</v>
      </c>
      <c r="AD206">
        <v>-0.441713299</v>
      </c>
      <c r="AE206">
        <v>-0.80793206900000003</v>
      </c>
      <c r="AF206">
        <v>3.5119039920000001</v>
      </c>
      <c r="AG206">
        <v>-0.371130607</v>
      </c>
      <c r="AH206">
        <v>0.71514596500000005</v>
      </c>
      <c r="AI206">
        <v>0.715690359</v>
      </c>
      <c r="AJ206">
        <v>1.1331350650000001</v>
      </c>
      <c r="AK206">
        <v>0.493392579</v>
      </c>
      <c r="AL206">
        <v>0.46271683600000002</v>
      </c>
      <c r="AM206">
        <v>-0.26705288799999999</v>
      </c>
      <c r="AN206">
        <v>1.535719128</v>
      </c>
      <c r="AP206">
        <v>1.5674749000000002E-2</v>
      </c>
      <c r="AQ206">
        <v>0.69964543000000001</v>
      </c>
      <c r="AR206">
        <v>1.3642913649999999</v>
      </c>
      <c r="AS206">
        <v>-0.79654295600000002</v>
      </c>
      <c r="AT206">
        <v>0.92582050699999996</v>
      </c>
      <c r="AU206">
        <v>0.14142531699999999</v>
      </c>
    </row>
    <row r="207" spans="1:47" x14ac:dyDescent="0.2">
      <c r="A207" t="s">
        <v>271</v>
      </c>
      <c r="B207" s="74">
        <v>36069</v>
      </c>
      <c r="C207">
        <v>-0.30461429800000001</v>
      </c>
      <c r="D207">
        <v>1.888914041</v>
      </c>
      <c r="E207">
        <v>0.60540908999999998</v>
      </c>
      <c r="F207">
        <v>0.29227557399999998</v>
      </c>
      <c r="G207">
        <v>6.3785504000000007E-2</v>
      </c>
      <c r="H207">
        <v>0.91021039000000004</v>
      </c>
      <c r="I207">
        <v>9.3424091000000001E-2</v>
      </c>
      <c r="J207">
        <v>-0.67169375099999995</v>
      </c>
      <c r="L207">
        <v>3.4371124000000003E-2</v>
      </c>
      <c r="M207">
        <v>0.49831883300000002</v>
      </c>
      <c r="N207">
        <v>1.837315059</v>
      </c>
      <c r="O207">
        <v>0.60221499999999994</v>
      </c>
      <c r="P207">
        <v>0.94473955300000001</v>
      </c>
      <c r="Q207">
        <v>-0.10168358399999999</v>
      </c>
      <c r="R207">
        <v>0.626309</v>
      </c>
      <c r="S207">
        <v>1.2561428139999999</v>
      </c>
      <c r="T207">
        <v>0.72334140899999999</v>
      </c>
      <c r="U207">
        <v>0.80825000000000002</v>
      </c>
      <c r="V207">
        <v>0.52381564400000002</v>
      </c>
      <c r="W207">
        <v>0.34917263199999998</v>
      </c>
      <c r="X207">
        <v>0.92169331200000004</v>
      </c>
      <c r="Y207">
        <v>1.8147500000000001</v>
      </c>
      <c r="Z207">
        <v>3.2006512809999998</v>
      </c>
      <c r="AA207">
        <v>-0.37934729900000003</v>
      </c>
      <c r="AB207">
        <v>0.88796392400000002</v>
      </c>
      <c r="AC207">
        <v>0.15916772900000001</v>
      </c>
      <c r="AD207">
        <v>0.182510915</v>
      </c>
      <c r="AE207">
        <v>1.7471518049999999</v>
      </c>
      <c r="AF207">
        <v>1.8494432059999999</v>
      </c>
      <c r="AG207">
        <v>-0.94456868500000002</v>
      </c>
      <c r="AH207">
        <v>0.51728188600000002</v>
      </c>
      <c r="AI207">
        <v>0.85358416100000001</v>
      </c>
      <c r="AJ207">
        <v>-1.7936721710000001</v>
      </c>
      <c r="AK207">
        <v>9.4748629000000001E-2</v>
      </c>
      <c r="AL207">
        <v>0.71686468999999997</v>
      </c>
      <c r="AM207">
        <v>0.84370996499999995</v>
      </c>
      <c r="AN207">
        <v>1.1085038810000001</v>
      </c>
      <c r="AP207">
        <v>-0.81659519199999997</v>
      </c>
      <c r="AQ207">
        <v>0.87471101799999995</v>
      </c>
      <c r="AR207">
        <v>0.54639919599999998</v>
      </c>
      <c r="AS207">
        <v>-1.4070748980000001</v>
      </c>
      <c r="AT207">
        <v>1.252764553</v>
      </c>
      <c r="AU207">
        <v>-0.219033432</v>
      </c>
    </row>
    <row r="208" spans="1:47" x14ac:dyDescent="0.2">
      <c r="A208" t="s">
        <v>272</v>
      </c>
      <c r="B208" s="74">
        <v>36161</v>
      </c>
      <c r="C208">
        <v>-2.5492660520000001</v>
      </c>
      <c r="D208">
        <v>1.5016918159999999</v>
      </c>
      <c r="E208">
        <v>0.413319981</v>
      </c>
      <c r="F208">
        <v>0.22377185699999999</v>
      </c>
      <c r="G208">
        <v>-1.1852965680000001</v>
      </c>
      <c r="H208">
        <v>1.3606703760000001</v>
      </c>
      <c r="I208">
        <v>-0.30470249599999999</v>
      </c>
      <c r="J208">
        <v>-3.2367408499999999</v>
      </c>
      <c r="L208">
        <v>6.5187631999999995E-2</v>
      </c>
      <c r="M208">
        <v>-0.43387041999999998</v>
      </c>
      <c r="N208">
        <v>0.320757081</v>
      </c>
      <c r="O208">
        <v>0.105596</v>
      </c>
      <c r="P208">
        <v>1.0984668479999999</v>
      </c>
      <c r="Q208">
        <v>-1.8206513449999999</v>
      </c>
      <c r="R208">
        <v>0.15176500000000001</v>
      </c>
      <c r="S208">
        <v>0.88646774800000006</v>
      </c>
      <c r="T208">
        <v>0.611055931</v>
      </c>
      <c r="U208">
        <v>0.96252700000000002</v>
      </c>
      <c r="V208">
        <v>0.73009461499999995</v>
      </c>
      <c r="W208">
        <v>0.78799276399999996</v>
      </c>
      <c r="X208">
        <v>3.9859378000000001E-2</v>
      </c>
      <c r="Y208">
        <v>1.31071</v>
      </c>
      <c r="Z208">
        <v>-3.397268076</v>
      </c>
      <c r="AA208">
        <v>3.3518854450000002</v>
      </c>
      <c r="AB208">
        <v>0.89684069899999996</v>
      </c>
      <c r="AC208">
        <v>-0.491645</v>
      </c>
      <c r="AD208">
        <v>0.80745559600000005</v>
      </c>
      <c r="AE208">
        <v>2.4960498219999998</v>
      </c>
      <c r="AF208">
        <v>0.61630633800000001</v>
      </c>
      <c r="AG208">
        <v>-2.494740577</v>
      </c>
      <c r="AH208">
        <v>0.13474283400000001</v>
      </c>
      <c r="AI208">
        <v>0.91511237599999995</v>
      </c>
      <c r="AJ208">
        <v>0.51143929300000002</v>
      </c>
      <c r="AK208">
        <v>1.012563823</v>
      </c>
      <c r="AL208">
        <v>0.84160042000000002</v>
      </c>
      <c r="AM208">
        <v>0.21187033899999999</v>
      </c>
      <c r="AN208">
        <v>0.75321015199999997</v>
      </c>
      <c r="AP208">
        <v>7.5246119470000004</v>
      </c>
      <c r="AQ208">
        <v>0.76345759199999996</v>
      </c>
      <c r="AR208">
        <v>1.1497676489999999</v>
      </c>
      <c r="AS208">
        <v>-0.25868815899999997</v>
      </c>
      <c r="AT208">
        <v>1.6161907019999999</v>
      </c>
      <c r="AU208">
        <v>9.6284365999999996E-2</v>
      </c>
    </row>
    <row r="209" spans="1:47" x14ac:dyDescent="0.2">
      <c r="A209" t="s">
        <v>273</v>
      </c>
      <c r="B209" s="74">
        <v>36251</v>
      </c>
      <c r="C209">
        <v>-1.245853391</v>
      </c>
      <c r="D209">
        <v>0.74422276399999998</v>
      </c>
      <c r="E209">
        <v>0.69239555600000002</v>
      </c>
      <c r="F209">
        <v>1.0449659899999999</v>
      </c>
      <c r="G209">
        <v>0.315560746</v>
      </c>
      <c r="H209">
        <v>1.8138161740000001</v>
      </c>
      <c r="I209">
        <v>0.21563592700000001</v>
      </c>
      <c r="J209">
        <v>1.9194374E-2</v>
      </c>
      <c r="L209">
        <v>2.0765021000000002E-2</v>
      </c>
      <c r="M209">
        <v>1.157924524</v>
      </c>
      <c r="N209">
        <v>0.90603632300000003</v>
      </c>
      <c r="O209">
        <v>1.125874</v>
      </c>
      <c r="P209">
        <v>0.99846124199999997</v>
      </c>
      <c r="Q209">
        <v>-0.75795174799999998</v>
      </c>
      <c r="R209">
        <v>1.062972</v>
      </c>
      <c r="S209">
        <v>1.649363081</v>
      </c>
      <c r="T209">
        <v>1.1306378850000001</v>
      </c>
      <c r="U209">
        <v>0.58130700000000002</v>
      </c>
      <c r="V209">
        <v>0.59968500300000005</v>
      </c>
      <c r="W209">
        <v>0.76233132400000003</v>
      </c>
      <c r="X209">
        <v>3.8508147E-2</v>
      </c>
      <c r="Y209">
        <v>1.62415</v>
      </c>
      <c r="Z209">
        <v>7.1014223510000001</v>
      </c>
      <c r="AA209">
        <v>-0.248516558</v>
      </c>
      <c r="AB209">
        <v>-0.91209779300000005</v>
      </c>
      <c r="AC209">
        <v>0.60956432299999996</v>
      </c>
      <c r="AD209">
        <v>-1.3780234069999999</v>
      </c>
      <c r="AE209">
        <v>3.03463255</v>
      </c>
      <c r="AF209">
        <v>2.745075645</v>
      </c>
      <c r="AG209">
        <v>3.290116437</v>
      </c>
      <c r="AH209">
        <v>1.01219204</v>
      </c>
      <c r="AI209">
        <v>1.6667538310000001</v>
      </c>
      <c r="AJ209">
        <v>0.723084018</v>
      </c>
      <c r="AK209">
        <v>1.186994179</v>
      </c>
      <c r="AL209">
        <v>0.66729266099999995</v>
      </c>
      <c r="AM209">
        <v>0.58910622000000001</v>
      </c>
      <c r="AN209">
        <v>1.3291963899999999</v>
      </c>
      <c r="AP209">
        <v>-3.336578855</v>
      </c>
      <c r="AQ209">
        <v>1.6471272020000001</v>
      </c>
      <c r="AR209">
        <v>1.1384088670000001</v>
      </c>
      <c r="AS209">
        <v>-1.6858202179999999</v>
      </c>
      <c r="AT209">
        <v>0.94382661499999998</v>
      </c>
      <c r="AU209">
        <v>0.96106894399999998</v>
      </c>
    </row>
    <row r="210" spans="1:47" x14ac:dyDescent="0.2">
      <c r="A210" t="s">
        <v>274</v>
      </c>
      <c r="B210" s="74">
        <v>36342</v>
      </c>
      <c r="C210">
        <v>-1.1299073589999999</v>
      </c>
      <c r="D210">
        <v>0.32234625300000003</v>
      </c>
      <c r="E210">
        <v>1.2879512470000001</v>
      </c>
      <c r="F210">
        <v>1.3681735850000001</v>
      </c>
      <c r="G210">
        <v>0.23889542499999999</v>
      </c>
      <c r="H210">
        <v>0.83654469799999998</v>
      </c>
      <c r="I210">
        <v>0.66154433199999996</v>
      </c>
      <c r="J210">
        <v>0.27283652800000002</v>
      </c>
      <c r="L210">
        <v>0.46067066600000001</v>
      </c>
      <c r="M210">
        <v>8.1340000000000004E-6</v>
      </c>
      <c r="N210">
        <v>0.51638309299999996</v>
      </c>
      <c r="O210">
        <v>0.45411299999999999</v>
      </c>
      <c r="P210">
        <v>1.186014726</v>
      </c>
      <c r="Q210">
        <v>0.87740810899999999</v>
      </c>
      <c r="R210">
        <v>0.49775000000000003</v>
      </c>
      <c r="S210">
        <v>0.531208499</v>
      </c>
      <c r="T210">
        <v>0.25046554399999998</v>
      </c>
      <c r="U210">
        <v>0.55688700000000002</v>
      </c>
      <c r="V210">
        <v>0.30050135100000003</v>
      </c>
      <c r="W210">
        <v>0.93320508999999996</v>
      </c>
      <c r="X210">
        <v>1.0515168159999999</v>
      </c>
      <c r="Y210">
        <v>2.58223</v>
      </c>
      <c r="Z210">
        <v>1.5795138440000001</v>
      </c>
      <c r="AA210">
        <v>-2.494298133</v>
      </c>
      <c r="AB210">
        <v>4.2445717289999996</v>
      </c>
      <c r="AC210">
        <v>0.35773633599999999</v>
      </c>
      <c r="AD210">
        <v>0.37797755999999999</v>
      </c>
      <c r="AE210">
        <v>4.3831648489999999</v>
      </c>
      <c r="AF210">
        <v>2.1591418889999998</v>
      </c>
      <c r="AG210">
        <v>-1.4314686409999999</v>
      </c>
      <c r="AH210">
        <v>0.59146821199999999</v>
      </c>
      <c r="AI210">
        <v>1.1129019090000001</v>
      </c>
      <c r="AJ210">
        <v>4.5625461999999999E-2</v>
      </c>
      <c r="AK210">
        <v>0.82788426500000001</v>
      </c>
      <c r="AL210">
        <v>0.71025373000000003</v>
      </c>
      <c r="AM210">
        <v>2.3212586700000002</v>
      </c>
      <c r="AN210">
        <v>0.52210511000000004</v>
      </c>
      <c r="AP210">
        <v>-1.6971589789999999</v>
      </c>
      <c r="AQ210">
        <v>4.260677737</v>
      </c>
      <c r="AR210">
        <v>0.63667335199999997</v>
      </c>
      <c r="AS210">
        <v>-0.563715666</v>
      </c>
      <c r="AT210">
        <v>0.83500003</v>
      </c>
      <c r="AU210">
        <v>0.79589022200000004</v>
      </c>
    </row>
    <row r="211" spans="1:47" x14ac:dyDescent="0.2">
      <c r="A211" t="s">
        <v>275</v>
      </c>
      <c r="B211" s="74">
        <v>36434</v>
      </c>
      <c r="C211">
        <v>-0.28815049799999998</v>
      </c>
      <c r="D211">
        <v>1.1552977179999999</v>
      </c>
      <c r="E211">
        <v>1.3255099239999999</v>
      </c>
      <c r="F211">
        <v>1.452361037</v>
      </c>
      <c r="G211">
        <v>0.17891100600000001</v>
      </c>
      <c r="H211">
        <v>1.5646760900000001</v>
      </c>
      <c r="I211">
        <v>0.56952028099999996</v>
      </c>
      <c r="J211">
        <v>2.1095231920000002</v>
      </c>
      <c r="L211">
        <v>0.91846713199999996</v>
      </c>
      <c r="M211">
        <v>1.1569204099999999</v>
      </c>
      <c r="N211">
        <v>0.61805336700000002</v>
      </c>
      <c r="O211">
        <v>1.1266290000000001</v>
      </c>
      <c r="P211">
        <v>1.329460179</v>
      </c>
      <c r="Q211">
        <v>1.031389417</v>
      </c>
      <c r="R211">
        <v>1.1212599999999999</v>
      </c>
      <c r="S211">
        <v>0.53320523600000003</v>
      </c>
      <c r="T211">
        <v>1.088221208</v>
      </c>
      <c r="U211">
        <v>1.1585829999999999</v>
      </c>
      <c r="V211">
        <v>1.596845332</v>
      </c>
      <c r="W211">
        <v>0.38279775599999999</v>
      </c>
      <c r="X211">
        <v>1.885980258</v>
      </c>
      <c r="Y211">
        <v>1.24533</v>
      </c>
      <c r="Z211">
        <v>3.3131916370000001</v>
      </c>
      <c r="AA211">
        <v>0.71985595899999999</v>
      </c>
      <c r="AB211">
        <v>0.36045063999999999</v>
      </c>
      <c r="AC211">
        <v>0.88728130100000002</v>
      </c>
      <c r="AD211">
        <v>0.53293501700000001</v>
      </c>
      <c r="AE211">
        <v>2.7811709840000001</v>
      </c>
      <c r="AF211">
        <v>2.875859911</v>
      </c>
      <c r="AG211">
        <v>3.515655277</v>
      </c>
      <c r="AH211">
        <v>0.97665510499999997</v>
      </c>
      <c r="AI211">
        <v>1.37722889</v>
      </c>
      <c r="AJ211">
        <v>2.054725586</v>
      </c>
      <c r="AK211">
        <v>2.802827878</v>
      </c>
      <c r="AL211">
        <v>1.1567463659999999</v>
      </c>
      <c r="AM211">
        <v>2.2126632050000001</v>
      </c>
      <c r="AN211">
        <v>0.98039887299999995</v>
      </c>
      <c r="AP211">
        <v>-0.62359152299999998</v>
      </c>
      <c r="AQ211">
        <v>-2.5849449280000001</v>
      </c>
      <c r="AR211">
        <v>0.78714541199999999</v>
      </c>
      <c r="AS211">
        <v>-1.6866180550000001</v>
      </c>
      <c r="AT211">
        <v>1.3230270260000001</v>
      </c>
      <c r="AU211">
        <v>1.0918972440000001</v>
      </c>
    </row>
    <row r="212" spans="1:47" x14ac:dyDescent="0.2">
      <c r="A212" t="s">
        <v>276</v>
      </c>
      <c r="B212" s="74">
        <v>36526</v>
      </c>
      <c r="C212">
        <v>1.6728210139999999</v>
      </c>
      <c r="D212">
        <v>1.705783871</v>
      </c>
      <c r="E212">
        <v>0.57460328000000005</v>
      </c>
      <c r="F212">
        <v>1.1842302499999999</v>
      </c>
      <c r="G212">
        <v>1.4020995940000001</v>
      </c>
      <c r="H212">
        <v>1.4066963400000001</v>
      </c>
      <c r="I212">
        <v>2.442046129</v>
      </c>
      <c r="J212">
        <v>2.6340632670000002</v>
      </c>
      <c r="L212">
        <v>1.1251880439999999</v>
      </c>
      <c r="M212">
        <v>0.76650885599999996</v>
      </c>
      <c r="N212">
        <v>1.3987960589999999</v>
      </c>
      <c r="O212">
        <v>1.1539379999999999</v>
      </c>
      <c r="P212">
        <v>1.1342787249999999</v>
      </c>
      <c r="Q212">
        <v>2.5899819229999999</v>
      </c>
      <c r="R212">
        <v>1.200852</v>
      </c>
      <c r="S212">
        <v>0.85290393499999995</v>
      </c>
      <c r="T212">
        <v>1.431041078</v>
      </c>
      <c r="U212">
        <v>1.2410410000000001</v>
      </c>
      <c r="V212">
        <v>1.368329551</v>
      </c>
      <c r="W212">
        <v>1.5989245139999999</v>
      </c>
      <c r="X212">
        <v>1.141271345</v>
      </c>
      <c r="Y212">
        <v>1.65076</v>
      </c>
      <c r="Z212">
        <v>1.5073372620000001</v>
      </c>
      <c r="AA212">
        <v>4.6239183180000003</v>
      </c>
      <c r="AB212">
        <v>1.9678014260000001</v>
      </c>
      <c r="AC212">
        <v>1.561980076</v>
      </c>
      <c r="AD212">
        <v>3.6296117000000003E-2</v>
      </c>
      <c r="AE212">
        <v>2.8862553750000002</v>
      </c>
      <c r="AF212">
        <v>-0.40823526199999999</v>
      </c>
      <c r="AG212">
        <v>3.388414585</v>
      </c>
      <c r="AH212">
        <v>0.91943251199999998</v>
      </c>
      <c r="AI212">
        <v>1.406875109</v>
      </c>
      <c r="AJ212">
        <v>1.720275022</v>
      </c>
      <c r="AK212">
        <v>1.2237714900000001</v>
      </c>
      <c r="AL212">
        <v>1.333135814</v>
      </c>
      <c r="AM212">
        <v>1.9536001409999999</v>
      </c>
      <c r="AN212">
        <v>0.57433716000000001</v>
      </c>
      <c r="AP212">
        <v>-0.45263028</v>
      </c>
      <c r="AQ212">
        <v>1.7589306920000001</v>
      </c>
      <c r="AR212">
        <v>1.870130675</v>
      </c>
      <c r="AS212">
        <v>2.9874202940000001</v>
      </c>
      <c r="AT212">
        <v>1.642779005</v>
      </c>
      <c r="AU212">
        <v>1.0999821620000001</v>
      </c>
    </row>
    <row r="213" spans="1:47" x14ac:dyDescent="0.2">
      <c r="A213" t="s">
        <v>277</v>
      </c>
      <c r="B213" s="74">
        <v>36617</v>
      </c>
      <c r="C213">
        <v>-0.34000240700000001</v>
      </c>
      <c r="D213">
        <v>0.40307412999999997</v>
      </c>
      <c r="E213">
        <v>1.101026469</v>
      </c>
      <c r="F213">
        <v>0.71111111100000002</v>
      </c>
      <c r="G213">
        <v>1.0399027270000001</v>
      </c>
      <c r="H213">
        <v>1.59973568</v>
      </c>
      <c r="I213">
        <v>0.79108290800000003</v>
      </c>
      <c r="J213">
        <v>0.94478038499999994</v>
      </c>
      <c r="L213">
        <v>1.3260170120000001</v>
      </c>
      <c r="M213">
        <v>1.430876974</v>
      </c>
      <c r="N213">
        <v>0.97509966800000003</v>
      </c>
      <c r="O213">
        <v>1.2424789999999999</v>
      </c>
      <c r="P213">
        <v>1.5996598479999999</v>
      </c>
      <c r="Q213">
        <v>3.7980297749999998</v>
      </c>
      <c r="R213">
        <v>1.179718</v>
      </c>
      <c r="S213">
        <v>2.9824228929999999</v>
      </c>
      <c r="T213">
        <v>1.0391530449999999</v>
      </c>
      <c r="U213">
        <v>0.88117299999999998</v>
      </c>
      <c r="V213">
        <v>0.98640668300000001</v>
      </c>
      <c r="W213">
        <v>0.37966255999999998</v>
      </c>
      <c r="X213">
        <v>0.80425784099999997</v>
      </c>
      <c r="Y213">
        <v>2.0995300000000001</v>
      </c>
      <c r="Z213">
        <v>1.8610975139999999</v>
      </c>
      <c r="AA213">
        <v>-0.29046496500000002</v>
      </c>
      <c r="AB213">
        <v>2.207206336</v>
      </c>
      <c r="AC213">
        <v>1.021350086</v>
      </c>
      <c r="AD213">
        <v>1.6981987810000001</v>
      </c>
      <c r="AE213">
        <v>1.895051738</v>
      </c>
      <c r="AF213">
        <v>5.1756448109999997</v>
      </c>
      <c r="AG213">
        <v>0.724232243</v>
      </c>
      <c r="AH213">
        <v>1.882978356</v>
      </c>
      <c r="AI213">
        <v>0.62271010999999998</v>
      </c>
      <c r="AJ213">
        <v>1.478193689</v>
      </c>
      <c r="AK213">
        <v>1.455051221</v>
      </c>
      <c r="AL213">
        <v>1.0032627489999999</v>
      </c>
      <c r="AM213">
        <v>-0.340982059</v>
      </c>
      <c r="AN213">
        <v>2.2254685850000002</v>
      </c>
      <c r="AP213">
        <v>1.06424406</v>
      </c>
      <c r="AQ213">
        <v>1.0499728610000001</v>
      </c>
      <c r="AR213">
        <v>0.67347310999999999</v>
      </c>
      <c r="AS213">
        <v>1.5748513790000001</v>
      </c>
      <c r="AT213">
        <v>0.36444736100000003</v>
      </c>
      <c r="AU213">
        <v>1.168839972</v>
      </c>
    </row>
    <row r="214" spans="1:47" x14ac:dyDescent="0.2">
      <c r="A214" t="s">
        <v>278</v>
      </c>
      <c r="B214" s="74">
        <v>36708</v>
      </c>
      <c r="C214">
        <v>-1.6088924600000001</v>
      </c>
      <c r="D214">
        <v>0.93833457600000003</v>
      </c>
      <c r="E214">
        <v>0.65134383299999998</v>
      </c>
      <c r="F214">
        <v>0.71957438500000004</v>
      </c>
      <c r="G214">
        <v>1.414711606</v>
      </c>
      <c r="H214">
        <v>1.1885847089999999</v>
      </c>
      <c r="I214">
        <v>0.40495562000000002</v>
      </c>
      <c r="J214">
        <v>0.221694277</v>
      </c>
      <c r="L214">
        <v>0.95429668599999995</v>
      </c>
      <c r="M214">
        <v>0.821432516</v>
      </c>
      <c r="N214">
        <v>1.1384173420000001</v>
      </c>
      <c r="O214">
        <v>0.93220199999999998</v>
      </c>
      <c r="P214">
        <v>1.2522319770000001</v>
      </c>
      <c r="Q214">
        <v>2.5042529409999998</v>
      </c>
      <c r="R214">
        <v>0.992475</v>
      </c>
      <c r="S214">
        <v>0.77059324200000001</v>
      </c>
      <c r="T214">
        <v>1.060572654</v>
      </c>
      <c r="U214">
        <v>1.2603219999999999</v>
      </c>
      <c r="V214">
        <v>0.64698476999999999</v>
      </c>
      <c r="W214">
        <v>0.92199407799999999</v>
      </c>
      <c r="X214">
        <v>1.078110004</v>
      </c>
      <c r="Y214">
        <v>0.13491</v>
      </c>
      <c r="Z214">
        <v>3.3149614559999998</v>
      </c>
      <c r="AA214">
        <v>1.042824234</v>
      </c>
      <c r="AB214">
        <v>3.1358100530000002</v>
      </c>
      <c r="AC214">
        <v>0.81340988400000003</v>
      </c>
      <c r="AD214">
        <v>0.47328397300000002</v>
      </c>
      <c r="AE214">
        <v>1.3325102150000001</v>
      </c>
      <c r="AF214">
        <v>-1.308913481</v>
      </c>
      <c r="AG214">
        <v>-0.20143974100000001</v>
      </c>
      <c r="AH214">
        <v>1.505105275</v>
      </c>
      <c r="AI214">
        <v>1.1168028889999999</v>
      </c>
      <c r="AJ214">
        <v>-1.4441220020000001</v>
      </c>
      <c r="AK214">
        <v>4.7454588999999998E-2</v>
      </c>
      <c r="AL214">
        <v>1.264888161</v>
      </c>
      <c r="AM214">
        <v>1.204555729</v>
      </c>
      <c r="AN214">
        <v>-0.52848783099999996</v>
      </c>
      <c r="AP214">
        <v>0.99065043699999999</v>
      </c>
      <c r="AQ214">
        <v>1.4129602830000001</v>
      </c>
      <c r="AR214">
        <v>2.514784653</v>
      </c>
      <c r="AS214">
        <v>3.8933703569999998</v>
      </c>
      <c r="AT214">
        <v>1.8205830080000001</v>
      </c>
      <c r="AU214">
        <v>0.91999078599999995</v>
      </c>
    </row>
    <row r="215" spans="1:47" x14ac:dyDescent="0.2">
      <c r="A215" t="s">
        <v>279</v>
      </c>
      <c r="B215" s="74">
        <v>36800</v>
      </c>
      <c r="C215">
        <v>-0.25518508200000001</v>
      </c>
      <c r="D215">
        <v>0.24857749000000001</v>
      </c>
      <c r="E215">
        <v>0.43418208899999999</v>
      </c>
      <c r="F215">
        <v>0.46371237700000001</v>
      </c>
      <c r="G215">
        <v>1.160243763</v>
      </c>
      <c r="H215">
        <v>1.0169817880000001</v>
      </c>
      <c r="I215">
        <v>0.75606031799999995</v>
      </c>
      <c r="J215">
        <v>1.55589961</v>
      </c>
      <c r="L215">
        <v>1.2986223240000001</v>
      </c>
      <c r="M215">
        <v>-2.3611874000000001E-2</v>
      </c>
      <c r="N215">
        <v>0.27623821399999998</v>
      </c>
      <c r="O215">
        <v>0.54920599999999997</v>
      </c>
      <c r="P215">
        <v>1.0792242439999999</v>
      </c>
      <c r="Q215">
        <v>1.233841395</v>
      </c>
      <c r="R215">
        <v>0.54959100000000005</v>
      </c>
      <c r="S215">
        <v>1.5659240320000001</v>
      </c>
      <c r="T215">
        <v>0.67108077799999999</v>
      </c>
      <c r="U215">
        <v>0.21188399999999999</v>
      </c>
      <c r="V215">
        <v>0.38235993800000001</v>
      </c>
      <c r="W215">
        <v>1.8684096670000001</v>
      </c>
      <c r="X215">
        <v>0.89084211800000002</v>
      </c>
      <c r="Y215">
        <v>1.32769</v>
      </c>
      <c r="Z215">
        <v>1.669263159</v>
      </c>
      <c r="AA215">
        <v>2.967164183</v>
      </c>
      <c r="AB215">
        <v>2.9788902849999999</v>
      </c>
      <c r="AC215">
        <v>0.61353429999999998</v>
      </c>
      <c r="AD215">
        <v>2.5615445000000001E-2</v>
      </c>
      <c r="AE215">
        <v>2.754591172</v>
      </c>
      <c r="AF215">
        <v>1.7424555669999999</v>
      </c>
      <c r="AG215">
        <v>3.1725814460000001</v>
      </c>
      <c r="AH215">
        <v>1.020346693</v>
      </c>
      <c r="AI215">
        <v>0.82516336300000004</v>
      </c>
      <c r="AJ215">
        <v>0.970594383</v>
      </c>
      <c r="AK215">
        <v>0.39263221700000001</v>
      </c>
      <c r="AL215">
        <v>0.47338750600000001</v>
      </c>
      <c r="AM215">
        <v>0.387268422</v>
      </c>
      <c r="AN215">
        <v>1.4648645250000001</v>
      </c>
      <c r="AP215">
        <v>0.60862318100000001</v>
      </c>
      <c r="AQ215">
        <v>1.1650369169999999</v>
      </c>
      <c r="AR215">
        <v>0.79858975099999996</v>
      </c>
      <c r="AS215">
        <v>1.4893164219999999</v>
      </c>
      <c r="AT215">
        <v>9.9774128000000004E-2</v>
      </c>
      <c r="AU215">
        <v>0.99039428299999999</v>
      </c>
    </row>
    <row r="216" spans="1:47" x14ac:dyDescent="0.2">
      <c r="A216" t="s">
        <v>280</v>
      </c>
      <c r="B216" s="74">
        <v>36892</v>
      </c>
      <c r="C216">
        <v>0.30685813499999998</v>
      </c>
      <c r="D216">
        <v>-0.36277050700000002</v>
      </c>
      <c r="E216">
        <v>1.568015406</v>
      </c>
      <c r="F216">
        <v>0.97766039900000001</v>
      </c>
      <c r="G216">
        <v>1.2266833150000001</v>
      </c>
      <c r="H216">
        <v>0.17120740000000001</v>
      </c>
      <c r="I216">
        <v>1.071447295</v>
      </c>
      <c r="J216">
        <v>1.173626284</v>
      </c>
      <c r="L216">
        <v>0.475647341</v>
      </c>
      <c r="M216">
        <v>-0.30707993500000003</v>
      </c>
      <c r="N216">
        <v>0.97780016700000005</v>
      </c>
      <c r="O216">
        <v>0.66671800000000003</v>
      </c>
      <c r="P216">
        <v>1.0304453899999999</v>
      </c>
      <c r="Q216">
        <v>2.249918584</v>
      </c>
      <c r="R216">
        <v>0.69326200000000004</v>
      </c>
      <c r="S216">
        <v>1.0630646829999999</v>
      </c>
      <c r="T216">
        <v>0.82747563999999996</v>
      </c>
      <c r="U216">
        <v>0.59733599999999998</v>
      </c>
      <c r="V216">
        <v>0.28586088100000001</v>
      </c>
      <c r="W216">
        <v>1.418925598</v>
      </c>
      <c r="X216">
        <v>1.902308055</v>
      </c>
      <c r="Y216">
        <v>4.1889999999999997E-2</v>
      </c>
      <c r="Z216">
        <v>0.16753071999999999</v>
      </c>
      <c r="AA216">
        <v>-0.77266578900000005</v>
      </c>
      <c r="AB216">
        <v>-9.0673122999999994E-2</v>
      </c>
      <c r="AC216">
        <v>1.444006377</v>
      </c>
      <c r="AD216">
        <v>0.97193494300000005</v>
      </c>
      <c r="AE216">
        <v>-0.32445797199999998</v>
      </c>
      <c r="AF216">
        <v>0.58756566499999996</v>
      </c>
      <c r="AG216">
        <v>-1.236713409</v>
      </c>
      <c r="AH216">
        <v>-0.86338646799999996</v>
      </c>
      <c r="AI216">
        <v>1.299729479</v>
      </c>
      <c r="AJ216">
        <v>3.9302632999999997E-2</v>
      </c>
      <c r="AK216">
        <v>0.19686072800000001</v>
      </c>
      <c r="AL216">
        <v>0.58369148999999998</v>
      </c>
      <c r="AM216">
        <v>2.9320749410000002</v>
      </c>
      <c r="AN216">
        <v>0.66940159099999996</v>
      </c>
      <c r="AP216">
        <v>0.56883969300000004</v>
      </c>
      <c r="AQ216">
        <v>0.68693794200000002</v>
      </c>
      <c r="AR216">
        <v>-0.30526114700000001</v>
      </c>
      <c r="AS216">
        <v>1.436633405</v>
      </c>
      <c r="AT216">
        <v>0.59436175499999999</v>
      </c>
      <c r="AU216">
        <v>0.85095468600000002</v>
      </c>
    </row>
    <row r="217" spans="1:47" x14ac:dyDescent="0.2">
      <c r="A217" t="s">
        <v>281</v>
      </c>
      <c r="B217" s="74">
        <v>36982</v>
      </c>
      <c r="C217">
        <v>0.16364615900000001</v>
      </c>
      <c r="D217">
        <v>1.0431830040000001</v>
      </c>
      <c r="E217">
        <v>-0.32609832799999999</v>
      </c>
      <c r="F217">
        <v>5.6388045999999997E-2</v>
      </c>
      <c r="G217">
        <v>0.40795216099999998</v>
      </c>
      <c r="H217">
        <v>0.529651011</v>
      </c>
      <c r="I217">
        <v>7.2245946000000005E-2</v>
      </c>
      <c r="J217">
        <v>0.69672656200000005</v>
      </c>
      <c r="L217">
        <v>1.186158643</v>
      </c>
      <c r="M217">
        <v>2.010957903</v>
      </c>
      <c r="N217">
        <v>-1.085721803</v>
      </c>
      <c r="O217">
        <v>1.018761</v>
      </c>
      <c r="P217">
        <v>1.0617582640000001</v>
      </c>
      <c r="Q217">
        <v>1.442803198</v>
      </c>
      <c r="R217">
        <v>0.90107499999999996</v>
      </c>
      <c r="S217">
        <v>0.489247671</v>
      </c>
      <c r="T217">
        <v>0.50197806300000003</v>
      </c>
      <c r="U217">
        <v>0.342082</v>
      </c>
      <c r="V217">
        <v>0.85513813800000005</v>
      </c>
      <c r="W217">
        <v>1.237878102</v>
      </c>
      <c r="X217">
        <v>0.70447665999999998</v>
      </c>
      <c r="Y217">
        <v>0.54066000000000003</v>
      </c>
      <c r="Z217">
        <v>2.680123203</v>
      </c>
      <c r="AA217">
        <v>-8.1804200000000005E-4</v>
      </c>
      <c r="AB217">
        <v>-1.196496166</v>
      </c>
      <c r="AC217">
        <v>0.66526413299999998</v>
      </c>
      <c r="AD217">
        <v>0.74214223199999996</v>
      </c>
      <c r="AE217">
        <v>1.2255548009999999</v>
      </c>
      <c r="AF217">
        <v>1.6312568810000001</v>
      </c>
      <c r="AG217">
        <v>2.2658267649999999</v>
      </c>
      <c r="AH217">
        <v>2.7529420999999998E-2</v>
      </c>
      <c r="AI217">
        <v>0.10852068400000001</v>
      </c>
      <c r="AJ217">
        <v>1.1699186070000001</v>
      </c>
      <c r="AK217">
        <v>0.3484138</v>
      </c>
      <c r="AL217">
        <v>0.25574503100000001</v>
      </c>
      <c r="AM217">
        <v>-1.348308576</v>
      </c>
      <c r="AN217">
        <v>-0.31268365599999998</v>
      </c>
      <c r="AP217">
        <v>0.709581723</v>
      </c>
      <c r="AQ217">
        <v>1.2674785710000001</v>
      </c>
      <c r="AR217">
        <v>0.36876531800000001</v>
      </c>
      <c r="AS217">
        <v>-5.1251296079999999</v>
      </c>
      <c r="AT217">
        <v>-0.32422100300000001</v>
      </c>
      <c r="AU217">
        <v>0.61451183300000001</v>
      </c>
    </row>
    <row r="218" spans="1:47" x14ac:dyDescent="0.2">
      <c r="A218" t="s">
        <v>282</v>
      </c>
      <c r="B218" s="74">
        <v>37073</v>
      </c>
      <c r="C218">
        <v>-0.82981777400000001</v>
      </c>
      <c r="D218">
        <v>0.81310962099999995</v>
      </c>
      <c r="E218">
        <v>-0.244225792</v>
      </c>
      <c r="F218">
        <v>1.7986043E-2</v>
      </c>
      <c r="G218">
        <v>-0.51148583000000003</v>
      </c>
      <c r="H218">
        <v>0.26949002500000002</v>
      </c>
      <c r="I218">
        <v>0.54047810299999999</v>
      </c>
      <c r="J218">
        <v>0.96873871600000006</v>
      </c>
      <c r="L218">
        <v>0.23166178400000001</v>
      </c>
      <c r="M218">
        <v>-5.8069487000000003E-2</v>
      </c>
      <c r="N218">
        <v>0.48818125099999998</v>
      </c>
      <c r="O218">
        <v>8.0893999999999994E-2</v>
      </c>
      <c r="P218">
        <v>0.73911573100000005</v>
      </c>
      <c r="Q218">
        <v>0.124260098</v>
      </c>
      <c r="R218">
        <v>8.8423000000000002E-2</v>
      </c>
      <c r="S218">
        <v>0.119503397</v>
      </c>
      <c r="T218">
        <v>0.123882377</v>
      </c>
      <c r="U218">
        <v>0.19203000000000001</v>
      </c>
      <c r="V218">
        <v>0.45993671000000003</v>
      </c>
      <c r="W218">
        <v>-0.26357386700000002</v>
      </c>
      <c r="X218">
        <v>0.78404538499999998</v>
      </c>
      <c r="Y218">
        <v>2.0813700000000002</v>
      </c>
      <c r="Z218">
        <v>1.6402031420000001</v>
      </c>
      <c r="AA218">
        <v>3.4578017189999999</v>
      </c>
      <c r="AB218">
        <v>-0.51371240699999998</v>
      </c>
      <c r="AC218">
        <v>-0.39478447900000002</v>
      </c>
      <c r="AD218">
        <v>-0.75051650599999997</v>
      </c>
      <c r="AE218">
        <v>1.2988810260000001</v>
      </c>
      <c r="AF218">
        <v>-1.245687013</v>
      </c>
      <c r="AG218">
        <v>4.4654937270000001</v>
      </c>
      <c r="AH218">
        <v>-0.53735536699999997</v>
      </c>
      <c r="AI218">
        <v>0.50566903500000004</v>
      </c>
      <c r="AJ218">
        <v>-0.17771229899999999</v>
      </c>
      <c r="AK218">
        <v>1.4227536160000001</v>
      </c>
      <c r="AL218">
        <v>0.14160663100000001</v>
      </c>
      <c r="AM218">
        <v>-0.45309452500000003</v>
      </c>
      <c r="AN218">
        <v>0.96744614500000004</v>
      </c>
      <c r="AP218">
        <v>1.0534716369999999</v>
      </c>
      <c r="AQ218">
        <v>0.257091495</v>
      </c>
      <c r="AR218">
        <v>1.2580241000000001E-2</v>
      </c>
      <c r="AS218">
        <v>-4.8440387170000001</v>
      </c>
      <c r="AT218">
        <v>0.62138921499999999</v>
      </c>
      <c r="AU218">
        <v>0.49970441599999998</v>
      </c>
    </row>
    <row r="219" spans="1:47" x14ac:dyDescent="0.2">
      <c r="A219" t="s">
        <v>283</v>
      </c>
      <c r="B219" s="74">
        <v>37165</v>
      </c>
      <c r="C219">
        <v>-4.6458788760000003</v>
      </c>
      <c r="D219">
        <v>1.1947671209999999</v>
      </c>
      <c r="E219">
        <v>5.1810439999999999E-2</v>
      </c>
      <c r="F219">
        <v>-0.19061776899999999</v>
      </c>
      <c r="G219">
        <v>-0.535968632</v>
      </c>
      <c r="H219">
        <v>-6.6614244000000003E-2</v>
      </c>
      <c r="I219">
        <v>-0.17998966599999999</v>
      </c>
      <c r="J219">
        <v>-0.23509537999999999</v>
      </c>
      <c r="L219">
        <v>0.43192050500000001</v>
      </c>
      <c r="M219">
        <v>-0.162669071</v>
      </c>
      <c r="N219">
        <v>0.89782627400000004</v>
      </c>
      <c r="O219">
        <v>9.6254999999999993E-2</v>
      </c>
      <c r="P219">
        <v>0.93202408199999998</v>
      </c>
      <c r="Q219">
        <v>2.0651209270000002</v>
      </c>
      <c r="R219">
        <v>0.164024</v>
      </c>
      <c r="S219">
        <v>0.63216993399999999</v>
      </c>
      <c r="T219">
        <v>0.256621722</v>
      </c>
      <c r="U219">
        <v>-0.35147299999999998</v>
      </c>
      <c r="V219">
        <v>0.46817064800000002</v>
      </c>
      <c r="W219">
        <v>1.621616296</v>
      </c>
      <c r="X219">
        <v>0.89815161200000004</v>
      </c>
      <c r="Y219">
        <v>1.2368600000000001</v>
      </c>
      <c r="Z219">
        <v>-0.79417904900000003</v>
      </c>
      <c r="AA219">
        <v>-2.580921955</v>
      </c>
      <c r="AB219">
        <v>-1.126977785</v>
      </c>
      <c r="AC219">
        <v>-0.28475642699999998</v>
      </c>
      <c r="AD219">
        <v>-1.08933773</v>
      </c>
      <c r="AE219">
        <v>1.3501936240000001</v>
      </c>
      <c r="AF219">
        <v>1.4386347960000001</v>
      </c>
      <c r="AG219">
        <v>-2.0066106650000002</v>
      </c>
      <c r="AH219">
        <v>0.219295454</v>
      </c>
      <c r="AI219">
        <v>0.17378780599999999</v>
      </c>
      <c r="AJ219">
        <v>1.2310556850000001</v>
      </c>
      <c r="AK219">
        <v>0.76188515099999998</v>
      </c>
      <c r="AL219">
        <v>-8.3890040999999999E-2</v>
      </c>
      <c r="AM219">
        <v>0.78292662199999996</v>
      </c>
      <c r="AN219">
        <v>0.14634139500000001</v>
      </c>
      <c r="AP219">
        <v>0.38858571600000003</v>
      </c>
      <c r="AQ219">
        <v>0.59621790200000002</v>
      </c>
      <c r="AR219">
        <v>0.38387370999999998</v>
      </c>
      <c r="AS219">
        <v>1.2517857720000001</v>
      </c>
      <c r="AT219">
        <v>-0.400349016</v>
      </c>
      <c r="AU219">
        <v>0.26574794299999999</v>
      </c>
    </row>
    <row r="220" spans="1:47" x14ac:dyDescent="0.2">
      <c r="A220" t="s">
        <v>284</v>
      </c>
      <c r="B220" s="74">
        <v>37257</v>
      </c>
      <c r="C220">
        <v>-5.6948729309999999</v>
      </c>
      <c r="D220">
        <v>1.208771947</v>
      </c>
      <c r="E220">
        <v>0.55242098299999998</v>
      </c>
      <c r="F220">
        <v>-9.9694909999999998E-2</v>
      </c>
      <c r="G220">
        <v>-0.25322836999999998</v>
      </c>
      <c r="H220">
        <v>0.60882924699999996</v>
      </c>
      <c r="I220">
        <v>-0.120281445</v>
      </c>
      <c r="J220">
        <v>0.62460033699999995</v>
      </c>
      <c r="L220">
        <v>0.74081654600000002</v>
      </c>
      <c r="M220">
        <v>-0.11638810300000001</v>
      </c>
      <c r="N220">
        <v>-0.197216541</v>
      </c>
      <c r="O220">
        <v>9.6745999999999999E-2</v>
      </c>
      <c r="P220">
        <v>0.69190674799999996</v>
      </c>
      <c r="Q220">
        <v>1.4670997459999999</v>
      </c>
      <c r="R220">
        <v>0.13910400000000001</v>
      </c>
      <c r="S220">
        <v>-0.28115184399999998</v>
      </c>
      <c r="T220">
        <v>-6.3594286999999999E-2</v>
      </c>
      <c r="U220">
        <v>9.0073E-2</v>
      </c>
      <c r="V220">
        <v>0.22569473500000001</v>
      </c>
      <c r="W220">
        <v>0.26489864099999999</v>
      </c>
      <c r="X220">
        <v>0.747361159</v>
      </c>
      <c r="Y220">
        <v>2.2958799999999999</v>
      </c>
      <c r="Z220">
        <v>1.4452762990000001</v>
      </c>
      <c r="AA220">
        <v>6.3123880019999996</v>
      </c>
      <c r="AB220">
        <v>-0.50657629800000004</v>
      </c>
      <c r="AC220">
        <v>-0.177660911</v>
      </c>
      <c r="AD220">
        <v>-0.34076035900000001</v>
      </c>
      <c r="AE220">
        <v>1.762585517</v>
      </c>
      <c r="AF220">
        <v>2.6165375960000001</v>
      </c>
      <c r="AG220">
        <v>3.2865119360000001</v>
      </c>
      <c r="AH220">
        <v>-0.636086967</v>
      </c>
      <c r="AI220">
        <v>0.32251530099999998</v>
      </c>
      <c r="AJ220">
        <v>0.86905121600000002</v>
      </c>
      <c r="AK220">
        <v>1.4841494879999999</v>
      </c>
      <c r="AL220">
        <v>0.179347757</v>
      </c>
      <c r="AM220">
        <v>0.295694911</v>
      </c>
      <c r="AN220">
        <v>1.3990396789999999</v>
      </c>
      <c r="AP220">
        <v>2.1609416000000001</v>
      </c>
      <c r="AQ220">
        <v>0.98315374499999997</v>
      </c>
      <c r="AR220">
        <v>0.85834316899999996</v>
      </c>
      <c r="AS220">
        <v>-1.6828962709999999</v>
      </c>
      <c r="AT220">
        <v>0.27731435799999998</v>
      </c>
      <c r="AU220">
        <v>0.76932292499999999</v>
      </c>
    </row>
    <row r="221" spans="1:47" x14ac:dyDescent="0.2">
      <c r="A221" t="s">
        <v>285</v>
      </c>
      <c r="B221" s="74">
        <v>37347</v>
      </c>
      <c r="C221">
        <v>-4.9310185359999998</v>
      </c>
      <c r="D221">
        <v>0.76659652099999998</v>
      </c>
      <c r="E221">
        <v>0.88814703100000003</v>
      </c>
      <c r="F221">
        <v>0.85967464599999999</v>
      </c>
      <c r="G221">
        <v>2.297581895</v>
      </c>
      <c r="H221">
        <v>1.4842260460000001</v>
      </c>
      <c r="I221">
        <v>-7.0321634999999993E-2</v>
      </c>
      <c r="J221">
        <v>0.83743443399999995</v>
      </c>
      <c r="L221">
        <v>-0.196354374</v>
      </c>
      <c r="M221">
        <v>-0.52435598400000005</v>
      </c>
      <c r="N221">
        <v>-3.3566445E-2</v>
      </c>
      <c r="O221">
        <v>0.14055999999999999</v>
      </c>
      <c r="P221">
        <v>0.42550417200000001</v>
      </c>
      <c r="Q221">
        <v>0.69699782799999999</v>
      </c>
      <c r="R221">
        <v>0.164599</v>
      </c>
      <c r="S221">
        <v>0.65419943199999997</v>
      </c>
      <c r="T221">
        <v>0.56919184700000003</v>
      </c>
      <c r="U221">
        <v>0.51845600000000003</v>
      </c>
      <c r="V221">
        <v>0.52893754000000004</v>
      </c>
      <c r="W221">
        <v>0.81704766799999995</v>
      </c>
      <c r="X221">
        <v>2.301271297</v>
      </c>
      <c r="Y221">
        <v>0.80710000000000004</v>
      </c>
      <c r="Z221">
        <v>2.9768507340000001</v>
      </c>
      <c r="AA221">
        <v>-6.4248600319999998</v>
      </c>
      <c r="AB221">
        <v>0.389669655</v>
      </c>
      <c r="AC221">
        <v>0.110900546</v>
      </c>
      <c r="AD221">
        <v>0.168274856</v>
      </c>
      <c r="AE221">
        <v>2.5444815919999999</v>
      </c>
      <c r="AF221">
        <v>0.41817015800000001</v>
      </c>
      <c r="AG221">
        <v>3.1208033E-2</v>
      </c>
      <c r="AH221">
        <v>-0.67712961599999999</v>
      </c>
      <c r="AI221">
        <v>-0.61017998900000003</v>
      </c>
      <c r="AJ221">
        <v>-1.0279146669999999</v>
      </c>
      <c r="AK221">
        <v>0.89105920299999997</v>
      </c>
      <c r="AL221">
        <v>0.56170499399999996</v>
      </c>
      <c r="AM221">
        <v>0.21149791700000001</v>
      </c>
      <c r="AN221">
        <v>0.17780853799999999</v>
      </c>
      <c r="AP221">
        <v>0.32241528899999999</v>
      </c>
      <c r="AQ221">
        <v>1.347262213</v>
      </c>
      <c r="AR221">
        <v>-0.14864329700000001</v>
      </c>
      <c r="AS221">
        <v>3.7775825539999999</v>
      </c>
      <c r="AT221">
        <v>0.82822721600000004</v>
      </c>
      <c r="AU221">
        <v>1.0860090200000001</v>
      </c>
    </row>
    <row r="222" spans="1:47" x14ac:dyDescent="0.2">
      <c r="A222" t="s">
        <v>286</v>
      </c>
      <c r="B222" s="74">
        <v>37438</v>
      </c>
      <c r="C222">
        <v>0.42398614800000001</v>
      </c>
      <c r="D222">
        <v>1.708963791</v>
      </c>
      <c r="E222">
        <v>0.49317982199999999</v>
      </c>
      <c r="F222">
        <v>0.85592351499999997</v>
      </c>
      <c r="G222">
        <v>0.54942524400000003</v>
      </c>
      <c r="H222">
        <v>0.58937331199999998</v>
      </c>
      <c r="I222">
        <v>0.19601711699999999</v>
      </c>
      <c r="J222">
        <v>0.81345839499999995</v>
      </c>
      <c r="L222">
        <v>0.50147152100000003</v>
      </c>
      <c r="M222">
        <v>0.445116442</v>
      </c>
      <c r="N222">
        <v>-9.9201529999999993E-3</v>
      </c>
      <c r="O222">
        <v>0.52998500000000004</v>
      </c>
      <c r="P222">
        <v>0.81494336899999997</v>
      </c>
      <c r="Q222">
        <v>3.4970394480000002</v>
      </c>
      <c r="R222">
        <v>0.569326</v>
      </c>
      <c r="S222">
        <v>0.98914565799999998</v>
      </c>
      <c r="T222">
        <v>0.41205342700000003</v>
      </c>
      <c r="U222">
        <v>0.59977899999999995</v>
      </c>
      <c r="V222">
        <v>0.64896348699999995</v>
      </c>
      <c r="W222">
        <v>2.238306787</v>
      </c>
      <c r="X222">
        <v>0.51898924400000002</v>
      </c>
      <c r="Y222">
        <v>0.62375999999999998</v>
      </c>
      <c r="Z222">
        <v>0.68489928899999997</v>
      </c>
      <c r="AA222">
        <v>4.1657627450000003</v>
      </c>
      <c r="AB222">
        <v>0.43979481199999998</v>
      </c>
      <c r="AC222">
        <v>0.40907637600000002</v>
      </c>
      <c r="AD222">
        <v>0.81027722700000004</v>
      </c>
      <c r="AE222">
        <v>1.8121354160000001</v>
      </c>
      <c r="AF222">
        <v>1.758029925</v>
      </c>
      <c r="AG222">
        <v>3.6335633170000001</v>
      </c>
      <c r="AH222">
        <v>0.91820923099999996</v>
      </c>
      <c r="AI222">
        <v>0.34826357800000002</v>
      </c>
      <c r="AJ222">
        <v>2.0777686690000001</v>
      </c>
      <c r="AK222">
        <v>1.3172995359999999</v>
      </c>
      <c r="AL222">
        <v>0.80458130400000005</v>
      </c>
      <c r="AM222">
        <v>0.90444327999999996</v>
      </c>
      <c r="AN222">
        <v>-0.46398581300000002</v>
      </c>
      <c r="AP222">
        <v>1.0065256520000001</v>
      </c>
      <c r="AQ222">
        <v>-0.110620421</v>
      </c>
      <c r="AR222">
        <v>1.5712989100000001</v>
      </c>
      <c r="AS222">
        <v>4.3164154459999997</v>
      </c>
      <c r="AT222">
        <v>0.61550245599999998</v>
      </c>
      <c r="AU222">
        <v>1.2688591810000001</v>
      </c>
    </row>
    <row r="223" spans="1:47" x14ac:dyDescent="0.2">
      <c r="A223" t="s">
        <v>287</v>
      </c>
      <c r="B223" s="74">
        <v>37530</v>
      </c>
      <c r="C223">
        <v>7.4497308999999998E-2</v>
      </c>
      <c r="D223">
        <v>0.30289117599999998</v>
      </c>
      <c r="E223">
        <v>0.31801447300000002</v>
      </c>
      <c r="F223">
        <v>0.53543567700000005</v>
      </c>
      <c r="G223">
        <v>1.256827229</v>
      </c>
      <c r="H223">
        <v>0.86544944000000001</v>
      </c>
      <c r="I223">
        <v>0.235132012</v>
      </c>
      <c r="J223">
        <v>1.0893371650000001</v>
      </c>
      <c r="L223">
        <v>0.63705044899999996</v>
      </c>
      <c r="M223">
        <v>0.48979764199999998</v>
      </c>
      <c r="N223">
        <v>0.34005229199999998</v>
      </c>
      <c r="O223">
        <v>0.37751699999999999</v>
      </c>
      <c r="P223">
        <v>0.61646246699999996</v>
      </c>
      <c r="Q223">
        <v>2.0044697949999999</v>
      </c>
      <c r="R223">
        <v>0.41919099999999998</v>
      </c>
      <c r="S223">
        <v>-0.23402964400000001</v>
      </c>
      <c r="T223">
        <v>0.24066436999999999</v>
      </c>
      <c r="U223">
        <v>0.41545399999999999</v>
      </c>
      <c r="V223">
        <v>0.70142148800000004</v>
      </c>
      <c r="W223">
        <v>0.57704490600000002</v>
      </c>
      <c r="X223">
        <v>0.92082502300000002</v>
      </c>
      <c r="Y223">
        <v>0.59355999999999998</v>
      </c>
      <c r="Z223">
        <v>1.951682758</v>
      </c>
      <c r="AA223">
        <v>-0.99177342400000001</v>
      </c>
      <c r="AB223">
        <v>5.0339631000000003E-2</v>
      </c>
      <c r="AC223">
        <v>0.228678201</v>
      </c>
      <c r="AD223">
        <v>0.314341604</v>
      </c>
      <c r="AE223">
        <v>2.0218129560000002</v>
      </c>
      <c r="AF223">
        <v>-1.554092716</v>
      </c>
      <c r="AG223">
        <v>1.3807471140000001</v>
      </c>
      <c r="AH223">
        <v>0.78082600400000002</v>
      </c>
      <c r="AI223">
        <v>0.15526388299999999</v>
      </c>
      <c r="AJ223">
        <v>-1.484075443</v>
      </c>
      <c r="AK223">
        <v>1.1721250919999999</v>
      </c>
      <c r="AL223">
        <v>0.50667387200000003</v>
      </c>
      <c r="AM223">
        <v>1.2326548610000001</v>
      </c>
      <c r="AN223">
        <v>-0.45360012799999999</v>
      </c>
      <c r="AP223">
        <v>2.2399819889999999</v>
      </c>
      <c r="AQ223">
        <v>1.164433805</v>
      </c>
      <c r="AR223">
        <v>0.586902857</v>
      </c>
      <c r="AS223">
        <v>1.366468032</v>
      </c>
      <c r="AT223">
        <v>0.40352870400000002</v>
      </c>
      <c r="AU223">
        <v>1.131829481</v>
      </c>
    </row>
    <row r="224" spans="1:47" x14ac:dyDescent="0.2">
      <c r="A224" t="s">
        <v>288</v>
      </c>
      <c r="B224" s="74">
        <v>37622</v>
      </c>
      <c r="C224">
        <v>1.019056942</v>
      </c>
      <c r="D224">
        <v>0.81629020299999999</v>
      </c>
      <c r="E224">
        <v>-0.413995381</v>
      </c>
      <c r="F224">
        <v>0.37386693599999998</v>
      </c>
      <c r="G224">
        <v>1.0079755889999999</v>
      </c>
      <c r="H224">
        <v>0.54862090500000005</v>
      </c>
      <c r="I224">
        <v>-0.46964671099999999</v>
      </c>
      <c r="J224">
        <v>1.4532851529999999</v>
      </c>
      <c r="L224">
        <v>0.66296281300000004</v>
      </c>
      <c r="M224">
        <v>-0.13925285900000001</v>
      </c>
      <c r="N224">
        <v>-0.330022229</v>
      </c>
      <c r="O224">
        <v>0.21523900000000001</v>
      </c>
      <c r="P224">
        <v>0.76073692900000001</v>
      </c>
      <c r="Q224">
        <v>0.73202338099999997</v>
      </c>
      <c r="R224">
        <v>0.22445799999999999</v>
      </c>
      <c r="S224">
        <v>1.138140747</v>
      </c>
      <c r="T224">
        <v>0.234678256</v>
      </c>
      <c r="U224">
        <v>0.22442599999999999</v>
      </c>
      <c r="V224">
        <v>0.88004443600000004</v>
      </c>
      <c r="W224">
        <v>0.77102046599999996</v>
      </c>
      <c r="X224">
        <v>1.2203596029999999</v>
      </c>
      <c r="Y224">
        <v>7.8240000000000004E-2</v>
      </c>
      <c r="Z224">
        <v>0.83477411099999999</v>
      </c>
      <c r="AA224">
        <v>2.1044309120000002</v>
      </c>
      <c r="AB224">
        <v>-0.169399613</v>
      </c>
      <c r="AC224">
        <v>0.37146075499999998</v>
      </c>
      <c r="AD224">
        <v>0.27863518500000001</v>
      </c>
      <c r="AE224">
        <v>1.0973539919999999</v>
      </c>
      <c r="AF224">
        <v>-0.35045346500000002</v>
      </c>
      <c r="AG224">
        <v>3.9432101990000001</v>
      </c>
      <c r="AH224">
        <v>0.23539754800000001</v>
      </c>
      <c r="AI224">
        <v>0.14965119700000001</v>
      </c>
      <c r="AJ224">
        <v>1.1292031</v>
      </c>
      <c r="AK224">
        <v>1.331353746</v>
      </c>
      <c r="AL224">
        <v>0.33799247399999999</v>
      </c>
      <c r="AM224">
        <v>9.4280064999999996E-2</v>
      </c>
      <c r="AN224">
        <v>-0.74644120800000002</v>
      </c>
      <c r="AP224">
        <v>0.66891719500000002</v>
      </c>
      <c r="AQ224">
        <v>1.6868243380000001</v>
      </c>
      <c r="AR224">
        <v>0.16288681499999999</v>
      </c>
      <c r="AS224">
        <v>2.13363529</v>
      </c>
      <c r="AT224">
        <v>0.13065576700000001</v>
      </c>
      <c r="AU224">
        <v>0.83198865899999996</v>
      </c>
    </row>
    <row r="225" spans="1:47" x14ac:dyDescent="0.2">
      <c r="A225" t="s">
        <v>289</v>
      </c>
      <c r="B225" s="74">
        <v>37712</v>
      </c>
      <c r="C225">
        <v>3.695017177</v>
      </c>
      <c r="D225">
        <v>0.20273551100000001</v>
      </c>
      <c r="E225">
        <v>0.72598848299999996</v>
      </c>
      <c r="F225">
        <v>-0.26354319199999998</v>
      </c>
      <c r="G225">
        <v>-0.43870516700000001</v>
      </c>
      <c r="H225">
        <v>0.55332523499999997</v>
      </c>
      <c r="I225">
        <v>-0.74655713899999998</v>
      </c>
      <c r="J225">
        <v>1.421052776</v>
      </c>
      <c r="L225">
        <v>1.055680792</v>
      </c>
      <c r="M225">
        <v>-1.4903972080000001</v>
      </c>
      <c r="N225">
        <v>0.53590578200000005</v>
      </c>
      <c r="O225">
        <v>-0.32027899999999998</v>
      </c>
      <c r="P225">
        <v>0.93072099100000005</v>
      </c>
      <c r="Q225">
        <v>2.293805748</v>
      </c>
      <c r="R225">
        <v>-0.20868300000000001</v>
      </c>
      <c r="S225">
        <v>-0.70655442000000002</v>
      </c>
      <c r="T225">
        <v>0.111446582</v>
      </c>
      <c r="U225">
        <v>0.148589</v>
      </c>
      <c r="V225">
        <v>0.561056412</v>
      </c>
      <c r="W225">
        <v>2.0819525830000001</v>
      </c>
      <c r="X225">
        <v>0.79030435799999998</v>
      </c>
      <c r="Y225">
        <v>2.25109</v>
      </c>
      <c r="Z225">
        <v>-0.35251364299999999</v>
      </c>
      <c r="AA225">
        <v>1.177886743</v>
      </c>
      <c r="AB225">
        <v>1.2138590359999999</v>
      </c>
      <c r="AC225">
        <v>-0.34580155400000001</v>
      </c>
      <c r="AD225">
        <v>6.1742323000000002E-2</v>
      </c>
      <c r="AE225">
        <v>-0.65915983499999997</v>
      </c>
      <c r="AF225">
        <v>-0.12787351499999999</v>
      </c>
      <c r="AG225">
        <v>0.73093536400000003</v>
      </c>
      <c r="AH225">
        <v>0.23678360400000001</v>
      </c>
      <c r="AI225">
        <v>1.7344153000000001E-2</v>
      </c>
      <c r="AJ225">
        <v>2.3837247999999998E-2</v>
      </c>
      <c r="AK225">
        <v>0.55244637699999999</v>
      </c>
      <c r="AL225">
        <v>0.19832412099999999</v>
      </c>
      <c r="AM225">
        <v>0.34951247200000002</v>
      </c>
      <c r="AN225">
        <v>0.105061371</v>
      </c>
      <c r="AP225">
        <v>1.7759451209999999</v>
      </c>
      <c r="AQ225">
        <v>-2.1270773999999999E-2</v>
      </c>
      <c r="AR225">
        <v>1.173960951</v>
      </c>
      <c r="AS225">
        <v>8.3600699000000001E-2</v>
      </c>
      <c r="AT225">
        <v>0.51672318699999997</v>
      </c>
      <c r="AU225">
        <v>0.63476228000000001</v>
      </c>
    </row>
    <row r="226" spans="1:47" x14ac:dyDescent="0.2">
      <c r="A226" t="s">
        <v>290</v>
      </c>
      <c r="B226" s="74">
        <v>37803</v>
      </c>
      <c r="C226">
        <v>3.1643250489999999</v>
      </c>
      <c r="D226">
        <v>0.415978352</v>
      </c>
      <c r="E226">
        <v>0.11052387800000001</v>
      </c>
      <c r="F226">
        <v>0.21374045799999999</v>
      </c>
      <c r="G226">
        <v>-0.86186373400000005</v>
      </c>
      <c r="H226">
        <v>-0.14746372799999999</v>
      </c>
      <c r="I226">
        <v>8.1133312999999999E-2</v>
      </c>
      <c r="J226">
        <v>1.058676682</v>
      </c>
      <c r="L226">
        <v>1.051891208</v>
      </c>
      <c r="M226">
        <v>0.117964262</v>
      </c>
      <c r="N226">
        <v>-0.93001758300000004</v>
      </c>
      <c r="O226">
        <v>7.9502000000000003E-2</v>
      </c>
      <c r="P226">
        <v>0.52106276699999998</v>
      </c>
      <c r="Q226">
        <v>2.3157516720000002</v>
      </c>
      <c r="R226">
        <v>0.117718</v>
      </c>
      <c r="S226">
        <v>1.4383043150000001</v>
      </c>
      <c r="T226">
        <v>-0.23593948200000001</v>
      </c>
      <c r="U226">
        <v>0.56690399999999996</v>
      </c>
      <c r="V226">
        <v>0.76330763599999996</v>
      </c>
      <c r="W226">
        <v>1.771173645</v>
      </c>
      <c r="X226">
        <v>1.0326637949999999</v>
      </c>
      <c r="Y226">
        <v>2.5331999999999999</v>
      </c>
      <c r="Z226">
        <v>0.52974463599999999</v>
      </c>
      <c r="AA226">
        <v>-2.6017932899999998</v>
      </c>
      <c r="AB226">
        <v>-0.37122176200000001</v>
      </c>
      <c r="AC226">
        <v>-0.15979774199999999</v>
      </c>
      <c r="AD226">
        <v>0.68743837299999999</v>
      </c>
      <c r="AE226">
        <v>-0.154146863</v>
      </c>
      <c r="AF226">
        <v>2.5099130729999999</v>
      </c>
      <c r="AG226">
        <v>2.2847207479999998</v>
      </c>
      <c r="AH226">
        <v>0.23126754799999999</v>
      </c>
      <c r="AI226">
        <v>-0.34532982099999998</v>
      </c>
      <c r="AJ226">
        <v>-0.47619804199999999</v>
      </c>
      <c r="AK226">
        <v>0.43714019500000001</v>
      </c>
      <c r="AL226">
        <v>0.517437072</v>
      </c>
      <c r="AM226">
        <v>2.096758334</v>
      </c>
      <c r="AN226">
        <v>-0.88876152200000003</v>
      </c>
      <c r="AO226">
        <v>1.1154365420000001</v>
      </c>
      <c r="AP226">
        <v>1.5081912070000001</v>
      </c>
      <c r="AQ226">
        <v>0.18945120300000001</v>
      </c>
      <c r="AR226">
        <v>-0.58381770200000005</v>
      </c>
      <c r="AS226">
        <v>0.336326982</v>
      </c>
      <c r="AT226">
        <v>0.89337780099999997</v>
      </c>
      <c r="AU226">
        <v>0.48836950400000001</v>
      </c>
    </row>
    <row r="227" spans="1:47" x14ac:dyDescent="0.2">
      <c r="A227" t="s">
        <v>291</v>
      </c>
      <c r="B227" s="74">
        <v>37895</v>
      </c>
      <c r="C227">
        <v>2.4436381310000002</v>
      </c>
      <c r="D227">
        <v>1.736612697</v>
      </c>
      <c r="E227">
        <v>0.32561485400000001</v>
      </c>
      <c r="F227">
        <v>0.40899076499999998</v>
      </c>
      <c r="G227">
        <v>0.96175471499999998</v>
      </c>
      <c r="H227">
        <v>0.373654347</v>
      </c>
      <c r="I227">
        <v>0.99045054799999999</v>
      </c>
      <c r="J227">
        <v>0.65922470399999999</v>
      </c>
      <c r="L227">
        <v>1.075444689</v>
      </c>
      <c r="M227">
        <v>0.76587593499999995</v>
      </c>
      <c r="N227">
        <v>0.34346635599999997</v>
      </c>
      <c r="O227">
        <v>0.54109099999999999</v>
      </c>
      <c r="P227">
        <v>0.65942963499999996</v>
      </c>
      <c r="Q227">
        <v>0.98363793200000005</v>
      </c>
      <c r="R227">
        <v>0.60395600000000005</v>
      </c>
      <c r="S227">
        <v>1.1961620470000001</v>
      </c>
      <c r="T227">
        <v>0.67281973900000003</v>
      </c>
      <c r="U227">
        <v>1.0545929999999999</v>
      </c>
      <c r="V227">
        <v>0.98198584499999997</v>
      </c>
      <c r="W227">
        <v>0.62731859400000001</v>
      </c>
      <c r="X227">
        <v>1.1977987480000001</v>
      </c>
      <c r="Y227">
        <v>2.6321099999999999</v>
      </c>
      <c r="Z227">
        <v>0.87483786900000005</v>
      </c>
      <c r="AA227">
        <v>3.4536046000000001E-2</v>
      </c>
      <c r="AB227">
        <v>0.79768573799999998</v>
      </c>
      <c r="AC227">
        <v>-7.2138451000000006E-2</v>
      </c>
      <c r="AD227">
        <v>0.29495215899999999</v>
      </c>
      <c r="AE227">
        <v>1.9326695089999999</v>
      </c>
      <c r="AF227">
        <v>1.0593181819999999</v>
      </c>
      <c r="AG227">
        <v>2.2735578240000001</v>
      </c>
      <c r="AH227">
        <v>-3.9227583000000003E-2</v>
      </c>
      <c r="AI227">
        <v>8.8712713999999998E-2</v>
      </c>
      <c r="AJ227">
        <v>1.4050985250000001</v>
      </c>
      <c r="AK227">
        <v>2.107215906</v>
      </c>
      <c r="AL227">
        <v>1.048769689</v>
      </c>
      <c r="AM227">
        <v>1.1135982390000001</v>
      </c>
      <c r="AN227">
        <v>0.88737015500000005</v>
      </c>
      <c r="AO227">
        <v>1.6881671840000001</v>
      </c>
      <c r="AP227">
        <v>0.40027548499999999</v>
      </c>
      <c r="AQ227">
        <v>1.441291825</v>
      </c>
      <c r="AR227">
        <v>1.447878531</v>
      </c>
      <c r="AS227">
        <v>2.8512124029999999</v>
      </c>
      <c r="AT227">
        <v>1.6668962700000001</v>
      </c>
      <c r="AU227">
        <v>0.54269058199999998</v>
      </c>
    </row>
    <row r="228" spans="1:47" x14ac:dyDescent="0.2">
      <c r="A228" t="s">
        <v>292</v>
      </c>
      <c r="B228" s="74">
        <v>37987</v>
      </c>
      <c r="C228">
        <v>1.8764988899999999</v>
      </c>
      <c r="D228">
        <v>1.640439956</v>
      </c>
      <c r="E228">
        <v>0.146753206</v>
      </c>
      <c r="F228">
        <v>0.69560345899999998</v>
      </c>
      <c r="G228">
        <v>1.0330708710000001</v>
      </c>
      <c r="H228">
        <v>0.68995918099999998</v>
      </c>
      <c r="I228">
        <v>1.206452444</v>
      </c>
      <c r="J228">
        <v>0.54262299400000003</v>
      </c>
      <c r="L228">
        <v>0.81300236800000003</v>
      </c>
      <c r="M228">
        <v>0.26894256</v>
      </c>
      <c r="N228">
        <v>1.8629828100000001</v>
      </c>
      <c r="O228">
        <v>0.723271</v>
      </c>
      <c r="P228">
        <v>0.86449595899999998</v>
      </c>
      <c r="Q228">
        <v>2.611120718</v>
      </c>
      <c r="R228">
        <v>0.74173900000000004</v>
      </c>
      <c r="S228">
        <v>0.18330840100000001</v>
      </c>
      <c r="T228">
        <v>0.68362229500000005</v>
      </c>
      <c r="U228">
        <v>0.95635300000000001</v>
      </c>
      <c r="V228">
        <v>0.79102715499999998</v>
      </c>
      <c r="W228">
        <v>2.1371795480000002</v>
      </c>
      <c r="X228">
        <v>1.017297216</v>
      </c>
      <c r="Y228">
        <v>3.28321</v>
      </c>
      <c r="Z228">
        <v>5.0249603130000002</v>
      </c>
      <c r="AA228">
        <v>3.384300439</v>
      </c>
      <c r="AB228">
        <v>0.35277102700000001</v>
      </c>
      <c r="AC228">
        <v>0.93543254600000003</v>
      </c>
      <c r="AD228">
        <v>1.0890290979999999</v>
      </c>
      <c r="AE228">
        <v>2.6394795860000002</v>
      </c>
      <c r="AF228">
        <v>3.7622261340000001</v>
      </c>
      <c r="AG228">
        <v>1.162933942</v>
      </c>
      <c r="AH228">
        <v>1.100260934</v>
      </c>
      <c r="AI228">
        <v>0.53539578399999999</v>
      </c>
      <c r="AJ228">
        <v>3.2057519999999999E-2</v>
      </c>
      <c r="AK228">
        <v>1.3043883350000001</v>
      </c>
      <c r="AL228">
        <v>1.0649047220000001</v>
      </c>
      <c r="AM228">
        <v>0.28006102900000002</v>
      </c>
      <c r="AN228">
        <v>0.37779749600000001</v>
      </c>
      <c r="AO228">
        <v>1.8238187690000001</v>
      </c>
      <c r="AP228">
        <v>1.6814274769999999</v>
      </c>
      <c r="AQ228">
        <v>0.63605976200000003</v>
      </c>
      <c r="AR228">
        <v>0.63099570900000002</v>
      </c>
      <c r="AS228">
        <v>3.0230130769999999</v>
      </c>
      <c r="AT228">
        <v>1.154045728</v>
      </c>
      <c r="AU228">
        <v>0.57693127200000005</v>
      </c>
    </row>
    <row r="229" spans="1:47" x14ac:dyDescent="0.2">
      <c r="A229" t="s">
        <v>293</v>
      </c>
      <c r="B229" s="74">
        <v>38078</v>
      </c>
      <c r="C229">
        <v>3.2337525</v>
      </c>
      <c r="D229">
        <v>0.78516341199999995</v>
      </c>
      <c r="E229">
        <v>0.95697234799999997</v>
      </c>
      <c r="F229">
        <v>1.498661289</v>
      </c>
      <c r="G229">
        <v>1.399135215</v>
      </c>
      <c r="H229">
        <v>0.72026758700000004</v>
      </c>
      <c r="I229">
        <v>0.57165892200000001</v>
      </c>
      <c r="J229">
        <v>2.1062652650000002</v>
      </c>
      <c r="L229">
        <v>1.0657318469999999</v>
      </c>
      <c r="M229">
        <v>-0.17199453100000001</v>
      </c>
      <c r="N229">
        <v>0.48161750199999998</v>
      </c>
      <c r="O229">
        <v>0.50836400000000004</v>
      </c>
      <c r="P229">
        <v>0.60304358199999997</v>
      </c>
      <c r="Q229">
        <v>2.3190774420000002</v>
      </c>
      <c r="R229">
        <v>0.65060300000000004</v>
      </c>
      <c r="S229">
        <v>1.276604694</v>
      </c>
      <c r="T229">
        <v>0.98506012700000001</v>
      </c>
      <c r="U229">
        <v>0.52382099999999998</v>
      </c>
      <c r="V229">
        <v>0.44692334700000003</v>
      </c>
      <c r="W229">
        <v>1.8285645370000001</v>
      </c>
      <c r="X229">
        <v>1.540169229</v>
      </c>
      <c r="Y229">
        <v>0.36448999999999998</v>
      </c>
      <c r="Z229">
        <v>7.6458309999999996E-3</v>
      </c>
      <c r="AA229">
        <v>3.546260695</v>
      </c>
      <c r="AB229">
        <v>2.500824744</v>
      </c>
      <c r="AC229">
        <v>0.21292783100000001</v>
      </c>
      <c r="AD229">
        <v>0.73424959899999998</v>
      </c>
      <c r="AE229">
        <v>1.254800591</v>
      </c>
      <c r="AF229">
        <v>-0.64223704299999995</v>
      </c>
      <c r="AG229">
        <v>3.4963484280000001</v>
      </c>
      <c r="AH229">
        <v>1.409002308</v>
      </c>
      <c r="AI229">
        <v>0.90523695299999996</v>
      </c>
      <c r="AJ229">
        <v>3.5426514519999999</v>
      </c>
      <c r="AK229">
        <v>1.7060608850000001</v>
      </c>
      <c r="AL229">
        <v>0.77477458399999999</v>
      </c>
      <c r="AM229">
        <v>2.9871741169999999</v>
      </c>
      <c r="AN229">
        <v>0.90289461599999998</v>
      </c>
      <c r="AO229">
        <v>1.8786669309999999</v>
      </c>
      <c r="AP229">
        <v>1.2979685480000001</v>
      </c>
      <c r="AQ229">
        <v>0.994716237</v>
      </c>
      <c r="AR229">
        <v>1.8330136990000001</v>
      </c>
      <c r="AS229">
        <v>2.7542829950000001</v>
      </c>
      <c r="AT229">
        <v>0.572916486</v>
      </c>
      <c r="AU229">
        <v>1.513781636</v>
      </c>
    </row>
    <row r="230" spans="1:47" x14ac:dyDescent="0.2">
      <c r="A230" t="s">
        <v>294</v>
      </c>
      <c r="B230" s="74">
        <v>38169</v>
      </c>
      <c r="C230">
        <v>-1.1039141690000001</v>
      </c>
      <c r="D230">
        <v>0.66328708999999997</v>
      </c>
      <c r="E230">
        <v>0.84589860699999997</v>
      </c>
      <c r="F230">
        <v>0.96151650099999997</v>
      </c>
      <c r="G230">
        <v>2.7383070599999999</v>
      </c>
      <c r="H230">
        <v>1.1878190150000001</v>
      </c>
      <c r="I230">
        <v>0.74535791900000004</v>
      </c>
      <c r="J230">
        <v>1.922414893</v>
      </c>
      <c r="L230">
        <v>1.234532121</v>
      </c>
      <c r="M230">
        <v>0.50232971599999998</v>
      </c>
      <c r="N230">
        <v>0.59538165200000004</v>
      </c>
      <c r="O230">
        <v>0.61577400000000004</v>
      </c>
      <c r="P230">
        <v>0.97698308</v>
      </c>
      <c r="Q230">
        <v>-0.67963418499999995</v>
      </c>
      <c r="R230">
        <v>0.63449800000000001</v>
      </c>
      <c r="S230">
        <v>0.85972380900000001</v>
      </c>
      <c r="T230">
        <v>0.56669689199999995</v>
      </c>
      <c r="U230">
        <v>0.59050800000000003</v>
      </c>
      <c r="V230">
        <v>0.54316136999999998</v>
      </c>
      <c r="W230">
        <v>-1.8592187999999999E-2</v>
      </c>
      <c r="X230">
        <v>1.1905148169999999</v>
      </c>
      <c r="Y230">
        <v>2.3781699999999999</v>
      </c>
      <c r="Z230">
        <v>2.2587906919999998</v>
      </c>
      <c r="AA230">
        <v>-0.63823813200000001</v>
      </c>
      <c r="AB230">
        <v>0.844120286</v>
      </c>
      <c r="AC230">
        <v>0.42425089399999999</v>
      </c>
      <c r="AD230">
        <v>1.5309961E-2</v>
      </c>
      <c r="AE230">
        <v>0.76349936900000004</v>
      </c>
      <c r="AF230">
        <v>0.117532252</v>
      </c>
      <c r="AG230">
        <v>1.234496979</v>
      </c>
      <c r="AH230">
        <v>1.5435012640000001</v>
      </c>
      <c r="AI230">
        <v>0.47679610300000003</v>
      </c>
      <c r="AJ230">
        <v>0.20587788300000001</v>
      </c>
      <c r="AK230">
        <v>0.86358909399999995</v>
      </c>
      <c r="AL230">
        <v>0.69690294200000003</v>
      </c>
      <c r="AM230">
        <v>0.809345804</v>
      </c>
      <c r="AN230">
        <v>0.57209478999999996</v>
      </c>
      <c r="AO230">
        <v>1.9271840410000001</v>
      </c>
      <c r="AP230">
        <v>0.66681930099999998</v>
      </c>
      <c r="AQ230">
        <v>1.250201428</v>
      </c>
      <c r="AR230">
        <v>0.41268173600000002</v>
      </c>
      <c r="AS230">
        <v>2.328300885</v>
      </c>
      <c r="AT230">
        <v>0.77873875800000003</v>
      </c>
      <c r="AU230">
        <v>1.397449924</v>
      </c>
    </row>
    <row r="231" spans="1:47" x14ac:dyDescent="0.2">
      <c r="A231" t="s">
        <v>295</v>
      </c>
      <c r="B231" s="74">
        <v>38261</v>
      </c>
      <c r="C231">
        <v>5.0254570699999999</v>
      </c>
      <c r="D231">
        <v>0.77241989099999997</v>
      </c>
      <c r="E231">
        <v>1.0016310500000001</v>
      </c>
      <c r="F231">
        <v>0.87205356700000003</v>
      </c>
      <c r="G231">
        <v>1.26960714</v>
      </c>
      <c r="H231">
        <v>1.1804355769999999</v>
      </c>
      <c r="I231">
        <v>4.6007053999999999E-2</v>
      </c>
      <c r="J231">
        <v>2.6181715479999998</v>
      </c>
      <c r="L231">
        <v>1.4518295590000001</v>
      </c>
      <c r="M231">
        <v>-0.18597518800000001</v>
      </c>
      <c r="N231">
        <v>0.235625688</v>
      </c>
      <c r="O231">
        <v>0.25011499999999998</v>
      </c>
      <c r="P231">
        <v>0.94041857500000003</v>
      </c>
      <c r="Q231">
        <v>2.2613463340000002</v>
      </c>
      <c r="R231">
        <v>0.29968299999999998</v>
      </c>
      <c r="S231">
        <v>1.085054253</v>
      </c>
      <c r="T231">
        <v>0.29253613000000001</v>
      </c>
      <c r="U231">
        <v>0.61986300000000005</v>
      </c>
      <c r="V231">
        <v>0.24669328400000001</v>
      </c>
      <c r="W231">
        <v>1.334459386</v>
      </c>
      <c r="X231">
        <v>1.203585117</v>
      </c>
      <c r="Y231">
        <v>2.39764</v>
      </c>
      <c r="Z231">
        <v>-0.48311152200000002</v>
      </c>
      <c r="AA231">
        <v>4.7524337230000002</v>
      </c>
      <c r="AB231">
        <v>1.2010403650000001</v>
      </c>
      <c r="AC231">
        <v>-1.0942477000000001E-2</v>
      </c>
      <c r="AD231">
        <v>0.61138783100000005</v>
      </c>
      <c r="AE231">
        <v>0.40558612900000002</v>
      </c>
      <c r="AF231">
        <v>2.3377391240000001</v>
      </c>
      <c r="AG231">
        <v>0.531190469</v>
      </c>
      <c r="AH231">
        <v>-0.21501161299999999</v>
      </c>
      <c r="AI231">
        <v>0.14938823900000001</v>
      </c>
      <c r="AJ231">
        <v>-1.154684096</v>
      </c>
      <c r="AK231">
        <v>0.28689259499999997</v>
      </c>
      <c r="AL231">
        <v>0.604790983</v>
      </c>
      <c r="AM231">
        <v>-0.50365247700000004</v>
      </c>
      <c r="AN231">
        <v>3.9396611999999998E-2</v>
      </c>
      <c r="AO231">
        <v>1.514535194</v>
      </c>
      <c r="AP231">
        <v>2.312370713</v>
      </c>
      <c r="AQ231">
        <v>0.98564124399999997</v>
      </c>
      <c r="AR231">
        <v>0.78526696500000004</v>
      </c>
      <c r="AS231">
        <v>1.1277305360000001</v>
      </c>
      <c r="AT231">
        <v>0.94124722500000002</v>
      </c>
      <c r="AU231">
        <v>1.6351179389999999</v>
      </c>
    </row>
    <row r="232" spans="1:47" x14ac:dyDescent="0.2">
      <c r="A232" t="s">
        <v>296</v>
      </c>
      <c r="B232" s="74">
        <v>38353</v>
      </c>
      <c r="C232">
        <v>1.4436239850000001</v>
      </c>
      <c r="D232">
        <v>0.75227193199999998</v>
      </c>
      <c r="E232">
        <v>0.34825806100000001</v>
      </c>
      <c r="F232">
        <v>0.356570198</v>
      </c>
      <c r="G232">
        <v>0.76479916699999995</v>
      </c>
      <c r="H232">
        <v>0.71842654399999994</v>
      </c>
      <c r="I232">
        <v>0.17053336599999999</v>
      </c>
      <c r="J232">
        <v>1.6222611739999999</v>
      </c>
      <c r="L232">
        <v>1.8685639009999999</v>
      </c>
      <c r="M232">
        <v>-0.104814134</v>
      </c>
      <c r="N232">
        <v>1.0808733800000001</v>
      </c>
      <c r="O232">
        <v>0.35830000000000001</v>
      </c>
      <c r="P232">
        <v>0.68431095900000005</v>
      </c>
      <c r="Q232">
        <v>2.0785036290000001</v>
      </c>
      <c r="R232">
        <v>0.43684099999999998</v>
      </c>
      <c r="S232">
        <v>1.5052142740000001</v>
      </c>
      <c r="T232">
        <v>0.74166326500000002</v>
      </c>
      <c r="U232">
        <v>0.58276300000000003</v>
      </c>
      <c r="V232">
        <v>0.348659208</v>
      </c>
      <c r="W232">
        <v>-0.381337288</v>
      </c>
      <c r="X232">
        <v>0.38477610800000001</v>
      </c>
      <c r="Y232">
        <v>1.9366099999999999</v>
      </c>
      <c r="Z232">
        <v>2.2145325520000001</v>
      </c>
      <c r="AA232">
        <v>1.256097974</v>
      </c>
      <c r="AB232">
        <v>1.230708594</v>
      </c>
      <c r="AC232">
        <v>0.26025499000000002</v>
      </c>
      <c r="AD232">
        <v>-0.19220315299999999</v>
      </c>
      <c r="AE232">
        <v>0.75793377399999995</v>
      </c>
      <c r="AF232">
        <v>-1.079093839</v>
      </c>
      <c r="AG232">
        <v>2.2223100279999999</v>
      </c>
      <c r="AH232">
        <v>1.3262536570000001</v>
      </c>
      <c r="AI232">
        <v>0.21801400900000001</v>
      </c>
      <c r="AJ232">
        <v>0.982498333</v>
      </c>
      <c r="AK232">
        <v>0.35088503500000001</v>
      </c>
      <c r="AL232">
        <v>0.68615835300000005</v>
      </c>
      <c r="AM232">
        <v>1.0601645749999999</v>
      </c>
      <c r="AN232">
        <v>-0.295723234</v>
      </c>
      <c r="AO232">
        <v>1.1181707839999999</v>
      </c>
      <c r="AP232">
        <v>1.5342254820000001</v>
      </c>
      <c r="AQ232">
        <v>0.40334617299999997</v>
      </c>
      <c r="AR232">
        <v>0.84152148900000001</v>
      </c>
      <c r="AS232">
        <v>1.622484668</v>
      </c>
      <c r="AT232">
        <v>1.0220273689999999</v>
      </c>
      <c r="AU232">
        <v>1.067930101</v>
      </c>
    </row>
    <row r="233" spans="1:47" x14ac:dyDescent="0.2">
      <c r="A233" t="s">
        <v>297</v>
      </c>
      <c r="B233" s="74">
        <v>38443</v>
      </c>
      <c r="C233">
        <v>2.8921312850000001</v>
      </c>
      <c r="D233">
        <v>0.76401228499999996</v>
      </c>
      <c r="E233">
        <v>-8.5154699E-2</v>
      </c>
      <c r="F233">
        <v>0.526251103</v>
      </c>
      <c r="G233">
        <v>0.73329732400000003</v>
      </c>
      <c r="H233">
        <v>0.34606659499999998</v>
      </c>
      <c r="I233">
        <v>0.76912680600000005</v>
      </c>
      <c r="J233">
        <v>0.113133549</v>
      </c>
      <c r="L233">
        <v>1.718163938</v>
      </c>
      <c r="M233">
        <v>2.8892190000000002E-3</v>
      </c>
      <c r="N233">
        <v>-0.362985061</v>
      </c>
      <c r="O233">
        <v>0.232686</v>
      </c>
      <c r="P233">
        <v>0.97628954199999995</v>
      </c>
      <c r="Q233">
        <v>1.756259341</v>
      </c>
      <c r="R233">
        <v>0.26990599999999998</v>
      </c>
      <c r="S233">
        <v>0.98926457300000004</v>
      </c>
      <c r="T233">
        <v>0.237083396</v>
      </c>
      <c r="U233">
        <v>0.68455299999999997</v>
      </c>
      <c r="V233">
        <v>0.60775648900000001</v>
      </c>
      <c r="W233">
        <v>-0.588090483</v>
      </c>
      <c r="X233">
        <v>0.983327285</v>
      </c>
      <c r="Y233">
        <v>1.7509699999999999</v>
      </c>
      <c r="Z233">
        <v>2.067765267</v>
      </c>
      <c r="AA233">
        <v>-3.2198668779999999</v>
      </c>
      <c r="AB233">
        <v>0.67872995999999997</v>
      </c>
      <c r="AC233">
        <v>-0.20287101699999999</v>
      </c>
      <c r="AD233">
        <v>0.51487848000000003</v>
      </c>
      <c r="AE233">
        <v>0.85090336899999997</v>
      </c>
      <c r="AF233">
        <v>-0.82779179700000005</v>
      </c>
      <c r="AG233">
        <v>2.8332581729999999</v>
      </c>
      <c r="AH233">
        <v>0.161296143</v>
      </c>
      <c r="AI233">
        <v>0.322858268</v>
      </c>
      <c r="AJ233">
        <v>1.6300841699999999</v>
      </c>
      <c r="AK233">
        <v>1.1670118709999999</v>
      </c>
      <c r="AL233">
        <v>0.75186296900000005</v>
      </c>
      <c r="AM233">
        <v>1.10186842</v>
      </c>
      <c r="AN233">
        <v>0.76901277800000001</v>
      </c>
      <c r="AO233">
        <v>1.7480820589999999</v>
      </c>
      <c r="AP233">
        <v>1.2396803750000001</v>
      </c>
      <c r="AQ233">
        <v>0.91521033500000004</v>
      </c>
      <c r="AR233">
        <v>0.43276346999999998</v>
      </c>
      <c r="AS233">
        <v>4.6099516109999996</v>
      </c>
      <c r="AT233">
        <v>1.110882508</v>
      </c>
      <c r="AU233">
        <v>1.0165997529999999</v>
      </c>
    </row>
    <row r="234" spans="1:47" x14ac:dyDescent="0.2">
      <c r="A234" t="s">
        <v>298</v>
      </c>
      <c r="B234" s="74">
        <v>38534</v>
      </c>
      <c r="C234">
        <v>2.0890694660000002</v>
      </c>
      <c r="D234">
        <v>0.43881546100000002</v>
      </c>
      <c r="E234">
        <v>1.1581748510000001</v>
      </c>
      <c r="F234">
        <v>0.59907526799999999</v>
      </c>
      <c r="G234">
        <v>1.369830981</v>
      </c>
      <c r="H234">
        <v>0.72552270699999999</v>
      </c>
      <c r="I234">
        <v>1.2063109789999999</v>
      </c>
      <c r="J234">
        <v>1.660761948</v>
      </c>
      <c r="L234">
        <v>1.5272647260000001</v>
      </c>
      <c r="M234">
        <v>0.52459768399999995</v>
      </c>
      <c r="N234">
        <v>1.968906957</v>
      </c>
      <c r="O234">
        <v>0.58657099999999995</v>
      </c>
      <c r="P234">
        <v>0.88207344399999998</v>
      </c>
      <c r="Q234">
        <v>3.9599282410000001</v>
      </c>
      <c r="R234">
        <v>0.63621000000000005</v>
      </c>
      <c r="S234">
        <v>-1.1961532349999999</v>
      </c>
      <c r="T234">
        <v>0.27448331399999998</v>
      </c>
      <c r="U234">
        <v>0.58392500000000003</v>
      </c>
      <c r="V234">
        <v>0.96331852299999998</v>
      </c>
      <c r="W234">
        <v>0.23781521799999999</v>
      </c>
      <c r="X234">
        <v>1.952751903</v>
      </c>
      <c r="Y234">
        <v>3.1669</v>
      </c>
      <c r="Z234">
        <v>1.905069661</v>
      </c>
      <c r="AA234">
        <v>7.6245016039999998</v>
      </c>
      <c r="AB234">
        <v>1.029346213</v>
      </c>
      <c r="AC234">
        <v>0.74462944200000003</v>
      </c>
      <c r="AD234">
        <v>0.77892631599999995</v>
      </c>
      <c r="AE234">
        <v>1.8870628620000001</v>
      </c>
      <c r="AF234">
        <v>0.81425576099999997</v>
      </c>
      <c r="AG234">
        <v>2.1563616790000002</v>
      </c>
      <c r="AH234">
        <v>0.29001728300000001</v>
      </c>
      <c r="AI234">
        <v>0.703469864</v>
      </c>
      <c r="AJ234">
        <v>0.52440637300000004</v>
      </c>
      <c r="AK234">
        <v>1.598238855</v>
      </c>
      <c r="AL234">
        <v>0.67391749899999998</v>
      </c>
      <c r="AM234">
        <v>0.14735405500000001</v>
      </c>
      <c r="AN234">
        <v>0.368647118</v>
      </c>
      <c r="AO234">
        <v>1.522295172</v>
      </c>
      <c r="AP234">
        <v>2.093761245</v>
      </c>
      <c r="AQ234">
        <v>1.7349993029999999</v>
      </c>
      <c r="AR234">
        <v>0.658503159</v>
      </c>
      <c r="AS234">
        <v>0.42215947599999998</v>
      </c>
      <c r="AT234">
        <v>0.48660447800000001</v>
      </c>
      <c r="AU234">
        <v>1.794553973</v>
      </c>
    </row>
    <row r="235" spans="1:47" x14ac:dyDescent="0.2">
      <c r="A235" t="s">
        <v>299</v>
      </c>
      <c r="B235" s="74">
        <v>38626</v>
      </c>
      <c r="C235">
        <v>0.73594555699999997</v>
      </c>
      <c r="D235">
        <v>1.124947677</v>
      </c>
      <c r="E235">
        <v>0.74334220100000004</v>
      </c>
      <c r="F235">
        <v>0.395532035</v>
      </c>
      <c r="G235">
        <v>-0.73962421599999995</v>
      </c>
      <c r="H235">
        <v>1.211374835</v>
      </c>
      <c r="I235">
        <v>1.1353000360000001</v>
      </c>
      <c r="J235">
        <v>2.4313185480000001</v>
      </c>
      <c r="L235">
        <v>1.493346037</v>
      </c>
      <c r="M235">
        <v>0.85817236299999999</v>
      </c>
      <c r="N235">
        <v>0.11133501699999999</v>
      </c>
      <c r="O235">
        <v>0.75299300000000002</v>
      </c>
      <c r="P235">
        <v>0.96699551299999997</v>
      </c>
      <c r="Q235">
        <v>2.3948410770000002</v>
      </c>
      <c r="R235">
        <v>0.79989100000000002</v>
      </c>
      <c r="S235">
        <v>1.4479346820000001</v>
      </c>
      <c r="T235">
        <v>0.53252793799999998</v>
      </c>
      <c r="U235">
        <v>0.82493000000000005</v>
      </c>
      <c r="V235">
        <v>0.88209292399999994</v>
      </c>
      <c r="W235">
        <v>1.3908431649999999</v>
      </c>
      <c r="X235">
        <v>0.73497186299999995</v>
      </c>
      <c r="Y235">
        <v>1.3914200000000001</v>
      </c>
      <c r="Z235">
        <v>-0.91643887999999996</v>
      </c>
      <c r="AA235">
        <v>0.29295166</v>
      </c>
      <c r="AB235">
        <v>1.267830346</v>
      </c>
      <c r="AC235">
        <v>0.62458956300000001</v>
      </c>
      <c r="AD235">
        <v>1.012664528</v>
      </c>
      <c r="AE235">
        <v>1.5053308940000001</v>
      </c>
      <c r="AF235">
        <v>2.0172064760000001</v>
      </c>
      <c r="AG235">
        <v>4.9527666869999996</v>
      </c>
      <c r="AH235">
        <v>0.84113850099999998</v>
      </c>
      <c r="AI235">
        <v>1.342952261</v>
      </c>
      <c r="AJ235">
        <v>0.82956187999999997</v>
      </c>
      <c r="AK235">
        <v>0.48753006399999999</v>
      </c>
      <c r="AL235">
        <v>0.901033941</v>
      </c>
      <c r="AM235">
        <v>1.932599951</v>
      </c>
      <c r="AN235">
        <v>-0.47193728299999999</v>
      </c>
      <c r="AO235">
        <v>1.762204946</v>
      </c>
      <c r="AP235">
        <v>1.635393028</v>
      </c>
      <c r="AQ235">
        <v>0.82542667300000006</v>
      </c>
      <c r="AR235">
        <v>1.1961881379999999</v>
      </c>
      <c r="AS235">
        <v>1.4119712600000001</v>
      </c>
      <c r="AT235">
        <v>0.78562198000000005</v>
      </c>
      <c r="AU235">
        <v>1.3636185510000001</v>
      </c>
    </row>
    <row r="236" spans="1:47" x14ac:dyDescent="0.2">
      <c r="A236" t="s">
        <v>300</v>
      </c>
      <c r="B236" s="74">
        <v>38718</v>
      </c>
      <c r="C236">
        <v>1.954373956</v>
      </c>
      <c r="D236">
        <v>0.76289359199999995</v>
      </c>
      <c r="E236">
        <v>0.89741454399999998</v>
      </c>
      <c r="F236">
        <v>0.76703826399999997</v>
      </c>
      <c r="G236">
        <v>1.2289865010000001</v>
      </c>
      <c r="H236">
        <v>0.988734322</v>
      </c>
      <c r="I236">
        <v>0.94752731800000001</v>
      </c>
      <c r="J236">
        <v>1.202331316</v>
      </c>
      <c r="L236">
        <v>1.8493126790000001</v>
      </c>
      <c r="M236">
        <v>0.47142782</v>
      </c>
      <c r="N236">
        <v>0.32472337200000001</v>
      </c>
      <c r="O236">
        <v>0.62616099999999997</v>
      </c>
      <c r="P236">
        <v>1.0138666300000001</v>
      </c>
      <c r="Q236">
        <v>2.3092390639999998</v>
      </c>
      <c r="R236">
        <v>0.68301999999999996</v>
      </c>
      <c r="S236">
        <v>0.28743606999999999</v>
      </c>
      <c r="T236">
        <v>0.67494969400000004</v>
      </c>
      <c r="U236">
        <v>0.53554900000000005</v>
      </c>
      <c r="V236">
        <v>1.092055496</v>
      </c>
      <c r="W236">
        <v>0.50101551600000005</v>
      </c>
      <c r="X236">
        <v>1.1228739240000001</v>
      </c>
      <c r="Y236">
        <v>2.5279099999999999</v>
      </c>
      <c r="Z236">
        <v>3.044171489</v>
      </c>
      <c r="AA236">
        <v>1.7357564080000001</v>
      </c>
      <c r="AB236">
        <v>1.76861461</v>
      </c>
      <c r="AC236">
        <v>0.15086590999999999</v>
      </c>
      <c r="AD236">
        <v>0.17661956600000001</v>
      </c>
      <c r="AE236">
        <v>1.0124646660000001</v>
      </c>
      <c r="AF236">
        <v>5.1834518599999999</v>
      </c>
      <c r="AG236">
        <v>3.6903142560000002</v>
      </c>
      <c r="AH236">
        <v>1.6702430049999999</v>
      </c>
      <c r="AI236">
        <v>0.63055092499999998</v>
      </c>
      <c r="AJ236">
        <v>0.2250289</v>
      </c>
      <c r="AK236">
        <v>-0.40322580600000002</v>
      </c>
      <c r="AL236">
        <v>0.75567585500000001</v>
      </c>
      <c r="AM236">
        <v>1.8394144459999999</v>
      </c>
      <c r="AN236">
        <v>0.13303493999999999</v>
      </c>
      <c r="AO236">
        <v>2.0628404740000001</v>
      </c>
      <c r="AP236">
        <v>1.4614652260000001</v>
      </c>
      <c r="AQ236">
        <v>1.756726537</v>
      </c>
      <c r="AR236">
        <v>0.67987434700000005</v>
      </c>
      <c r="AS236">
        <v>3.3068041410000002</v>
      </c>
      <c r="AT236">
        <v>0.56792823800000003</v>
      </c>
      <c r="AU236">
        <v>0.66935607399999997</v>
      </c>
    </row>
    <row r="237" spans="1:47" x14ac:dyDescent="0.2">
      <c r="A237" t="s">
        <v>301</v>
      </c>
      <c r="B237" s="74">
        <v>38808</v>
      </c>
      <c r="C237">
        <v>2.5825447719999999</v>
      </c>
      <c r="D237">
        <v>0.112398014</v>
      </c>
      <c r="E237">
        <v>1.093528088</v>
      </c>
      <c r="F237">
        <v>0.61485704299999999</v>
      </c>
      <c r="G237">
        <v>1.7325751009999999</v>
      </c>
      <c r="H237">
        <v>0.81099541100000005</v>
      </c>
      <c r="I237">
        <v>1.117069176</v>
      </c>
      <c r="J237">
        <v>0.90437113099999999</v>
      </c>
      <c r="L237">
        <v>1.839711359</v>
      </c>
      <c r="M237">
        <v>0.96704201899999997</v>
      </c>
      <c r="N237">
        <v>1.2566610410000001</v>
      </c>
      <c r="O237">
        <v>0.88335799999999998</v>
      </c>
      <c r="P237">
        <v>1.145103991</v>
      </c>
      <c r="Q237">
        <v>2.297258078</v>
      </c>
      <c r="R237">
        <v>0.95140899999999995</v>
      </c>
      <c r="S237">
        <v>2.4945148349999999</v>
      </c>
      <c r="T237">
        <v>0.788943379</v>
      </c>
      <c r="U237">
        <v>0.92779299999999998</v>
      </c>
      <c r="V237">
        <v>0.52996235000000003</v>
      </c>
      <c r="W237">
        <v>3.2582208709999998</v>
      </c>
      <c r="X237">
        <v>0.79912139500000001</v>
      </c>
      <c r="Y237">
        <v>2.5055700000000001</v>
      </c>
      <c r="Z237">
        <v>1.880706972</v>
      </c>
      <c r="AA237">
        <v>-0.57156575300000001</v>
      </c>
      <c r="AB237">
        <v>1.791819533</v>
      </c>
      <c r="AC237">
        <v>0.21930205799999999</v>
      </c>
      <c r="AD237">
        <v>0.15882258299999999</v>
      </c>
      <c r="AE237">
        <v>1.639117138</v>
      </c>
      <c r="AF237">
        <v>8.4699513000000004E-2</v>
      </c>
      <c r="AG237">
        <v>-0.60842256500000003</v>
      </c>
      <c r="AH237">
        <v>1.756034753</v>
      </c>
      <c r="AI237">
        <v>0.62393787499999998</v>
      </c>
      <c r="AJ237">
        <v>0.63998608400000001</v>
      </c>
      <c r="AK237">
        <v>1.64541341</v>
      </c>
      <c r="AL237">
        <v>1.033533359</v>
      </c>
      <c r="AM237">
        <v>1.503304263</v>
      </c>
      <c r="AN237">
        <v>0.81739264499999997</v>
      </c>
      <c r="AO237">
        <v>1.930605205</v>
      </c>
      <c r="AP237">
        <v>2.3756361109999999</v>
      </c>
      <c r="AQ237">
        <v>0.75586752599999996</v>
      </c>
      <c r="AR237">
        <v>1.5440548999999999</v>
      </c>
      <c r="AS237">
        <v>1.1451332700000001</v>
      </c>
      <c r="AT237">
        <v>1.3486661200000001</v>
      </c>
      <c r="AU237">
        <v>1.757168426</v>
      </c>
    </row>
    <row r="238" spans="1:47" x14ac:dyDescent="0.2">
      <c r="A238" t="s">
        <v>302</v>
      </c>
      <c r="B238" s="74">
        <v>38899</v>
      </c>
      <c r="C238">
        <v>1.2282300580000001</v>
      </c>
      <c r="D238">
        <v>0.20516678299999999</v>
      </c>
      <c r="E238">
        <v>0.35460306800000002</v>
      </c>
      <c r="F238">
        <v>0.35493709899999998</v>
      </c>
      <c r="G238">
        <v>0.23965486899999999</v>
      </c>
      <c r="H238">
        <v>5.1646385000000003E-2</v>
      </c>
      <c r="I238">
        <v>0.84752925199999996</v>
      </c>
      <c r="J238">
        <v>2.0757931219999999</v>
      </c>
      <c r="L238">
        <v>1.944582606</v>
      </c>
      <c r="M238">
        <v>1.722767803</v>
      </c>
      <c r="N238">
        <v>2.982414581</v>
      </c>
      <c r="O238">
        <v>1.103208</v>
      </c>
      <c r="P238">
        <v>0.96921473899999999</v>
      </c>
      <c r="Q238">
        <v>2.0947823649999999</v>
      </c>
      <c r="R238">
        <v>1.2308570000000001</v>
      </c>
      <c r="S238">
        <v>0.24492314800000001</v>
      </c>
      <c r="T238">
        <v>1.029730713</v>
      </c>
      <c r="U238">
        <v>0.46050999999999997</v>
      </c>
      <c r="V238">
        <v>0.34598097799999999</v>
      </c>
      <c r="W238">
        <v>0.30705051100000003</v>
      </c>
      <c r="X238">
        <v>1.4067449839999999</v>
      </c>
      <c r="Y238">
        <v>1.43638</v>
      </c>
      <c r="Z238">
        <v>0.22397668600000001</v>
      </c>
      <c r="AA238">
        <v>4.1018727310000003</v>
      </c>
      <c r="AB238">
        <v>1.833348016</v>
      </c>
      <c r="AC238">
        <v>0.67417679200000002</v>
      </c>
      <c r="AD238">
        <v>0.15497476499999999</v>
      </c>
      <c r="AE238">
        <v>0.73060202799999996</v>
      </c>
      <c r="AF238">
        <v>0.28322150800000001</v>
      </c>
      <c r="AG238">
        <v>4.9802055669999996</v>
      </c>
      <c r="AH238">
        <v>0.97457500699999999</v>
      </c>
      <c r="AI238">
        <v>1.497031303</v>
      </c>
      <c r="AJ238">
        <v>0.124976235</v>
      </c>
      <c r="AK238">
        <v>0.45581375499999999</v>
      </c>
      <c r="AL238">
        <v>0.67749303400000005</v>
      </c>
      <c r="AM238">
        <v>2.2997680140000001</v>
      </c>
      <c r="AN238">
        <v>0.96512187999999999</v>
      </c>
      <c r="AO238">
        <v>1.9251039539999999</v>
      </c>
      <c r="AP238">
        <v>2.3356465380000002</v>
      </c>
      <c r="AQ238">
        <v>2.120056377</v>
      </c>
      <c r="AR238">
        <v>1.650622461</v>
      </c>
      <c r="AS238">
        <v>3.0461220990000002</v>
      </c>
      <c r="AT238">
        <v>0.245583731</v>
      </c>
      <c r="AU238">
        <v>1.4202436039999999</v>
      </c>
    </row>
    <row r="239" spans="1:47" x14ac:dyDescent="0.2">
      <c r="A239" t="s">
        <v>303</v>
      </c>
      <c r="B239" s="74">
        <v>38991</v>
      </c>
      <c r="C239">
        <v>2.8241373310000002</v>
      </c>
      <c r="D239">
        <v>1.495504103</v>
      </c>
      <c r="E239">
        <v>1.1676592100000001</v>
      </c>
      <c r="F239">
        <v>0.880418794</v>
      </c>
      <c r="G239">
        <v>1.616526908</v>
      </c>
      <c r="H239">
        <v>0.27924548500000002</v>
      </c>
      <c r="I239">
        <v>0.84293528600000001</v>
      </c>
      <c r="J239">
        <v>1.3613509660000001</v>
      </c>
      <c r="L239">
        <v>1.211839455</v>
      </c>
      <c r="M239">
        <v>0.76880583300000005</v>
      </c>
      <c r="N239">
        <v>-0.66682256699999998</v>
      </c>
      <c r="O239">
        <v>0.58985299999999996</v>
      </c>
      <c r="P239">
        <v>0.92913994499999997</v>
      </c>
      <c r="Q239">
        <v>2.2902247930000001</v>
      </c>
      <c r="R239">
        <v>0.62500599999999995</v>
      </c>
      <c r="S239">
        <v>0.95036552500000004</v>
      </c>
      <c r="T239">
        <v>5.7026209000000001E-2</v>
      </c>
      <c r="U239">
        <v>0.180866</v>
      </c>
      <c r="V239">
        <v>0.23254629700000001</v>
      </c>
      <c r="W239">
        <v>0.47743896299999999</v>
      </c>
      <c r="X239">
        <v>0.54797634200000001</v>
      </c>
      <c r="Y239">
        <v>3.3029999999999999</v>
      </c>
      <c r="Z239">
        <v>1.2418167339999999</v>
      </c>
      <c r="AA239">
        <v>0.37411886500000002</v>
      </c>
      <c r="AB239">
        <v>-0.701297006</v>
      </c>
      <c r="AC239">
        <v>0.42825275800000001</v>
      </c>
      <c r="AD239">
        <v>-0.20505857499999999</v>
      </c>
      <c r="AE239">
        <v>1.613954951</v>
      </c>
      <c r="AF239">
        <v>0.49382693999999999</v>
      </c>
      <c r="AG239">
        <v>3.2582672270000002</v>
      </c>
      <c r="AH239">
        <v>0.27868122899999997</v>
      </c>
      <c r="AI239">
        <v>0.59815274699999998</v>
      </c>
      <c r="AJ239">
        <v>1.0261817090000001</v>
      </c>
      <c r="AK239">
        <v>0.64033246399999999</v>
      </c>
      <c r="AL239">
        <v>0.37468902399999998</v>
      </c>
      <c r="AM239">
        <v>1.6510320549999999</v>
      </c>
      <c r="AN239">
        <v>-0.112732238</v>
      </c>
      <c r="AO239">
        <v>2.2961291660000001</v>
      </c>
      <c r="AP239">
        <v>1.914001887</v>
      </c>
      <c r="AQ239">
        <v>1.6829681750000001</v>
      </c>
      <c r="AR239">
        <v>1.1718865869999999</v>
      </c>
      <c r="AS239">
        <v>-0.75348610900000002</v>
      </c>
      <c r="AT239">
        <v>0.15045618799999999</v>
      </c>
      <c r="AU239">
        <v>1.3811529840000001</v>
      </c>
    </row>
    <row r="240" spans="1:47" x14ac:dyDescent="0.2">
      <c r="A240" t="s">
        <v>304</v>
      </c>
      <c r="B240" s="74">
        <v>39083</v>
      </c>
      <c r="C240">
        <v>2.1526986849999998</v>
      </c>
      <c r="D240">
        <v>1.2854673270000001</v>
      </c>
      <c r="E240">
        <v>1.039981754</v>
      </c>
      <c r="F240">
        <v>1.135413316</v>
      </c>
      <c r="G240">
        <v>1.1844287870000001</v>
      </c>
      <c r="H240">
        <v>0.39859824199999999</v>
      </c>
      <c r="I240">
        <v>1.30314946</v>
      </c>
      <c r="J240">
        <v>2.1348312370000002</v>
      </c>
      <c r="L240">
        <v>1.34905802</v>
      </c>
      <c r="M240">
        <v>1.514812212</v>
      </c>
      <c r="N240">
        <v>-0.27102131099999999</v>
      </c>
      <c r="O240">
        <v>1.1611480000000001</v>
      </c>
      <c r="P240">
        <v>0.96148483600000001</v>
      </c>
      <c r="Q240">
        <v>2.4809649610000002</v>
      </c>
      <c r="R240">
        <v>1.0434159999999999</v>
      </c>
      <c r="S240">
        <v>0.78515074100000004</v>
      </c>
      <c r="T240">
        <v>0.73912977700000004</v>
      </c>
      <c r="U240">
        <v>0.97363200000000005</v>
      </c>
      <c r="V240">
        <v>0.63801862799999998</v>
      </c>
      <c r="W240">
        <v>2.5429404259999999</v>
      </c>
      <c r="X240">
        <v>0.95897404799999997</v>
      </c>
      <c r="Y240">
        <v>1.71129</v>
      </c>
      <c r="Z240">
        <v>0.17943735499999999</v>
      </c>
      <c r="AA240">
        <v>1.06885349</v>
      </c>
      <c r="AB240">
        <v>1.4887576819999999</v>
      </c>
      <c r="AC240">
        <v>1.271537183</v>
      </c>
      <c r="AD240">
        <v>1.351006838</v>
      </c>
      <c r="AE240">
        <v>0.779357615</v>
      </c>
      <c r="AF240">
        <v>1.4587428929999999</v>
      </c>
      <c r="AG240">
        <v>4.4065939759999999</v>
      </c>
      <c r="AH240">
        <v>0.24796625</v>
      </c>
      <c r="AI240">
        <v>0.82450046799999999</v>
      </c>
      <c r="AJ240">
        <v>1.830283737</v>
      </c>
      <c r="AK240">
        <v>0.88275571500000005</v>
      </c>
      <c r="AL240">
        <v>0.97757804000000004</v>
      </c>
      <c r="AM240">
        <v>-1.498642882</v>
      </c>
      <c r="AN240">
        <v>0.71199907699999998</v>
      </c>
      <c r="AO240">
        <v>1.8992405130000001</v>
      </c>
      <c r="AP240">
        <v>2.8089555819999998</v>
      </c>
      <c r="AQ240">
        <v>2.179978384</v>
      </c>
      <c r="AR240">
        <v>0.65638022399999996</v>
      </c>
      <c r="AS240">
        <v>2.2587130449999999</v>
      </c>
      <c r="AT240">
        <v>0.84371169599999996</v>
      </c>
      <c r="AU240">
        <v>1.382817924</v>
      </c>
    </row>
    <row r="241" spans="1:47" x14ac:dyDescent="0.2">
      <c r="A241" t="s">
        <v>305</v>
      </c>
      <c r="B241" s="74">
        <v>39173</v>
      </c>
      <c r="C241">
        <v>2.2886320439999999</v>
      </c>
      <c r="D241">
        <v>1.3999961270000001</v>
      </c>
      <c r="E241">
        <v>0.93246844399999995</v>
      </c>
      <c r="F241">
        <v>1.417379597</v>
      </c>
      <c r="G241">
        <v>2.0145271820000001</v>
      </c>
      <c r="H241">
        <v>0.63962664400000002</v>
      </c>
      <c r="I241">
        <v>0.57275804600000002</v>
      </c>
      <c r="J241">
        <v>1.026061307</v>
      </c>
      <c r="L241">
        <v>1.7111227849999999</v>
      </c>
      <c r="M241">
        <v>7.6329825000000004E-2</v>
      </c>
      <c r="N241">
        <v>0.33129798999999999</v>
      </c>
      <c r="O241">
        <v>0.62990100000000004</v>
      </c>
      <c r="P241">
        <v>0.914765508</v>
      </c>
      <c r="Q241">
        <v>3.315680972</v>
      </c>
      <c r="R241">
        <v>0.75735300000000005</v>
      </c>
      <c r="S241">
        <v>1.932458496</v>
      </c>
      <c r="T241">
        <v>0.74593875399999998</v>
      </c>
      <c r="U241">
        <v>0.385044</v>
      </c>
      <c r="V241">
        <v>0.78373796299999998</v>
      </c>
      <c r="W241">
        <v>-0.78528566200000005</v>
      </c>
      <c r="X241">
        <v>-1.2502308</v>
      </c>
      <c r="Y241">
        <v>2.7934000000000001</v>
      </c>
      <c r="Z241">
        <v>5.996435365</v>
      </c>
      <c r="AA241">
        <v>1.740620192</v>
      </c>
      <c r="AB241">
        <v>2.1046887179999998</v>
      </c>
      <c r="AC241">
        <v>-0.15455595699999999</v>
      </c>
      <c r="AD241">
        <v>0.67171874399999998</v>
      </c>
      <c r="AE241">
        <v>1.674043596</v>
      </c>
      <c r="AF241">
        <v>5.0193538650000002</v>
      </c>
      <c r="AG241">
        <v>1.8042363050000001</v>
      </c>
      <c r="AH241">
        <v>0.69905179500000003</v>
      </c>
      <c r="AI241">
        <v>1.1456973779999999</v>
      </c>
      <c r="AJ241">
        <v>7.5251440000000003E-2</v>
      </c>
      <c r="AK241">
        <v>1.2300559689999999</v>
      </c>
      <c r="AL241">
        <v>0.67959183899999998</v>
      </c>
      <c r="AM241">
        <v>4.5899808440000003</v>
      </c>
      <c r="AN241">
        <v>1.0522705670000001</v>
      </c>
      <c r="AO241">
        <v>1.8136509329999999</v>
      </c>
      <c r="AP241">
        <v>2.107456982</v>
      </c>
      <c r="AQ241">
        <v>1.8986141249999999</v>
      </c>
      <c r="AR241">
        <v>0.96950539999999996</v>
      </c>
      <c r="AS241">
        <v>1.8230804439999999</v>
      </c>
      <c r="AT241">
        <v>0.29359886099999999</v>
      </c>
      <c r="AU241">
        <v>1.623672013</v>
      </c>
    </row>
    <row r="242" spans="1:47" x14ac:dyDescent="0.2">
      <c r="A242" t="s">
        <v>306</v>
      </c>
      <c r="B242" s="74">
        <v>39264</v>
      </c>
      <c r="C242">
        <v>2.2018857249999999</v>
      </c>
      <c r="D242">
        <v>0.61981329200000002</v>
      </c>
      <c r="E242">
        <v>1.1611757140000001</v>
      </c>
      <c r="F242">
        <v>0.45679760800000002</v>
      </c>
      <c r="G242">
        <v>1.5533753239999999</v>
      </c>
      <c r="H242">
        <v>0.96890726299999996</v>
      </c>
      <c r="I242">
        <v>1.442862868</v>
      </c>
      <c r="J242">
        <v>1.0167009920000001</v>
      </c>
      <c r="L242">
        <v>0.81155748299999997</v>
      </c>
      <c r="M242">
        <v>0.838052558</v>
      </c>
      <c r="N242">
        <v>-0.44788676500000002</v>
      </c>
      <c r="O242">
        <v>0.69511900000000004</v>
      </c>
      <c r="P242">
        <v>0.89625550600000004</v>
      </c>
      <c r="Q242">
        <v>0.39030710699999999</v>
      </c>
      <c r="R242">
        <v>0.68964599999999998</v>
      </c>
      <c r="S242">
        <v>1.797506864</v>
      </c>
      <c r="T242">
        <v>0.65149456100000003</v>
      </c>
      <c r="U242">
        <v>0.53698000000000001</v>
      </c>
      <c r="V242">
        <v>0.46374754800000001</v>
      </c>
      <c r="W242">
        <v>2.9117218239999998</v>
      </c>
      <c r="X242">
        <v>-0.12443037899999999</v>
      </c>
      <c r="Y242">
        <v>2.5201500000000001</v>
      </c>
      <c r="Z242">
        <v>-1.5564797939999999</v>
      </c>
      <c r="AA242">
        <v>4.7327718489999997</v>
      </c>
      <c r="AB242">
        <v>1.7677192070000001</v>
      </c>
      <c r="AC242">
        <v>0.17957493599999999</v>
      </c>
      <c r="AD242">
        <v>2.8360785999999999E-2</v>
      </c>
      <c r="AE242">
        <v>1.730290857</v>
      </c>
      <c r="AF242">
        <v>2.2097024520000002</v>
      </c>
      <c r="AG242">
        <v>1.9955700519999999</v>
      </c>
      <c r="AH242">
        <v>0.77599910900000002</v>
      </c>
      <c r="AI242">
        <v>0.51164677300000005</v>
      </c>
      <c r="AJ242">
        <v>-1.6767290000000001E-3</v>
      </c>
      <c r="AK242">
        <v>0.90978482900000002</v>
      </c>
      <c r="AL242">
        <v>0.64572656500000003</v>
      </c>
      <c r="AM242">
        <v>1.1397468559999999</v>
      </c>
      <c r="AN242">
        <v>0.44312117400000001</v>
      </c>
      <c r="AO242">
        <v>2.5237981899999999</v>
      </c>
      <c r="AP242">
        <v>2.4762928030000002</v>
      </c>
      <c r="AQ242">
        <v>1.2410145370000001</v>
      </c>
      <c r="AR242">
        <v>0.52039323599999998</v>
      </c>
      <c r="AS242">
        <v>3.0535506E-2</v>
      </c>
      <c r="AT242">
        <v>0.63843452999999994</v>
      </c>
      <c r="AU242">
        <v>0.81955799100000004</v>
      </c>
    </row>
    <row r="243" spans="1:47" x14ac:dyDescent="0.2">
      <c r="A243" t="s">
        <v>307</v>
      </c>
      <c r="B243" s="74">
        <v>39356</v>
      </c>
      <c r="C243">
        <v>1.3789015659999999</v>
      </c>
      <c r="D243">
        <v>1.1549911340000001</v>
      </c>
      <c r="E243">
        <v>0.34592163399999998</v>
      </c>
      <c r="F243">
        <v>0.77208827999999996</v>
      </c>
      <c r="G243">
        <v>1.013355577</v>
      </c>
      <c r="H243">
        <v>0.41985457500000001</v>
      </c>
      <c r="I243">
        <v>0.93120117199999997</v>
      </c>
      <c r="J243">
        <v>0.27492516900000002</v>
      </c>
      <c r="L243">
        <v>1.4058694810000001</v>
      </c>
      <c r="M243">
        <v>0.49649168999999999</v>
      </c>
      <c r="N243">
        <v>0.93951537100000004</v>
      </c>
      <c r="O243">
        <v>0.45612799999999998</v>
      </c>
      <c r="P243">
        <v>0.76676854100000003</v>
      </c>
      <c r="Q243">
        <v>0.201069162</v>
      </c>
      <c r="R243">
        <v>0.53233900000000001</v>
      </c>
      <c r="S243">
        <v>0.91841755199999997</v>
      </c>
      <c r="T243">
        <v>0.47755094999999997</v>
      </c>
      <c r="U243">
        <v>0.38009300000000001</v>
      </c>
      <c r="V243">
        <v>0.68243858099999999</v>
      </c>
      <c r="W243">
        <v>-0.62311345799999995</v>
      </c>
      <c r="X243">
        <v>0.51093931199999998</v>
      </c>
      <c r="Y243">
        <v>1.7944800000000001</v>
      </c>
      <c r="Z243">
        <v>-2.5291588329999999</v>
      </c>
      <c r="AA243">
        <v>-0.35169616500000001</v>
      </c>
      <c r="AB243">
        <v>1.8884438509999999</v>
      </c>
      <c r="AC243">
        <v>0.225514768</v>
      </c>
      <c r="AD243">
        <v>-0.55160872500000002</v>
      </c>
      <c r="AE243">
        <v>1.173831453</v>
      </c>
      <c r="AF243">
        <v>-0.734537985</v>
      </c>
      <c r="AG243">
        <v>1.8487943499999999</v>
      </c>
      <c r="AH243">
        <v>0.62768616200000005</v>
      </c>
      <c r="AI243">
        <v>1.1175019079999999</v>
      </c>
      <c r="AJ243">
        <v>1.2832352650000001</v>
      </c>
      <c r="AK243">
        <v>0.74416322499999998</v>
      </c>
      <c r="AL243">
        <v>0.52486337299999997</v>
      </c>
      <c r="AM243">
        <v>1.6971587260000001</v>
      </c>
      <c r="AN243">
        <v>0.205999342</v>
      </c>
      <c r="AO243">
        <v>2.2051103799999998</v>
      </c>
      <c r="AP243">
        <v>2.3685228330000001</v>
      </c>
      <c r="AQ243">
        <v>2.0299563030000001</v>
      </c>
      <c r="AR243">
        <v>0.77191982000000003</v>
      </c>
      <c r="AS243">
        <v>0.58639459900000002</v>
      </c>
      <c r="AT243">
        <v>0.60230665699999997</v>
      </c>
      <c r="AU243">
        <v>1.1719351929999999</v>
      </c>
    </row>
    <row r="244" spans="1:47" x14ac:dyDescent="0.2">
      <c r="A244" t="s">
        <v>308</v>
      </c>
      <c r="B244" s="74">
        <v>39448</v>
      </c>
      <c r="C244">
        <v>3.0418209300000001</v>
      </c>
      <c r="D244">
        <v>0.40150739499999999</v>
      </c>
      <c r="E244">
        <v>0.84872126000000003</v>
      </c>
      <c r="F244">
        <v>0.40580308700000001</v>
      </c>
      <c r="G244">
        <v>1.574992564</v>
      </c>
      <c r="H244">
        <v>0.113617046</v>
      </c>
      <c r="I244">
        <v>1.076788318</v>
      </c>
      <c r="J244">
        <v>1.879740207</v>
      </c>
      <c r="L244">
        <v>1.303889735</v>
      </c>
      <c r="M244">
        <v>0.66588292599999999</v>
      </c>
      <c r="N244">
        <v>1.0059885079999999</v>
      </c>
      <c r="O244">
        <v>0.52534499999999995</v>
      </c>
      <c r="P244">
        <v>0.64284560599999996</v>
      </c>
      <c r="Q244">
        <v>-0.60033988500000002</v>
      </c>
      <c r="R244">
        <v>0.61733199999999999</v>
      </c>
      <c r="S244">
        <v>1.319947274</v>
      </c>
      <c r="T244">
        <v>0.192471478</v>
      </c>
      <c r="U244">
        <v>0.45785500000000001</v>
      </c>
      <c r="V244">
        <v>0.38522883699999999</v>
      </c>
      <c r="W244">
        <v>-0.49587677200000002</v>
      </c>
      <c r="X244">
        <v>0.325754979</v>
      </c>
      <c r="Y244">
        <v>3.3768799999999999</v>
      </c>
      <c r="Z244">
        <v>4.0494580239999998</v>
      </c>
      <c r="AA244">
        <v>4.4337057719999997</v>
      </c>
      <c r="AB244">
        <v>1.4688560850000001</v>
      </c>
      <c r="AC244">
        <v>-0.34155758899999999</v>
      </c>
      <c r="AD244">
        <v>0.44478282099999999</v>
      </c>
      <c r="AE244">
        <v>2.156948555</v>
      </c>
      <c r="AF244">
        <v>0.79324678299999996</v>
      </c>
      <c r="AG244">
        <v>-1.178606848</v>
      </c>
      <c r="AH244">
        <v>0.39176656700000001</v>
      </c>
      <c r="AI244">
        <v>1.3530236470000001</v>
      </c>
      <c r="AJ244">
        <v>1.0881815459999999</v>
      </c>
      <c r="AK244">
        <v>0.16437355400000001</v>
      </c>
      <c r="AL244">
        <v>0.70423019799999997</v>
      </c>
      <c r="AM244">
        <v>1.343488762</v>
      </c>
      <c r="AN244">
        <v>1.118249303</v>
      </c>
      <c r="AO244">
        <v>3.193832161</v>
      </c>
      <c r="AP244">
        <v>6.3560479560000003</v>
      </c>
      <c r="AQ244">
        <v>0.20130294600000001</v>
      </c>
      <c r="AR244">
        <v>1.1365160560000001</v>
      </c>
      <c r="AS244">
        <v>3.432599138</v>
      </c>
      <c r="AT244">
        <v>0.60964400299999999</v>
      </c>
      <c r="AU244">
        <v>1.417079709</v>
      </c>
    </row>
    <row r="245" spans="1:47" x14ac:dyDescent="0.2">
      <c r="A245" t="s">
        <v>309</v>
      </c>
      <c r="B245" s="74">
        <v>39539</v>
      </c>
      <c r="C245">
        <v>0.878634951</v>
      </c>
      <c r="D245">
        <v>1.032323168</v>
      </c>
      <c r="E245">
        <v>0.66992050999999997</v>
      </c>
      <c r="F245">
        <v>0.43192990399999998</v>
      </c>
      <c r="G245">
        <v>1.1220504600000001</v>
      </c>
      <c r="H245">
        <v>7.6640567000000007E-2</v>
      </c>
      <c r="I245">
        <v>0.85574087899999995</v>
      </c>
      <c r="J245">
        <v>2.1072858989999999</v>
      </c>
      <c r="L245">
        <v>0.47042799299999999</v>
      </c>
      <c r="M245">
        <v>0.62947670200000005</v>
      </c>
      <c r="N245">
        <v>-4.1561001E-2</v>
      </c>
      <c r="O245">
        <v>0.496757</v>
      </c>
      <c r="P245">
        <v>0.21576627300000001</v>
      </c>
      <c r="Q245">
        <v>-2.2201613029999998</v>
      </c>
      <c r="R245">
        <v>0.55981599999999998</v>
      </c>
      <c r="S245">
        <v>-0.122968349</v>
      </c>
      <c r="T245">
        <v>0.49107105299999998</v>
      </c>
      <c r="U245">
        <v>7.7531000000000003E-2</v>
      </c>
      <c r="V245">
        <v>0.60327143699999997</v>
      </c>
      <c r="W245">
        <v>0.61159760600000002</v>
      </c>
      <c r="X245">
        <v>0.90067007200000004</v>
      </c>
      <c r="Y245">
        <v>0.60589999999999999</v>
      </c>
      <c r="Z245">
        <v>-2.5793486259999998</v>
      </c>
      <c r="AA245">
        <v>-2.6771164170000001</v>
      </c>
      <c r="AB245">
        <v>0.81533604500000001</v>
      </c>
      <c r="AC245">
        <v>1.115394904</v>
      </c>
      <c r="AD245">
        <v>0.368590482</v>
      </c>
      <c r="AE245">
        <v>0.40239485800000002</v>
      </c>
      <c r="AF245">
        <v>1.072631667</v>
      </c>
      <c r="AG245">
        <v>2.0915744009999999</v>
      </c>
      <c r="AH245">
        <v>-0.19869140800000001</v>
      </c>
      <c r="AI245">
        <v>0.327531403</v>
      </c>
      <c r="AJ245">
        <v>-1.256361804</v>
      </c>
      <c r="AK245">
        <v>-0.31402581099999999</v>
      </c>
      <c r="AL245">
        <v>0.19710370599999999</v>
      </c>
      <c r="AM245">
        <v>1.9177004600000001</v>
      </c>
      <c r="AN245">
        <v>7.6731840000000004E-3</v>
      </c>
      <c r="AO245">
        <v>2.653171822</v>
      </c>
      <c r="AP245">
        <v>-2.8016197090000001</v>
      </c>
      <c r="AQ245">
        <v>1.583400361</v>
      </c>
      <c r="AR245">
        <v>-0.78319660899999999</v>
      </c>
      <c r="AS245">
        <v>2.1064921079999999</v>
      </c>
      <c r="AT245">
        <v>-0.40742947400000001</v>
      </c>
      <c r="AU245">
        <v>0.42000527500000001</v>
      </c>
    </row>
    <row r="246" spans="1:47" x14ac:dyDescent="0.2">
      <c r="A246" t="s">
        <v>310</v>
      </c>
      <c r="B246" s="74">
        <v>39630</v>
      </c>
      <c r="C246">
        <v>0.59280987500000004</v>
      </c>
      <c r="D246">
        <v>0.31945336200000002</v>
      </c>
      <c r="E246">
        <v>0.829044224</v>
      </c>
      <c r="F246">
        <v>6.3486862000000005E-2</v>
      </c>
      <c r="G246">
        <v>2.3192594799999999</v>
      </c>
      <c r="H246">
        <v>0.36167189700000002</v>
      </c>
      <c r="I246">
        <v>0.89716390899999998</v>
      </c>
      <c r="J246">
        <v>9.8720545000000007E-2</v>
      </c>
      <c r="L246">
        <v>0.72075756000000002</v>
      </c>
      <c r="M246">
        <v>-0.23324228799999999</v>
      </c>
      <c r="N246">
        <v>-0.92268398500000004</v>
      </c>
      <c r="O246">
        <v>-0.35112500000000002</v>
      </c>
      <c r="P246">
        <v>0.10925227999999999</v>
      </c>
      <c r="Q246">
        <v>1.015879762</v>
      </c>
      <c r="R246">
        <v>-0.27834300000000001</v>
      </c>
      <c r="S246">
        <v>-0.80295487399999999</v>
      </c>
      <c r="T246">
        <v>-0.54429724999999995</v>
      </c>
      <c r="U246">
        <v>4.3401000000000002E-2</v>
      </c>
      <c r="V246">
        <v>-0.45050658999999998</v>
      </c>
      <c r="W246">
        <v>-0.63973648299999997</v>
      </c>
      <c r="X246">
        <v>0.622046247</v>
      </c>
      <c r="Y246">
        <v>1.04386</v>
      </c>
      <c r="Z246">
        <v>-2.5266674189999998</v>
      </c>
      <c r="AA246">
        <v>2.7555525840000001</v>
      </c>
      <c r="AB246">
        <v>0.185667845</v>
      </c>
      <c r="AC246">
        <v>-0.94614965100000004</v>
      </c>
      <c r="AD246">
        <v>-0.597064751</v>
      </c>
      <c r="AE246">
        <v>0.52347300299999999</v>
      </c>
      <c r="AF246">
        <v>-1.1023872320000001</v>
      </c>
      <c r="AG246">
        <v>-3.6509847949999998</v>
      </c>
      <c r="AH246">
        <v>0.76831606500000005</v>
      </c>
      <c r="AI246">
        <v>0.492586831</v>
      </c>
      <c r="AJ246">
        <v>4.9883456E-2</v>
      </c>
      <c r="AK246">
        <v>-0.30078855399999999</v>
      </c>
      <c r="AL246">
        <v>2.7042799999999999E-3</v>
      </c>
      <c r="AM246">
        <v>0.243079668</v>
      </c>
      <c r="AN246">
        <v>-0.49260607499999998</v>
      </c>
      <c r="AO246">
        <v>0.62160239399999995</v>
      </c>
      <c r="AP246">
        <v>1.2511609379999999</v>
      </c>
      <c r="AQ246">
        <v>1.700831467</v>
      </c>
      <c r="AR246">
        <v>-5.7862157999999997E-2</v>
      </c>
      <c r="AS246">
        <v>-3.5485985709999999</v>
      </c>
      <c r="AT246">
        <v>0.57229534500000001</v>
      </c>
      <c r="AU246">
        <v>1.220887141</v>
      </c>
    </row>
    <row r="247" spans="1:47" x14ac:dyDescent="0.2">
      <c r="A247" t="s">
        <v>311</v>
      </c>
      <c r="B247" s="74">
        <v>39722</v>
      </c>
      <c r="C247">
        <v>0.83411831599999997</v>
      </c>
      <c r="D247">
        <v>0.71167440999999998</v>
      </c>
      <c r="E247">
        <v>-0.65080843399999999</v>
      </c>
      <c r="F247">
        <v>-0.58432255399999999</v>
      </c>
      <c r="G247">
        <v>1.473431785</v>
      </c>
      <c r="H247">
        <v>0.82004401199999999</v>
      </c>
      <c r="I247">
        <v>0.37561494699999998</v>
      </c>
      <c r="J247">
        <v>-0.81489341500000001</v>
      </c>
      <c r="L247">
        <v>0.24770763000000001</v>
      </c>
      <c r="M247">
        <v>-0.64824918200000003</v>
      </c>
      <c r="N247">
        <v>-0.58413666200000003</v>
      </c>
      <c r="O247">
        <v>-0.51571400000000001</v>
      </c>
      <c r="P247">
        <v>-0.18413980399999999</v>
      </c>
      <c r="Q247">
        <v>4.7695851999999997E-2</v>
      </c>
      <c r="R247">
        <v>-0.48941000000000001</v>
      </c>
      <c r="S247">
        <v>0.34536722199999997</v>
      </c>
      <c r="T247">
        <v>-0.186816921</v>
      </c>
      <c r="U247">
        <v>-0.68316399999999999</v>
      </c>
      <c r="V247">
        <v>-1.490218453</v>
      </c>
      <c r="W247">
        <v>-9.7483140999999995E-2</v>
      </c>
      <c r="X247">
        <v>-0.213356091</v>
      </c>
      <c r="Y247">
        <v>0.87024000000000001</v>
      </c>
      <c r="Z247">
        <v>-0.77771857600000005</v>
      </c>
      <c r="AA247">
        <v>-5.2806888650000001</v>
      </c>
      <c r="AB247">
        <v>0.156891957</v>
      </c>
      <c r="AC247">
        <v>-1.232084951</v>
      </c>
      <c r="AD247">
        <v>-1.259684155</v>
      </c>
      <c r="AE247">
        <v>0.81588104299999997</v>
      </c>
      <c r="AF247">
        <v>-0.82284862700000005</v>
      </c>
      <c r="AG247">
        <v>-4.0786112159999997</v>
      </c>
      <c r="AH247">
        <v>0.317441521</v>
      </c>
      <c r="AI247">
        <v>-0.122148031</v>
      </c>
      <c r="AJ247">
        <v>-0.182729802</v>
      </c>
      <c r="AK247">
        <v>-0.34042726699999998</v>
      </c>
      <c r="AL247">
        <v>-0.49820651700000002</v>
      </c>
      <c r="AM247">
        <v>-0.33657292500000002</v>
      </c>
      <c r="AN247">
        <v>-8.2530827000000001E-2</v>
      </c>
      <c r="AO247">
        <v>-1.490668597</v>
      </c>
      <c r="AP247">
        <v>1.4194452399999999</v>
      </c>
      <c r="AQ247">
        <v>-0.57282661499999998</v>
      </c>
      <c r="AR247">
        <v>-0.50328915100000005</v>
      </c>
      <c r="AS247">
        <v>-1.8168699740000001</v>
      </c>
      <c r="AT247">
        <v>-0.52689290200000005</v>
      </c>
      <c r="AU247">
        <v>0.23893335099999999</v>
      </c>
    </row>
    <row r="248" spans="1:47" x14ac:dyDescent="0.2">
      <c r="A248" t="s">
        <v>312</v>
      </c>
      <c r="B248" s="74">
        <v>39814</v>
      </c>
      <c r="C248">
        <v>-4.7702893509999997</v>
      </c>
      <c r="D248">
        <v>-0.47545570999999998</v>
      </c>
      <c r="E248">
        <v>-2.2422926329999999</v>
      </c>
      <c r="F248">
        <v>-2.1688334409999999</v>
      </c>
      <c r="G248">
        <v>-3.7752197120000002</v>
      </c>
      <c r="H248">
        <v>-1.1595184890000001</v>
      </c>
      <c r="I248">
        <v>-2.812742321</v>
      </c>
      <c r="J248">
        <v>-0.80304418799999999</v>
      </c>
      <c r="L248">
        <v>-1.975761103</v>
      </c>
      <c r="M248">
        <v>-1.593756296</v>
      </c>
      <c r="N248">
        <v>-2.3614806979999998</v>
      </c>
      <c r="O248">
        <v>-1.793839</v>
      </c>
      <c r="P248">
        <v>-1.614017593</v>
      </c>
      <c r="Q248">
        <v>-11.798107175</v>
      </c>
      <c r="R248">
        <v>-1.8092060000000001</v>
      </c>
      <c r="S248">
        <v>-2.1457381020000001</v>
      </c>
      <c r="T248">
        <v>-1.4952636509999999</v>
      </c>
      <c r="U248">
        <v>-2.0813860000000002</v>
      </c>
      <c r="V248">
        <v>-2.0052793539999998</v>
      </c>
      <c r="W248">
        <v>-1.397015176</v>
      </c>
      <c r="X248">
        <v>-3.4960734950000001</v>
      </c>
      <c r="Y248">
        <v>0.12257</v>
      </c>
      <c r="Z248">
        <v>-4.2808209399999999</v>
      </c>
      <c r="AA248">
        <v>5.592803119</v>
      </c>
      <c r="AB248">
        <v>-0.749352185</v>
      </c>
      <c r="AC248">
        <v>-2.62005395</v>
      </c>
      <c r="AD248">
        <v>-2.44294301</v>
      </c>
      <c r="AE248">
        <v>-3.2838893470000001</v>
      </c>
      <c r="AF248">
        <v>-3.6845002689999999</v>
      </c>
      <c r="AG248">
        <v>-2.4341926580000002</v>
      </c>
      <c r="AH248">
        <v>-1.6332572540000001</v>
      </c>
      <c r="AI248">
        <v>-0.65994078300000003</v>
      </c>
      <c r="AJ248">
        <v>0.31324054499999998</v>
      </c>
      <c r="AK248">
        <v>-0.67090756600000001</v>
      </c>
      <c r="AL248">
        <v>-1.9898125739999999</v>
      </c>
      <c r="AM248">
        <v>0.40488332599999999</v>
      </c>
      <c r="AN248">
        <v>-1.2917566469999999</v>
      </c>
      <c r="AO248">
        <v>-3.252211484</v>
      </c>
      <c r="AP248">
        <v>1.2013337630000001</v>
      </c>
      <c r="AQ248">
        <v>-3.7437529870000001</v>
      </c>
      <c r="AR248">
        <v>-3.537622281</v>
      </c>
      <c r="AS248">
        <v>-2.5400315510000002</v>
      </c>
      <c r="AT248">
        <v>-2.1830971479999999</v>
      </c>
      <c r="AU248">
        <v>-0.56924852800000003</v>
      </c>
    </row>
    <row r="249" spans="1:47" x14ac:dyDescent="0.2">
      <c r="A249" t="s">
        <v>313</v>
      </c>
      <c r="B249" s="74">
        <v>39904</v>
      </c>
      <c r="C249">
        <v>-3.706118316</v>
      </c>
      <c r="D249">
        <v>0.91866551699999999</v>
      </c>
      <c r="E249">
        <v>-1.722573592</v>
      </c>
      <c r="F249">
        <v>-0.97325393000000004</v>
      </c>
      <c r="G249">
        <v>-1.41434174</v>
      </c>
      <c r="H249">
        <v>-2.2596861829999999</v>
      </c>
      <c r="I249">
        <v>-1.563019873</v>
      </c>
      <c r="J249">
        <v>-0.48636471399999998</v>
      </c>
      <c r="L249">
        <v>-3.3489163249999998</v>
      </c>
      <c r="M249">
        <v>-4.6822270550000002</v>
      </c>
      <c r="N249">
        <v>-1.423447795</v>
      </c>
      <c r="O249">
        <v>-3.1167250000000002</v>
      </c>
      <c r="P249">
        <v>-2.6055354049999999</v>
      </c>
      <c r="Q249">
        <v>-2.651966051</v>
      </c>
      <c r="R249">
        <v>-2.9012150000000001</v>
      </c>
      <c r="S249">
        <v>-6.4776141279999999</v>
      </c>
      <c r="T249">
        <v>-1.688870858</v>
      </c>
      <c r="U249">
        <v>-2.304697</v>
      </c>
      <c r="V249">
        <v>-1.802244248</v>
      </c>
      <c r="W249">
        <v>-4.7477806170000001</v>
      </c>
      <c r="X249">
        <v>-4.1162918609999997</v>
      </c>
      <c r="Y249">
        <v>-1.8461399999999999</v>
      </c>
      <c r="Z249">
        <v>0.54266968400000004</v>
      </c>
      <c r="AA249">
        <v>-9.874681056</v>
      </c>
      <c r="AB249">
        <v>-4.3184211E-2</v>
      </c>
      <c r="AC249">
        <v>-2.6937437559999999</v>
      </c>
      <c r="AD249">
        <v>-4.7968384589999999</v>
      </c>
      <c r="AE249">
        <v>8.9986722000000005E-2</v>
      </c>
      <c r="AF249">
        <v>-1.888071745</v>
      </c>
      <c r="AG249">
        <v>-3.5830406199999998</v>
      </c>
      <c r="AH249">
        <v>-5.1264508729999996</v>
      </c>
      <c r="AI249">
        <v>-3.5936407930000001</v>
      </c>
      <c r="AJ249">
        <v>-0.82573796200000005</v>
      </c>
      <c r="AK249">
        <v>-1.0069809110000001</v>
      </c>
      <c r="AL249">
        <v>-2.316230258</v>
      </c>
      <c r="AM249">
        <v>1.5787712359999999</v>
      </c>
      <c r="AN249">
        <v>-2.5166704719999999</v>
      </c>
      <c r="AO249">
        <v>-3.5269817579999998</v>
      </c>
      <c r="AP249">
        <v>-9.6001003049999998</v>
      </c>
      <c r="AQ249">
        <v>-4.3702273390000004</v>
      </c>
      <c r="AR249">
        <v>-1.477710265</v>
      </c>
      <c r="AS249">
        <v>-5.6640195660000003</v>
      </c>
      <c r="AT249">
        <v>-1.1657225309999999</v>
      </c>
      <c r="AU249">
        <v>-1.5555425949999999</v>
      </c>
    </row>
    <row r="250" spans="1:47" x14ac:dyDescent="0.2">
      <c r="A250" t="s">
        <v>314</v>
      </c>
      <c r="B250" s="74">
        <v>39995</v>
      </c>
      <c r="C250">
        <v>-2.1220797669999998</v>
      </c>
      <c r="D250">
        <v>0.75667624899999997</v>
      </c>
      <c r="E250">
        <v>-0.78357888899999995</v>
      </c>
      <c r="F250">
        <v>4.7812829000000001E-2</v>
      </c>
      <c r="G250">
        <v>1.8263229240000001</v>
      </c>
      <c r="H250">
        <v>-1.0912585960000001</v>
      </c>
      <c r="I250">
        <v>0.60799901099999998</v>
      </c>
      <c r="J250">
        <v>-0.58235863600000004</v>
      </c>
      <c r="L250">
        <v>-0.38163602899999999</v>
      </c>
      <c r="M250">
        <v>0.159652865</v>
      </c>
      <c r="N250">
        <v>-1.938341181</v>
      </c>
      <c r="O250">
        <v>-5.9680000000000002E-3</v>
      </c>
      <c r="P250">
        <v>-1.0778265E-2</v>
      </c>
      <c r="Q250">
        <v>-3.3744373479999998</v>
      </c>
      <c r="R250">
        <v>-5.7266999999999998E-2</v>
      </c>
      <c r="S250">
        <v>-0.436809528</v>
      </c>
      <c r="T250">
        <v>-2.8941316000000002E-2</v>
      </c>
      <c r="U250">
        <v>0.114382</v>
      </c>
      <c r="V250">
        <v>-0.31393367599999999</v>
      </c>
      <c r="W250">
        <v>2.7768419029999998</v>
      </c>
      <c r="X250">
        <v>4.1246884999999997E-2</v>
      </c>
      <c r="Y250">
        <v>5.8036599999999998</v>
      </c>
      <c r="Z250">
        <v>-0.54342427100000001</v>
      </c>
      <c r="AA250">
        <v>-0.38336279099999998</v>
      </c>
      <c r="AB250">
        <v>1.0707506979999999</v>
      </c>
      <c r="AC250">
        <v>-0.31826114999999999</v>
      </c>
      <c r="AD250">
        <v>1.933083112</v>
      </c>
      <c r="AE250">
        <v>1.332777638</v>
      </c>
      <c r="AF250">
        <v>1.23940271</v>
      </c>
      <c r="AG250">
        <v>-5.6861423609999999</v>
      </c>
      <c r="AH250">
        <v>-1.4693906990000001</v>
      </c>
      <c r="AI250">
        <v>2.5085789999999999E-3</v>
      </c>
      <c r="AJ250">
        <v>-0.87961137899999997</v>
      </c>
      <c r="AK250">
        <v>-5.4085538000000002E-2</v>
      </c>
      <c r="AL250">
        <v>0.19918629099999999</v>
      </c>
      <c r="AM250">
        <v>4.6144546000000002E-2</v>
      </c>
      <c r="AN250">
        <v>8.9438207000000006E-2</v>
      </c>
      <c r="AO250">
        <v>-1.4588607810000001</v>
      </c>
      <c r="AP250">
        <v>1.6512154530000001</v>
      </c>
      <c r="AQ250">
        <v>-1.1072910819999999</v>
      </c>
      <c r="AR250">
        <v>6.2680436000000006E-2</v>
      </c>
      <c r="AS250">
        <v>4.0069981370000001</v>
      </c>
      <c r="AT250">
        <v>-0.16923813900000001</v>
      </c>
      <c r="AU250">
        <v>-0.34321136899999999</v>
      </c>
    </row>
    <row r="251" spans="1:47" x14ac:dyDescent="0.2">
      <c r="A251" t="s">
        <v>315</v>
      </c>
      <c r="B251" s="74">
        <v>40087</v>
      </c>
      <c r="C251">
        <v>3.9312516070000001</v>
      </c>
      <c r="D251">
        <v>0.30003566300000001</v>
      </c>
      <c r="E251">
        <v>0.42588184699999998</v>
      </c>
      <c r="F251">
        <v>1.2637794440000001</v>
      </c>
      <c r="G251">
        <v>2.344212288</v>
      </c>
      <c r="H251">
        <v>0.44993852000000001</v>
      </c>
      <c r="I251">
        <v>1.1441835199999999</v>
      </c>
      <c r="J251">
        <v>1.1963927089999999</v>
      </c>
      <c r="L251">
        <v>0.47858265300000002</v>
      </c>
      <c r="M251">
        <v>0.55789132299999999</v>
      </c>
      <c r="N251">
        <v>0.345762915</v>
      </c>
      <c r="O251">
        <v>0.39075199999999999</v>
      </c>
      <c r="P251">
        <v>0.21112808599999999</v>
      </c>
      <c r="Q251">
        <v>-1.967140143</v>
      </c>
      <c r="R251">
        <v>0.37079299999999998</v>
      </c>
      <c r="S251">
        <v>0.92466898799999997</v>
      </c>
      <c r="T251">
        <v>0.16475403399999999</v>
      </c>
      <c r="U251">
        <v>0.30143399999999998</v>
      </c>
      <c r="V251">
        <v>6.3201651999999997E-2</v>
      </c>
      <c r="W251">
        <v>-0.72543689099999997</v>
      </c>
      <c r="X251">
        <v>-1.3832867E-2</v>
      </c>
      <c r="Y251">
        <v>2.5538799999999999</v>
      </c>
      <c r="Z251">
        <v>-1.31944704</v>
      </c>
      <c r="AA251">
        <v>1.542428176</v>
      </c>
      <c r="AB251">
        <v>1.0813342829999999</v>
      </c>
      <c r="AC251">
        <v>0.58184775399999999</v>
      </c>
      <c r="AD251">
        <v>-5.9138001000000003E-2</v>
      </c>
      <c r="AE251">
        <v>2.9926747850000002</v>
      </c>
      <c r="AF251">
        <v>2.1397869109999998</v>
      </c>
      <c r="AG251">
        <v>-5.0798813459999996</v>
      </c>
      <c r="AH251">
        <v>3.292447734</v>
      </c>
      <c r="AI251">
        <v>0.400707908</v>
      </c>
      <c r="AJ251">
        <v>6.4386328000000007E-2</v>
      </c>
      <c r="AK251">
        <v>0.495358615</v>
      </c>
      <c r="AL251">
        <v>0.58430774500000005</v>
      </c>
      <c r="AM251">
        <v>0.57827747799999996</v>
      </c>
      <c r="AN251">
        <v>0.88222418300000005</v>
      </c>
      <c r="AO251">
        <v>0.41042516099999998</v>
      </c>
      <c r="AP251">
        <v>1.722743919</v>
      </c>
      <c r="AQ251">
        <v>0.25717215300000001</v>
      </c>
      <c r="AR251">
        <v>-5.2184841000000003E-2</v>
      </c>
      <c r="AS251">
        <v>2.3957610740000002</v>
      </c>
      <c r="AT251">
        <v>0.36192999100000001</v>
      </c>
      <c r="AU251">
        <v>0.23190718799999999</v>
      </c>
    </row>
    <row r="252" spans="1:47" x14ac:dyDescent="0.2">
      <c r="A252" t="s">
        <v>316</v>
      </c>
      <c r="B252" s="74">
        <v>40179</v>
      </c>
      <c r="C252">
        <v>1.8341550049999999</v>
      </c>
      <c r="D252">
        <v>0.75055073900000002</v>
      </c>
      <c r="E252">
        <v>0.48579639699999999</v>
      </c>
      <c r="F252">
        <v>0.80229046100000001</v>
      </c>
      <c r="G252">
        <v>2.5458407030000001</v>
      </c>
      <c r="H252">
        <v>1.1661570240000001</v>
      </c>
      <c r="I252">
        <v>0.84076002400000005</v>
      </c>
      <c r="J252">
        <v>1.2300245110000001</v>
      </c>
      <c r="L252">
        <v>6.8675372999999998E-2</v>
      </c>
      <c r="M252">
        <v>0.73596276800000004</v>
      </c>
      <c r="N252">
        <v>9.0743262000000005E-2</v>
      </c>
      <c r="O252">
        <v>0.46012500000000001</v>
      </c>
      <c r="P252">
        <v>-2.0400669E-2</v>
      </c>
      <c r="Q252">
        <v>0.46882771499999998</v>
      </c>
      <c r="R252">
        <v>0.492649</v>
      </c>
      <c r="S252">
        <v>-0.77194487199999995</v>
      </c>
      <c r="T252">
        <v>0.72270995999999998</v>
      </c>
      <c r="U252">
        <v>0.93491400000000002</v>
      </c>
      <c r="V252">
        <v>0.3103824</v>
      </c>
      <c r="W252">
        <v>0.128217041</v>
      </c>
      <c r="X252">
        <v>-3.5821973E-2</v>
      </c>
      <c r="Y252">
        <v>2.1267299999999998</v>
      </c>
      <c r="Z252">
        <v>-1.38314381</v>
      </c>
      <c r="AA252">
        <v>-0.31473661600000002</v>
      </c>
      <c r="AB252">
        <v>1.3904068350000001</v>
      </c>
      <c r="AC252">
        <v>0.32450437700000001</v>
      </c>
      <c r="AD252">
        <v>1.264514889</v>
      </c>
      <c r="AE252">
        <v>0.74686754499999997</v>
      </c>
      <c r="AF252">
        <v>0.46748151999999998</v>
      </c>
      <c r="AG252">
        <v>0.283419527</v>
      </c>
      <c r="AH252">
        <v>1.6579162359999999</v>
      </c>
      <c r="AI252">
        <v>0.60232846100000004</v>
      </c>
      <c r="AJ252">
        <v>5.3340237999999998E-2</v>
      </c>
      <c r="AK252">
        <v>1.2695717010000001</v>
      </c>
      <c r="AL252">
        <v>0.90640891599999995</v>
      </c>
      <c r="AM252">
        <v>2.3966667359999998</v>
      </c>
      <c r="AN252">
        <v>4.7782666000000001E-2</v>
      </c>
      <c r="AO252">
        <v>1.0817084560000001</v>
      </c>
      <c r="AP252">
        <v>1.9403942359999999</v>
      </c>
      <c r="AQ252">
        <v>-0.12252300000000001</v>
      </c>
      <c r="AR252">
        <v>0.46293426100000001</v>
      </c>
      <c r="AS252">
        <v>1.9523571850000001</v>
      </c>
      <c r="AT252">
        <v>1.0679619499999999</v>
      </c>
      <c r="AU252">
        <v>0.66697168900000003</v>
      </c>
    </row>
    <row r="253" spans="1:47" x14ac:dyDescent="0.2">
      <c r="A253" t="s">
        <v>317</v>
      </c>
      <c r="B253" s="74">
        <v>40269</v>
      </c>
      <c r="C253">
        <v>2.9865020019999999</v>
      </c>
      <c r="D253">
        <v>0.43168264200000001</v>
      </c>
      <c r="E253">
        <v>-0.41217955000000001</v>
      </c>
      <c r="F253">
        <v>0.51811854300000004</v>
      </c>
      <c r="G253">
        <v>2.2514953499999999</v>
      </c>
      <c r="H253">
        <v>1.206341487</v>
      </c>
      <c r="I253">
        <v>0.70788916000000002</v>
      </c>
      <c r="J253">
        <v>0.323498697</v>
      </c>
      <c r="L253">
        <v>0.68762807699999995</v>
      </c>
      <c r="M253">
        <v>0.80651542499999995</v>
      </c>
      <c r="N253">
        <v>0.86356907900000002</v>
      </c>
      <c r="O253">
        <v>0.40062399999999998</v>
      </c>
      <c r="P253">
        <v>-2.8195768E-2</v>
      </c>
      <c r="Q253">
        <v>1.378152939</v>
      </c>
      <c r="R253">
        <v>0.40615499999999999</v>
      </c>
      <c r="S253">
        <v>1.001905585</v>
      </c>
      <c r="T253">
        <v>0.34737647500000002</v>
      </c>
      <c r="U253">
        <v>0.63066999999999995</v>
      </c>
      <c r="V253">
        <v>0.69847149900000005</v>
      </c>
      <c r="W253">
        <v>-5.606995307</v>
      </c>
      <c r="X253">
        <v>3.8254522999999999E-2</v>
      </c>
      <c r="Y253">
        <v>2.6001799999999999</v>
      </c>
      <c r="Z253">
        <v>3.0100343829999998</v>
      </c>
      <c r="AA253">
        <v>-6.0010445209999999</v>
      </c>
      <c r="AB253">
        <v>1.3517862540000001</v>
      </c>
      <c r="AC253">
        <v>0.26818113799999999</v>
      </c>
      <c r="AD253">
        <v>1.06307022</v>
      </c>
      <c r="AE253">
        <v>1.9590767389999999</v>
      </c>
      <c r="AF253">
        <v>1.7705645649999999</v>
      </c>
      <c r="AG253">
        <v>-0.56955301400000002</v>
      </c>
      <c r="AH253">
        <v>1.04512144</v>
      </c>
      <c r="AI253">
        <v>-0.18885859399999999</v>
      </c>
      <c r="AJ253">
        <v>1.951186058</v>
      </c>
      <c r="AK253">
        <v>0.32926355400000001</v>
      </c>
      <c r="AL253">
        <v>0.59729775100000004</v>
      </c>
      <c r="AM253">
        <v>-0.422487636</v>
      </c>
      <c r="AN253">
        <v>0.82301842700000005</v>
      </c>
      <c r="AO253">
        <v>2.138462021</v>
      </c>
      <c r="AP253">
        <v>1.845995746</v>
      </c>
      <c r="AQ253">
        <v>-0.13792237299999999</v>
      </c>
      <c r="AR253">
        <v>2.673398213</v>
      </c>
      <c r="AS253">
        <v>-0.29499498200000002</v>
      </c>
      <c r="AT253">
        <v>0.50005348100000002</v>
      </c>
      <c r="AU253">
        <v>1.166724893</v>
      </c>
    </row>
    <row r="254" spans="1:47" x14ac:dyDescent="0.2">
      <c r="A254" t="s">
        <v>318</v>
      </c>
      <c r="B254" s="74">
        <v>40360</v>
      </c>
      <c r="C254">
        <v>4.5536121520000004</v>
      </c>
      <c r="D254">
        <v>0.68013526300000005</v>
      </c>
      <c r="E254">
        <v>1.345041468</v>
      </c>
      <c r="F254">
        <v>0.98535424100000002</v>
      </c>
      <c r="G254">
        <v>0.98252285800000005</v>
      </c>
      <c r="H254">
        <v>0.523260909</v>
      </c>
      <c r="I254">
        <v>0.82712255400000001</v>
      </c>
      <c r="J254">
        <v>3.3934173689999998</v>
      </c>
      <c r="L254">
        <v>1.2204761239999999</v>
      </c>
      <c r="M254">
        <v>2.2410465359999998</v>
      </c>
      <c r="N254">
        <v>0.68351791900000003</v>
      </c>
      <c r="O254">
        <v>0.96386300000000003</v>
      </c>
      <c r="P254">
        <v>0.14992503700000001</v>
      </c>
      <c r="Q254">
        <v>1.2675314280000001</v>
      </c>
      <c r="R254">
        <v>0.98828899999999997</v>
      </c>
      <c r="S254">
        <v>2.7619473669999999</v>
      </c>
      <c r="T254">
        <v>0.47943655200000002</v>
      </c>
      <c r="U254">
        <v>1.0687979999999999</v>
      </c>
      <c r="V254">
        <v>1.133482316</v>
      </c>
      <c r="W254">
        <v>-3.702650454</v>
      </c>
      <c r="X254">
        <v>0.80738905299999997</v>
      </c>
      <c r="Y254">
        <v>2.4025599999999998</v>
      </c>
      <c r="Z254">
        <v>7.7500506999999996E-2</v>
      </c>
      <c r="AA254">
        <v>3.967660907</v>
      </c>
      <c r="AB254">
        <v>1.404836277</v>
      </c>
      <c r="AC254">
        <v>0.74752535799999997</v>
      </c>
      <c r="AD254">
        <v>1.1767953760000001</v>
      </c>
      <c r="AE254">
        <v>1.899801372</v>
      </c>
      <c r="AF254">
        <v>1.0863128399999999</v>
      </c>
      <c r="AG254">
        <v>-0.72710154500000002</v>
      </c>
      <c r="AH254">
        <v>1.1126299180000001</v>
      </c>
      <c r="AI254">
        <v>0.43895060899999999</v>
      </c>
      <c r="AJ254">
        <v>-1.0629642930000001</v>
      </c>
      <c r="AK254">
        <v>0.70732602200000005</v>
      </c>
      <c r="AL254">
        <v>1.1046832520000001</v>
      </c>
      <c r="AM254">
        <v>1.5260696010000001</v>
      </c>
      <c r="AN254">
        <v>0.55242860400000005</v>
      </c>
      <c r="AO254">
        <v>0.95009906200000005</v>
      </c>
      <c r="AP254">
        <v>1.1676734529999999</v>
      </c>
      <c r="AQ254">
        <v>1.7824443860000001</v>
      </c>
      <c r="AR254">
        <v>2.051119753</v>
      </c>
      <c r="AS254">
        <v>3.8007093269999999</v>
      </c>
      <c r="AT254">
        <v>0.96770463900000003</v>
      </c>
      <c r="AU254">
        <v>0.83941199600000005</v>
      </c>
    </row>
    <row r="255" spans="1:47" x14ac:dyDescent="0.2">
      <c r="A255" t="s">
        <v>319</v>
      </c>
      <c r="B255" s="74">
        <v>40452</v>
      </c>
      <c r="C255">
        <v>0.53789519799999996</v>
      </c>
      <c r="D255">
        <v>0.70513193399999996</v>
      </c>
      <c r="E255">
        <v>0.89647082600000005</v>
      </c>
      <c r="F255">
        <v>0.417149241</v>
      </c>
      <c r="G255">
        <v>1.0261248030000001</v>
      </c>
      <c r="H255">
        <v>0.70869492199999995</v>
      </c>
      <c r="I255">
        <v>0.58746145000000005</v>
      </c>
      <c r="J255">
        <v>2.3473820409999999</v>
      </c>
      <c r="L255">
        <v>0.73307573999999998</v>
      </c>
      <c r="M255">
        <v>0.83969932899999999</v>
      </c>
      <c r="N255">
        <v>1.5853732760000001</v>
      </c>
      <c r="O255">
        <v>0.43575399999999997</v>
      </c>
      <c r="P255">
        <v>-5.1135353000000001E-2</v>
      </c>
      <c r="Q255">
        <v>1.465732888</v>
      </c>
      <c r="R255">
        <v>0.50527999999999995</v>
      </c>
      <c r="S255">
        <v>-0.41072814299999999</v>
      </c>
      <c r="T255">
        <v>0.62586283700000001</v>
      </c>
      <c r="U255">
        <v>0.89157299999999995</v>
      </c>
      <c r="V255">
        <v>0.70093805399999998</v>
      </c>
      <c r="W255">
        <v>-3.30384104</v>
      </c>
      <c r="X255">
        <v>0.81317347900000003</v>
      </c>
      <c r="Y255">
        <v>2.9559799999999998</v>
      </c>
      <c r="Z255">
        <v>0.51578953100000002</v>
      </c>
      <c r="AA255">
        <v>-1.947419445</v>
      </c>
      <c r="AB255">
        <v>1.2395398740000001</v>
      </c>
      <c r="AC255">
        <v>0.47804548800000002</v>
      </c>
      <c r="AD255">
        <v>1.8015926440000001</v>
      </c>
      <c r="AE255">
        <v>1.1552150800000001</v>
      </c>
      <c r="AF255">
        <v>-1.580149547</v>
      </c>
      <c r="AG255">
        <v>-0.37500682000000002</v>
      </c>
      <c r="AH255">
        <v>0.93521265499999995</v>
      </c>
      <c r="AI255">
        <v>0.441811764</v>
      </c>
      <c r="AJ255">
        <v>-2.4815398270000002</v>
      </c>
      <c r="AK255">
        <v>-0.248962656</v>
      </c>
      <c r="AL255">
        <v>0.85109111100000001</v>
      </c>
      <c r="AM255">
        <v>1.3185657150000001</v>
      </c>
      <c r="AN255">
        <v>8.3833036E-2</v>
      </c>
      <c r="AO255">
        <v>0.52351252500000001</v>
      </c>
      <c r="AP255">
        <v>1.1002638689999999</v>
      </c>
      <c r="AQ255">
        <v>0.26673957599999998</v>
      </c>
      <c r="AR255">
        <v>1.2169243030000001</v>
      </c>
      <c r="AS255">
        <v>2.7707017839999999</v>
      </c>
      <c r="AT255">
        <v>0.77314415000000003</v>
      </c>
      <c r="AU255">
        <v>0.89024629399999999</v>
      </c>
    </row>
    <row r="256" spans="1:47" x14ac:dyDescent="0.2">
      <c r="A256" t="s">
        <v>320</v>
      </c>
      <c r="B256" s="74">
        <v>40544</v>
      </c>
      <c r="C256">
        <v>1.3420216739999999</v>
      </c>
      <c r="D256">
        <v>0.87599673499999997</v>
      </c>
      <c r="E256">
        <v>1.1682736709999999</v>
      </c>
      <c r="F256">
        <v>0.505236083</v>
      </c>
      <c r="G256">
        <v>1.3765226669999999</v>
      </c>
      <c r="H256">
        <v>1.1175051540000001</v>
      </c>
      <c r="I256">
        <v>0.76393444300000002</v>
      </c>
      <c r="J256">
        <v>1.189865358</v>
      </c>
      <c r="L256">
        <v>0.448272634</v>
      </c>
      <c r="M256">
        <v>0.811076295</v>
      </c>
      <c r="N256">
        <v>-0.22504965299999999</v>
      </c>
      <c r="O256">
        <v>0.61914400000000003</v>
      </c>
      <c r="P256">
        <v>6.7103146000000002E-2</v>
      </c>
      <c r="Q256">
        <v>2.101125863</v>
      </c>
      <c r="R256">
        <v>0.632718</v>
      </c>
      <c r="S256">
        <v>2.1001216359999999</v>
      </c>
      <c r="T256">
        <v>0.68785174800000004</v>
      </c>
      <c r="U256">
        <v>0.36652000000000001</v>
      </c>
      <c r="V256">
        <v>0.120686818</v>
      </c>
      <c r="W256">
        <v>-0.76501911499999997</v>
      </c>
      <c r="X256">
        <v>-2.1269442E-2</v>
      </c>
      <c r="Y256">
        <v>2.3210700000000002</v>
      </c>
      <c r="Z256">
        <v>-0.59211356699999995</v>
      </c>
      <c r="AA256">
        <v>3.776963254</v>
      </c>
      <c r="AB256">
        <v>1.5669827679999999</v>
      </c>
      <c r="AC256">
        <v>0.54873710499999995</v>
      </c>
      <c r="AD256">
        <v>-0.79528314300000003</v>
      </c>
      <c r="AE256">
        <v>1.2193187110000001</v>
      </c>
      <c r="AF256">
        <v>0.74581549800000002</v>
      </c>
      <c r="AG256">
        <v>0.92819968799999997</v>
      </c>
      <c r="AH256">
        <v>0.77308699999999997</v>
      </c>
      <c r="AI256">
        <v>1.1281526820000001</v>
      </c>
      <c r="AJ256">
        <v>2.8072594099999999</v>
      </c>
      <c r="AK256">
        <v>-0.51945943800000005</v>
      </c>
      <c r="AL256">
        <v>0.57064630699999996</v>
      </c>
      <c r="AM256">
        <v>0.97761131700000004</v>
      </c>
      <c r="AN256">
        <v>-0.194037196</v>
      </c>
      <c r="AO256">
        <v>1.25698003</v>
      </c>
      <c r="AP256">
        <v>0.66005153100000002</v>
      </c>
      <c r="AQ256">
        <v>0.54173041499999997</v>
      </c>
      <c r="AR256">
        <v>1.6195138090000001</v>
      </c>
      <c r="AS256">
        <v>3.0231894029999999</v>
      </c>
      <c r="AT256">
        <v>0.51959515899999997</v>
      </c>
      <c r="AU256">
        <v>0.93078135500000003</v>
      </c>
    </row>
    <row r="257" spans="1:47" x14ac:dyDescent="0.2">
      <c r="A257" t="s">
        <v>321</v>
      </c>
      <c r="B257" s="74">
        <v>40634</v>
      </c>
      <c r="C257">
        <v>2.3647354749999998</v>
      </c>
      <c r="D257">
        <v>-0.29950480899999998</v>
      </c>
      <c r="E257">
        <v>0.85930371299999997</v>
      </c>
      <c r="F257">
        <v>0.481369771</v>
      </c>
      <c r="G257">
        <v>1.4128943430000001</v>
      </c>
      <c r="H257">
        <v>0.75534704399999997</v>
      </c>
      <c r="I257">
        <v>0.64224580499999995</v>
      </c>
      <c r="J257">
        <v>1.165655654</v>
      </c>
      <c r="K257">
        <v>2.5</v>
      </c>
      <c r="L257">
        <v>0.57303278599999996</v>
      </c>
      <c r="M257">
        <v>1.9310182810000001</v>
      </c>
      <c r="N257">
        <v>0.217842912</v>
      </c>
      <c r="O257">
        <v>0.85531100000000004</v>
      </c>
      <c r="P257">
        <v>-0.15597502899999999</v>
      </c>
      <c r="Q257">
        <v>2.0274681719999998</v>
      </c>
      <c r="R257">
        <v>0.833399</v>
      </c>
      <c r="S257">
        <v>0.55844083300000003</v>
      </c>
      <c r="T257">
        <v>1.033483927</v>
      </c>
      <c r="U257">
        <v>0.108019</v>
      </c>
      <c r="V257">
        <v>0.46235611999999998</v>
      </c>
      <c r="W257">
        <v>-3.8759906019999999</v>
      </c>
      <c r="X257">
        <v>0.90688312999999998</v>
      </c>
      <c r="Y257">
        <v>1.83064</v>
      </c>
      <c r="Z257">
        <v>0.80652812500000004</v>
      </c>
      <c r="AA257">
        <v>-4.1508705050000003</v>
      </c>
      <c r="AB257">
        <v>1.4336291670000001</v>
      </c>
      <c r="AC257">
        <v>0.47672184499999998</v>
      </c>
      <c r="AD257">
        <v>-1.0446827729999999</v>
      </c>
      <c r="AE257">
        <v>0.933130719</v>
      </c>
      <c r="AF257">
        <v>1.199763178</v>
      </c>
      <c r="AG257">
        <v>-1.3907512989999999</v>
      </c>
      <c r="AH257">
        <v>0.75796008500000001</v>
      </c>
      <c r="AI257">
        <v>0.57715258300000005</v>
      </c>
      <c r="AJ257">
        <v>9.3536631999999995E-2</v>
      </c>
      <c r="AK257">
        <v>1.0912577000000001</v>
      </c>
      <c r="AL257">
        <v>0.28084373800000001</v>
      </c>
      <c r="AM257">
        <v>1.1280214770000001</v>
      </c>
      <c r="AN257">
        <v>-0.66076831199999997</v>
      </c>
      <c r="AO257">
        <v>1.155158313</v>
      </c>
      <c r="AP257">
        <v>0.338319759</v>
      </c>
      <c r="AQ257">
        <v>0.63523543400000004</v>
      </c>
      <c r="AR257">
        <v>0.35966363400000001</v>
      </c>
      <c r="AS257">
        <v>2.2538581770000001</v>
      </c>
      <c r="AT257">
        <v>-0.24091606800000001</v>
      </c>
      <c r="AU257">
        <v>0.98480143200000003</v>
      </c>
    </row>
    <row r="258" spans="1:47" x14ac:dyDescent="0.2">
      <c r="A258" t="s">
        <v>322</v>
      </c>
      <c r="B258" s="74">
        <v>40725</v>
      </c>
      <c r="C258">
        <v>0.95778764900000002</v>
      </c>
      <c r="D258">
        <v>1.2975078659999999</v>
      </c>
      <c r="E258">
        <v>0.24636576499999999</v>
      </c>
      <c r="F258">
        <v>0.20718999799999999</v>
      </c>
      <c r="G258">
        <v>0.98293584000000001</v>
      </c>
      <c r="H258">
        <v>0.19480650999999999</v>
      </c>
      <c r="I258">
        <v>0.46877648</v>
      </c>
      <c r="J258">
        <v>1.4368042000000001</v>
      </c>
      <c r="K258">
        <v>2.2000000000000002</v>
      </c>
      <c r="L258">
        <v>0.31880308000000002</v>
      </c>
      <c r="M258">
        <v>8.4194172999999997E-2</v>
      </c>
      <c r="N258">
        <v>1.002326552</v>
      </c>
      <c r="O258">
        <v>-2.5151E-2</v>
      </c>
      <c r="P258">
        <v>-0.31689017200000003</v>
      </c>
      <c r="Q258">
        <v>1.909179623</v>
      </c>
      <c r="R258">
        <v>6.4982999999999999E-2</v>
      </c>
      <c r="S258">
        <v>-0.174006405</v>
      </c>
      <c r="T258">
        <v>-9.8948601999999997E-2</v>
      </c>
      <c r="U258">
        <v>0.22344900000000001</v>
      </c>
      <c r="V258">
        <v>0.10110756799999999</v>
      </c>
      <c r="W258">
        <v>-1.7832413119999999</v>
      </c>
      <c r="X258">
        <v>-8.9099359000000003E-2</v>
      </c>
      <c r="Y258">
        <v>1.2116499999999999</v>
      </c>
      <c r="Z258">
        <v>1.512498109</v>
      </c>
      <c r="AA258">
        <v>2.7599604329999998</v>
      </c>
      <c r="AB258">
        <v>0.97431044200000005</v>
      </c>
      <c r="AC258">
        <v>4.4972402000000002E-2</v>
      </c>
      <c r="AD258">
        <v>-0.87948100600000001</v>
      </c>
      <c r="AE258">
        <v>0.49079106099999997</v>
      </c>
      <c r="AF258">
        <v>-0.96586493900000003</v>
      </c>
      <c r="AG258">
        <v>3.5088510080000002</v>
      </c>
      <c r="AH258">
        <v>0.54111167599999999</v>
      </c>
      <c r="AI258">
        <v>-8.9404209999999998E-2</v>
      </c>
      <c r="AJ258">
        <v>-0.41342651800000002</v>
      </c>
      <c r="AK258">
        <v>0.50644660100000005</v>
      </c>
      <c r="AL258">
        <v>0.36793051199999999</v>
      </c>
      <c r="AM258">
        <v>1.335067633</v>
      </c>
      <c r="AN258">
        <v>-0.42891552799999999</v>
      </c>
      <c r="AO258">
        <v>0.94769094300000001</v>
      </c>
      <c r="AP258">
        <v>0.69053093499999996</v>
      </c>
      <c r="AQ258">
        <v>-0.52031054099999996</v>
      </c>
      <c r="AR258">
        <v>0.31888215600000003</v>
      </c>
      <c r="AS258">
        <v>2.7476908170000001</v>
      </c>
      <c r="AT258">
        <v>0.67805075100000001</v>
      </c>
      <c r="AU258">
        <v>0.55967177899999998</v>
      </c>
    </row>
    <row r="259" spans="1:47" x14ac:dyDescent="0.2">
      <c r="A259" t="s">
        <v>323</v>
      </c>
      <c r="B259" s="74">
        <v>40817</v>
      </c>
      <c r="C259">
        <v>0.81268899800000005</v>
      </c>
      <c r="D259">
        <v>1.3558285839999999</v>
      </c>
      <c r="E259">
        <v>0.67196625600000004</v>
      </c>
      <c r="F259">
        <v>0.28644047299999997</v>
      </c>
      <c r="G259">
        <v>-0.21075026299999999</v>
      </c>
      <c r="H259">
        <v>1.3796395619999999</v>
      </c>
      <c r="I259">
        <v>-0.37691255299999998</v>
      </c>
      <c r="J259">
        <v>0.64138886399999995</v>
      </c>
      <c r="K259">
        <v>1.9</v>
      </c>
      <c r="L259">
        <v>-0.18540826799999999</v>
      </c>
      <c r="M259">
        <v>0.89379265900000004</v>
      </c>
      <c r="N259">
        <v>-1.243706016</v>
      </c>
      <c r="O259">
        <v>0.14583599999999999</v>
      </c>
      <c r="P259">
        <v>-0.64807921400000001</v>
      </c>
      <c r="Q259">
        <v>1.6704929909999999</v>
      </c>
      <c r="R259">
        <v>0.207094</v>
      </c>
      <c r="S259">
        <v>0.122387672</v>
      </c>
      <c r="T259">
        <v>0.475184041</v>
      </c>
      <c r="U259">
        <v>0.50720200000000004</v>
      </c>
      <c r="V259">
        <v>0.31936161200000002</v>
      </c>
      <c r="W259">
        <v>-2.0279300419999999</v>
      </c>
      <c r="X259">
        <v>0.23182994100000001</v>
      </c>
      <c r="Y259">
        <v>-3.8500000000000001E-3</v>
      </c>
      <c r="Z259">
        <v>-1.744654691</v>
      </c>
      <c r="AA259">
        <v>1.8052009579999999</v>
      </c>
      <c r="AB259">
        <v>2.195837805</v>
      </c>
      <c r="AC259">
        <v>-0.52265853100000004</v>
      </c>
      <c r="AD259">
        <v>2.4180933800000002</v>
      </c>
      <c r="AE259">
        <v>0.52632363800000004</v>
      </c>
      <c r="AF259">
        <v>1.225241029</v>
      </c>
      <c r="AG259">
        <v>1.5115946099999999</v>
      </c>
      <c r="AH259">
        <v>1.9395699500000001</v>
      </c>
      <c r="AI259">
        <v>3.8478900000000002E-4</v>
      </c>
      <c r="AJ259">
        <v>1.6112779180000001</v>
      </c>
      <c r="AK259">
        <v>1.02987232</v>
      </c>
      <c r="AL259">
        <v>0.60099418299999996</v>
      </c>
      <c r="AM259">
        <v>1.2881018980000001</v>
      </c>
      <c r="AN259">
        <v>-0.78083623800000002</v>
      </c>
      <c r="AO259">
        <v>1.151337174</v>
      </c>
      <c r="AP259">
        <v>0.46408737799999999</v>
      </c>
      <c r="AQ259">
        <v>-0.19195316700000001</v>
      </c>
      <c r="AR259">
        <v>1.30693108</v>
      </c>
      <c r="AS259">
        <v>2.6588431219999999</v>
      </c>
      <c r="AT259">
        <v>-3.8767163E-2</v>
      </c>
      <c r="AU259">
        <v>0.413771114</v>
      </c>
    </row>
    <row r="260" spans="1:47" x14ac:dyDescent="0.2">
      <c r="A260" t="s">
        <v>324</v>
      </c>
      <c r="B260" s="74">
        <v>40909</v>
      </c>
      <c r="C260">
        <v>7.1034263E-2</v>
      </c>
      <c r="D260">
        <v>1.075017755</v>
      </c>
      <c r="E260">
        <v>-3.1198648999999998E-2</v>
      </c>
      <c r="F260">
        <v>0.29165660999999998</v>
      </c>
      <c r="G260">
        <v>0.81325533900000002</v>
      </c>
      <c r="H260">
        <v>0.78751324</v>
      </c>
      <c r="I260">
        <v>0.113112961</v>
      </c>
      <c r="J260">
        <v>2.1748584110000002</v>
      </c>
      <c r="K260">
        <v>1.5</v>
      </c>
      <c r="L260">
        <v>0.103381032</v>
      </c>
      <c r="M260">
        <v>-0.312652447</v>
      </c>
      <c r="N260">
        <v>0.81718773300000003</v>
      </c>
      <c r="O260">
        <v>-0.41053000000000001</v>
      </c>
      <c r="P260">
        <v>-0.648559942</v>
      </c>
      <c r="Q260">
        <v>-3.2902147999999999E-2</v>
      </c>
      <c r="R260">
        <v>-0.36877199999999999</v>
      </c>
      <c r="S260">
        <v>2.7781378999999998E-2</v>
      </c>
      <c r="T260">
        <v>0.19993934199999999</v>
      </c>
      <c r="U260">
        <v>0.490199</v>
      </c>
      <c r="V260">
        <v>0.12721264400000001</v>
      </c>
      <c r="W260">
        <v>-4.4891485470000001</v>
      </c>
      <c r="X260">
        <v>1.2562355890000001</v>
      </c>
      <c r="Y260">
        <v>1.6288899999999999</v>
      </c>
      <c r="Z260">
        <v>5.1046836999999998E-2</v>
      </c>
      <c r="AA260">
        <v>1.449036515</v>
      </c>
      <c r="AB260">
        <v>0.79161047699999998</v>
      </c>
      <c r="AC260">
        <v>-0.94821376099999999</v>
      </c>
      <c r="AD260">
        <v>-0.12879743699999999</v>
      </c>
      <c r="AE260">
        <v>0.47229806800000002</v>
      </c>
      <c r="AF260">
        <v>-0.31368115400000002</v>
      </c>
      <c r="AG260">
        <v>0.19049748499999999</v>
      </c>
      <c r="AH260">
        <v>0.65553273899999998</v>
      </c>
      <c r="AI260">
        <v>-0.60334716899999996</v>
      </c>
      <c r="AJ260">
        <v>5.1543722E-2</v>
      </c>
      <c r="AK260">
        <v>0.57426726299999997</v>
      </c>
      <c r="AL260">
        <v>0.429377597</v>
      </c>
      <c r="AM260">
        <v>0.63377834499999997</v>
      </c>
      <c r="AN260">
        <v>-1.478454706</v>
      </c>
      <c r="AO260">
        <v>1.2076822229999999</v>
      </c>
      <c r="AP260">
        <v>0.76602685199999998</v>
      </c>
      <c r="AQ260">
        <v>3.3104283999999998E-2</v>
      </c>
      <c r="AR260">
        <v>-1.394630772</v>
      </c>
      <c r="AS260">
        <v>1.357311969</v>
      </c>
      <c r="AT260">
        <v>1.121678183</v>
      </c>
      <c r="AU260">
        <v>0.68408709199999995</v>
      </c>
    </row>
    <row r="261" spans="1:47" x14ac:dyDescent="0.2">
      <c r="A261" t="s">
        <v>325</v>
      </c>
      <c r="B261" s="74">
        <v>41000</v>
      </c>
      <c r="C261">
        <v>-1.1060402869999999</v>
      </c>
      <c r="D261">
        <v>0.94399099099999995</v>
      </c>
      <c r="E261">
        <v>0.79680343899999995</v>
      </c>
      <c r="F261">
        <v>0.21459657800000001</v>
      </c>
      <c r="G261">
        <v>-1.285780607</v>
      </c>
      <c r="H261">
        <v>6.4087343000000005E-2</v>
      </c>
      <c r="I261">
        <v>1.0362781089999999</v>
      </c>
      <c r="J261">
        <v>2.0553139800000002</v>
      </c>
      <c r="K261">
        <v>1.7</v>
      </c>
      <c r="L261">
        <v>-0.169658261</v>
      </c>
      <c r="M261">
        <v>0.21171714999999999</v>
      </c>
      <c r="N261">
        <v>-6.9457024000000006E-2</v>
      </c>
      <c r="O261">
        <v>-0.216111</v>
      </c>
      <c r="P261">
        <v>-0.93714173700000003</v>
      </c>
      <c r="Q261">
        <v>0.59375498900000001</v>
      </c>
      <c r="R261">
        <v>-0.189336</v>
      </c>
      <c r="S261">
        <v>-0.43697229999999998</v>
      </c>
      <c r="T261">
        <v>3.297017E-2</v>
      </c>
      <c r="U261">
        <v>0.604437</v>
      </c>
      <c r="V261">
        <v>0.67760543299999998</v>
      </c>
      <c r="W261">
        <v>-0.28880597299999999</v>
      </c>
      <c r="X261">
        <v>-1.764230934</v>
      </c>
      <c r="Y261">
        <v>1.3807799999999999</v>
      </c>
      <c r="Z261">
        <v>-0.53306370000000003</v>
      </c>
      <c r="AA261">
        <v>-3.3032695209999998</v>
      </c>
      <c r="AB261">
        <v>0.47033230300000001</v>
      </c>
      <c r="AC261">
        <v>-1.0857037190000001</v>
      </c>
      <c r="AD261">
        <v>1.3966943270000001</v>
      </c>
      <c r="AE261">
        <v>0.86566595300000004</v>
      </c>
      <c r="AF261">
        <v>0.52277320500000002</v>
      </c>
      <c r="AG261">
        <v>5.0513743379999996</v>
      </c>
      <c r="AH261">
        <v>0.65399905300000005</v>
      </c>
      <c r="AI261">
        <v>-0.20815329299999999</v>
      </c>
      <c r="AJ261">
        <v>2.1696556299999998</v>
      </c>
      <c r="AK261">
        <v>0.61643023699999999</v>
      </c>
      <c r="AL261">
        <v>0.49112527700000003</v>
      </c>
      <c r="AM261">
        <v>6.9013764000000005E-2</v>
      </c>
      <c r="AN261">
        <v>-0.54580160799999999</v>
      </c>
      <c r="AO261">
        <v>1.570296481</v>
      </c>
      <c r="AP261">
        <v>0.23790908499999999</v>
      </c>
      <c r="AQ261">
        <v>-0.62726864199999999</v>
      </c>
      <c r="AR261">
        <v>0.175515694</v>
      </c>
      <c r="AS261">
        <v>-0.88977375700000005</v>
      </c>
      <c r="AT261">
        <v>0.81792284500000001</v>
      </c>
      <c r="AU261">
        <v>0.56684188599999996</v>
      </c>
    </row>
    <row r="262" spans="1:47" x14ac:dyDescent="0.2">
      <c r="A262" t="s">
        <v>326</v>
      </c>
      <c r="B262" s="74">
        <v>41091</v>
      </c>
      <c r="C262">
        <v>-3.4137605899999999</v>
      </c>
      <c r="D262">
        <v>0.74732001699999995</v>
      </c>
      <c r="E262">
        <v>-0.412989728</v>
      </c>
      <c r="F262">
        <v>-1.0006399999999999E-3</v>
      </c>
      <c r="G262">
        <v>1.7208860779999999</v>
      </c>
      <c r="H262">
        <v>0.32616373700000001</v>
      </c>
      <c r="I262">
        <v>-5.8429204999999998E-2</v>
      </c>
      <c r="J262">
        <v>1.853532999</v>
      </c>
      <c r="K262">
        <v>2.2999999999999998</v>
      </c>
      <c r="L262">
        <v>-0.53614212900000002</v>
      </c>
      <c r="M262">
        <v>0.18778914499999999</v>
      </c>
      <c r="N262">
        <v>7.5250259E-2</v>
      </c>
      <c r="O262">
        <v>-0.26640799999999998</v>
      </c>
      <c r="P262">
        <v>-0.96123464400000003</v>
      </c>
      <c r="Q262">
        <v>1.226169252</v>
      </c>
      <c r="R262">
        <v>-0.24324799999999999</v>
      </c>
      <c r="S262">
        <v>-1.0581715389999999</v>
      </c>
      <c r="T262">
        <v>-0.161887788</v>
      </c>
      <c r="U262">
        <v>5.8788E-2</v>
      </c>
      <c r="V262">
        <v>-5.8849980000000003E-2</v>
      </c>
      <c r="W262">
        <v>-1.742633571</v>
      </c>
      <c r="X262">
        <v>-0.66620168099999999</v>
      </c>
      <c r="Y262">
        <v>1.15795</v>
      </c>
      <c r="Z262">
        <v>2.1394067200000002</v>
      </c>
      <c r="AA262">
        <v>1.4364357910000001</v>
      </c>
      <c r="AB262">
        <v>-9.1212495000000005E-2</v>
      </c>
      <c r="AC262">
        <v>-0.738444078</v>
      </c>
      <c r="AD262">
        <v>-0.91585443799999999</v>
      </c>
      <c r="AE262">
        <v>0.56597461800000004</v>
      </c>
      <c r="AF262">
        <v>-7.5980550000000003E-3</v>
      </c>
      <c r="AG262">
        <v>-0.51584144600000004</v>
      </c>
      <c r="AH262">
        <v>0.87019182699999997</v>
      </c>
      <c r="AI262">
        <v>5.0938314999999998E-2</v>
      </c>
      <c r="AJ262">
        <v>0.23580242000000001</v>
      </c>
      <c r="AK262">
        <v>0.33774496300000001</v>
      </c>
      <c r="AL262">
        <v>0.135391715</v>
      </c>
      <c r="AM262">
        <v>-0.24515392999999999</v>
      </c>
      <c r="AN262">
        <v>-1.3479545129999999</v>
      </c>
      <c r="AO262">
        <v>0.38707392299999999</v>
      </c>
      <c r="AP262">
        <v>0.161971806</v>
      </c>
      <c r="AQ262">
        <v>-1.778852914</v>
      </c>
      <c r="AR262">
        <v>0.14838969199999999</v>
      </c>
      <c r="AS262">
        <v>1.727526866</v>
      </c>
      <c r="AT262">
        <v>0.45585998700000002</v>
      </c>
      <c r="AU262">
        <v>0.83473463000000003</v>
      </c>
    </row>
    <row r="263" spans="1:47" x14ac:dyDescent="0.2">
      <c r="A263" t="s">
        <v>327</v>
      </c>
      <c r="B263" s="74">
        <v>41183</v>
      </c>
      <c r="C263">
        <v>3.1573535800000001</v>
      </c>
      <c r="D263">
        <v>0.59909992999999995</v>
      </c>
      <c r="E263">
        <v>-0.176817895</v>
      </c>
      <c r="F263">
        <v>0.24315805300000001</v>
      </c>
      <c r="G263">
        <v>1.7189089790000001</v>
      </c>
      <c r="H263">
        <v>0.136217106</v>
      </c>
      <c r="I263">
        <v>0.69982688000000004</v>
      </c>
      <c r="J263">
        <v>0.77713444399999998</v>
      </c>
      <c r="K263">
        <v>1.9</v>
      </c>
      <c r="L263">
        <v>-0.36099973699999999</v>
      </c>
      <c r="M263">
        <v>0.29157197200000001</v>
      </c>
      <c r="N263">
        <v>9.3894243000000002E-2</v>
      </c>
      <c r="O263">
        <v>-0.103797</v>
      </c>
      <c r="P263">
        <v>-0.50969026500000003</v>
      </c>
      <c r="Q263">
        <v>0.49992858600000001</v>
      </c>
      <c r="R263">
        <v>-7.6885999999999996E-2</v>
      </c>
      <c r="S263">
        <v>-0.38531661699999997</v>
      </c>
      <c r="T263">
        <v>0.24438892100000001</v>
      </c>
      <c r="U263">
        <v>0.141346</v>
      </c>
      <c r="V263">
        <v>1.224551575</v>
      </c>
      <c r="W263">
        <v>-1.4531134509999999</v>
      </c>
      <c r="X263">
        <v>0.34440511099999999</v>
      </c>
      <c r="Y263">
        <v>1.794</v>
      </c>
      <c r="Z263">
        <v>-1.772095067</v>
      </c>
      <c r="AA263">
        <v>0.64794760799999995</v>
      </c>
      <c r="AB263">
        <v>0.950260204</v>
      </c>
      <c r="AC263">
        <v>-0.51814583199999997</v>
      </c>
      <c r="AD263">
        <v>-0.38839046199999999</v>
      </c>
      <c r="AE263">
        <v>0.45177694000000002</v>
      </c>
      <c r="AF263">
        <v>1.055013448</v>
      </c>
      <c r="AG263">
        <v>1.282385756</v>
      </c>
      <c r="AH263">
        <v>0.563556787</v>
      </c>
      <c r="AI263">
        <v>-0.42922686100000002</v>
      </c>
      <c r="AJ263">
        <v>-1.449584494</v>
      </c>
      <c r="AK263">
        <v>0.25245606500000001</v>
      </c>
      <c r="AL263">
        <v>0.179694616</v>
      </c>
      <c r="AM263">
        <v>0.43764906799999997</v>
      </c>
      <c r="AN263">
        <v>-1.129418955</v>
      </c>
      <c r="AO263">
        <v>0.51614756399999995</v>
      </c>
      <c r="AP263">
        <v>9.1099457999999994E-2</v>
      </c>
      <c r="AQ263">
        <v>0.20589571800000001</v>
      </c>
      <c r="AR263">
        <v>-0.13327303700000001</v>
      </c>
      <c r="AS263">
        <v>1.7647938809999999</v>
      </c>
      <c r="AT263">
        <v>0.17488297799999999</v>
      </c>
      <c r="AU263">
        <v>0.40655783099999998</v>
      </c>
    </row>
    <row r="264" spans="1:47" x14ac:dyDescent="0.2">
      <c r="A264" t="s">
        <v>328</v>
      </c>
      <c r="B264" s="74">
        <v>41275</v>
      </c>
      <c r="C264">
        <v>1.7036962739999999</v>
      </c>
      <c r="D264">
        <v>0.47957738900000002</v>
      </c>
      <c r="E264">
        <v>-5.2182500999999999E-2</v>
      </c>
      <c r="F264">
        <v>-4.5918265E-2</v>
      </c>
      <c r="G264">
        <v>1.962208E-2</v>
      </c>
      <c r="H264">
        <v>0.20678147</v>
      </c>
      <c r="I264">
        <v>-9.0443565000000004E-2</v>
      </c>
      <c r="J264">
        <v>0.59363633599999999</v>
      </c>
      <c r="K264">
        <v>1.9</v>
      </c>
      <c r="L264">
        <v>-0.122513632</v>
      </c>
      <c r="M264">
        <v>-0.44647446200000002</v>
      </c>
      <c r="N264">
        <v>-0.16162989</v>
      </c>
      <c r="O264">
        <v>-0.44087700000000002</v>
      </c>
      <c r="P264">
        <v>-0.76265685900000002</v>
      </c>
      <c r="Q264">
        <v>0.88818189000000003</v>
      </c>
      <c r="R264">
        <v>-0.429558</v>
      </c>
      <c r="S264">
        <v>-7.7361410000000005E-2</v>
      </c>
      <c r="T264">
        <v>-0.12901143800000001</v>
      </c>
      <c r="U264">
        <v>-7.0877999999999997E-2</v>
      </c>
      <c r="V264">
        <v>-0.246822544</v>
      </c>
      <c r="W264">
        <v>-0.80164576499999995</v>
      </c>
      <c r="X264">
        <v>-0.13248175200000001</v>
      </c>
      <c r="Y264">
        <v>1.1868700000000001</v>
      </c>
      <c r="Z264">
        <v>0.60131012900000003</v>
      </c>
      <c r="AA264">
        <v>1.5578069050000001</v>
      </c>
      <c r="AB264">
        <v>0.64771661400000002</v>
      </c>
      <c r="AC264">
        <v>-0.75207808200000004</v>
      </c>
      <c r="AD264">
        <v>-7.0935844999999997E-2</v>
      </c>
      <c r="AE264">
        <v>0.50224872499999995</v>
      </c>
      <c r="AF264">
        <v>1.791121784</v>
      </c>
      <c r="AG264">
        <v>0.55290916000000001</v>
      </c>
      <c r="AH264">
        <v>0.855035561</v>
      </c>
      <c r="AI264">
        <v>-0.69974853400000003</v>
      </c>
      <c r="AJ264">
        <v>0.81733710500000001</v>
      </c>
      <c r="AK264">
        <v>1.5362992170000001</v>
      </c>
      <c r="AL264">
        <v>3.3469178000000002E-2</v>
      </c>
      <c r="AM264">
        <v>-0.52639492799999998</v>
      </c>
      <c r="AN264">
        <v>-1.5804573770000001</v>
      </c>
      <c r="AO264">
        <v>6.7384631E-2</v>
      </c>
      <c r="AP264">
        <v>-0.115702045</v>
      </c>
      <c r="AQ264">
        <v>-1.9966086169999999</v>
      </c>
      <c r="AR264">
        <v>-0.69824205299999997</v>
      </c>
      <c r="AS264">
        <v>1.602891829</v>
      </c>
      <c r="AT264">
        <v>0.109838067</v>
      </c>
      <c r="AU264">
        <v>0.47694278299999998</v>
      </c>
    </row>
    <row r="265" spans="1:47" x14ac:dyDescent="0.2">
      <c r="A265" t="s">
        <v>329</v>
      </c>
      <c r="B265" s="74">
        <v>41365</v>
      </c>
      <c r="C265">
        <v>-1.7216333E-2</v>
      </c>
      <c r="D265">
        <v>0.42462049800000001</v>
      </c>
      <c r="E265">
        <v>-0.18002080300000001</v>
      </c>
      <c r="F265">
        <v>-0.27463747900000002</v>
      </c>
      <c r="G265">
        <v>0.42786871599999998</v>
      </c>
      <c r="H265">
        <v>0.89700485500000005</v>
      </c>
      <c r="I265">
        <v>0.43074554300000001</v>
      </c>
      <c r="J265">
        <v>0.87970480699999998</v>
      </c>
      <c r="K265">
        <v>1.9</v>
      </c>
      <c r="L265">
        <v>-0.42478578299999997</v>
      </c>
      <c r="M265">
        <v>-0.46675698900000001</v>
      </c>
      <c r="N265">
        <v>0.563835211</v>
      </c>
      <c r="O265">
        <v>-0.34721999999999997</v>
      </c>
      <c r="P265">
        <v>-0.31963185900000002</v>
      </c>
      <c r="Q265">
        <v>0.47925496400000001</v>
      </c>
      <c r="R265">
        <v>-0.22305800000000001</v>
      </c>
      <c r="S265">
        <v>-0.85729931800000003</v>
      </c>
      <c r="T265">
        <v>8.1407142000000002E-2</v>
      </c>
      <c r="U265">
        <v>0.59884300000000001</v>
      </c>
      <c r="V265">
        <v>0.45913757700000002</v>
      </c>
      <c r="W265">
        <v>-0.99169270300000001</v>
      </c>
      <c r="X265">
        <v>0.20105076099999999</v>
      </c>
      <c r="Y265">
        <v>1.59874</v>
      </c>
      <c r="Z265">
        <v>-1.526745335</v>
      </c>
      <c r="AA265">
        <v>0.65645257199999996</v>
      </c>
      <c r="AB265">
        <v>1.3980791480000001</v>
      </c>
      <c r="AC265">
        <v>-0.93276396800000005</v>
      </c>
      <c r="AD265">
        <v>1.4027292149999999</v>
      </c>
      <c r="AE265">
        <v>0.85942490599999999</v>
      </c>
      <c r="AF265">
        <v>3.9371099999999997E-3</v>
      </c>
      <c r="AG265">
        <v>0.26024514999999998</v>
      </c>
      <c r="AH265">
        <v>0.246599285</v>
      </c>
      <c r="AI265">
        <v>0.32290144300000001</v>
      </c>
      <c r="AJ265">
        <v>0.15065100100000001</v>
      </c>
      <c r="AK265">
        <v>-0.31337716799999998</v>
      </c>
      <c r="AL265">
        <v>0.58982236300000002</v>
      </c>
      <c r="AM265">
        <v>6.3739439999999994E-2</v>
      </c>
      <c r="AN265">
        <v>0.41614735800000002</v>
      </c>
      <c r="AO265">
        <v>0.74066342200000002</v>
      </c>
      <c r="AP265">
        <v>3.7226966E-2</v>
      </c>
      <c r="AQ265">
        <v>0.19118547299999999</v>
      </c>
      <c r="AR265">
        <v>1.385827701</v>
      </c>
      <c r="AS265">
        <v>2.9298856400000002</v>
      </c>
      <c r="AT265">
        <v>0.86778954799999997</v>
      </c>
      <c r="AU265">
        <v>0.77602407399999995</v>
      </c>
    </row>
    <row r="266" spans="1:47" x14ac:dyDescent="0.2">
      <c r="A266" t="s">
        <v>330</v>
      </c>
      <c r="B266" s="74">
        <v>41456</v>
      </c>
      <c r="C266">
        <v>0.51272985699999996</v>
      </c>
      <c r="D266">
        <v>0.43121633300000001</v>
      </c>
      <c r="E266">
        <v>7.4839992999999994E-2</v>
      </c>
      <c r="F266">
        <v>0.58383488400000005</v>
      </c>
      <c r="G266">
        <v>1.687729464</v>
      </c>
      <c r="H266">
        <v>0.58035719100000005</v>
      </c>
      <c r="I266">
        <v>0.89583044499999998</v>
      </c>
      <c r="J266">
        <v>0.78272853399999998</v>
      </c>
      <c r="K266">
        <v>1.8</v>
      </c>
      <c r="L266">
        <v>0.36711851000000001</v>
      </c>
      <c r="M266">
        <v>1.068846451</v>
      </c>
      <c r="N266">
        <v>7.4281939000000005E-2</v>
      </c>
      <c r="O266">
        <v>0.53981400000000002</v>
      </c>
      <c r="P266">
        <v>-8.7487355000000003E-2</v>
      </c>
      <c r="Q266">
        <v>-0.25654943800000002</v>
      </c>
      <c r="R266">
        <v>0.53966099999999995</v>
      </c>
      <c r="S266">
        <v>0.46092604199999998</v>
      </c>
      <c r="T266">
        <v>0.67025072799999996</v>
      </c>
      <c r="U266">
        <v>0.43550100000000003</v>
      </c>
      <c r="V266">
        <v>0.65714706199999995</v>
      </c>
      <c r="W266">
        <v>0.15845451799999999</v>
      </c>
      <c r="X266">
        <v>0.97471825700000003</v>
      </c>
      <c r="Y266">
        <v>1.4038200000000001</v>
      </c>
      <c r="Z266">
        <v>2.9709859550000002</v>
      </c>
      <c r="AA266">
        <v>1.616430195</v>
      </c>
      <c r="AB266">
        <v>2.0066721699999999</v>
      </c>
      <c r="AC266">
        <v>1.957188E-2</v>
      </c>
      <c r="AD266">
        <v>0.89251088700000003</v>
      </c>
      <c r="AE266">
        <v>1.1661529509999999</v>
      </c>
      <c r="AF266">
        <v>1.941358707</v>
      </c>
      <c r="AG266">
        <v>-6.1661679999999996E-3</v>
      </c>
      <c r="AH266">
        <v>-0.55472738300000002</v>
      </c>
      <c r="AI266">
        <v>-0.18070392699999999</v>
      </c>
      <c r="AJ266">
        <v>0.72238399099999995</v>
      </c>
      <c r="AK266">
        <v>1.1745192959999999</v>
      </c>
      <c r="AL266">
        <v>0.53671134600000003</v>
      </c>
      <c r="AM266">
        <v>1.0770850519999999</v>
      </c>
      <c r="AN266">
        <v>0.75837043999999998</v>
      </c>
      <c r="AO266">
        <v>0.34051066600000002</v>
      </c>
      <c r="AP266">
        <v>0.32166350500000002</v>
      </c>
      <c r="AQ266">
        <v>0.30392366900000001</v>
      </c>
      <c r="AR266">
        <v>-0.106359336</v>
      </c>
      <c r="AS266">
        <v>2.9357761130000002</v>
      </c>
      <c r="AT266">
        <v>0.13938522</v>
      </c>
      <c r="AU266">
        <v>0.72737922200000005</v>
      </c>
    </row>
    <row r="267" spans="1:47" x14ac:dyDescent="0.2">
      <c r="A267" t="s">
        <v>331</v>
      </c>
      <c r="B267" s="74">
        <v>41548</v>
      </c>
      <c r="C267">
        <v>0.64536938899999996</v>
      </c>
      <c r="D267">
        <v>0.78724623999999999</v>
      </c>
      <c r="E267">
        <v>0.45949960400000001</v>
      </c>
      <c r="F267">
        <v>0.30963759499999999</v>
      </c>
      <c r="G267">
        <v>0.33388657500000002</v>
      </c>
      <c r="H267">
        <v>0.81497340200000001</v>
      </c>
      <c r="I267">
        <v>0.771056144</v>
      </c>
      <c r="J267">
        <v>0.55371335499999996</v>
      </c>
      <c r="K267">
        <v>2.1</v>
      </c>
      <c r="L267">
        <v>0.42962492800000002</v>
      </c>
      <c r="M267">
        <v>0.58060600600000001</v>
      </c>
      <c r="N267">
        <v>0.63338186699999999</v>
      </c>
      <c r="O267">
        <v>0.290163</v>
      </c>
      <c r="P267">
        <v>-5.4727476999999997E-2</v>
      </c>
      <c r="Q267">
        <v>-0.248680807</v>
      </c>
      <c r="R267">
        <v>0.32541399999999998</v>
      </c>
      <c r="S267">
        <v>0.34884823199999998</v>
      </c>
      <c r="T267">
        <v>-0.10647585900000001</v>
      </c>
      <c r="U267">
        <v>0.68924200000000002</v>
      </c>
      <c r="V267">
        <v>0.76718292799999999</v>
      </c>
      <c r="W267">
        <v>8.9806169999999998E-3</v>
      </c>
      <c r="X267">
        <v>1.5681095730000001</v>
      </c>
      <c r="Y267">
        <v>1.6011200000000001</v>
      </c>
      <c r="Z267">
        <v>2.0739252220000002</v>
      </c>
      <c r="AA267">
        <v>-0.239216334</v>
      </c>
      <c r="AB267">
        <v>1.1508244240000001</v>
      </c>
      <c r="AC267">
        <v>0.23043024400000001</v>
      </c>
      <c r="AD267">
        <v>0.94973392300000004</v>
      </c>
      <c r="AE267">
        <v>0.85615175899999996</v>
      </c>
      <c r="AF267">
        <v>6.7395786999999999E-2</v>
      </c>
      <c r="AG267">
        <v>1.336386614</v>
      </c>
      <c r="AH267">
        <v>0.93555374899999999</v>
      </c>
      <c r="AI267">
        <v>0.60303723099999995</v>
      </c>
      <c r="AJ267">
        <v>0.98083357900000001</v>
      </c>
      <c r="AK267">
        <v>0.57377049199999997</v>
      </c>
      <c r="AL267">
        <v>0.70556574000000005</v>
      </c>
      <c r="AM267">
        <v>0.75561699000000004</v>
      </c>
      <c r="AN267">
        <v>-0.13929644699999999</v>
      </c>
      <c r="AO267">
        <v>4.0528552000000002E-2</v>
      </c>
      <c r="AP267">
        <v>0.46064844100000002</v>
      </c>
      <c r="AQ267">
        <v>1.5637133000000001E-2</v>
      </c>
      <c r="AR267">
        <v>0.452905748</v>
      </c>
      <c r="AS267">
        <v>1.4659761549999999</v>
      </c>
      <c r="AT267">
        <v>0.79165341099999997</v>
      </c>
      <c r="AU267">
        <v>0.474459609</v>
      </c>
    </row>
    <row r="268" spans="1:47" x14ac:dyDescent="0.2">
      <c r="A268" t="s">
        <v>332</v>
      </c>
      <c r="B268" s="74">
        <v>41640</v>
      </c>
      <c r="C268">
        <v>-0.993665829</v>
      </c>
      <c r="D268">
        <v>0.80320360300000004</v>
      </c>
      <c r="E268">
        <v>0.39369206899999998</v>
      </c>
      <c r="F268">
        <v>0.21836011599999999</v>
      </c>
      <c r="G268">
        <v>0.122013733</v>
      </c>
      <c r="H268">
        <v>1.050559545</v>
      </c>
      <c r="I268">
        <v>0.33464708199999998</v>
      </c>
      <c r="J268">
        <v>0.43573864400000001</v>
      </c>
      <c r="K268">
        <v>1.5</v>
      </c>
      <c r="L268">
        <v>1.2076664210000001</v>
      </c>
      <c r="M268">
        <v>0.29894409</v>
      </c>
      <c r="N268">
        <v>0.201104009</v>
      </c>
      <c r="O268">
        <v>0.29294599999999998</v>
      </c>
      <c r="P268">
        <v>0.16661908</v>
      </c>
      <c r="Q268">
        <v>-4.9914380000000001E-2</v>
      </c>
      <c r="R268">
        <v>0.34349600000000002</v>
      </c>
      <c r="S268">
        <v>-0.17948572600000001</v>
      </c>
      <c r="T268">
        <v>0.66283668500000004</v>
      </c>
      <c r="U268">
        <v>0.484406</v>
      </c>
      <c r="V268">
        <v>0.52596684199999999</v>
      </c>
      <c r="W268">
        <v>0.63443493900000003</v>
      </c>
      <c r="X268">
        <v>0.86381150900000003</v>
      </c>
      <c r="Y268">
        <v>2.20112</v>
      </c>
      <c r="Z268">
        <v>-0.81645287899999996</v>
      </c>
      <c r="AA268">
        <v>3.5349816139999999</v>
      </c>
      <c r="AB268">
        <v>0.74429729700000002</v>
      </c>
      <c r="AC268">
        <v>-0.22126949000000001</v>
      </c>
      <c r="AD268">
        <v>-0.124390422</v>
      </c>
      <c r="AE268">
        <v>0.87491575300000002</v>
      </c>
      <c r="AF268">
        <v>-0.84077451299999995</v>
      </c>
      <c r="AG268">
        <v>0.90870429100000005</v>
      </c>
      <c r="AH268">
        <v>0.55860150399999997</v>
      </c>
      <c r="AI268">
        <v>0.63473019200000003</v>
      </c>
      <c r="AJ268">
        <v>-0.17725463599999999</v>
      </c>
      <c r="AK268">
        <v>0.24070809900000001</v>
      </c>
      <c r="AL268">
        <v>0.49313591899999998</v>
      </c>
      <c r="AM268">
        <v>0.26459448200000002</v>
      </c>
      <c r="AN268">
        <v>1.0949673310000001</v>
      </c>
      <c r="AO268">
        <v>0.57735481700000002</v>
      </c>
      <c r="AP268">
        <v>0.578981309</v>
      </c>
      <c r="AQ268">
        <v>1.933858794</v>
      </c>
      <c r="AR268">
        <v>0.71382367599999996</v>
      </c>
      <c r="AS268">
        <v>0.19382951800000001</v>
      </c>
      <c r="AT268">
        <v>0.71117100200000005</v>
      </c>
      <c r="AU268">
        <v>0.53835203600000003</v>
      </c>
    </row>
    <row r="269" spans="1:47" x14ac:dyDescent="0.2">
      <c r="A269" t="s">
        <v>333</v>
      </c>
      <c r="B269" s="74">
        <v>41730</v>
      </c>
      <c r="C269">
        <v>-1.51891686</v>
      </c>
      <c r="D269">
        <v>0.75362822100000004</v>
      </c>
      <c r="E269">
        <v>-0.22474580199999999</v>
      </c>
      <c r="F269">
        <v>0.429826386</v>
      </c>
      <c r="G269">
        <v>0.87330702000000004</v>
      </c>
      <c r="H269">
        <v>0.163447761</v>
      </c>
      <c r="I269">
        <v>0.62681434899999999</v>
      </c>
      <c r="J269">
        <v>0.38143318700000001</v>
      </c>
      <c r="K269">
        <v>1.9</v>
      </c>
      <c r="L269">
        <v>-0.54767266699999995</v>
      </c>
      <c r="M269">
        <v>0.93519777199999998</v>
      </c>
      <c r="N269">
        <v>0.25325559199999997</v>
      </c>
      <c r="O269">
        <v>0.404084</v>
      </c>
      <c r="P269">
        <v>0.367436031</v>
      </c>
      <c r="Q269">
        <v>1.641611181</v>
      </c>
      <c r="R269">
        <v>0.42556100000000002</v>
      </c>
      <c r="S269">
        <v>-0.772230003</v>
      </c>
      <c r="T269">
        <v>1.3373494999999999E-2</v>
      </c>
      <c r="U269">
        <v>0.13846800000000001</v>
      </c>
      <c r="V269">
        <v>0.93276588199999999</v>
      </c>
      <c r="W269">
        <v>-3.0488116999999999E-2</v>
      </c>
      <c r="X269">
        <v>0.78321605999999999</v>
      </c>
      <c r="Y269">
        <v>1.1590100000000001</v>
      </c>
      <c r="Z269">
        <v>3.9065079219999999</v>
      </c>
      <c r="AA269">
        <v>-2.8889849810000001</v>
      </c>
      <c r="AB269">
        <v>1.097064217</v>
      </c>
      <c r="AC269">
        <v>0.15806595700000001</v>
      </c>
      <c r="AD269">
        <v>0.84700990600000003</v>
      </c>
      <c r="AE269">
        <v>0.85697468899999996</v>
      </c>
      <c r="AF269">
        <v>2.0690370429999998</v>
      </c>
      <c r="AG269">
        <v>-0.10470860899999999</v>
      </c>
      <c r="AH269">
        <v>0.68876702099999998</v>
      </c>
      <c r="AI269">
        <v>-9.4817586999999995E-2</v>
      </c>
      <c r="AJ269">
        <v>0.52087019999999995</v>
      </c>
      <c r="AK269">
        <v>1.4993949479999999</v>
      </c>
      <c r="AL269">
        <v>0.363588894</v>
      </c>
      <c r="AM269">
        <v>1.032811897</v>
      </c>
      <c r="AN269">
        <v>-0.64183926700000005</v>
      </c>
      <c r="AO269">
        <v>-7.460833E-3</v>
      </c>
      <c r="AP269">
        <v>0.617396791</v>
      </c>
      <c r="AQ269">
        <v>8.4560196000000004E-2</v>
      </c>
      <c r="AR269">
        <v>0.82273211999999996</v>
      </c>
      <c r="AS269">
        <v>2.901075638</v>
      </c>
      <c r="AT269">
        <v>-0.35010973699999998</v>
      </c>
      <c r="AU269">
        <v>-0.13793565199999999</v>
      </c>
    </row>
    <row r="270" spans="1:47" x14ac:dyDescent="0.2">
      <c r="A270" t="s">
        <v>334</v>
      </c>
      <c r="B270" s="74">
        <v>41821</v>
      </c>
      <c r="C270">
        <v>-0.57540696999999996</v>
      </c>
      <c r="D270">
        <v>0.46162775900000003</v>
      </c>
      <c r="E270">
        <v>0.66773867499999995</v>
      </c>
      <c r="F270">
        <v>0.26527291600000003</v>
      </c>
      <c r="G270">
        <v>-1.5037028990000001</v>
      </c>
      <c r="H270">
        <v>0.913329104</v>
      </c>
      <c r="I270">
        <v>0.67647365199999998</v>
      </c>
      <c r="J270">
        <v>0.64691272099999997</v>
      </c>
      <c r="K270">
        <v>1.8</v>
      </c>
      <c r="L270">
        <v>0.93476293799999999</v>
      </c>
      <c r="M270">
        <v>0</v>
      </c>
      <c r="N270">
        <v>-7.2441775E-2</v>
      </c>
      <c r="O270">
        <v>0.21812400000000001</v>
      </c>
      <c r="P270">
        <v>0.46335200700000001</v>
      </c>
      <c r="Q270">
        <v>0.40810372900000003</v>
      </c>
      <c r="R270">
        <v>0.28683199999999998</v>
      </c>
      <c r="S270">
        <v>0.16213329300000001</v>
      </c>
      <c r="T270">
        <v>8.4500980000000003E-2</v>
      </c>
      <c r="U270">
        <v>0.464619</v>
      </c>
      <c r="V270">
        <v>0.80616971100000001</v>
      </c>
      <c r="W270">
        <v>-0.25496340499999998</v>
      </c>
      <c r="X270">
        <v>1.3182604760000001</v>
      </c>
      <c r="Y270">
        <v>2.28965</v>
      </c>
      <c r="Z270">
        <v>4.1411182230000003</v>
      </c>
      <c r="AA270">
        <v>5.7761748000000002E-2</v>
      </c>
      <c r="AB270">
        <v>0.92973250500000004</v>
      </c>
      <c r="AC270">
        <v>-3.1894163000000003E-2</v>
      </c>
      <c r="AD270">
        <v>-1.8286548949999999</v>
      </c>
      <c r="AE270">
        <v>0.87785840999999998</v>
      </c>
      <c r="AF270">
        <v>-1.3411905159999999</v>
      </c>
      <c r="AG270">
        <v>0.582503734</v>
      </c>
      <c r="AH270">
        <v>1.2627086620000001</v>
      </c>
      <c r="AI270">
        <v>0.58547979800000005</v>
      </c>
      <c r="AJ270">
        <v>0.73901314399999996</v>
      </c>
      <c r="AK270">
        <v>0.51601125199999998</v>
      </c>
      <c r="AL270">
        <v>0.47918470899999999</v>
      </c>
      <c r="AM270">
        <v>1.139115192</v>
      </c>
      <c r="AN270">
        <v>0.33271702800000003</v>
      </c>
      <c r="AO270">
        <v>0.48161520000000002</v>
      </c>
      <c r="AP270">
        <v>0.76352703799999999</v>
      </c>
      <c r="AQ270">
        <v>0.85418132499999999</v>
      </c>
      <c r="AR270">
        <v>0.82441408199999999</v>
      </c>
      <c r="AS270">
        <v>-1.62240622</v>
      </c>
      <c r="AT270">
        <v>1.2841289069999999</v>
      </c>
      <c r="AU270">
        <v>0.394667298</v>
      </c>
    </row>
    <row r="271" spans="1:47" x14ac:dyDescent="0.2">
      <c r="A271" t="s">
        <v>335</v>
      </c>
      <c r="B271" s="74">
        <v>41913</v>
      </c>
      <c r="C271">
        <v>-0.81817607199999998</v>
      </c>
      <c r="D271">
        <v>0.47959303399999997</v>
      </c>
      <c r="E271">
        <v>-9.4005200999999997E-2</v>
      </c>
      <c r="F271">
        <v>0.69044200099999997</v>
      </c>
      <c r="G271">
        <v>-2.2699487000000001E-2</v>
      </c>
      <c r="H271">
        <v>0.95905130800000005</v>
      </c>
      <c r="I271">
        <v>0.55089425199999997</v>
      </c>
      <c r="J271">
        <v>-0.47321777100000001</v>
      </c>
      <c r="K271">
        <v>1.8</v>
      </c>
      <c r="L271">
        <v>1.1888070820000001</v>
      </c>
      <c r="M271">
        <v>0.53965720100000003</v>
      </c>
      <c r="N271">
        <v>1.673875429</v>
      </c>
      <c r="O271">
        <v>0.46706599999999998</v>
      </c>
      <c r="P271">
        <v>0.74003508500000004</v>
      </c>
      <c r="Q271">
        <v>1.3404215799999999</v>
      </c>
      <c r="R271">
        <v>0.53825599999999996</v>
      </c>
      <c r="S271">
        <v>0.38658566799999999</v>
      </c>
      <c r="T271">
        <v>0.56171515699999996</v>
      </c>
      <c r="U271">
        <v>0.78474900000000003</v>
      </c>
      <c r="V271">
        <v>0.67717332799999996</v>
      </c>
      <c r="W271">
        <v>1.068739922</v>
      </c>
      <c r="X271">
        <v>0.95435713300000002</v>
      </c>
      <c r="Y271">
        <v>1.8258000000000001</v>
      </c>
      <c r="Z271">
        <v>0.41841331900000001</v>
      </c>
      <c r="AA271">
        <v>3.5354499659999998</v>
      </c>
      <c r="AB271">
        <v>0.93346970900000004</v>
      </c>
      <c r="AC271">
        <v>0.102746085</v>
      </c>
      <c r="AD271">
        <v>7.8705574E-2</v>
      </c>
      <c r="AE271">
        <v>0.31131726599999998</v>
      </c>
      <c r="AF271">
        <v>2.0769941350000001</v>
      </c>
      <c r="AG271">
        <v>0.41199316200000002</v>
      </c>
      <c r="AH271">
        <v>0.36532226699999998</v>
      </c>
      <c r="AI271">
        <v>0.24999317099999999</v>
      </c>
      <c r="AJ271">
        <v>0.42036606100000001</v>
      </c>
      <c r="AK271">
        <v>1.2695059120000001</v>
      </c>
      <c r="AL271">
        <v>0.77611991400000002</v>
      </c>
      <c r="AM271">
        <v>0.83409964400000003</v>
      </c>
      <c r="AN271">
        <v>9.4687166000000003E-2</v>
      </c>
      <c r="AO271">
        <v>-0.318118911</v>
      </c>
      <c r="AP271">
        <v>0.96460367999999996</v>
      </c>
      <c r="AQ271">
        <v>0.60384594400000002</v>
      </c>
      <c r="AR271">
        <v>0.70907921900000004</v>
      </c>
      <c r="AS271">
        <v>2.4581843989999999</v>
      </c>
      <c r="AT271">
        <v>1.1649616439999999</v>
      </c>
      <c r="AU271">
        <v>0.48057925200000001</v>
      </c>
    </row>
    <row r="272" spans="1:47" x14ac:dyDescent="0.2">
      <c r="A272" t="s">
        <v>336</v>
      </c>
      <c r="B272" s="74">
        <v>42005</v>
      </c>
      <c r="C272">
        <v>0.51572844399999995</v>
      </c>
      <c r="D272">
        <v>0.36342481799999998</v>
      </c>
      <c r="E272">
        <v>0.137368237</v>
      </c>
      <c r="F272">
        <v>0.52258341799999997</v>
      </c>
      <c r="G272">
        <v>0.50639816199999999</v>
      </c>
      <c r="H272">
        <v>0.69197566799999999</v>
      </c>
      <c r="I272">
        <v>0.53045993199999997</v>
      </c>
      <c r="J272">
        <v>1.1690257230000001</v>
      </c>
      <c r="K272">
        <v>1.7</v>
      </c>
      <c r="L272">
        <v>1.146457887</v>
      </c>
      <c r="M272">
        <v>0.81021354599999995</v>
      </c>
      <c r="N272">
        <v>0.35869336200000002</v>
      </c>
      <c r="O272">
        <v>0.36938100000000001</v>
      </c>
      <c r="P272">
        <v>0.85837734799999998</v>
      </c>
      <c r="Q272">
        <v>1.4976547710000001</v>
      </c>
      <c r="R272">
        <v>0.42590600000000001</v>
      </c>
      <c r="S272">
        <v>-0.23902568599999999</v>
      </c>
      <c r="T272">
        <v>-3.0036628999999999E-2</v>
      </c>
      <c r="U272">
        <v>0.42790899999999998</v>
      </c>
      <c r="V272">
        <v>0.56048282900000002</v>
      </c>
      <c r="W272">
        <v>-1.052650021</v>
      </c>
      <c r="X272">
        <v>0.56165214100000005</v>
      </c>
      <c r="Y272">
        <v>1.5339700000000001</v>
      </c>
      <c r="Z272">
        <v>-0.28660447</v>
      </c>
      <c r="AA272">
        <v>-0.243336363</v>
      </c>
      <c r="AB272">
        <v>1.5137227129999999</v>
      </c>
      <c r="AC272">
        <v>-0.26851390600000002</v>
      </c>
      <c r="AD272">
        <v>0.46221905000000002</v>
      </c>
      <c r="AE272">
        <v>0.49063874800000001</v>
      </c>
      <c r="AF272">
        <v>2.5722656389999998</v>
      </c>
      <c r="AG272">
        <v>0.57382443900000002</v>
      </c>
      <c r="AH272">
        <v>1.043513176</v>
      </c>
      <c r="AI272">
        <v>0.89567438200000005</v>
      </c>
      <c r="AJ272">
        <v>1.2224554480000001</v>
      </c>
      <c r="AK272">
        <v>1.621433669</v>
      </c>
      <c r="AL272">
        <v>0.54104764699999996</v>
      </c>
      <c r="AM272">
        <v>0.65556957599999999</v>
      </c>
      <c r="AN272">
        <v>0.80896891900000001</v>
      </c>
      <c r="AO272">
        <v>-0.23528992500000001</v>
      </c>
      <c r="AP272">
        <v>1.104541389</v>
      </c>
      <c r="AQ272">
        <v>0.13250883799999999</v>
      </c>
      <c r="AR272">
        <v>0.77773449500000003</v>
      </c>
      <c r="AS272">
        <v>1.3475593850000001</v>
      </c>
      <c r="AT272">
        <v>0.44899340199999999</v>
      </c>
      <c r="AU272">
        <v>0.74877564299999999</v>
      </c>
    </row>
    <row r="273" spans="1:47" x14ac:dyDescent="0.2">
      <c r="A273" t="s">
        <v>337</v>
      </c>
      <c r="B273" s="74">
        <v>42095</v>
      </c>
      <c r="C273">
        <v>1.447545874</v>
      </c>
      <c r="D273">
        <v>0.90795766600000005</v>
      </c>
      <c r="E273">
        <v>0.27954395700000001</v>
      </c>
      <c r="F273">
        <v>0.519866681</v>
      </c>
      <c r="G273">
        <v>-0.68513705400000002</v>
      </c>
      <c r="H273">
        <v>-0.54951940799999999</v>
      </c>
      <c r="I273">
        <v>-0.16998713500000001</v>
      </c>
      <c r="J273">
        <v>0.76876602699999996</v>
      </c>
      <c r="K273">
        <v>1.9</v>
      </c>
      <c r="L273">
        <v>1.894335015</v>
      </c>
      <c r="M273">
        <v>-0.52742190799999999</v>
      </c>
      <c r="N273">
        <v>0.684680081</v>
      </c>
      <c r="O273">
        <v>0.67512300000000003</v>
      </c>
      <c r="P273">
        <v>1.1475940920000001</v>
      </c>
      <c r="Q273">
        <v>-1.3968137819999999</v>
      </c>
      <c r="R273">
        <v>0.75162499999999999</v>
      </c>
      <c r="S273">
        <v>-0.77774397200000001</v>
      </c>
      <c r="T273">
        <v>0.53687376499999995</v>
      </c>
      <c r="U273">
        <v>0.65058700000000003</v>
      </c>
      <c r="V273">
        <v>0.644738174</v>
      </c>
      <c r="W273">
        <v>0.56772132200000003</v>
      </c>
      <c r="X273">
        <v>1.6599405759999999</v>
      </c>
      <c r="Y273">
        <v>1.68431</v>
      </c>
      <c r="Z273">
        <v>23.884504614000001</v>
      </c>
      <c r="AA273">
        <v>-1.7657294480000001</v>
      </c>
      <c r="AB273">
        <v>3.8889865000000003E-2</v>
      </c>
      <c r="AC273">
        <v>0.264507832</v>
      </c>
      <c r="AD273">
        <v>1.5748387079999999</v>
      </c>
      <c r="AE273">
        <v>0.77536404000000003</v>
      </c>
      <c r="AF273">
        <v>-0.74843522500000004</v>
      </c>
      <c r="AG273">
        <v>1.4434101850000001</v>
      </c>
      <c r="AH273">
        <v>0.54457861500000004</v>
      </c>
      <c r="AI273">
        <v>0.59541208000000001</v>
      </c>
      <c r="AJ273">
        <v>-0.25669085800000002</v>
      </c>
      <c r="AK273">
        <v>0.32055322400000003</v>
      </c>
      <c r="AL273">
        <v>0.826882491</v>
      </c>
      <c r="AM273">
        <v>1.4163281750000001</v>
      </c>
      <c r="AN273">
        <v>0.64483628199999998</v>
      </c>
      <c r="AO273">
        <v>-1.0172225079999999</v>
      </c>
      <c r="AP273">
        <v>1.9268144270000001</v>
      </c>
      <c r="AQ273">
        <v>0.48640340999999998</v>
      </c>
      <c r="AR273">
        <v>1.410923854</v>
      </c>
      <c r="AS273">
        <v>1.890749754</v>
      </c>
      <c r="AT273">
        <v>0.81331362600000001</v>
      </c>
      <c r="AU273">
        <v>0.72235292600000001</v>
      </c>
    </row>
    <row r="274" spans="1:47" x14ac:dyDescent="0.2">
      <c r="A274" t="s">
        <v>338</v>
      </c>
      <c r="B274" s="74">
        <v>42186</v>
      </c>
      <c r="C274">
        <v>2.3313064460000001</v>
      </c>
      <c r="D274">
        <v>0.107788256</v>
      </c>
      <c r="E274">
        <v>0.191105841</v>
      </c>
      <c r="F274">
        <v>0.671848114</v>
      </c>
      <c r="G274">
        <v>-2.5977343290000001</v>
      </c>
      <c r="H274">
        <v>-0.27217208300000001</v>
      </c>
      <c r="I274">
        <v>0.71732595600000004</v>
      </c>
      <c r="J274">
        <v>0.79685406299999995</v>
      </c>
      <c r="K274">
        <v>1.8</v>
      </c>
      <c r="L274">
        <v>1.3580441350000001</v>
      </c>
      <c r="M274">
        <v>0.70693694699999998</v>
      </c>
      <c r="N274">
        <v>0.46777307499999998</v>
      </c>
      <c r="O274">
        <v>0.46868199999999999</v>
      </c>
      <c r="P274">
        <v>1.072777012</v>
      </c>
      <c r="Q274">
        <v>1.9724050179999999</v>
      </c>
      <c r="R274">
        <v>0.494309</v>
      </c>
      <c r="S274">
        <v>1.5216849690000001</v>
      </c>
      <c r="T274">
        <v>0.105658315</v>
      </c>
      <c r="U274">
        <v>0.457125</v>
      </c>
      <c r="V274">
        <v>0.738449044</v>
      </c>
      <c r="W274">
        <v>-5.9916233999999999E-2</v>
      </c>
      <c r="X274">
        <v>0.11238449</v>
      </c>
      <c r="Y274">
        <v>2.1417799999999998</v>
      </c>
      <c r="Z274">
        <v>-1.9495871229999999</v>
      </c>
      <c r="AA274">
        <v>6.2324120949999999</v>
      </c>
      <c r="AB274">
        <v>6.7190522000000003E-2</v>
      </c>
      <c r="AC274">
        <v>0.39626207099999999</v>
      </c>
      <c r="AD274">
        <v>0.13298579799999999</v>
      </c>
      <c r="AE274">
        <v>0.483265163</v>
      </c>
      <c r="AF274">
        <v>0.67756275499999996</v>
      </c>
      <c r="AG274">
        <v>1.504742743</v>
      </c>
      <c r="AH274">
        <v>1.162651195</v>
      </c>
      <c r="AI274">
        <v>0.30808108099999998</v>
      </c>
      <c r="AJ274">
        <v>0.53003701599999997</v>
      </c>
      <c r="AK274">
        <v>0.73060836200000001</v>
      </c>
      <c r="AL274">
        <v>0.55509469899999997</v>
      </c>
      <c r="AM274">
        <v>0.78802928800000005</v>
      </c>
      <c r="AN274">
        <v>0.29763900999999998</v>
      </c>
      <c r="AO274">
        <v>-0.66980761700000002</v>
      </c>
      <c r="AP274">
        <v>1.245743796</v>
      </c>
      <c r="AQ274">
        <v>0.674017541</v>
      </c>
      <c r="AR274">
        <v>0.99444850399999996</v>
      </c>
      <c r="AS274">
        <v>1.5237694049999999</v>
      </c>
      <c r="AT274">
        <v>0.58000143199999998</v>
      </c>
      <c r="AU274">
        <v>-0.84426337100000004</v>
      </c>
    </row>
    <row r="275" spans="1:47" x14ac:dyDescent="0.2">
      <c r="A275" t="s">
        <v>339</v>
      </c>
      <c r="B275" s="74">
        <v>42278</v>
      </c>
      <c r="C275">
        <v>-4.9245411000000003E-2</v>
      </c>
      <c r="D275">
        <v>1.044376011</v>
      </c>
      <c r="E275">
        <v>0.570497068</v>
      </c>
      <c r="F275">
        <v>0.19108708399999999</v>
      </c>
      <c r="G275">
        <v>-1.4792195800000001</v>
      </c>
      <c r="H275">
        <v>0.35370182900000002</v>
      </c>
      <c r="I275">
        <v>0.633315191</v>
      </c>
      <c r="J275">
        <v>-0.46088251899999999</v>
      </c>
      <c r="K275">
        <v>1.7</v>
      </c>
      <c r="L275">
        <v>1.210334064</v>
      </c>
      <c r="M275">
        <v>0.501395916</v>
      </c>
      <c r="N275">
        <v>0.30165290099999997</v>
      </c>
      <c r="O275">
        <v>0.42550700000000002</v>
      </c>
      <c r="P275">
        <v>0.91002971300000002</v>
      </c>
      <c r="Q275">
        <v>0.74479441899999999</v>
      </c>
      <c r="R275">
        <v>0.52746800000000005</v>
      </c>
      <c r="S275">
        <v>-9.4387710000000003E-3</v>
      </c>
      <c r="T275">
        <v>0.21976791500000001</v>
      </c>
      <c r="U275">
        <v>0.31253900000000001</v>
      </c>
      <c r="V275">
        <v>0.53725258399999998</v>
      </c>
      <c r="W275">
        <v>-1.880381606</v>
      </c>
      <c r="X275">
        <v>0.74968579899999999</v>
      </c>
      <c r="Y275">
        <v>1.84622</v>
      </c>
      <c r="Z275">
        <v>2.9072956790000002</v>
      </c>
      <c r="AA275">
        <v>-0.80590505300000004</v>
      </c>
      <c r="AB275">
        <v>0.109239542</v>
      </c>
      <c r="AC275">
        <v>0.24007830499999999</v>
      </c>
      <c r="AD275">
        <v>7.8359089000000007E-2</v>
      </c>
      <c r="AE275">
        <v>1.4429687099999999</v>
      </c>
      <c r="AF275">
        <v>-0.47495839200000001</v>
      </c>
      <c r="AG275">
        <v>0.710042913</v>
      </c>
      <c r="AH275">
        <v>1.327388097</v>
      </c>
      <c r="AI275">
        <v>0.34429598700000003</v>
      </c>
      <c r="AJ275">
        <v>1.1717812379999999</v>
      </c>
      <c r="AK275">
        <v>1.060341448</v>
      </c>
      <c r="AL275">
        <v>0.52379937700000001</v>
      </c>
      <c r="AM275">
        <v>1.2619336000000001</v>
      </c>
      <c r="AN275">
        <v>0.113767651</v>
      </c>
      <c r="AO275">
        <v>0.19352587500000001</v>
      </c>
      <c r="AP275">
        <v>1.1512875819999999</v>
      </c>
      <c r="AQ275">
        <v>0.63731250299999997</v>
      </c>
      <c r="AR275">
        <v>1.377098785</v>
      </c>
      <c r="AS275">
        <v>1.401513902</v>
      </c>
      <c r="AT275">
        <v>0.323372673</v>
      </c>
      <c r="AU275">
        <v>0.45042400900000001</v>
      </c>
    </row>
    <row r="276" spans="1:47" x14ac:dyDescent="0.2">
      <c r="A276" t="s">
        <v>340</v>
      </c>
      <c r="B276" s="74">
        <v>42370</v>
      </c>
      <c r="C276">
        <v>-1.1152089519999999</v>
      </c>
      <c r="D276">
        <v>0.60098578300000005</v>
      </c>
      <c r="E276">
        <v>0.126728966</v>
      </c>
      <c r="F276">
        <v>0.41690626800000002</v>
      </c>
      <c r="G276">
        <v>-0.78777719000000002</v>
      </c>
      <c r="H276">
        <v>7.4877375999999995E-2</v>
      </c>
      <c r="I276">
        <v>0.41110833899999999</v>
      </c>
      <c r="J276">
        <v>0.78553184600000003</v>
      </c>
      <c r="K276">
        <v>1.7</v>
      </c>
      <c r="L276">
        <v>0.59351304000000005</v>
      </c>
      <c r="M276">
        <v>0.42905977699999998</v>
      </c>
      <c r="N276">
        <v>0.22282512400000001</v>
      </c>
      <c r="O276">
        <v>0.45696500000000001</v>
      </c>
      <c r="P276">
        <v>0.96906241500000001</v>
      </c>
      <c r="Q276">
        <v>-0.18525602599999999</v>
      </c>
      <c r="R276">
        <v>0.50658700000000001</v>
      </c>
      <c r="S276">
        <v>0.56071590400000004</v>
      </c>
      <c r="T276">
        <v>0.20792935800000001</v>
      </c>
      <c r="U276">
        <v>0.19771</v>
      </c>
      <c r="V276">
        <v>0.67986169799999996</v>
      </c>
      <c r="W276">
        <v>1.796907604</v>
      </c>
      <c r="X276">
        <v>1.044419298</v>
      </c>
      <c r="Y276">
        <v>2.0324900000000001</v>
      </c>
      <c r="Z276">
        <v>0.89530197</v>
      </c>
      <c r="AA276">
        <v>1.623472577</v>
      </c>
      <c r="AB276">
        <v>0.82274322</v>
      </c>
      <c r="AC276">
        <v>0.528458231</v>
      </c>
      <c r="AD276">
        <v>-0.16539422000000001</v>
      </c>
      <c r="AE276">
        <v>0.70394753200000004</v>
      </c>
      <c r="AF276">
        <v>0.64317057799999999</v>
      </c>
      <c r="AG276">
        <v>-0.12083440099999999</v>
      </c>
      <c r="AH276">
        <v>-0.343766077</v>
      </c>
      <c r="AI276">
        <v>1.6409277999999999E-2</v>
      </c>
      <c r="AJ276">
        <v>-0.87806542799999998</v>
      </c>
      <c r="AK276">
        <v>1.0492161739999999</v>
      </c>
      <c r="AL276">
        <v>0.30331973099999998</v>
      </c>
      <c r="AM276">
        <v>1.2467160829999999</v>
      </c>
      <c r="AN276">
        <v>0.47925993700000002</v>
      </c>
      <c r="AO276">
        <v>-0.25779131700000002</v>
      </c>
      <c r="AP276">
        <v>0.72047832000000001</v>
      </c>
      <c r="AQ276">
        <v>0.15526224199999999</v>
      </c>
      <c r="AR276">
        <v>0.73927501399999995</v>
      </c>
      <c r="AS276">
        <v>1.166866867</v>
      </c>
      <c r="AT276">
        <v>0.14623434699999999</v>
      </c>
      <c r="AU276">
        <v>0.433466201</v>
      </c>
    </row>
    <row r="277" spans="1:47" x14ac:dyDescent="0.2">
      <c r="A277" t="s">
        <v>341</v>
      </c>
      <c r="B277" s="74">
        <v>42461</v>
      </c>
      <c r="C277">
        <v>-0.93534377300000004</v>
      </c>
      <c r="D277">
        <v>0.86045878099999995</v>
      </c>
      <c r="E277">
        <v>1.073556862</v>
      </c>
      <c r="F277">
        <v>5.7265569000000002E-2</v>
      </c>
      <c r="G277">
        <v>-1.6046300790000001</v>
      </c>
      <c r="H277">
        <v>0.54850083999999999</v>
      </c>
      <c r="I277">
        <v>0.41995072300000003</v>
      </c>
      <c r="J277">
        <v>1.352721217</v>
      </c>
      <c r="K277">
        <v>1.4</v>
      </c>
      <c r="L277">
        <v>0.157393173</v>
      </c>
      <c r="M277">
        <v>0.81722940200000005</v>
      </c>
      <c r="N277">
        <v>1.152059046</v>
      </c>
      <c r="O277">
        <v>0.55643100000000001</v>
      </c>
      <c r="P277">
        <v>0.67765105400000003</v>
      </c>
      <c r="Q277">
        <v>1.623618301</v>
      </c>
      <c r="R277">
        <v>0.52428300000000005</v>
      </c>
      <c r="S277">
        <v>1.233455365</v>
      </c>
      <c r="T277">
        <v>0.62331895100000001</v>
      </c>
      <c r="U277">
        <v>0.60768900000000003</v>
      </c>
      <c r="V277">
        <v>0.44164719800000002</v>
      </c>
      <c r="W277">
        <v>-0.95716801699999998</v>
      </c>
      <c r="X277">
        <v>-0.54979611299999998</v>
      </c>
      <c r="Y277">
        <v>2.9023400000000001</v>
      </c>
      <c r="Z277">
        <v>-2.8525450929999998</v>
      </c>
      <c r="AA277">
        <v>-2.9645559889999999</v>
      </c>
      <c r="AB277">
        <v>0.938403027</v>
      </c>
      <c r="AC277">
        <v>0.27258472500000003</v>
      </c>
      <c r="AD277">
        <v>0.76051198399999997</v>
      </c>
      <c r="AE277">
        <v>0.28595575299999998</v>
      </c>
      <c r="AF277">
        <v>2.9613647869999999</v>
      </c>
      <c r="AG277">
        <v>1.8503645500000001</v>
      </c>
      <c r="AH277">
        <v>0.58153025199999997</v>
      </c>
      <c r="AI277">
        <v>0.91887288300000003</v>
      </c>
      <c r="AJ277">
        <v>0.13370781000000001</v>
      </c>
      <c r="AK277">
        <v>1.1622225319999999</v>
      </c>
      <c r="AL277">
        <v>0.56005411999999999</v>
      </c>
      <c r="AM277">
        <v>-0.30011750399999998</v>
      </c>
      <c r="AN277">
        <v>0.46678752499999998</v>
      </c>
      <c r="AO277">
        <v>0.19005752400000001</v>
      </c>
      <c r="AP277">
        <v>-2.3352525999999998E-2</v>
      </c>
      <c r="AQ277">
        <v>1.0275205279999999</v>
      </c>
      <c r="AR277">
        <v>-5.2723977999999998E-2</v>
      </c>
      <c r="AS277">
        <v>0.36153796799999999</v>
      </c>
      <c r="AT277">
        <v>0.58917986899999997</v>
      </c>
      <c r="AU277">
        <v>0.238864308</v>
      </c>
    </row>
    <row r="278" spans="1:47" x14ac:dyDescent="0.2">
      <c r="A278" t="s">
        <v>342</v>
      </c>
      <c r="B278" s="74">
        <v>42552</v>
      </c>
      <c r="C278">
        <v>-1.581312981</v>
      </c>
      <c r="D278">
        <v>0.65410038999999998</v>
      </c>
      <c r="E278">
        <v>-0.121006057</v>
      </c>
      <c r="F278">
        <v>0.54943482600000004</v>
      </c>
      <c r="G278">
        <v>0.55589272499999998</v>
      </c>
      <c r="H278">
        <v>-0.49171172400000002</v>
      </c>
      <c r="I278">
        <v>0.52119987899999998</v>
      </c>
      <c r="J278">
        <v>-0.67548198800000003</v>
      </c>
      <c r="K278">
        <v>1.9</v>
      </c>
      <c r="L278">
        <v>0.33140235200000001</v>
      </c>
      <c r="M278">
        <v>0.41391166099999999</v>
      </c>
      <c r="N278">
        <v>1.352637774</v>
      </c>
      <c r="O278">
        <v>0.23014100000000001</v>
      </c>
      <c r="P278">
        <v>0.41940912000000002</v>
      </c>
      <c r="Q278">
        <v>-0.18614604900000001</v>
      </c>
      <c r="R278">
        <v>0.30559700000000001</v>
      </c>
      <c r="S278">
        <v>0.15578057200000001</v>
      </c>
      <c r="T278">
        <v>-0.29624259400000003</v>
      </c>
      <c r="U278">
        <v>0.18743799999999999</v>
      </c>
      <c r="V278">
        <v>0.57733733799999998</v>
      </c>
      <c r="W278">
        <v>-0.24327795999999999</v>
      </c>
      <c r="X278">
        <v>1.360133348</v>
      </c>
      <c r="Y278">
        <v>1.7807999999999999</v>
      </c>
      <c r="Z278">
        <v>1.813413275</v>
      </c>
      <c r="AA278">
        <v>6.9798222550000002</v>
      </c>
      <c r="AB278">
        <v>2.3268234529999998</v>
      </c>
      <c r="AC278">
        <v>0.20562630000000001</v>
      </c>
      <c r="AD278">
        <v>-0.14386096900000001</v>
      </c>
      <c r="AE278">
        <v>1.2064653649999999</v>
      </c>
      <c r="AF278">
        <v>1.406192455</v>
      </c>
      <c r="AG278">
        <v>-0.96287759699999997</v>
      </c>
      <c r="AH278">
        <v>0.41485984100000001</v>
      </c>
      <c r="AI278">
        <v>0.23547739600000001</v>
      </c>
      <c r="AJ278">
        <v>-3.1674933000000002E-2</v>
      </c>
      <c r="AK278">
        <v>0.95739175399999998</v>
      </c>
      <c r="AL278">
        <v>0.35112237699999999</v>
      </c>
      <c r="AM278">
        <v>1.3159584479999999</v>
      </c>
      <c r="AN278">
        <v>0.29956189700000002</v>
      </c>
      <c r="AO278">
        <v>5.3848740999999999E-2</v>
      </c>
      <c r="AP278">
        <v>0.24669375499999999</v>
      </c>
      <c r="AQ278">
        <v>1.2870074229999999</v>
      </c>
      <c r="AR278">
        <v>4.6036454999999997E-2</v>
      </c>
      <c r="AS278">
        <v>1.4308864020000001</v>
      </c>
      <c r="AT278">
        <v>0.30238880699999998</v>
      </c>
      <c r="AU278">
        <v>9.6214305E-2</v>
      </c>
    </row>
    <row r="279" spans="1:47" x14ac:dyDescent="0.2">
      <c r="A279" t="s">
        <v>343</v>
      </c>
      <c r="B279" s="74">
        <v>42644</v>
      </c>
      <c r="C279">
        <v>0.33553271099999998</v>
      </c>
      <c r="D279">
        <v>0.136753972</v>
      </c>
      <c r="E279">
        <v>0.55039914300000004</v>
      </c>
      <c r="F279">
        <v>0.175503505</v>
      </c>
      <c r="G279">
        <v>-0.604232883</v>
      </c>
      <c r="H279">
        <v>1.031213682</v>
      </c>
      <c r="I279">
        <v>0.54234905099999997</v>
      </c>
      <c r="J279">
        <v>0.55179557300000004</v>
      </c>
      <c r="K279">
        <v>1.7</v>
      </c>
      <c r="L279">
        <v>0.89640403300000004</v>
      </c>
      <c r="M279">
        <v>0.34351193000000002</v>
      </c>
      <c r="N279">
        <v>0.84838182900000003</v>
      </c>
      <c r="O279">
        <v>0.473269</v>
      </c>
      <c r="P279">
        <v>0.88706963000000005</v>
      </c>
      <c r="Q279">
        <v>1.1149145060000001</v>
      </c>
      <c r="R279">
        <v>0.46881299999999998</v>
      </c>
      <c r="S279">
        <v>1.1295041290000001</v>
      </c>
      <c r="T279">
        <v>0.27250118000000001</v>
      </c>
      <c r="U279">
        <v>0.49286200000000002</v>
      </c>
      <c r="V279">
        <v>0.445252857</v>
      </c>
      <c r="W279">
        <v>0.29098067399999999</v>
      </c>
      <c r="X279">
        <v>0.49961613700000002</v>
      </c>
      <c r="Y279">
        <v>2.2915999999999999</v>
      </c>
      <c r="Z279">
        <v>-1.1097649810000001</v>
      </c>
      <c r="AA279">
        <v>1.748545381</v>
      </c>
      <c r="AB279">
        <v>1.249971468</v>
      </c>
      <c r="AC279">
        <v>0.56670361000000002</v>
      </c>
      <c r="AD279">
        <v>0.168960467</v>
      </c>
      <c r="AE279">
        <v>0.41594062300000001</v>
      </c>
      <c r="AF279">
        <v>0.732040782</v>
      </c>
      <c r="AG279">
        <v>0.15643955600000001</v>
      </c>
      <c r="AH279">
        <v>1.071492463</v>
      </c>
      <c r="AI279">
        <v>1.116368587</v>
      </c>
      <c r="AJ279">
        <v>-0.30707328699999997</v>
      </c>
      <c r="AK279">
        <v>0.88338317</v>
      </c>
      <c r="AL279">
        <v>0.39610097399999999</v>
      </c>
      <c r="AM279">
        <v>0.24325211199999999</v>
      </c>
      <c r="AN279">
        <v>1.17409239</v>
      </c>
      <c r="AO279">
        <v>0.10071646400000001</v>
      </c>
      <c r="AP279">
        <v>0.370627712</v>
      </c>
      <c r="AQ279">
        <v>0.87455665299999996</v>
      </c>
      <c r="AR279">
        <v>0.30698413200000002</v>
      </c>
      <c r="AS279">
        <v>-2.8676734260000001</v>
      </c>
      <c r="AT279">
        <v>0.60111537900000001</v>
      </c>
      <c r="AU279">
        <v>-1.2183121999999999E-2</v>
      </c>
    </row>
    <row r="280" spans="1:47" x14ac:dyDescent="0.2">
      <c r="A280" t="s">
        <v>344</v>
      </c>
      <c r="B280" s="74">
        <v>42736</v>
      </c>
      <c r="C280">
        <v>0.63259140999999997</v>
      </c>
      <c r="D280">
        <v>1.0466579620000001</v>
      </c>
      <c r="E280">
        <v>1.0254390010000001</v>
      </c>
      <c r="F280">
        <v>0.51327701800000003</v>
      </c>
      <c r="G280">
        <v>-0.211963452</v>
      </c>
      <c r="H280">
        <v>0.56148308700000005</v>
      </c>
      <c r="I280">
        <v>0.347020832</v>
      </c>
      <c r="J280">
        <v>-0.108522547</v>
      </c>
      <c r="K280">
        <v>1.6</v>
      </c>
      <c r="L280">
        <v>0.77138289699999996</v>
      </c>
      <c r="M280">
        <v>0.31298723099999998</v>
      </c>
      <c r="N280">
        <v>0.72049697400000001</v>
      </c>
      <c r="O280">
        <v>0.75078100000000003</v>
      </c>
      <c r="P280">
        <v>0.46456732499999998</v>
      </c>
      <c r="Q280">
        <v>1.1982280300000001</v>
      </c>
      <c r="R280">
        <v>0.83162599999999998</v>
      </c>
      <c r="S280">
        <v>0.30760216800000001</v>
      </c>
      <c r="T280">
        <v>0.59505515200000003</v>
      </c>
      <c r="U280">
        <v>0.44190099999999999</v>
      </c>
      <c r="V280">
        <v>0.73929692000000002</v>
      </c>
      <c r="W280">
        <v>0.62727889599999997</v>
      </c>
      <c r="X280">
        <v>0.87518024800000005</v>
      </c>
      <c r="Y280">
        <v>1.3640099999999999</v>
      </c>
      <c r="Z280">
        <v>11.508588025</v>
      </c>
      <c r="AA280">
        <v>3.35360222</v>
      </c>
      <c r="AB280">
        <v>1.0833942599999999</v>
      </c>
      <c r="AC280">
        <v>0.28654712500000001</v>
      </c>
      <c r="AD280">
        <v>0.132866756</v>
      </c>
      <c r="AE280">
        <v>0.606194491</v>
      </c>
      <c r="AF280">
        <v>0.49806891399999997</v>
      </c>
      <c r="AG280">
        <v>1.225643595</v>
      </c>
      <c r="AH280">
        <v>1.026387546</v>
      </c>
      <c r="AI280">
        <v>0.83750786899999996</v>
      </c>
      <c r="AJ280">
        <v>1.339357449</v>
      </c>
      <c r="AK280">
        <v>0.37600352300000001</v>
      </c>
      <c r="AL280">
        <v>0.80681430799999998</v>
      </c>
      <c r="AM280">
        <v>2.303194371</v>
      </c>
      <c r="AN280">
        <v>0.93197542899999997</v>
      </c>
      <c r="AO280">
        <v>0.82510593799999998</v>
      </c>
      <c r="AP280">
        <v>0.61146946700000004</v>
      </c>
      <c r="AQ280">
        <v>0.79218307799999998</v>
      </c>
      <c r="AR280">
        <v>0.866373952</v>
      </c>
      <c r="AS280">
        <v>5.5096115960000001</v>
      </c>
      <c r="AT280">
        <v>0.49688879600000002</v>
      </c>
      <c r="AU280">
        <v>8.4913574000000006E-2</v>
      </c>
    </row>
    <row r="281" spans="1:47" x14ac:dyDescent="0.2">
      <c r="A281" t="s">
        <v>345</v>
      </c>
      <c r="B281" s="74">
        <v>42826</v>
      </c>
      <c r="C281">
        <v>0.85539559700000001</v>
      </c>
      <c r="D281">
        <v>0.23423626</v>
      </c>
      <c r="E281">
        <v>0.45261182900000002</v>
      </c>
      <c r="F281">
        <v>0.65198138299999997</v>
      </c>
      <c r="G281">
        <v>1.1263231819999999</v>
      </c>
      <c r="H281">
        <v>1.08691958</v>
      </c>
      <c r="I281">
        <v>0.164988265</v>
      </c>
      <c r="J281">
        <v>-0.29838068800000001</v>
      </c>
      <c r="K281">
        <v>1.7</v>
      </c>
      <c r="L281">
        <v>1.6502049510000001</v>
      </c>
      <c r="M281">
        <v>1.218802299</v>
      </c>
      <c r="N281">
        <v>0.65439062699999995</v>
      </c>
      <c r="O281">
        <v>0.69208000000000003</v>
      </c>
      <c r="P281">
        <v>0.79378965800000001</v>
      </c>
      <c r="Q281">
        <v>1.972456663</v>
      </c>
      <c r="R281">
        <v>0.74219800000000002</v>
      </c>
      <c r="S281">
        <v>1.0203709110000001</v>
      </c>
      <c r="T281">
        <v>0.75140173200000004</v>
      </c>
      <c r="U281">
        <v>0.67152599999999996</v>
      </c>
      <c r="V281">
        <v>0.64983610300000005</v>
      </c>
      <c r="W281">
        <v>-0.19699203300000001</v>
      </c>
      <c r="X281">
        <v>1.4151778479999999</v>
      </c>
      <c r="Y281">
        <v>0.8</v>
      </c>
      <c r="Z281">
        <v>-4.4482667349999998</v>
      </c>
      <c r="AA281">
        <v>-3.9471041160000002</v>
      </c>
      <c r="AB281">
        <v>0.15078926200000001</v>
      </c>
      <c r="AC281">
        <v>0.54926057800000005</v>
      </c>
      <c r="AD281">
        <v>0.83953151199999998</v>
      </c>
      <c r="AE281">
        <v>0.98478546300000003</v>
      </c>
      <c r="AF281">
        <v>-1.545298711</v>
      </c>
      <c r="AG281">
        <v>1.593837071</v>
      </c>
      <c r="AH281">
        <v>0.47503931900000002</v>
      </c>
      <c r="AI281">
        <v>0.52441191200000004</v>
      </c>
      <c r="AJ281">
        <v>0.99462290399999997</v>
      </c>
      <c r="AK281">
        <v>1.036042117</v>
      </c>
      <c r="AL281">
        <v>0.65146165599999994</v>
      </c>
      <c r="AM281">
        <v>0.93337661400000005</v>
      </c>
      <c r="AN281">
        <v>1.170816047</v>
      </c>
      <c r="AO281">
        <v>0.20168498200000001</v>
      </c>
      <c r="AP281">
        <v>0.84621306200000002</v>
      </c>
      <c r="AQ281">
        <v>1.7926436290000001</v>
      </c>
      <c r="AR281">
        <v>0.481740693</v>
      </c>
      <c r="AS281">
        <v>1.368865306</v>
      </c>
      <c r="AT281">
        <v>0.47193104200000002</v>
      </c>
      <c r="AU281">
        <v>0.472126567</v>
      </c>
    </row>
    <row r="282" spans="1:47" x14ac:dyDescent="0.2">
      <c r="A282" t="s">
        <v>346</v>
      </c>
      <c r="B282" s="74">
        <v>42917</v>
      </c>
      <c r="C282">
        <v>1.1000421300000001</v>
      </c>
      <c r="D282">
        <v>0.67820576099999996</v>
      </c>
      <c r="E282">
        <v>0.59825977699999999</v>
      </c>
      <c r="F282">
        <v>0.24150519500000001</v>
      </c>
      <c r="G282">
        <v>0.74318662800000002</v>
      </c>
      <c r="H282">
        <v>1.0230442129999999</v>
      </c>
      <c r="I282">
        <v>0.30419026399999999</v>
      </c>
      <c r="J282">
        <v>1.0060647220000001</v>
      </c>
      <c r="K282">
        <v>1.7</v>
      </c>
      <c r="L282">
        <v>2.479823267</v>
      </c>
      <c r="M282">
        <v>0.780268505</v>
      </c>
      <c r="N282">
        <v>1.1177776779999999</v>
      </c>
      <c r="O282">
        <v>0.80287900000000001</v>
      </c>
      <c r="P282">
        <v>1.073786986</v>
      </c>
      <c r="Q282">
        <v>1.898641697</v>
      </c>
      <c r="R282">
        <v>0.86351500000000003</v>
      </c>
      <c r="S282">
        <v>1.2738738409999999</v>
      </c>
      <c r="T282">
        <v>0.77400015600000005</v>
      </c>
      <c r="U282">
        <v>0.57178499999999999</v>
      </c>
      <c r="V282">
        <v>0.31074789600000002</v>
      </c>
      <c r="W282">
        <v>0.527728156</v>
      </c>
      <c r="X282">
        <v>1.214915951</v>
      </c>
      <c r="Y282">
        <v>2.0591300000000001</v>
      </c>
      <c r="Z282">
        <v>3.4013696430000002</v>
      </c>
      <c r="AA282">
        <v>3.5299654579999999</v>
      </c>
      <c r="AB282">
        <v>1.440202827</v>
      </c>
      <c r="AC282">
        <v>0.399895852</v>
      </c>
      <c r="AD282">
        <v>0.41534835799999997</v>
      </c>
      <c r="AE282">
        <v>0.71464772700000001</v>
      </c>
      <c r="AF282">
        <v>1.4037430369999999</v>
      </c>
      <c r="AG282">
        <v>0.77995135299999996</v>
      </c>
      <c r="AH282">
        <v>0.31791119200000001</v>
      </c>
      <c r="AI282">
        <v>0.87952252099999995</v>
      </c>
      <c r="AJ282">
        <v>0.96347098900000006</v>
      </c>
      <c r="AK282">
        <v>1.088880724</v>
      </c>
      <c r="AL282">
        <v>0.72548250199999997</v>
      </c>
      <c r="AM282">
        <v>0.89193731099999995</v>
      </c>
      <c r="AN282">
        <v>0.50524784899999997</v>
      </c>
      <c r="AO282">
        <v>0.690456285</v>
      </c>
      <c r="AP282">
        <v>0.935992983</v>
      </c>
      <c r="AQ282">
        <v>1.215634619</v>
      </c>
      <c r="AR282">
        <v>1.3026652299999999</v>
      </c>
      <c r="AS282">
        <v>2.2803188200000002</v>
      </c>
      <c r="AT282">
        <v>0.55976482299999997</v>
      </c>
      <c r="AU282">
        <v>0.54530204999999998</v>
      </c>
    </row>
    <row r="283" spans="1:47" x14ac:dyDescent="0.2">
      <c r="A283" t="s">
        <v>347</v>
      </c>
      <c r="B283" s="74">
        <v>43009</v>
      </c>
      <c r="C283">
        <v>1.189884886</v>
      </c>
      <c r="D283">
        <v>0.97660561700000004</v>
      </c>
      <c r="E283">
        <v>0.51647777800000005</v>
      </c>
      <c r="F283">
        <v>-6.4432989999999996E-2</v>
      </c>
      <c r="G283">
        <v>0.304409549</v>
      </c>
      <c r="H283">
        <v>0.42187302100000001</v>
      </c>
      <c r="I283">
        <v>0.62713759000000002</v>
      </c>
      <c r="J283">
        <v>1.8167303809999999</v>
      </c>
      <c r="K283">
        <v>1.6</v>
      </c>
      <c r="L283">
        <v>0.835604389</v>
      </c>
      <c r="M283">
        <v>0.87937751600000003</v>
      </c>
      <c r="N283">
        <v>-0.36677410100000002</v>
      </c>
      <c r="O283">
        <v>0.75357700000000005</v>
      </c>
      <c r="P283">
        <v>0.57728099600000005</v>
      </c>
      <c r="Q283">
        <v>0.35893420599999998</v>
      </c>
      <c r="R283">
        <v>0.771671</v>
      </c>
      <c r="S283">
        <v>0.37289466199999999</v>
      </c>
      <c r="T283">
        <v>0.86796882500000005</v>
      </c>
      <c r="U283">
        <v>0.69568600000000003</v>
      </c>
      <c r="V283">
        <v>0.428297394</v>
      </c>
      <c r="W283">
        <v>1.056959188</v>
      </c>
      <c r="X283">
        <v>0.88786670199999995</v>
      </c>
      <c r="Y283">
        <v>1.6488100000000001</v>
      </c>
      <c r="Z283">
        <v>3.0389089540000001</v>
      </c>
      <c r="AA283">
        <v>-0.39925686500000002</v>
      </c>
      <c r="AB283">
        <v>1.51233719</v>
      </c>
      <c r="AC283">
        <v>0.38181280000000001</v>
      </c>
      <c r="AD283">
        <v>0.75491678399999995</v>
      </c>
      <c r="AE283">
        <v>1.4418384179999999</v>
      </c>
      <c r="AF283">
        <v>1.274240735</v>
      </c>
      <c r="AG283">
        <v>0.26850465400000001</v>
      </c>
      <c r="AH283">
        <v>-0.23516599099999999</v>
      </c>
      <c r="AI283">
        <v>0.71591954000000002</v>
      </c>
      <c r="AJ283">
        <v>0.68523615100000002</v>
      </c>
      <c r="AK283">
        <v>0.85246984999999997</v>
      </c>
      <c r="AL283">
        <v>0.74123489600000003</v>
      </c>
      <c r="AM283">
        <v>1.099167397</v>
      </c>
      <c r="AN283">
        <v>0.69498998999999995</v>
      </c>
      <c r="AO283">
        <v>0.67948449200000005</v>
      </c>
      <c r="AP283">
        <v>0.81071478900000005</v>
      </c>
      <c r="AQ283">
        <v>0.79173432200000005</v>
      </c>
      <c r="AR283">
        <v>0.93812991199999995</v>
      </c>
      <c r="AS283">
        <v>1.5159185209999999</v>
      </c>
      <c r="AT283">
        <v>0.71914999099999999</v>
      </c>
      <c r="AU283">
        <v>0.18389597199999999</v>
      </c>
    </row>
    <row r="284" spans="1:47" x14ac:dyDescent="0.2">
      <c r="A284" t="s">
        <v>348</v>
      </c>
      <c r="B284" s="74">
        <v>43101</v>
      </c>
      <c r="C284">
        <v>1.0770987990000001</v>
      </c>
      <c r="D284">
        <v>0.43517007000000002</v>
      </c>
      <c r="E284">
        <v>0.71474311199999996</v>
      </c>
      <c r="F284">
        <v>0.80172679599999996</v>
      </c>
      <c r="G284">
        <v>0.41731664600000001</v>
      </c>
      <c r="H284">
        <v>0.51799067899999995</v>
      </c>
      <c r="I284">
        <v>1.0954310819999999</v>
      </c>
      <c r="J284">
        <v>0.75216128199999999</v>
      </c>
      <c r="K284">
        <v>1.6</v>
      </c>
      <c r="L284">
        <v>0.813267776</v>
      </c>
      <c r="M284">
        <v>0.80537773800000001</v>
      </c>
      <c r="N284">
        <v>0.75496244999999995</v>
      </c>
      <c r="O284">
        <v>0.79764400000000002</v>
      </c>
      <c r="P284">
        <v>0.62554452000000005</v>
      </c>
      <c r="Q284">
        <v>1.4453766260000001</v>
      </c>
      <c r="R284">
        <v>0.80022000000000004</v>
      </c>
      <c r="S284">
        <v>0.64703059200000002</v>
      </c>
      <c r="T284">
        <v>0.60470864099999999</v>
      </c>
      <c r="U284">
        <v>0.69583600000000001</v>
      </c>
      <c r="V284">
        <v>0.40286948500000003</v>
      </c>
      <c r="W284">
        <v>-0.90066924199999998</v>
      </c>
      <c r="X284">
        <v>1.4346511550000001</v>
      </c>
      <c r="Y284">
        <v>1.8793299999999999</v>
      </c>
      <c r="Z284">
        <v>5.235186476</v>
      </c>
      <c r="AA284">
        <v>3.1482139560000002</v>
      </c>
      <c r="AB284">
        <v>1.4160449159999999</v>
      </c>
      <c r="AC284">
        <v>0.53646888599999998</v>
      </c>
      <c r="AD284">
        <v>6.7630284999999998E-2</v>
      </c>
      <c r="AE284">
        <v>-0.319868975</v>
      </c>
      <c r="AF284">
        <v>0.40279247600000001</v>
      </c>
      <c r="AG284">
        <v>0.72176188600000002</v>
      </c>
      <c r="AH284">
        <v>1.2669265030000001</v>
      </c>
      <c r="AI284">
        <v>0.75732293399999995</v>
      </c>
      <c r="AJ284">
        <v>-0.569736833</v>
      </c>
      <c r="AK284">
        <v>0.84526422700000003</v>
      </c>
      <c r="AL284">
        <v>0.77103085100000002</v>
      </c>
      <c r="AM284">
        <v>1.7908586820000001</v>
      </c>
      <c r="AN284">
        <v>0.82544668200000004</v>
      </c>
      <c r="AO284">
        <v>2.0994643E-2</v>
      </c>
      <c r="AP284">
        <v>1.139447895</v>
      </c>
      <c r="AQ284">
        <v>2.2838943519999999</v>
      </c>
      <c r="AR284">
        <v>0.14889866299999999</v>
      </c>
      <c r="AS284">
        <v>1.882761165</v>
      </c>
      <c r="AT284">
        <v>0.94039983800000004</v>
      </c>
      <c r="AU284">
        <v>0.39336109899999999</v>
      </c>
    </row>
    <row r="285" spans="1:47" x14ac:dyDescent="0.2">
      <c r="A285" t="s">
        <v>349</v>
      </c>
      <c r="B285" s="74">
        <v>43191</v>
      </c>
      <c r="C285">
        <v>-0.37492515399999998</v>
      </c>
      <c r="D285">
        <v>0.85869119000000005</v>
      </c>
      <c r="E285">
        <v>0.89253367800000005</v>
      </c>
      <c r="F285">
        <v>0.41621476299999999</v>
      </c>
      <c r="G285">
        <v>0.53770878300000002</v>
      </c>
      <c r="H285">
        <v>0.87523928100000004</v>
      </c>
      <c r="I285">
        <v>1.065668904</v>
      </c>
      <c r="J285">
        <v>1.400112048</v>
      </c>
      <c r="K285">
        <v>1.8</v>
      </c>
      <c r="L285">
        <v>0.54169234300000002</v>
      </c>
      <c r="M285">
        <v>-0.43237680299999998</v>
      </c>
      <c r="N285">
        <v>0.51205513599999997</v>
      </c>
      <c r="O285">
        <v>7.0171999999999998E-2</v>
      </c>
      <c r="P285">
        <v>0.37784204100000002</v>
      </c>
      <c r="Q285">
        <v>1.061717397</v>
      </c>
      <c r="R285">
        <v>0.165932</v>
      </c>
      <c r="S285">
        <v>0.25962098900000002</v>
      </c>
      <c r="T285">
        <v>5.3749285000000001E-2</v>
      </c>
      <c r="U285">
        <v>0.41370000000000001</v>
      </c>
      <c r="V285">
        <v>0.23670644599999999</v>
      </c>
      <c r="W285">
        <v>1.421705561</v>
      </c>
      <c r="X285">
        <v>1.788669509</v>
      </c>
      <c r="Y285">
        <v>2.1398899999999998</v>
      </c>
      <c r="Z285">
        <v>0.56939098399999999</v>
      </c>
      <c r="AA285">
        <v>0.57166457699999995</v>
      </c>
      <c r="AB285">
        <v>1.1594262129999999</v>
      </c>
      <c r="AC285">
        <v>-4.3945414000000002E-2</v>
      </c>
      <c r="AD285">
        <v>0.188388627</v>
      </c>
      <c r="AE285">
        <v>1.2058517710000001</v>
      </c>
      <c r="AF285">
        <v>0.27041032300000001</v>
      </c>
      <c r="AG285">
        <v>1.555077238</v>
      </c>
      <c r="AH285">
        <v>1.1161967719999999</v>
      </c>
      <c r="AI285">
        <v>0.446543841</v>
      </c>
      <c r="AJ285">
        <v>0.77892560799999999</v>
      </c>
      <c r="AK285">
        <v>0.76670673499999997</v>
      </c>
      <c r="AL285">
        <v>0.58277038400000003</v>
      </c>
      <c r="AM285">
        <v>1.240069372</v>
      </c>
      <c r="AN285">
        <v>0.72736810900000004</v>
      </c>
      <c r="AO285">
        <v>1.3560321909999999</v>
      </c>
      <c r="AP285">
        <v>0.77309371100000002</v>
      </c>
      <c r="AQ285">
        <v>0.22298251299999999</v>
      </c>
      <c r="AR285">
        <v>0.40587189800000001</v>
      </c>
      <c r="AS285">
        <v>1.468743124</v>
      </c>
      <c r="AT285">
        <v>0.76285403600000001</v>
      </c>
      <c r="AU285">
        <v>0.41965914700000001</v>
      </c>
    </row>
    <row r="286" spans="1:47" x14ac:dyDescent="0.2">
      <c r="A286" t="s">
        <v>350</v>
      </c>
      <c r="B286" s="74">
        <v>43282</v>
      </c>
      <c r="C286">
        <v>-4.5703771580000003</v>
      </c>
      <c r="D286">
        <v>0.88488481100000005</v>
      </c>
      <c r="E286">
        <v>0.36772085799999998</v>
      </c>
      <c r="F286">
        <v>0.468031682</v>
      </c>
      <c r="G286">
        <v>0.16501124</v>
      </c>
      <c r="H286">
        <v>0.78510534099999996</v>
      </c>
      <c r="I286">
        <v>0.92495815999999997</v>
      </c>
      <c r="J286">
        <v>1.0700343960000001</v>
      </c>
      <c r="K286">
        <v>1.6</v>
      </c>
      <c r="L286">
        <v>0.60171178700000005</v>
      </c>
      <c r="M286">
        <v>0.55697716399999997</v>
      </c>
      <c r="N286">
        <v>0.50259883100000002</v>
      </c>
      <c r="O286">
        <v>0.51837200000000005</v>
      </c>
      <c r="P286">
        <v>0.586193572</v>
      </c>
      <c r="Q286">
        <v>0.77512614099999999</v>
      </c>
      <c r="R286">
        <v>0.60947300000000004</v>
      </c>
      <c r="S286">
        <v>-3.3469560000000002E-2</v>
      </c>
      <c r="T286">
        <v>0.44500399299999999</v>
      </c>
      <c r="U286">
        <v>0.63933300000000004</v>
      </c>
      <c r="V286">
        <v>0.54664776000000004</v>
      </c>
      <c r="W286">
        <v>0.14050528100000001</v>
      </c>
      <c r="X286">
        <v>0.95907314399999999</v>
      </c>
      <c r="Y286">
        <v>1.34127</v>
      </c>
      <c r="Z286">
        <v>3.0405790619999999</v>
      </c>
      <c r="AA286">
        <v>1.9216250260000001</v>
      </c>
      <c r="AB286">
        <v>0.28867569799999998</v>
      </c>
      <c r="AC286">
        <v>4.7224831000000002E-2</v>
      </c>
      <c r="AD286">
        <v>0.37752781000000002</v>
      </c>
      <c r="AE286">
        <v>0.63659708500000001</v>
      </c>
      <c r="AF286">
        <v>-0.38937968099999998</v>
      </c>
      <c r="AG286">
        <v>1.2494214809999999</v>
      </c>
      <c r="AH286">
        <v>-1.170218E-2</v>
      </c>
      <c r="AI286">
        <v>0.64211502799999998</v>
      </c>
      <c r="AJ286">
        <v>0.30077573800000001</v>
      </c>
      <c r="AK286">
        <v>1.1139052780000001</v>
      </c>
      <c r="AL286">
        <v>0.655875133</v>
      </c>
      <c r="AM286">
        <v>1.3509185610000001</v>
      </c>
      <c r="AN286">
        <v>0.77953652299999998</v>
      </c>
      <c r="AO286">
        <v>0.55794653999999999</v>
      </c>
      <c r="AP286">
        <v>1.1388664120000001</v>
      </c>
      <c r="AQ286">
        <v>1.2360354840000001</v>
      </c>
      <c r="AR286">
        <v>1.0510785819999999</v>
      </c>
      <c r="AS286">
        <v>0.65752179700000002</v>
      </c>
      <c r="AT286">
        <v>0.83391090899999998</v>
      </c>
      <c r="AU286">
        <v>-0.20919102000000001</v>
      </c>
    </row>
    <row r="287" spans="1:47" x14ac:dyDescent="0.2">
      <c r="A287" t="s">
        <v>351</v>
      </c>
      <c r="B287" s="74">
        <v>43374</v>
      </c>
      <c r="C287">
        <v>-0.232955567</v>
      </c>
      <c r="D287">
        <v>0.42480883600000002</v>
      </c>
      <c r="E287">
        <v>0.13693619000000001</v>
      </c>
      <c r="F287">
        <v>0.38683119999999999</v>
      </c>
      <c r="G287">
        <v>0.90548108299999996</v>
      </c>
      <c r="H287">
        <v>0.690122507</v>
      </c>
      <c r="I287">
        <v>-0.22981963499999999</v>
      </c>
      <c r="J287">
        <v>-0.461998093</v>
      </c>
      <c r="K287">
        <v>1.4</v>
      </c>
      <c r="L287">
        <v>0.71256224000000001</v>
      </c>
      <c r="M287">
        <v>-0.42245680400000002</v>
      </c>
      <c r="N287">
        <v>0.60213307800000004</v>
      </c>
      <c r="O287">
        <v>7.6605999999999994E-2</v>
      </c>
      <c r="P287">
        <v>0.51760508999999999</v>
      </c>
      <c r="Q287">
        <v>0.68492399800000003</v>
      </c>
      <c r="R287">
        <v>0.14571899999999999</v>
      </c>
      <c r="S287">
        <v>-0.16564168500000001</v>
      </c>
      <c r="T287">
        <v>0.40190562600000002</v>
      </c>
      <c r="U287">
        <v>0.211922</v>
      </c>
      <c r="V287">
        <v>0.63172701600000003</v>
      </c>
      <c r="W287">
        <v>-0.27159699100000001</v>
      </c>
      <c r="X287">
        <v>1.41787087</v>
      </c>
      <c r="Y287">
        <v>1.36809</v>
      </c>
      <c r="Z287">
        <v>-0.84431091300000005</v>
      </c>
      <c r="AA287">
        <v>-1.0426282060000001</v>
      </c>
      <c r="AB287">
        <v>0.850000953</v>
      </c>
      <c r="AC287">
        <v>0.102085966</v>
      </c>
      <c r="AD287">
        <v>-0.73769834300000003</v>
      </c>
      <c r="AE287">
        <v>0.73084833199999999</v>
      </c>
      <c r="AF287">
        <v>1.209646869</v>
      </c>
      <c r="AG287">
        <v>1.0220557720000001</v>
      </c>
      <c r="AH287">
        <v>0.46712645800000002</v>
      </c>
      <c r="AI287">
        <v>0.245232477</v>
      </c>
      <c r="AJ287">
        <v>0.63002873299999995</v>
      </c>
      <c r="AK287">
        <v>0.28377839799999999</v>
      </c>
      <c r="AL287">
        <v>0.2099586</v>
      </c>
      <c r="AM287">
        <v>1.321005751</v>
      </c>
      <c r="AN287">
        <v>0.52572394200000006</v>
      </c>
      <c r="AO287">
        <v>0.24136882100000001</v>
      </c>
      <c r="AP287">
        <v>0.97938709400000001</v>
      </c>
      <c r="AQ287">
        <v>1.1395403</v>
      </c>
      <c r="AR287">
        <v>-0.78887550799999995</v>
      </c>
      <c r="AS287">
        <v>-1.627935541</v>
      </c>
      <c r="AT287">
        <v>0.481952559</v>
      </c>
      <c r="AU287">
        <v>1.2827117299999999</v>
      </c>
    </row>
    <row r="288" spans="1:47" x14ac:dyDescent="0.2">
      <c r="A288" t="s">
        <v>352</v>
      </c>
      <c r="B288" s="74">
        <v>43466</v>
      </c>
      <c r="C288">
        <v>-1.351812936</v>
      </c>
      <c r="D288">
        <v>0.12781652900000001</v>
      </c>
      <c r="E288">
        <v>1.028329211</v>
      </c>
      <c r="F288">
        <v>0.96380910500000005</v>
      </c>
      <c r="G288">
        <v>-0.33840257400000001</v>
      </c>
      <c r="H288">
        <v>0.34086954200000003</v>
      </c>
      <c r="I288">
        <v>0.234257242</v>
      </c>
      <c r="J288">
        <v>1.1588877959999999</v>
      </c>
      <c r="K288">
        <v>1.5</v>
      </c>
      <c r="L288">
        <v>0.73877354299999998</v>
      </c>
      <c r="M288">
        <v>0.38653663199999999</v>
      </c>
      <c r="N288">
        <v>0.49934343599999997</v>
      </c>
      <c r="O288">
        <v>0.53432299999999999</v>
      </c>
      <c r="P288">
        <v>0.67498396100000002</v>
      </c>
      <c r="Q288">
        <v>1.3765176809999999</v>
      </c>
      <c r="R288">
        <v>0.57614299999999996</v>
      </c>
      <c r="S288">
        <v>-7.0602770000000002E-3</v>
      </c>
      <c r="T288">
        <v>0.57941503500000002</v>
      </c>
      <c r="U288">
        <v>0.22364200000000001</v>
      </c>
      <c r="V288">
        <v>0.33544084299999999</v>
      </c>
      <c r="W288">
        <v>0.66972307499999995</v>
      </c>
      <c r="X288">
        <v>1.0173642519999999</v>
      </c>
      <c r="Y288">
        <v>1.4532799999999999</v>
      </c>
      <c r="Z288">
        <v>1.2298149380000001</v>
      </c>
      <c r="AA288">
        <v>1.319425407</v>
      </c>
      <c r="AB288">
        <v>0.72285828100000005</v>
      </c>
      <c r="AC288">
        <v>0.29448249300000001</v>
      </c>
      <c r="AD288">
        <v>-0.25707340499999998</v>
      </c>
      <c r="AE288">
        <v>0.70031295599999999</v>
      </c>
      <c r="AF288">
        <v>0.61765676999999997</v>
      </c>
      <c r="AG288">
        <v>0.99480818000000004</v>
      </c>
      <c r="AH288">
        <v>-0.30347709</v>
      </c>
      <c r="AI288">
        <v>0.412887648</v>
      </c>
      <c r="AJ288">
        <v>3.3684589000000001E-2</v>
      </c>
      <c r="AK288">
        <v>1.2686199389999999</v>
      </c>
      <c r="AL288">
        <v>0.176818592</v>
      </c>
      <c r="AM288">
        <v>0.94567659199999998</v>
      </c>
      <c r="AN288">
        <v>0.60899499199999996</v>
      </c>
      <c r="AO288">
        <v>0.66396654799999999</v>
      </c>
      <c r="AP288">
        <v>0.52776100100000001</v>
      </c>
      <c r="AQ288">
        <v>1.3487434549999999</v>
      </c>
      <c r="AR288">
        <v>1.2659556329999999</v>
      </c>
      <c r="AS288">
        <v>-3.1841153480000002</v>
      </c>
      <c r="AT288">
        <v>0.22314183500000001</v>
      </c>
      <c r="AU288">
        <v>0.35277657499999998</v>
      </c>
    </row>
    <row r="289" spans="1:47" x14ac:dyDescent="0.2">
      <c r="A289" t="s">
        <v>353</v>
      </c>
      <c r="B289" s="74">
        <v>43556</v>
      </c>
      <c r="C289">
        <v>1.9902155000000001E-2</v>
      </c>
      <c r="D289">
        <v>0.41071964100000002</v>
      </c>
      <c r="E289">
        <v>0.83662997400000005</v>
      </c>
      <c r="F289">
        <v>0.24477141099999999</v>
      </c>
      <c r="G289">
        <v>0.372339743</v>
      </c>
      <c r="H289">
        <v>9.0640852999999993E-2</v>
      </c>
      <c r="I289">
        <v>0.25691793000000002</v>
      </c>
      <c r="J289">
        <v>-3.7508448E-2</v>
      </c>
      <c r="K289">
        <v>1.7</v>
      </c>
      <c r="L289">
        <v>0.91197197399999996</v>
      </c>
      <c r="M289">
        <v>1.054195089</v>
      </c>
      <c r="N289">
        <v>-0.21815322600000001</v>
      </c>
      <c r="O289">
        <v>0.73657600000000001</v>
      </c>
      <c r="P289">
        <v>0.60131108899999997</v>
      </c>
      <c r="Q289">
        <v>1.637383324</v>
      </c>
      <c r="R289">
        <v>0.79945600000000006</v>
      </c>
      <c r="S289">
        <v>0.72372950199999997</v>
      </c>
      <c r="T289">
        <v>0.67664500299999997</v>
      </c>
      <c r="U289">
        <v>0.60910600000000004</v>
      </c>
      <c r="V289">
        <v>0.64195771099999999</v>
      </c>
      <c r="W289">
        <v>0.64576718799999999</v>
      </c>
      <c r="X289">
        <v>1.650552869</v>
      </c>
      <c r="Y289">
        <v>1.0649200000000001</v>
      </c>
      <c r="Z289">
        <v>1.5695858540000001</v>
      </c>
      <c r="AA289">
        <v>1.8973576169999999</v>
      </c>
      <c r="AB289">
        <v>1.418521626</v>
      </c>
      <c r="AC289">
        <v>0.19086898399999999</v>
      </c>
      <c r="AD289">
        <v>0.58336780099999996</v>
      </c>
      <c r="AE289">
        <v>-0.19857931700000001</v>
      </c>
      <c r="AF289">
        <v>1.2215584740000001</v>
      </c>
      <c r="AG289">
        <v>1.2206036899999999</v>
      </c>
      <c r="AH289">
        <v>2.0687811E-2</v>
      </c>
      <c r="AI289">
        <v>0.69823548000000002</v>
      </c>
      <c r="AJ289">
        <v>-0.27533490799999999</v>
      </c>
      <c r="AK289">
        <v>0.57612910299999998</v>
      </c>
      <c r="AL289">
        <v>0.63686349200000003</v>
      </c>
      <c r="AM289">
        <v>1.79920554</v>
      </c>
      <c r="AN289">
        <v>0.88151028200000003</v>
      </c>
      <c r="AO289">
        <v>-3.8077851000000003E-2</v>
      </c>
      <c r="AP289">
        <v>0.90495442299999995</v>
      </c>
      <c r="AQ289">
        <v>0.58449323500000006</v>
      </c>
      <c r="AR289">
        <v>0.56086275299999999</v>
      </c>
      <c r="AS289">
        <v>1.901026683</v>
      </c>
      <c r="AT289">
        <v>0.59779028999999995</v>
      </c>
      <c r="AU289">
        <v>-0.90593617100000001</v>
      </c>
    </row>
    <row r="290" spans="1:47" x14ac:dyDescent="0.2">
      <c r="A290" t="s">
        <v>354</v>
      </c>
      <c r="B290" s="74">
        <v>43647</v>
      </c>
      <c r="C290">
        <v>0.71252464900000001</v>
      </c>
      <c r="D290">
        <v>0.690544465</v>
      </c>
      <c r="E290">
        <v>-0.44847968100000002</v>
      </c>
      <c r="F290">
        <v>0.43137361299999999</v>
      </c>
      <c r="G290">
        <v>0.65628439900000002</v>
      </c>
      <c r="H290">
        <v>0.99073782899999996</v>
      </c>
      <c r="I290">
        <v>0.41229168300000002</v>
      </c>
      <c r="J290">
        <v>1.008364934</v>
      </c>
      <c r="K290">
        <v>1.2</v>
      </c>
      <c r="L290">
        <v>0.673307922</v>
      </c>
      <c r="M290">
        <v>-0.49256605199999998</v>
      </c>
      <c r="N290">
        <v>1.005162313</v>
      </c>
      <c r="O290">
        <v>0.25371199999999999</v>
      </c>
      <c r="P290">
        <v>0.36557096500000003</v>
      </c>
      <c r="Q290">
        <v>0.42611760199999998</v>
      </c>
      <c r="R290">
        <v>0.33579799999999999</v>
      </c>
      <c r="S290">
        <v>0.90780042400000005</v>
      </c>
      <c r="T290">
        <v>0.719005012</v>
      </c>
      <c r="U290">
        <v>0.532829</v>
      </c>
      <c r="V290">
        <v>0.13273241999999999</v>
      </c>
      <c r="W290">
        <v>1.091805506</v>
      </c>
      <c r="X290">
        <v>0.47553496000000001</v>
      </c>
      <c r="Y290">
        <v>1.0792299999999999</v>
      </c>
      <c r="Z290">
        <v>2.5106586009999998</v>
      </c>
      <c r="AA290">
        <v>-0.41065501599999998</v>
      </c>
      <c r="AB290">
        <v>0.37089413999999998</v>
      </c>
      <c r="AC290">
        <v>0.31080627999999999</v>
      </c>
      <c r="AD290">
        <v>0.49042609599999998</v>
      </c>
      <c r="AE290">
        <v>1.0599055340000001</v>
      </c>
      <c r="AF290">
        <v>1.7256438460000001</v>
      </c>
      <c r="AG290">
        <v>-0.25176814199999997</v>
      </c>
      <c r="AH290">
        <v>-0.39240422600000002</v>
      </c>
      <c r="AI290">
        <v>0.41676351</v>
      </c>
      <c r="AJ290">
        <v>0.172095149</v>
      </c>
      <c r="AK290">
        <v>0.538490354</v>
      </c>
      <c r="AL290">
        <v>0.60805610300000001</v>
      </c>
      <c r="AM290">
        <v>0.80119830299999995</v>
      </c>
      <c r="AN290">
        <v>0.56465027000000001</v>
      </c>
      <c r="AO290">
        <v>2.2617195539999999</v>
      </c>
      <c r="AP290">
        <v>0.347869659</v>
      </c>
      <c r="AQ290">
        <v>-0.30839333800000002</v>
      </c>
      <c r="AR290">
        <v>0.60320212399999995</v>
      </c>
      <c r="AS290">
        <v>2.3799511469999999</v>
      </c>
      <c r="AT290">
        <v>0.79292440799999997</v>
      </c>
      <c r="AU290">
        <v>0.40828392600000002</v>
      </c>
    </row>
    <row r="291" spans="1:47" x14ac:dyDescent="0.2">
      <c r="A291" t="s">
        <v>355</v>
      </c>
      <c r="B291" s="74">
        <v>43739</v>
      </c>
      <c r="C291">
        <v>0.30928383100000001</v>
      </c>
      <c r="D291">
        <v>0.81908239500000002</v>
      </c>
      <c r="E291">
        <v>0.20443844</v>
      </c>
      <c r="F291">
        <v>0.66994435100000005</v>
      </c>
      <c r="G291">
        <v>5.7063719999999998E-2</v>
      </c>
      <c r="H291">
        <v>0.32664281099999998</v>
      </c>
      <c r="I291">
        <v>0.51488875999999995</v>
      </c>
      <c r="J291">
        <v>0.162204028</v>
      </c>
      <c r="K291">
        <v>1.4</v>
      </c>
      <c r="L291">
        <v>0.67160157099999995</v>
      </c>
      <c r="M291">
        <v>0.41094913500000002</v>
      </c>
      <c r="N291">
        <v>0.45731937</v>
      </c>
      <c r="O291">
        <v>0.23025899999999999</v>
      </c>
      <c r="P291">
        <v>0.37901041000000002</v>
      </c>
      <c r="Q291">
        <v>0.69668930200000001</v>
      </c>
      <c r="R291">
        <v>0.26195600000000002</v>
      </c>
      <c r="S291">
        <v>-4.3418606999999998E-2</v>
      </c>
      <c r="T291">
        <v>-4.5803770000000001E-3</v>
      </c>
      <c r="U291">
        <v>0.43514199999999997</v>
      </c>
      <c r="V291">
        <v>0.45897234999999997</v>
      </c>
      <c r="W291">
        <v>-9.4839677999999997E-2</v>
      </c>
      <c r="X291">
        <v>1.2497746919999999</v>
      </c>
      <c r="Y291">
        <v>0.99602999999999997</v>
      </c>
      <c r="Z291">
        <v>0.15119933699999999</v>
      </c>
      <c r="AA291">
        <v>-1.9484315640000001</v>
      </c>
      <c r="AB291">
        <v>1.059416202</v>
      </c>
      <c r="AC291">
        <v>-1.5201512E-2</v>
      </c>
      <c r="AD291">
        <v>-1.4937213E-2</v>
      </c>
      <c r="AE291">
        <v>0.527437881</v>
      </c>
      <c r="AF291">
        <v>-0.42219944999999998</v>
      </c>
      <c r="AG291">
        <v>-0.58776808599999997</v>
      </c>
      <c r="AH291">
        <v>0.57296394699999997</v>
      </c>
      <c r="AI291">
        <v>0.39219868400000002</v>
      </c>
      <c r="AJ291">
        <v>0.21910333900000001</v>
      </c>
      <c r="AK291">
        <v>0.83989256800000001</v>
      </c>
      <c r="AL291">
        <v>0.44898433700000001</v>
      </c>
      <c r="AM291">
        <v>0.89971355200000003</v>
      </c>
      <c r="AN291">
        <v>0.46238778000000003</v>
      </c>
      <c r="AO291">
        <v>-0.97835560099999996</v>
      </c>
      <c r="AP291">
        <v>0.24085421400000001</v>
      </c>
      <c r="AQ291">
        <v>1.2354044630000001</v>
      </c>
      <c r="AR291">
        <v>0.18499771000000001</v>
      </c>
      <c r="AS291">
        <v>5.0625441E-2</v>
      </c>
      <c r="AT291">
        <v>0.685498791</v>
      </c>
      <c r="AU291">
        <v>0.13850583299999999</v>
      </c>
    </row>
    <row r="292" spans="1:47" x14ac:dyDescent="0.2">
      <c r="A292" t="s">
        <v>356</v>
      </c>
      <c r="B292" s="74">
        <v>43831</v>
      </c>
      <c r="C292">
        <v>-1.5662514139999999</v>
      </c>
      <c r="D292">
        <v>0.39279608799999999</v>
      </c>
      <c r="E292">
        <v>-0.25342129099999999</v>
      </c>
      <c r="F292">
        <v>0.63954632499999997</v>
      </c>
      <c r="G292">
        <v>0.33103270400000001</v>
      </c>
      <c r="H292">
        <v>0.30068375400000003</v>
      </c>
      <c r="I292">
        <v>0.48663562799999999</v>
      </c>
      <c r="J292">
        <v>-3.927279446</v>
      </c>
      <c r="K292">
        <v>1.2</v>
      </c>
      <c r="L292">
        <v>0.48339067200000002</v>
      </c>
      <c r="M292">
        <v>-7.4416587000000006E-2</v>
      </c>
      <c r="N292">
        <v>-0.30415413600000002</v>
      </c>
      <c r="O292">
        <v>-7.1895000000000001E-2</v>
      </c>
      <c r="P292">
        <v>0.376576034</v>
      </c>
      <c r="Q292">
        <v>0.36513303800000002</v>
      </c>
      <c r="R292">
        <v>1.4799999999999999E-4</v>
      </c>
      <c r="S292">
        <v>-0.25888730599999998</v>
      </c>
      <c r="T292">
        <v>-0.34586847300000001</v>
      </c>
      <c r="U292">
        <v>-0.20152200000000001</v>
      </c>
      <c r="V292">
        <v>-4.4750089E-2</v>
      </c>
      <c r="W292">
        <v>-0.27244444600000001</v>
      </c>
      <c r="X292">
        <v>0.56082633000000004</v>
      </c>
      <c r="Y292">
        <v>-9.6600000000000002E-3</v>
      </c>
      <c r="Z292">
        <v>1.07985609</v>
      </c>
      <c r="AA292">
        <v>3.5317212910000002</v>
      </c>
      <c r="AB292">
        <v>1.096246646</v>
      </c>
      <c r="AC292">
        <v>-0.81092441999999998</v>
      </c>
      <c r="AD292">
        <v>-2.83198433</v>
      </c>
      <c r="AE292">
        <v>1.2711157769999999</v>
      </c>
      <c r="AF292">
        <v>-4.1668731000000001E-2</v>
      </c>
      <c r="AG292">
        <v>0.45888812099999998</v>
      </c>
      <c r="AH292">
        <v>-0.79554069000000005</v>
      </c>
      <c r="AI292">
        <v>0.39291788599999999</v>
      </c>
      <c r="AJ292">
        <v>1.432830198</v>
      </c>
      <c r="AK292">
        <v>0.32792437699999999</v>
      </c>
      <c r="AL292">
        <v>-1.5541470999999999E-2</v>
      </c>
      <c r="AM292">
        <v>0.49142001499999999</v>
      </c>
      <c r="AN292">
        <v>0.82461202300000003</v>
      </c>
      <c r="AO292">
        <v>-0.45248773399999997</v>
      </c>
      <c r="AP292">
        <v>0.51902575200000001</v>
      </c>
      <c r="AQ292">
        <v>1.37898751</v>
      </c>
      <c r="AR292">
        <v>0.33517788900000001</v>
      </c>
      <c r="AS292">
        <v>1.3646299630000001</v>
      </c>
      <c r="AT292">
        <v>0.46909761799999999</v>
      </c>
      <c r="AU292">
        <v>-3.4571232E-2</v>
      </c>
    </row>
    <row r="293" spans="1:47" x14ac:dyDescent="0.2">
      <c r="A293" t="s">
        <v>357</v>
      </c>
      <c r="B293" s="74">
        <v>43922</v>
      </c>
      <c r="C293">
        <v>-4.3090434460000004</v>
      </c>
      <c r="D293">
        <v>-0.30492875800000002</v>
      </c>
      <c r="E293">
        <v>-2.5482378940000001</v>
      </c>
      <c r="F293">
        <v>-3.1525245970000002</v>
      </c>
      <c r="G293">
        <v>-2.4426274889999999</v>
      </c>
      <c r="H293">
        <v>-2.1573026089999998</v>
      </c>
      <c r="I293">
        <v>-1.58684834</v>
      </c>
      <c r="J293">
        <v>2.2736951670000001</v>
      </c>
      <c r="K293">
        <v>-10.3</v>
      </c>
      <c r="L293">
        <v>-3.2425949730000001</v>
      </c>
      <c r="M293">
        <v>-1.7639736049999999</v>
      </c>
      <c r="N293">
        <v>-0.75183487400000004</v>
      </c>
      <c r="O293">
        <v>-3.5312380000000001</v>
      </c>
      <c r="P293">
        <v>-5.3912226460000001</v>
      </c>
      <c r="Q293">
        <v>-1.2073281870000001</v>
      </c>
      <c r="R293">
        <v>-3.0909249999999999</v>
      </c>
      <c r="S293">
        <v>-0.116714572</v>
      </c>
      <c r="T293">
        <v>-5.6683399809999999</v>
      </c>
      <c r="U293">
        <v>-1.885742</v>
      </c>
      <c r="V293">
        <v>-2.5258843870000001</v>
      </c>
      <c r="W293">
        <v>-2.0925871200000001</v>
      </c>
      <c r="X293">
        <v>-0.52144617900000001</v>
      </c>
      <c r="Y293">
        <v>4.7620000000000003E-2</v>
      </c>
      <c r="Z293">
        <v>2.610536524</v>
      </c>
      <c r="AA293">
        <v>-5.1004965670000004</v>
      </c>
      <c r="AB293">
        <v>-0.93447771899999998</v>
      </c>
      <c r="AC293">
        <v>-5.913654985</v>
      </c>
      <c r="AD293">
        <v>0.49214313300000001</v>
      </c>
      <c r="AE293">
        <v>-1.3374557170000001</v>
      </c>
      <c r="AF293">
        <v>-1.6413885720000001</v>
      </c>
      <c r="AG293">
        <v>-1.2675388000000001</v>
      </c>
      <c r="AH293">
        <v>-0.99920219700000001</v>
      </c>
      <c r="AI293">
        <v>-1.4654392999999999</v>
      </c>
      <c r="AJ293">
        <v>-1.314880499</v>
      </c>
      <c r="AK293">
        <v>-1.1907867480000001</v>
      </c>
      <c r="AL293">
        <v>-1.6973844570000001</v>
      </c>
      <c r="AM293">
        <v>0.389982259</v>
      </c>
      <c r="AN293">
        <v>-4.4145260039999998</v>
      </c>
      <c r="AO293">
        <v>-0.196323318</v>
      </c>
      <c r="AP293">
        <v>-3.8728811240000001</v>
      </c>
      <c r="AQ293">
        <v>-4.5376311899999999</v>
      </c>
      <c r="AR293">
        <v>-0.14574768900000001</v>
      </c>
      <c r="AS293">
        <v>0.44624292300000001</v>
      </c>
      <c r="AT293">
        <v>-1.303582746</v>
      </c>
      <c r="AU293">
        <v>6.9568199999999998E-4</v>
      </c>
    </row>
    <row r="294" spans="1:47" x14ac:dyDescent="0.2">
      <c r="A294" t="s">
        <v>358</v>
      </c>
      <c r="B294" s="74">
        <v>44013</v>
      </c>
      <c r="C294">
        <v>-15.080425188</v>
      </c>
      <c r="D294">
        <v>-6.7966776299999996</v>
      </c>
      <c r="E294">
        <v>-11.387968576</v>
      </c>
      <c r="F294">
        <v>-11.635739588</v>
      </c>
      <c r="G294">
        <v>-8.7694941350000004</v>
      </c>
      <c r="H294">
        <v>-11.042537245</v>
      </c>
      <c r="I294">
        <v>-6.1367257290000001</v>
      </c>
      <c r="J294">
        <v>-12.846923758000001</v>
      </c>
      <c r="K294">
        <v>11.6</v>
      </c>
      <c r="L294">
        <v>-8.8487394629999994</v>
      </c>
      <c r="M294">
        <v>-9.9962156110000002</v>
      </c>
      <c r="N294">
        <v>-6.0063885170000004</v>
      </c>
      <c r="O294">
        <v>-11.665675</v>
      </c>
      <c r="P294">
        <v>-17.652092760999999</v>
      </c>
      <c r="Q294">
        <v>-5.7781538550000002</v>
      </c>
      <c r="R294">
        <v>-11.267967000000001</v>
      </c>
      <c r="S294">
        <v>-6.1128745330000003</v>
      </c>
      <c r="T294">
        <v>-13.721498431000001</v>
      </c>
      <c r="U294">
        <v>-10.394292</v>
      </c>
      <c r="V294">
        <v>-19.428322456</v>
      </c>
      <c r="W294">
        <v>-13.360691096</v>
      </c>
      <c r="X294">
        <v>-14.150467117</v>
      </c>
      <c r="Y294">
        <v>-24.15615</v>
      </c>
      <c r="Z294">
        <v>-2.8058950970000001</v>
      </c>
      <c r="AA294">
        <v>-7.4409762109999997</v>
      </c>
      <c r="AB294">
        <v>-9.2505832239999997</v>
      </c>
      <c r="AC294">
        <v>-12.606197908</v>
      </c>
      <c r="AD294">
        <v>-7.9018844359999996</v>
      </c>
      <c r="AE294">
        <v>-3.026935758</v>
      </c>
      <c r="AF294">
        <v>-6.042744946</v>
      </c>
      <c r="AG294">
        <v>-7.3820411549999996</v>
      </c>
      <c r="AH294">
        <v>-17.839348944000001</v>
      </c>
      <c r="AI294">
        <v>-7.8662456269999996</v>
      </c>
      <c r="AJ294">
        <v>-4.6670960150000003</v>
      </c>
      <c r="AK294">
        <v>-10.34616639</v>
      </c>
      <c r="AL294">
        <v>-10.436054240000001</v>
      </c>
      <c r="AM294">
        <v>-9.0947213579999993</v>
      </c>
      <c r="AN294">
        <v>-15.249695489</v>
      </c>
      <c r="AO294">
        <v>-4.4850020739999996</v>
      </c>
      <c r="AP294">
        <v>-7.2125882170000004</v>
      </c>
      <c r="AQ294">
        <v>-9.4605485490000003</v>
      </c>
      <c r="AR294">
        <v>-8.0628687939999999</v>
      </c>
      <c r="AS294">
        <v>-10.769850757</v>
      </c>
      <c r="AT294">
        <v>-8.9372505009999994</v>
      </c>
      <c r="AU294">
        <v>-17.094183365999999</v>
      </c>
    </row>
    <row r="295" spans="1:47" x14ac:dyDescent="0.2">
      <c r="A295" t="s">
        <v>359</v>
      </c>
      <c r="B295" s="74">
        <v>44105</v>
      </c>
      <c r="C295">
        <v>12.185239948</v>
      </c>
      <c r="D295">
        <v>3.505833467</v>
      </c>
      <c r="E295">
        <v>10.819222487999999</v>
      </c>
      <c r="F295">
        <v>11.894648290999999</v>
      </c>
      <c r="G295">
        <v>7.8920703210000003</v>
      </c>
      <c r="H295">
        <v>8.9839583770000004</v>
      </c>
      <c r="I295">
        <v>6.2963233150000004</v>
      </c>
      <c r="J295">
        <v>5.2556716769999996</v>
      </c>
      <c r="K295">
        <v>3.4</v>
      </c>
      <c r="L295">
        <v>6.953208665</v>
      </c>
      <c r="M295">
        <v>9.043062505</v>
      </c>
      <c r="N295">
        <v>6.3430751360000004</v>
      </c>
      <c r="O295">
        <v>12.817738</v>
      </c>
      <c r="P295">
        <v>16.798457004999999</v>
      </c>
      <c r="Q295">
        <v>3.5204954559999999</v>
      </c>
      <c r="R295">
        <v>11.91039</v>
      </c>
      <c r="S295">
        <v>4.8669032010000004</v>
      </c>
      <c r="T295">
        <v>19.394170178</v>
      </c>
      <c r="U295">
        <v>9.5158000000000005</v>
      </c>
      <c r="V295">
        <v>17.595765822000001</v>
      </c>
      <c r="W295">
        <v>5.4227869750000002</v>
      </c>
      <c r="X295">
        <v>11.569643309</v>
      </c>
      <c r="Y295">
        <v>24.82349</v>
      </c>
      <c r="Z295">
        <v>10.346691912000001</v>
      </c>
      <c r="AA295">
        <v>1.748643172</v>
      </c>
      <c r="AB295">
        <v>8.3723587770000005</v>
      </c>
      <c r="AC295">
        <v>16.023038565</v>
      </c>
      <c r="AD295">
        <v>5.2840494150000001</v>
      </c>
      <c r="AE295">
        <v>2.3477855380000001</v>
      </c>
      <c r="AF295">
        <v>8.3081226860000008</v>
      </c>
      <c r="AG295">
        <v>5.5454162770000002</v>
      </c>
      <c r="AH295">
        <v>13.615062976000001</v>
      </c>
      <c r="AI295">
        <v>6.2172152340000002</v>
      </c>
      <c r="AJ295">
        <v>4.4820220969999998</v>
      </c>
      <c r="AK295">
        <v>13.691558835</v>
      </c>
      <c r="AL295">
        <v>9.4699924129999999</v>
      </c>
      <c r="AM295">
        <v>7.3365250270000004</v>
      </c>
      <c r="AN295">
        <v>14.672635056000001</v>
      </c>
      <c r="AO295">
        <v>2.7780786000000002</v>
      </c>
      <c r="AP295">
        <v>9.0641870499999992</v>
      </c>
      <c r="AQ295">
        <v>11.798273404</v>
      </c>
      <c r="AR295">
        <v>7.386759241</v>
      </c>
      <c r="AS295">
        <v>16.400501818999999</v>
      </c>
      <c r="AT295">
        <v>7.547534636</v>
      </c>
      <c r="AU295">
        <v>13.764967337</v>
      </c>
    </row>
    <row r="296" spans="1:47" x14ac:dyDescent="0.2">
      <c r="A296" t="s">
        <v>360</v>
      </c>
      <c r="B296" s="74">
        <v>44197</v>
      </c>
      <c r="C296">
        <v>4.4326762359999998</v>
      </c>
      <c r="D296">
        <v>3.2769436330000001</v>
      </c>
      <c r="E296">
        <v>-1.881231734</v>
      </c>
      <c r="F296">
        <v>-0.115091888</v>
      </c>
      <c r="G296">
        <v>3.1088256940000001</v>
      </c>
      <c r="H296">
        <v>2.1924212609999998</v>
      </c>
      <c r="I296">
        <v>3.8846585000000003E-2</v>
      </c>
      <c r="J296">
        <v>6.6930440960000004</v>
      </c>
      <c r="K296">
        <v>2.5</v>
      </c>
      <c r="L296">
        <v>1.140550376</v>
      </c>
      <c r="M296">
        <v>0.743386255</v>
      </c>
      <c r="N296">
        <v>0.10711016199999999</v>
      </c>
      <c r="O296">
        <v>-0.40233099999999999</v>
      </c>
      <c r="P296">
        <v>0.22262010700000001</v>
      </c>
      <c r="Q296">
        <v>2.1633754729999999</v>
      </c>
      <c r="R296">
        <v>-0.20325699999999999</v>
      </c>
      <c r="S296">
        <v>0.724496484</v>
      </c>
      <c r="T296">
        <v>-1.3996902760000001</v>
      </c>
      <c r="U296">
        <v>0.86693799999999999</v>
      </c>
      <c r="V296">
        <v>1.482439501</v>
      </c>
      <c r="W296">
        <v>4.0869214669999998</v>
      </c>
      <c r="X296">
        <v>1.60217645</v>
      </c>
      <c r="Y296">
        <v>6.0093699999999997</v>
      </c>
      <c r="Z296">
        <v>-4.7802066500000002</v>
      </c>
      <c r="AA296">
        <v>5.2201557620000001</v>
      </c>
      <c r="AB296">
        <v>2.156354737</v>
      </c>
      <c r="AC296">
        <v>-1.5729179390000001</v>
      </c>
      <c r="AD296">
        <v>1.7607706729999999</v>
      </c>
      <c r="AE296">
        <v>1.2137428459999999</v>
      </c>
      <c r="AF296">
        <v>1.215933438</v>
      </c>
      <c r="AG296">
        <v>1.862468966</v>
      </c>
      <c r="AH296">
        <v>3.608285387</v>
      </c>
      <c r="AI296">
        <v>1.5484408999999999E-2</v>
      </c>
      <c r="AJ296">
        <v>0.63780142900000003</v>
      </c>
      <c r="AK296">
        <v>-0.36414608500000001</v>
      </c>
      <c r="AL296">
        <v>1.02076615</v>
      </c>
      <c r="AM296">
        <v>-2.4028912999999999E-2</v>
      </c>
      <c r="AN296">
        <v>0.27510552300000002</v>
      </c>
      <c r="AO296">
        <v>0.73974322400000003</v>
      </c>
      <c r="AP296">
        <v>0.43079574399999998</v>
      </c>
      <c r="AQ296">
        <v>-0.23242383</v>
      </c>
      <c r="AR296">
        <v>-8.2471436999999995E-2</v>
      </c>
      <c r="AS296">
        <v>1.202524785</v>
      </c>
      <c r="AT296">
        <v>1.115276766</v>
      </c>
      <c r="AU296">
        <v>2.6969503989999999</v>
      </c>
    </row>
    <row r="297" spans="1:47" x14ac:dyDescent="0.2">
      <c r="A297" t="s">
        <v>361</v>
      </c>
      <c r="B297" s="74">
        <v>44287</v>
      </c>
      <c r="C297">
        <v>3.3585589179999999</v>
      </c>
      <c r="D297">
        <v>1.7833363900000001</v>
      </c>
      <c r="E297">
        <v>-0.47800605000000002</v>
      </c>
      <c r="F297">
        <v>1.3167187039999999</v>
      </c>
      <c r="G297">
        <v>1.0856776319999999</v>
      </c>
      <c r="H297">
        <v>1.092953257</v>
      </c>
      <c r="I297">
        <v>-0.23740064899999999</v>
      </c>
      <c r="J297">
        <v>3.7423095179999999</v>
      </c>
      <c r="K297">
        <v>0.5</v>
      </c>
      <c r="L297">
        <v>-0.51575419600000005</v>
      </c>
      <c r="M297">
        <v>-1.6842265160000001</v>
      </c>
      <c r="N297">
        <v>-2.8803583000000001E-2</v>
      </c>
      <c r="O297">
        <v>-0.121101</v>
      </c>
      <c r="P297">
        <v>-0.50270532899999998</v>
      </c>
      <c r="Q297">
        <v>3.6051908400000001</v>
      </c>
      <c r="R297">
        <v>6.5002000000000004E-2</v>
      </c>
      <c r="S297">
        <v>-0.11958777399999999</v>
      </c>
      <c r="T297">
        <v>0.23141998899999999</v>
      </c>
      <c r="U297">
        <v>0.53144899999999995</v>
      </c>
      <c r="V297">
        <v>-1.1719126129999999</v>
      </c>
      <c r="W297">
        <v>3.4384263239999999</v>
      </c>
      <c r="X297">
        <v>1.28031451</v>
      </c>
      <c r="Y297">
        <v>1.33978</v>
      </c>
      <c r="Z297">
        <v>9.465318946</v>
      </c>
      <c r="AA297">
        <v>-2.0505750680000001</v>
      </c>
      <c r="AB297">
        <v>-0.21448318599999999</v>
      </c>
      <c r="AC297">
        <v>0.236212963</v>
      </c>
      <c r="AD297">
        <v>-0.39858213199999998</v>
      </c>
      <c r="AE297">
        <v>1.724067239</v>
      </c>
      <c r="AF297">
        <v>2.0836879189999999</v>
      </c>
      <c r="AG297">
        <v>2.3251473000000002E-2</v>
      </c>
      <c r="AH297">
        <v>0.38052982299999999</v>
      </c>
      <c r="AI297">
        <v>6.2581526999999998E-2</v>
      </c>
      <c r="AJ297">
        <v>-2.7933678999999999E-2</v>
      </c>
      <c r="AK297">
        <v>1.711166162</v>
      </c>
      <c r="AL297">
        <v>0.75594562499999995</v>
      </c>
      <c r="AM297">
        <v>1.354336803</v>
      </c>
      <c r="AN297">
        <v>-2.9254779279999998</v>
      </c>
      <c r="AO297">
        <v>0.68078932599999997</v>
      </c>
      <c r="AP297">
        <v>-1.4200867720000001</v>
      </c>
      <c r="AQ297">
        <v>1.5985838290000001</v>
      </c>
      <c r="AR297">
        <v>1.6030922270000001</v>
      </c>
      <c r="AS297">
        <v>2.204118947</v>
      </c>
      <c r="AT297">
        <v>1.533889627</v>
      </c>
      <c r="AU297">
        <v>0.82292430299999997</v>
      </c>
    </row>
    <row r="298" spans="1:47" x14ac:dyDescent="0.2">
      <c r="A298" t="s">
        <v>362</v>
      </c>
      <c r="B298" s="74">
        <v>44378</v>
      </c>
      <c r="C298">
        <v>-0.79996701999999997</v>
      </c>
      <c r="D298">
        <v>0.82140269099999996</v>
      </c>
      <c r="E298">
        <v>4.3315116920000003</v>
      </c>
      <c r="F298">
        <v>1.7114084730000001</v>
      </c>
      <c r="G298">
        <v>-0.21653682899999999</v>
      </c>
      <c r="H298">
        <v>-0.79204875299999999</v>
      </c>
      <c r="I298">
        <v>1.973963036</v>
      </c>
      <c r="J298">
        <v>1.5018792409999999</v>
      </c>
      <c r="K298">
        <v>1.2</v>
      </c>
      <c r="L298">
        <v>1.407038024</v>
      </c>
      <c r="M298">
        <v>2.173700733</v>
      </c>
      <c r="N298">
        <v>2.4688619510000001</v>
      </c>
      <c r="O298">
        <v>2.1617489999999999</v>
      </c>
      <c r="P298">
        <v>1.1283565209999999</v>
      </c>
      <c r="Q298">
        <v>2.3445725880000001</v>
      </c>
      <c r="R298">
        <v>2.109181</v>
      </c>
      <c r="S298">
        <v>1.526569708</v>
      </c>
      <c r="T298">
        <v>0.98428234299999995</v>
      </c>
      <c r="U298">
        <v>1.7714920000000001</v>
      </c>
      <c r="V298">
        <v>5.5557465989999999</v>
      </c>
      <c r="W298">
        <v>1.3453579760000001</v>
      </c>
      <c r="X298">
        <v>2.4330769889999999</v>
      </c>
      <c r="Y298">
        <v>-10.75334</v>
      </c>
      <c r="Z298">
        <v>4.9649303429999998</v>
      </c>
      <c r="AA298">
        <v>4.8993762189999996</v>
      </c>
      <c r="AB298">
        <v>3.9192071510000002</v>
      </c>
      <c r="AC298">
        <v>2.6884984840000001</v>
      </c>
      <c r="AD298">
        <v>0.63537212600000004</v>
      </c>
      <c r="AE298">
        <v>0.83334792899999999</v>
      </c>
      <c r="AF298">
        <v>0.84276602099999998</v>
      </c>
      <c r="AG298">
        <v>2.4115811850000002</v>
      </c>
      <c r="AH298">
        <v>1.2004538890000001</v>
      </c>
      <c r="AI298">
        <v>3.8177632190000002</v>
      </c>
      <c r="AJ298">
        <v>0.75240827600000004</v>
      </c>
      <c r="AK298">
        <v>2.3709650739999999</v>
      </c>
      <c r="AL298">
        <v>1.7236423540000001</v>
      </c>
      <c r="AM298">
        <v>2.0157983719999999</v>
      </c>
      <c r="AN298">
        <v>4.3565744390000001</v>
      </c>
      <c r="AO298">
        <v>3.1909337409999998</v>
      </c>
      <c r="AP298">
        <v>1.9002782039999999</v>
      </c>
      <c r="AQ298">
        <v>1.9493642330000001</v>
      </c>
      <c r="AR298">
        <v>0.76070964600000002</v>
      </c>
      <c r="AS298">
        <v>1.688076645</v>
      </c>
      <c r="AT298">
        <v>1.6407465400000001</v>
      </c>
      <c r="AU298">
        <v>1.3879124949999999</v>
      </c>
    </row>
    <row r="299" spans="1:47" x14ac:dyDescent="0.2">
      <c r="A299" t="s">
        <v>363</v>
      </c>
      <c r="B299" s="74">
        <v>44470</v>
      </c>
      <c r="C299">
        <v>4.0837459330000003</v>
      </c>
      <c r="D299">
        <v>-1.8203751480000001</v>
      </c>
      <c r="E299">
        <v>3.3876865199999999</v>
      </c>
      <c r="F299">
        <v>2.1019125509999999</v>
      </c>
      <c r="G299">
        <v>6.3533838999999995E-2</v>
      </c>
      <c r="H299">
        <v>1.30781901</v>
      </c>
      <c r="I299">
        <v>1.870791305</v>
      </c>
      <c r="J299">
        <v>4.3315752170000001</v>
      </c>
      <c r="K299">
        <v>0.7</v>
      </c>
      <c r="L299">
        <v>1.6988365430000001</v>
      </c>
      <c r="M299">
        <v>1.6695303319999999</v>
      </c>
      <c r="N299">
        <v>1.2941534240000001</v>
      </c>
      <c r="O299">
        <v>2.3169780000000002</v>
      </c>
      <c r="P299">
        <v>2.6058762020000001</v>
      </c>
      <c r="Q299">
        <v>0.87791680400000005</v>
      </c>
      <c r="R299">
        <v>2.1775790000000002</v>
      </c>
      <c r="S299">
        <v>0.90008844799999999</v>
      </c>
      <c r="T299">
        <v>3.2119469</v>
      </c>
      <c r="U299">
        <v>0.90678000000000003</v>
      </c>
      <c r="V299">
        <v>0.93733993800000004</v>
      </c>
      <c r="W299">
        <v>2.3289369510000002</v>
      </c>
      <c r="X299">
        <v>1.068606919</v>
      </c>
      <c r="Y299">
        <v>13.77955</v>
      </c>
      <c r="Z299">
        <v>1.9306443520000001</v>
      </c>
      <c r="AA299">
        <v>-1.0555143490000001</v>
      </c>
      <c r="AB299">
        <v>1.590382255</v>
      </c>
      <c r="AC299">
        <v>2.6225867630000002</v>
      </c>
      <c r="AD299">
        <v>-0.79739968100000003</v>
      </c>
      <c r="AE299">
        <v>0.21323898299999999</v>
      </c>
      <c r="AF299">
        <v>0.88655972000000005</v>
      </c>
      <c r="AG299">
        <v>0.45674260300000002</v>
      </c>
      <c r="AH299">
        <v>-0.61882371999999997</v>
      </c>
      <c r="AI299">
        <v>1.5116551549999999</v>
      </c>
      <c r="AJ299">
        <v>3.9436069749999998</v>
      </c>
      <c r="AK299">
        <v>-3.8331619909999999</v>
      </c>
      <c r="AL299">
        <v>1.1128920950000001</v>
      </c>
      <c r="AM299">
        <v>2.6022336639999999</v>
      </c>
      <c r="AN299">
        <v>2.7252752849999999</v>
      </c>
      <c r="AO299">
        <v>-0.79450589500000002</v>
      </c>
      <c r="AP299">
        <v>0.35890395200000003</v>
      </c>
      <c r="AQ299">
        <v>1.2904428450000001</v>
      </c>
      <c r="AR299">
        <v>2.0040051870000002</v>
      </c>
      <c r="AS299">
        <v>2.7739530750000001</v>
      </c>
      <c r="AT299">
        <v>0.57094811099999998</v>
      </c>
      <c r="AU299">
        <v>-1.801676582</v>
      </c>
    </row>
    <row r="300" spans="1:47" x14ac:dyDescent="0.2">
      <c r="A300" t="s">
        <v>364</v>
      </c>
      <c r="B300" s="74">
        <v>44562</v>
      </c>
      <c r="C300">
        <v>1.852375439</v>
      </c>
      <c r="D300">
        <v>3.623175502</v>
      </c>
      <c r="E300">
        <v>-0.77982788599999997</v>
      </c>
      <c r="F300">
        <v>0.42656539799999998</v>
      </c>
      <c r="G300">
        <v>0.66221359000000002</v>
      </c>
      <c r="H300">
        <v>1.602575751</v>
      </c>
      <c r="I300">
        <v>0.157669803</v>
      </c>
      <c r="J300">
        <v>1.702786393</v>
      </c>
      <c r="K300">
        <v>1.5</v>
      </c>
      <c r="L300">
        <v>0.84683267900000003</v>
      </c>
      <c r="M300">
        <v>-0.34718883699999997</v>
      </c>
      <c r="N300">
        <v>2.8374765100000001</v>
      </c>
      <c r="O300">
        <v>0.24948000000000001</v>
      </c>
      <c r="P300">
        <v>2.222277268</v>
      </c>
      <c r="Q300">
        <v>1.3093644449999999</v>
      </c>
      <c r="R300">
        <v>0.45352599999999998</v>
      </c>
      <c r="S300">
        <v>0.78033688599999995</v>
      </c>
      <c r="T300">
        <v>0.44331445400000002</v>
      </c>
      <c r="U300">
        <v>1.180185</v>
      </c>
      <c r="V300">
        <v>1.275237583</v>
      </c>
      <c r="W300">
        <v>0.80913632300000005</v>
      </c>
      <c r="X300">
        <v>2.1892012570000001</v>
      </c>
      <c r="Y300">
        <v>1.7121900000000001</v>
      </c>
      <c r="Z300">
        <v>-6.1602560840000002</v>
      </c>
      <c r="AA300">
        <v>2.2263952480000002</v>
      </c>
      <c r="AB300">
        <v>3.6935156689999999</v>
      </c>
      <c r="AC300">
        <v>0.68854718699999995</v>
      </c>
      <c r="AD300">
        <v>0.98273304900000003</v>
      </c>
      <c r="AE300">
        <v>1.3377757400000001</v>
      </c>
      <c r="AF300">
        <v>0.98118801200000005</v>
      </c>
      <c r="AG300">
        <v>-0.176593152</v>
      </c>
      <c r="AH300">
        <v>0.24135129299999999</v>
      </c>
      <c r="AI300">
        <v>0.684459975</v>
      </c>
      <c r="AJ300">
        <v>1.4087377999999999E-2</v>
      </c>
      <c r="AK300">
        <v>2.9718998170000002</v>
      </c>
      <c r="AL300">
        <v>1.20418307</v>
      </c>
      <c r="AM300">
        <v>1.7831243990000001</v>
      </c>
      <c r="AN300">
        <v>1.740861387</v>
      </c>
      <c r="AP300">
        <v>0.35335267199999998</v>
      </c>
      <c r="AQ300">
        <v>5.2822239560000002</v>
      </c>
      <c r="AR300">
        <v>1.154055732</v>
      </c>
      <c r="AS300">
        <v>1.5109707020000001</v>
      </c>
      <c r="AT300">
        <v>1.6807782659999999</v>
      </c>
      <c r="AU300">
        <v>1.369403562</v>
      </c>
    </row>
    <row r="301" spans="1:47" x14ac:dyDescent="0.2">
      <c r="A301" t="s">
        <v>365</v>
      </c>
      <c r="B301" s="74">
        <v>44652</v>
      </c>
      <c r="C301">
        <v>0.87384602499999997</v>
      </c>
      <c r="D301">
        <v>0.75440355100000001</v>
      </c>
      <c r="E301">
        <v>1.5484871609999999</v>
      </c>
      <c r="F301">
        <v>0.53907644700000001</v>
      </c>
      <c r="G301">
        <v>0.99607839399999998</v>
      </c>
      <c r="H301">
        <v>0.755021041</v>
      </c>
      <c r="I301">
        <v>0.47661228100000003</v>
      </c>
      <c r="J301">
        <v>-0.76251055300000004</v>
      </c>
      <c r="K301">
        <v>1.3</v>
      </c>
      <c r="L301">
        <v>0.87272611700000002</v>
      </c>
      <c r="M301">
        <v>0.23540209600000001</v>
      </c>
      <c r="N301">
        <v>-0.47248498999999999</v>
      </c>
      <c r="O301">
        <v>0.62434999999999996</v>
      </c>
      <c r="P301">
        <v>0.19870323600000001</v>
      </c>
      <c r="Q301">
        <v>8.7810964000000005E-2</v>
      </c>
      <c r="R301">
        <v>0.73301300000000003</v>
      </c>
      <c r="S301">
        <v>0.50482655099999996</v>
      </c>
      <c r="T301">
        <v>-0.20981216</v>
      </c>
      <c r="U301">
        <v>-0.10741299999999999</v>
      </c>
      <c r="V301">
        <v>0.77370877400000004</v>
      </c>
      <c r="W301">
        <v>2.3496691969999999</v>
      </c>
      <c r="X301">
        <v>2.102492802</v>
      </c>
      <c r="Y301">
        <v>0.75499000000000005</v>
      </c>
      <c r="Z301">
        <v>10.849862417000001</v>
      </c>
      <c r="AA301">
        <v>1.106165939</v>
      </c>
      <c r="AB301">
        <v>-0.41298457799999999</v>
      </c>
      <c r="AC301">
        <v>0.13067974199999999</v>
      </c>
      <c r="AD301">
        <v>-0.12638948699999999</v>
      </c>
      <c r="AE301">
        <v>0.63396788500000001</v>
      </c>
      <c r="AF301">
        <v>1.2470363040000001</v>
      </c>
      <c r="AG301">
        <v>3.5781309019999998</v>
      </c>
      <c r="AH301">
        <v>1.0089033009999999</v>
      </c>
      <c r="AI301">
        <v>0.43267344200000002</v>
      </c>
      <c r="AJ301">
        <v>-0.96677020899999999</v>
      </c>
      <c r="AK301">
        <v>-0.15720938500000001</v>
      </c>
      <c r="AL301">
        <v>0.27132921700000001</v>
      </c>
      <c r="AM301">
        <v>2.4657446379999999</v>
      </c>
      <c r="AN301">
        <v>2.5636657180000002</v>
      </c>
      <c r="AP301">
        <v>0.359998924</v>
      </c>
      <c r="AQ301">
        <v>0.79877549299999995</v>
      </c>
      <c r="AR301">
        <v>-0.80773978300000004</v>
      </c>
      <c r="AS301">
        <v>1.2006183340000001</v>
      </c>
      <c r="AT301">
        <v>-0.39569248000000001</v>
      </c>
      <c r="AU301">
        <v>1.9395188910000001</v>
      </c>
    </row>
    <row r="302" spans="1:47" x14ac:dyDescent="0.2">
      <c r="A302" t="s">
        <v>366</v>
      </c>
      <c r="B302" s="74">
        <v>44743</v>
      </c>
    </row>
    <row r="303" spans="1:47" x14ac:dyDescent="0.2">
      <c r="A303" t="s">
        <v>367</v>
      </c>
      <c r="B303" s="74">
        <v>44835</v>
      </c>
    </row>
    <row r="304" spans="1:47" x14ac:dyDescent="0.2">
      <c r="A304" t="s">
        <v>368</v>
      </c>
      <c r="B304"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7" customWidth="1"/>
    <col min="2" max="2" width="11.1640625" style="67" customWidth="1"/>
    <col min="3" max="5" width="9.1640625" style="2" customWidth="1"/>
    <col min="6" max="6" width="10.6640625" style="2" bestFit="1" customWidth="1"/>
    <col min="7" max="7" width="10.6640625" style="2" customWidth="1"/>
    <col min="8" max="46" width="9.1640625" style="2" customWidth="1"/>
    <col min="47" max="56" width="9.1640625" style="67" customWidth="1"/>
    <col min="57" max="16384" width="9.1640625" style="67"/>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4">
        <v>17349</v>
      </c>
    </row>
    <row r="3" spans="1:49" x14ac:dyDescent="0.2">
      <c r="A3" t="s">
        <v>67</v>
      </c>
      <c r="B3" s="74">
        <v>17441</v>
      </c>
    </row>
    <row r="4" spans="1:49" x14ac:dyDescent="0.2">
      <c r="A4" t="s">
        <v>68</v>
      </c>
      <c r="B4" s="74">
        <v>17533</v>
      </c>
    </row>
    <row r="5" spans="1:49" x14ac:dyDescent="0.2">
      <c r="A5" t="s">
        <v>69</v>
      </c>
      <c r="B5" s="74">
        <v>17624</v>
      </c>
      <c r="AV5">
        <v>2.6047334659999999</v>
      </c>
    </row>
    <row r="6" spans="1:49" x14ac:dyDescent="0.2">
      <c r="A6" t="s">
        <v>70</v>
      </c>
      <c r="B6" s="74">
        <v>17715</v>
      </c>
      <c r="AV6">
        <v>4.5773238760000003</v>
      </c>
    </row>
    <row r="7" spans="1:49" x14ac:dyDescent="0.2">
      <c r="A7" t="s">
        <v>71</v>
      </c>
      <c r="B7" s="74">
        <v>17807</v>
      </c>
      <c r="AV7">
        <v>5.3941211969999996</v>
      </c>
    </row>
    <row r="8" spans="1:49" x14ac:dyDescent="0.2">
      <c r="A8" t="s">
        <v>72</v>
      </c>
      <c r="B8" s="74">
        <v>17899</v>
      </c>
      <c r="AV8">
        <v>3.8867828379999998</v>
      </c>
    </row>
    <row r="9" spans="1:49" x14ac:dyDescent="0.2">
      <c r="A9" t="s">
        <v>73</v>
      </c>
      <c r="B9" s="74">
        <v>17989</v>
      </c>
      <c r="AV9">
        <v>0.93698411699999995</v>
      </c>
    </row>
    <row r="10" spans="1:49" x14ac:dyDescent="0.2">
      <c r="A10" t="s">
        <v>74</v>
      </c>
      <c r="B10" s="74">
        <v>18080</v>
      </c>
      <c r="AV10">
        <v>-1.0408129699999999</v>
      </c>
    </row>
    <row r="11" spans="1:49" x14ac:dyDescent="0.2">
      <c r="A11" t="s">
        <v>75</v>
      </c>
      <c r="B11" s="74">
        <v>18172</v>
      </c>
      <c r="AV11">
        <v>-0.58869120600000002</v>
      </c>
    </row>
    <row r="12" spans="1:49" x14ac:dyDescent="0.2">
      <c r="A12" t="s">
        <v>76</v>
      </c>
      <c r="B12" s="74">
        <v>18264</v>
      </c>
      <c r="AV12">
        <v>-1.5330175429999999</v>
      </c>
    </row>
    <row r="13" spans="1:49" x14ac:dyDescent="0.2">
      <c r="A13" t="s">
        <v>77</v>
      </c>
      <c r="B13" s="74">
        <v>18354</v>
      </c>
      <c r="AV13">
        <v>3.7666806990000001</v>
      </c>
    </row>
    <row r="14" spans="1:49" x14ac:dyDescent="0.2">
      <c r="A14" t="s">
        <v>78</v>
      </c>
      <c r="B14" s="74">
        <v>18445</v>
      </c>
      <c r="AV14">
        <v>7.2973606230000003</v>
      </c>
    </row>
    <row r="15" spans="1:49" x14ac:dyDescent="0.2">
      <c r="A15" t="s">
        <v>79</v>
      </c>
      <c r="B15" s="74">
        <v>18537</v>
      </c>
      <c r="AV15">
        <v>10.304959761999999</v>
      </c>
    </row>
    <row r="16" spans="1:49" x14ac:dyDescent="0.2">
      <c r="A16" t="s">
        <v>80</v>
      </c>
      <c r="B16" s="74">
        <v>18629</v>
      </c>
      <c r="AV16">
        <v>13.368522327999999</v>
      </c>
    </row>
    <row r="17" spans="1:48" x14ac:dyDescent="0.2">
      <c r="A17" t="s">
        <v>81</v>
      </c>
      <c r="B17" s="74">
        <v>18719</v>
      </c>
      <c r="AV17">
        <v>10.563012123</v>
      </c>
    </row>
    <row r="18" spans="1:48" x14ac:dyDescent="0.2">
      <c r="A18" t="s">
        <v>82</v>
      </c>
      <c r="B18" s="74">
        <v>18810</v>
      </c>
      <c r="AV18">
        <v>9.1498838239999998</v>
      </c>
    </row>
    <row r="19" spans="1:48" x14ac:dyDescent="0.2">
      <c r="A19" t="s">
        <v>83</v>
      </c>
      <c r="B19" s="74">
        <v>18902</v>
      </c>
      <c r="AV19">
        <v>7.2546955019999997</v>
      </c>
    </row>
    <row r="20" spans="1:48" x14ac:dyDescent="0.2">
      <c r="A20" t="s">
        <v>84</v>
      </c>
      <c r="B20" s="74">
        <v>18994</v>
      </c>
      <c r="AV20">
        <v>5.4713784949999997</v>
      </c>
    </row>
    <row r="21" spans="1:48" x14ac:dyDescent="0.2">
      <c r="A21" t="s">
        <v>85</v>
      </c>
      <c r="B21" s="74">
        <v>19085</v>
      </c>
      <c r="AV21">
        <v>5.170000881</v>
      </c>
    </row>
    <row r="22" spans="1:48" x14ac:dyDescent="0.2">
      <c r="A22" t="s">
        <v>86</v>
      </c>
      <c r="B22" s="74">
        <v>19176</v>
      </c>
      <c r="AV22">
        <v>3.6014209519999998</v>
      </c>
    </row>
    <row r="23" spans="1:48" x14ac:dyDescent="0.2">
      <c r="A23" t="s">
        <v>87</v>
      </c>
      <c r="B23" s="74">
        <v>19268</v>
      </c>
      <c r="AV23">
        <v>2.2420593809999998</v>
      </c>
    </row>
    <row r="24" spans="1:48" x14ac:dyDescent="0.2">
      <c r="A24" t="s">
        <v>88</v>
      </c>
      <c r="B24" s="74">
        <v>19360</v>
      </c>
      <c r="AV24">
        <v>5.3678369469999998</v>
      </c>
    </row>
    <row r="25" spans="1:48" x14ac:dyDescent="0.2">
      <c r="A25" t="s">
        <v>89</v>
      </c>
      <c r="B25" s="74">
        <v>19450</v>
      </c>
      <c r="AV25">
        <v>6.1917895940000003</v>
      </c>
    </row>
    <row r="26" spans="1:48" x14ac:dyDescent="0.2">
      <c r="A26" t="s">
        <v>90</v>
      </c>
      <c r="B26" s="74">
        <v>19541</v>
      </c>
      <c r="AV26">
        <v>6.7825801630000004</v>
      </c>
    </row>
    <row r="27" spans="1:48" x14ac:dyDescent="0.2">
      <c r="A27" t="s">
        <v>91</v>
      </c>
      <c r="B27" s="74">
        <v>19633</v>
      </c>
      <c r="AV27">
        <v>5.4207601810000003</v>
      </c>
    </row>
    <row r="28" spans="1:48" x14ac:dyDescent="0.2">
      <c r="A28" t="s">
        <v>92</v>
      </c>
      <c r="B28" s="74">
        <v>19725</v>
      </c>
      <c r="AV28">
        <v>0.52334884400000004</v>
      </c>
    </row>
    <row r="29" spans="1:48" x14ac:dyDescent="0.2">
      <c r="A29" t="s">
        <v>93</v>
      </c>
      <c r="B29" s="74">
        <v>19815</v>
      </c>
      <c r="AV29">
        <v>-1.782902464</v>
      </c>
    </row>
    <row r="30" spans="1:48" x14ac:dyDescent="0.2">
      <c r="A30" t="s">
        <v>94</v>
      </c>
      <c r="B30" s="74">
        <v>19906</v>
      </c>
      <c r="AV30">
        <v>-2.4300090499999998</v>
      </c>
    </row>
    <row r="31" spans="1:48" x14ac:dyDescent="0.2">
      <c r="A31" t="s">
        <v>95</v>
      </c>
      <c r="B31" s="74">
        <v>19998</v>
      </c>
      <c r="AV31">
        <v>-0.76976022300000002</v>
      </c>
    </row>
    <row r="32" spans="1:48" x14ac:dyDescent="0.2">
      <c r="A32" t="s">
        <v>96</v>
      </c>
      <c r="B32" s="74">
        <v>20090</v>
      </c>
      <c r="AV32">
        <v>2.7270932499999998</v>
      </c>
    </row>
    <row r="33" spans="1:48" x14ac:dyDescent="0.2">
      <c r="A33" t="s">
        <v>97</v>
      </c>
      <c r="B33" s="74">
        <v>20180</v>
      </c>
      <c r="AV33">
        <v>6.1687319870000001</v>
      </c>
    </row>
    <row r="34" spans="1:48" x14ac:dyDescent="0.2">
      <c r="A34" t="s">
        <v>98</v>
      </c>
      <c r="B34" s="74">
        <v>20271</v>
      </c>
      <c r="AV34">
        <v>7.7788443279999999</v>
      </c>
    </row>
    <row r="35" spans="1:48" x14ac:dyDescent="0.2">
      <c r="A35" t="s">
        <v>99</v>
      </c>
      <c r="B35" s="74">
        <v>20363</v>
      </c>
      <c r="AV35">
        <v>8.0145013810000005</v>
      </c>
    </row>
    <row r="36" spans="1:48" x14ac:dyDescent="0.2">
      <c r="A36" t="s">
        <v>100</v>
      </c>
      <c r="B36" s="74">
        <v>20455</v>
      </c>
      <c r="AV36">
        <v>6.5775531980000004</v>
      </c>
    </row>
    <row r="37" spans="1:48" x14ac:dyDescent="0.2">
      <c r="A37" t="s">
        <v>101</v>
      </c>
      <c r="B37" s="74">
        <v>20546</v>
      </c>
      <c r="X37">
        <v>2.7228935339999998</v>
      </c>
      <c r="AV37">
        <v>3.2155485320000001</v>
      </c>
    </row>
    <row r="38" spans="1:48" x14ac:dyDescent="0.2">
      <c r="A38" t="s">
        <v>102</v>
      </c>
      <c r="B38" s="74">
        <v>20637</v>
      </c>
      <c r="X38">
        <v>2.452136034</v>
      </c>
      <c r="AV38">
        <v>2.4021458670000002</v>
      </c>
    </row>
    <row r="39" spans="1:48" x14ac:dyDescent="0.2">
      <c r="A39" t="s">
        <v>103</v>
      </c>
      <c r="B39" s="74">
        <v>20729</v>
      </c>
      <c r="X39">
        <v>0.30544117100000001</v>
      </c>
      <c r="AV39">
        <v>0.94689641000000002</v>
      </c>
    </row>
    <row r="40" spans="1:48" x14ac:dyDescent="0.2">
      <c r="A40" t="s">
        <v>104</v>
      </c>
      <c r="B40" s="74">
        <v>20821</v>
      </c>
      <c r="X40">
        <v>1.305623668</v>
      </c>
      <c r="AV40">
        <v>1.9960335760000001</v>
      </c>
    </row>
    <row r="41" spans="1:48" x14ac:dyDescent="0.2">
      <c r="A41" t="s">
        <v>105</v>
      </c>
      <c r="B41" s="74">
        <v>20911</v>
      </c>
      <c r="X41">
        <v>2.1571354770000002</v>
      </c>
      <c r="AV41">
        <v>3.0493286199999998</v>
      </c>
    </row>
    <row r="42" spans="1:48" x14ac:dyDescent="0.2">
      <c r="A42" t="s">
        <v>106</v>
      </c>
      <c r="B42" s="74">
        <v>21002</v>
      </c>
      <c r="X42">
        <v>2.3480607999999998</v>
      </c>
      <c r="AV42">
        <v>1.9808742699999999</v>
      </c>
    </row>
    <row r="43" spans="1:48" x14ac:dyDescent="0.2">
      <c r="A43" t="s">
        <v>107</v>
      </c>
      <c r="B43" s="74">
        <v>21094</v>
      </c>
      <c r="X43">
        <v>1.8374293530000001</v>
      </c>
      <c r="AV43">
        <v>3.0729058839999999</v>
      </c>
    </row>
    <row r="44" spans="1:48" x14ac:dyDescent="0.2">
      <c r="A44" t="s">
        <v>108</v>
      </c>
      <c r="B44" s="74">
        <v>21186</v>
      </c>
      <c r="X44">
        <v>1.56655477</v>
      </c>
      <c r="AV44">
        <v>0.35513471499999999</v>
      </c>
    </row>
    <row r="45" spans="1:48" x14ac:dyDescent="0.2">
      <c r="A45" t="s">
        <v>109</v>
      </c>
      <c r="B45" s="74">
        <v>21276</v>
      </c>
      <c r="X45">
        <v>1.766138381</v>
      </c>
      <c r="AV45">
        <v>-2.8714282899999999</v>
      </c>
    </row>
    <row r="46" spans="1:48" x14ac:dyDescent="0.2">
      <c r="A46" t="s">
        <v>110</v>
      </c>
      <c r="B46" s="74">
        <v>21367</v>
      </c>
      <c r="X46">
        <v>-0.66204042299999999</v>
      </c>
      <c r="AV46">
        <v>-2.0184094849999998</v>
      </c>
    </row>
    <row r="47" spans="1:48" x14ac:dyDescent="0.2">
      <c r="A47" t="s">
        <v>111</v>
      </c>
      <c r="B47" s="74">
        <v>21459</v>
      </c>
      <c r="X47">
        <v>2.1768739429999999</v>
      </c>
      <c r="AV47">
        <v>-0.72479788599999995</v>
      </c>
    </row>
    <row r="48" spans="1:48" x14ac:dyDescent="0.2">
      <c r="A48" t="s">
        <v>112</v>
      </c>
      <c r="B48" s="74">
        <v>21551</v>
      </c>
      <c r="X48">
        <v>2.0971535280000002</v>
      </c>
      <c r="AV48">
        <v>2.6581373350000002</v>
      </c>
    </row>
    <row r="49" spans="1:49" x14ac:dyDescent="0.2">
      <c r="A49" t="s">
        <v>113</v>
      </c>
      <c r="B49" s="74">
        <v>21641</v>
      </c>
      <c r="X49">
        <v>0.551227456</v>
      </c>
      <c r="AV49">
        <v>7.4166492159999997</v>
      </c>
    </row>
    <row r="50" spans="1:49" x14ac:dyDescent="0.2">
      <c r="A50" t="s">
        <v>114</v>
      </c>
      <c r="B50" s="74">
        <v>21732</v>
      </c>
      <c r="X50">
        <v>4.7113735500000002</v>
      </c>
      <c r="AV50">
        <v>9.1218984800000005</v>
      </c>
    </row>
    <row r="51" spans="1:49" x14ac:dyDescent="0.2">
      <c r="A51" t="s">
        <v>115</v>
      </c>
      <c r="B51" s="74">
        <v>21824</v>
      </c>
      <c r="X51">
        <v>4.6333111169999999</v>
      </c>
      <c r="AV51">
        <v>6.7299987449999996</v>
      </c>
    </row>
    <row r="52" spans="1:49" x14ac:dyDescent="0.2">
      <c r="A52" t="s">
        <v>116</v>
      </c>
      <c r="B52" s="74">
        <v>21916</v>
      </c>
      <c r="X52">
        <v>7.203042849</v>
      </c>
      <c r="AV52">
        <v>4.5886632949999999</v>
      </c>
    </row>
    <row r="53" spans="1:49" x14ac:dyDescent="0.2">
      <c r="A53" t="s">
        <v>117</v>
      </c>
      <c r="B53" s="74">
        <v>22007</v>
      </c>
      <c r="X53">
        <v>9.1621046229999994</v>
      </c>
      <c r="AV53">
        <v>4.925418809</v>
      </c>
    </row>
    <row r="54" spans="1:49" x14ac:dyDescent="0.2">
      <c r="A54" t="s">
        <v>118</v>
      </c>
      <c r="B54" s="74">
        <v>22098</v>
      </c>
      <c r="X54">
        <v>6.5523869360000004</v>
      </c>
      <c r="AV54">
        <v>2.0582082119999998</v>
      </c>
    </row>
    <row r="55" spans="1:49" x14ac:dyDescent="0.2">
      <c r="A55" t="s">
        <v>119</v>
      </c>
      <c r="B55" s="74">
        <v>22190</v>
      </c>
      <c r="X55">
        <v>5.8866167330000003</v>
      </c>
      <c r="AV55">
        <v>2.4853887609999998</v>
      </c>
    </row>
    <row r="56" spans="1:49" x14ac:dyDescent="0.2">
      <c r="A56" t="s">
        <v>120</v>
      </c>
      <c r="B56" s="74">
        <v>22282</v>
      </c>
      <c r="X56">
        <v>3.8592508510000001</v>
      </c>
      <c r="AV56">
        <v>0.88268414299999998</v>
      </c>
    </row>
    <row r="57" spans="1:49" x14ac:dyDescent="0.2">
      <c r="A57" t="s">
        <v>121</v>
      </c>
      <c r="B57" s="74">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4">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4">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4">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4">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4">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4">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4">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4">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3.1208941079999999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3.6270599899999998</v>
      </c>
      <c r="AP65">
        <v>6.1344003960000002</v>
      </c>
      <c r="AT65">
        <v>4.0305311289999999</v>
      </c>
      <c r="AV65">
        <v>3.5978663150000001</v>
      </c>
      <c r="AW65">
        <v>5.2939124130000002</v>
      </c>
    </row>
    <row r="66" spans="1:49" x14ac:dyDescent="0.2">
      <c r="A66" t="s">
        <v>130</v>
      </c>
      <c r="B66" s="74">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4.5715822069999996</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4.964183952</v>
      </c>
      <c r="AP66">
        <v>5.9109752149999997</v>
      </c>
      <c r="AT66">
        <v>6.1393031369999997</v>
      </c>
      <c r="AV66">
        <v>3.8221569249999998</v>
      </c>
      <c r="AW66">
        <v>7.3902118200000002</v>
      </c>
    </row>
    <row r="67" spans="1:49" x14ac:dyDescent="0.2">
      <c r="A67" t="s">
        <v>131</v>
      </c>
      <c r="B67" s="74">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5.5641632129999996</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5.83425993</v>
      </c>
      <c r="AP67">
        <v>5.81300404</v>
      </c>
      <c r="AT67">
        <v>5.5252815899999996</v>
      </c>
      <c r="AV67">
        <v>4.8169293460000002</v>
      </c>
      <c r="AW67">
        <v>8.1140038210000007</v>
      </c>
    </row>
    <row r="68" spans="1:49" x14ac:dyDescent="0.2">
      <c r="A68" t="s">
        <v>132</v>
      </c>
      <c r="B68" s="74">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6.1774426780000002</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6.441151005</v>
      </c>
      <c r="AP68">
        <v>5.8347617779999998</v>
      </c>
      <c r="AT68">
        <v>5.5808688950000001</v>
      </c>
      <c r="AV68">
        <v>5.1582445650000004</v>
      </c>
      <c r="AW68">
        <v>8.6277855240000001</v>
      </c>
    </row>
    <row r="69" spans="1:49" x14ac:dyDescent="0.2">
      <c r="A69" t="s">
        <v>133</v>
      </c>
      <c r="B69" s="74">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8.0499865980000003</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7.9606059650000001</v>
      </c>
      <c r="AP69">
        <v>5.9712375020000001</v>
      </c>
      <c r="AT69">
        <v>9.3198563169999993</v>
      </c>
      <c r="AV69">
        <v>6.2158208269999999</v>
      </c>
      <c r="AW69">
        <v>9.2178180140000006</v>
      </c>
    </row>
    <row r="70" spans="1:49" x14ac:dyDescent="0.2">
      <c r="A70" t="s">
        <v>134</v>
      </c>
      <c r="B70" s="74">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6.6366050230000004</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6.7585067140000001</v>
      </c>
      <c r="AP70">
        <v>6.2646258689999996</v>
      </c>
      <c r="AT70">
        <v>5.8641500659999997</v>
      </c>
      <c r="AV70">
        <v>6.1807512630000003</v>
      </c>
      <c r="AW70">
        <v>8.3300232110000003</v>
      </c>
    </row>
    <row r="71" spans="1:49" x14ac:dyDescent="0.2">
      <c r="A71" t="s">
        <v>135</v>
      </c>
      <c r="B71" s="74">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5.5269026920000002</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5.7008966299999999</v>
      </c>
      <c r="AP71">
        <v>6.7081803359999999</v>
      </c>
      <c r="AT71">
        <v>6.0109115710000003</v>
      </c>
      <c r="AV71">
        <v>5.5198295540000002</v>
      </c>
      <c r="AW71">
        <v>6.536189845</v>
      </c>
    </row>
    <row r="72" spans="1:49" x14ac:dyDescent="0.2">
      <c r="A72" t="s">
        <v>136</v>
      </c>
      <c r="B72" s="74">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4.9945098720000001</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5.182824299</v>
      </c>
      <c r="AP72">
        <v>7.2947154149999998</v>
      </c>
      <c r="AT72">
        <v>6.2137201190000004</v>
      </c>
      <c r="AV72">
        <v>5.1563430649999997</v>
      </c>
      <c r="AW72">
        <v>7.7528101319999996</v>
      </c>
    </row>
    <row r="73" spans="1:49" x14ac:dyDescent="0.2">
      <c r="A73" t="s">
        <v>137</v>
      </c>
      <c r="B73" s="74">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4.7133652039999996</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4.9682861770000004</v>
      </c>
      <c r="AP73">
        <v>8.0172834030000004</v>
      </c>
      <c r="AT73">
        <v>5.6886050360000002</v>
      </c>
      <c r="AV73">
        <v>5.4771416009999996</v>
      </c>
      <c r="AW73">
        <v>7.8066549380000003</v>
      </c>
    </row>
    <row r="74" spans="1:49" x14ac:dyDescent="0.2">
      <c r="A74" t="s">
        <v>138</v>
      </c>
      <c r="B74" s="74">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4.9339402659999996</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4.898476316</v>
      </c>
      <c r="AP74">
        <v>8.0787116329999993</v>
      </c>
      <c r="AT74">
        <v>4.3417600160000003</v>
      </c>
      <c r="AV74">
        <v>5.6592842589999997</v>
      </c>
      <c r="AW74">
        <v>6.914559422</v>
      </c>
    </row>
    <row r="75" spans="1:49" x14ac:dyDescent="0.2">
      <c r="A75" t="s">
        <v>139</v>
      </c>
      <c r="B75" s="74">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5.4811316339999996</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5.2747687120000002</v>
      </c>
      <c r="AP75">
        <v>7.5109683739999999</v>
      </c>
      <c r="AT75">
        <v>2.1947753460000001</v>
      </c>
      <c r="AV75">
        <v>6.346898404</v>
      </c>
      <c r="AW75">
        <v>5.5849368559999997</v>
      </c>
    </row>
    <row r="76" spans="1:49" x14ac:dyDescent="0.2">
      <c r="A76" t="s">
        <v>140</v>
      </c>
      <c r="B76" s="74">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6.5794239900000004</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6.2187491440000002</v>
      </c>
      <c r="AP76">
        <v>6.3514702630000004</v>
      </c>
      <c r="AT76">
        <v>3.1242828770000002</v>
      </c>
      <c r="AV76">
        <v>8.4621648740000008</v>
      </c>
      <c r="AW76">
        <v>4.2913908430000003</v>
      </c>
    </row>
    <row r="77" spans="1:49" x14ac:dyDescent="0.2">
      <c r="A77" t="s">
        <v>141</v>
      </c>
      <c r="B77" s="74">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6.8555595260000004</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6.2755284370000002</v>
      </c>
      <c r="AP77">
        <v>4.6413947029999996</v>
      </c>
      <c r="AT77">
        <v>2.530094971</v>
      </c>
      <c r="AV77">
        <v>8.4774958389999995</v>
      </c>
      <c r="AW77">
        <v>3.759659917</v>
      </c>
    </row>
    <row r="78" spans="1:49" x14ac:dyDescent="0.2">
      <c r="A78" t="s">
        <v>142</v>
      </c>
      <c r="B78" s="74">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6.5017201350000002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6.3928409940000002</v>
      </c>
      <c r="AP78">
        <v>3.7571193379999999</v>
      </c>
      <c r="AT78">
        <v>2.6123488350000001</v>
      </c>
      <c r="AV78">
        <v>7.4901360869999998</v>
      </c>
      <c r="AW78">
        <v>3.8838498910000001</v>
      </c>
    </row>
    <row r="79" spans="1:49" x14ac:dyDescent="0.2">
      <c r="A79" t="s">
        <v>143</v>
      </c>
      <c r="B79" s="74">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5.7608219539999999</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5.818053763</v>
      </c>
      <c r="AP79">
        <v>3.646398429</v>
      </c>
      <c r="AT79">
        <v>8.8233064999999999E-2</v>
      </c>
      <c r="AV79">
        <v>6.0428748450000001</v>
      </c>
      <c r="AW79">
        <v>5.7482575379999998</v>
      </c>
    </row>
    <row r="80" spans="1:49" x14ac:dyDescent="0.2">
      <c r="A80" t="s">
        <v>144</v>
      </c>
      <c r="B80" s="74">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4.50148612</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4.6947826580000003</v>
      </c>
      <c r="AP80">
        <v>4.2777137590000001</v>
      </c>
      <c r="AT80">
        <v>3.10840747</v>
      </c>
      <c r="AV80">
        <v>4.5050201740000002</v>
      </c>
      <c r="AW80">
        <v>4.360363048</v>
      </c>
    </row>
    <row r="81" spans="1:49" x14ac:dyDescent="0.2">
      <c r="A81" t="s">
        <v>145</v>
      </c>
      <c r="B81" s="74">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3.6152979749999998</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4.111734437</v>
      </c>
      <c r="AP81">
        <v>5.6377482150000002</v>
      </c>
      <c r="AT81">
        <v>2.7802792620000001</v>
      </c>
      <c r="AV81">
        <v>2.9250362509999999</v>
      </c>
      <c r="AW81">
        <v>6.6565824950000003</v>
      </c>
    </row>
    <row r="82" spans="1:49" x14ac:dyDescent="0.2">
      <c r="A82" t="s">
        <v>146</v>
      </c>
      <c r="B82" s="74">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3.3855089729999999</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3.580799394</v>
      </c>
      <c r="AP82">
        <v>6.9426240989999997</v>
      </c>
      <c r="AT82">
        <v>3.8104064339999999</v>
      </c>
      <c r="AV82">
        <v>2.6375152810000002</v>
      </c>
      <c r="AW82">
        <v>5.6760761469999998</v>
      </c>
    </row>
    <row r="83" spans="1:49" x14ac:dyDescent="0.2">
      <c r="A83" t="s">
        <v>147</v>
      </c>
      <c r="B83" s="74">
        <v>24746</v>
      </c>
      <c r="D83">
        <v>6.396461156</v>
      </c>
      <c r="E83">
        <v>1.969745836</v>
      </c>
      <c r="F83">
        <v>4.0020776060000003</v>
      </c>
      <c r="H83">
        <v>3.4949482110000001</v>
      </c>
      <c r="I83">
        <v>1.7722052740000001</v>
      </c>
      <c r="M83">
        <v>0</v>
      </c>
      <c r="N83">
        <v>3.519794933</v>
      </c>
      <c r="P83">
        <v>3.500479377</v>
      </c>
      <c r="T83">
        <v>1.9567360899999999</v>
      </c>
      <c r="U83">
        <v>4.3769435269999999</v>
      </c>
      <c r="V83">
        <v>3.7859051789999998</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3.8823777779999999</v>
      </c>
      <c r="AP83">
        <v>8.1806455549999999</v>
      </c>
      <c r="AT83">
        <v>4.8361977549999997</v>
      </c>
      <c r="AV83">
        <v>2.7384927970000001</v>
      </c>
      <c r="AW83">
        <v>9.3783651740000007</v>
      </c>
    </row>
    <row r="84" spans="1:49" x14ac:dyDescent="0.2">
      <c r="A84" t="s">
        <v>148</v>
      </c>
      <c r="B84" s="74">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4.3406390379999999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4.305709995</v>
      </c>
      <c r="AP84">
        <v>9.34170357</v>
      </c>
      <c r="AT84">
        <v>2.1068449409999999</v>
      </c>
      <c r="AV84">
        <v>2.6708397609999999</v>
      </c>
      <c r="AW84">
        <v>7.0401236650000003</v>
      </c>
    </row>
    <row r="85" spans="1:49" x14ac:dyDescent="0.2">
      <c r="A85" t="s">
        <v>149</v>
      </c>
      <c r="B85" s="74">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5.304837848</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5.1091863000000002</v>
      </c>
      <c r="AP85">
        <v>10.41790887</v>
      </c>
      <c r="AT85">
        <v>-0.66640725599999995</v>
      </c>
      <c r="AV85">
        <v>3.845214871</v>
      </c>
      <c r="AW85">
        <v>4.9809812850000004</v>
      </c>
    </row>
    <row r="86" spans="1:49" x14ac:dyDescent="0.2">
      <c r="A86" t="s">
        <v>150</v>
      </c>
      <c r="B86" s="74">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5.4933877940000002</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5.5220537319999998</v>
      </c>
      <c r="AP86">
        <v>10.206450526999999</v>
      </c>
      <c r="AT86">
        <v>4.4416426590000002</v>
      </c>
      <c r="AV86">
        <v>5.5155815099999996</v>
      </c>
      <c r="AW86">
        <v>5.2791186689999998</v>
      </c>
    </row>
    <row r="87" spans="1:49" x14ac:dyDescent="0.2">
      <c r="A87" t="s">
        <v>151</v>
      </c>
      <c r="B87" s="74">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6.2648192890000001</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6.2231586380000001</v>
      </c>
      <c r="AP87">
        <v>8.7880090850000006</v>
      </c>
      <c r="AT87">
        <v>6.9083291170000001</v>
      </c>
      <c r="AV87">
        <v>5.3366682330000001</v>
      </c>
      <c r="AW87">
        <v>1.320678553</v>
      </c>
    </row>
    <row r="88" spans="1:49" x14ac:dyDescent="0.2">
      <c r="A88" t="s">
        <v>152</v>
      </c>
      <c r="B88" s="74">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6.6933984449999997</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6.7788434830000002</v>
      </c>
      <c r="AP88">
        <v>6.2576475409999999</v>
      </c>
      <c r="AT88">
        <v>3.906173779</v>
      </c>
      <c r="AV88">
        <v>4.95956536</v>
      </c>
      <c r="AW88">
        <v>5.1454364610000001</v>
      </c>
    </row>
    <row r="89" spans="1:49" x14ac:dyDescent="0.2">
      <c r="A89" t="s">
        <v>153</v>
      </c>
      <c r="B89" s="74">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5.9903603250000002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6.175912404</v>
      </c>
      <c r="AP89">
        <v>2.6898799929999999</v>
      </c>
      <c r="AT89">
        <v>5.2282109800000001</v>
      </c>
      <c r="AV89">
        <v>4.471598105</v>
      </c>
      <c r="AW89">
        <v>4.1904337639999998</v>
      </c>
    </row>
    <row r="90" spans="1:49" x14ac:dyDescent="0.2">
      <c r="A90" t="s">
        <v>154</v>
      </c>
      <c r="B90" s="74">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6.1517651530000004</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6.1953320959999996</v>
      </c>
      <c r="AP90">
        <v>0.54938416599999995</v>
      </c>
      <c r="AT90">
        <v>2.3825843619999998</v>
      </c>
      <c r="AV90">
        <v>3.067141538</v>
      </c>
      <c r="AW90">
        <v>3.6430468239999998</v>
      </c>
    </row>
    <row r="91" spans="1:49" x14ac:dyDescent="0.2">
      <c r="A91" t="s">
        <v>155</v>
      </c>
      <c r="B91" s="74">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5.0368079459999997</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5.4794175950000001</v>
      </c>
      <c r="AP91">
        <v>1.4130804349999999</v>
      </c>
      <c r="AT91">
        <v>5.5458967469999996</v>
      </c>
      <c r="AV91">
        <v>2.9500970409999998</v>
      </c>
      <c r="AW91">
        <v>7.2189401010000003</v>
      </c>
    </row>
    <row r="92" spans="1:49" x14ac:dyDescent="0.2">
      <c r="A92" t="s">
        <v>156</v>
      </c>
      <c r="B92" s="74">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4.0578757110000003</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4.5821688690000002</v>
      </c>
      <c r="AP92">
        <v>3.82646095</v>
      </c>
      <c r="AT92">
        <v>6.8836553939999998</v>
      </c>
      <c r="AV92">
        <v>2.046645083</v>
      </c>
      <c r="AW92">
        <v>3.8090533190000002</v>
      </c>
    </row>
    <row r="93" spans="1:49" x14ac:dyDescent="0.2">
      <c r="A93" t="s">
        <v>157</v>
      </c>
      <c r="B93" s="74">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3.4678214559999998</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4.1012151699999997</v>
      </c>
      <c r="AP93">
        <v>7.4918797660000003</v>
      </c>
      <c r="AT93">
        <v>8.7819518510000005</v>
      </c>
      <c r="AV93">
        <v>0.32493460299999999</v>
      </c>
      <c r="AW93">
        <v>5.286849847</v>
      </c>
    </row>
    <row r="94" spans="1:49" x14ac:dyDescent="0.2">
      <c r="A94" t="s">
        <v>158</v>
      </c>
      <c r="B94" s="74">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3.457324834</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4.1177327669999997</v>
      </c>
      <c r="AP94">
        <v>10.913052805</v>
      </c>
      <c r="AT94">
        <v>6.7972988299999999</v>
      </c>
      <c r="AV94">
        <v>0.16283545099999999</v>
      </c>
      <c r="AW94">
        <v>7.5259985330000001</v>
      </c>
    </row>
    <row r="95" spans="1:49" x14ac:dyDescent="0.2">
      <c r="A95" t="s">
        <v>159</v>
      </c>
      <c r="B95" s="74">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3.8204626510000002</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4.1710744340000003</v>
      </c>
      <c r="AP95">
        <v>9.4969466929999999</v>
      </c>
      <c r="AT95">
        <v>5.8530655620000003</v>
      </c>
      <c r="AV95">
        <v>0.42258147600000001</v>
      </c>
      <c r="AW95">
        <v>1.642860733</v>
      </c>
    </row>
    <row r="96" spans="1:49" x14ac:dyDescent="0.2">
      <c r="A96" t="s">
        <v>160</v>
      </c>
      <c r="B96" s="74">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3.100237135</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3.512599271</v>
      </c>
      <c r="AP96">
        <v>8.5739412640000001</v>
      </c>
      <c r="AT96">
        <v>5.583959611</v>
      </c>
      <c r="AV96">
        <v>-0.16670359100000001</v>
      </c>
      <c r="AW96">
        <v>6.658863094</v>
      </c>
    </row>
    <row r="97" spans="1:49" x14ac:dyDescent="0.2">
      <c r="A97" t="s">
        <v>161</v>
      </c>
      <c r="B97" s="74">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3.327691599</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3.568369439</v>
      </c>
      <c r="AP97">
        <v>5.47193606</v>
      </c>
      <c r="AT97">
        <v>3.05815547</v>
      </c>
      <c r="AV97">
        <v>2.6972368489999998</v>
      </c>
      <c r="AW97">
        <v>5.9578837580000004</v>
      </c>
    </row>
    <row r="98" spans="1:49" x14ac:dyDescent="0.2">
      <c r="A98" t="s">
        <v>162</v>
      </c>
      <c r="B98" s="74">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3.4249854599999998</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3.5891837780000002</v>
      </c>
      <c r="AP98">
        <v>6.4667199699999998</v>
      </c>
      <c r="AT98">
        <v>1.0680157699999999</v>
      </c>
      <c r="AV98">
        <v>3.106613002</v>
      </c>
      <c r="AW98">
        <v>2.9924324879999999</v>
      </c>
    </row>
    <row r="99" spans="1:49" x14ac:dyDescent="0.2">
      <c r="A99" t="s">
        <v>163</v>
      </c>
      <c r="B99" s="74">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3.2650090949999999</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3.5669783349999999</v>
      </c>
      <c r="AP99">
        <v>6.3978232730000002</v>
      </c>
      <c r="AT99">
        <v>-5.4475929999999997E-3</v>
      </c>
      <c r="AV99">
        <v>3.0058948110000001</v>
      </c>
      <c r="AW99">
        <v>5.5526369899999999</v>
      </c>
    </row>
    <row r="100" spans="1:49" x14ac:dyDescent="0.2">
      <c r="A100" t="s">
        <v>164</v>
      </c>
      <c r="B100" s="74">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3.898627088</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4.0404779680000003</v>
      </c>
      <c r="AP100">
        <v>8.1217201459999995</v>
      </c>
      <c r="AT100">
        <v>-1.4417705220000001</v>
      </c>
      <c r="AV100">
        <v>4.3672048009999997</v>
      </c>
      <c r="AW100">
        <v>2.6978854330000002</v>
      </c>
    </row>
    <row r="101" spans="1:49" x14ac:dyDescent="0.2">
      <c r="A101" t="s">
        <v>165</v>
      </c>
      <c r="B101" s="74">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4.4325272419999999</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4.7050182019999998</v>
      </c>
      <c r="AP101">
        <v>8.0893149080000004</v>
      </c>
      <c r="AT101">
        <v>0.115212672</v>
      </c>
      <c r="AV101">
        <v>3.4760721280000002</v>
      </c>
      <c r="AW101">
        <v>0.60241049999999996</v>
      </c>
    </row>
    <row r="102" spans="1:49" x14ac:dyDescent="0.2">
      <c r="A102" t="s">
        <v>166</v>
      </c>
      <c r="B102" s="74">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5.1155716670000002</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5.3046824179999996</v>
      </c>
      <c r="AP102">
        <v>5.9866225469999996</v>
      </c>
      <c r="AT102">
        <v>1.499043691</v>
      </c>
      <c r="AV102">
        <v>5.2551864569999998</v>
      </c>
      <c r="AW102">
        <v>2.4904153089999999</v>
      </c>
    </row>
    <row r="103" spans="1:49" x14ac:dyDescent="0.2">
      <c r="A103" t="s">
        <v>167</v>
      </c>
      <c r="B103" s="74">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5.080208689</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5.2448597220000002</v>
      </c>
      <c r="AP103">
        <v>10.538172441</v>
      </c>
      <c r="AT103">
        <v>2.5171712890000002</v>
      </c>
      <c r="AV103">
        <v>5.3819387049999996</v>
      </c>
      <c r="AW103">
        <v>1.234980502</v>
      </c>
    </row>
    <row r="104" spans="1:49" x14ac:dyDescent="0.2">
      <c r="A104" t="s">
        <v>168</v>
      </c>
      <c r="B104" s="74">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6.4317496199999997</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6.5322084150000004</v>
      </c>
      <c r="AP104">
        <v>7.4592348309999998</v>
      </c>
      <c r="AT104">
        <v>5.2971229610000004</v>
      </c>
      <c r="AV104">
        <v>6.8944758869999996</v>
      </c>
      <c r="AW104">
        <v>2.2926101160000001</v>
      </c>
    </row>
    <row r="105" spans="1:49" x14ac:dyDescent="0.2">
      <c r="A105" t="s">
        <v>169</v>
      </c>
      <c r="B105" s="74">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7.522075074</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7.3635944860000002</v>
      </c>
      <c r="AP105">
        <v>11.813054079</v>
      </c>
      <c r="AT105">
        <v>5.4977662819999997</v>
      </c>
      <c r="AV105">
        <v>7.5618882919999999</v>
      </c>
      <c r="AW105">
        <v>4.2262898299999998</v>
      </c>
    </row>
    <row r="106" spans="1:49" x14ac:dyDescent="0.2">
      <c r="A106" t="s">
        <v>170</v>
      </c>
      <c r="B106" s="74">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6.7090412659999998</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6.6280450149999997</v>
      </c>
      <c r="AP106">
        <v>12.001911494</v>
      </c>
      <c r="AT106">
        <v>5.3359921469999998</v>
      </c>
      <c r="AV106">
        <v>6.3196600160000003</v>
      </c>
      <c r="AW106">
        <v>2.6884494270000001</v>
      </c>
    </row>
    <row r="107" spans="1:49" x14ac:dyDescent="0.2">
      <c r="A107" t="s">
        <v>171</v>
      </c>
      <c r="B107" s="74">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5.5113056499999997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5.6620650340000003</v>
      </c>
      <c r="AP107">
        <v>9.9568537710000005</v>
      </c>
      <c r="AT107">
        <v>3.218574002</v>
      </c>
      <c r="AV107">
        <v>4.7710873080000002</v>
      </c>
      <c r="AW107">
        <v>5.5931005550000004</v>
      </c>
    </row>
    <row r="108" spans="1:49" x14ac:dyDescent="0.2">
      <c r="A108" t="s">
        <v>172</v>
      </c>
      <c r="B108" s="74">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4.7451516260000002</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5.0153183720000003</v>
      </c>
      <c r="AP108">
        <v>11.108521497</v>
      </c>
      <c r="AT108">
        <v>2.874429106</v>
      </c>
      <c r="AV108">
        <v>4.0237563989999998</v>
      </c>
      <c r="AW108">
        <v>5.7541460530000004</v>
      </c>
    </row>
    <row r="109" spans="1:49" x14ac:dyDescent="0.2">
      <c r="A109" t="s">
        <v>173</v>
      </c>
      <c r="B109" s="74">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1.2975690790000001</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2.1681093329999999</v>
      </c>
      <c r="AP109">
        <v>7.4233125979999999</v>
      </c>
      <c r="AT109">
        <v>1.6510817840000001</v>
      </c>
      <c r="AV109">
        <v>0.63877387699999999</v>
      </c>
      <c r="AW109">
        <v>6.358559004</v>
      </c>
    </row>
    <row r="110" spans="1:49" x14ac:dyDescent="0.2">
      <c r="A110" t="s">
        <v>174</v>
      </c>
      <c r="B110" s="74">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0.701524225</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1.5249541870000001</v>
      </c>
      <c r="AP110">
        <v>3.0596339650000002</v>
      </c>
      <c r="AT110">
        <v>3.3442566930000002</v>
      </c>
      <c r="AV110">
        <v>-0.208418196</v>
      </c>
      <c r="AW110">
        <v>8.3020411490000008</v>
      </c>
    </row>
    <row r="111" spans="1:49" x14ac:dyDescent="0.2">
      <c r="A111" t="s">
        <v>175</v>
      </c>
      <c r="B111" s="74">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0.51743932000000004</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1.1766354139999999</v>
      </c>
      <c r="AP111">
        <v>-1.58756096</v>
      </c>
      <c r="AT111">
        <v>3.9873338789999999</v>
      </c>
      <c r="AV111">
        <v>-0.62900049300000005</v>
      </c>
      <c r="AW111">
        <v>6.4499670370000004</v>
      </c>
    </row>
    <row r="112" spans="1:49" x14ac:dyDescent="0.2">
      <c r="A112" t="s">
        <v>176</v>
      </c>
      <c r="B112" s="74">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-1.2947376690000001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-0.56911738899999997</v>
      </c>
      <c r="AP112">
        <v>-3.87999106</v>
      </c>
      <c r="AT112">
        <v>3.9827251929999998</v>
      </c>
      <c r="AV112">
        <v>-1.9454493939999999</v>
      </c>
      <c r="AW112">
        <v>3.4524541609999999</v>
      </c>
    </row>
    <row r="113" spans="1:49" x14ac:dyDescent="0.2">
      <c r="A113" t="s">
        <v>177</v>
      </c>
      <c r="B113" s="74">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-1.2232602429999999</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-0.64603069300000004</v>
      </c>
      <c r="AP113">
        <v>-6.3031667379999998</v>
      </c>
      <c r="AT113">
        <v>5.2066730550000004</v>
      </c>
      <c r="AV113">
        <v>-2.2990475950000002</v>
      </c>
      <c r="AW113">
        <v>1.1481333979999999</v>
      </c>
    </row>
    <row r="114" spans="1:49" x14ac:dyDescent="0.2">
      <c r="A114" t="s">
        <v>178</v>
      </c>
      <c r="B114" s="74">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-1.1920709899999999</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-0.57755340600000005</v>
      </c>
      <c r="AP114">
        <v>-5.7853006640000002</v>
      </c>
      <c r="AT114">
        <v>2.2511498900000002</v>
      </c>
      <c r="AV114">
        <v>-1.8342624000000001</v>
      </c>
      <c r="AW114">
        <v>1.496718934</v>
      </c>
    </row>
    <row r="115" spans="1:49" x14ac:dyDescent="0.2">
      <c r="A115" t="s">
        <v>179</v>
      </c>
      <c r="B115" s="74">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0.120262511</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0.49149721899999999</v>
      </c>
      <c r="AP115">
        <v>-4.0954954910000003</v>
      </c>
      <c r="AT115">
        <v>1.7499713059999999</v>
      </c>
      <c r="AV115">
        <v>0.79868486900000002</v>
      </c>
      <c r="AW115">
        <v>1.1636219919999999</v>
      </c>
    </row>
    <row r="116" spans="1:49" x14ac:dyDescent="0.2">
      <c r="A116" t="s">
        <v>180</v>
      </c>
      <c r="B116" s="74">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2.326637887</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2.4951863329999999</v>
      </c>
      <c r="AP116">
        <v>-1.082823198</v>
      </c>
      <c r="AT116">
        <v>1.665345573</v>
      </c>
      <c r="AV116">
        <v>2.554017472</v>
      </c>
      <c r="AW116">
        <v>2.9696268510000001</v>
      </c>
    </row>
    <row r="117" spans="1:49" x14ac:dyDescent="0.2">
      <c r="A117" t="s">
        <v>181</v>
      </c>
      <c r="B117" s="74">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4.8710382770000002</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4.71610438</v>
      </c>
      <c r="AP117">
        <v>3.3496270859999999</v>
      </c>
      <c r="AT117">
        <v>-0.66309279300000001</v>
      </c>
      <c r="AV117">
        <v>6.1523893620000001</v>
      </c>
      <c r="AW117">
        <v>4.7424597909999999</v>
      </c>
    </row>
    <row r="118" spans="1:49" x14ac:dyDescent="0.2">
      <c r="A118" t="s">
        <v>182</v>
      </c>
      <c r="B118" s="74">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5.2920567040000002</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5.2279224050000002</v>
      </c>
      <c r="AP118">
        <v>7.5253203900000001</v>
      </c>
      <c r="AT118">
        <v>2.2727820840000001</v>
      </c>
      <c r="AV118">
        <v>6.1725884579999999</v>
      </c>
      <c r="AW118">
        <v>0.91316457799999995</v>
      </c>
    </row>
    <row r="119" spans="1:49" x14ac:dyDescent="0.2">
      <c r="A119" t="s">
        <v>183</v>
      </c>
      <c r="B119" s="74">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4.8524401560000001</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5.0073832789999999</v>
      </c>
      <c r="AP119">
        <v>7.9106166929999997</v>
      </c>
      <c r="AT119">
        <v>0.80023707899999996</v>
      </c>
      <c r="AV119">
        <v>4.9586369960000001</v>
      </c>
      <c r="AW119">
        <v>2.4935091680000001</v>
      </c>
    </row>
    <row r="120" spans="1:49" x14ac:dyDescent="0.2">
      <c r="A120" t="s">
        <v>184</v>
      </c>
      <c r="B120" s="74">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4.4919619390000003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4.5713354659999998</v>
      </c>
      <c r="AP120">
        <v>8.8209556510000002</v>
      </c>
      <c r="AT120">
        <v>-0.93126427700000003</v>
      </c>
      <c r="AV120">
        <v>4.3148066380000003</v>
      </c>
      <c r="AW120">
        <v>0.91245953000000002</v>
      </c>
    </row>
    <row r="121" spans="1:49" x14ac:dyDescent="0.2">
      <c r="A121" t="s">
        <v>185</v>
      </c>
      <c r="B121" s="74">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3.8963706870000001</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3.8236290070000001</v>
      </c>
      <c r="AP121">
        <v>7.2456827690000001</v>
      </c>
      <c r="AT121">
        <v>-1.30067347</v>
      </c>
      <c r="AV121">
        <v>3.2259646420000001</v>
      </c>
      <c r="AW121">
        <v>-0.614192603</v>
      </c>
    </row>
    <row r="122" spans="1:49" x14ac:dyDescent="0.2">
      <c r="A122" t="s">
        <v>186</v>
      </c>
      <c r="B122" s="74">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3.9511826729999999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3.6665428169999998</v>
      </c>
      <c r="AP122">
        <v>5.5725124580000003</v>
      </c>
      <c r="AT122">
        <v>-2.0340981440000001</v>
      </c>
      <c r="AV122">
        <v>4.4663240980000003</v>
      </c>
      <c r="AW122">
        <v>1.506490138</v>
      </c>
    </row>
    <row r="123" spans="1:49" x14ac:dyDescent="0.2">
      <c r="A123" t="s">
        <v>187</v>
      </c>
      <c r="B123" s="74">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4.055930622</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3.703201382</v>
      </c>
      <c r="AP123">
        <v>6.1403183319999997</v>
      </c>
      <c r="AT123">
        <v>-1.359968742</v>
      </c>
      <c r="AV123">
        <v>5.770897368</v>
      </c>
      <c r="AW123">
        <v>-1.235059012</v>
      </c>
    </row>
    <row r="124" spans="1:49" x14ac:dyDescent="0.2">
      <c r="A124" t="s">
        <v>188</v>
      </c>
      <c r="B124" s="74">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3.772797438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3.565479131</v>
      </c>
      <c r="AP124">
        <v>3.56440774</v>
      </c>
      <c r="AT124">
        <v>-1.487679529</v>
      </c>
      <c r="AV124">
        <v>5.0120285630000003</v>
      </c>
      <c r="AW124">
        <v>2.9635579999999998E-3</v>
      </c>
    </row>
    <row r="125" spans="1:49" x14ac:dyDescent="0.2">
      <c r="A125" t="s">
        <v>189</v>
      </c>
      <c r="B125" s="74">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3.4899112840000002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3.4614278430000001</v>
      </c>
      <c r="AP125">
        <v>3.1122015350000001</v>
      </c>
      <c r="AT125">
        <v>2.1881546520000001</v>
      </c>
      <c r="AV125">
        <v>4.1170623419999997</v>
      </c>
      <c r="AW125">
        <v>1.8698211890000001</v>
      </c>
    </row>
    <row r="126" spans="1:49" x14ac:dyDescent="0.2">
      <c r="A126" t="s">
        <v>190</v>
      </c>
      <c r="B126" s="74">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4.8259633659999999</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4.5961252430000004</v>
      </c>
      <c r="AP126">
        <v>2.6913831369999999</v>
      </c>
      <c r="AT126">
        <v>2.7417413659999998</v>
      </c>
      <c r="AV126">
        <v>6.0781477989999999</v>
      </c>
      <c r="AW126">
        <v>3.7390286800000001</v>
      </c>
    </row>
    <row r="127" spans="1:49" x14ac:dyDescent="0.2">
      <c r="A127" t="s">
        <v>191</v>
      </c>
      <c r="B127" s="74">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4.8897949619999999</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4.5757489319999998</v>
      </c>
      <c r="AP127">
        <v>2.2162262930000001</v>
      </c>
      <c r="AT127">
        <v>0.47918653700000002</v>
      </c>
      <c r="AV127">
        <v>5.2457734220000001</v>
      </c>
      <c r="AW127">
        <v>3.020486778</v>
      </c>
    </row>
    <row r="128" spans="1:49" x14ac:dyDescent="0.2">
      <c r="A128" t="s">
        <v>192</v>
      </c>
      <c r="B128" s="74">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5.4582152370000001</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5.0946980770000003</v>
      </c>
      <c r="AP128">
        <v>3.2453616689999998</v>
      </c>
      <c r="AT128">
        <v>2.7238524480000001</v>
      </c>
      <c r="AV128">
        <v>6.6580958829999997</v>
      </c>
      <c r="AW128">
        <v>3.4270181169999998</v>
      </c>
    </row>
    <row r="129" spans="1:49" x14ac:dyDescent="0.2">
      <c r="A129" t="s">
        <v>193</v>
      </c>
      <c r="B129" s="74">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5.1385681090000004</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4.8642340859999997</v>
      </c>
      <c r="AP129">
        <v>3.8437365350000001</v>
      </c>
      <c r="AT129">
        <v>3.170025801</v>
      </c>
      <c r="AV129">
        <v>6.5099130890000003</v>
      </c>
      <c r="AW129">
        <v>3.5349033799999998</v>
      </c>
    </row>
    <row r="130" spans="1:49" x14ac:dyDescent="0.2">
      <c r="A130" t="s">
        <v>194</v>
      </c>
      <c r="B130" s="74">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4.0837744440000003</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4.0955626110000001</v>
      </c>
      <c r="AP130">
        <v>5.5485959200000003</v>
      </c>
      <c r="AT130">
        <v>3.2184847329999999</v>
      </c>
      <c r="AV130">
        <v>2.6568550630000001</v>
      </c>
      <c r="AW130">
        <v>2.2279847450000001</v>
      </c>
    </row>
    <row r="131" spans="1:49" x14ac:dyDescent="0.2">
      <c r="A131" t="s">
        <v>195</v>
      </c>
      <c r="B131" s="74">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3.6009346240000002</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3.6636099479999999</v>
      </c>
      <c r="AP131">
        <v>6.3808896490000002</v>
      </c>
      <c r="AT131">
        <v>5.6827228539999997</v>
      </c>
      <c r="AV131">
        <v>2.3899154130000002</v>
      </c>
      <c r="AW131">
        <v>4.1110716209999998</v>
      </c>
    </row>
    <row r="132" spans="1:49" x14ac:dyDescent="0.2">
      <c r="A132" t="s">
        <v>196</v>
      </c>
      <c r="B132" s="74">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2.8971497469999998</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3.011492794</v>
      </c>
      <c r="AP132">
        <v>6.7449461099999999</v>
      </c>
      <c r="AT132">
        <v>4.0999790039999997</v>
      </c>
      <c r="AV132">
        <v>1.284557672</v>
      </c>
      <c r="AW132">
        <v>5.2893079710000004</v>
      </c>
    </row>
    <row r="133" spans="1:49" x14ac:dyDescent="0.2">
      <c r="A133" t="s">
        <v>197</v>
      </c>
      <c r="B133" s="74">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3.5011035189999999</v>
      </c>
      <c r="V133">
        <v>2.6926490460000001</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3.0045358979999999</v>
      </c>
      <c r="AP133">
        <v>7.284454126</v>
      </c>
      <c r="AT133">
        <v>5.1850214379999997</v>
      </c>
      <c r="AV133">
        <v>1.4207752659999999</v>
      </c>
      <c r="AW133">
        <v>5.6039667550000001</v>
      </c>
    </row>
    <row r="134" spans="1:49" x14ac:dyDescent="0.2">
      <c r="A134" t="s">
        <v>198</v>
      </c>
      <c r="B134" s="74">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1.791184302</v>
      </c>
      <c r="V134">
        <v>0.19721862100000001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0.66687786500000001</v>
      </c>
      <c r="AP134">
        <v>5.0227779870000004</v>
      </c>
      <c r="AT134">
        <v>-1.4123995890000001</v>
      </c>
      <c r="AV134">
        <v>-0.77506271299999996</v>
      </c>
      <c r="AW134">
        <v>6.9208087220000003</v>
      </c>
    </row>
    <row r="135" spans="1:49" x14ac:dyDescent="0.2">
      <c r="A135" t="s">
        <v>199</v>
      </c>
      <c r="B135" s="74">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0.81830837099999998</v>
      </c>
      <c r="V135">
        <v>-5.8091951000000003E-2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0.49173072499999998</v>
      </c>
      <c r="AP135">
        <v>3.2903907029999999</v>
      </c>
      <c r="AT135">
        <v>2.0490370200000001</v>
      </c>
      <c r="AV135">
        <v>-1.6237974310000001</v>
      </c>
      <c r="AW135">
        <v>7.9456179090000001</v>
      </c>
    </row>
    <row r="136" spans="1:49" x14ac:dyDescent="0.2">
      <c r="A136" t="s">
        <v>200</v>
      </c>
      <c r="B136" s="74">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0.42953748800000002</v>
      </c>
      <c r="V136">
        <v>0.52496411799999998</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0.96987193900000002</v>
      </c>
      <c r="AP136">
        <v>2.8912564010000001</v>
      </c>
      <c r="AT136">
        <v>-5.4837886000000002E-2</v>
      </c>
      <c r="AV136">
        <v>-3.9131615000000002E-2</v>
      </c>
      <c r="AW136">
        <v>6.0127037339999996</v>
      </c>
    </row>
    <row r="137" spans="1:49" x14ac:dyDescent="0.2">
      <c r="A137" t="s">
        <v>201</v>
      </c>
      <c r="B137" s="74">
        <v>29677</v>
      </c>
      <c r="D137">
        <v>2.9226493750000002</v>
      </c>
      <c r="E137">
        <v>-1.1679114390000001</v>
      </c>
      <c r="F137">
        <v>-1.818304235</v>
      </c>
      <c r="H137">
        <v>3.4626741280000002</v>
      </c>
      <c r="I137">
        <v>1.332675023</v>
      </c>
      <c r="M137">
        <v>6.6002819999999999E-3</v>
      </c>
      <c r="N137">
        <v>-3.080016289</v>
      </c>
      <c r="P137">
        <v>-4.7428330999999997E-2</v>
      </c>
      <c r="T137">
        <v>1.4651830219999999</v>
      </c>
      <c r="U137">
        <v>-0.420310988</v>
      </c>
      <c r="V137">
        <v>1.3570728219999999</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1.4376280960000001</v>
      </c>
      <c r="AP137">
        <v>1.7492467039999999</v>
      </c>
      <c r="AT137">
        <v>-2.4909400759999998</v>
      </c>
      <c r="AV137">
        <v>1.599979772</v>
      </c>
      <c r="AW137">
        <v>5.1687644280000002</v>
      </c>
    </row>
    <row r="138" spans="1:49" x14ac:dyDescent="0.2">
      <c r="A138" t="s">
        <v>202</v>
      </c>
      <c r="B138" s="74">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0.98320094000000002</v>
      </c>
      <c r="V138">
        <v>2.5807180079999998</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2.7544512280000002</v>
      </c>
      <c r="AP138">
        <v>1.857852665</v>
      </c>
      <c r="AT138">
        <v>2.3268107649999998</v>
      </c>
      <c r="AV138">
        <v>2.968700707</v>
      </c>
      <c r="AW138">
        <v>5.4606395079999999</v>
      </c>
    </row>
    <row r="139" spans="1:49" x14ac:dyDescent="0.2">
      <c r="A139" t="s">
        <v>203</v>
      </c>
      <c r="B139" s="74">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1.4661589589999999</v>
      </c>
      <c r="V139">
        <v>2.936732594</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3.0974295469999999</v>
      </c>
      <c r="AP139">
        <v>2.0325545749999998</v>
      </c>
      <c r="AT139">
        <v>-0.65963311199999997</v>
      </c>
      <c r="AV139">
        <v>4.3257650209999996</v>
      </c>
      <c r="AW139">
        <v>5.1945727679999996</v>
      </c>
    </row>
    <row r="140" spans="1:49" x14ac:dyDescent="0.2">
      <c r="A140" t="s">
        <v>204</v>
      </c>
      <c r="B140" s="74">
        <v>29952</v>
      </c>
      <c r="D140">
        <v>3.573087943</v>
      </c>
      <c r="E140">
        <v>-0.395863295</v>
      </c>
      <c r="F140">
        <v>1.3160517839999999</v>
      </c>
      <c r="H140">
        <v>1.955909127</v>
      </c>
      <c r="I140">
        <v>1.0087413940000001</v>
      </c>
      <c r="M140">
        <v>1.1233869780000001</v>
      </c>
      <c r="N140">
        <v>0.21651036400000001</v>
      </c>
      <c r="P140">
        <v>-0.33420707700000002</v>
      </c>
      <c r="T140">
        <v>1.8821198610000001</v>
      </c>
      <c r="U140">
        <v>2.267540968</v>
      </c>
      <c r="V140">
        <v>1.4948485170000001</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1.8579743580000001</v>
      </c>
      <c r="AP140">
        <v>0.84441548200000005</v>
      </c>
      <c r="AT140">
        <v>0.18589722</v>
      </c>
      <c r="AV140">
        <v>1.2999011570000001</v>
      </c>
      <c r="AW140">
        <v>5.6134761129999999</v>
      </c>
    </row>
    <row r="141" spans="1:49" x14ac:dyDescent="0.2">
      <c r="A141" t="s">
        <v>205</v>
      </c>
      <c r="B141" s="74">
        <v>30042</v>
      </c>
      <c r="D141">
        <v>2.3349855669999999</v>
      </c>
      <c r="E141">
        <v>2.3331765519999998</v>
      </c>
      <c r="F141">
        <v>1.428611638</v>
      </c>
      <c r="H141">
        <v>-1.416253252</v>
      </c>
      <c r="I141">
        <v>0.36489798699999998</v>
      </c>
      <c r="M141">
        <v>0.30872657100000001</v>
      </c>
      <c r="N141">
        <v>1.378547221</v>
      </c>
      <c r="P141">
        <v>0.64585859700000003</v>
      </c>
      <c r="T141">
        <v>2.7094084949999999</v>
      </c>
      <c r="U141">
        <v>2.8011569820000002</v>
      </c>
      <c r="V141">
        <v>-1.0943960000000001E-2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0.51021256100000001</v>
      </c>
      <c r="AP141">
        <v>2.8314113120000002</v>
      </c>
      <c r="AT141">
        <v>-0.142823336</v>
      </c>
      <c r="AV141">
        <v>-2.1903489820000002</v>
      </c>
      <c r="AW141">
        <v>3.3514524570000002</v>
      </c>
    </row>
    <row r="142" spans="1:49" x14ac:dyDescent="0.2">
      <c r="A142" t="s">
        <v>206</v>
      </c>
      <c r="B142" s="74">
        <v>30133</v>
      </c>
      <c r="D142">
        <v>1.6859659010000001</v>
      </c>
      <c r="E142">
        <v>1.610946582</v>
      </c>
      <c r="F142">
        <v>0.240429213</v>
      </c>
      <c r="H142">
        <v>-3.6400568990000002</v>
      </c>
      <c r="I142">
        <v>-1.2365794139999999</v>
      </c>
      <c r="M142">
        <v>-5.9283060999999998E-2</v>
      </c>
      <c r="N142">
        <v>3.3366614399999999</v>
      </c>
      <c r="P142">
        <v>1.1400823389999999</v>
      </c>
      <c r="T142">
        <v>2.5210908380000001</v>
      </c>
      <c r="U142">
        <v>2.7906312099999999</v>
      </c>
      <c r="V142">
        <v>0.303110145</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0.54604645600000001</v>
      </c>
      <c r="AP142">
        <v>1.36695612</v>
      </c>
      <c r="AT142">
        <v>2.0297517699999998</v>
      </c>
      <c r="AV142">
        <v>-1.0105681470000001</v>
      </c>
      <c r="AW142">
        <v>0.29869293899999999</v>
      </c>
    </row>
    <row r="143" spans="1:49" x14ac:dyDescent="0.2">
      <c r="A143" t="s">
        <v>207</v>
      </c>
      <c r="B143" s="74">
        <v>30225</v>
      </c>
      <c r="D143">
        <v>-0.98866111800000001</v>
      </c>
      <c r="E143">
        <v>1.6127488720000001</v>
      </c>
      <c r="F143">
        <v>0.78557447899999999</v>
      </c>
      <c r="H143">
        <v>-3.619406541</v>
      </c>
      <c r="I143">
        <v>-2.4951899129999999</v>
      </c>
      <c r="M143">
        <v>-1.3070915160000001</v>
      </c>
      <c r="N143">
        <v>3.7696047300000002</v>
      </c>
      <c r="P143">
        <v>1.3701869390000001</v>
      </c>
      <c r="T143">
        <v>3.123627312</v>
      </c>
      <c r="U143">
        <v>2.1190650139999998</v>
      </c>
      <c r="V143">
        <v>-0.53676737699999999</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-0.25049993399999998</v>
      </c>
      <c r="AP143">
        <v>2.0069998299999998</v>
      </c>
      <c r="AT143">
        <v>-4.1905780000000004E-3</v>
      </c>
      <c r="AV143">
        <v>-2.555921433</v>
      </c>
      <c r="AW143">
        <v>-1.165397177</v>
      </c>
    </row>
    <row r="144" spans="1:49" x14ac:dyDescent="0.2">
      <c r="A144" t="s">
        <v>208</v>
      </c>
      <c r="B144" s="74">
        <v>30317</v>
      </c>
      <c r="D144">
        <v>-2.1650955449999998</v>
      </c>
      <c r="E144">
        <v>2.0796073860000002</v>
      </c>
      <c r="F144">
        <v>-0.120160379</v>
      </c>
      <c r="H144">
        <v>-4.0694495389999998</v>
      </c>
      <c r="I144">
        <v>-2.3620265840000001</v>
      </c>
      <c r="M144">
        <v>-0.99258529799999995</v>
      </c>
      <c r="N144">
        <v>3.5969389270000001</v>
      </c>
      <c r="P144">
        <v>1.829180091</v>
      </c>
      <c r="T144">
        <v>4.0204180850000002</v>
      </c>
      <c r="U144">
        <v>2.1152897199999998</v>
      </c>
      <c r="V144">
        <v>4.3165529000000001E-2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1.2917504999999999E-2</v>
      </c>
      <c r="AP144">
        <v>2.335787302</v>
      </c>
      <c r="AT144">
        <v>3.1014331159999999</v>
      </c>
      <c r="AV144">
        <v>-1.443156179</v>
      </c>
      <c r="AW144">
        <v>-3.8546370259999998</v>
      </c>
    </row>
    <row r="145" spans="1:49" x14ac:dyDescent="0.2">
      <c r="A145" t="s">
        <v>209</v>
      </c>
      <c r="B145" s="74">
        <v>30407</v>
      </c>
      <c r="D145">
        <v>-2.3489279359999999</v>
      </c>
      <c r="E145">
        <v>1.264709721</v>
      </c>
      <c r="F145">
        <v>-0.235342511</v>
      </c>
      <c r="H145">
        <v>-1.3036433839999999</v>
      </c>
      <c r="I145">
        <v>-0.76536861199999995</v>
      </c>
      <c r="M145">
        <v>-0.46822745700000001</v>
      </c>
      <c r="N145">
        <v>2.774982482</v>
      </c>
      <c r="P145">
        <v>1.7823934619999999</v>
      </c>
      <c r="T145">
        <v>3.497922505</v>
      </c>
      <c r="U145">
        <v>1.692882663</v>
      </c>
      <c r="V145">
        <v>1.3424182440000001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1.104843317</v>
      </c>
      <c r="AP145">
        <v>0.83359598000000001</v>
      </c>
      <c r="AT145">
        <v>1.6462159380000001</v>
      </c>
      <c r="AV145">
        <v>1.4314555769999999</v>
      </c>
      <c r="AW145">
        <v>-4.4534992339999997</v>
      </c>
    </row>
    <row r="146" spans="1:49" x14ac:dyDescent="0.2">
      <c r="A146" t="s">
        <v>210</v>
      </c>
      <c r="B146" s="74">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1.027739773</v>
      </c>
      <c r="V146">
        <v>2.4177163610000001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1.965527231</v>
      </c>
      <c r="AP146">
        <v>1.293490896</v>
      </c>
      <c r="AT146">
        <v>0.32836833399999998</v>
      </c>
      <c r="AV146">
        <v>3.2685328839999999</v>
      </c>
      <c r="AW146">
        <v>-3.249435611</v>
      </c>
    </row>
    <row r="147" spans="1:49" x14ac:dyDescent="0.2">
      <c r="A147" t="s">
        <v>211</v>
      </c>
      <c r="B147" s="74">
        <v>30590</v>
      </c>
      <c r="D147">
        <v>-3.3848584000000001E-2</v>
      </c>
      <c r="E147">
        <v>3.2171430029999999</v>
      </c>
      <c r="F147">
        <v>0.261423772</v>
      </c>
      <c r="H147">
        <v>3.8633880629999999</v>
      </c>
      <c r="I147">
        <v>1.202043234</v>
      </c>
      <c r="M147">
        <v>1.999914709</v>
      </c>
      <c r="N147">
        <v>0.86569867099999998</v>
      </c>
      <c r="P147">
        <v>1.490332279</v>
      </c>
      <c r="T147">
        <v>3.393440295</v>
      </c>
      <c r="U147">
        <v>1.1309442249999999</v>
      </c>
      <c r="V147">
        <v>4.0685442719999996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3.4713688180000002</v>
      </c>
      <c r="AP147">
        <v>-0.68235848700000001</v>
      </c>
      <c r="AT147">
        <v>2.7348417120000001</v>
      </c>
      <c r="AV147">
        <v>5.7371696849999996</v>
      </c>
      <c r="AW147">
        <v>-2.1090845909999998</v>
      </c>
    </row>
    <row r="148" spans="1:49" x14ac:dyDescent="0.2">
      <c r="A148" t="s">
        <v>212</v>
      </c>
      <c r="B148" s="74">
        <v>30682</v>
      </c>
      <c r="D148">
        <v>3.2669748959999998</v>
      </c>
      <c r="E148">
        <v>4.4460173860000003</v>
      </c>
      <c r="F148">
        <v>2.0277877200000001</v>
      </c>
      <c r="H148">
        <v>6.1516575939999996</v>
      </c>
      <c r="I148">
        <v>1.8622186919999999</v>
      </c>
      <c r="M148">
        <v>3.16368421</v>
      </c>
      <c r="N148">
        <v>3.2046974370000001</v>
      </c>
      <c r="P148">
        <v>1.7872824009999999</v>
      </c>
      <c r="T148">
        <v>1.850726737</v>
      </c>
      <c r="U148">
        <v>1.1559145669999999</v>
      </c>
      <c r="V148">
        <v>5.3459601140000004</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4.741312024</v>
      </c>
      <c r="AP148">
        <v>-2.12369048</v>
      </c>
      <c r="AT148">
        <v>2.8016803779999999</v>
      </c>
      <c r="AV148">
        <v>7.8999749809999997</v>
      </c>
      <c r="AW148">
        <v>2.541563112</v>
      </c>
    </row>
    <row r="149" spans="1:49" x14ac:dyDescent="0.2">
      <c r="A149" t="s">
        <v>213</v>
      </c>
      <c r="B149" s="74">
        <v>30773</v>
      </c>
      <c r="D149">
        <v>6.937725167</v>
      </c>
      <c r="E149">
        <v>1.8337830740000001</v>
      </c>
      <c r="F149">
        <v>2.422061448</v>
      </c>
      <c r="H149">
        <v>6.2012423300000004</v>
      </c>
      <c r="I149">
        <v>2.1814163510000002</v>
      </c>
      <c r="M149">
        <v>3.589300546</v>
      </c>
      <c r="N149">
        <v>4.0099992599999998</v>
      </c>
      <c r="P149">
        <v>2.2555617030000001</v>
      </c>
      <c r="T149">
        <v>3.3376902249999998</v>
      </c>
      <c r="U149">
        <v>1.1415405300000001</v>
      </c>
      <c r="V149">
        <v>5.7504980960000003</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5.4034874889999998</v>
      </c>
      <c r="AP149">
        <v>-3.765904581</v>
      </c>
      <c r="AT149">
        <v>6.3247612200000001</v>
      </c>
      <c r="AV149">
        <v>8.5782754620000006</v>
      </c>
      <c r="AW149">
        <v>5.9162508359999997</v>
      </c>
    </row>
    <row r="150" spans="1:49" x14ac:dyDescent="0.2">
      <c r="A150" t="s">
        <v>214</v>
      </c>
      <c r="B150" s="74">
        <v>30864</v>
      </c>
      <c r="D150">
        <v>8.3375227190000007</v>
      </c>
      <c r="E150">
        <v>-0.19121944599999999</v>
      </c>
      <c r="F150">
        <v>2.530255302</v>
      </c>
      <c r="H150">
        <v>6.1913223820000001</v>
      </c>
      <c r="I150">
        <v>2.498528404</v>
      </c>
      <c r="M150">
        <v>0.89535167299999996</v>
      </c>
      <c r="N150">
        <v>3.6275763560000001</v>
      </c>
      <c r="P150">
        <v>1.3145948160000001</v>
      </c>
      <c r="T150">
        <v>2.4021804410000001</v>
      </c>
      <c r="U150">
        <v>1.546551303</v>
      </c>
      <c r="V150">
        <v>5.2637108340000003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4.9513813149999999</v>
      </c>
      <c r="AP150">
        <v>-3.9015060840000002</v>
      </c>
      <c r="AT150">
        <v>3.8963503070000001</v>
      </c>
      <c r="AV150">
        <v>7.9966966749999999</v>
      </c>
      <c r="AW150">
        <v>7.66954987</v>
      </c>
    </row>
    <row r="151" spans="1:49" x14ac:dyDescent="0.2">
      <c r="A151" t="s">
        <v>215</v>
      </c>
      <c r="B151" s="74">
        <v>30956</v>
      </c>
      <c r="D151">
        <v>6.2929520940000003</v>
      </c>
      <c r="E151">
        <v>-0.110557619</v>
      </c>
      <c r="F151">
        <v>1.9731701399999999</v>
      </c>
      <c r="H151">
        <v>5.45844766</v>
      </c>
      <c r="I151">
        <v>3.8409109159999999</v>
      </c>
      <c r="M151">
        <v>3.8594318680000002</v>
      </c>
      <c r="N151">
        <v>5.9398106300000002</v>
      </c>
      <c r="P151">
        <v>2.0468881680000002</v>
      </c>
      <c r="T151">
        <v>2.3757209559999999</v>
      </c>
      <c r="U151">
        <v>2.1576078999999999</v>
      </c>
      <c r="V151">
        <v>5.0353336840000003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4.8579868509999997</v>
      </c>
      <c r="AP151">
        <v>-9.2261706999999998E-2</v>
      </c>
      <c r="AT151">
        <v>4.0964046889999999</v>
      </c>
      <c r="AV151">
        <v>6.9008370829999999</v>
      </c>
      <c r="AW151">
        <v>4.6782508939999996</v>
      </c>
    </row>
    <row r="152" spans="1:49" x14ac:dyDescent="0.2">
      <c r="A152" t="s">
        <v>216</v>
      </c>
      <c r="B152" s="74">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1.465996342</v>
      </c>
      <c r="V152">
        <v>4.1540507770000001</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4.0168194489999998</v>
      </c>
      <c r="AP152">
        <v>0.33095451199999998</v>
      </c>
      <c r="AT152">
        <v>2.9893881969999998</v>
      </c>
      <c r="AV152">
        <v>5.575799462</v>
      </c>
      <c r="AW152">
        <v>2.2467392519999998</v>
      </c>
    </row>
    <row r="153" spans="1:49" x14ac:dyDescent="0.2">
      <c r="A153" t="s">
        <v>217</v>
      </c>
      <c r="B153" s="74">
        <v>31138</v>
      </c>
      <c r="D153">
        <v>4.1817066130000002</v>
      </c>
      <c r="E153">
        <v>1.6456211089999999</v>
      </c>
      <c r="F153">
        <v>1.5195545989999999</v>
      </c>
      <c r="H153">
        <v>5.5872330000000003</v>
      </c>
      <c r="I153">
        <v>4.2978765259999996</v>
      </c>
      <c r="M153">
        <v>1.400567503</v>
      </c>
      <c r="N153">
        <v>2.9930081959999999</v>
      </c>
      <c r="P153">
        <v>1.811958929</v>
      </c>
      <c r="T153">
        <v>2.9272259109999998</v>
      </c>
      <c r="U153">
        <v>1.3111367819999999</v>
      </c>
      <c r="V153">
        <v>3.7705888920000001</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3.5502483119999999</v>
      </c>
      <c r="AP153">
        <v>2.2110111849999998</v>
      </c>
      <c r="AT153">
        <v>0.85621081399999999</v>
      </c>
      <c r="AV153">
        <v>4.5550933889999996</v>
      </c>
      <c r="AW153">
        <v>-5.8200821999999999E-2</v>
      </c>
    </row>
    <row r="154" spans="1:49" x14ac:dyDescent="0.2">
      <c r="A154" t="s">
        <v>218</v>
      </c>
      <c r="B154" s="74">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1.7810168500000001</v>
      </c>
      <c r="V154">
        <v>4.0826349039999998</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3.9768803039999998</v>
      </c>
      <c r="AP154">
        <v>4.2851239000000003</v>
      </c>
      <c r="AT154">
        <v>3.4886037650000001</v>
      </c>
      <c r="AV154">
        <v>3.6842175049999999</v>
      </c>
      <c r="AW154">
        <v>-2.804155293</v>
      </c>
    </row>
    <row r="155" spans="1:49" x14ac:dyDescent="0.2">
      <c r="A155" t="s">
        <v>219</v>
      </c>
      <c r="B155" s="74">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1.628125058</v>
      </c>
      <c r="V155">
        <v>4.1358367449999998</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3.894245411</v>
      </c>
      <c r="AP155">
        <v>1.4560214650000001</v>
      </c>
      <c r="AT155">
        <v>3.2653368189999998</v>
      </c>
      <c r="AV155">
        <v>4.2624449269999998</v>
      </c>
      <c r="AW155">
        <v>-1.426912484</v>
      </c>
    </row>
    <row r="156" spans="1:49" x14ac:dyDescent="0.2">
      <c r="A156" t="s">
        <v>220</v>
      </c>
      <c r="B156" s="74">
        <v>31413</v>
      </c>
      <c r="D156">
        <v>4.8328705489999999</v>
      </c>
      <c r="E156">
        <v>1.7054354549999999</v>
      </c>
      <c r="F156">
        <v>2.0025774859999999</v>
      </c>
      <c r="H156">
        <v>4.7179629949999997</v>
      </c>
      <c r="I156">
        <v>3.115772255</v>
      </c>
      <c r="M156">
        <v>2.3705422679999999</v>
      </c>
      <c r="N156">
        <v>6.135595919</v>
      </c>
      <c r="P156">
        <v>3.2404803860000002</v>
      </c>
      <c r="T156">
        <v>2.505634363</v>
      </c>
      <c r="U156">
        <v>2.1501570820000002</v>
      </c>
      <c r="V156">
        <v>4.2317168919999997</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4.1061920030000003</v>
      </c>
      <c r="AP156">
        <v>3.3055672039999999</v>
      </c>
      <c r="AT156">
        <v>1.285841368</v>
      </c>
      <c r="AV156">
        <v>4.182268594</v>
      </c>
      <c r="AW156">
        <v>-0.52662913</v>
      </c>
    </row>
    <row r="157" spans="1:49" x14ac:dyDescent="0.2">
      <c r="A157" t="s">
        <v>221</v>
      </c>
      <c r="B157" s="74">
        <v>31503</v>
      </c>
      <c r="D157">
        <v>3.9982676480000001</v>
      </c>
      <c r="E157">
        <v>2.1245604280000001</v>
      </c>
      <c r="F157">
        <v>2.124696369</v>
      </c>
      <c r="H157">
        <v>3.119680206</v>
      </c>
      <c r="I157">
        <v>2.4628475949999999</v>
      </c>
      <c r="M157">
        <v>2.342772922</v>
      </c>
      <c r="N157">
        <v>6.7147378289999997</v>
      </c>
      <c r="P157">
        <v>2.3890152260000002</v>
      </c>
      <c r="T157">
        <v>1.865262234</v>
      </c>
      <c r="U157">
        <v>2.2377302979999998</v>
      </c>
      <c r="V157">
        <v>3.826950386</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3.5518292319999998</v>
      </c>
      <c r="AP157">
        <v>3.542920579</v>
      </c>
      <c r="AT157">
        <v>3.1920268190000001</v>
      </c>
      <c r="AV157">
        <v>4.145589749</v>
      </c>
      <c r="AW157">
        <v>-1.1226635039999999</v>
      </c>
    </row>
    <row r="158" spans="1:49" x14ac:dyDescent="0.2">
      <c r="A158" t="s">
        <v>222</v>
      </c>
      <c r="B158" s="74">
        <v>31594</v>
      </c>
      <c r="D158">
        <v>1.5671873679999999</v>
      </c>
      <c r="E158">
        <v>3.199522231</v>
      </c>
      <c r="F158">
        <v>1.960227312</v>
      </c>
      <c r="H158">
        <v>3.3763978080000001</v>
      </c>
      <c r="I158">
        <v>2.082496473</v>
      </c>
      <c r="M158">
        <v>2.4931797109999998</v>
      </c>
      <c r="N158">
        <v>4.711821745</v>
      </c>
      <c r="P158">
        <v>4.9260230590000003</v>
      </c>
      <c r="T158">
        <v>1.1674333830000001</v>
      </c>
      <c r="U158">
        <v>2.45212947</v>
      </c>
      <c r="V158">
        <v>3.1114574890000002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3.0910170510000001</v>
      </c>
      <c r="AP158">
        <v>3.7013073400000001</v>
      </c>
      <c r="AT158">
        <v>2.6238172020000001</v>
      </c>
      <c r="AV158">
        <v>3.7015803869999999</v>
      </c>
      <c r="AW158">
        <v>0.28924069499999999</v>
      </c>
    </row>
    <row r="159" spans="1:49" x14ac:dyDescent="0.2">
      <c r="A159" t="s">
        <v>223</v>
      </c>
      <c r="B159" s="74">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2.3854083180000001</v>
      </c>
      <c r="V159">
        <v>2.6563641489999998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2.6164807950000002</v>
      </c>
      <c r="AP159">
        <v>4.6477217370000004</v>
      </c>
      <c r="AT159">
        <v>2.0001534589999999</v>
      </c>
      <c r="AV159">
        <v>3.1192412740000002</v>
      </c>
      <c r="AW159">
        <v>0.780967301</v>
      </c>
    </row>
    <row r="160" spans="1:49" x14ac:dyDescent="0.2">
      <c r="A160" t="s">
        <v>224</v>
      </c>
      <c r="B160" s="74">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2.0245414479999999</v>
      </c>
      <c r="V160">
        <v>2.4923131729999999</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2.383591375</v>
      </c>
      <c r="AP160">
        <v>4.661705392</v>
      </c>
      <c r="AT160">
        <v>3.3484518620000001</v>
      </c>
      <c r="AV160">
        <v>2.908033321</v>
      </c>
      <c r="AW160">
        <v>0.13336261499999999</v>
      </c>
    </row>
    <row r="161" spans="1:49" x14ac:dyDescent="0.2">
      <c r="A161" t="s">
        <v>225</v>
      </c>
      <c r="B161" s="74">
        <v>31868</v>
      </c>
      <c r="D161">
        <v>2.735717578</v>
      </c>
      <c r="E161">
        <v>0.50285412500000004</v>
      </c>
      <c r="F161">
        <v>0.97242633199999995</v>
      </c>
      <c r="H161">
        <v>2.2747543179999998</v>
      </c>
      <c r="I161">
        <v>0.43665946300000003</v>
      </c>
      <c r="M161">
        <v>0.33051952299999998</v>
      </c>
      <c r="N161">
        <v>-1.5389017359999999</v>
      </c>
      <c r="P161">
        <v>4.404611021</v>
      </c>
      <c r="T161">
        <v>3.636363636</v>
      </c>
      <c r="U161">
        <v>1.834256852</v>
      </c>
      <c r="V161">
        <v>2.1563189</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2.258656636</v>
      </c>
      <c r="AP161">
        <v>5.1620075249999999</v>
      </c>
      <c r="AT161">
        <v>1.7608902099999999</v>
      </c>
      <c r="AV161">
        <v>2.7158406190000002</v>
      </c>
      <c r="AW161">
        <v>2.0777651320000001</v>
      </c>
    </row>
    <row r="162" spans="1:49" x14ac:dyDescent="0.2">
      <c r="A162" t="s">
        <v>226</v>
      </c>
      <c r="B162" s="74">
        <v>31959</v>
      </c>
      <c r="D162">
        <v>4.5372373860000001</v>
      </c>
      <c r="E162">
        <v>1.053910812</v>
      </c>
      <c r="F162">
        <v>1.887003395</v>
      </c>
      <c r="H162">
        <v>3.010131747</v>
      </c>
      <c r="I162">
        <v>0.71055154700000001</v>
      </c>
      <c r="M162">
        <v>1.4159557760000001</v>
      </c>
      <c r="N162">
        <v>1.7412943400000001</v>
      </c>
      <c r="P162">
        <v>3.5016152229999999</v>
      </c>
      <c r="T162">
        <v>4.9847711380000002</v>
      </c>
      <c r="U162">
        <v>2.2448211960000002</v>
      </c>
      <c r="V162">
        <v>3.1588303569999998</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3.291958921</v>
      </c>
      <c r="AP162">
        <v>5.6532818010000003</v>
      </c>
      <c r="AT162">
        <v>3.493861017</v>
      </c>
      <c r="AV162">
        <v>3.3584793799999999</v>
      </c>
      <c r="AW162">
        <v>1.739358961</v>
      </c>
    </row>
    <row r="163" spans="1:49" x14ac:dyDescent="0.2">
      <c r="A163" t="s">
        <v>227</v>
      </c>
      <c r="B163" s="74">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2.4218471130000001</v>
      </c>
      <c r="V163">
        <v>3.5370500310000001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3.7251382830000002</v>
      </c>
      <c r="AP163">
        <v>6.7169371499999997</v>
      </c>
      <c r="AT163">
        <v>4.1607392299999999</v>
      </c>
      <c r="AV163">
        <v>3.2669261519999999</v>
      </c>
      <c r="AW163">
        <v>1.8813654200000001</v>
      </c>
    </row>
    <row r="164" spans="1:49" x14ac:dyDescent="0.2">
      <c r="A164" t="s">
        <v>228</v>
      </c>
      <c r="B164" s="74">
        <v>32143</v>
      </c>
      <c r="D164">
        <v>6.5208020729999996</v>
      </c>
      <c r="E164">
        <v>2.9502189489999999</v>
      </c>
      <c r="F164">
        <v>4.580977496</v>
      </c>
      <c r="H164">
        <v>6.5650137409999996</v>
      </c>
      <c r="I164">
        <v>3.002373349</v>
      </c>
      <c r="M164">
        <v>1.9745416950000001</v>
      </c>
      <c r="N164">
        <v>0.60326235399999995</v>
      </c>
      <c r="P164">
        <v>7.8765426270000001</v>
      </c>
      <c r="T164">
        <v>4.9474257469999996</v>
      </c>
      <c r="U164">
        <v>3.8036181760000001</v>
      </c>
      <c r="V164">
        <v>4.651103591</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4.9712057500000002</v>
      </c>
      <c r="AP164">
        <v>6.2934178300000001</v>
      </c>
      <c r="AT164">
        <v>4.1684212660000002</v>
      </c>
      <c r="AV164">
        <v>4.479019138</v>
      </c>
      <c r="AW164">
        <v>2.700870283</v>
      </c>
    </row>
    <row r="165" spans="1:49" x14ac:dyDescent="0.2">
      <c r="A165" t="s">
        <v>229</v>
      </c>
      <c r="B165" s="74">
        <v>32234</v>
      </c>
      <c r="D165">
        <v>5.9607838900000001</v>
      </c>
      <c r="E165">
        <v>2.7860016010000002</v>
      </c>
      <c r="F165">
        <v>4.8759065120000002</v>
      </c>
      <c r="H165">
        <v>5.680408989</v>
      </c>
      <c r="I165">
        <v>3.0790208149999998</v>
      </c>
      <c r="M165">
        <v>3.651100816</v>
      </c>
      <c r="N165">
        <v>3.208773044</v>
      </c>
      <c r="P165">
        <v>6.0512867940000001</v>
      </c>
      <c r="T165">
        <v>5.4751808430000004</v>
      </c>
      <c r="U165">
        <v>4.9694754190000001</v>
      </c>
      <c r="V165">
        <v>5.3913213960000004</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5.5139082300000002</v>
      </c>
      <c r="AP165">
        <v>9.1659396599999994</v>
      </c>
      <c r="AT165">
        <v>4.1914481019999998</v>
      </c>
      <c r="AV165">
        <v>4.2421895689999998</v>
      </c>
      <c r="AW165">
        <v>3.491728867</v>
      </c>
    </row>
    <row r="166" spans="1:49" x14ac:dyDescent="0.2">
      <c r="A166" t="s">
        <v>230</v>
      </c>
      <c r="B166" s="74">
        <v>32325</v>
      </c>
      <c r="D166">
        <v>4.3951132299999998</v>
      </c>
      <c r="E166">
        <v>2.8570131910000001</v>
      </c>
      <c r="F166">
        <v>4.6901283649999996</v>
      </c>
      <c r="H166">
        <v>5.2568858150000004</v>
      </c>
      <c r="I166">
        <v>2.9478302670000001</v>
      </c>
      <c r="M166">
        <v>3.212995673</v>
      </c>
      <c r="N166">
        <v>0.233664662</v>
      </c>
      <c r="P166">
        <v>5.7661639400000002</v>
      </c>
      <c r="T166">
        <v>4.5029215870000003</v>
      </c>
      <c r="U166">
        <v>4.2594312409999997</v>
      </c>
      <c r="V166">
        <v>4.8229324570000003</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0.13924592999999999</v>
      </c>
      <c r="AN166">
        <v>4.5350047570000003</v>
      </c>
      <c r="AP166">
        <v>7.9348066319999999</v>
      </c>
      <c r="AT166">
        <v>2.1337312829999999</v>
      </c>
      <c r="AV166">
        <v>4.4846042170000002</v>
      </c>
      <c r="AW166">
        <v>3.8562228009999999</v>
      </c>
    </row>
    <row r="167" spans="1:49" x14ac:dyDescent="0.2">
      <c r="A167" t="s">
        <v>231</v>
      </c>
      <c r="B167" s="74">
        <v>32417</v>
      </c>
      <c r="D167">
        <v>3.3729826909999998</v>
      </c>
      <c r="E167">
        <v>3.3105577209999999</v>
      </c>
      <c r="F167">
        <v>4.5160470349999997</v>
      </c>
      <c r="H167">
        <v>3.6882730910000001</v>
      </c>
      <c r="I167">
        <v>2.8230877030000001</v>
      </c>
      <c r="M167">
        <v>3.6649901840000001</v>
      </c>
      <c r="N167">
        <v>-0.29460659</v>
      </c>
      <c r="P167">
        <v>5.4943583220000001</v>
      </c>
      <c r="T167">
        <v>5.3809833930000002</v>
      </c>
      <c r="U167">
        <v>4.9015116399999998</v>
      </c>
      <c r="V167">
        <v>4.7795262440000004</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-0.17400568199999999</v>
      </c>
      <c r="AN167">
        <v>4.4891085899999998</v>
      </c>
      <c r="AP167">
        <v>7.1006943089999996</v>
      </c>
      <c r="AT167">
        <v>1.1529419999999999</v>
      </c>
      <c r="AV167">
        <v>4.1928663229999996</v>
      </c>
      <c r="AW167">
        <v>4.8703041279999999</v>
      </c>
    </row>
    <row r="168" spans="1:49" x14ac:dyDescent="0.2">
      <c r="A168" t="s">
        <v>232</v>
      </c>
      <c r="B168" s="74">
        <v>32509</v>
      </c>
      <c r="D168">
        <v>2.919693074</v>
      </c>
      <c r="E168">
        <v>3.6929269229999999</v>
      </c>
      <c r="F168">
        <v>4.1954032899999998</v>
      </c>
      <c r="H168">
        <v>3.0797576289999999</v>
      </c>
      <c r="I168">
        <v>3.8099339140000001</v>
      </c>
      <c r="M168">
        <v>3.2340519740000002</v>
      </c>
      <c r="N168">
        <v>1.5531106450000001</v>
      </c>
      <c r="P168">
        <v>3.14762561</v>
      </c>
      <c r="T168">
        <v>5.2570653040000002</v>
      </c>
      <c r="U168">
        <v>4.2949257149999998</v>
      </c>
      <c r="V168">
        <v>4.2001418230000001</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-1.5022976320000001</v>
      </c>
      <c r="AN168">
        <v>3.8259167779999999</v>
      </c>
      <c r="AP168">
        <v>7.2294921539999999</v>
      </c>
      <c r="AT168">
        <v>2.973773091</v>
      </c>
      <c r="AV168">
        <v>3.798971044</v>
      </c>
      <c r="AW168">
        <v>4.5712658050000003</v>
      </c>
    </row>
    <row r="169" spans="1:49" x14ac:dyDescent="0.2">
      <c r="A169" t="s">
        <v>233</v>
      </c>
      <c r="B169" s="74">
        <v>32599</v>
      </c>
      <c r="D169">
        <v>3.5245211799999998</v>
      </c>
      <c r="E169">
        <v>5.6142010239999998</v>
      </c>
      <c r="F169">
        <v>3.957928973</v>
      </c>
      <c r="H169">
        <v>2.757474014</v>
      </c>
      <c r="I169">
        <v>3.880393357</v>
      </c>
      <c r="M169">
        <v>5.2677450759999997</v>
      </c>
      <c r="N169">
        <v>1.704190256</v>
      </c>
      <c r="P169">
        <v>5.2415838130000001</v>
      </c>
      <c r="T169">
        <v>5.1752000320000002</v>
      </c>
      <c r="U169">
        <v>4.2195828869999996</v>
      </c>
      <c r="V169">
        <v>4.5128066960000002</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0.141939605</v>
      </c>
      <c r="AN169">
        <v>4.2214729750000002</v>
      </c>
      <c r="AP169">
        <v>6.4186785510000002</v>
      </c>
      <c r="AT169">
        <v>2.6522244740000001</v>
      </c>
      <c r="AV169">
        <v>4.3152399350000001</v>
      </c>
      <c r="AW169">
        <v>3.6609273579999999</v>
      </c>
    </row>
    <row r="170" spans="1:49" x14ac:dyDescent="0.2">
      <c r="A170" t="s">
        <v>234</v>
      </c>
      <c r="B170" s="74">
        <v>32690</v>
      </c>
      <c r="D170">
        <v>5.632122979</v>
      </c>
      <c r="E170">
        <v>4.2042384000000004</v>
      </c>
      <c r="F170">
        <v>3.9878434719999998</v>
      </c>
      <c r="H170">
        <v>2.244657331</v>
      </c>
      <c r="I170">
        <v>5.1019615290000004</v>
      </c>
      <c r="M170">
        <v>3.8096044760000001</v>
      </c>
      <c r="N170">
        <v>-0.38632293600000001</v>
      </c>
      <c r="P170">
        <v>4.9929994610000001</v>
      </c>
      <c r="T170">
        <v>6.1700879769999997</v>
      </c>
      <c r="U170">
        <v>4.5831530569999996</v>
      </c>
      <c r="V170">
        <v>3.881771203</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1.2015545329999999</v>
      </c>
      <c r="AN170">
        <v>3.9086696669999998</v>
      </c>
      <c r="AP170">
        <v>4.4385845780000004</v>
      </c>
      <c r="AT170">
        <v>3.146058595</v>
      </c>
      <c r="AV170">
        <v>3.7482928750000002</v>
      </c>
      <c r="AW170">
        <v>3.3766366639999998</v>
      </c>
    </row>
    <row r="171" spans="1:49" x14ac:dyDescent="0.2">
      <c r="A171" t="s">
        <v>235</v>
      </c>
      <c r="B171" s="74">
        <v>32782</v>
      </c>
      <c r="D171">
        <v>5.6588034260000004</v>
      </c>
      <c r="E171">
        <v>3.3512560429999998</v>
      </c>
      <c r="F171">
        <v>3.1070158999999999</v>
      </c>
      <c r="H171">
        <v>2.6011457679999999</v>
      </c>
      <c r="I171">
        <v>4.6638269699999997</v>
      </c>
      <c r="M171">
        <v>3.5839561240000002</v>
      </c>
      <c r="N171">
        <v>3.4985423000000002E-2</v>
      </c>
      <c r="P171">
        <v>4.5152553849999997</v>
      </c>
      <c r="T171">
        <v>6.1143298570000004</v>
      </c>
      <c r="U171">
        <v>4.3970051229999996</v>
      </c>
      <c r="V171">
        <v>3.7055694460000002</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-0.16363701</v>
      </c>
      <c r="AN171">
        <v>3.832023505</v>
      </c>
      <c r="AP171">
        <v>5.6930811569999999</v>
      </c>
      <c r="AT171">
        <v>3.0075387760000001</v>
      </c>
      <c r="AV171">
        <v>3.9081130530000001</v>
      </c>
      <c r="AW171">
        <v>2.0867109940000002</v>
      </c>
    </row>
    <row r="172" spans="1:49" x14ac:dyDescent="0.2">
      <c r="A172" t="s">
        <v>236</v>
      </c>
      <c r="B172" s="74">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4.841168218</v>
      </c>
      <c r="V172">
        <v>3.4846795629999998</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0.52395478200000001</v>
      </c>
      <c r="AN172">
        <v>3.623453815</v>
      </c>
      <c r="AP172">
        <v>5.1854990430000001</v>
      </c>
      <c r="AT172">
        <v>2.1909303680000001</v>
      </c>
      <c r="AV172">
        <v>2.743803255</v>
      </c>
      <c r="AW172">
        <v>0.51118522899999996</v>
      </c>
    </row>
    <row r="173" spans="1:49" x14ac:dyDescent="0.2">
      <c r="A173" t="s">
        <v>237</v>
      </c>
      <c r="B173" s="74">
        <v>32964</v>
      </c>
      <c r="D173">
        <v>3.5065159019999999</v>
      </c>
      <c r="E173">
        <v>3.8908232219999999</v>
      </c>
      <c r="F173">
        <v>4.2568378060000001</v>
      </c>
      <c r="H173">
        <v>1.4740295080000001</v>
      </c>
      <c r="I173">
        <v>5.6765362909999997</v>
      </c>
      <c r="M173">
        <v>4.6210307669999997</v>
      </c>
      <c r="N173">
        <v>-2.403286338</v>
      </c>
      <c r="P173">
        <v>3.062070109</v>
      </c>
      <c r="T173">
        <v>4.4003165859999998</v>
      </c>
      <c r="U173">
        <v>4.0584993110000003</v>
      </c>
      <c r="V173">
        <v>2.9903829000000002</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-0.91421282000000004</v>
      </c>
      <c r="AN173">
        <v>3.3419120339999999</v>
      </c>
      <c r="AP173">
        <v>2.399309825</v>
      </c>
      <c r="AT173">
        <v>2.2395397149999998</v>
      </c>
      <c r="AV173">
        <v>2.821303844</v>
      </c>
      <c r="AW173">
        <v>-2.7499771999999999E-2</v>
      </c>
    </row>
    <row r="174" spans="1:49" x14ac:dyDescent="0.2">
      <c r="A174" t="s">
        <v>238</v>
      </c>
      <c r="B174" s="74">
        <v>33055</v>
      </c>
      <c r="D174">
        <v>1.4962894339999999</v>
      </c>
      <c r="E174">
        <v>4.5137954860000002</v>
      </c>
      <c r="F174">
        <v>2.8990650310000001</v>
      </c>
      <c r="H174">
        <v>0.66907213399999999</v>
      </c>
      <c r="I174">
        <v>4.4036911229999998</v>
      </c>
      <c r="M174">
        <v>4.7138869809999999</v>
      </c>
      <c r="N174">
        <v>1.8295618680000001</v>
      </c>
      <c r="P174">
        <v>3.7923394130000001</v>
      </c>
      <c r="T174">
        <v>1.1850196470000001</v>
      </c>
      <c r="U174">
        <v>3.3690151240000001</v>
      </c>
      <c r="V174">
        <v>3.535708176</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-1.4973224350000001</v>
      </c>
      <c r="AN174">
        <v>3.8730592000000001</v>
      </c>
      <c r="AP174">
        <v>5.8107886249999998</v>
      </c>
      <c r="AT174">
        <v>1.2437843879999999</v>
      </c>
      <c r="AV174">
        <v>2.4127729549999999</v>
      </c>
      <c r="AW174">
        <v>-0.54150713699999997</v>
      </c>
    </row>
    <row r="175" spans="1:49" x14ac:dyDescent="0.2">
      <c r="A175" t="s">
        <v>239</v>
      </c>
      <c r="B175" s="74">
        <v>33147</v>
      </c>
      <c r="D175">
        <v>7.4165872999999993E-2</v>
      </c>
      <c r="E175">
        <v>4.5109601890000004</v>
      </c>
      <c r="F175">
        <v>2.6544734330000002</v>
      </c>
      <c r="H175">
        <v>-0.399573277</v>
      </c>
      <c r="I175">
        <v>3.283475224</v>
      </c>
      <c r="M175">
        <v>5.9514963319999996</v>
      </c>
      <c r="N175">
        <v>3.6641139229999999</v>
      </c>
      <c r="P175">
        <v>2.1145436879999999</v>
      </c>
      <c r="T175">
        <v>-2.136296465</v>
      </c>
      <c r="U175">
        <v>2.761737578</v>
      </c>
      <c r="V175">
        <v>3.1161079790000001</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0.53091038700000004</v>
      </c>
      <c r="AN175">
        <v>3.2417984710000001</v>
      </c>
      <c r="AP175">
        <v>4.4884801809999999</v>
      </c>
      <c r="AT175">
        <v>0.41008955800000002</v>
      </c>
      <c r="AV175">
        <v>1.7272166369999999</v>
      </c>
      <c r="AW175">
        <v>-0.70487321400000003</v>
      </c>
    </row>
    <row r="176" spans="1:49" x14ac:dyDescent="0.2">
      <c r="A176" t="s">
        <v>240</v>
      </c>
      <c r="B176" s="74">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1.45418194</v>
      </c>
      <c r="V176">
        <v>1.806300944</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1.9028238909999999</v>
      </c>
      <c r="AN176">
        <v>2.4984890009999998</v>
      </c>
      <c r="AP176">
        <v>6.3810663500000002</v>
      </c>
      <c r="AT176">
        <v>0.240339254</v>
      </c>
      <c r="AV176">
        <v>0.60285869599999997</v>
      </c>
      <c r="AW176">
        <v>6.1578020000000004E-3</v>
      </c>
    </row>
    <row r="177" spans="1:49" x14ac:dyDescent="0.2">
      <c r="A177" t="s">
        <v>241</v>
      </c>
      <c r="B177" s="74">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1.1275068130000001</v>
      </c>
      <c r="V177">
        <v>1.3944967130000001</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-0.39695311700000002</v>
      </c>
      <c r="AN177">
        <v>1.6719968030000001</v>
      </c>
      <c r="AP177">
        <v>2.855283649</v>
      </c>
      <c r="AT177">
        <v>-0.283530703</v>
      </c>
      <c r="AV177">
        <v>-0.95024069700000002</v>
      </c>
      <c r="AW177">
        <v>-0.86866982299999995</v>
      </c>
    </row>
    <row r="178" spans="1:49" x14ac:dyDescent="0.2">
      <c r="A178" t="s">
        <v>242</v>
      </c>
      <c r="B178" s="74">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1.043704942</v>
      </c>
      <c r="V178">
        <v>1.0182092679999999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-1.0586930859999999</v>
      </c>
      <c r="AN178">
        <v>1.3297179299999999</v>
      </c>
      <c r="AP178">
        <v>2.948468552</v>
      </c>
      <c r="AT178">
        <v>-1.1257929769999999</v>
      </c>
      <c r="AV178">
        <v>-0.53888796000000005</v>
      </c>
      <c r="AW178">
        <v>-1.010671037</v>
      </c>
    </row>
    <row r="179" spans="1:49" x14ac:dyDescent="0.2">
      <c r="A179" t="s">
        <v>243</v>
      </c>
      <c r="B179" s="74">
        <v>33512</v>
      </c>
      <c r="D179">
        <v>-0.43797156100000001</v>
      </c>
      <c r="E179">
        <v>3.4406282949999998</v>
      </c>
      <c r="F179">
        <v>2.6411033810000002</v>
      </c>
      <c r="H179">
        <v>-1.718605731</v>
      </c>
      <c r="I179">
        <v>-1.239576309</v>
      </c>
      <c r="M179">
        <v>3.8637192759999999</v>
      </c>
      <c r="N179">
        <v>1.0316925029999999</v>
      </c>
      <c r="P179">
        <v>3.8064650430000002</v>
      </c>
      <c r="T179">
        <v>-5.6610296450000002</v>
      </c>
      <c r="U179">
        <v>0.74903132299999997</v>
      </c>
      <c r="V179">
        <v>0.66203129400000005</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-1.641029276</v>
      </c>
      <c r="AN179">
        <v>1.240055793</v>
      </c>
      <c r="AP179">
        <v>3.331830515</v>
      </c>
      <c r="AT179">
        <v>-0.81982652199999995</v>
      </c>
      <c r="AV179">
        <v>-0.10271685</v>
      </c>
      <c r="AW179">
        <v>-0.96583420200000003</v>
      </c>
    </row>
    <row r="180" spans="1:49" x14ac:dyDescent="0.2">
      <c r="A180" t="s">
        <v>244</v>
      </c>
      <c r="B180" s="74">
        <v>33604</v>
      </c>
      <c r="D180">
        <v>-0.964417784</v>
      </c>
      <c r="E180">
        <v>3.3667390909999999</v>
      </c>
      <c r="F180">
        <v>1.923674275</v>
      </c>
      <c r="H180">
        <v>-0.651858245</v>
      </c>
      <c r="I180">
        <v>-0.458837628</v>
      </c>
      <c r="M180">
        <v>3.3928246569999998</v>
      </c>
      <c r="N180">
        <v>1.122398727</v>
      </c>
      <c r="P180">
        <v>0.521509895</v>
      </c>
      <c r="T180">
        <v>-6.2297171999999996</v>
      </c>
      <c r="U180">
        <v>1.428387692</v>
      </c>
      <c r="V180">
        <v>1.607766748</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-2.147561659</v>
      </c>
      <c r="AN180">
        <v>1.6608195610000001</v>
      </c>
      <c r="AP180">
        <v>0.679243402</v>
      </c>
      <c r="AT180">
        <v>-2.0857428680000001</v>
      </c>
      <c r="AV180">
        <v>1.1665033419999999</v>
      </c>
      <c r="AW180">
        <v>-1.2279126199999999</v>
      </c>
    </row>
    <row r="181" spans="1:49" x14ac:dyDescent="0.2">
      <c r="A181" t="s">
        <v>245</v>
      </c>
      <c r="B181" s="74">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2.1157390899999999</v>
      </c>
      <c r="V181">
        <v>2.0286283520000001</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0.58164584200000002</v>
      </c>
      <c r="AN181">
        <v>2.4008063489999998</v>
      </c>
      <c r="AP181">
        <v>4.9051033329999996</v>
      </c>
      <c r="AT181">
        <v>-0.87867711400000004</v>
      </c>
      <c r="AV181">
        <v>2.8588691050000001</v>
      </c>
      <c r="AW181">
        <v>-1.1336506559999999</v>
      </c>
    </row>
    <row r="182" spans="1:49" x14ac:dyDescent="0.2">
      <c r="A182" t="s">
        <v>246</v>
      </c>
      <c r="B182" s="74">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1.7938883080000001</v>
      </c>
      <c r="V182">
        <v>1.9788730379999999</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1.2760727329999999</v>
      </c>
      <c r="AN182">
        <v>2.1157313709999999</v>
      </c>
      <c r="AP182">
        <v>1.939972161</v>
      </c>
      <c r="AT182">
        <v>-0.24341441699999999</v>
      </c>
      <c r="AV182">
        <v>3.1697558209999999</v>
      </c>
      <c r="AW182">
        <v>-1.5178454260000001</v>
      </c>
    </row>
    <row r="183" spans="1:49" x14ac:dyDescent="0.2">
      <c r="A183" t="s">
        <v>247</v>
      </c>
      <c r="B183" s="74">
        <v>33878</v>
      </c>
      <c r="D183">
        <v>2.5510253089999999</v>
      </c>
      <c r="E183">
        <v>1.5621256349999999</v>
      </c>
      <c r="F183">
        <v>0.98695105599999999</v>
      </c>
      <c r="H183">
        <v>0.91901447599999997</v>
      </c>
      <c r="I183">
        <v>-0.316181453</v>
      </c>
      <c r="M183">
        <v>1.869969805</v>
      </c>
      <c r="N183">
        <v>2.3430315190000002</v>
      </c>
      <c r="P183">
        <v>0.240639413</v>
      </c>
      <c r="T183">
        <v>-2.7698039460000001</v>
      </c>
      <c r="U183">
        <v>1.4885808700000001</v>
      </c>
      <c r="V183">
        <v>2.3025287840000002</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0.176570214</v>
      </c>
      <c r="AN183">
        <v>2.3341253740000001</v>
      </c>
      <c r="AP183">
        <v>0.50825329900000005</v>
      </c>
      <c r="AT183">
        <v>-1.207304618</v>
      </c>
      <c r="AV183">
        <v>3.6653228790000001</v>
      </c>
      <c r="AW183">
        <v>-2.6202395740000002</v>
      </c>
    </row>
    <row r="184" spans="1:49" x14ac:dyDescent="0.2">
      <c r="A184" t="s">
        <v>248</v>
      </c>
      <c r="B184" s="74">
        <v>33970</v>
      </c>
      <c r="D184">
        <v>4.6098763180000004</v>
      </c>
      <c r="E184">
        <v>0.639191222</v>
      </c>
      <c r="F184">
        <v>-0.75984834700000004</v>
      </c>
      <c r="H184">
        <v>1.306211706</v>
      </c>
      <c r="I184">
        <v>-1.4291989570000001</v>
      </c>
      <c r="M184">
        <v>0.23962235200000001</v>
      </c>
      <c r="N184">
        <v>2.9060358289999999</v>
      </c>
      <c r="P184">
        <v>-0.905532012</v>
      </c>
      <c r="T184">
        <v>-2.3113528209999998</v>
      </c>
      <c r="U184">
        <v>0.61786658699999997</v>
      </c>
      <c r="V184">
        <v>2.0107096360000001</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0.78765529300000003</v>
      </c>
      <c r="AN184">
        <v>1.9432472350000001</v>
      </c>
      <c r="AP184">
        <v>0.32415702899999999</v>
      </c>
      <c r="AT184">
        <v>-2.411837217</v>
      </c>
      <c r="AV184">
        <v>4.382587644</v>
      </c>
      <c r="AW184">
        <v>-3.2812704789999998</v>
      </c>
    </row>
    <row r="185" spans="1:49" x14ac:dyDescent="0.2">
      <c r="A185" t="s">
        <v>249</v>
      </c>
      <c r="B185" s="74">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-0.81632384499999999</v>
      </c>
      <c r="V185">
        <v>1.4385641220000001</v>
      </c>
      <c r="X185">
        <v>1.843925343</v>
      </c>
      <c r="Y185">
        <v>-4.6879161859999998</v>
      </c>
      <c r="AB185">
        <v>3.0848158909999999</v>
      </c>
      <c r="AC185">
        <v>-0.90747498400000004</v>
      </c>
      <c r="AE185">
        <v>-1.1046737419999999</v>
      </c>
      <c r="AF185">
        <v>0.95266193499999996</v>
      </c>
      <c r="AG185">
        <v>4.3797738920000002</v>
      </c>
      <c r="AH185">
        <v>2.4985630730000001</v>
      </c>
      <c r="AJ185">
        <v>2.639122097</v>
      </c>
      <c r="AK185">
        <v>0.37124305099999999</v>
      </c>
      <c r="AL185">
        <v>0.444114114</v>
      </c>
      <c r="AM185">
        <v>2.14178625</v>
      </c>
      <c r="AN185">
        <v>1.2861400629999999</v>
      </c>
      <c r="AP185">
        <v>-2.7195940840000001</v>
      </c>
      <c r="AT185">
        <v>-5.0589846420000004</v>
      </c>
      <c r="AV185">
        <v>3.319981753</v>
      </c>
      <c r="AW185">
        <v>-1.346412639</v>
      </c>
    </row>
    <row r="186" spans="1:49" x14ac:dyDescent="0.2">
      <c r="A186" t="s">
        <v>250</v>
      </c>
      <c r="B186" s="74">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-0.95995747200000003</v>
      </c>
      <c r="V186">
        <v>1.1833581609999999</v>
      </c>
      <c r="X186">
        <v>2.4686226979999999</v>
      </c>
      <c r="Y186">
        <v>7.6328890000000003E-3</v>
      </c>
      <c r="AB186">
        <v>2.5342366269999999</v>
      </c>
      <c r="AC186">
        <v>0.94924331100000003</v>
      </c>
      <c r="AE186">
        <v>-1.2867544150000001</v>
      </c>
      <c r="AF186">
        <v>-3.6541774999999999E-2</v>
      </c>
      <c r="AG186">
        <v>6.3114789780000002</v>
      </c>
      <c r="AH186">
        <v>4.0021739619999996</v>
      </c>
      <c r="AJ186">
        <v>1.251635872</v>
      </c>
      <c r="AK186">
        <v>1.5553236399999999</v>
      </c>
      <c r="AL186">
        <v>1.6578513969999999</v>
      </c>
      <c r="AM186">
        <v>4.393917761</v>
      </c>
      <c r="AN186">
        <v>1.402387531</v>
      </c>
      <c r="AP186">
        <v>-1.7677233299999999</v>
      </c>
      <c r="AT186">
        <v>-3.3309647490000001</v>
      </c>
      <c r="AV186">
        <v>2.8066673899999999</v>
      </c>
      <c r="AW186">
        <v>-5.9836001999999999E-2</v>
      </c>
    </row>
    <row r="187" spans="1:49" x14ac:dyDescent="0.2">
      <c r="A187" t="s">
        <v>251</v>
      </c>
      <c r="B187" s="74">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-0.69466555600000002</v>
      </c>
      <c r="V187">
        <v>0.95410886900000003</v>
      </c>
      <c r="X187">
        <v>2.642756463</v>
      </c>
      <c r="Y187">
        <v>-1.1815995189999999</v>
      </c>
      <c r="AB187">
        <v>2.3825161700000002</v>
      </c>
      <c r="AC187">
        <v>2.7045342130000001</v>
      </c>
      <c r="AE187">
        <v>-1.2230942520000001</v>
      </c>
      <c r="AF187">
        <v>-0.87078218500000004</v>
      </c>
      <c r="AG187">
        <v>8.1983578680000004</v>
      </c>
      <c r="AH187">
        <v>5.0170326220000003</v>
      </c>
      <c r="AJ187">
        <v>1.3366057179999999</v>
      </c>
      <c r="AK187">
        <v>2.0747717259999998</v>
      </c>
      <c r="AL187">
        <v>2.342647135</v>
      </c>
      <c r="AM187">
        <v>7.3381294959999996</v>
      </c>
      <c r="AN187">
        <v>1.2972287549999999</v>
      </c>
      <c r="AP187">
        <v>-0.741093157</v>
      </c>
      <c r="AT187">
        <v>-0.57701374999999999</v>
      </c>
      <c r="AV187">
        <v>2.286515761</v>
      </c>
      <c r="AW187">
        <v>2.40739064</v>
      </c>
    </row>
    <row r="188" spans="1:49" x14ac:dyDescent="0.2">
      <c r="A188" t="s">
        <v>252</v>
      </c>
      <c r="B188" s="74">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-0.280051412</v>
      </c>
      <c r="V188">
        <v>1.495504406</v>
      </c>
      <c r="X188">
        <v>2.6437127249999999</v>
      </c>
      <c r="Y188">
        <v>-0.45491642199999999</v>
      </c>
      <c r="AB188">
        <v>2.774481921</v>
      </c>
      <c r="AC188">
        <v>4.0463093209999998</v>
      </c>
      <c r="AE188">
        <v>0.19169810800000001</v>
      </c>
      <c r="AF188">
        <v>0.39374597500000003</v>
      </c>
      <c r="AG188">
        <v>8.574414268</v>
      </c>
      <c r="AH188">
        <v>5.2694722860000001</v>
      </c>
      <c r="AJ188">
        <v>2.5810314569999999</v>
      </c>
      <c r="AK188">
        <v>1.0608119890000001</v>
      </c>
      <c r="AL188">
        <v>6.7481240109999998</v>
      </c>
      <c r="AM188">
        <v>6.9873183900000004</v>
      </c>
      <c r="AN188">
        <v>1.9073621270000001</v>
      </c>
      <c r="AP188">
        <v>-0.24897242</v>
      </c>
      <c r="AT188">
        <v>0.64449624500000002</v>
      </c>
      <c r="AV188">
        <v>2.607615494</v>
      </c>
      <c r="AW188">
        <v>4.1665479489999999</v>
      </c>
    </row>
    <row r="189" spans="1:49" x14ac:dyDescent="0.2">
      <c r="A189" t="s">
        <v>253</v>
      </c>
      <c r="B189" s="74">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1.045446308</v>
      </c>
      <c r="V189">
        <v>2.295183577</v>
      </c>
      <c r="X189">
        <v>3.1280039569999998</v>
      </c>
      <c r="Y189">
        <v>1.4485328369999999</v>
      </c>
      <c r="AB189">
        <v>3.643862215</v>
      </c>
      <c r="AC189">
        <v>4.7413433720000002</v>
      </c>
      <c r="AE189">
        <v>1.095820351</v>
      </c>
      <c r="AF189">
        <v>0.169220061</v>
      </c>
      <c r="AG189">
        <v>9.5604005710000006</v>
      </c>
      <c r="AH189">
        <v>4.9292080460000003</v>
      </c>
      <c r="AJ189">
        <v>3.6766365049999998</v>
      </c>
      <c r="AK189">
        <v>1.9453249690000001</v>
      </c>
      <c r="AL189">
        <v>6.230043931</v>
      </c>
      <c r="AM189">
        <v>6.8532886</v>
      </c>
      <c r="AN189">
        <v>2.652612789</v>
      </c>
      <c r="AP189">
        <v>1.4263210209999999</v>
      </c>
      <c r="AR189">
        <v>5.9738342690000001</v>
      </c>
      <c r="AT189">
        <v>3.6740298170000001</v>
      </c>
      <c r="AV189">
        <v>3.4305230139999998</v>
      </c>
      <c r="AW189">
        <v>2.7957711860000001</v>
      </c>
    </row>
    <row r="190" spans="1:49" x14ac:dyDescent="0.2">
      <c r="A190" t="s">
        <v>254</v>
      </c>
      <c r="B190" s="74">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2.1317764119999998</v>
      </c>
      <c r="V190">
        <v>2.9204930939999998</v>
      </c>
      <c r="X190">
        <v>3.8135842489999998</v>
      </c>
      <c r="Y190">
        <v>0.95861763700000002</v>
      </c>
      <c r="AB190">
        <v>4.8797148640000003</v>
      </c>
      <c r="AC190">
        <v>4.6878555559999997</v>
      </c>
      <c r="AE190">
        <v>2.0736462489999998</v>
      </c>
      <c r="AF190">
        <v>0.228370458</v>
      </c>
      <c r="AG190">
        <v>8.5629789229999993</v>
      </c>
      <c r="AH190">
        <v>4.26791433</v>
      </c>
      <c r="AJ190">
        <v>5.5776507549999996</v>
      </c>
      <c r="AK190">
        <v>2.861042796</v>
      </c>
      <c r="AL190">
        <v>6.848864667</v>
      </c>
      <c r="AM190">
        <v>5.2347249290000004</v>
      </c>
      <c r="AN190">
        <v>2.7824228579999999</v>
      </c>
      <c r="AP190">
        <v>2.6891601600000001</v>
      </c>
      <c r="AR190">
        <v>5.7936380359999999</v>
      </c>
      <c r="AT190">
        <v>3.3955839910000001</v>
      </c>
      <c r="AV190">
        <v>4.2253997019999998</v>
      </c>
      <c r="AW190">
        <v>3.0948162739999998</v>
      </c>
    </row>
    <row r="191" spans="1:49" x14ac:dyDescent="0.2">
      <c r="A191" t="s">
        <v>255</v>
      </c>
      <c r="B191" s="74">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2.822610456</v>
      </c>
      <c r="V191">
        <v>3.4812042120000002</v>
      </c>
      <c r="X191">
        <v>4.1261151659999999</v>
      </c>
      <c r="Y191">
        <v>3.3148751029999999</v>
      </c>
      <c r="AB191">
        <v>6.4162312000000004</v>
      </c>
      <c r="AC191">
        <v>3.7524366150000001</v>
      </c>
      <c r="AE191">
        <v>2.8722827909999999</v>
      </c>
      <c r="AF191">
        <v>2.1363865720000002</v>
      </c>
      <c r="AG191">
        <v>8.3908405330000004</v>
      </c>
      <c r="AH191">
        <v>3.4659694010000002</v>
      </c>
      <c r="AJ191">
        <v>5.3144233090000004</v>
      </c>
      <c r="AK191">
        <v>2.8007548450000002</v>
      </c>
      <c r="AL191">
        <v>3.3383870550000001</v>
      </c>
      <c r="AM191">
        <v>4.9095174259999999</v>
      </c>
      <c r="AN191">
        <v>3.3154235929999998</v>
      </c>
      <c r="AP191">
        <v>2.4410032510000002</v>
      </c>
      <c r="AR191">
        <v>6.5673745480000001</v>
      </c>
      <c r="AT191">
        <v>3.1911977359999999</v>
      </c>
      <c r="AV191">
        <v>4.3367848599999999</v>
      </c>
      <c r="AW191">
        <v>2.9341200280000002</v>
      </c>
    </row>
    <row r="192" spans="1:49" x14ac:dyDescent="0.2">
      <c r="A192" t="s">
        <v>256</v>
      </c>
      <c r="B192" s="74">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3.470814882</v>
      </c>
      <c r="V192">
        <v>3.411431828</v>
      </c>
      <c r="X192">
        <v>3.9955689560000001</v>
      </c>
      <c r="Y192">
        <v>2.2622029910000001</v>
      </c>
      <c r="AB192">
        <v>8.0284883219999994</v>
      </c>
      <c r="AC192">
        <v>2.1922290769999999</v>
      </c>
      <c r="AE192">
        <v>3.0824702859999999</v>
      </c>
      <c r="AF192">
        <v>1.0954598790000001</v>
      </c>
      <c r="AG192">
        <v>10.5357919</v>
      </c>
      <c r="AH192">
        <v>2.6695102519999998</v>
      </c>
      <c r="AJ192">
        <v>5.1498908200000004</v>
      </c>
      <c r="AK192">
        <v>4.4219934969999999</v>
      </c>
      <c r="AL192">
        <v>3.7315699609999999</v>
      </c>
      <c r="AM192">
        <v>5.3223985660000004</v>
      </c>
      <c r="AN192">
        <v>3.4162405210000002</v>
      </c>
      <c r="AP192">
        <v>3.3256759589999998</v>
      </c>
      <c r="AR192">
        <v>6.4727279229999999</v>
      </c>
      <c r="AT192">
        <v>4.9208835009999996</v>
      </c>
      <c r="AV192">
        <v>4.115926516</v>
      </c>
      <c r="AW192">
        <v>3.9596525379999998</v>
      </c>
    </row>
    <row r="193" spans="1:49" x14ac:dyDescent="0.2">
      <c r="A193" t="s">
        <v>257</v>
      </c>
      <c r="B193" s="74">
        <v>34790</v>
      </c>
      <c r="C193">
        <v>1.9970600549999999</v>
      </c>
      <c r="D193">
        <v>3.0857047949999998</v>
      </c>
      <c r="E193">
        <v>3.3018241189999999</v>
      </c>
      <c r="F193">
        <v>3.0818700109999999</v>
      </c>
      <c r="H193">
        <v>4.4702881970000004</v>
      </c>
      <c r="I193">
        <v>0.12147664</v>
      </c>
      <c r="K193">
        <v>11.9</v>
      </c>
      <c r="L193">
        <v>6.3630145929999999</v>
      </c>
      <c r="M193">
        <v>1.79071673</v>
      </c>
      <c r="N193">
        <v>5.5565488859999999</v>
      </c>
      <c r="P193">
        <v>2.550954548</v>
      </c>
      <c r="T193">
        <v>4.894454605</v>
      </c>
      <c r="U193">
        <v>3.1433566640000001</v>
      </c>
      <c r="V193">
        <v>2.8970289579999999</v>
      </c>
      <c r="X193">
        <v>3.1767147499999999</v>
      </c>
      <c r="Y193">
        <v>3.03725171</v>
      </c>
      <c r="AB193">
        <v>13.395299790999999</v>
      </c>
      <c r="AC193">
        <v>-2.0558247220000001</v>
      </c>
      <c r="AE193">
        <v>3.587752552</v>
      </c>
      <c r="AF193">
        <v>1.300762075</v>
      </c>
      <c r="AG193">
        <v>9.6482497079999998</v>
      </c>
      <c r="AH193">
        <v>2.8991998130000001</v>
      </c>
      <c r="AJ193">
        <v>-1.901961939</v>
      </c>
      <c r="AK193">
        <v>3.5822382500000001</v>
      </c>
      <c r="AL193">
        <v>4.1081904270000003</v>
      </c>
      <c r="AM193">
        <v>5.0073589529999998</v>
      </c>
      <c r="AN193">
        <v>2.8308291190000001</v>
      </c>
      <c r="AP193">
        <v>3.1569404720000001</v>
      </c>
      <c r="AR193">
        <v>6.1880951040000003</v>
      </c>
      <c r="AT193">
        <v>5.0584054419999998</v>
      </c>
      <c r="AV193">
        <v>3.481130297</v>
      </c>
      <c r="AW193">
        <v>4.268641734</v>
      </c>
    </row>
    <row r="194" spans="1:49" x14ac:dyDescent="0.2">
      <c r="A194" t="s">
        <v>258</v>
      </c>
      <c r="B194" s="74">
        <v>34881</v>
      </c>
      <c r="C194">
        <v>-3.8574167670000001</v>
      </c>
      <c r="D194">
        <v>2.27434687</v>
      </c>
      <c r="E194">
        <v>3.5615033309999999</v>
      </c>
      <c r="F194">
        <v>2.3387633970000001</v>
      </c>
      <c r="H194">
        <v>3.0071970669999999</v>
      </c>
      <c r="I194">
        <v>1.25124163</v>
      </c>
      <c r="K194">
        <v>11</v>
      </c>
      <c r="L194">
        <v>5.7609878969999997</v>
      </c>
      <c r="M194">
        <v>2.291196974</v>
      </c>
      <c r="N194">
        <v>2.2595483120000002</v>
      </c>
      <c r="P194">
        <v>2.9612889020000002</v>
      </c>
      <c r="T194">
        <v>6.7852862539999999</v>
      </c>
      <c r="U194">
        <v>2.7260754600000001</v>
      </c>
      <c r="V194">
        <v>2.5487264519999999</v>
      </c>
      <c r="X194">
        <v>2.3814920640000001</v>
      </c>
      <c r="Y194">
        <v>2.76173387</v>
      </c>
      <c r="AB194">
        <v>12.240020881</v>
      </c>
      <c r="AC194">
        <v>-0.24167387700000001</v>
      </c>
      <c r="AE194">
        <v>2.9156826429999998</v>
      </c>
      <c r="AF194">
        <v>2.8242654489999999</v>
      </c>
      <c r="AG194">
        <v>10.069263578999999</v>
      </c>
      <c r="AH194">
        <v>3.201401948</v>
      </c>
      <c r="AJ194">
        <v>-8.6258971819999992</v>
      </c>
      <c r="AK194">
        <v>3.207608445</v>
      </c>
      <c r="AL194">
        <v>2.626607361</v>
      </c>
      <c r="AM194">
        <v>5.6468906360000002</v>
      </c>
      <c r="AN194">
        <v>2.650130307</v>
      </c>
      <c r="AP194">
        <v>3.0380996850000002</v>
      </c>
      <c r="AR194">
        <v>6.6567331510000001</v>
      </c>
      <c r="AT194">
        <v>4.4844050370000001</v>
      </c>
      <c r="AV194">
        <v>2.402168869</v>
      </c>
      <c r="AW194">
        <v>3.5580212520000001</v>
      </c>
    </row>
    <row r="195" spans="1:49" x14ac:dyDescent="0.2">
      <c r="A195" t="s">
        <v>259</v>
      </c>
      <c r="B195" s="74">
        <v>34973</v>
      </c>
      <c r="C195">
        <v>-4.4699240060000003</v>
      </c>
      <c r="D195">
        <v>3.781420765</v>
      </c>
      <c r="E195">
        <v>2.8636862789999999</v>
      </c>
      <c r="F195">
        <v>2.6651651109999999</v>
      </c>
      <c r="H195">
        <v>1.841001315</v>
      </c>
      <c r="I195">
        <v>0.687423381</v>
      </c>
      <c r="K195">
        <v>10.4</v>
      </c>
      <c r="L195">
        <v>7.3886555300000003</v>
      </c>
      <c r="M195">
        <v>1.7740072019999999</v>
      </c>
      <c r="N195">
        <v>3.169757063</v>
      </c>
      <c r="P195">
        <v>2.5625784760000001</v>
      </c>
      <c r="T195">
        <v>3.9298161280000001</v>
      </c>
      <c r="U195">
        <v>2.013803845</v>
      </c>
      <c r="V195">
        <v>2.492730296</v>
      </c>
      <c r="X195">
        <v>2.2756038630000002</v>
      </c>
      <c r="Y195">
        <v>0.61570380899999999</v>
      </c>
      <c r="AB195">
        <v>11.022450054</v>
      </c>
      <c r="AC195">
        <v>-1.6544689690000001</v>
      </c>
      <c r="AE195">
        <v>2.7329493419999999</v>
      </c>
      <c r="AF195">
        <v>2.8430654089999998</v>
      </c>
      <c r="AG195">
        <v>10.495409042</v>
      </c>
      <c r="AH195">
        <v>3.6966430450000001</v>
      </c>
      <c r="AJ195">
        <v>-7.603743787</v>
      </c>
      <c r="AK195">
        <v>3.2358056130000001</v>
      </c>
      <c r="AL195">
        <v>6.4915176370000003</v>
      </c>
      <c r="AM195">
        <v>4.8267049990000004</v>
      </c>
      <c r="AN195">
        <v>2.590842018</v>
      </c>
      <c r="AP195">
        <v>3.0192699209999998</v>
      </c>
      <c r="AR195">
        <v>5.2801118000000002</v>
      </c>
      <c r="AT195">
        <v>3.808360543</v>
      </c>
      <c r="AV195">
        <v>2.673106856</v>
      </c>
      <c r="AW195">
        <v>3.0858739719999999</v>
      </c>
    </row>
    <row r="196" spans="1:49" x14ac:dyDescent="0.2">
      <c r="A196" t="s">
        <v>260</v>
      </c>
      <c r="B196" s="74">
        <v>35065</v>
      </c>
      <c r="C196">
        <v>-4.9173277889999998</v>
      </c>
      <c r="D196">
        <v>2.6815064280000001</v>
      </c>
      <c r="E196">
        <v>1.8433704449999999</v>
      </c>
      <c r="F196">
        <v>1.174873872</v>
      </c>
      <c r="H196">
        <v>1.5176381409999999</v>
      </c>
      <c r="I196">
        <v>0.21464113700000001</v>
      </c>
      <c r="K196">
        <v>10.8</v>
      </c>
      <c r="L196">
        <v>4.281259436</v>
      </c>
      <c r="M196">
        <v>0.61928585700000005</v>
      </c>
      <c r="N196">
        <v>1.381050318</v>
      </c>
      <c r="P196">
        <v>2.956822426</v>
      </c>
      <c r="T196">
        <v>1.4272316979999999</v>
      </c>
      <c r="U196">
        <v>1.1800349969999999</v>
      </c>
      <c r="V196">
        <v>2.1614691760000002</v>
      </c>
      <c r="X196">
        <v>1.9593228499999999</v>
      </c>
      <c r="Y196">
        <v>2.036812447</v>
      </c>
      <c r="AB196">
        <v>8.4713756710000006</v>
      </c>
      <c r="AC196">
        <v>-1.3838775130000001</v>
      </c>
      <c r="AE196">
        <v>2.62018562</v>
      </c>
      <c r="AF196">
        <v>3.5088515729999998</v>
      </c>
      <c r="AG196">
        <v>8.3054064000000007</v>
      </c>
      <c r="AH196">
        <v>4.4061177049999998</v>
      </c>
      <c r="AJ196">
        <v>-6.9136498409999998</v>
      </c>
      <c r="AK196">
        <v>2.9959663249999999</v>
      </c>
      <c r="AL196">
        <v>3.7068225469999998</v>
      </c>
      <c r="AM196">
        <v>4.1455187420000001</v>
      </c>
      <c r="AN196">
        <v>2.1705343529999999</v>
      </c>
      <c r="AP196">
        <v>2.4854236890000001</v>
      </c>
      <c r="AR196">
        <v>5.7850186480000003</v>
      </c>
      <c r="AT196">
        <v>3.2800027690000002</v>
      </c>
      <c r="AV196">
        <v>2.1995799090000001</v>
      </c>
      <c r="AW196">
        <v>1.5456032310000001</v>
      </c>
    </row>
    <row r="197" spans="1:49" x14ac:dyDescent="0.2">
      <c r="A197" t="s">
        <v>261</v>
      </c>
      <c r="B197" s="74">
        <v>35156</v>
      </c>
      <c r="C197">
        <v>-0.77166357100000005</v>
      </c>
      <c r="D197">
        <v>4.3276222459999998</v>
      </c>
      <c r="E197">
        <v>1.6825305100000001</v>
      </c>
      <c r="F197">
        <v>1.026925133</v>
      </c>
      <c r="H197">
        <v>0.65194081800000003</v>
      </c>
      <c r="I197">
        <v>1.1766460480000001</v>
      </c>
      <c r="J197">
        <v>8.3984463900000002</v>
      </c>
      <c r="K197">
        <v>10.9</v>
      </c>
      <c r="L197">
        <v>4.9805952429999998</v>
      </c>
      <c r="M197">
        <v>0.117692428</v>
      </c>
      <c r="N197">
        <v>0.87755667599999998</v>
      </c>
      <c r="O197">
        <v>1.3614371119999999</v>
      </c>
      <c r="P197">
        <v>2.3959618489999999</v>
      </c>
      <c r="Q197">
        <v>0.72962693300000003</v>
      </c>
      <c r="R197">
        <v>2.0586739010000001</v>
      </c>
      <c r="T197">
        <v>4.1164302599999996</v>
      </c>
      <c r="U197">
        <v>1.501249514</v>
      </c>
      <c r="V197">
        <v>2.1559096059999998</v>
      </c>
      <c r="X197">
        <v>2.1480132269999999</v>
      </c>
      <c r="Y197">
        <v>2.6325315859999998</v>
      </c>
      <c r="Z197">
        <v>1.9434809999999999E-3</v>
      </c>
      <c r="AB197">
        <v>7.8771794550000003</v>
      </c>
      <c r="AC197">
        <v>6.3547264749999997</v>
      </c>
      <c r="AD197">
        <v>6.3831329940000003</v>
      </c>
      <c r="AE197">
        <v>1.570670279</v>
      </c>
      <c r="AF197">
        <v>3.2093082919999998</v>
      </c>
      <c r="AG197">
        <v>8.1119510849999994</v>
      </c>
      <c r="AH197">
        <v>4.4175863770000001</v>
      </c>
      <c r="AI197">
        <v>-0.43786560600000002</v>
      </c>
      <c r="AJ197">
        <v>1.4275687770000001</v>
      </c>
      <c r="AK197">
        <v>2.7202935209999999</v>
      </c>
      <c r="AL197">
        <v>6.1019670809999997</v>
      </c>
      <c r="AM197">
        <v>4.3418675640000002</v>
      </c>
      <c r="AN197">
        <v>2.5349677490000002</v>
      </c>
      <c r="AO197">
        <v>8.3909686560000001</v>
      </c>
      <c r="AP197">
        <v>3.1146749059999999</v>
      </c>
      <c r="AR197">
        <v>5.9661638110000004</v>
      </c>
      <c r="AS197">
        <v>1.312732045</v>
      </c>
      <c r="AT197">
        <v>2.6691897409999998</v>
      </c>
      <c r="AV197">
        <v>2.6011039930000002</v>
      </c>
      <c r="AW197">
        <v>3.1688665930000002</v>
      </c>
    </row>
    <row r="198" spans="1:49" x14ac:dyDescent="0.2">
      <c r="A198" t="s">
        <v>262</v>
      </c>
      <c r="B198" s="74">
        <v>35247</v>
      </c>
      <c r="C198">
        <v>5.4362585990000003</v>
      </c>
      <c r="D198">
        <v>4.6232131919999997</v>
      </c>
      <c r="E198">
        <v>2.1552790430000002</v>
      </c>
      <c r="F198">
        <v>1.309798977</v>
      </c>
      <c r="H198">
        <v>1.311865775</v>
      </c>
      <c r="I198">
        <v>0.70342376100000004</v>
      </c>
      <c r="J198">
        <v>6.7390280679999996</v>
      </c>
      <c r="K198">
        <v>9.4</v>
      </c>
      <c r="L198">
        <v>5.2612569669999996</v>
      </c>
      <c r="M198">
        <v>0.74013674100000004</v>
      </c>
      <c r="N198">
        <v>3.90660937</v>
      </c>
      <c r="O198">
        <v>1.46960903</v>
      </c>
      <c r="P198">
        <v>2.516124698</v>
      </c>
      <c r="Q198">
        <v>3.4673093669999999</v>
      </c>
      <c r="R198">
        <v>1.655919988</v>
      </c>
      <c r="T198">
        <v>2.1928688599999999</v>
      </c>
      <c r="U198">
        <v>0.98801148299999997</v>
      </c>
      <c r="V198">
        <v>2.8838782549999999</v>
      </c>
      <c r="X198">
        <v>1.992839644</v>
      </c>
      <c r="Y198">
        <v>2.252642313</v>
      </c>
      <c r="Z198">
        <v>-0.41129705999999999</v>
      </c>
      <c r="AB198">
        <v>8.3337359319999997</v>
      </c>
      <c r="AC198">
        <v>3.886748587</v>
      </c>
      <c r="AD198">
        <v>5.2963480949999999</v>
      </c>
      <c r="AE198">
        <v>1.3925237180000001</v>
      </c>
      <c r="AF198">
        <v>3.5543164429999998</v>
      </c>
      <c r="AG198">
        <v>8.1101791399999996</v>
      </c>
      <c r="AH198">
        <v>-3.9181841720000001</v>
      </c>
      <c r="AI198">
        <v>-1.072415739</v>
      </c>
      <c r="AJ198">
        <v>8.0362072629999997</v>
      </c>
      <c r="AK198">
        <v>3.057056759</v>
      </c>
      <c r="AL198">
        <v>5.0400789399999999</v>
      </c>
      <c r="AM198">
        <v>3.9426743759999998</v>
      </c>
      <c r="AN198">
        <v>3.3117334820000002</v>
      </c>
      <c r="AO198">
        <v>8.8027074919999997</v>
      </c>
      <c r="AP198">
        <v>3.135435389</v>
      </c>
      <c r="AR198">
        <v>5.4616333900000003</v>
      </c>
      <c r="AS198">
        <v>2.265756627</v>
      </c>
      <c r="AT198">
        <v>1.3643730700000001</v>
      </c>
      <c r="AV198">
        <v>4.0021270639999997</v>
      </c>
      <c r="AW198">
        <v>4.0987108829999999</v>
      </c>
    </row>
    <row r="199" spans="1:49" x14ac:dyDescent="0.2">
      <c r="A199" t="s">
        <v>263</v>
      </c>
      <c r="B199" s="74">
        <v>35339</v>
      </c>
      <c r="C199">
        <v>8.2760598040000009</v>
      </c>
      <c r="D199">
        <v>3.1067776729999999</v>
      </c>
      <c r="E199">
        <v>2.2405542239999998</v>
      </c>
      <c r="F199">
        <v>1.1697046499999999</v>
      </c>
      <c r="H199">
        <v>2.0526832650000002</v>
      </c>
      <c r="I199">
        <v>-9.9897710000000001E-2</v>
      </c>
      <c r="J199">
        <v>7.463833953</v>
      </c>
      <c r="K199">
        <v>9.1999999999999993</v>
      </c>
      <c r="L199">
        <v>2.8100257420000001</v>
      </c>
      <c r="M199">
        <v>0.90718403700000005</v>
      </c>
      <c r="N199">
        <v>3.7677123140000002</v>
      </c>
      <c r="O199">
        <v>1.7606938240000001</v>
      </c>
      <c r="P199">
        <v>2.9788823889999998</v>
      </c>
      <c r="Q199">
        <v>7.1198548199999996</v>
      </c>
      <c r="R199">
        <v>1.75642458</v>
      </c>
      <c r="T199">
        <v>3.25219704</v>
      </c>
      <c r="U199">
        <v>1.368267007</v>
      </c>
      <c r="V199">
        <v>2.7792268789999999</v>
      </c>
      <c r="X199">
        <v>2.1130457859999998</v>
      </c>
      <c r="Y199">
        <v>3.088905697</v>
      </c>
      <c r="Z199">
        <v>-0.557074772</v>
      </c>
      <c r="AB199">
        <v>5.758782493</v>
      </c>
      <c r="AC199">
        <v>2.8897116559999998</v>
      </c>
      <c r="AD199">
        <v>5.2764363080000001</v>
      </c>
      <c r="AE199">
        <v>1.093062771</v>
      </c>
      <c r="AF199">
        <v>2.476517667</v>
      </c>
      <c r="AG199">
        <v>7.7745011499999999</v>
      </c>
      <c r="AH199">
        <v>2.470185329</v>
      </c>
      <c r="AI199">
        <v>3.4605542859999998</v>
      </c>
      <c r="AJ199">
        <v>7.8171634059999997</v>
      </c>
      <c r="AK199">
        <v>3.6852796049999998</v>
      </c>
      <c r="AL199">
        <v>6.0416577900000004</v>
      </c>
      <c r="AM199">
        <v>3.66894198</v>
      </c>
      <c r="AN199">
        <v>3.1883027340000001</v>
      </c>
      <c r="AO199">
        <v>5.9761532009999998</v>
      </c>
      <c r="AP199">
        <v>4.0832396019999999</v>
      </c>
      <c r="AR199">
        <v>7.4724036729999996</v>
      </c>
      <c r="AS199">
        <v>3.3923186869999999</v>
      </c>
      <c r="AT199">
        <v>1.342619923</v>
      </c>
      <c r="AV199">
        <v>4.0499213899999997</v>
      </c>
      <c r="AW199">
        <v>4.6447513850000002</v>
      </c>
    </row>
    <row r="200" spans="1:49" x14ac:dyDescent="0.2">
      <c r="A200" t="s">
        <v>264</v>
      </c>
      <c r="B200" s="74">
        <v>35431</v>
      </c>
      <c r="C200">
        <v>9.410196998</v>
      </c>
      <c r="D200">
        <v>4.0865811599999997</v>
      </c>
      <c r="E200">
        <v>2.0592661040000002</v>
      </c>
      <c r="F200">
        <v>1.7578966380000001</v>
      </c>
      <c r="H200">
        <v>2.4547085740000001</v>
      </c>
      <c r="I200">
        <v>0.47002727599999999</v>
      </c>
      <c r="J200">
        <v>6.9195036290000003</v>
      </c>
      <c r="K200">
        <v>10.3</v>
      </c>
      <c r="L200">
        <v>3.6462400370000001</v>
      </c>
      <c r="M200">
        <v>1.6195632419999999</v>
      </c>
      <c r="N200">
        <v>3.049006173</v>
      </c>
      <c r="O200">
        <v>1.9020739129999999</v>
      </c>
      <c r="P200">
        <v>2.7472162569999998</v>
      </c>
      <c r="Q200">
        <v>8.0325954250000002</v>
      </c>
      <c r="R200">
        <v>1.6134080479999999</v>
      </c>
      <c r="T200">
        <v>5.134502586</v>
      </c>
      <c r="U200">
        <v>1.5808484920000001</v>
      </c>
      <c r="V200">
        <v>3.230024625</v>
      </c>
      <c r="X200">
        <v>3.4487621530000001</v>
      </c>
      <c r="Y200">
        <v>3.5811319720000001</v>
      </c>
      <c r="Z200">
        <v>1.115275308</v>
      </c>
      <c r="AB200">
        <v>6.3101407649999999</v>
      </c>
      <c r="AC200">
        <v>5.172166153</v>
      </c>
      <c r="AD200">
        <v>6.0198684919999996</v>
      </c>
      <c r="AE200">
        <v>-4.2468404000000001E-2</v>
      </c>
      <c r="AF200">
        <v>3.371864816</v>
      </c>
      <c r="AG200">
        <v>7.5851555900000003</v>
      </c>
      <c r="AH200">
        <v>2.7512388959999998</v>
      </c>
      <c r="AI200">
        <v>8.6729719979999995</v>
      </c>
      <c r="AJ200">
        <v>8.9882184699999996</v>
      </c>
      <c r="AK200">
        <v>3.6838023940000002</v>
      </c>
      <c r="AL200">
        <v>3.0688962740000001</v>
      </c>
      <c r="AM200">
        <v>4.3255842109999998</v>
      </c>
      <c r="AN200">
        <v>3.6275169009999999</v>
      </c>
      <c r="AO200">
        <v>1.82622051</v>
      </c>
      <c r="AP200">
        <v>3.6746886189999999</v>
      </c>
      <c r="AR200">
        <v>7.5406904040000002</v>
      </c>
      <c r="AS200">
        <v>4.9539464850000003</v>
      </c>
      <c r="AT200">
        <v>1.005477843</v>
      </c>
      <c r="AV200">
        <v>4.4213144519999998</v>
      </c>
      <c r="AW200">
        <v>5.2723973409999996</v>
      </c>
    </row>
    <row r="201" spans="1:49" x14ac:dyDescent="0.2">
      <c r="A201" t="s">
        <v>265</v>
      </c>
      <c r="B201" s="74">
        <v>35521</v>
      </c>
      <c r="C201">
        <v>8.7186427490000007</v>
      </c>
      <c r="D201">
        <v>3.0394531499999999</v>
      </c>
      <c r="E201">
        <v>1.946193407</v>
      </c>
      <c r="F201">
        <v>2.9854071520000001</v>
      </c>
      <c r="G201">
        <v>4.7874302919999998</v>
      </c>
      <c r="H201">
        <v>3.7348895089999998</v>
      </c>
      <c r="I201">
        <v>0.75421014600000003</v>
      </c>
      <c r="J201">
        <v>5.809965161</v>
      </c>
      <c r="K201">
        <v>10.1</v>
      </c>
      <c r="L201">
        <v>0.76990423699999999</v>
      </c>
      <c r="M201">
        <v>1.9205127019999999</v>
      </c>
      <c r="N201">
        <v>4.3267001179999998</v>
      </c>
      <c r="O201">
        <v>1.9578064559999999</v>
      </c>
      <c r="P201">
        <v>3.1805677819999998</v>
      </c>
      <c r="Q201">
        <v>10.951755647000001</v>
      </c>
      <c r="R201">
        <v>2.0225074890000001</v>
      </c>
      <c r="T201">
        <v>4.4901087049999999</v>
      </c>
      <c r="U201">
        <v>1.2147796179999999</v>
      </c>
      <c r="V201">
        <v>3.2440796490000001</v>
      </c>
      <c r="X201">
        <v>4.7234561399999997</v>
      </c>
      <c r="Y201">
        <v>3.6099204560000002</v>
      </c>
      <c r="Z201">
        <v>1.4722842490000001</v>
      </c>
      <c r="AB201">
        <v>7.1117328210000004</v>
      </c>
      <c r="AC201">
        <v>4.9790982530000001</v>
      </c>
      <c r="AD201">
        <v>5.4078303270000001</v>
      </c>
      <c r="AE201">
        <v>7.2796069000000005E-2</v>
      </c>
      <c r="AF201">
        <v>2.799092286</v>
      </c>
      <c r="AG201">
        <v>6.0648618689999996</v>
      </c>
      <c r="AH201">
        <v>2.1871841120000002</v>
      </c>
      <c r="AI201">
        <v>7.8548125979999996</v>
      </c>
      <c r="AJ201">
        <v>6.3078077419999996</v>
      </c>
      <c r="AK201">
        <v>4.3861176650000004</v>
      </c>
      <c r="AL201">
        <v>4.2616232759999999</v>
      </c>
      <c r="AM201">
        <v>2.4925373130000001</v>
      </c>
      <c r="AN201">
        <v>3.5183513880000001</v>
      </c>
      <c r="AO201">
        <v>6.0310680129999996</v>
      </c>
      <c r="AP201">
        <v>4.5539999690000004</v>
      </c>
      <c r="AR201">
        <v>6.8014915330000001</v>
      </c>
      <c r="AS201">
        <v>4.8089077769999999</v>
      </c>
      <c r="AT201">
        <v>1.241568507</v>
      </c>
      <c r="AV201">
        <v>4.3141345409999996</v>
      </c>
      <c r="AW201">
        <v>3.8375015160000001</v>
      </c>
    </row>
    <row r="202" spans="1:49" x14ac:dyDescent="0.2">
      <c r="A202" t="s">
        <v>266</v>
      </c>
      <c r="B202" s="74">
        <v>35612</v>
      </c>
      <c r="C202">
        <v>7.9303330599999997</v>
      </c>
      <c r="D202">
        <v>5.3795514080000002</v>
      </c>
      <c r="E202">
        <v>1.3476234090000001</v>
      </c>
      <c r="F202">
        <v>3.849557522</v>
      </c>
      <c r="G202">
        <v>4.5565925869999999</v>
      </c>
      <c r="H202">
        <v>4.1813046429999998</v>
      </c>
      <c r="I202">
        <v>1.661154955</v>
      </c>
      <c r="J202">
        <v>6.9480524770000001</v>
      </c>
      <c r="K202">
        <v>10</v>
      </c>
      <c r="L202">
        <v>-0.12189744700000001</v>
      </c>
      <c r="M202">
        <v>1.8560924430000001</v>
      </c>
      <c r="N202">
        <v>3.320563274</v>
      </c>
      <c r="O202">
        <v>2.4758058360000001</v>
      </c>
      <c r="P202">
        <v>3.3533221919999998</v>
      </c>
      <c r="Q202">
        <v>13.679316105</v>
      </c>
      <c r="R202">
        <v>2.5108982009999998</v>
      </c>
      <c r="T202">
        <v>5.2462617219999998</v>
      </c>
      <c r="U202">
        <v>2.1109750109999998</v>
      </c>
      <c r="V202">
        <v>3.1094508319999998</v>
      </c>
      <c r="X202">
        <v>5.3864389350000001</v>
      </c>
      <c r="Y202">
        <v>4.7848213590000004</v>
      </c>
      <c r="Z202">
        <v>3.1717700240000002</v>
      </c>
      <c r="AA202">
        <v>3.2718699999999998</v>
      </c>
      <c r="AB202">
        <v>9.9014703080000004</v>
      </c>
      <c r="AC202">
        <v>5.2539259960000004</v>
      </c>
      <c r="AD202">
        <v>4.5773011449999998</v>
      </c>
      <c r="AE202">
        <v>1.507795945</v>
      </c>
      <c r="AF202">
        <v>0.74561840700000004</v>
      </c>
      <c r="AG202">
        <v>7.6559367079999996</v>
      </c>
      <c r="AH202">
        <v>11.230126650000001</v>
      </c>
      <c r="AI202">
        <v>12.493150289000001</v>
      </c>
      <c r="AJ202">
        <v>7.3469228720000004</v>
      </c>
      <c r="AK202">
        <v>4.3099945569999996</v>
      </c>
      <c r="AL202">
        <v>6.9230689380000001</v>
      </c>
      <c r="AM202">
        <v>3.580093497</v>
      </c>
      <c r="AN202">
        <v>3.6576335439999998</v>
      </c>
      <c r="AO202">
        <v>5.178154127</v>
      </c>
      <c r="AP202">
        <v>4.2534843499999999</v>
      </c>
      <c r="AR202">
        <v>7.1230504400000001</v>
      </c>
      <c r="AS202">
        <v>5.9684045440000002</v>
      </c>
      <c r="AT202">
        <v>3.2646008900000001</v>
      </c>
      <c r="AV202">
        <v>4.3080749789999997</v>
      </c>
      <c r="AW202">
        <v>3.258806281</v>
      </c>
    </row>
    <row r="203" spans="1:49" x14ac:dyDescent="0.2">
      <c r="A203" t="s">
        <v>267</v>
      </c>
      <c r="B203" s="74">
        <v>35704</v>
      </c>
      <c r="C203">
        <v>8.1630179300000005</v>
      </c>
      <c r="D203">
        <v>4.717808636</v>
      </c>
      <c r="E203">
        <v>2.2936470739999999</v>
      </c>
      <c r="F203">
        <v>4.2847508019999996</v>
      </c>
      <c r="G203">
        <v>1.8734734049999999</v>
      </c>
      <c r="H203">
        <v>4.5112719959999996</v>
      </c>
      <c r="I203">
        <v>3.2071506680000001</v>
      </c>
      <c r="J203">
        <v>8.2844879690000006</v>
      </c>
      <c r="K203">
        <v>8.6</v>
      </c>
      <c r="L203">
        <v>-1.218810406</v>
      </c>
      <c r="M203">
        <v>1.8365648809999999</v>
      </c>
      <c r="N203">
        <v>2.7383265689999998</v>
      </c>
      <c r="O203">
        <v>2.7819588639999999</v>
      </c>
      <c r="P203">
        <v>3.6941371410000001</v>
      </c>
      <c r="Q203">
        <v>13.142512499</v>
      </c>
      <c r="R203">
        <v>2.762030695</v>
      </c>
      <c r="T203">
        <v>7.1058599549999997</v>
      </c>
      <c r="U203">
        <v>2.5960494170000001</v>
      </c>
      <c r="V203">
        <v>3.3478226809999998</v>
      </c>
      <c r="X203">
        <v>4.9457456759999996</v>
      </c>
      <c r="Y203">
        <v>5.0277661580000004</v>
      </c>
      <c r="Z203">
        <v>4.259383261</v>
      </c>
      <c r="AA203">
        <v>3.9952100000000002</v>
      </c>
      <c r="AB203">
        <v>12.587716298</v>
      </c>
      <c r="AC203">
        <v>6.1305583329999997</v>
      </c>
      <c r="AD203">
        <v>3.2766659690000002</v>
      </c>
      <c r="AE203">
        <v>2.038184679</v>
      </c>
      <c r="AF203">
        <v>0.81577856699999995</v>
      </c>
      <c r="AG203">
        <v>6.632700464</v>
      </c>
      <c r="AH203">
        <v>4.394313167</v>
      </c>
      <c r="AI203">
        <v>10.626674862</v>
      </c>
      <c r="AJ203">
        <v>7.5792440110000001</v>
      </c>
      <c r="AK203">
        <v>4.364193094</v>
      </c>
      <c r="AL203">
        <v>3.3637152050000001</v>
      </c>
      <c r="AM203">
        <v>2.65138154</v>
      </c>
      <c r="AN203">
        <v>3.8417477350000002</v>
      </c>
      <c r="AO203">
        <v>4.0019985010000001</v>
      </c>
      <c r="AP203">
        <v>4.1960411479999999</v>
      </c>
      <c r="AR203">
        <v>6.2417251030000003</v>
      </c>
      <c r="AS203">
        <v>5.5273408000000002</v>
      </c>
      <c r="AT203">
        <v>3.57154309</v>
      </c>
      <c r="AV203">
        <v>4.6738025749999998</v>
      </c>
      <c r="AW203">
        <v>2.1444353330000001</v>
      </c>
    </row>
    <row r="204" spans="1:49" x14ac:dyDescent="0.2">
      <c r="A204" t="s">
        <v>268</v>
      </c>
      <c r="B204" s="74">
        <v>35796</v>
      </c>
      <c r="C204">
        <v>7.6628909869999999</v>
      </c>
      <c r="D204">
        <v>5.259586154</v>
      </c>
      <c r="E204">
        <v>3.2051747179999999</v>
      </c>
      <c r="F204">
        <v>4.0450113349999999</v>
      </c>
      <c r="G204">
        <v>3.7284647579999999</v>
      </c>
      <c r="H204">
        <v>4.6802185999999999</v>
      </c>
      <c r="I204">
        <v>3.314511827</v>
      </c>
      <c r="J204">
        <v>9.0268368030000001</v>
      </c>
      <c r="K204">
        <v>8.6</v>
      </c>
      <c r="L204">
        <v>-1.560838508</v>
      </c>
      <c r="M204">
        <v>1.8232226090000001</v>
      </c>
      <c r="N204">
        <v>2.6893725270000002</v>
      </c>
      <c r="O204">
        <v>3.4453702349999999</v>
      </c>
      <c r="P204">
        <v>4.5665101049999999</v>
      </c>
      <c r="Q204">
        <v>14.362157861</v>
      </c>
      <c r="R204">
        <v>3.5063419040000001</v>
      </c>
      <c r="T204">
        <v>8.2339361289999999</v>
      </c>
      <c r="U204">
        <v>3.3929541909999998</v>
      </c>
      <c r="V204">
        <v>3.2668528719999999</v>
      </c>
      <c r="X204">
        <v>4.5887920409999996</v>
      </c>
      <c r="Y204">
        <v>4.9176276630000002</v>
      </c>
      <c r="Z204">
        <v>3.8287520000000002</v>
      </c>
      <c r="AA204">
        <v>4.0108499999999996</v>
      </c>
      <c r="AB204">
        <v>12.986018725999999</v>
      </c>
      <c r="AC204">
        <v>6.7253382159999999</v>
      </c>
      <c r="AD204">
        <v>3.4701571480000002</v>
      </c>
      <c r="AE204">
        <v>4.1717018619999999</v>
      </c>
      <c r="AF204">
        <v>-0.26384286800000001</v>
      </c>
      <c r="AG204">
        <v>4.3807778529999997</v>
      </c>
      <c r="AH204">
        <v>4.1597021070000002</v>
      </c>
      <c r="AI204">
        <v>5.4883086040000002</v>
      </c>
      <c r="AJ204">
        <v>7.0182041829999999</v>
      </c>
      <c r="AK204">
        <v>4.9569828249999999</v>
      </c>
      <c r="AL204">
        <v>6.5330506509999999</v>
      </c>
      <c r="AM204">
        <v>1.128681271</v>
      </c>
      <c r="AN204">
        <v>3.7860447399999999</v>
      </c>
      <c r="AO204">
        <v>10.217624757999999</v>
      </c>
      <c r="AP204">
        <v>4.6012456019999997</v>
      </c>
      <c r="AR204">
        <v>3.6425825970000001</v>
      </c>
      <c r="AS204">
        <v>4.114413635</v>
      </c>
      <c r="AT204">
        <v>4.956504657</v>
      </c>
      <c r="AV204">
        <v>4.4876844580000004</v>
      </c>
      <c r="AW204">
        <v>1.2090326570000001</v>
      </c>
    </row>
    <row r="205" spans="1:49" x14ac:dyDescent="0.2">
      <c r="A205" t="s">
        <v>269</v>
      </c>
      <c r="B205" s="74">
        <v>35886</v>
      </c>
      <c r="C205">
        <v>5.993873078</v>
      </c>
      <c r="D205">
        <v>5.3142859400000004</v>
      </c>
      <c r="E205">
        <v>3.4060062580000001</v>
      </c>
      <c r="F205">
        <v>3.2801514329999999</v>
      </c>
      <c r="G205">
        <v>0.72392851499999999</v>
      </c>
      <c r="H205">
        <v>4.7765522340000004</v>
      </c>
      <c r="I205">
        <v>3.5090192199999999</v>
      </c>
      <c r="J205">
        <v>7.4656713049999999</v>
      </c>
      <c r="K205">
        <v>7.3</v>
      </c>
      <c r="L205">
        <v>-1.1201704770000001</v>
      </c>
      <c r="M205">
        <v>3.3392338810000002</v>
      </c>
      <c r="N205">
        <v>2.9456331389999999</v>
      </c>
      <c r="O205">
        <v>3.8519845570000002</v>
      </c>
      <c r="P205">
        <v>4.4224996130000003</v>
      </c>
      <c r="Q205">
        <v>11.26436305</v>
      </c>
      <c r="R205">
        <v>3.8218637590000002</v>
      </c>
      <c r="T205">
        <v>6.1931278010000002</v>
      </c>
      <c r="U205">
        <v>3.9786356899999999</v>
      </c>
      <c r="V205">
        <v>3.228487479</v>
      </c>
      <c r="X205">
        <v>3.4540718859999999</v>
      </c>
      <c r="Y205">
        <v>5.5748591770000004</v>
      </c>
      <c r="Z205">
        <v>3.656097113</v>
      </c>
      <c r="AA205">
        <v>4.9169499999999999</v>
      </c>
      <c r="AB205">
        <v>10.111290568999999</v>
      </c>
      <c r="AC205">
        <v>-0.35297505699999998</v>
      </c>
      <c r="AD205">
        <v>3.7889089079999998</v>
      </c>
      <c r="AE205">
        <v>3.0740214469999998</v>
      </c>
      <c r="AF205">
        <v>-1.733391511</v>
      </c>
      <c r="AG205">
        <v>-3.1890635450000002</v>
      </c>
      <c r="AH205">
        <v>4.6161454370000001</v>
      </c>
      <c r="AI205">
        <v>12.312469292999999</v>
      </c>
      <c r="AJ205">
        <v>7.8094389519999998</v>
      </c>
      <c r="AK205">
        <v>5.2249159440000001</v>
      </c>
      <c r="AL205">
        <v>4.7484274649999998</v>
      </c>
      <c r="AM205">
        <v>0.94073103199999997</v>
      </c>
      <c r="AN205">
        <v>3.5756816850000002</v>
      </c>
      <c r="AO205">
        <v>5.6587879599999997</v>
      </c>
      <c r="AP205">
        <v>4.398434698</v>
      </c>
      <c r="AR205">
        <v>4.4358319880000003</v>
      </c>
      <c r="AS205">
        <v>4.2195767230000003</v>
      </c>
      <c r="AT205">
        <v>4.4281452410000002</v>
      </c>
      <c r="AV205">
        <v>4.8550058829999996</v>
      </c>
      <c r="AW205">
        <v>1.0060257560000001</v>
      </c>
    </row>
    <row r="206" spans="1:49" x14ac:dyDescent="0.2">
      <c r="A206" t="s">
        <v>270</v>
      </c>
      <c r="B206" s="74">
        <v>35977</v>
      </c>
      <c r="C206">
        <v>6.4868224349999997</v>
      </c>
      <c r="D206">
        <v>3.2120299829999999</v>
      </c>
      <c r="E206">
        <v>4.2021208000000003</v>
      </c>
      <c r="F206">
        <v>2.0451640389999999</v>
      </c>
      <c r="G206">
        <v>1.6859274609999999</v>
      </c>
      <c r="H206">
        <v>3.661507904</v>
      </c>
      <c r="I206">
        <v>4.0043194289999997</v>
      </c>
      <c r="J206">
        <v>7.060494104</v>
      </c>
      <c r="K206">
        <v>6.9</v>
      </c>
      <c r="L206">
        <v>-0.62373177899999999</v>
      </c>
      <c r="M206">
        <v>1.575506415</v>
      </c>
      <c r="N206">
        <v>0.44307299100000003</v>
      </c>
      <c r="O206">
        <v>3.0677116870000001</v>
      </c>
      <c r="P206">
        <v>4.6511873689999996</v>
      </c>
      <c r="Q206">
        <v>6.1731248330000001</v>
      </c>
      <c r="R206">
        <v>3.027819831</v>
      </c>
      <c r="T206">
        <v>6.7158987530000003</v>
      </c>
      <c r="U206">
        <v>3.818100313</v>
      </c>
      <c r="V206">
        <v>2.6397197139999999</v>
      </c>
      <c r="X206">
        <v>3.323224357</v>
      </c>
      <c r="Y206">
        <v>4.2545392660000001</v>
      </c>
      <c r="Z206">
        <v>4.1669694850000001</v>
      </c>
      <c r="AA206">
        <v>5.8582799999999997</v>
      </c>
      <c r="AB206">
        <v>8.6048512909999992</v>
      </c>
      <c r="AC206">
        <v>9.1079244500000005</v>
      </c>
      <c r="AD206">
        <v>3.2940119939999999</v>
      </c>
      <c r="AE206">
        <v>2.2946703739999998</v>
      </c>
      <c r="AF206">
        <v>-1.4137529209999999</v>
      </c>
      <c r="AG206">
        <v>-7.263875197</v>
      </c>
      <c r="AH206">
        <v>6.9947089599999996</v>
      </c>
      <c r="AI206">
        <v>7.3607134670000001</v>
      </c>
      <c r="AJ206">
        <v>6.1467957340000003</v>
      </c>
      <c r="AK206">
        <v>4.8858975940000002</v>
      </c>
      <c r="AL206">
        <v>3.4402248389999999</v>
      </c>
      <c r="AM206">
        <v>-0.51131170000000004</v>
      </c>
      <c r="AN206">
        <v>2.7522486829999999</v>
      </c>
      <c r="AO206">
        <v>3.949965293</v>
      </c>
      <c r="AP206">
        <v>5.0472234340000002</v>
      </c>
      <c r="AR206">
        <v>2.922947593</v>
      </c>
      <c r="AS206">
        <v>2.6126457759999999</v>
      </c>
      <c r="AT206">
        <v>4.6200788890000002</v>
      </c>
      <c r="AV206">
        <v>4.0957268410000003</v>
      </c>
      <c r="AW206">
        <v>0.51821165899999999</v>
      </c>
    </row>
    <row r="207" spans="1:49" x14ac:dyDescent="0.2">
      <c r="A207" t="s">
        <v>271</v>
      </c>
      <c r="B207" s="74">
        <v>36069</v>
      </c>
      <c r="C207">
        <v>3.5557256609999999</v>
      </c>
      <c r="D207">
        <v>5.0131956400000002</v>
      </c>
      <c r="E207">
        <v>3.5419871330000001</v>
      </c>
      <c r="F207">
        <v>1.4491988490000001</v>
      </c>
      <c r="G207">
        <v>0.49489572799999998</v>
      </c>
      <c r="H207">
        <v>3.381592962</v>
      </c>
      <c r="I207">
        <v>2.8406577770000001</v>
      </c>
      <c r="J207">
        <v>3.9922085159999998</v>
      </c>
      <c r="K207">
        <v>7.8</v>
      </c>
      <c r="L207">
        <v>-8.0120039999999997E-3</v>
      </c>
      <c r="M207">
        <v>1.734068336</v>
      </c>
      <c r="N207">
        <v>2.5781058319999999</v>
      </c>
      <c r="O207">
        <v>2.8401544940000001</v>
      </c>
      <c r="P207">
        <v>4.3980719920000002</v>
      </c>
      <c r="Q207">
        <v>3.2834223420000002</v>
      </c>
      <c r="R207">
        <v>2.8955498199999998</v>
      </c>
      <c r="T207">
        <v>5.5678996209999996</v>
      </c>
      <c r="U207">
        <v>3.5210944300000002</v>
      </c>
      <c r="V207">
        <v>2.5804799690000002</v>
      </c>
      <c r="X207">
        <v>3.1629554660000001</v>
      </c>
      <c r="Y207">
        <v>2.975993538</v>
      </c>
      <c r="Z207">
        <v>4.2036948870000002</v>
      </c>
      <c r="AA207">
        <v>6.5088699999999999</v>
      </c>
      <c r="AB207">
        <v>10.872713215999999</v>
      </c>
      <c r="AC207">
        <v>10.067178757000001</v>
      </c>
      <c r="AD207">
        <v>4.2504585500000003</v>
      </c>
      <c r="AE207">
        <v>1.77414987</v>
      </c>
      <c r="AF207">
        <v>-1.4380206069999999</v>
      </c>
      <c r="AG207">
        <v>-6.3848271839999997</v>
      </c>
      <c r="AH207">
        <v>7.750321853</v>
      </c>
      <c r="AI207">
        <v>4.5018989149999999</v>
      </c>
      <c r="AJ207">
        <v>4.7043189559999998</v>
      </c>
      <c r="AK207">
        <v>4.2664461139999998</v>
      </c>
      <c r="AL207">
        <v>1.694102631</v>
      </c>
      <c r="AM207">
        <v>-0.171811466</v>
      </c>
      <c r="AN207">
        <v>2.5500381839999999</v>
      </c>
      <c r="AO207">
        <v>5.098122719</v>
      </c>
      <c r="AP207">
        <v>4.847647587</v>
      </c>
      <c r="AR207">
        <v>0.4166511</v>
      </c>
      <c r="AS207">
        <v>2.60729335</v>
      </c>
      <c r="AT207">
        <v>4.3751064240000002</v>
      </c>
      <c r="AV207">
        <v>4.0977686230000003</v>
      </c>
      <c r="AW207">
        <v>0.19842209599999999</v>
      </c>
    </row>
    <row r="208" spans="1:49" x14ac:dyDescent="0.2">
      <c r="A208" t="s">
        <v>272</v>
      </c>
      <c r="B208" s="74">
        <v>36161</v>
      </c>
      <c r="C208">
        <v>-0.42983384800000002</v>
      </c>
      <c r="D208">
        <v>5.0706742419999999</v>
      </c>
      <c r="E208">
        <v>2.8800138569999998</v>
      </c>
      <c r="F208">
        <v>1.1130361740000001</v>
      </c>
      <c r="G208">
        <v>-1.4602367810000001</v>
      </c>
      <c r="H208">
        <v>3.7833187339999998</v>
      </c>
      <c r="I208">
        <v>1.815489417</v>
      </c>
      <c r="J208">
        <v>-1.471066787</v>
      </c>
      <c r="K208">
        <v>9.1</v>
      </c>
      <c r="L208">
        <v>0.36819944599999999</v>
      </c>
      <c r="M208">
        <v>0.56970094800000004</v>
      </c>
      <c r="N208">
        <v>2.9211877319999999</v>
      </c>
      <c r="O208">
        <v>1.819408782</v>
      </c>
      <c r="P208">
        <v>4.1090174829999997</v>
      </c>
      <c r="Q208">
        <v>-1.67642454</v>
      </c>
      <c r="R208">
        <v>1.9279313090000001</v>
      </c>
      <c r="T208">
        <v>3.4558935549999998</v>
      </c>
      <c r="U208">
        <v>3.1034093880000002</v>
      </c>
      <c r="V208">
        <v>2.7353714170000001</v>
      </c>
      <c r="X208">
        <v>2.6869006610000001</v>
      </c>
      <c r="Y208">
        <v>2.8072379789999999</v>
      </c>
      <c r="Z208">
        <v>3.3750720190000001</v>
      </c>
      <c r="AA208">
        <v>6.2047100000000004</v>
      </c>
      <c r="AB208">
        <v>5.9881223690000001</v>
      </c>
      <c r="AC208">
        <v>10.565392908</v>
      </c>
      <c r="AD208">
        <v>3.341054771</v>
      </c>
      <c r="AE208">
        <v>-0.49749491400000001</v>
      </c>
      <c r="AF208">
        <v>-0.68408869800000005</v>
      </c>
      <c r="AG208">
        <v>-3.6086065399999998</v>
      </c>
      <c r="AH208">
        <v>7.2134153269999999</v>
      </c>
      <c r="AI208">
        <v>1.589114532</v>
      </c>
      <c r="AJ208">
        <v>2.308944205</v>
      </c>
      <c r="AK208">
        <v>3.887741933</v>
      </c>
      <c r="AL208">
        <v>0.79029035299999995</v>
      </c>
      <c r="AM208">
        <v>1.0357491249999999</v>
      </c>
      <c r="AN208">
        <v>2.4645254489999999</v>
      </c>
      <c r="AO208">
        <v>3.584637656</v>
      </c>
      <c r="AP208">
        <v>4.9318881450000003</v>
      </c>
      <c r="AR208">
        <v>8.5447495480000004</v>
      </c>
      <c r="AS208">
        <v>2.9993130410000002</v>
      </c>
      <c r="AT208">
        <v>3.4986727910000002</v>
      </c>
      <c r="AV208">
        <v>4.8795407759999998</v>
      </c>
      <c r="AW208">
        <v>0.28104335499999999</v>
      </c>
    </row>
    <row r="209" spans="1:49" x14ac:dyDescent="0.2">
      <c r="A209" t="s">
        <v>273</v>
      </c>
      <c r="B209" s="74">
        <v>36251</v>
      </c>
      <c r="C209">
        <v>-2.1764920640000001</v>
      </c>
      <c r="D209">
        <v>5.1446162600000003</v>
      </c>
      <c r="E209">
        <v>2.8098805649999998</v>
      </c>
      <c r="F209">
        <v>1.9047993089999999</v>
      </c>
      <c r="G209">
        <v>0.81015598300000002</v>
      </c>
      <c r="H209">
        <v>4.1941041669999999</v>
      </c>
      <c r="I209">
        <v>0.99444150899999995</v>
      </c>
      <c r="J209">
        <v>-2.2375069710000002</v>
      </c>
      <c r="K209">
        <v>8.9</v>
      </c>
      <c r="L209">
        <v>0.39478470100000002</v>
      </c>
      <c r="M209">
        <v>0.78150363700000003</v>
      </c>
      <c r="N209">
        <v>2.3110575400000002</v>
      </c>
      <c r="O209">
        <v>2.2923579840000001</v>
      </c>
      <c r="P209">
        <v>4.2351979980000003</v>
      </c>
      <c r="Q209">
        <v>-3.2141059589999998</v>
      </c>
      <c r="R209">
        <v>2.2771221609999999</v>
      </c>
      <c r="T209">
        <v>5.934262693</v>
      </c>
      <c r="U209">
        <v>3.3472366579999999</v>
      </c>
      <c r="V209">
        <v>2.8456661950000002</v>
      </c>
      <c r="X209">
        <v>2.5958655309999998</v>
      </c>
      <c r="Y209">
        <v>2.3617043550000001</v>
      </c>
      <c r="Z209">
        <v>2.5340240509999998</v>
      </c>
      <c r="AA209">
        <v>6.1985200000000003</v>
      </c>
      <c r="AB209">
        <v>9.2659256390000007</v>
      </c>
      <c r="AC209">
        <v>13.130337029</v>
      </c>
      <c r="AD209">
        <v>0.97411349899999999</v>
      </c>
      <c r="AE209">
        <v>0.83675098800000003</v>
      </c>
      <c r="AF209">
        <v>-0.84019083999999999</v>
      </c>
      <c r="AG209">
        <v>6.5833975389999999</v>
      </c>
      <c r="AH209">
        <v>8.9879145509999994</v>
      </c>
      <c r="AI209">
        <v>-0.60825754399999998</v>
      </c>
      <c r="AJ209">
        <v>2.3986203349999999</v>
      </c>
      <c r="AK209">
        <v>4.2134169999999997</v>
      </c>
      <c r="AL209">
        <v>0.54892903500000001</v>
      </c>
      <c r="AM209">
        <v>2.8132033010000002</v>
      </c>
      <c r="AN209">
        <v>2.715322703</v>
      </c>
      <c r="AO209">
        <v>1.381236635</v>
      </c>
      <c r="AP209">
        <v>4.809349106</v>
      </c>
      <c r="AR209">
        <v>3.1043830140000002</v>
      </c>
      <c r="AS209">
        <v>4.0419337029999998</v>
      </c>
      <c r="AT209">
        <v>4.2635522210000003</v>
      </c>
      <c r="AU209">
        <v>-4.0900212749999998</v>
      </c>
      <c r="AV209">
        <v>4.8218579320000003</v>
      </c>
      <c r="AW209">
        <v>0.97953619599999997</v>
      </c>
    </row>
    <row r="210" spans="1:49" x14ac:dyDescent="0.2">
      <c r="A210" t="s">
        <v>274</v>
      </c>
      <c r="B210" s="74">
        <v>36342</v>
      </c>
      <c r="C210">
        <v>-5.1405824490000001</v>
      </c>
      <c r="D210">
        <v>4.5244872279999999</v>
      </c>
      <c r="E210">
        <v>3.0308108599999999</v>
      </c>
      <c r="F210">
        <v>2.956680585</v>
      </c>
      <c r="G210">
        <v>-0.57328802000000001</v>
      </c>
      <c r="H210">
        <v>5.0096612140000003</v>
      </c>
      <c r="I210">
        <v>0.66518490799999996</v>
      </c>
      <c r="J210">
        <v>-3.6059627249999999</v>
      </c>
      <c r="K210">
        <v>7.9</v>
      </c>
      <c r="L210">
        <v>0.58159202200000004</v>
      </c>
      <c r="M210">
        <v>1.220940342</v>
      </c>
      <c r="N210">
        <v>3.6219454010000001</v>
      </c>
      <c r="O210">
        <v>2.3047754619999998</v>
      </c>
      <c r="P210">
        <v>4.2950051499999997</v>
      </c>
      <c r="Q210">
        <v>-1.8098440149999999</v>
      </c>
      <c r="R210">
        <v>2.3572371890000001</v>
      </c>
      <c r="T210">
        <v>4.3902316719999996</v>
      </c>
      <c r="U210">
        <v>2.741281013</v>
      </c>
      <c r="V210">
        <v>2.9402877529999998</v>
      </c>
      <c r="X210">
        <v>2.1710676449999999</v>
      </c>
      <c r="Y210">
        <v>2.8619761800000001</v>
      </c>
      <c r="Z210">
        <v>2.062839018</v>
      </c>
      <c r="AA210">
        <v>7.5313600000000003</v>
      </c>
      <c r="AB210">
        <v>8.4609027700000006</v>
      </c>
      <c r="AC210">
        <v>0.14220792800000001</v>
      </c>
      <c r="AD210">
        <v>5.145577007</v>
      </c>
      <c r="AE210">
        <v>0.63299058900000005</v>
      </c>
      <c r="AF210">
        <v>-2.3780757E-2</v>
      </c>
      <c r="AG210">
        <v>12.161310752</v>
      </c>
      <c r="AH210">
        <v>7.5635883159999997</v>
      </c>
      <c r="AI210">
        <v>-1.6660718649999999</v>
      </c>
      <c r="AJ210">
        <v>2.2728752820000002</v>
      </c>
      <c r="AK210">
        <v>4.6244231960000004</v>
      </c>
      <c r="AL210">
        <v>-0.53229845600000003</v>
      </c>
      <c r="AM210">
        <v>3.1554164629999999</v>
      </c>
      <c r="AN210">
        <v>2.968409946</v>
      </c>
      <c r="AO210">
        <v>4.0123252999999997</v>
      </c>
      <c r="AP210">
        <v>3.7630549900000001</v>
      </c>
      <c r="AR210">
        <v>1.338653141</v>
      </c>
      <c r="AS210">
        <v>7.7211590430000001</v>
      </c>
      <c r="AT210">
        <v>3.5151225949999998</v>
      </c>
      <c r="AU210">
        <v>-3.8649236720000002</v>
      </c>
      <c r="AV210">
        <v>4.7275315129999997</v>
      </c>
      <c r="AW210">
        <v>1.639478496</v>
      </c>
    </row>
    <row r="211" spans="1:49" x14ac:dyDescent="0.2">
      <c r="A211" t="s">
        <v>275</v>
      </c>
      <c r="B211" s="74">
        <v>36434</v>
      </c>
      <c r="C211">
        <v>-5.1249172659999997</v>
      </c>
      <c r="D211">
        <v>3.7718943610000002</v>
      </c>
      <c r="E211">
        <v>3.7682719329999999</v>
      </c>
      <c r="F211">
        <v>4.1475853459999996</v>
      </c>
      <c r="G211">
        <v>-0.45889548499999999</v>
      </c>
      <c r="H211">
        <v>5.6907144110000001</v>
      </c>
      <c r="I211">
        <v>1.144000688</v>
      </c>
      <c r="J211">
        <v>-0.90690603400000003</v>
      </c>
      <c r="K211">
        <v>7.6</v>
      </c>
      <c r="L211">
        <v>1.470524326</v>
      </c>
      <c r="M211">
        <v>1.884277516</v>
      </c>
      <c r="N211">
        <v>2.3813169689999998</v>
      </c>
      <c r="O211">
        <v>2.8380643210000001</v>
      </c>
      <c r="P211">
        <v>4.6924943099999998</v>
      </c>
      <c r="Q211">
        <v>-0.69614542000000001</v>
      </c>
      <c r="R211">
        <v>2.8607018320000002</v>
      </c>
      <c r="T211">
        <v>3.6449176670000001</v>
      </c>
      <c r="U211">
        <v>3.1134709890000001</v>
      </c>
      <c r="V211">
        <v>3.298030292</v>
      </c>
      <c r="X211">
        <v>3.2616807310000002</v>
      </c>
      <c r="Y211">
        <v>2.8964432969999998</v>
      </c>
      <c r="Z211">
        <v>3.0380293869999999</v>
      </c>
      <c r="AA211">
        <v>6.92997</v>
      </c>
      <c r="AB211">
        <v>8.5791794330000002</v>
      </c>
      <c r="AC211">
        <v>1.2471659690000001</v>
      </c>
      <c r="AD211">
        <v>4.595801926</v>
      </c>
      <c r="AE211">
        <v>1.364548648</v>
      </c>
      <c r="AF211">
        <v>0.325921766</v>
      </c>
      <c r="AG211">
        <v>13.301165229</v>
      </c>
      <c r="AH211">
        <v>8.6475909410000007</v>
      </c>
      <c r="AI211">
        <v>2.761664573</v>
      </c>
      <c r="AJ211">
        <v>2.7402717239999999</v>
      </c>
      <c r="AK211">
        <v>5.1676466049999998</v>
      </c>
      <c r="AL211">
        <v>3.3655285780000002</v>
      </c>
      <c r="AM211">
        <v>5.9463025639999998</v>
      </c>
      <c r="AN211">
        <v>3.4181252639999999</v>
      </c>
      <c r="AO211">
        <v>5.4242924889999999</v>
      </c>
      <c r="AP211">
        <v>3.6315866510000001</v>
      </c>
      <c r="AR211">
        <v>1.535850765</v>
      </c>
      <c r="AS211">
        <v>4.0266934570000004</v>
      </c>
      <c r="AT211">
        <v>3.762977061</v>
      </c>
      <c r="AU211">
        <v>-4.1374980250000002</v>
      </c>
      <c r="AV211">
        <v>4.8002052370000001</v>
      </c>
      <c r="AW211">
        <v>2.9748264569999998</v>
      </c>
    </row>
    <row r="212" spans="1:49" x14ac:dyDescent="0.2">
      <c r="A212" t="s">
        <v>276</v>
      </c>
      <c r="B212" s="74">
        <v>36526</v>
      </c>
      <c r="C212">
        <v>-1.0144211869999999</v>
      </c>
      <c r="D212">
        <v>3.98055117</v>
      </c>
      <c r="E212">
        <v>3.9349439359999998</v>
      </c>
      <c r="F212">
        <v>5.145646191</v>
      </c>
      <c r="G212">
        <v>2.1475209990000002</v>
      </c>
      <c r="H212">
        <v>5.7387065660000003</v>
      </c>
      <c r="I212">
        <v>3.9306631670000001</v>
      </c>
      <c r="J212">
        <v>5.1052534270000001</v>
      </c>
      <c r="K212">
        <v>6.7</v>
      </c>
      <c r="L212">
        <v>2.5454116089999999</v>
      </c>
      <c r="M212">
        <v>3.1126046170000001</v>
      </c>
      <c r="N212">
        <v>3.4814985630000002</v>
      </c>
      <c r="O212">
        <v>3.9150214609999998</v>
      </c>
      <c r="P212">
        <v>4.7295792910000003</v>
      </c>
      <c r="Q212">
        <v>3.76500543</v>
      </c>
      <c r="R212">
        <v>3.9381642389999998</v>
      </c>
      <c r="T212">
        <v>3.6104361489999999</v>
      </c>
      <c r="U212">
        <v>3.953850944</v>
      </c>
      <c r="V212">
        <v>3.5829872389999999</v>
      </c>
      <c r="X212">
        <v>3.9159560249999998</v>
      </c>
      <c r="Y212">
        <v>3.7243394639999998</v>
      </c>
      <c r="Z212">
        <v>4.1724503999999998</v>
      </c>
      <c r="AA212">
        <v>7.2888799999999998</v>
      </c>
      <c r="AB212">
        <v>14.091839504999999</v>
      </c>
      <c r="AC212">
        <v>2.493294406</v>
      </c>
      <c r="AD212">
        <v>5.7060249540000001</v>
      </c>
      <c r="AE212">
        <v>3.4564813189999999</v>
      </c>
      <c r="AF212">
        <v>-0.441554063</v>
      </c>
      <c r="AG212">
        <v>13.732506182</v>
      </c>
      <c r="AH212">
        <v>7.5412695039999997</v>
      </c>
      <c r="AI212">
        <v>8.9619743920000001</v>
      </c>
      <c r="AJ212">
        <v>3.5453792069999999</v>
      </c>
      <c r="AK212">
        <v>5.6801320799999999</v>
      </c>
      <c r="AL212">
        <v>4.6086900020000003</v>
      </c>
      <c r="AM212">
        <v>6.1678262100000003</v>
      </c>
      <c r="AN212">
        <v>3.9222194949999998</v>
      </c>
      <c r="AO212">
        <v>7.2566166580000004</v>
      </c>
      <c r="AP212">
        <v>3.4476035110000001</v>
      </c>
      <c r="AR212">
        <v>-5.9970857559999997</v>
      </c>
      <c r="AS212">
        <v>5.0544050660000002</v>
      </c>
      <c r="AT212">
        <v>4.5019507030000003</v>
      </c>
      <c r="AU212">
        <v>-1.0176265069999999</v>
      </c>
      <c r="AV212">
        <v>4.82762665</v>
      </c>
      <c r="AW212">
        <v>4.007388325</v>
      </c>
    </row>
    <row r="213" spans="1:49" x14ac:dyDescent="0.2">
      <c r="A213" t="s">
        <v>277</v>
      </c>
      <c r="B213" s="74">
        <v>36617</v>
      </c>
      <c r="C213">
        <v>-0.106447324</v>
      </c>
      <c r="D213">
        <v>3.6284434060000001</v>
      </c>
      <c r="E213">
        <v>4.356733792</v>
      </c>
      <c r="F213">
        <v>4.7982425710000003</v>
      </c>
      <c r="G213">
        <v>2.8850908949999998</v>
      </c>
      <c r="H213">
        <v>5.516373336</v>
      </c>
      <c r="I213">
        <v>4.5274421599999997</v>
      </c>
      <c r="J213">
        <v>6.0779062550000003</v>
      </c>
      <c r="K213">
        <v>8.6999999999999993</v>
      </c>
      <c r="L213">
        <v>3.883609758</v>
      </c>
      <c r="M213">
        <v>3.3908313419999998</v>
      </c>
      <c r="N213">
        <v>3.5523246369999999</v>
      </c>
      <c r="O213">
        <v>4.0348422939999997</v>
      </c>
      <c r="P213">
        <v>5.352987572</v>
      </c>
      <c r="Q213">
        <v>8.5286258490000009</v>
      </c>
      <c r="R213">
        <v>4.0582321080000003</v>
      </c>
      <c r="T213">
        <v>4.969214053</v>
      </c>
      <c r="U213">
        <v>3.8598121679999999</v>
      </c>
      <c r="V213">
        <v>3.891802464</v>
      </c>
      <c r="X213">
        <v>4.3154259929999998</v>
      </c>
      <c r="Y213">
        <v>3.3304217739999999</v>
      </c>
      <c r="Z213">
        <v>4.9698435590000001</v>
      </c>
      <c r="AA213">
        <v>7.7907500000000001</v>
      </c>
      <c r="AB213">
        <v>8.5094832</v>
      </c>
      <c r="AC213">
        <v>2.4501929869999999</v>
      </c>
      <c r="AD213">
        <v>9.0336687199999997</v>
      </c>
      <c r="AE213">
        <v>3.8799192539999998</v>
      </c>
      <c r="AF213">
        <v>2.6638785290000002</v>
      </c>
      <c r="AG213">
        <v>12.474605041</v>
      </c>
      <c r="AH213">
        <v>10.085298909</v>
      </c>
      <c r="AI213">
        <v>6.2551925869999998</v>
      </c>
      <c r="AJ213">
        <v>4.4380031310000003</v>
      </c>
      <c r="AK213">
        <v>4.5948738799999997</v>
      </c>
      <c r="AL213">
        <v>5.392929627</v>
      </c>
      <c r="AM213">
        <v>6.4490781019999996</v>
      </c>
      <c r="AN213">
        <v>4.2690526750000002</v>
      </c>
      <c r="AO213">
        <v>6.264877834</v>
      </c>
      <c r="AP213">
        <v>4.3626133400000002</v>
      </c>
      <c r="AR213">
        <v>-1.7173884909999999</v>
      </c>
      <c r="AS213">
        <v>4.4372337230000003</v>
      </c>
      <c r="AT213">
        <v>4.0215526610000003</v>
      </c>
      <c r="AU213">
        <v>2.2652062910000001</v>
      </c>
      <c r="AV213">
        <v>4.2259558589999999</v>
      </c>
      <c r="AW213">
        <v>4.2214284720000004</v>
      </c>
    </row>
    <row r="214" spans="1:49" x14ac:dyDescent="0.2">
      <c r="A214" t="s">
        <v>278</v>
      </c>
      <c r="B214" s="74">
        <v>36708</v>
      </c>
      <c r="C214">
        <v>-0.59039067000000001</v>
      </c>
      <c r="D214">
        <v>4.2647314659999997</v>
      </c>
      <c r="E214">
        <v>3.700838697</v>
      </c>
      <c r="F214">
        <v>4.1276962460000002</v>
      </c>
      <c r="G214">
        <v>4.0919473169999998</v>
      </c>
      <c r="H214">
        <v>5.8847515399999999</v>
      </c>
      <c r="I214">
        <v>4.2609991809999999</v>
      </c>
      <c r="J214">
        <v>6.0238032390000003</v>
      </c>
      <c r="K214">
        <v>9.1</v>
      </c>
      <c r="L214">
        <v>4.3940548159999997</v>
      </c>
      <c r="M214">
        <v>4.24010877</v>
      </c>
      <c r="N214">
        <v>4.1931464649999999</v>
      </c>
      <c r="O214">
        <v>4.5299737029999996</v>
      </c>
      <c r="P214">
        <v>5.4219317360000003</v>
      </c>
      <c r="Q214">
        <v>10.278861479</v>
      </c>
      <c r="R214">
        <v>4.5704845890000003</v>
      </c>
      <c r="T214">
        <v>5.2191665670000003</v>
      </c>
      <c r="U214">
        <v>4.6990857989999997</v>
      </c>
      <c r="V214">
        <v>4.6185665409999999</v>
      </c>
      <c r="X214">
        <v>4.6757787830000002</v>
      </c>
      <c r="Y214">
        <v>3.3189444950000002</v>
      </c>
      <c r="Z214">
        <v>4.9974679120000003</v>
      </c>
      <c r="AA214">
        <v>5.2191700000000001</v>
      </c>
      <c r="AB214">
        <v>10.363326719</v>
      </c>
      <c r="AC214">
        <v>6.1666819940000002</v>
      </c>
      <c r="AD214">
        <v>7.8739694550000001</v>
      </c>
      <c r="AE214">
        <v>4.351585247</v>
      </c>
      <c r="AF214">
        <v>2.7613553479999999</v>
      </c>
      <c r="AG214">
        <v>9.1874736769999998</v>
      </c>
      <c r="AH214">
        <v>6.3481697109999997</v>
      </c>
      <c r="AI214">
        <v>7.5811427230000001</v>
      </c>
      <c r="AJ214">
        <v>5.3865769239999999</v>
      </c>
      <c r="AK214">
        <v>4.5989091970000002</v>
      </c>
      <c r="AL214">
        <v>3.8235571629999998</v>
      </c>
      <c r="AM214">
        <v>5.6251391670000004</v>
      </c>
      <c r="AN214">
        <v>4.8432862270000001</v>
      </c>
      <c r="AO214">
        <v>5.1051354389999997</v>
      </c>
      <c r="AP214">
        <v>3.2718818559999998</v>
      </c>
      <c r="AR214">
        <v>0.969867806</v>
      </c>
      <c r="AS214">
        <v>1.5846939179999999</v>
      </c>
      <c r="AT214">
        <v>5.9628335789999998</v>
      </c>
      <c r="AU214">
        <v>6.8490946040000003</v>
      </c>
      <c r="AV214">
        <v>5.2446827689999997</v>
      </c>
      <c r="AW214">
        <v>4.3497465819999999</v>
      </c>
    </row>
    <row r="215" spans="1:49" x14ac:dyDescent="0.2">
      <c r="A215" t="s">
        <v>279</v>
      </c>
      <c r="B215" s="74">
        <v>36800</v>
      </c>
      <c r="C215">
        <v>-0.55752517599999996</v>
      </c>
      <c r="D215">
        <v>3.330139376</v>
      </c>
      <c r="E215">
        <v>2.7886158600000002</v>
      </c>
      <c r="F215">
        <v>3.1129765649999999</v>
      </c>
      <c r="G215">
        <v>5.1116114020000003</v>
      </c>
      <c r="H215">
        <v>5.3137609430000001</v>
      </c>
      <c r="I215">
        <v>4.4543863090000002</v>
      </c>
      <c r="J215">
        <v>5.4489569769999999</v>
      </c>
      <c r="K215">
        <v>8.8000000000000007</v>
      </c>
      <c r="L215">
        <v>4.7873023860000004</v>
      </c>
      <c r="M215">
        <v>3.0235947329999999</v>
      </c>
      <c r="N215">
        <v>3.8391861660000002</v>
      </c>
      <c r="O215">
        <v>3.93311849</v>
      </c>
      <c r="P215">
        <v>5.1615893279999998</v>
      </c>
      <c r="Q215">
        <v>10.499844025</v>
      </c>
      <c r="R215">
        <v>3.979315889</v>
      </c>
      <c r="T215">
        <v>6.3000215019999999</v>
      </c>
      <c r="U215">
        <v>4.2670451399999996</v>
      </c>
      <c r="V215">
        <v>3.6394873240000001</v>
      </c>
      <c r="X215">
        <v>3.4244879190000002</v>
      </c>
      <c r="Y215">
        <v>4.848009813</v>
      </c>
      <c r="Z215">
        <v>3.9719393300000001</v>
      </c>
      <c r="AA215">
        <v>5.3047599999999999</v>
      </c>
      <c r="AB215">
        <v>8.607215879</v>
      </c>
      <c r="AC215">
        <v>8.5355223309999992</v>
      </c>
      <c r="AD215">
        <v>10.688439462</v>
      </c>
      <c r="AE215">
        <v>4.0684382220000002</v>
      </c>
      <c r="AF215">
        <v>2.2427904930000002</v>
      </c>
      <c r="AG215">
        <v>9.1592371569999997</v>
      </c>
      <c r="AH215">
        <v>5.1765102220000001</v>
      </c>
      <c r="AI215">
        <v>7.2245949659999997</v>
      </c>
      <c r="AJ215">
        <v>5.4321766409999999</v>
      </c>
      <c r="AK215">
        <v>4.0292995060000001</v>
      </c>
      <c r="AL215">
        <v>2.7206355960000002</v>
      </c>
      <c r="AM215">
        <v>3.148774875</v>
      </c>
      <c r="AN215">
        <v>4.1350231490000002</v>
      </c>
      <c r="AO215">
        <v>3.2280845939999998</v>
      </c>
      <c r="AP215">
        <v>3.7673411749999999</v>
      </c>
      <c r="AR215">
        <v>2.22184056</v>
      </c>
      <c r="AS215">
        <v>5.4951855519999997</v>
      </c>
      <c r="AT215">
        <v>5.9748656149999997</v>
      </c>
      <c r="AU215">
        <v>10.300768391</v>
      </c>
      <c r="AV215">
        <v>3.9740844960000001</v>
      </c>
      <c r="AW215">
        <v>4.2449725249999997</v>
      </c>
    </row>
    <row r="216" spans="1:49" x14ac:dyDescent="0.2">
      <c r="A216" t="s">
        <v>280</v>
      </c>
      <c r="B216" s="74">
        <v>36892</v>
      </c>
      <c r="C216">
        <v>-1.8935236049999999</v>
      </c>
      <c r="D216">
        <v>1.228547863</v>
      </c>
      <c r="E216">
        <v>3.8038965990000002</v>
      </c>
      <c r="F216">
        <v>2.9024691360000001</v>
      </c>
      <c r="G216">
        <v>4.9297780089999996</v>
      </c>
      <c r="H216">
        <v>4.0306702640000003</v>
      </c>
      <c r="I216">
        <v>3.0568638510000001</v>
      </c>
      <c r="J216">
        <v>3.9484653110000001</v>
      </c>
      <c r="K216">
        <v>7.5</v>
      </c>
      <c r="L216">
        <v>4.1142394299999996</v>
      </c>
      <c r="M216">
        <v>1.925958447</v>
      </c>
      <c r="N216">
        <v>3.4080580610000002</v>
      </c>
      <c r="O216">
        <v>3.432512445</v>
      </c>
      <c r="P216">
        <v>5.0536212029999996</v>
      </c>
      <c r="Q216">
        <v>10.133561223999999</v>
      </c>
      <c r="R216">
        <v>3.4577901830000002</v>
      </c>
      <c r="T216">
        <v>6.5215331409999999</v>
      </c>
      <c r="U216">
        <v>3.646604059</v>
      </c>
      <c r="V216">
        <v>2.9805321509999998</v>
      </c>
      <c r="X216">
        <v>2.3200624200000002</v>
      </c>
      <c r="Y216">
        <v>4.6622546160000002</v>
      </c>
      <c r="Z216">
        <v>4.7542753790000001</v>
      </c>
      <c r="AA216">
        <v>3.6380599999999998</v>
      </c>
      <c r="AB216">
        <v>7.1736972559999996</v>
      </c>
      <c r="AC216">
        <v>2.9371746070000002</v>
      </c>
      <c r="AD216">
        <v>8.4539170709999993</v>
      </c>
      <c r="AE216">
        <v>3.9475530380000001</v>
      </c>
      <c r="AF216">
        <v>3.199066647</v>
      </c>
      <c r="AG216">
        <v>5.752766405</v>
      </c>
      <c r="AH216">
        <v>6.228152058</v>
      </c>
      <c r="AI216">
        <v>2.4278536879999999</v>
      </c>
      <c r="AJ216">
        <v>3.5696365839999999</v>
      </c>
      <c r="AK216">
        <v>3.919383045</v>
      </c>
      <c r="AL216">
        <v>1.0231318069999999</v>
      </c>
      <c r="AM216">
        <v>2.1023350359999999</v>
      </c>
      <c r="AN216">
        <v>3.3648564950000002</v>
      </c>
      <c r="AO216">
        <v>4.2187909469999996</v>
      </c>
      <c r="AP216">
        <v>3.8654236829999999</v>
      </c>
      <c r="AR216">
        <v>3.270753665</v>
      </c>
      <c r="AS216">
        <v>4.3838327369999996</v>
      </c>
      <c r="AT216">
        <v>3.7118189849999998</v>
      </c>
      <c r="AU216">
        <v>8.6398569419999998</v>
      </c>
      <c r="AV216">
        <v>2.9016204719999998</v>
      </c>
      <c r="AW216">
        <v>3.9881983710000002</v>
      </c>
    </row>
    <row r="217" spans="1:49" x14ac:dyDescent="0.2">
      <c r="A217" t="s">
        <v>281</v>
      </c>
      <c r="B217" s="74">
        <v>36982</v>
      </c>
      <c r="C217">
        <v>-1.397726021</v>
      </c>
      <c r="D217">
        <v>1.8739194539999999</v>
      </c>
      <c r="E217">
        <v>2.338618549</v>
      </c>
      <c r="F217">
        <v>2.2335000489999999</v>
      </c>
      <c r="G217">
        <v>4.2734983529999999</v>
      </c>
      <c r="H217">
        <v>2.9349821249999999</v>
      </c>
      <c r="I217">
        <v>2.3218674529999999</v>
      </c>
      <c r="J217">
        <v>3.6930304669999998</v>
      </c>
      <c r="K217">
        <v>9.5</v>
      </c>
      <c r="L217">
        <v>3.9705325299999998</v>
      </c>
      <c r="M217">
        <v>2.508870736</v>
      </c>
      <c r="N217">
        <v>1.297581844</v>
      </c>
      <c r="O217">
        <v>3.2039558119999998</v>
      </c>
      <c r="P217">
        <v>4.4974332270000001</v>
      </c>
      <c r="Q217">
        <v>7.6345784300000004</v>
      </c>
      <c r="R217">
        <v>3.1728726539999998</v>
      </c>
      <c r="T217">
        <v>3.9426770640000002</v>
      </c>
      <c r="U217">
        <v>3.095566555</v>
      </c>
      <c r="V217">
        <v>2.4302227529999998</v>
      </c>
      <c r="X217">
        <v>2.1870603050000001</v>
      </c>
      <c r="Y217">
        <v>5.5570850160000003</v>
      </c>
      <c r="Z217">
        <v>4.6505842700000004</v>
      </c>
      <c r="AA217">
        <v>2.0556999999999999</v>
      </c>
      <c r="AB217">
        <v>8.0354395049999994</v>
      </c>
      <c r="AC217">
        <v>3.236197523</v>
      </c>
      <c r="AD217">
        <v>4.8421867230000002</v>
      </c>
      <c r="AE217">
        <v>3.5811526339999999</v>
      </c>
      <c r="AF217">
        <v>2.22890056</v>
      </c>
      <c r="AG217">
        <v>5.0579225250000004</v>
      </c>
      <c r="AH217">
        <v>2.6482949480000002</v>
      </c>
      <c r="AI217">
        <v>3.995522308</v>
      </c>
      <c r="AJ217">
        <v>1.683470955</v>
      </c>
      <c r="AK217">
        <v>3.3883473799999999</v>
      </c>
      <c r="AL217">
        <v>0.71623913299999997</v>
      </c>
      <c r="AM217">
        <v>0.98863726200000002</v>
      </c>
      <c r="AN217">
        <v>2.5998607950000001</v>
      </c>
      <c r="AO217">
        <v>3.165375472</v>
      </c>
      <c r="AP217">
        <v>1.2865530599999999</v>
      </c>
      <c r="AR217">
        <v>2.9083480769999999</v>
      </c>
      <c r="AS217">
        <v>4.6085144380000003</v>
      </c>
      <c r="AT217">
        <v>3.3979150499999999</v>
      </c>
      <c r="AU217">
        <v>1.4738609680000001</v>
      </c>
      <c r="AV217">
        <v>2.195542847</v>
      </c>
      <c r="AW217">
        <v>3.4184222970000002</v>
      </c>
    </row>
    <row r="218" spans="1:49" x14ac:dyDescent="0.2">
      <c r="A218" t="s">
        <v>282</v>
      </c>
      <c r="B218" s="74">
        <v>37073</v>
      </c>
      <c r="C218">
        <v>-0.61697928899999999</v>
      </c>
      <c r="D218">
        <v>1.747533805</v>
      </c>
      <c r="E218">
        <v>1.4280359899999999</v>
      </c>
      <c r="F218">
        <v>1.521366065</v>
      </c>
      <c r="G218">
        <v>2.2930031959999999</v>
      </c>
      <c r="H218">
        <v>2.0000249349999999</v>
      </c>
      <c r="I218">
        <v>2.4599773049999998</v>
      </c>
      <c r="J218">
        <v>4.4659499660000002</v>
      </c>
      <c r="K218">
        <v>8.6</v>
      </c>
      <c r="L218">
        <v>3.2263072909999999</v>
      </c>
      <c r="M218">
        <v>1.614648595</v>
      </c>
      <c r="N218">
        <v>0.64632245799999999</v>
      </c>
      <c r="O218">
        <v>2.3334860489999998</v>
      </c>
      <c r="P218">
        <v>3.9678712649999999</v>
      </c>
      <c r="Q218">
        <v>5.135467233</v>
      </c>
      <c r="R218">
        <v>2.2493027479999999</v>
      </c>
      <c r="T218">
        <v>3.2710920379999999</v>
      </c>
      <c r="U218">
        <v>2.1400147289999998</v>
      </c>
      <c r="V218">
        <v>1.349589164</v>
      </c>
      <c r="X218">
        <v>1.9971500820000001</v>
      </c>
      <c r="Y218">
        <v>4.3170669449999997</v>
      </c>
      <c r="Z218">
        <v>4.3461263199999998</v>
      </c>
      <c r="AA218">
        <v>4.0395099999999999</v>
      </c>
      <c r="AB218">
        <v>6.2841611999999998</v>
      </c>
      <c r="AC218">
        <v>5.7035978009999999</v>
      </c>
      <c r="AD218">
        <v>1.1322831019999999</v>
      </c>
      <c r="AE218">
        <v>2.3397883660000001</v>
      </c>
      <c r="AF218">
        <v>0.98371604400000001</v>
      </c>
      <c r="AG218">
        <v>5.0230569850000002</v>
      </c>
      <c r="AH218">
        <v>2.7140566019999999</v>
      </c>
      <c r="AI218">
        <v>8.858720559</v>
      </c>
      <c r="AJ218">
        <v>-0.36257871699999999</v>
      </c>
      <c r="AK218">
        <v>2.7634846720000001</v>
      </c>
      <c r="AL218">
        <v>2.010408746</v>
      </c>
      <c r="AM218">
        <v>2.376874226</v>
      </c>
      <c r="AN218">
        <v>1.461771071</v>
      </c>
      <c r="AO218">
        <v>1.475608547</v>
      </c>
      <c r="AP218">
        <v>2.8097831050000002</v>
      </c>
      <c r="AR218">
        <v>2.9723621809999998</v>
      </c>
      <c r="AS218">
        <v>3.4162238610000002</v>
      </c>
      <c r="AT218">
        <v>0.87415498899999999</v>
      </c>
      <c r="AU218">
        <v>-7.0600679099999999</v>
      </c>
      <c r="AV218">
        <v>0.99193295699999995</v>
      </c>
      <c r="AW218">
        <v>2.9877310829999999</v>
      </c>
    </row>
    <row r="219" spans="1:49" x14ac:dyDescent="0.2">
      <c r="A219" t="s">
        <v>283</v>
      </c>
      <c r="B219" s="74">
        <v>37165</v>
      </c>
      <c r="C219">
        <v>-4.9917471659999997</v>
      </c>
      <c r="D219">
        <v>2.707871237</v>
      </c>
      <c r="E219">
        <v>1.041880554</v>
      </c>
      <c r="F219">
        <v>0.86014731499999997</v>
      </c>
      <c r="G219">
        <v>0.57779716800000003</v>
      </c>
      <c r="H219">
        <v>0.90588392600000001</v>
      </c>
      <c r="I219">
        <v>1.5080974890000001</v>
      </c>
      <c r="J219">
        <v>2.6236346130000001</v>
      </c>
      <c r="K219">
        <v>8</v>
      </c>
      <c r="L219">
        <v>2.3431123739999999</v>
      </c>
      <c r="M219">
        <v>1.473312741</v>
      </c>
      <c r="N219">
        <v>1.270204581</v>
      </c>
      <c r="O219">
        <v>1.8724975720000001</v>
      </c>
      <c r="P219">
        <v>3.8164644089999999</v>
      </c>
      <c r="Q219">
        <v>5.9987848819999998</v>
      </c>
      <c r="R219">
        <v>1.857218225</v>
      </c>
      <c r="T219">
        <v>2.3216613480000001</v>
      </c>
      <c r="U219">
        <v>1.719508128</v>
      </c>
      <c r="V219">
        <v>0.779836529</v>
      </c>
      <c r="X219">
        <v>2.0843411760000001</v>
      </c>
      <c r="Y219">
        <v>4.0643412909999999</v>
      </c>
      <c r="Z219">
        <v>4.3536861470000003</v>
      </c>
      <c r="AA219">
        <v>3.94624</v>
      </c>
      <c r="AB219">
        <v>3.7089001960000001</v>
      </c>
      <c r="AC219">
        <v>8.066897E-3</v>
      </c>
      <c r="AD219">
        <v>-2.899958952</v>
      </c>
      <c r="AE219">
        <v>1.4260854190000001</v>
      </c>
      <c r="AF219">
        <v>-0.141916768</v>
      </c>
      <c r="AG219">
        <v>3.5876551980000002</v>
      </c>
      <c r="AH219">
        <v>2.40733446</v>
      </c>
      <c r="AI219">
        <v>3.3940882029999999</v>
      </c>
      <c r="AJ219">
        <v>-1.1526639059999999</v>
      </c>
      <c r="AK219">
        <v>2.0995866950000002</v>
      </c>
      <c r="AL219">
        <v>2.2735523280000001</v>
      </c>
      <c r="AM219">
        <v>2.7534253770000001</v>
      </c>
      <c r="AN219">
        <v>0.899011436</v>
      </c>
      <c r="AO219">
        <v>1.875556242</v>
      </c>
      <c r="AP219">
        <v>1.4737829280000001</v>
      </c>
      <c r="AR219">
        <v>2.7471550680000001</v>
      </c>
      <c r="AS219">
        <v>2.8347471340000001</v>
      </c>
      <c r="AT219">
        <v>0.45912805000000001</v>
      </c>
      <c r="AU219">
        <v>-7.2775891540000002</v>
      </c>
      <c r="AV219">
        <v>0.48735236700000001</v>
      </c>
      <c r="AW219">
        <v>2.2487530549999999</v>
      </c>
    </row>
    <row r="220" spans="1:49" x14ac:dyDescent="0.2">
      <c r="A220" t="s">
        <v>284</v>
      </c>
      <c r="B220" s="74">
        <v>37257</v>
      </c>
      <c r="C220">
        <v>-10.676443041000001</v>
      </c>
      <c r="D220">
        <v>4.327845827</v>
      </c>
      <c r="E220">
        <v>3.1547035000000001E-2</v>
      </c>
      <c r="F220">
        <v>-0.215954218</v>
      </c>
      <c r="G220">
        <v>-0.89262794499999998</v>
      </c>
      <c r="H220">
        <v>1.346715383</v>
      </c>
      <c r="I220">
        <v>0.31122022700000002</v>
      </c>
      <c r="J220">
        <v>2.0667400919999999</v>
      </c>
      <c r="K220">
        <v>7.5</v>
      </c>
      <c r="L220">
        <v>2.6132100779999998</v>
      </c>
      <c r="M220">
        <v>1.6674100940000001</v>
      </c>
      <c r="N220">
        <v>9.1785342000000006E-2</v>
      </c>
      <c r="O220">
        <v>1.2956986829999999</v>
      </c>
      <c r="P220">
        <v>3.4685902130000001</v>
      </c>
      <c r="Q220">
        <v>5.1872649629999996</v>
      </c>
      <c r="R220">
        <v>1.2966542750000001</v>
      </c>
      <c r="T220">
        <v>0.96070451700000004</v>
      </c>
      <c r="U220">
        <v>0.820554801</v>
      </c>
      <c r="V220">
        <v>0.271653545</v>
      </c>
      <c r="X220">
        <v>2.0230960389999999</v>
      </c>
      <c r="Y220">
        <v>2.8802126440000002</v>
      </c>
      <c r="Z220">
        <v>3.1709556640000001</v>
      </c>
      <c r="AA220">
        <v>6.2881999999999998</v>
      </c>
      <c r="AB220">
        <v>5.0318197859999998</v>
      </c>
      <c r="AC220">
        <v>7.1488667499999998</v>
      </c>
      <c r="AD220">
        <v>-3.3041676139999998</v>
      </c>
      <c r="AE220">
        <v>-0.19529538699999999</v>
      </c>
      <c r="AF220">
        <v>-1.4401313339999999</v>
      </c>
      <c r="AG220">
        <v>5.7566119650000003</v>
      </c>
      <c r="AH220">
        <v>4.4730133109999999</v>
      </c>
      <c r="AI220">
        <v>8.1293980179999998</v>
      </c>
      <c r="AJ220">
        <v>-0.92602765899999995</v>
      </c>
      <c r="AK220">
        <v>1.1146564859999999</v>
      </c>
      <c r="AL220">
        <v>3.1218322829999998</v>
      </c>
      <c r="AM220">
        <v>4.0735598460000002</v>
      </c>
      <c r="AN220">
        <v>0.49340012599999999</v>
      </c>
      <c r="AO220">
        <v>-0.73376337199999997</v>
      </c>
      <c r="AP220">
        <v>2.2092510619999999</v>
      </c>
      <c r="AR220">
        <v>4.3737418119999996</v>
      </c>
      <c r="AS220">
        <v>3.1372816810000002</v>
      </c>
      <c r="AT220">
        <v>1.6316540660000001</v>
      </c>
      <c r="AU220">
        <v>-10.129126144000001</v>
      </c>
      <c r="AV220">
        <v>0.170642236</v>
      </c>
      <c r="AW220">
        <v>2.1659898750000002</v>
      </c>
    </row>
    <row r="221" spans="1:49" x14ac:dyDescent="0.2">
      <c r="A221" t="s">
        <v>285</v>
      </c>
      <c r="B221" s="74">
        <v>37347</v>
      </c>
      <c r="C221">
        <v>-15.219743824</v>
      </c>
      <c r="D221">
        <v>4.0422682050000001</v>
      </c>
      <c r="E221">
        <v>1.2501492949999999</v>
      </c>
      <c r="F221">
        <v>0.58514592700000001</v>
      </c>
      <c r="G221">
        <v>0.97252549099999996</v>
      </c>
      <c r="H221">
        <v>2.309048819</v>
      </c>
      <c r="I221">
        <v>0.168312192</v>
      </c>
      <c r="J221">
        <v>2.209362343</v>
      </c>
      <c r="K221">
        <v>8.9</v>
      </c>
      <c r="L221">
        <v>1.2111991639999999</v>
      </c>
      <c r="M221">
        <v>-0.85936547900000004</v>
      </c>
      <c r="N221">
        <v>1.156465893</v>
      </c>
      <c r="O221">
        <v>0.41509006900000001</v>
      </c>
      <c r="P221">
        <v>2.81718344</v>
      </c>
      <c r="Q221">
        <v>4.4139303889999999</v>
      </c>
      <c r="R221">
        <v>0.55729100499999995</v>
      </c>
      <c r="T221">
        <v>1.126430168</v>
      </c>
      <c r="U221">
        <v>0.88798164300000004</v>
      </c>
      <c r="V221">
        <v>0.44790320099999997</v>
      </c>
      <c r="X221">
        <v>1.693117859</v>
      </c>
      <c r="Y221">
        <v>2.4525552749999999</v>
      </c>
      <c r="Z221">
        <v>4.8068593909999997</v>
      </c>
      <c r="AA221">
        <v>6.5698699999999999</v>
      </c>
      <c r="AB221">
        <v>5.3353433079999997</v>
      </c>
      <c r="AC221">
        <v>0.26552225000000002</v>
      </c>
      <c r="AD221">
        <v>-1.7518378029999999</v>
      </c>
      <c r="AE221">
        <v>-0.74491987299999995</v>
      </c>
      <c r="AF221">
        <v>-2.001567611</v>
      </c>
      <c r="AG221">
        <v>7.1345765419999996</v>
      </c>
      <c r="AH221">
        <v>3.226006935</v>
      </c>
      <c r="AI221">
        <v>5.7666539229999998</v>
      </c>
      <c r="AJ221">
        <v>-1.6239692189999999</v>
      </c>
      <c r="AK221">
        <v>0.38873254600000001</v>
      </c>
      <c r="AL221">
        <v>0.88159529000000003</v>
      </c>
      <c r="AM221">
        <v>4.636349397</v>
      </c>
      <c r="AN221">
        <v>0.80008536299999999</v>
      </c>
      <c r="AO221">
        <v>0.835759849</v>
      </c>
      <c r="AP221">
        <v>2.7121519489999999</v>
      </c>
      <c r="AR221">
        <v>3.9724889349999999</v>
      </c>
      <c r="AS221">
        <v>3.2185384479999999</v>
      </c>
      <c r="AT221">
        <v>1.1077351630000001</v>
      </c>
      <c r="AU221">
        <v>-1.6959707850000001</v>
      </c>
      <c r="AV221">
        <v>1.3288120480000001</v>
      </c>
      <c r="AW221">
        <v>2.6447575589999999</v>
      </c>
    </row>
    <row r="222" spans="1:49" x14ac:dyDescent="0.2">
      <c r="A222" t="s">
        <v>286</v>
      </c>
      <c r="B222" s="74">
        <v>37438</v>
      </c>
      <c r="C222">
        <v>-14.147871056</v>
      </c>
      <c r="D222">
        <v>4.9668176019999999</v>
      </c>
      <c r="E222">
        <v>1.9986014940000001</v>
      </c>
      <c r="F222">
        <v>1.42783499</v>
      </c>
      <c r="G222">
        <v>2.049261548</v>
      </c>
      <c r="H222">
        <v>2.6354387780000001</v>
      </c>
      <c r="I222">
        <v>-0.17487371900000001</v>
      </c>
      <c r="J222">
        <v>2.0521740610000001</v>
      </c>
      <c r="K222">
        <v>8.8000000000000007</v>
      </c>
      <c r="L222">
        <v>1.48364568</v>
      </c>
      <c r="M222">
        <v>-0.36021390199999997</v>
      </c>
      <c r="N222">
        <v>0.65505192400000001</v>
      </c>
      <c r="O222">
        <v>0.865681213</v>
      </c>
      <c r="P222">
        <v>2.8945752659999999</v>
      </c>
      <c r="Q222">
        <v>7.9312112949999998</v>
      </c>
      <c r="R222">
        <v>1.0404462940000001</v>
      </c>
      <c r="T222">
        <v>2.0048186380000002</v>
      </c>
      <c r="U222">
        <v>1.1783518820000001</v>
      </c>
      <c r="V222">
        <v>0.85669286200000005</v>
      </c>
      <c r="X222">
        <v>1.8844650060000001</v>
      </c>
      <c r="Y222">
        <v>5.0225698220000004</v>
      </c>
      <c r="Z222">
        <v>4.5312234849999999</v>
      </c>
      <c r="AA222">
        <v>5.0481699999999998</v>
      </c>
      <c r="AB222">
        <v>4.3453092839999998</v>
      </c>
      <c r="AC222">
        <v>0.95163852900000001</v>
      </c>
      <c r="AD222">
        <v>-0.810197159</v>
      </c>
      <c r="AE222">
        <v>5.6115224999999998E-2</v>
      </c>
      <c r="AF222">
        <v>-0.46044786100000001</v>
      </c>
      <c r="AG222">
        <v>7.6773988439999998</v>
      </c>
      <c r="AH222">
        <v>6.3657351770000004</v>
      </c>
      <c r="AI222">
        <v>4.9243614820000001</v>
      </c>
      <c r="AJ222">
        <v>-0.18430643699999999</v>
      </c>
      <c r="AK222">
        <v>0.23151022800000001</v>
      </c>
      <c r="AL222">
        <v>3.1610112739999998</v>
      </c>
      <c r="AM222">
        <v>4.5275539880000002</v>
      </c>
      <c r="AN222">
        <v>1.46741941</v>
      </c>
      <c r="AO222">
        <v>2.2108739769999999</v>
      </c>
      <c r="AP222">
        <v>1.2559850130000001</v>
      </c>
      <c r="AR222">
        <v>3.9241868740000001</v>
      </c>
      <c r="AS222">
        <v>2.8399648640000001</v>
      </c>
      <c r="AT222">
        <v>2.6835220689999999</v>
      </c>
      <c r="AU222">
        <v>7.7675409220000002</v>
      </c>
      <c r="AV222">
        <v>1.3228839020000001</v>
      </c>
      <c r="AW222">
        <v>3.4303290679999998</v>
      </c>
    </row>
    <row r="223" spans="1:49" x14ac:dyDescent="0.2">
      <c r="A223" t="s">
        <v>287</v>
      </c>
      <c r="B223" s="74">
        <v>37530</v>
      </c>
      <c r="C223">
        <v>-9.897878081</v>
      </c>
      <c r="D223">
        <v>4.0416968449999997</v>
      </c>
      <c r="E223">
        <v>2.2699852790000001</v>
      </c>
      <c r="F223">
        <v>2.1656617100000002</v>
      </c>
      <c r="G223">
        <v>3.888655059</v>
      </c>
      <c r="H223">
        <v>3.5927041059999998</v>
      </c>
      <c r="I223">
        <v>0.240269234</v>
      </c>
      <c r="J223">
        <v>3.406971333</v>
      </c>
      <c r="K223">
        <v>9.6</v>
      </c>
      <c r="L223">
        <v>1.690923749</v>
      </c>
      <c r="M223">
        <v>0.29096179700000002</v>
      </c>
      <c r="N223">
        <v>9.8620025E-2</v>
      </c>
      <c r="O223">
        <v>1.1491047379999999</v>
      </c>
      <c r="P223">
        <v>2.5728777809999999</v>
      </c>
      <c r="Q223">
        <v>7.8670743009999997</v>
      </c>
      <c r="R223">
        <v>1.297846072</v>
      </c>
      <c r="T223">
        <v>1.126803875</v>
      </c>
      <c r="U223">
        <v>1.1622478220000001</v>
      </c>
      <c r="V223">
        <v>1.6329182090000001</v>
      </c>
      <c r="X223">
        <v>2.1210039709999999</v>
      </c>
      <c r="Y223">
        <v>3.943039937</v>
      </c>
      <c r="Z223">
        <v>4.5547133039999999</v>
      </c>
      <c r="AA223">
        <v>4.3806500000000002</v>
      </c>
      <c r="AB223">
        <v>7.233424082</v>
      </c>
      <c r="AC223">
        <v>2.5984119460000001</v>
      </c>
      <c r="AD223">
        <v>0.37089228000000002</v>
      </c>
      <c r="AE223">
        <v>0.57130500399999995</v>
      </c>
      <c r="AF223">
        <v>0.95215629000000002</v>
      </c>
      <c r="AG223">
        <v>8.3909467919999994</v>
      </c>
      <c r="AH223">
        <v>3.2276442259999998</v>
      </c>
      <c r="AI223">
        <v>8.5513036099999997</v>
      </c>
      <c r="AJ223">
        <v>0.37496272400000003</v>
      </c>
      <c r="AK223">
        <v>0.212975631</v>
      </c>
      <c r="AL223">
        <v>0.39411656</v>
      </c>
      <c r="AM223">
        <v>4.9531253990000002</v>
      </c>
      <c r="AN223">
        <v>2.0671524899999998</v>
      </c>
      <c r="AO223">
        <v>2.6669742099999998</v>
      </c>
      <c r="AP223">
        <v>0.64939600500000005</v>
      </c>
      <c r="AR223">
        <v>5.8407877600000004</v>
      </c>
      <c r="AS223">
        <v>3.4208545309999998</v>
      </c>
      <c r="AT223">
        <v>2.8912023179999999</v>
      </c>
      <c r="AU223">
        <v>7.8896032150000002</v>
      </c>
      <c r="AV223">
        <v>2.1406699900000001</v>
      </c>
      <c r="AW223">
        <v>4.3237458149999997</v>
      </c>
    </row>
    <row r="224" spans="1:49" x14ac:dyDescent="0.2">
      <c r="A224" t="s">
        <v>288</v>
      </c>
      <c r="B224" s="74">
        <v>37622</v>
      </c>
      <c r="C224">
        <v>-3.4831756490000001</v>
      </c>
      <c r="D224">
        <v>3.6382291819999999</v>
      </c>
      <c r="E224">
        <v>1.287061284</v>
      </c>
      <c r="F224">
        <v>2.6499621260000001</v>
      </c>
      <c r="G224">
        <v>5.2022292319999996</v>
      </c>
      <c r="H224">
        <v>3.5307100930000002</v>
      </c>
      <c r="I224">
        <v>-0.11035718799999999</v>
      </c>
      <c r="J224">
        <v>4.2585701150000004</v>
      </c>
      <c r="K224">
        <v>9.1</v>
      </c>
      <c r="L224">
        <v>1.6123357620000001</v>
      </c>
      <c r="M224">
        <v>0.26800379299999999</v>
      </c>
      <c r="N224">
        <v>-3.4579327999999999E-2</v>
      </c>
      <c r="O224">
        <v>1.2688435220000001</v>
      </c>
      <c r="P224">
        <v>2.6429937410000002</v>
      </c>
      <c r="Q224">
        <v>7.0856334490000004</v>
      </c>
      <c r="R224">
        <v>1.384188084</v>
      </c>
      <c r="T224">
        <v>2.5661358179999998</v>
      </c>
      <c r="U224">
        <v>1.4641790429999999</v>
      </c>
      <c r="V224">
        <v>1.769342134</v>
      </c>
      <c r="X224">
        <v>2.787727694</v>
      </c>
      <c r="Y224">
        <v>4.4677284549999996</v>
      </c>
      <c r="Z224">
        <v>5.0455868739999996</v>
      </c>
      <c r="AA224">
        <v>2.11781</v>
      </c>
      <c r="AB224">
        <v>6.5880885620000003</v>
      </c>
      <c r="AC224">
        <v>-1.462542032</v>
      </c>
      <c r="AD224">
        <v>0.71104264800000005</v>
      </c>
      <c r="AE224">
        <v>1.1245467229999999</v>
      </c>
      <c r="AF224">
        <v>1.579587485</v>
      </c>
      <c r="AG224">
        <v>7.6823850499999997</v>
      </c>
      <c r="AH224">
        <v>0.242984006</v>
      </c>
      <c r="AI224">
        <v>9.2414755530000008</v>
      </c>
      <c r="AJ224">
        <v>1.2553147870000001</v>
      </c>
      <c r="AK224">
        <v>4.0300272999999998E-2</v>
      </c>
      <c r="AL224">
        <v>0.65304353800000003</v>
      </c>
      <c r="AM224">
        <v>4.7951067260000002</v>
      </c>
      <c r="AN224">
        <v>2.228786747</v>
      </c>
      <c r="AO224">
        <v>2.4607973369999998</v>
      </c>
      <c r="AP224">
        <v>-1.4802233300000001</v>
      </c>
      <c r="AR224">
        <v>4.295020504</v>
      </c>
      <c r="AS224">
        <v>4.1415115059999996</v>
      </c>
      <c r="AT224">
        <v>2.1817286330000001</v>
      </c>
      <c r="AU224">
        <v>12.077725729999999</v>
      </c>
      <c r="AV224">
        <v>1.9912861850000001</v>
      </c>
      <c r="AW224">
        <v>4.388621949</v>
      </c>
    </row>
    <row r="225" spans="1:49" x14ac:dyDescent="0.2">
      <c r="A225" t="s">
        <v>289</v>
      </c>
      <c r="B225" s="74">
        <v>37712</v>
      </c>
      <c r="C225">
        <v>5.274229353</v>
      </c>
      <c r="D225">
        <v>3.0582993379999999</v>
      </c>
      <c r="E225">
        <v>1.124261556</v>
      </c>
      <c r="F225">
        <v>1.5068068569999999</v>
      </c>
      <c r="G225">
        <v>2.3882477729999998</v>
      </c>
      <c r="H225">
        <v>2.5810371669999999</v>
      </c>
      <c r="I225">
        <v>-0.78632176600000003</v>
      </c>
      <c r="J225">
        <v>4.8619890149999998</v>
      </c>
      <c r="K225">
        <v>11.1</v>
      </c>
      <c r="L225">
        <v>2.887060918</v>
      </c>
      <c r="M225">
        <v>-0.70573230099999995</v>
      </c>
      <c r="N225">
        <v>0.53488712900000002</v>
      </c>
      <c r="O225">
        <v>0.80281214000000001</v>
      </c>
      <c r="P225">
        <v>3.1593662220000001</v>
      </c>
      <c r="Q225">
        <v>8.7837494930000002</v>
      </c>
      <c r="R225">
        <v>1.0063613629999999</v>
      </c>
      <c r="T225">
        <v>1.1795343140000001</v>
      </c>
      <c r="U225">
        <v>1.002360202</v>
      </c>
      <c r="V225">
        <v>1.394872291</v>
      </c>
      <c r="X225">
        <v>2.8205682470000002</v>
      </c>
      <c r="Y225">
        <v>5.7784367750000003</v>
      </c>
      <c r="Z225">
        <v>3.4940870070000001</v>
      </c>
      <c r="AA225">
        <v>3.5805899999999999</v>
      </c>
      <c r="AB225">
        <v>3.14196856</v>
      </c>
      <c r="AC225">
        <v>6.5433807059999998</v>
      </c>
      <c r="AD225">
        <v>1.537870469</v>
      </c>
      <c r="AE225">
        <v>0.66322040800000004</v>
      </c>
      <c r="AF225">
        <v>1.4715539710000001</v>
      </c>
      <c r="AG225">
        <v>4.3182279120000002</v>
      </c>
      <c r="AH225">
        <v>-0.30210705700000001</v>
      </c>
      <c r="AI225">
        <v>10.005629537000001</v>
      </c>
      <c r="AJ225">
        <v>2.1870092739999998</v>
      </c>
      <c r="AK225">
        <v>0.67193139499999999</v>
      </c>
      <c r="AL225">
        <v>1.7226585800000001</v>
      </c>
      <c r="AM225">
        <v>4.4433910479999996</v>
      </c>
      <c r="AN225">
        <v>1.8593818559999999</v>
      </c>
      <c r="AO225">
        <v>2.6019097009999999</v>
      </c>
      <c r="AP225">
        <v>-1.5517664680000001</v>
      </c>
      <c r="AR225">
        <v>5.8061077640000001</v>
      </c>
      <c r="AS225">
        <v>2.735246643</v>
      </c>
      <c r="AT225">
        <v>3.5352003619999999</v>
      </c>
      <c r="AU225">
        <v>8.0882987750000002</v>
      </c>
      <c r="AV225">
        <v>1.6761889400000001</v>
      </c>
      <c r="AW225">
        <v>3.9226323839999999</v>
      </c>
    </row>
    <row r="226" spans="1:49" x14ac:dyDescent="0.2">
      <c r="A226" t="s">
        <v>290</v>
      </c>
      <c r="B226" s="74">
        <v>37803</v>
      </c>
      <c r="C226">
        <v>8.1469202010000004</v>
      </c>
      <c r="D226">
        <v>1.7481603349999999</v>
      </c>
      <c r="E226">
        <v>0.73920259200000005</v>
      </c>
      <c r="F226">
        <v>0.86047940999999994</v>
      </c>
      <c r="G226">
        <v>0.95114949800000004</v>
      </c>
      <c r="H226">
        <v>1.8296107960000001</v>
      </c>
      <c r="I226">
        <v>-0.90007922900000004</v>
      </c>
      <c r="J226">
        <v>5.1170549340000004</v>
      </c>
      <c r="K226">
        <v>9.1</v>
      </c>
      <c r="L226">
        <v>3.4505458400000002</v>
      </c>
      <c r="M226">
        <v>-1.029136139</v>
      </c>
      <c r="N226">
        <v>-0.39022355600000003</v>
      </c>
      <c r="O226">
        <v>0.351106847</v>
      </c>
      <c r="P226">
        <v>2.8586515100000001</v>
      </c>
      <c r="Q226">
        <v>7.5421206099999996</v>
      </c>
      <c r="R226">
        <v>0.55279100000000003</v>
      </c>
      <c r="T226">
        <v>1.629539742</v>
      </c>
      <c r="U226">
        <v>0.35055784400000001</v>
      </c>
      <c r="V226">
        <v>1.361737207</v>
      </c>
      <c r="X226">
        <v>2.9373794869999998</v>
      </c>
      <c r="Y226">
        <v>5.2951285600000002</v>
      </c>
      <c r="Z226">
        <v>4.0229649739999997</v>
      </c>
      <c r="AA226">
        <v>5.5461299999999998</v>
      </c>
      <c r="AB226">
        <v>2.9830275820000001</v>
      </c>
      <c r="AC226">
        <v>-0.37864703199999999</v>
      </c>
      <c r="AD226">
        <v>0.71798731400000004</v>
      </c>
      <c r="AE226">
        <v>9.2906420000000003E-2</v>
      </c>
      <c r="AF226">
        <v>1.3479093419999999</v>
      </c>
      <c r="AG226">
        <v>2.3035458499999999</v>
      </c>
      <c r="AH226">
        <v>0.434553878</v>
      </c>
      <c r="AI226">
        <v>8.5738513439999995</v>
      </c>
      <c r="AJ226">
        <v>1.491430977</v>
      </c>
      <c r="AK226">
        <v>-2.3899152E-2</v>
      </c>
      <c r="AL226">
        <v>-0.822423342</v>
      </c>
      <c r="AM226">
        <v>3.5360748580000001</v>
      </c>
      <c r="AN226">
        <v>1.569232999</v>
      </c>
      <c r="AO226">
        <v>3.8142824910000002</v>
      </c>
      <c r="AP226">
        <v>-1.9719000099999999</v>
      </c>
      <c r="AR226">
        <v>6.3316112349999996</v>
      </c>
      <c r="AS226">
        <v>3.0438673629999999</v>
      </c>
      <c r="AT226">
        <v>1.338414137</v>
      </c>
      <c r="AU226">
        <v>3.9642978769999999</v>
      </c>
      <c r="AV226">
        <v>1.956993642</v>
      </c>
      <c r="AW226">
        <v>3.1216897989999999</v>
      </c>
    </row>
    <row r="227" spans="1:49" x14ac:dyDescent="0.2">
      <c r="A227" t="s">
        <v>291</v>
      </c>
      <c r="B227" s="74">
        <v>37895</v>
      </c>
      <c r="C227">
        <v>10.707165721999999</v>
      </c>
      <c r="D227">
        <v>3.2025404169999998</v>
      </c>
      <c r="E227">
        <v>0.746834883</v>
      </c>
      <c r="F227">
        <v>0.733625686</v>
      </c>
      <c r="G227">
        <v>0.65696776000000001</v>
      </c>
      <c r="H227">
        <v>1.3331146899999999</v>
      </c>
      <c r="I227">
        <v>-0.15331504000000001</v>
      </c>
      <c r="J227">
        <v>4.6698054369999999</v>
      </c>
      <c r="K227">
        <v>10</v>
      </c>
      <c r="L227">
        <v>3.9011962050000002</v>
      </c>
      <c r="M227">
        <v>-0.75723085300000004</v>
      </c>
      <c r="N227">
        <v>-0.38683434</v>
      </c>
      <c r="O227">
        <v>0.51463799899999996</v>
      </c>
      <c r="P227">
        <v>2.9025761800000001</v>
      </c>
      <c r="Q227">
        <v>6.4658695049999997</v>
      </c>
      <c r="R227">
        <v>0.737802336</v>
      </c>
      <c r="T227">
        <v>3.0864465679999999</v>
      </c>
      <c r="U227">
        <v>0.78318698399999997</v>
      </c>
      <c r="V227">
        <v>2.0068987379999998</v>
      </c>
      <c r="X227">
        <v>3.2241734499999999</v>
      </c>
      <c r="Y227">
        <v>5.3477605940000004</v>
      </c>
      <c r="Z227">
        <v>4.3084524149999996</v>
      </c>
      <c r="AA227">
        <v>7.6850500000000004</v>
      </c>
      <c r="AB227">
        <v>1.895289314</v>
      </c>
      <c r="AC227">
        <v>0.65401804600000002</v>
      </c>
      <c r="AD227">
        <v>1.470320549</v>
      </c>
      <c r="AE227">
        <v>-0.20750273999999999</v>
      </c>
      <c r="AF227">
        <v>1.328320122</v>
      </c>
      <c r="AG227">
        <v>2.2141562349999999</v>
      </c>
      <c r="AH227">
        <v>3.100756718</v>
      </c>
      <c r="AI227">
        <v>9.5300082079999999</v>
      </c>
      <c r="AJ227">
        <v>0.66559519700000003</v>
      </c>
      <c r="AK227">
        <v>-9.0331270000000005E-2</v>
      </c>
      <c r="AL227">
        <v>2.08615488</v>
      </c>
      <c r="AM227">
        <v>4.4930146520000003</v>
      </c>
      <c r="AN227">
        <v>2.117059867</v>
      </c>
      <c r="AO227">
        <v>3.6921896959999998</v>
      </c>
      <c r="AP227">
        <v>-0.65138245100000003</v>
      </c>
      <c r="AR227">
        <v>4.418279944</v>
      </c>
      <c r="AS227">
        <v>3.3258688529999998</v>
      </c>
      <c r="AT227">
        <v>2.2058223880000001</v>
      </c>
      <c r="AU227">
        <v>5.4870934240000002</v>
      </c>
      <c r="AV227">
        <v>3.2399083019999999</v>
      </c>
      <c r="AW227">
        <v>2.52095906</v>
      </c>
    </row>
    <row r="228" spans="1:49" x14ac:dyDescent="0.2">
      <c r="A228" t="s">
        <v>292</v>
      </c>
      <c r="B228" s="74">
        <v>37987</v>
      </c>
      <c r="C228">
        <v>11.646839589000001</v>
      </c>
      <c r="D228">
        <v>4.046197212</v>
      </c>
      <c r="E228">
        <v>1.3141198700000001</v>
      </c>
      <c r="F228">
        <v>1.0565153730000001</v>
      </c>
      <c r="G228">
        <v>0.68197583399999995</v>
      </c>
      <c r="H228">
        <v>1.475555706</v>
      </c>
      <c r="I228">
        <v>1.528111166</v>
      </c>
      <c r="J228">
        <v>3.7302712379999998</v>
      </c>
      <c r="K228">
        <v>10</v>
      </c>
      <c r="L228">
        <v>4.0560623920000003</v>
      </c>
      <c r="M228">
        <v>-0.35156150899999999</v>
      </c>
      <c r="N228">
        <v>1.8049206820000001</v>
      </c>
      <c r="O228">
        <v>1.0241878209999999</v>
      </c>
      <c r="P228">
        <v>3.008540784</v>
      </c>
      <c r="Q228">
        <v>8.4519284080000006</v>
      </c>
      <c r="R228">
        <v>1.257732552</v>
      </c>
      <c r="T228">
        <v>2.113220514</v>
      </c>
      <c r="U228">
        <v>1.234587755</v>
      </c>
      <c r="V228">
        <v>2.7518434100000002</v>
      </c>
      <c r="X228">
        <v>3.1330876920000001</v>
      </c>
      <c r="Y228">
        <v>6.7759668309999999</v>
      </c>
      <c r="Z228">
        <v>4.0991948760000003</v>
      </c>
      <c r="AA228">
        <v>11.133620000000001</v>
      </c>
      <c r="AB228">
        <v>6.1295451959999996</v>
      </c>
      <c r="AC228">
        <v>1.9157067839999999</v>
      </c>
      <c r="AD228">
        <v>2.0010678550000001</v>
      </c>
      <c r="AE228">
        <v>0.35321594499999998</v>
      </c>
      <c r="AF228">
        <v>2.147196981</v>
      </c>
      <c r="AG228">
        <v>3.7733173820000001</v>
      </c>
      <c r="AH228">
        <v>7.3558727079999997</v>
      </c>
      <c r="AI228">
        <v>6.6002961019999997</v>
      </c>
      <c r="AJ228">
        <v>1.534170467</v>
      </c>
      <c r="AK228">
        <v>0.29448898000000001</v>
      </c>
      <c r="AL228">
        <v>0.97862737899999996</v>
      </c>
      <c r="AM228">
        <v>4.4652078880000001</v>
      </c>
      <c r="AN228">
        <v>2.8568608100000001</v>
      </c>
      <c r="AO228">
        <v>3.8846485949999998</v>
      </c>
      <c r="AP228">
        <v>0.47393297699999998</v>
      </c>
      <c r="AR228">
        <v>5.4685006569999999</v>
      </c>
      <c r="AS228">
        <v>2.2581674710000001</v>
      </c>
      <c r="AT228">
        <v>2.6834788930000002</v>
      </c>
      <c r="AU228">
        <v>6.405673062</v>
      </c>
      <c r="AV228">
        <v>4.2950765200000003</v>
      </c>
      <c r="AW228">
        <v>2.261629374</v>
      </c>
    </row>
    <row r="229" spans="1:49" x14ac:dyDescent="0.2">
      <c r="A229" t="s">
        <v>293</v>
      </c>
      <c r="B229" s="74">
        <v>38078</v>
      </c>
      <c r="C229">
        <v>11.150202963</v>
      </c>
      <c r="D229">
        <v>4.6509652150000003</v>
      </c>
      <c r="E229">
        <v>1.5464524319999999</v>
      </c>
      <c r="F229">
        <v>2.8420434530000001</v>
      </c>
      <c r="G229">
        <v>2.5405033000000001</v>
      </c>
      <c r="H229">
        <v>1.6440291789999999</v>
      </c>
      <c r="I229">
        <v>2.8765378080000001</v>
      </c>
      <c r="J229">
        <v>4.4310850769999997</v>
      </c>
      <c r="K229">
        <v>10.6</v>
      </c>
      <c r="L229">
        <v>4.0664118670000002</v>
      </c>
      <c r="M229">
        <v>0.98208276800000005</v>
      </c>
      <c r="N229">
        <v>1.7499471470000001</v>
      </c>
      <c r="O229">
        <v>1.8640070870000001</v>
      </c>
      <c r="P229">
        <v>2.6741176129999999</v>
      </c>
      <c r="Q229">
        <v>8.4787214669999997</v>
      </c>
      <c r="R229">
        <v>2.1296458020000002</v>
      </c>
      <c r="T229">
        <v>4.152698172</v>
      </c>
      <c r="U229">
        <v>2.1180022900000002</v>
      </c>
      <c r="V229">
        <v>3.1368299130000001</v>
      </c>
      <c r="X229">
        <v>3.016035467</v>
      </c>
      <c r="Y229">
        <v>6.5109272929999999</v>
      </c>
      <c r="Z229">
        <v>4.8736774010000001</v>
      </c>
      <c r="AA229">
        <v>9.0831300000000006</v>
      </c>
      <c r="AB229">
        <v>6.5131330070000004</v>
      </c>
      <c r="AC229">
        <v>4.3013516420000002</v>
      </c>
      <c r="AD229">
        <v>3.298043168</v>
      </c>
      <c r="AE229">
        <v>0.915864499</v>
      </c>
      <c r="AF229">
        <v>2.8337204370000002</v>
      </c>
      <c r="AG229">
        <v>5.7726765809999998</v>
      </c>
      <c r="AH229">
        <v>6.8029662330000003</v>
      </c>
      <c r="AI229">
        <v>9.5268434469999992</v>
      </c>
      <c r="AJ229">
        <v>2.721561457</v>
      </c>
      <c r="AK229">
        <v>1.184842103</v>
      </c>
      <c r="AL229">
        <v>4.5310308670000001</v>
      </c>
      <c r="AM229">
        <v>5.6637125859999999</v>
      </c>
      <c r="AN229">
        <v>3.4486060869999999</v>
      </c>
      <c r="AO229">
        <v>6.6152304019999999</v>
      </c>
      <c r="AP229">
        <v>1.2747061150000001</v>
      </c>
      <c r="AQ229">
        <v>6.6646506250000002</v>
      </c>
      <c r="AR229">
        <v>4.97318251</v>
      </c>
      <c r="AS229">
        <v>3.2973182059999999</v>
      </c>
      <c r="AT229">
        <v>3.3523647250000002</v>
      </c>
      <c r="AU229">
        <v>9.2450567899999996</v>
      </c>
      <c r="AV229">
        <v>4.3533820859999999</v>
      </c>
      <c r="AW229">
        <v>3.154859005</v>
      </c>
    </row>
    <row r="230" spans="1:49" x14ac:dyDescent="0.2">
      <c r="A230" t="s">
        <v>294</v>
      </c>
      <c r="B230" s="74">
        <v>38169</v>
      </c>
      <c r="C230">
        <v>6.5515623459999999</v>
      </c>
      <c r="D230">
        <v>4.9087040579999996</v>
      </c>
      <c r="E230">
        <v>2.292374959</v>
      </c>
      <c r="F230">
        <v>3.6094313969999998</v>
      </c>
      <c r="G230">
        <v>6.2642300019999997</v>
      </c>
      <c r="H230">
        <v>3.0032687450000002</v>
      </c>
      <c r="I230">
        <v>3.559315126</v>
      </c>
      <c r="J230">
        <v>5.3236469179999997</v>
      </c>
      <c r="K230">
        <v>11.6</v>
      </c>
      <c r="L230">
        <v>4.2545012160000004</v>
      </c>
      <c r="M230">
        <v>1.3697656819999999</v>
      </c>
      <c r="N230">
        <v>3.3166103059999998</v>
      </c>
      <c r="O230">
        <v>2.4098405899999999</v>
      </c>
      <c r="P230">
        <v>3.139803256</v>
      </c>
      <c r="Q230">
        <v>5.3029091140000002</v>
      </c>
      <c r="R230">
        <v>2.6568112639999999</v>
      </c>
      <c r="T230">
        <v>3.558635394</v>
      </c>
      <c r="U230">
        <v>2.9395769399999998</v>
      </c>
      <c r="V230">
        <v>3.1610378290000001</v>
      </c>
      <c r="X230">
        <v>2.7909674729999998</v>
      </c>
      <c r="Y230">
        <v>4.637807316</v>
      </c>
      <c r="Z230">
        <v>5.0375295309999997</v>
      </c>
      <c r="AA230">
        <v>8.9182000000000006</v>
      </c>
      <c r="AB230">
        <v>8.3450894410000007</v>
      </c>
      <c r="AC230">
        <v>6.4040747199999997</v>
      </c>
      <c r="AD230">
        <v>4.5581454959999999</v>
      </c>
      <c r="AE230">
        <v>1.5062055809999999</v>
      </c>
      <c r="AF230">
        <v>2.1472647450000002</v>
      </c>
      <c r="AG230">
        <v>6.7447940510000004</v>
      </c>
      <c r="AH230">
        <v>4.3103939499999999</v>
      </c>
      <c r="AI230">
        <v>8.4022600930000007</v>
      </c>
      <c r="AJ230">
        <v>4.0663982499999998</v>
      </c>
      <c r="AK230">
        <v>2.0195915609999999</v>
      </c>
      <c r="AL230">
        <v>5.2474233090000002</v>
      </c>
      <c r="AM230">
        <v>6.1123531370000004</v>
      </c>
      <c r="AN230">
        <v>3.6333053249999998</v>
      </c>
      <c r="AO230">
        <v>5.2708411609999999</v>
      </c>
      <c r="AP230">
        <v>2.7674509939999998</v>
      </c>
      <c r="AQ230">
        <v>7.5209468179999996</v>
      </c>
      <c r="AR230">
        <v>4.1030902979999997</v>
      </c>
      <c r="AS230">
        <v>4.3909728000000001</v>
      </c>
      <c r="AT230">
        <v>4.3883185400000002</v>
      </c>
      <c r="AU230">
        <v>11.413895422</v>
      </c>
      <c r="AV230">
        <v>4.2348116490000001</v>
      </c>
      <c r="AW230">
        <v>4.088062152</v>
      </c>
    </row>
    <row r="231" spans="1:49" x14ac:dyDescent="0.2">
      <c r="A231" t="s">
        <v>295</v>
      </c>
      <c r="B231" s="74">
        <v>38261</v>
      </c>
      <c r="C231">
        <v>9.2369105690000008</v>
      </c>
      <c r="D231">
        <v>3.9144482530000002</v>
      </c>
      <c r="E231">
        <v>2.9816436199999998</v>
      </c>
      <c r="F231">
        <v>4.0872538839999999</v>
      </c>
      <c r="G231">
        <v>6.588250725</v>
      </c>
      <c r="H231">
        <v>3.8311862329999999</v>
      </c>
      <c r="I231">
        <v>2.590848099</v>
      </c>
      <c r="J231">
        <v>7.3733689020000002</v>
      </c>
      <c r="K231">
        <v>9.8000000000000007</v>
      </c>
      <c r="L231">
        <v>4.6427242609999997</v>
      </c>
      <c r="M231">
        <v>0.41221011600000002</v>
      </c>
      <c r="N231">
        <v>3.2055743539999999</v>
      </c>
      <c r="O231">
        <v>2.1134556899999999</v>
      </c>
      <c r="P231">
        <v>3.4277161139999999</v>
      </c>
      <c r="Q231">
        <v>6.635267647</v>
      </c>
      <c r="R231">
        <v>2.346329544</v>
      </c>
      <c r="T231">
        <v>3.4449337350000002</v>
      </c>
      <c r="U231">
        <v>2.550730835</v>
      </c>
      <c r="V231">
        <v>2.7172464559999998</v>
      </c>
      <c r="X231">
        <v>2.042502952</v>
      </c>
      <c r="Y231">
        <v>5.3731311120000003</v>
      </c>
      <c r="Z231">
        <v>5.0435354510000003</v>
      </c>
      <c r="AA231">
        <v>8.6693599999999993</v>
      </c>
      <c r="AB231">
        <v>6.8865775730000003</v>
      </c>
      <c r="AC231">
        <v>11.422376965</v>
      </c>
      <c r="AD231">
        <v>4.9765480760000003</v>
      </c>
      <c r="AE231">
        <v>1.5683681350000001</v>
      </c>
      <c r="AF231">
        <v>2.4695445569999999</v>
      </c>
      <c r="AG231">
        <v>5.1456188139999997</v>
      </c>
      <c r="AH231">
        <v>5.6299416620000002</v>
      </c>
      <c r="AI231">
        <v>6.5554820669999998</v>
      </c>
      <c r="AJ231">
        <v>3.883394354</v>
      </c>
      <c r="AK231">
        <v>2.0814376179999998</v>
      </c>
      <c r="AL231">
        <v>2.5906483630000001</v>
      </c>
      <c r="AM231">
        <v>4.2206279699999998</v>
      </c>
      <c r="AN231">
        <v>3.177970926</v>
      </c>
      <c r="AO231">
        <v>3.587097864</v>
      </c>
      <c r="AP231">
        <v>1.903675089</v>
      </c>
      <c r="AQ231">
        <v>7.3373553889999998</v>
      </c>
      <c r="AR231">
        <v>6.0857045999999997</v>
      </c>
      <c r="AS231">
        <v>3.9220729410000001</v>
      </c>
      <c r="AT231">
        <v>3.7065013520000001</v>
      </c>
      <c r="AU231">
        <v>9.5469283340000004</v>
      </c>
      <c r="AV231">
        <v>3.4908340689999999</v>
      </c>
      <c r="AW231">
        <v>5.219011064</v>
      </c>
    </row>
    <row r="232" spans="1:49" x14ac:dyDescent="0.2">
      <c r="A232" t="s">
        <v>296</v>
      </c>
      <c r="B232" s="74">
        <v>38353</v>
      </c>
      <c r="C232">
        <v>8.7727611539999995</v>
      </c>
      <c r="D232">
        <v>3.0064091880000001</v>
      </c>
      <c r="E232">
        <v>3.1888525470000002</v>
      </c>
      <c r="F232">
        <v>3.736801233</v>
      </c>
      <c r="G232">
        <v>6.3052284299999997</v>
      </c>
      <c r="H232">
        <v>3.860541692</v>
      </c>
      <c r="I232">
        <v>1.5407587599999999</v>
      </c>
      <c r="J232">
        <v>8.5263564130000002</v>
      </c>
      <c r="K232">
        <v>8.8000000000000007</v>
      </c>
      <c r="L232">
        <v>5.7383848589999999</v>
      </c>
      <c r="M232">
        <v>3.7919386999999999E-2</v>
      </c>
      <c r="N232">
        <v>2.4131564349999999</v>
      </c>
      <c r="O232">
        <v>1.743447357</v>
      </c>
      <c r="P232">
        <v>3.2429521590000001</v>
      </c>
      <c r="Q232">
        <v>6.081762672</v>
      </c>
      <c r="R232">
        <v>2.0365751150000002</v>
      </c>
      <c r="T232">
        <v>4.8098763350000002</v>
      </c>
      <c r="U232">
        <v>2.609848135</v>
      </c>
      <c r="V232">
        <v>2.3371402969999999</v>
      </c>
      <c r="X232">
        <v>1.594642326</v>
      </c>
      <c r="Y232">
        <v>2.7748216029999999</v>
      </c>
      <c r="Z232">
        <v>4.3858039990000002</v>
      </c>
      <c r="AA232">
        <v>7.2525399999999998</v>
      </c>
      <c r="AB232">
        <v>4.0263336460000003</v>
      </c>
      <c r="AC232">
        <v>9.1287078459999993</v>
      </c>
      <c r="AD232">
        <v>5.8949368199999999</v>
      </c>
      <c r="AE232">
        <v>0.88895674499999999</v>
      </c>
      <c r="AF232">
        <v>1.170815245</v>
      </c>
      <c r="AG232">
        <v>3.2181314620000001</v>
      </c>
      <c r="AH232">
        <v>0.70147814100000005</v>
      </c>
      <c r="AI232">
        <v>7.6713288019999997</v>
      </c>
      <c r="AJ232">
        <v>4.1156083050000003</v>
      </c>
      <c r="AK232">
        <v>1.7591751200000001</v>
      </c>
      <c r="AL232">
        <v>3.5653992739999998</v>
      </c>
      <c r="AM232">
        <v>3.2396762620000001</v>
      </c>
      <c r="AN232">
        <v>2.7913057239999999</v>
      </c>
      <c r="AO232">
        <v>4.3929276719999999</v>
      </c>
      <c r="AP232">
        <v>1.219915938</v>
      </c>
      <c r="AQ232">
        <v>6.5934981119999998</v>
      </c>
      <c r="AR232">
        <v>5.9321266289999999</v>
      </c>
      <c r="AS232">
        <v>3.681760685</v>
      </c>
      <c r="AT232">
        <v>3.9234612640000002</v>
      </c>
      <c r="AU232">
        <v>8.057711694</v>
      </c>
      <c r="AV232">
        <v>3.3557659160000002</v>
      </c>
      <c r="AW232">
        <v>5.7326717079999998</v>
      </c>
    </row>
    <row r="233" spans="1:49" x14ac:dyDescent="0.2">
      <c r="A233" t="s">
        <v>297</v>
      </c>
      <c r="B233" s="74">
        <v>38443</v>
      </c>
      <c r="C233">
        <v>8.4128102479999995</v>
      </c>
      <c r="D233">
        <v>2.9847919030000001</v>
      </c>
      <c r="E233">
        <v>2.1236869450000002</v>
      </c>
      <c r="F233">
        <v>2.7429484980000001</v>
      </c>
      <c r="G233">
        <v>5.6071746549999997</v>
      </c>
      <c r="H233">
        <v>3.4746737969999999</v>
      </c>
      <c r="I233">
        <v>1.7401294279999999</v>
      </c>
      <c r="J233">
        <v>6.4079034229999996</v>
      </c>
      <c r="K233">
        <v>11.1</v>
      </c>
      <c r="L233">
        <v>6.4209813660000004</v>
      </c>
      <c r="M233">
        <v>0.21317087500000001</v>
      </c>
      <c r="N233">
        <v>1.552318238</v>
      </c>
      <c r="O233">
        <v>1.4643821829999999</v>
      </c>
      <c r="P233">
        <v>3.6259924080000001</v>
      </c>
      <c r="Q233">
        <v>5.4982474789999998</v>
      </c>
      <c r="R233">
        <v>1.6506360339999999</v>
      </c>
      <c r="T233">
        <v>4.5125116810000003</v>
      </c>
      <c r="U233">
        <v>1.8498369139999999</v>
      </c>
      <c r="V233">
        <v>2.5007714989999998</v>
      </c>
      <c r="X233">
        <v>1.757313168</v>
      </c>
      <c r="Y233">
        <v>0.33570945699999999</v>
      </c>
      <c r="Z233">
        <v>3.8133567159999999</v>
      </c>
      <c r="AA233">
        <v>8.7341800000000003</v>
      </c>
      <c r="AB233">
        <v>6.1692365210000002</v>
      </c>
      <c r="AC233">
        <v>1.997800807</v>
      </c>
      <c r="AD233">
        <v>4.0125069709999996</v>
      </c>
      <c r="AE233">
        <v>0.47035294900000002</v>
      </c>
      <c r="AF233">
        <v>0.95049340699999996</v>
      </c>
      <c r="AG233">
        <v>2.806402673</v>
      </c>
      <c r="AH233">
        <v>0.51341394299999998</v>
      </c>
      <c r="AI233">
        <v>6.9814898860000003</v>
      </c>
      <c r="AJ233">
        <v>2.8346008660000002</v>
      </c>
      <c r="AK233">
        <v>1.171867896</v>
      </c>
      <c r="AL233">
        <v>1.6524118109999999</v>
      </c>
      <c r="AM233">
        <v>2.6924989830000001</v>
      </c>
      <c r="AN233">
        <v>2.7679356409999998</v>
      </c>
      <c r="AO233">
        <v>2.4818879439999999</v>
      </c>
      <c r="AP233">
        <v>1.0856134639999999</v>
      </c>
      <c r="AQ233">
        <v>6.4568699169999997</v>
      </c>
      <c r="AR233">
        <v>5.8711719010000003</v>
      </c>
      <c r="AS233">
        <v>3.6001394649999998</v>
      </c>
      <c r="AT233">
        <v>2.4944664310000002</v>
      </c>
      <c r="AU233">
        <v>10.009156426000001</v>
      </c>
      <c r="AV233">
        <v>3.9086174410000001</v>
      </c>
      <c r="AW233">
        <v>5.2148270559999998</v>
      </c>
    </row>
    <row r="234" spans="1:49" x14ac:dyDescent="0.2">
      <c r="A234" t="s">
        <v>298</v>
      </c>
      <c r="B234" s="74">
        <v>38534</v>
      </c>
      <c r="C234">
        <v>11.913053215</v>
      </c>
      <c r="D234">
        <v>2.7551434920000002</v>
      </c>
      <c r="E234">
        <v>2.439919948</v>
      </c>
      <c r="F234">
        <v>2.3741121110000001</v>
      </c>
      <c r="G234">
        <v>4.200485209</v>
      </c>
      <c r="H234">
        <v>3.0019295459999999</v>
      </c>
      <c r="I234">
        <v>2.2056339930000002</v>
      </c>
      <c r="J234">
        <v>6.1347354310000002</v>
      </c>
      <c r="K234">
        <v>11.1</v>
      </c>
      <c r="L234">
        <v>6.7287112520000001</v>
      </c>
      <c r="M234">
        <v>0.23537477500000001</v>
      </c>
      <c r="N234">
        <v>2.938909518</v>
      </c>
      <c r="O234">
        <v>1.4349329099999999</v>
      </c>
      <c r="P234">
        <v>3.5285929330000001</v>
      </c>
      <c r="Q234">
        <v>10.426397924</v>
      </c>
      <c r="R234">
        <v>1.652365334</v>
      </c>
      <c r="T234">
        <v>2.3821779319999998</v>
      </c>
      <c r="U234">
        <v>1.5538949559999999</v>
      </c>
      <c r="V234">
        <v>2.4940630559999999</v>
      </c>
      <c r="X234">
        <v>2.1825441080000001</v>
      </c>
      <c r="Y234">
        <v>0.59302548799999999</v>
      </c>
      <c r="Z234">
        <v>4.5953508650000003</v>
      </c>
      <c r="AA234">
        <v>9.5718700000000005</v>
      </c>
      <c r="AB234">
        <v>5.8019889559999998</v>
      </c>
      <c r="AC234">
        <v>10.479748649999999</v>
      </c>
      <c r="AD234">
        <v>4.2035524469999999</v>
      </c>
      <c r="AE234">
        <v>0.79087857399999995</v>
      </c>
      <c r="AF234">
        <v>1.721249883</v>
      </c>
      <c r="AG234">
        <v>3.9527455599999999</v>
      </c>
      <c r="AH234">
        <v>1.212892415</v>
      </c>
      <c r="AI234">
        <v>7.9556880300000001</v>
      </c>
      <c r="AJ234">
        <v>1.565179157</v>
      </c>
      <c r="AK234">
        <v>1.4001097259999999</v>
      </c>
      <c r="AL234">
        <v>1.9755384570000001</v>
      </c>
      <c r="AM234">
        <v>3.4404697870000001</v>
      </c>
      <c r="AN234">
        <v>2.7444774569999999</v>
      </c>
      <c r="AO234">
        <v>1.808912997</v>
      </c>
      <c r="AP234">
        <v>0.88112699299999997</v>
      </c>
      <c r="AQ234">
        <v>6.0339876200000004</v>
      </c>
      <c r="AR234">
        <v>7.3718850150000002</v>
      </c>
      <c r="AS234">
        <v>4.09618912</v>
      </c>
      <c r="AT234">
        <v>2.745384295</v>
      </c>
      <c r="AU234">
        <v>7.9599383059999997</v>
      </c>
      <c r="AV234">
        <v>3.6074103659999999</v>
      </c>
      <c r="AW234">
        <v>5.6268811449999996</v>
      </c>
    </row>
    <row r="235" spans="1:49" x14ac:dyDescent="0.2">
      <c r="A235" t="s">
        <v>299</v>
      </c>
      <c r="B235" s="74">
        <v>38626</v>
      </c>
      <c r="C235">
        <v>7.3422344480000001</v>
      </c>
      <c r="D235">
        <v>3.1146073539999999</v>
      </c>
      <c r="E235">
        <v>2.177953</v>
      </c>
      <c r="F235">
        <v>1.890494825</v>
      </c>
      <c r="G235">
        <v>2.1331040059999999</v>
      </c>
      <c r="H235">
        <v>3.033425786</v>
      </c>
      <c r="I235">
        <v>3.3184408219999999</v>
      </c>
      <c r="J235">
        <v>5.9414792719999996</v>
      </c>
      <c r="K235">
        <v>10.8</v>
      </c>
      <c r="L235">
        <v>6.7723871539999996</v>
      </c>
      <c r="M235">
        <v>1.2839300389999999</v>
      </c>
      <c r="N235">
        <v>2.8112668150000002</v>
      </c>
      <c r="O235">
        <v>1.9437551129999999</v>
      </c>
      <c r="P235">
        <v>3.5558513199999999</v>
      </c>
      <c r="Q235">
        <v>10.570551547999999</v>
      </c>
      <c r="R235">
        <v>2.159318802</v>
      </c>
      <c r="T235">
        <v>2.7497148440000001</v>
      </c>
      <c r="U235">
        <v>1.796905092</v>
      </c>
      <c r="V235">
        <v>2.7029494299999999</v>
      </c>
      <c r="X235">
        <v>2.830213868</v>
      </c>
      <c r="Y235">
        <v>0.64899672399999997</v>
      </c>
      <c r="Z235">
        <v>4.1110323739999997</v>
      </c>
      <c r="AA235">
        <v>8.4951500000000006</v>
      </c>
      <c r="AB235">
        <v>5.3412943249999998</v>
      </c>
      <c r="AC235">
        <v>5.7764454440000002</v>
      </c>
      <c r="AD235">
        <v>4.2723240059999998</v>
      </c>
      <c r="AE235">
        <v>1.431507002</v>
      </c>
      <c r="AF235">
        <v>2.1269531339999999</v>
      </c>
      <c r="AG235">
        <v>5.0913424469999997</v>
      </c>
      <c r="AH235">
        <v>0.89588290599999998</v>
      </c>
      <c r="AI235">
        <v>12.703809488999999</v>
      </c>
      <c r="AJ235">
        <v>2.6401712690000001</v>
      </c>
      <c r="AK235">
        <v>2.608579642</v>
      </c>
      <c r="AL235">
        <v>4.0226213160000004</v>
      </c>
      <c r="AM235">
        <v>3.6474164130000002</v>
      </c>
      <c r="AN235">
        <v>3.0470209810000002</v>
      </c>
      <c r="AO235">
        <v>4.3017905519999999</v>
      </c>
      <c r="AP235">
        <v>0.36549073900000001</v>
      </c>
      <c r="AQ235">
        <v>6.2926836909999997</v>
      </c>
      <c r="AR235">
        <v>6.6614296739999999</v>
      </c>
      <c r="AS235">
        <v>3.9310396390000002</v>
      </c>
      <c r="AT235">
        <v>3.164297248</v>
      </c>
      <c r="AU235">
        <v>8.2633823839999998</v>
      </c>
      <c r="AV235">
        <v>3.447674589</v>
      </c>
      <c r="AW235">
        <v>5.344718501</v>
      </c>
    </row>
    <row r="236" spans="1:49" x14ac:dyDescent="0.2">
      <c r="A236" t="s">
        <v>300</v>
      </c>
      <c r="B236" s="74">
        <v>38718</v>
      </c>
      <c r="C236">
        <v>7.882682838</v>
      </c>
      <c r="D236">
        <v>3.1254780590000002</v>
      </c>
      <c r="E236">
        <v>2.7371224999999999</v>
      </c>
      <c r="F236">
        <v>2.3072367909999998</v>
      </c>
      <c r="G236">
        <v>2.603594631</v>
      </c>
      <c r="H236">
        <v>3.309946552</v>
      </c>
      <c r="I236">
        <v>4.119852184</v>
      </c>
      <c r="J236">
        <v>5.5037012699999996</v>
      </c>
      <c r="K236">
        <v>12.4</v>
      </c>
      <c r="L236">
        <v>6.7522092020000004</v>
      </c>
      <c r="M236">
        <v>1.8681829169999999</v>
      </c>
      <c r="N236">
        <v>2.0421723510000001</v>
      </c>
      <c r="O236">
        <v>2.2158475910000002</v>
      </c>
      <c r="P236">
        <v>3.8948059960000001</v>
      </c>
      <c r="Q236">
        <v>10.820482174</v>
      </c>
      <c r="R236">
        <v>2.409719468</v>
      </c>
      <c r="T236">
        <v>1.51700612</v>
      </c>
      <c r="U236">
        <v>1.729492714</v>
      </c>
      <c r="V236">
        <v>2.6547403369999998</v>
      </c>
      <c r="X236">
        <v>3.5919938450000002</v>
      </c>
      <c r="Y236">
        <v>1.54047551</v>
      </c>
      <c r="Z236">
        <v>4.8765281849999997</v>
      </c>
      <c r="AA236">
        <v>9.1244899999999998</v>
      </c>
      <c r="AB236">
        <v>6.1963120729999996</v>
      </c>
      <c r="AC236">
        <v>6.2775171350000001</v>
      </c>
      <c r="AD236">
        <v>4.8263921459999999</v>
      </c>
      <c r="AE236">
        <v>1.3208400259999999</v>
      </c>
      <c r="AF236">
        <v>2.5043459000000001</v>
      </c>
      <c r="AG236">
        <v>5.3568202319999996</v>
      </c>
      <c r="AH236">
        <v>7.2834616509999996</v>
      </c>
      <c r="AI236">
        <v>14.322337468000001</v>
      </c>
      <c r="AJ236">
        <v>2.988621196</v>
      </c>
      <c r="AK236">
        <v>3.0309570699999999</v>
      </c>
      <c r="AL236">
        <v>3.2423479290000001</v>
      </c>
      <c r="AM236">
        <v>2.8685329949999998</v>
      </c>
      <c r="AN236">
        <v>3.1181685109999999</v>
      </c>
      <c r="AO236">
        <v>5.1060357969999997</v>
      </c>
      <c r="AP236">
        <v>0.79709233000000002</v>
      </c>
      <c r="AQ236">
        <v>7.2856948949999998</v>
      </c>
      <c r="AR236">
        <v>6.5849952209999998</v>
      </c>
      <c r="AS236">
        <v>5.3319713169999998</v>
      </c>
      <c r="AT236">
        <v>2.9989267380000002</v>
      </c>
      <c r="AU236">
        <v>10.057769952999999</v>
      </c>
      <c r="AV236">
        <v>2.9826720510000002</v>
      </c>
      <c r="AW236">
        <v>4.9292784239999996</v>
      </c>
    </row>
    <row r="237" spans="1:49" x14ac:dyDescent="0.2">
      <c r="A237" t="s">
        <v>301</v>
      </c>
      <c r="B237" s="74">
        <v>38808</v>
      </c>
      <c r="C237">
        <v>7.5580805270000004</v>
      </c>
      <c r="D237">
        <v>2.4585928130000001</v>
      </c>
      <c r="E237">
        <v>3.9490993329999999</v>
      </c>
      <c r="F237">
        <v>2.3974125279999998</v>
      </c>
      <c r="G237">
        <v>3.6214258209999999</v>
      </c>
      <c r="H237">
        <v>3.7886077760000001</v>
      </c>
      <c r="I237">
        <v>4.4793641629999996</v>
      </c>
      <c r="J237">
        <v>6.3375428500000002</v>
      </c>
      <c r="K237">
        <v>12.5</v>
      </c>
      <c r="L237">
        <v>6.879772021</v>
      </c>
      <c r="M237">
        <v>2.8503194779999999</v>
      </c>
      <c r="N237">
        <v>3.7009154070000001</v>
      </c>
      <c r="O237">
        <v>2.8793926440000002</v>
      </c>
      <c r="P237">
        <v>4.0684996870000001</v>
      </c>
      <c r="Q237">
        <v>11.409671883</v>
      </c>
      <c r="R237">
        <v>3.1057653589999998</v>
      </c>
      <c r="T237">
        <v>3.030122397</v>
      </c>
      <c r="U237">
        <v>2.289569228</v>
      </c>
      <c r="V237">
        <v>2.902740133</v>
      </c>
      <c r="X237">
        <v>3.5118921680000001</v>
      </c>
      <c r="Y237">
        <v>5.469142465</v>
      </c>
      <c r="Z237">
        <v>4.6852206220000001</v>
      </c>
      <c r="AA237">
        <v>9.9337700000000009</v>
      </c>
      <c r="AB237">
        <v>6.0016874429999998</v>
      </c>
      <c r="AC237">
        <v>9.1857056149999998</v>
      </c>
      <c r="AD237">
        <v>5.9853376760000003</v>
      </c>
      <c r="AE237">
        <v>1.749458875</v>
      </c>
      <c r="AF237">
        <v>2.1412426720000002</v>
      </c>
      <c r="AG237">
        <v>6.1802505989999998</v>
      </c>
      <c r="AH237">
        <v>8.2705852429999993</v>
      </c>
      <c r="AI237">
        <v>10.496133827</v>
      </c>
      <c r="AJ237">
        <v>4.628375642</v>
      </c>
      <c r="AK237">
        <v>3.3401639699999999</v>
      </c>
      <c r="AL237">
        <v>2.2365428870000001</v>
      </c>
      <c r="AM237">
        <v>3.354980737</v>
      </c>
      <c r="AN237">
        <v>3.4064543430000001</v>
      </c>
      <c r="AO237">
        <v>5.5233706170000003</v>
      </c>
      <c r="AP237">
        <v>0.84548567900000005</v>
      </c>
      <c r="AQ237">
        <v>7.4781518159999996</v>
      </c>
      <c r="AR237">
        <v>7.780927846</v>
      </c>
      <c r="AS237">
        <v>5.1656545439999997</v>
      </c>
      <c r="AT237">
        <v>4.1386128380000002</v>
      </c>
      <c r="AU237">
        <v>6.4125127470000001</v>
      </c>
      <c r="AV237">
        <v>3.2248575719999999</v>
      </c>
      <c r="AW237">
        <v>5.6985315639999996</v>
      </c>
    </row>
    <row r="238" spans="1:49" x14ac:dyDescent="0.2">
      <c r="A238" t="s">
        <v>302</v>
      </c>
      <c r="B238" s="74">
        <v>38899</v>
      </c>
      <c r="C238">
        <v>6.6511251109999998</v>
      </c>
      <c r="D238">
        <v>2.2202455699999999</v>
      </c>
      <c r="E238">
        <v>3.1233572390000002</v>
      </c>
      <c r="F238">
        <v>2.148910077</v>
      </c>
      <c r="G238">
        <v>2.4661465919999999</v>
      </c>
      <c r="H238">
        <v>3.0942387280000001</v>
      </c>
      <c r="I238">
        <v>4.1089792879999996</v>
      </c>
      <c r="J238">
        <v>6.771667034</v>
      </c>
      <c r="K238">
        <v>13.7</v>
      </c>
      <c r="L238">
        <v>7.3190908590000001</v>
      </c>
      <c r="M238">
        <v>4.0762102789999997</v>
      </c>
      <c r="N238">
        <v>4.7316381200000004</v>
      </c>
      <c r="O238">
        <v>3.4078064729999999</v>
      </c>
      <c r="P238">
        <v>4.1583933960000001</v>
      </c>
      <c r="Q238">
        <v>9.4108701000000003</v>
      </c>
      <c r="R238">
        <v>3.7150040620000002</v>
      </c>
      <c r="T238">
        <v>4.5328399629999998</v>
      </c>
      <c r="U238">
        <v>3.0599938510000002</v>
      </c>
      <c r="V238">
        <v>2.7764796930000002</v>
      </c>
      <c r="X238">
        <v>2.8789714370000001</v>
      </c>
      <c r="Y238">
        <v>5.5419910899999998</v>
      </c>
      <c r="Z238">
        <v>4.1245799950000004</v>
      </c>
      <c r="AA238">
        <v>8.0897500000000004</v>
      </c>
      <c r="AB238">
        <v>4.2530139699999996</v>
      </c>
      <c r="AC238">
        <v>5.6119773889999998</v>
      </c>
      <c r="AD238">
        <v>6.828779763</v>
      </c>
      <c r="AE238">
        <v>1.678303528</v>
      </c>
      <c r="AF238">
        <v>1.508856626</v>
      </c>
      <c r="AG238">
        <v>4.9750602859999997</v>
      </c>
      <c r="AH238">
        <v>7.700275134</v>
      </c>
      <c r="AI238">
        <v>13.550508777999999</v>
      </c>
      <c r="AJ238">
        <v>5.3425460520000003</v>
      </c>
      <c r="AK238">
        <v>4.154503032</v>
      </c>
      <c r="AL238">
        <v>1.8303096350000001</v>
      </c>
      <c r="AM238">
        <v>2.1928018890000001</v>
      </c>
      <c r="AN238">
        <v>3.4101269269999999</v>
      </c>
      <c r="AO238">
        <v>7.7913284489999999</v>
      </c>
      <c r="AP238">
        <v>1.444794216</v>
      </c>
      <c r="AQ238">
        <v>7.9045915779999998</v>
      </c>
      <c r="AR238">
        <v>8.0362874390000005</v>
      </c>
      <c r="AS238">
        <v>5.5636963140000004</v>
      </c>
      <c r="AT238">
        <v>5.1650331070000002</v>
      </c>
      <c r="AU238">
        <v>9.1929992210000009</v>
      </c>
      <c r="AV238">
        <v>2.9772690260000001</v>
      </c>
      <c r="AW238">
        <v>5.3098658160000003</v>
      </c>
    </row>
    <row r="239" spans="1:49" x14ac:dyDescent="0.2">
      <c r="A239" t="s">
        <v>303</v>
      </c>
      <c r="B239" s="74">
        <v>38991</v>
      </c>
      <c r="C239">
        <v>8.8619347770000001</v>
      </c>
      <c r="D239">
        <v>2.5948155430000002</v>
      </c>
      <c r="E239">
        <v>3.5576985419999998</v>
      </c>
      <c r="F239">
        <v>2.6422652389999999</v>
      </c>
      <c r="G239">
        <v>4.8983933430000004</v>
      </c>
      <c r="H239">
        <v>2.1447687110000002</v>
      </c>
      <c r="I239">
        <v>3.808018143</v>
      </c>
      <c r="J239">
        <v>5.6563614419999997</v>
      </c>
      <c r="K239">
        <v>12.2</v>
      </c>
      <c r="L239">
        <v>7.0214257250000003</v>
      </c>
      <c r="M239">
        <v>3.9839923690000001</v>
      </c>
      <c r="N239">
        <v>3.9175672810000002</v>
      </c>
      <c r="O239">
        <v>3.2403670029999998</v>
      </c>
      <c r="P239">
        <v>4.1193412770000002</v>
      </c>
      <c r="Q239">
        <v>9.2990855749999994</v>
      </c>
      <c r="R239">
        <v>3.5350618909999998</v>
      </c>
      <c r="T239">
        <v>4.020140348</v>
      </c>
      <c r="U239">
        <v>2.5725376390000001</v>
      </c>
      <c r="V239">
        <v>2.1199501550000002</v>
      </c>
      <c r="X239">
        <v>2.2165675660000002</v>
      </c>
      <c r="Y239">
        <v>4.5911902570000001</v>
      </c>
      <c r="Z239">
        <v>3.9312923039999998</v>
      </c>
      <c r="AA239">
        <v>10.12762</v>
      </c>
      <c r="AB239">
        <v>6.523871518</v>
      </c>
      <c r="AC239">
        <v>5.6974492879999996</v>
      </c>
      <c r="AD239">
        <v>4.7515211549999998</v>
      </c>
      <c r="AE239">
        <v>1.4799107359999999</v>
      </c>
      <c r="AF239">
        <v>0.28515185199999998</v>
      </c>
      <c r="AG239">
        <v>5.0873974100000003</v>
      </c>
      <c r="AH239">
        <v>6.0920327509999996</v>
      </c>
      <c r="AI239">
        <v>11.717195737999999</v>
      </c>
      <c r="AJ239">
        <v>4.754981473</v>
      </c>
      <c r="AK239">
        <v>3.389040595</v>
      </c>
      <c r="AL239">
        <v>2.028880944</v>
      </c>
      <c r="AM239">
        <v>2.3481973429999998</v>
      </c>
      <c r="AN239">
        <v>2.8706934579999999</v>
      </c>
      <c r="AO239">
        <v>7.4935770169999998</v>
      </c>
      <c r="AP239">
        <v>1.810916905</v>
      </c>
      <c r="AQ239">
        <v>8.4707435689999997</v>
      </c>
      <c r="AR239">
        <v>8.3324428039999994</v>
      </c>
      <c r="AS239">
        <v>6.4615377970000001</v>
      </c>
      <c r="AT239">
        <v>5.1397784670000002</v>
      </c>
      <c r="AU239">
        <v>6.861392983</v>
      </c>
      <c r="AV239">
        <v>2.3282911519999998</v>
      </c>
      <c r="AW239">
        <v>5.3280828930000004</v>
      </c>
    </row>
    <row r="240" spans="1:49" x14ac:dyDescent="0.2">
      <c r="A240" t="s">
        <v>304</v>
      </c>
      <c r="B240" s="74">
        <v>39083</v>
      </c>
      <c r="C240">
        <v>9.073696301</v>
      </c>
      <c r="D240">
        <v>3.126889941</v>
      </c>
      <c r="E240">
        <v>3.7040247119999998</v>
      </c>
      <c r="F240">
        <v>3.017495577</v>
      </c>
      <c r="G240">
        <v>4.8522204750000002</v>
      </c>
      <c r="H240">
        <v>1.547877248</v>
      </c>
      <c r="I240">
        <v>4.1737173409999997</v>
      </c>
      <c r="J240">
        <v>6.6299017490000001</v>
      </c>
      <c r="K240">
        <v>12.5</v>
      </c>
      <c r="L240">
        <v>6.4957671279999998</v>
      </c>
      <c r="M240">
        <v>5.0638543460000003</v>
      </c>
      <c r="N240">
        <v>3.3004877010000002</v>
      </c>
      <c r="O240">
        <v>3.7892529819999998</v>
      </c>
      <c r="P240">
        <v>4.0653491070000003</v>
      </c>
      <c r="Q240">
        <v>9.4825439179999993</v>
      </c>
      <c r="R240">
        <v>3.9056675620000001</v>
      </c>
      <c r="T240">
        <v>4.5363799890000003</v>
      </c>
      <c r="U240">
        <v>2.63792743</v>
      </c>
      <c r="V240">
        <v>2.5649365890000002</v>
      </c>
      <c r="X240">
        <v>1.7574801529999999</v>
      </c>
      <c r="Y240">
        <v>6.7162171089999996</v>
      </c>
      <c r="Z240">
        <v>3.7628405460000001</v>
      </c>
      <c r="AA240">
        <v>9.25047</v>
      </c>
      <c r="AB240">
        <v>3.5623981379999998</v>
      </c>
      <c r="AC240">
        <v>5.0045764979999996</v>
      </c>
      <c r="AD240">
        <v>4.4634614319999999</v>
      </c>
      <c r="AE240">
        <v>2.6154537960000002</v>
      </c>
      <c r="AF240">
        <v>1.4608114670000001</v>
      </c>
      <c r="AG240">
        <v>4.8448866129999999</v>
      </c>
      <c r="AH240">
        <v>2.335149527</v>
      </c>
      <c r="AI240">
        <v>12.488924151000001</v>
      </c>
      <c r="AJ240">
        <v>3.2895519559999999</v>
      </c>
      <c r="AK240">
        <v>3.5883066910000001</v>
      </c>
      <c r="AL240">
        <v>3.6630271890000001</v>
      </c>
      <c r="AM240">
        <v>3.6697049079999999</v>
      </c>
      <c r="AN240">
        <v>3.0972537139999998</v>
      </c>
      <c r="AO240">
        <v>3.9701894910000002</v>
      </c>
      <c r="AP240">
        <v>2.3995824699999999</v>
      </c>
      <c r="AQ240">
        <v>8.2968721649999999</v>
      </c>
      <c r="AR240">
        <v>9.7711853009999992</v>
      </c>
      <c r="AS240">
        <v>6.9043590630000002</v>
      </c>
      <c r="AT240">
        <v>5.1152436039999998</v>
      </c>
      <c r="AU240">
        <v>5.7772390839999996</v>
      </c>
      <c r="AV240">
        <v>2.6089019840000001</v>
      </c>
      <c r="AW240">
        <v>6.0745619790000003</v>
      </c>
    </row>
    <row r="241" spans="1:49" x14ac:dyDescent="0.2">
      <c r="A241" t="s">
        <v>305</v>
      </c>
      <c r="B241" s="74">
        <v>39173</v>
      </c>
      <c r="C241">
        <v>8.7611855540000008</v>
      </c>
      <c r="D241">
        <v>4.4532590169999997</v>
      </c>
      <c r="E241">
        <v>3.5388060910000001</v>
      </c>
      <c r="F241">
        <v>3.8391820170000002</v>
      </c>
      <c r="G241">
        <v>5.1428186609999997</v>
      </c>
      <c r="H241">
        <v>1.375255855</v>
      </c>
      <c r="I241">
        <v>3.6129523360000002</v>
      </c>
      <c r="J241">
        <v>6.7584968869999997</v>
      </c>
      <c r="K241">
        <v>13.8</v>
      </c>
      <c r="L241">
        <v>6.3612995550000004</v>
      </c>
      <c r="M241">
        <v>4.1370008470000004</v>
      </c>
      <c r="N241">
        <v>2.3564465540000001</v>
      </c>
      <c r="O241">
        <v>3.5284956369999998</v>
      </c>
      <c r="P241">
        <v>3.8283603300000002</v>
      </c>
      <c r="Q241">
        <v>10.572500102999999</v>
      </c>
      <c r="R241">
        <v>3.7059330930000001</v>
      </c>
      <c r="T241">
        <v>3.9631265309999999</v>
      </c>
      <c r="U241">
        <v>2.5941338799999998</v>
      </c>
      <c r="V241">
        <v>2.0133836559999998</v>
      </c>
      <c r="X241">
        <v>2.0143544850000001</v>
      </c>
      <c r="Y241">
        <v>2.5372983040000001</v>
      </c>
      <c r="Z241">
        <v>1.6532328220000001</v>
      </c>
      <c r="AA241">
        <v>9.5572300000000006</v>
      </c>
      <c r="AB241">
        <v>7.7460626919999997</v>
      </c>
      <c r="AC241">
        <v>7.4464343800000004</v>
      </c>
      <c r="AD241">
        <v>4.784542224</v>
      </c>
      <c r="AE241">
        <v>2.2326571789999998</v>
      </c>
      <c r="AF241">
        <v>1.98037489</v>
      </c>
      <c r="AG241">
        <v>4.8809146759999997</v>
      </c>
      <c r="AH241">
        <v>7.3807618279999998</v>
      </c>
      <c r="AI241">
        <v>15.219511668000001</v>
      </c>
      <c r="AJ241">
        <v>2.216639705</v>
      </c>
      <c r="AK241">
        <v>4.1254371650000001</v>
      </c>
      <c r="AL241">
        <v>3.081328949</v>
      </c>
      <c r="AM241">
        <v>3.2460755290000001</v>
      </c>
      <c r="AN241">
        <v>2.7360825520000001</v>
      </c>
      <c r="AO241">
        <v>7.1318831060000001</v>
      </c>
      <c r="AP241">
        <v>2.6381464760000002</v>
      </c>
      <c r="AQ241">
        <v>8.1726132949999997</v>
      </c>
      <c r="AR241">
        <v>9.4836330869999994</v>
      </c>
      <c r="AS241">
        <v>8.1168402390000001</v>
      </c>
      <c r="AT241">
        <v>4.5204878529999997</v>
      </c>
      <c r="AU241">
        <v>6.486233951</v>
      </c>
      <c r="AV241">
        <v>1.5407153250000001</v>
      </c>
      <c r="AW241">
        <v>5.9354015269999998</v>
      </c>
    </row>
    <row r="242" spans="1:49" x14ac:dyDescent="0.2">
      <c r="A242" t="s">
        <v>306</v>
      </c>
      <c r="B242" s="74">
        <v>39264</v>
      </c>
      <c r="C242">
        <v>9.8072963550000001</v>
      </c>
      <c r="D242">
        <v>4.8854840270000004</v>
      </c>
      <c r="E242">
        <v>4.3709708970000003</v>
      </c>
      <c r="F242">
        <v>3.9445790430000001</v>
      </c>
      <c r="G242">
        <v>6.5207989800000004</v>
      </c>
      <c r="H242">
        <v>2.3046514180000002</v>
      </c>
      <c r="I242">
        <v>4.2246110850000003</v>
      </c>
      <c r="J242">
        <v>5.6508191480000001</v>
      </c>
      <c r="K242">
        <v>15</v>
      </c>
      <c r="L242">
        <v>5.1791864749999998</v>
      </c>
      <c r="M242">
        <v>3.2312882489999999</v>
      </c>
      <c r="N242">
        <v>-1.0530040570000001</v>
      </c>
      <c r="O242">
        <v>3.1106169239999999</v>
      </c>
      <c r="P242">
        <v>3.7533351100000001</v>
      </c>
      <c r="Q242">
        <v>8.7264891099999993</v>
      </c>
      <c r="R242">
        <v>3.1514898360000001</v>
      </c>
      <c r="T242">
        <v>5.5732974219999996</v>
      </c>
      <c r="U242">
        <v>2.2100409000000001</v>
      </c>
      <c r="V242">
        <v>2.0910357720000001</v>
      </c>
      <c r="X242">
        <v>2.134079066</v>
      </c>
      <c r="Y242">
        <v>5.1998824199999998</v>
      </c>
      <c r="Z242">
        <v>0.118335653</v>
      </c>
      <c r="AA242">
        <v>10.72776</v>
      </c>
      <c r="AB242">
        <v>5.8319780400000001</v>
      </c>
      <c r="AC242">
        <v>8.0976028830000004</v>
      </c>
      <c r="AD242">
        <v>4.7170114510000003</v>
      </c>
      <c r="AE242">
        <v>1.7303986689999999</v>
      </c>
      <c r="AF242">
        <v>1.8514532749999999</v>
      </c>
      <c r="AG242">
        <v>5.9217927870000002</v>
      </c>
      <c r="AH242">
        <v>9.4435893699999998</v>
      </c>
      <c r="AI242">
        <v>11.943767972</v>
      </c>
      <c r="AJ242">
        <v>2.0156211709999998</v>
      </c>
      <c r="AK242">
        <v>3.1145347409999999</v>
      </c>
      <c r="AL242">
        <v>2.9509363510000002</v>
      </c>
      <c r="AM242">
        <v>3.712656108</v>
      </c>
      <c r="AN242">
        <v>2.7036665430000002</v>
      </c>
      <c r="AO242">
        <v>5.9170685130000003</v>
      </c>
      <c r="AP242">
        <v>2.10749605</v>
      </c>
      <c r="AQ242">
        <v>8.808004554</v>
      </c>
      <c r="AR242">
        <v>9.6341032749999993</v>
      </c>
      <c r="AS242">
        <v>7.1861785300000003</v>
      </c>
      <c r="AT242">
        <v>3.358349273</v>
      </c>
      <c r="AU242">
        <v>3.3699744269999998</v>
      </c>
      <c r="AV242">
        <v>1.938641595</v>
      </c>
      <c r="AW242">
        <v>5.3079738130000003</v>
      </c>
    </row>
    <row r="243" spans="1:49" x14ac:dyDescent="0.2">
      <c r="A243" t="s">
        <v>307</v>
      </c>
      <c r="B243" s="74">
        <v>39356</v>
      </c>
      <c r="C243">
        <v>8.2639094009999994</v>
      </c>
      <c r="D243">
        <v>4.5335978240000001</v>
      </c>
      <c r="E243">
        <v>3.523214318</v>
      </c>
      <c r="F243">
        <v>3.832958079</v>
      </c>
      <c r="G243">
        <v>5.8885170670000004</v>
      </c>
      <c r="H243">
        <v>2.4481004830000002</v>
      </c>
      <c r="I243">
        <v>4.3158368869999997</v>
      </c>
      <c r="J243">
        <v>4.5184173559999996</v>
      </c>
      <c r="K243">
        <v>14.3</v>
      </c>
      <c r="L243">
        <v>5.3808221779999998</v>
      </c>
      <c r="M243">
        <v>2.952319578</v>
      </c>
      <c r="N243">
        <v>0.54708885699999998</v>
      </c>
      <c r="O243">
        <v>2.9735409050000001</v>
      </c>
      <c r="P243">
        <v>3.5864202349999998</v>
      </c>
      <c r="Q243">
        <v>6.5058804700000001</v>
      </c>
      <c r="R243">
        <v>3.056495875</v>
      </c>
      <c r="T243">
        <v>5.5398864200000002</v>
      </c>
      <c r="U243">
        <v>2.6396144399999999</v>
      </c>
      <c r="V243">
        <v>2.294061101</v>
      </c>
      <c r="X243">
        <v>2.5925063509999999</v>
      </c>
      <c r="Y243">
        <v>4.0476039930000001</v>
      </c>
      <c r="Z243">
        <v>8.1456882999999994E-2</v>
      </c>
      <c r="AA243">
        <v>9.1108200000000004</v>
      </c>
      <c r="AB243">
        <v>1.8900317550000001</v>
      </c>
      <c r="AC243">
        <v>7.3159385879999999</v>
      </c>
      <c r="AD243">
        <v>7.4480634669999999</v>
      </c>
      <c r="AE243">
        <v>1.5250319919999999</v>
      </c>
      <c r="AF243">
        <v>1.4977616359999999</v>
      </c>
      <c r="AG243">
        <v>5.4630106239999998</v>
      </c>
      <c r="AH243">
        <v>8.1058289269999992</v>
      </c>
      <c r="AI243">
        <v>10.415738218</v>
      </c>
      <c r="AJ243">
        <v>2.3706712639999998</v>
      </c>
      <c r="AK243">
        <v>3.646875004</v>
      </c>
      <c r="AL243">
        <v>3.2128873009999999</v>
      </c>
      <c r="AM243">
        <v>3.819656589</v>
      </c>
      <c r="AN243">
        <v>2.8573253620000001</v>
      </c>
      <c r="AO243">
        <v>5.9651310029999998</v>
      </c>
      <c r="AP243">
        <v>2.4333121850000001</v>
      </c>
      <c r="AQ243">
        <v>8.7111917759999997</v>
      </c>
      <c r="AR243">
        <v>10.123054699000001</v>
      </c>
      <c r="AS243">
        <v>7.5519460939999998</v>
      </c>
      <c r="AT243">
        <v>2.949738677</v>
      </c>
      <c r="AU243">
        <v>4.7655240450000003</v>
      </c>
      <c r="AV243">
        <v>2.3985598499999998</v>
      </c>
      <c r="AW243">
        <v>5.090652339</v>
      </c>
    </row>
    <row r="244" spans="1:49" x14ac:dyDescent="0.2">
      <c r="A244" t="s">
        <v>308</v>
      </c>
      <c r="B244" s="74">
        <v>39448</v>
      </c>
      <c r="C244">
        <v>9.2062227369999992</v>
      </c>
      <c r="D244">
        <v>3.6212901209999999</v>
      </c>
      <c r="E244">
        <v>3.327253266</v>
      </c>
      <c r="F244">
        <v>3.0838872460000002</v>
      </c>
      <c r="G244">
        <v>6.2972382470000001</v>
      </c>
      <c r="H244">
        <v>2.1573017800000001</v>
      </c>
      <c r="I244">
        <v>4.0827439180000002</v>
      </c>
      <c r="J244">
        <v>4.2573731029999999</v>
      </c>
      <c r="K244">
        <v>13.9</v>
      </c>
      <c r="L244">
        <v>5.3338570540000001</v>
      </c>
      <c r="M244">
        <v>2.0913689720000002</v>
      </c>
      <c r="N244">
        <v>1.834574414</v>
      </c>
      <c r="O244">
        <v>2.326346826</v>
      </c>
      <c r="P244">
        <v>3.2594965839999999</v>
      </c>
      <c r="Q244">
        <v>3.3035581089999999</v>
      </c>
      <c r="R244">
        <v>2.621923249</v>
      </c>
      <c r="T244">
        <v>6.0999130199999998</v>
      </c>
      <c r="U244">
        <v>2.082643209</v>
      </c>
      <c r="V244">
        <v>1.771539373</v>
      </c>
      <c r="X244">
        <v>2.3348071369999999</v>
      </c>
      <c r="Y244">
        <v>0.96419671900000004</v>
      </c>
      <c r="Z244">
        <v>-0.54625836100000003</v>
      </c>
      <c r="AA244">
        <v>10.897589999999999</v>
      </c>
      <c r="AB244">
        <v>5.8261342049999998</v>
      </c>
      <c r="AC244">
        <v>10.888773030999999</v>
      </c>
      <c r="AD244">
        <v>7.4269932709999997</v>
      </c>
      <c r="AE244">
        <v>-9.2100550000000003E-2</v>
      </c>
      <c r="AF244">
        <v>0.59022542</v>
      </c>
      <c r="AG244">
        <v>6.9046241779999997</v>
      </c>
      <c r="AH244">
        <v>7.3967327310000002</v>
      </c>
      <c r="AI244">
        <v>4.5090799439999998</v>
      </c>
      <c r="AJ244">
        <v>2.517516487</v>
      </c>
      <c r="AK244">
        <v>4.1901931030000004</v>
      </c>
      <c r="AL244">
        <v>2.4607091959999998</v>
      </c>
      <c r="AM244">
        <v>3.080360872</v>
      </c>
      <c r="AN244">
        <v>2.5788890150000001</v>
      </c>
      <c r="AO244">
        <v>9.0226203690000002</v>
      </c>
      <c r="AP244">
        <v>2.8465058129999998</v>
      </c>
      <c r="AQ244">
        <v>10.092326711</v>
      </c>
      <c r="AR244">
        <v>13.922496539999999</v>
      </c>
      <c r="AS244">
        <v>5.4692445960000002</v>
      </c>
      <c r="AT244">
        <v>3.440813941</v>
      </c>
      <c r="AU244">
        <v>5.9681872509999998</v>
      </c>
      <c r="AV244">
        <v>2.160883208</v>
      </c>
      <c r="AW244">
        <v>5.1261671660000001</v>
      </c>
    </row>
    <row r="245" spans="1:49" x14ac:dyDescent="0.2">
      <c r="A245" t="s">
        <v>309</v>
      </c>
      <c r="B245" s="74">
        <v>39539</v>
      </c>
      <c r="C245">
        <v>7.7008701520000002</v>
      </c>
      <c r="D245">
        <v>3.2455628239999998</v>
      </c>
      <c r="E245">
        <v>3.0584759610000001</v>
      </c>
      <c r="F245">
        <v>2.0822444760000001</v>
      </c>
      <c r="G245">
        <v>5.3672941160000001</v>
      </c>
      <c r="H245">
        <v>1.585825708</v>
      </c>
      <c r="I245">
        <v>4.3756028420000002</v>
      </c>
      <c r="J245">
        <v>5.3731805899999996</v>
      </c>
      <c r="K245">
        <v>11.5</v>
      </c>
      <c r="L245">
        <v>4.0489713470000002</v>
      </c>
      <c r="M245">
        <v>2.6556534740000002</v>
      </c>
      <c r="N245">
        <v>1.4561288299999999</v>
      </c>
      <c r="O245">
        <v>2.1909584130000002</v>
      </c>
      <c r="P245">
        <v>2.544256265</v>
      </c>
      <c r="Q245">
        <v>-2.2316346010000001</v>
      </c>
      <c r="R245">
        <v>2.4207311140000001</v>
      </c>
      <c r="T245">
        <v>3.9604511389999999</v>
      </c>
      <c r="U245">
        <v>1.824393905</v>
      </c>
      <c r="V245">
        <v>1.459778799</v>
      </c>
      <c r="X245">
        <v>2.1515632170000001</v>
      </c>
      <c r="Y245">
        <v>2.385711643</v>
      </c>
      <c r="Z245">
        <v>1.6199759650000001</v>
      </c>
      <c r="AA245">
        <v>8.5376300000000001</v>
      </c>
      <c r="AB245">
        <v>-2.7358713419999998</v>
      </c>
      <c r="AC245">
        <v>6.0738093400000004</v>
      </c>
      <c r="AD245">
        <v>6.070431857</v>
      </c>
      <c r="AE245">
        <v>1.1786446909999999</v>
      </c>
      <c r="AF245">
        <v>0.28734253900000001</v>
      </c>
      <c r="AG245">
        <v>5.5675559789999998</v>
      </c>
      <c r="AH245">
        <v>3.360666487</v>
      </c>
      <c r="AI245">
        <v>4.8040523449999997</v>
      </c>
      <c r="AJ245">
        <v>1.60356147</v>
      </c>
      <c r="AK245">
        <v>3.3474002490000001</v>
      </c>
      <c r="AL245">
        <v>1.097354766</v>
      </c>
      <c r="AM245">
        <v>1.508056031</v>
      </c>
      <c r="AN245">
        <v>2.0872988549999998</v>
      </c>
      <c r="AO245">
        <v>6.2370857749999997</v>
      </c>
      <c r="AP245">
        <v>1.7833610639999999</v>
      </c>
      <c r="AQ245">
        <v>11.000110756</v>
      </c>
      <c r="AR245">
        <v>8.4453816570000004</v>
      </c>
      <c r="AS245">
        <v>5.1429854229999998</v>
      </c>
      <c r="AT245">
        <v>1.6452131640000001</v>
      </c>
      <c r="AU245">
        <v>6.2631362949999998</v>
      </c>
      <c r="AV245">
        <v>1.4468030009999999</v>
      </c>
      <c r="AW245">
        <v>3.881015637</v>
      </c>
    </row>
    <row r="246" spans="1:49" x14ac:dyDescent="0.2">
      <c r="A246" t="s">
        <v>310</v>
      </c>
      <c r="B246" s="74">
        <v>39630</v>
      </c>
      <c r="C246">
        <v>6.0052177880000004</v>
      </c>
      <c r="D246">
        <v>2.937364777</v>
      </c>
      <c r="E246">
        <v>2.7201152720000001</v>
      </c>
      <c r="F246">
        <v>1.682569743</v>
      </c>
      <c r="G246">
        <v>6.1619416669999998</v>
      </c>
      <c r="H246">
        <v>0.97488014300000003</v>
      </c>
      <c r="I246">
        <v>3.8141275819999998</v>
      </c>
      <c r="J246">
        <v>4.4156110149999996</v>
      </c>
      <c r="K246">
        <v>10.9</v>
      </c>
      <c r="L246">
        <v>3.955255518</v>
      </c>
      <c r="M246">
        <v>1.5650485919999999</v>
      </c>
      <c r="N246">
        <v>0.97225072400000001</v>
      </c>
      <c r="O246">
        <v>1.129172574</v>
      </c>
      <c r="P246">
        <v>1.7443984299999999</v>
      </c>
      <c r="Q246">
        <v>-1.622400327</v>
      </c>
      <c r="R246">
        <v>1.4361002460000001</v>
      </c>
      <c r="T246">
        <v>1.3047360459999999</v>
      </c>
      <c r="U246">
        <v>0.61466744399999995</v>
      </c>
      <c r="V246">
        <v>0.96166987900000001</v>
      </c>
      <c r="X246">
        <v>1.2219493850000001</v>
      </c>
      <c r="Y246">
        <v>-1.147594182</v>
      </c>
      <c r="Z246">
        <v>2.3794903989999998</v>
      </c>
      <c r="AA246">
        <v>6.9746899999999998</v>
      </c>
      <c r="AB246">
        <v>-3.6944357430000001</v>
      </c>
      <c r="AC246">
        <v>4.0712730219999997</v>
      </c>
      <c r="AD246">
        <v>4.4214917749999998</v>
      </c>
      <c r="AE246">
        <v>4.1693490999999999E-2</v>
      </c>
      <c r="AF246">
        <v>-0.339702277</v>
      </c>
      <c r="AG246">
        <v>4.3152169730000001</v>
      </c>
      <c r="AH246">
        <v>1.1279991E-2</v>
      </c>
      <c r="AI246">
        <v>-0.99798228700000002</v>
      </c>
      <c r="AJ246">
        <v>1.5958153340000001</v>
      </c>
      <c r="AK246">
        <v>3.3278025649999998</v>
      </c>
      <c r="AL246">
        <v>1.1494816240000001</v>
      </c>
      <c r="AM246">
        <v>0.29030543399999997</v>
      </c>
      <c r="AN246">
        <v>1.435066411</v>
      </c>
      <c r="AO246">
        <v>5.2952274849999998</v>
      </c>
      <c r="AP246">
        <v>0.83514815200000003</v>
      </c>
      <c r="AQ246">
        <v>8.9406479999999995</v>
      </c>
      <c r="AR246">
        <v>7.148887717</v>
      </c>
      <c r="AS246">
        <v>5.6205243429999996</v>
      </c>
      <c r="AT246">
        <v>1.060487111</v>
      </c>
      <c r="AU246">
        <v>2.4609971750000001</v>
      </c>
      <c r="AV246">
        <v>1.380132559</v>
      </c>
      <c r="AW246">
        <v>4.2945314320000003</v>
      </c>
    </row>
    <row r="247" spans="1:49" x14ac:dyDescent="0.2">
      <c r="A247" t="s">
        <v>311</v>
      </c>
      <c r="B247" s="74">
        <v>39722</v>
      </c>
      <c r="C247">
        <v>5.4355739449999998</v>
      </c>
      <c r="D247">
        <v>2.4862367120000002</v>
      </c>
      <c r="E247">
        <v>1.69980248</v>
      </c>
      <c r="F247">
        <v>0.31390365999999997</v>
      </c>
      <c r="G247">
        <v>6.645467665</v>
      </c>
      <c r="H247">
        <v>1.377281448</v>
      </c>
      <c r="I247">
        <v>3.2426719909999999</v>
      </c>
      <c r="J247">
        <v>3.2807901899999998</v>
      </c>
      <c r="K247">
        <v>9.5</v>
      </c>
      <c r="L247">
        <v>2.767976993</v>
      </c>
      <c r="M247">
        <v>0.40813594399999997</v>
      </c>
      <c r="N247">
        <v>-0.55189543900000004</v>
      </c>
      <c r="O247">
        <v>0.150819377</v>
      </c>
      <c r="P247">
        <v>0.78426446000000005</v>
      </c>
      <c r="Q247">
        <v>-1.7729825340000001</v>
      </c>
      <c r="R247">
        <v>0.405165728</v>
      </c>
      <c r="T247">
        <v>0.729492064</v>
      </c>
      <c r="U247">
        <v>-5.0607054999999998E-2</v>
      </c>
      <c r="V247">
        <v>-0.107747019</v>
      </c>
      <c r="X247">
        <v>-0.96234991700000005</v>
      </c>
      <c r="Y247">
        <v>-0.624737981</v>
      </c>
      <c r="Z247">
        <v>1.641729964</v>
      </c>
      <c r="AA247">
        <v>6.0034200000000002</v>
      </c>
      <c r="AB247">
        <v>-1.9639341880000001</v>
      </c>
      <c r="AC247">
        <v>-1.0764969369999999</v>
      </c>
      <c r="AD247">
        <v>2.6468917799999998</v>
      </c>
      <c r="AE247">
        <v>-1.413232877</v>
      </c>
      <c r="AF247">
        <v>-1.049286487</v>
      </c>
      <c r="AG247">
        <v>3.9461524219999999</v>
      </c>
      <c r="AH247">
        <v>-7.7694161999999997E-2</v>
      </c>
      <c r="AI247">
        <v>-6.7597108820000003</v>
      </c>
      <c r="AJ247">
        <v>1.28258586</v>
      </c>
      <c r="AK247">
        <v>2.0610554470000002</v>
      </c>
      <c r="AL247">
        <v>-0.31454750399999998</v>
      </c>
      <c r="AM247">
        <v>-0.78939892</v>
      </c>
      <c r="AN247">
        <v>0.40273312900000002</v>
      </c>
      <c r="AO247">
        <v>3.189541943</v>
      </c>
      <c r="AP247">
        <v>0.54480643100000004</v>
      </c>
      <c r="AQ247">
        <v>5.0013092029999999</v>
      </c>
      <c r="AR247">
        <v>6.1554904730000004</v>
      </c>
      <c r="AS247">
        <v>2.9261460779999999</v>
      </c>
      <c r="AT247">
        <v>-0.21837350799999999</v>
      </c>
      <c r="AU247">
        <v>1.2943583E-2</v>
      </c>
      <c r="AV247">
        <v>0.242202378</v>
      </c>
      <c r="AW247">
        <v>3.3327331839999998</v>
      </c>
    </row>
    <row r="248" spans="1:49" x14ac:dyDescent="0.2">
      <c r="A248" t="s">
        <v>312</v>
      </c>
      <c r="B248" s="74">
        <v>39814</v>
      </c>
      <c r="C248">
        <v>-2.5580185950000001</v>
      </c>
      <c r="D248">
        <v>1.5910644110000001</v>
      </c>
      <c r="E248">
        <v>-1.4172970570000001</v>
      </c>
      <c r="F248">
        <v>-2.2583763549999998</v>
      </c>
      <c r="G248">
        <v>1.0281806149999999</v>
      </c>
      <c r="H248">
        <v>8.8076009999999996E-2</v>
      </c>
      <c r="I248">
        <v>-0.73020390400000001</v>
      </c>
      <c r="J248">
        <v>0.56111214899999995</v>
      </c>
      <c r="K248">
        <v>7.1</v>
      </c>
      <c r="L248">
        <v>-0.55907276500000003</v>
      </c>
      <c r="M248">
        <v>-1.845717651</v>
      </c>
      <c r="N248">
        <v>-3.867425881</v>
      </c>
      <c r="O248">
        <v>-2.1597238189999999</v>
      </c>
      <c r="P248">
        <v>-1.4757699820000001</v>
      </c>
      <c r="Q248">
        <v>-12.838646962</v>
      </c>
      <c r="R248">
        <v>-2.0162563250000001</v>
      </c>
      <c r="T248">
        <v>-2.7159965779999999</v>
      </c>
      <c r="U248">
        <v>-1.7342475429999999</v>
      </c>
      <c r="V248">
        <v>-2.6326910699999999</v>
      </c>
      <c r="X248">
        <v>-3.3207677480000002</v>
      </c>
      <c r="Y248">
        <v>-1.52470938</v>
      </c>
      <c r="Z248">
        <v>-2.2302295120000002</v>
      </c>
      <c r="AA248">
        <v>2.6664300000000001</v>
      </c>
      <c r="AB248">
        <v>-9.8127763849999994</v>
      </c>
      <c r="AC248">
        <v>2.1443322000000001E-2</v>
      </c>
      <c r="AD248">
        <v>0.40293050000000002</v>
      </c>
      <c r="AE248">
        <v>-3.6672274690000002</v>
      </c>
      <c r="AF248">
        <v>-3.894058743</v>
      </c>
      <c r="AG248">
        <v>-1.5899777559999999</v>
      </c>
      <c r="AH248">
        <v>-4.5167496009999999</v>
      </c>
      <c r="AI248">
        <v>-7.9443853759999996</v>
      </c>
      <c r="AJ248">
        <v>-0.76040686800000001</v>
      </c>
      <c r="AK248">
        <v>3.4028852999999998E-2</v>
      </c>
      <c r="AL248">
        <v>-1.078735198</v>
      </c>
      <c r="AM248">
        <v>-1.616726433</v>
      </c>
      <c r="AN248">
        <v>-2.2832439839999998</v>
      </c>
      <c r="AO248">
        <v>2.2338390540000002</v>
      </c>
      <c r="AP248">
        <v>-1.8515323450000001</v>
      </c>
      <c r="AQ248">
        <v>-1.557639212</v>
      </c>
      <c r="AR248">
        <v>1.010496616</v>
      </c>
      <c r="AS248">
        <v>-1.1261904810000001</v>
      </c>
      <c r="AT248">
        <v>-4.8298940930000001</v>
      </c>
      <c r="AU248">
        <v>-5.762221898</v>
      </c>
      <c r="AV248">
        <v>-2.5403392600000001</v>
      </c>
      <c r="AW248">
        <v>1.308885463</v>
      </c>
    </row>
    <row r="249" spans="1:49" x14ac:dyDescent="0.2">
      <c r="A249" t="s">
        <v>313</v>
      </c>
      <c r="B249" s="74">
        <v>39904</v>
      </c>
      <c r="C249">
        <v>-6.986582114</v>
      </c>
      <c r="D249">
        <v>1.4767781980000001</v>
      </c>
      <c r="E249">
        <v>-3.7601869109999999</v>
      </c>
      <c r="F249">
        <v>-3.6259190239999999</v>
      </c>
      <c r="G249">
        <v>-1.5058570950000001</v>
      </c>
      <c r="H249">
        <v>-2.2485177049999998</v>
      </c>
      <c r="I249">
        <v>-3.1109299250000002</v>
      </c>
      <c r="J249">
        <v>-1.9932637499999999</v>
      </c>
      <c r="K249">
        <v>6.4</v>
      </c>
      <c r="L249">
        <v>-4.3392810109999997</v>
      </c>
      <c r="M249">
        <v>-7.0267688450000003</v>
      </c>
      <c r="N249">
        <v>-5.1964215720000002</v>
      </c>
      <c r="O249">
        <v>-5.6776885449999996</v>
      </c>
      <c r="P249">
        <v>-4.2494510700000001</v>
      </c>
      <c r="Q249">
        <v>-13.223559503000001</v>
      </c>
      <c r="R249">
        <v>-5.3886250630000001</v>
      </c>
      <c r="T249">
        <v>-8.9056617239999998</v>
      </c>
      <c r="U249">
        <v>-3.8659158589999998</v>
      </c>
      <c r="V249">
        <v>-4.9504051069999999</v>
      </c>
      <c r="X249">
        <v>-5.6324560879999996</v>
      </c>
      <c r="Y249">
        <v>-6.7702908109999997</v>
      </c>
      <c r="Z249">
        <v>-7.0915175130000003</v>
      </c>
      <c r="AA249">
        <v>0.16417000000000001</v>
      </c>
      <c r="AB249">
        <v>-6.9225661519999999</v>
      </c>
      <c r="AC249">
        <v>-7.3756947110000004</v>
      </c>
      <c r="AD249">
        <v>-0.452077805</v>
      </c>
      <c r="AE249">
        <v>-7.2961989860000003</v>
      </c>
      <c r="AF249">
        <v>-8.8401121650000007</v>
      </c>
      <c r="AG249">
        <v>-1.896186505</v>
      </c>
      <c r="AH249">
        <v>-7.3137242179999999</v>
      </c>
      <c r="AI249">
        <v>-13.061165840999999</v>
      </c>
      <c r="AJ249">
        <v>-5.6604312390000002</v>
      </c>
      <c r="AK249">
        <v>-3.8756721729999999</v>
      </c>
      <c r="AL249">
        <v>-0.64733672099999995</v>
      </c>
      <c r="AM249">
        <v>-2.3006259650000001</v>
      </c>
      <c r="AN249">
        <v>-4.7343611579999996</v>
      </c>
      <c r="AO249">
        <v>1.8938585050000001</v>
      </c>
      <c r="AP249">
        <v>-4.3289468649999998</v>
      </c>
      <c r="AQ249">
        <v>-7.4842842210000002</v>
      </c>
      <c r="AR249">
        <v>-6.054620098</v>
      </c>
      <c r="AS249">
        <v>-6.9210137400000002</v>
      </c>
      <c r="AT249">
        <v>-5.496081029</v>
      </c>
      <c r="AU249">
        <v>-12.933908435999999</v>
      </c>
      <c r="AV249">
        <v>-3.2823924440000001</v>
      </c>
      <c r="AW249">
        <v>-0.684149216</v>
      </c>
    </row>
    <row r="250" spans="1:49" x14ac:dyDescent="0.2">
      <c r="A250" t="s">
        <v>314</v>
      </c>
      <c r="B250" s="74">
        <v>39995</v>
      </c>
      <c r="C250">
        <v>-9.4969122769999998</v>
      </c>
      <c r="D250">
        <v>1.91904506</v>
      </c>
      <c r="E250">
        <v>-5.2994115280000003</v>
      </c>
      <c r="F250">
        <v>-3.6410151449999999</v>
      </c>
      <c r="G250">
        <v>-1.9803656460000001</v>
      </c>
      <c r="H250">
        <v>-3.6636606239999998</v>
      </c>
      <c r="I250">
        <v>-3.3886078799999999</v>
      </c>
      <c r="J250">
        <v>-2.6601089130000002</v>
      </c>
      <c r="K250">
        <v>8.1999999999999993</v>
      </c>
      <c r="L250">
        <v>-5.3862922309999997</v>
      </c>
      <c r="M250">
        <v>-6.6606275300000002</v>
      </c>
      <c r="N250">
        <v>-6.1682680090000002</v>
      </c>
      <c r="O250">
        <v>-5.3509812830000003</v>
      </c>
      <c r="P250">
        <v>-4.3642555490000001</v>
      </c>
      <c r="Q250">
        <v>-16.995007045000001</v>
      </c>
      <c r="R250">
        <v>-5.1788782299999996</v>
      </c>
      <c r="T250">
        <v>-8.5694242079999992</v>
      </c>
      <c r="U250">
        <v>-3.3677717669999998</v>
      </c>
      <c r="V250">
        <v>-4.882967217</v>
      </c>
      <c r="X250">
        <v>-5.5029923409999997</v>
      </c>
      <c r="Y250">
        <v>-3.564516207</v>
      </c>
      <c r="Z250">
        <v>-7.6277935020000003</v>
      </c>
      <c r="AA250">
        <v>4.8825200000000004</v>
      </c>
      <c r="AB250">
        <v>-5.0287642469999998</v>
      </c>
      <c r="AC250">
        <v>-10.205126783000001</v>
      </c>
      <c r="AD250">
        <v>0.42737093100000001</v>
      </c>
      <c r="AE250">
        <v>-6.7085625589999998</v>
      </c>
      <c r="AF250">
        <v>-6.5197783149999999</v>
      </c>
      <c r="AG250">
        <v>-1.106362311</v>
      </c>
      <c r="AH250">
        <v>-5.1190121079999997</v>
      </c>
      <c r="AI250">
        <v>-14.897554368</v>
      </c>
      <c r="AJ250">
        <v>-7.7553783349999996</v>
      </c>
      <c r="AK250">
        <v>-4.3444474729999998</v>
      </c>
      <c r="AL250">
        <v>-1.5703541620000001</v>
      </c>
      <c r="AM250">
        <v>-2.0588714939999999</v>
      </c>
      <c r="AN250">
        <v>-4.5471863780000001</v>
      </c>
      <c r="AO250">
        <v>1.6936803039999999</v>
      </c>
      <c r="AP250">
        <v>-3.7693423250000002</v>
      </c>
      <c r="AQ250">
        <v>-9.3971492049999998</v>
      </c>
      <c r="AR250">
        <v>-5.68343153</v>
      </c>
      <c r="AS250">
        <v>-9.4910733589999996</v>
      </c>
      <c r="AT250">
        <v>-5.3820975999999998</v>
      </c>
      <c r="AU250">
        <v>-6.1135173890000001</v>
      </c>
      <c r="AV250">
        <v>-3.995504779</v>
      </c>
      <c r="AW250">
        <v>-2.2188104769999999</v>
      </c>
    </row>
    <row r="251" spans="1:49" x14ac:dyDescent="0.2">
      <c r="A251" t="s">
        <v>315</v>
      </c>
      <c r="B251" s="74">
        <v>40087</v>
      </c>
      <c r="C251">
        <v>-6.7170979580000001</v>
      </c>
      <c r="D251">
        <v>1.502471428</v>
      </c>
      <c r="E251">
        <v>-4.2731001739999996</v>
      </c>
      <c r="F251">
        <v>-1.849735973</v>
      </c>
      <c r="G251">
        <v>-1.1392234379999999</v>
      </c>
      <c r="H251">
        <v>-4.0173066549999996</v>
      </c>
      <c r="I251">
        <v>-2.6488616789999999</v>
      </c>
      <c r="J251">
        <v>-0.68624026400000004</v>
      </c>
      <c r="K251">
        <v>10.6</v>
      </c>
      <c r="L251">
        <v>-5.1683925650000004</v>
      </c>
      <c r="M251">
        <v>-5.5274779179999998</v>
      </c>
      <c r="N251">
        <v>-5.2906003520000002</v>
      </c>
      <c r="O251">
        <v>-4.4885727390000003</v>
      </c>
      <c r="P251">
        <v>-3.985540796</v>
      </c>
      <c r="Q251">
        <v>-18.666624229</v>
      </c>
      <c r="R251">
        <v>-4.3592124590000001</v>
      </c>
      <c r="T251">
        <v>-8.0415882409999995</v>
      </c>
      <c r="U251">
        <v>-3.0274050570000002</v>
      </c>
      <c r="V251">
        <v>-3.9400048999999999</v>
      </c>
      <c r="X251">
        <v>-4.0128504549999997</v>
      </c>
      <c r="Y251">
        <v>-4.1706773479999999</v>
      </c>
      <c r="Z251">
        <v>-7.4430954329999999</v>
      </c>
      <c r="AA251">
        <v>6.63314</v>
      </c>
      <c r="AB251">
        <v>-5.5472830809999998</v>
      </c>
      <c r="AC251">
        <v>-3.7367422229999998</v>
      </c>
      <c r="AD251">
        <v>1.354309762</v>
      </c>
      <c r="AE251">
        <v>-4.9952086900000001</v>
      </c>
      <c r="AF251">
        <v>-5.3831876569999997</v>
      </c>
      <c r="AG251">
        <v>1.028926786</v>
      </c>
      <c r="AH251">
        <v>-2.2847122450000001</v>
      </c>
      <c r="AI251">
        <v>-15.785891555999999</v>
      </c>
      <c r="AJ251">
        <v>-5.0197790370000002</v>
      </c>
      <c r="AK251">
        <v>-3.8436950759999999</v>
      </c>
      <c r="AL251">
        <v>-1.326673352</v>
      </c>
      <c r="AM251">
        <v>-1.2374971880000001</v>
      </c>
      <c r="AN251">
        <v>-3.5087223619999999</v>
      </c>
      <c r="AO251">
        <v>2.6271672119999998</v>
      </c>
      <c r="AP251">
        <v>-2.8401853930000001</v>
      </c>
      <c r="AQ251">
        <v>-7.6486395800000002</v>
      </c>
      <c r="AR251">
        <v>-5.401374272</v>
      </c>
      <c r="AS251">
        <v>-8.7355223859999995</v>
      </c>
      <c r="AT251">
        <v>-4.9531131320000004</v>
      </c>
      <c r="AU251">
        <v>-2.085237668</v>
      </c>
      <c r="AV251">
        <v>-3.137675003</v>
      </c>
      <c r="AW251">
        <v>-2.2256643660000002</v>
      </c>
    </row>
    <row r="252" spans="1:49" x14ac:dyDescent="0.2">
      <c r="A252" t="s">
        <v>316</v>
      </c>
      <c r="B252" s="74">
        <v>40179</v>
      </c>
      <c r="C252">
        <v>-0.24767017399999999</v>
      </c>
      <c r="D252">
        <v>2.7528432380000001</v>
      </c>
      <c r="E252">
        <v>-1.601684157</v>
      </c>
      <c r="F252">
        <v>1.131078891</v>
      </c>
      <c r="G252">
        <v>5.3549970680000003</v>
      </c>
      <c r="H252">
        <v>-1.7588737109999999</v>
      </c>
      <c r="I252">
        <v>1.010801332</v>
      </c>
      <c r="J252">
        <v>1.3492223640000001</v>
      </c>
      <c r="K252">
        <v>11.9</v>
      </c>
      <c r="L252">
        <v>-3.1905430099999998</v>
      </c>
      <c r="M252">
        <v>-3.2908877649999999</v>
      </c>
      <c r="N252">
        <v>-2.9119422089999998</v>
      </c>
      <c r="O252">
        <v>-2.2964572259999998</v>
      </c>
      <c r="P252">
        <v>-2.4303368590000001</v>
      </c>
      <c r="Q252">
        <v>-7.3549483340000004</v>
      </c>
      <c r="R252">
        <v>-2.1171363489999999</v>
      </c>
      <c r="T252">
        <v>-6.7505678900000001</v>
      </c>
      <c r="U252">
        <v>-0.84392977899999999</v>
      </c>
      <c r="V252">
        <v>-0.980958577</v>
      </c>
      <c r="X252">
        <v>-1.74462856</v>
      </c>
      <c r="Y252">
        <v>-2.6883492979999999</v>
      </c>
      <c r="Z252">
        <v>-4.1243686049999999</v>
      </c>
      <c r="AA252">
        <v>8.7676200000000009</v>
      </c>
      <c r="AB252">
        <v>-2.6879451689999998</v>
      </c>
      <c r="AC252">
        <v>-9.1223272580000003</v>
      </c>
      <c r="AD252">
        <v>3.5394219339999999</v>
      </c>
      <c r="AE252">
        <v>-2.122469889</v>
      </c>
      <c r="AF252">
        <v>-1.7874677859999999</v>
      </c>
      <c r="AG252">
        <v>5.2394253290000004</v>
      </c>
      <c r="AH252">
        <v>1.9276117989999999</v>
      </c>
      <c r="AI252">
        <v>-13.440179534</v>
      </c>
      <c r="AJ252">
        <v>-1.8419124469999999</v>
      </c>
      <c r="AK252">
        <v>-2.62188036</v>
      </c>
      <c r="AL252">
        <v>-1.5823248270000001</v>
      </c>
      <c r="AM252">
        <v>0.69191326399999997</v>
      </c>
      <c r="AN252">
        <v>-0.65738497399999996</v>
      </c>
      <c r="AO252">
        <v>4.6630352129999997</v>
      </c>
      <c r="AP252">
        <v>-1.521659332</v>
      </c>
      <c r="AQ252">
        <v>-3.5116623069999999</v>
      </c>
      <c r="AR252">
        <v>-4.7105325359999997</v>
      </c>
      <c r="AS252">
        <v>-5.3020863929999997</v>
      </c>
      <c r="AT252">
        <v>-1.0112608359999999</v>
      </c>
      <c r="AU252">
        <v>2.4281146589999998</v>
      </c>
      <c r="AV252">
        <v>8.1657584000000005E-2</v>
      </c>
      <c r="AW252">
        <v>-1.0100383289999999</v>
      </c>
    </row>
    <row r="253" spans="1:49" x14ac:dyDescent="0.2">
      <c r="A253" t="s">
        <v>317</v>
      </c>
      <c r="B253" s="74">
        <v>40269</v>
      </c>
      <c r="C253">
        <v>6.6853193129999999</v>
      </c>
      <c r="D253">
        <v>2.2570095399999999</v>
      </c>
      <c r="E253">
        <v>-0.28967822100000001</v>
      </c>
      <c r="F253">
        <v>2.6541432469999999</v>
      </c>
      <c r="G253">
        <v>9.2725471729999995</v>
      </c>
      <c r="H253">
        <v>1.7249135680000001</v>
      </c>
      <c r="I253">
        <v>3.341087581</v>
      </c>
      <c r="J253">
        <v>2.1740241779999998</v>
      </c>
      <c r="K253">
        <v>12.2</v>
      </c>
      <c r="L253">
        <v>0.85261570900000005</v>
      </c>
      <c r="M253">
        <v>2.2779730690000002</v>
      </c>
      <c r="N253">
        <v>-0.65945902199999995</v>
      </c>
      <c r="O253">
        <v>1.250671219</v>
      </c>
      <c r="P253">
        <v>0.15163904</v>
      </c>
      <c r="Q253">
        <v>-3.519528481</v>
      </c>
      <c r="R253">
        <v>1.216940685</v>
      </c>
      <c r="T253">
        <v>0.70712215</v>
      </c>
      <c r="U253">
        <v>1.209818208</v>
      </c>
      <c r="V253">
        <v>1.994181242</v>
      </c>
      <c r="X253">
        <v>0.75755443499999997</v>
      </c>
      <c r="Y253">
        <v>-3.5661409160000002</v>
      </c>
      <c r="Z253">
        <v>2.9827822E-2</v>
      </c>
      <c r="AA253">
        <v>13.69473</v>
      </c>
      <c r="AB253">
        <v>-0.299861288</v>
      </c>
      <c r="AC253">
        <v>-5.2163541369999997</v>
      </c>
      <c r="AD253">
        <v>4.9843902880000002</v>
      </c>
      <c r="AE253">
        <v>0.85684412600000004</v>
      </c>
      <c r="AF253">
        <v>4.2576725279999996</v>
      </c>
      <c r="AG253">
        <v>7.2046764559999996</v>
      </c>
      <c r="AH253">
        <v>5.7285366010000001</v>
      </c>
      <c r="AI253">
        <v>-10.734774304</v>
      </c>
      <c r="AJ253">
        <v>4.5433207500000004</v>
      </c>
      <c r="AK253">
        <v>0.81722148999999999</v>
      </c>
      <c r="AL253">
        <v>1.1734144200000001</v>
      </c>
      <c r="AM253">
        <v>2.0510900319999998</v>
      </c>
      <c r="AN253">
        <v>2.3056199570000002</v>
      </c>
      <c r="AO253">
        <v>2.6010115699999998</v>
      </c>
      <c r="AP253">
        <v>1.8521177310000001</v>
      </c>
      <c r="AQ253">
        <v>2.1546811180000001</v>
      </c>
      <c r="AR253">
        <v>7.3546622360000002</v>
      </c>
      <c r="AS253">
        <v>-1.1110228900000001</v>
      </c>
      <c r="AT253">
        <v>3.1595008820000001</v>
      </c>
      <c r="AU253">
        <v>8.2576938200000001</v>
      </c>
      <c r="AV253">
        <v>1.768457232</v>
      </c>
      <c r="AW253">
        <v>1.7273138939999999</v>
      </c>
    </row>
    <row r="254" spans="1:49" x14ac:dyDescent="0.2">
      <c r="A254" t="s">
        <v>318</v>
      </c>
      <c r="B254" s="74">
        <v>40360</v>
      </c>
      <c r="C254">
        <v>13.96171344</v>
      </c>
      <c r="D254">
        <v>2.1793288089999998</v>
      </c>
      <c r="E254">
        <v>1.849538436</v>
      </c>
      <c r="F254">
        <v>3.6161084090000002</v>
      </c>
      <c r="G254">
        <v>8.3670427820000004</v>
      </c>
      <c r="H254">
        <v>3.3854023660000001</v>
      </c>
      <c r="I254">
        <v>3.566163773</v>
      </c>
      <c r="J254">
        <v>6.2600297210000004</v>
      </c>
      <c r="K254">
        <v>10.8</v>
      </c>
      <c r="L254">
        <v>2.474577713</v>
      </c>
      <c r="M254">
        <v>4.4033870430000004</v>
      </c>
      <c r="N254">
        <v>1.996593348</v>
      </c>
      <c r="O254">
        <v>2.2326907199999999</v>
      </c>
      <c r="P254">
        <v>0.31260337999999999</v>
      </c>
      <c r="Q254">
        <v>1.1154700019999999</v>
      </c>
      <c r="R254">
        <v>2.2758271689999998</v>
      </c>
      <c r="T254">
        <v>3.9426311749999998</v>
      </c>
      <c r="U254">
        <v>1.7244954779999999</v>
      </c>
      <c r="V254">
        <v>2.9665172800000001</v>
      </c>
      <c r="X254">
        <v>2.2205281569999999</v>
      </c>
      <c r="Y254">
        <v>-9.645744466</v>
      </c>
      <c r="Z254">
        <v>0.79588254000000003</v>
      </c>
      <c r="AA254">
        <v>10.03998</v>
      </c>
      <c r="AB254">
        <v>0.32258409599999999</v>
      </c>
      <c r="AC254">
        <v>-1.0764242930000001</v>
      </c>
      <c r="AD254">
        <v>5.3314122560000001</v>
      </c>
      <c r="AE254">
        <v>1.935194734</v>
      </c>
      <c r="AF254">
        <v>3.4841376089999998</v>
      </c>
      <c r="AG254">
        <v>7.8045573380000004</v>
      </c>
      <c r="AH254">
        <v>5.5686584569999997</v>
      </c>
      <c r="AI254">
        <v>-6.0411915289999998</v>
      </c>
      <c r="AJ254">
        <v>7.2829060559999999</v>
      </c>
      <c r="AK254">
        <v>1.2572191800000001</v>
      </c>
      <c r="AL254">
        <v>0.98626381799999996</v>
      </c>
      <c r="AM254">
        <v>2.8285393160000001</v>
      </c>
      <c r="AN254">
        <v>3.230152694</v>
      </c>
      <c r="AO254">
        <v>4.1187293030000003</v>
      </c>
      <c r="AP254">
        <v>2.3232618719999998</v>
      </c>
      <c r="AQ254">
        <v>4.6519784560000002</v>
      </c>
      <c r="AR254">
        <v>6.843989659</v>
      </c>
      <c r="AS254">
        <v>1.7786035309999999</v>
      </c>
      <c r="AT254">
        <v>5.20948002</v>
      </c>
      <c r="AU254">
        <v>8.0429741260000007</v>
      </c>
      <c r="AV254">
        <v>2.9274678449999998</v>
      </c>
      <c r="AW254">
        <v>2.9345081049999999</v>
      </c>
    </row>
    <row r="255" spans="1:49" x14ac:dyDescent="0.2">
      <c r="A255" t="s">
        <v>319</v>
      </c>
      <c r="B255" s="74">
        <v>40452</v>
      </c>
      <c r="C255">
        <v>10.240862351000001</v>
      </c>
      <c r="D255">
        <v>2.592015253</v>
      </c>
      <c r="E255">
        <v>2.326798573</v>
      </c>
      <c r="F255">
        <v>2.7498112259999998</v>
      </c>
      <c r="G255">
        <v>6.9713874770000004</v>
      </c>
      <c r="H255">
        <v>3.6517204460000001</v>
      </c>
      <c r="I255">
        <v>2.9961105369999999</v>
      </c>
      <c r="J255">
        <v>7.4686119370000004</v>
      </c>
      <c r="K255">
        <v>9.9</v>
      </c>
      <c r="L255">
        <v>2.7341262739999999</v>
      </c>
      <c r="M255">
        <v>4.6959718400000003</v>
      </c>
      <c r="N255">
        <v>3.256597062</v>
      </c>
      <c r="O255">
        <v>2.2785190229999999</v>
      </c>
      <c r="P255">
        <v>5.007437E-2</v>
      </c>
      <c r="Q255">
        <v>4.6562885649999997</v>
      </c>
      <c r="R255">
        <v>2.4128672839999998</v>
      </c>
      <c r="T255">
        <v>2.5673015069999998</v>
      </c>
      <c r="U255">
        <v>2.1927845559999999</v>
      </c>
      <c r="V255">
        <v>3.5723364860000002</v>
      </c>
      <c r="X255">
        <v>2.8720139260000002</v>
      </c>
      <c r="Y255">
        <v>-11.992466326000001</v>
      </c>
      <c r="Z255">
        <v>1.6295862109999999</v>
      </c>
      <c r="AA255">
        <v>10.47142</v>
      </c>
      <c r="AB255">
        <v>2.188358757</v>
      </c>
      <c r="AC255">
        <v>-4.4762662259999999</v>
      </c>
      <c r="AD255">
        <v>5.4962697780000003</v>
      </c>
      <c r="AE255">
        <v>1.829995789</v>
      </c>
      <c r="AF255">
        <v>5.4108380829999998</v>
      </c>
      <c r="AG255">
        <v>5.881250359</v>
      </c>
      <c r="AH255">
        <v>1.723842315</v>
      </c>
      <c r="AI255">
        <v>-1.383965951</v>
      </c>
      <c r="AJ255">
        <v>4.8346048000000001</v>
      </c>
      <c r="AK255">
        <v>1.29867369</v>
      </c>
      <c r="AL255">
        <v>-1.5831175559999999</v>
      </c>
      <c r="AM255">
        <v>2.0669372880000001</v>
      </c>
      <c r="AN255">
        <v>3.5039537300000001</v>
      </c>
      <c r="AO255">
        <v>4.8850763949999996</v>
      </c>
      <c r="AP255">
        <v>1.5134662210000001</v>
      </c>
      <c r="AQ255">
        <v>4.7698428740000001</v>
      </c>
      <c r="AR255">
        <v>6.1901707640000003</v>
      </c>
      <c r="AS255">
        <v>1.7883161430000001</v>
      </c>
      <c r="AT255">
        <v>6.5454002989999998</v>
      </c>
      <c r="AU255">
        <v>8.4385931349999996</v>
      </c>
      <c r="AV255">
        <v>3.3491938139999999</v>
      </c>
      <c r="AW255">
        <v>3.6105983230000001</v>
      </c>
    </row>
    <row r="256" spans="1:49" x14ac:dyDescent="0.2">
      <c r="A256" t="s">
        <v>320</v>
      </c>
      <c r="B256" s="74">
        <v>40544</v>
      </c>
      <c r="C256">
        <v>9.7081019739999999</v>
      </c>
      <c r="D256">
        <v>2.7197540839999998</v>
      </c>
      <c r="E256">
        <v>3.0217795270000001</v>
      </c>
      <c r="F256">
        <v>2.4470176970000002</v>
      </c>
      <c r="G256">
        <v>5.7516054570000001</v>
      </c>
      <c r="H256">
        <v>3.6018732419999999</v>
      </c>
      <c r="I256">
        <v>2.9176429009999998</v>
      </c>
      <c r="J256">
        <v>7.4259778619999999</v>
      </c>
      <c r="K256">
        <v>9.9</v>
      </c>
      <c r="L256">
        <v>3.123834569</v>
      </c>
      <c r="M256">
        <v>4.7740381379999999</v>
      </c>
      <c r="N256">
        <v>2.9308156689999998</v>
      </c>
      <c r="O256">
        <v>2.4404163539999999</v>
      </c>
      <c r="P256">
        <v>0.137639866</v>
      </c>
      <c r="Q256">
        <v>6.3566196020000003</v>
      </c>
      <c r="R256">
        <v>2.5556132819999999</v>
      </c>
      <c r="T256">
        <v>5.536019488</v>
      </c>
      <c r="U256">
        <v>2.1574175790000001</v>
      </c>
      <c r="V256">
        <v>2.989090472</v>
      </c>
      <c r="X256">
        <v>2.6774740779999999</v>
      </c>
      <c r="Y256">
        <v>-12.777574794</v>
      </c>
      <c r="Z256">
        <v>1.6443811880000001</v>
      </c>
      <c r="AA256">
        <v>10.68164</v>
      </c>
      <c r="AB256">
        <v>3.0080369079999998</v>
      </c>
      <c r="AC256">
        <v>-0.55538127500000001</v>
      </c>
      <c r="AD256">
        <v>5.6799962549999998</v>
      </c>
      <c r="AE256">
        <v>2.0575934020000002</v>
      </c>
      <c r="AF256">
        <v>3.2667006509999998</v>
      </c>
      <c r="AG256">
        <v>6.3777791490000002</v>
      </c>
      <c r="AH256">
        <v>2.005656901</v>
      </c>
      <c r="AI256">
        <v>-0.74990637599999999</v>
      </c>
      <c r="AJ256">
        <v>3.9221257070000002</v>
      </c>
      <c r="AK256">
        <v>1.828137541</v>
      </c>
      <c r="AL256">
        <v>1.125758917</v>
      </c>
      <c r="AM256">
        <v>0.26381986600000001</v>
      </c>
      <c r="AN256">
        <v>3.1595478809999999</v>
      </c>
      <c r="AO256">
        <v>3.4315355649999999</v>
      </c>
      <c r="AP256">
        <v>1.268103738</v>
      </c>
      <c r="AQ256">
        <v>4.9515095230000004</v>
      </c>
      <c r="AR256">
        <v>4.8564520599999996</v>
      </c>
      <c r="AS256">
        <v>2.4652779439999999</v>
      </c>
      <c r="AT256">
        <v>7.7720042390000001</v>
      </c>
      <c r="AU256">
        <v>9.5775519819999992</v>
      </c>
      <c r="AV256">
        <v>2.7884496909999998</v>
      </c>
      <c r="AW256">
        <v>3.8821221100000001</v>
      </c>
    </row>
    <row r="257" spans="1:49" x14ac:dyDescent="0.2">
      <c r="A257" t="s">
        <v>321</v>
      </c>
      <c r="B257" s="74">
        <v>40634</v>
      </c>
      <c r="C257">
        <v>9.0457547320000007</v>
      </c>
      <c r="D257">
        <v>1.9719084529999999</v>
      </c>
      <c r="E257">
        <v>4.3371057159999999</v>
      </c>
      <c r="F257">
        <v>2.4095637320000001</v>
      </c>
      <c r="G257">
        <v>4.8842987979999997</v>
      </c>
      <c r="H257">
        <v>3.1402038609999998</v>
      </c>
      <c r="I257">
        <v>2.8505591859999999</v>
      </c>
      <c r="J257">
        <v>8.3277559669999999</v>
      </c>
      <c r="K257">
        <v>10.199999999999999</v>
      </c>
      <c r="L257">
        <v>3.0064665659999998</v>
      </c>
      <c r="M257">
        <v>5.9427989529999996</v>
      </c>
      <c r="N257">
        <v>2.2718550390000001</v>
      </c>
      <c r="O257">
        <v>2.904341107</v>
      </c>
      <c r="P257">
        <v>9.6486409999999995E-3</v>
      </c>
      <c r="Q257">
        <v>7.0378213330000001</v>
      </c>
      <c r="R257">
        <v>2.9920038290000002</v>
      </c>
      <c r="T257">
        <v>5.0726469959999996</v>
      </c>
      <c r="U257">
        <v>2.8559008669999999</v>
      </c>
      <c r="V257">
        <v>2.4541905000000002</v>
      </c>
      <c r="X257">
        <v>2.4367183809999999</v>
      </c>
      <c r="Y257">
        <v>-11.178066134</v>
      </c>
      <c r="Z257">
        <v>2.526955735</v>
      </c>
      <c r="AA257">
        <v>9.8514900000000001</v>
      </c>
      <c r="AB257">
        <v>0.80457337900000003</v>
      </c>
      <c r="AC257">
        <v>1.4019793</v>
      </c>
      <c r="AD257">
        <v>5.765334255</v>
      </c>
      <c r="AE257">
        <v>2.269855781</v>
      </c>
      <c r="AF257">
        <v>1.1129891430000001</v>
      </c>
      <c r="AG257">
        <v>5.3073706820000002</v>
      </c>
      <c r="AH257">
        <v>1.4335369499999999</v>
      </c>
      <c r="AI257">
        <v>-1.569615118</v>
      </c>
      <c r="AJ257">
        <v>3.6267881580000001</v>
      </c>
      <c r="AK257">
        <v>2.6096283680000001</v>
      </c>
      <c r="AL257">
        <v>-0.71685042700000001</v>
      </c>
      <c r="AM257">
        <v>1.0253169719999999</v>
      </c>
      <c r="AN257">
        <v>2.8350336679999999</v>
      </c>
      <c r="AO257">
        <v>5.0420551959999997</v>
      </c>
      <c r="AP257">
        <v>-0.22223320899999999</v>
      </c>
      <c r="AQ257">
        <v>3.9411241459999999</v>
      </c>
      <c r="AR257">
        <v>3.304210818</v>
      </c>
      <c r="AS257">
        <v>3.2585903950000001</v>
      </c>
      <c r="AT257">
        <v>5.3433730920000002</v>
      </c>
      <c r="AU257">
        <v>12.378786377999999</v>
      </c>
      <c r="AV257">
        <v>2.0306081909999998</v>
      </c>
      <c r="AW257">
        <v>3.6953156759999999</v>
      </c>
    </row>
    <row r="258" spans="1:49" x14ac:dyDescent="0.2">
      <c r="A258" t="s">
        <v>322</v>
      </c>
      <c r="B258" s="74">
        <v>40725</v>
      </c>
      <c r="C258">
        <v>5.2954357449999998</v>
      </c>
      <c r="D258">
        <v>2.5972022350000001</v>
      </c>
      <c r="E258">
        <v>3.2059932199999999</v>
      </c>
      <c r="F258">
        <v>1.6204249390000001</v>
      </c>
      <c r="G258">
        <v>4.8847277370000004</v>
      </c>
      <c r="H258">
        <v>2.80319874</v>
      </c>
      <c r="I258">
        <v>2.4850216870000001</v>
      </c>
      <c r="J258">
        <v>6.2777655589999997</v>
      </c>
      <c r="K258">
        <v>10</v>
      </c>
      <c r="L258">
        <v>2.088883901</v>
      </c>
      <c r="M258">
        <v>3.707855318</v>
      </c>
      <c r="N258">
        <v>2.5956930520000001</v>
      </c>
      <c r="O258">
        <v>1.896318561</v>
      </c>
      <c r="P258">
        <v>-0.45651271700000001</v>
      </c>
      <c r="Q258">
        <v>7.7160310609999998</v>
      </c>
      <c r="R258">
        <v>2.0503781189999999</v>
      </c>
      <c r="T258">
        <v>2.070675525</v>
      </c>
      <c r="U258">
        <v>2.2638361809999998</v>
      </c>
      <c r="V258">
        <v>1.5972542489999999</v>
      </c>
      <c r="X258">
        <v>1.3910401459999999</v>
      </c>
      <c r="Y258">
        <v>-9.4076577829999994</v>
      </c>
      <c r="Z258">
        <v>1.6151750739999999</v>
      </c>
      <c r="AA258">
        <v>8.5739400000000003</v>
      </c>
      <c r="AB258">
        <v>2.2499963790000002</v>
      </c>
      <c r="AC258">
        <v>0.22408208299999999</v>
      </c>
      <c r="AD258">
        <v>5.316295427</v>
      </c>
      <c r="AE258">
        <v>1.556687004</v>
      </c>
      <c r="AF258">
        <v>-0.94199046600000003</v>
      </c>
      <c r="AG258">
        <v>3.8512425129999999</v>
      </c>
      <c r="AH258">
        <v>-0.62568990999999996</v>
      </c>
      <c r="AI258">
        <v>2.6303875670000001</v>
      </c>
      <c r="AJ258">
        <v>3.0410591560000002</v>
      </c>
      <c r="AK258">
        <v>2.0698547920000001</v>
      </c>
      <c r="AL258">
        <v>-6.5040358000000006E-2</v>
      </c>
      <c r="AM258">
        <v>0.82380325899999995</v>
      </c>
      <c r="AN258">
        <v>2.0856718139999999</v>
      </c>
      <c r="AO258">
        <v>4.8444385710000004</v>
      </c>
      <c r="AP258">
        <v>-1.196017007</v>
      </c>
      <c r="AQ258">
        <v>3.9386446780000002</v>
      </c>
      <c r="AR258">
        <v>2.8169916349999999</v>
      </c>
      <c r="AS258">
        <v>0.92243872199999999</v>
      </c>
      <c r="AT258">
        <v>3.5552520809999999</v>
      </c>
      <c r="AU258">
        <v>11.238746556000001</v>
      </c>
      <c r="AV258">
        <v>1.737905069</v>
      </c>
      <c r="AW258">
        <v>3.4076528499999998</v>
      </c>
    </row>
    <row r="259" spans="1:49" x14ac:dyDescent="0.2">
      <c r="A259" t="s">
        <v>323</v>
      </c>
      <c r="B259" s="74">
        <v>40817</v>
      </c>
      <c r="C259">
        <v>5.5832330260000003</v>
      </c>
      <c r="D259">
        <v>3.2601243169999998</v>
      </c>
      <c r="E259">
        <v>2.9763497349999999</v>
      </c>
      <c r="F259">
        <v>1.4881499170000001</v>
      </c>
      <c r="G259">
        <v>3.6006113279999998</v>
      </c>
      <c r="H259">
        <v>3.4880974490000001</v>
      </c>
      <c r="I259">
        <v>1.5024549819999999</v>
      </c>
      <c r="J259">
        <v>4.5062581760000002</v>
      </c>
      <c r="K259">
        <v>9.4</v>
      </c>
      <c r="L259">
        <v>1.1580376370000001</v>
      </c>
      <c r="M259">
        <v>3.7634872110000002</v>
      </c>
      <c r="N259">
        <v>-0.26152291599999999</v>
      </c>
      <c r="O259">
        <v>1.602184281</v>
      </c>
      <c r="P259">
        <v>-1.051035465</v>
      </c>
      <c r="Q259">
        <v>7.933404404</v>
      </c>
      <c r="R259">
        <v>1.747607232</v>
      </c>
      <c r="T259">
        <v>2.6170746540000001</v>
      </c>
      <c r="U259">
        <v>2.1107046569999999</v>
      </c>
      <c r="V259">
        <v>1.210194703</v>
      </c>
      <c r="X259">
        <v>1.0068487660000001</v>
      </c>
      <c r="Y259">
        <v>-8.2122869739999995</v>
      </c>
      <c r="Z259">
        <v>1.029206759</v>
      </c>
      <c r="AA259">
        <v>5.4526000000000003</v>
      </c>
      <c r="AB259">
        <v>-4.9447465000000003E-2</v>
      </c>
      <c r="AC259">
        <v>4.0598091299999997</v>
      </c>
      <c r="AD259">
        <v>6.3111019580000001</v>
      </c>
      <c r="AE259">
        <v>0.54524033100000002</v>
      </c>
      <c r="AF259">
        <v>-0.34210460799999998</v>
      </c>
      <c r="AG259">
        <v>3.2055896160000001</v>
      </c>
      <c r="AH259">
        <v>2.2069068860000001</v>
      </c>
      <c r="AI259">
        <v>4.5739022389999997</v>
      </c>
      <c r="AJ259">
        <v>4.066370708</v>
      </c>
      <c r="AK259">
        <v>1.6212728080000001</v>
      </c>
      <c r="AL259">
        <v>4.1291970759999996</v>
      </c>
      <c r="AM259">
        <v>2.11639138</v>
      </c>
      <c r="AN259">
        <v>1.832513295</v>
      </c>
      <c r="AO259">
        <v>4.8129146179999998</v>
      </c>
      <c r="AP259">
        <v>-2.049629081</v>
      </c>
      <c r="AQ259">
        <v>4.5877987060000001</v>
      </c>
      <c r="AR259">
        <v>2.170012582</v>
      </c>
      <c r="AS259">
        <v>0.46074633599999998</v>
      </c>
      <c r="AT259">
        <v>3.6473382079999999</v>
      </c>
      <c r="AU259">
        <v>11.117671024</v>
      </c>
      <c r="AV259">
        <v>0.91822084800000003</v>
      </c>
      <c r="AW259">
        <v>2.919288694</v>
      </c>
    </row>
    <row r="260" spans="1:49" x14ac:dyDescent="0.2">
      <c r="A260" t="s">
        <v>324</v>
      </c>
      <c r="B260" s="74">
        <v>40909</v>
      </c>
      <c r="C260">
        <v>4.2590541929999999</v>
      </c>
      <c r="D260">
        <v>3.4638490480000002</v>
      </c>
      <c r="E260">
        <v>1.7554404850000001</v>
      </c>
      <c r="F260">
        <v>1.272481695</v>
      </c>
      <c r="G260">
        <v>3.0249865389999999</v>
      </c>
      <c r="H260">
        <v>3.150369226</v>
      </c>
      <c r="I260">
        <v>0.84686348899999997</v>
      </c>
      <c r="J260">
        <v>5.5235333539999996</v>
      </c>
      <c r="K260">
        <v>8.8000000000000007</v>
      </c>
      <c r="L260">
        <v>0.81070903999999999</v>
      </c>
      <c r="M260">
        <v>2.6068483050000002</v>
      </c>
      <c r="N260">
        <v>0.78033347500000005</v>
      </c>
      <c r="O260">
        <v>0.56245092699999999</v>
      </c>
      <c r="P260">
        <v>-1.7587018139999999</v>
      </c>
      <c r="Q260">
        <v>5.6774752319999999</v>
      </c>
      <c r="R260">
        <v>0.73502193800000004</v>
      </c>
      <c r="T260">
        <v>0.53424172999999997</v>
      </c>
      <c r="U260">
        <v>1.6158974020000001</v>
      </c>
      <c r="V260">
        <v>1.334913266</v>
      </c>
      <c r="X260">
        <v>1.0134323510000001</v>
      </c>
      <c r="Y260">
        <v>-11.656932404999999</v>
      </c>
      <c r="Z260">
        <v>2.3201345309999999</v>
      </c>
      <c r="AA260">
        <v>4.7392500000000002</v>
      </c>
      <c r="AB260">
        <v>0.59722394099999998</v>
      </c>
      <c r="AC260">
        <v>1.7255375879999999</v>
      </c>
      <c r="AD260">
        <v>5.4995125959999998</v>
      </c>
      <c r="AE260">
        <v>-0.95165847599999998</v>
      </c>
      <c r="AF260">
        <v>0.327425682</v>
      </c>
      <c r="AG260">
        <v>2.4439098600000002</v>
      </c>
      <c r="AH260">
        <v>1.1320446179999999</v>
      </c>
      <c r="AI260">
        <v>3.8095529469999998</v>
      </c>
      <c r="AJ260">
        <v>3.9449747500000001</v>
      </c>
      <c r="AK260">
        <v>-0.11867016599999999</v>
      </c>
      <c r="AL260">
        <v>1.3380472720000001</v>
      </c>
      <c r="AM260">
        <v>3.2390976220000001</v>
      </c>
      <c r="AN260">
        <v>1.6894720759999999</v>
      </c>
      <c r="AO260">
        <v>4.4560222779999998</v>
      </c>
      <c r="AP260">
        <v>-3.3101667080000001</v>
      </c>
      <c r="AQ260">
        <v>4.5368792630000003</v>
      </c>
      <c r="AR260">
        <v>2.277577596</v>
      </c>
      <c r="AS260">
        <v>-4.7470109000000003E-2</v>
      </c>
      <c r="AT260">
        <v>0.573046163</v>
      </c>
      <c r="AU260">
        <v>9.3209064149999996</v>
      </c>
      <c r="AV260">
        <v>1.5226915240000001</v>
      </c>
      <c r="AW260">
        <v>2.667734136</v>
      </c>
    </row>
    <row r="261" spans="1:49" x14ac:dyDescent="0.2">
      <c r="A261" t="s">
        <v>325</v>
      </c>
      <c r="B261" s="74">
        <v>41000</v>
      </c>
      <c r="C261">
        <v>0.72404971500000004</v>
      </c>
      <c r="D261">
        <v>4.7542825750000004</v>
      </c>
      <c r="E261">
        <v>1.692384895</v>
      </c>
      <c r="F261">
        <v>1.0036081379999999</v>
      </c>
      <c r="G261">
        <v>0.28341257800000003</v>
      </c>
      <c r="H261">
        <v>2.442677819</v>
      </c>
      <c r="I261">
        <v>1.2416969090000001</v>
      </c>
      <c r="J261">
        <v>6.4515151810000004</v>
      </c>
      <c r="K261">
        <v>8.1</v>
      </c>
      <c r="L261">
        <v>6.6262848999999999E-2</v>
      </c>
      <c r="M261">
        <v>0.87614774600000001</v>
      </c>
      <c r="N261">
        <v>0.49142101599999999</v>
      </c>
      <c r="O261">
        <v>-0.50586008699999996</v>
      </c>
      <c r="P261">
        <v>-2.5273289939999999</v>
      </c>
      <c r="Q261">
        <v>4.1924713200000001</v>
      </c>
      <c r="R261">
        <v>-0.28671585999999999</v>
      </c>
      <c r="T261">
        <v>-0.46093186000000003</v>
      </c>
      <c r="U261">
        <v>0.60961612399999998</v>
      </c>
      <c r="V261">
        <v>1.8374149559999999</v>
      </c>
      <c r="X261">
        <v>1.2298623930000001</v>
      </c>
      <c r="Y261">
        <v>-8.3601192980000008</v>
      </c>
      <c r="Z261">
        <v>-0.388389822</v>
      </c>
      <c r="AA261">
        <v>4.2765399999999998</v>
      </c>
      <c r="AB261">
        <v>-0.73958649499999995</v>
      </c>
      <c r="AC261">
        <v>2.6251040859999999</v>
      </c>
      <c r="AD261">
        <v>4.4976027719999996</v>
      </c>
      <c r="AE261">
        <v>-2.4918725479999999</v>
      </c>
      <c r="AF261">
        <v>2.8026547700000002</v>
      </c>
      <c r="AG261">
        <v>2.3754352729999999</v>
      </c>
      <c r="AH261">
        <v>0.45550765700000001</v>
      </c>
      <c r="AI261">
        <v>10.591413586</v>
      </c>
      <c r="AJ261">
        <v>3.837725389</v>
      </c>
      <c r="AK261">
        <v>-0.89854306100000003</v>
      </c>
      <c r="AL261">
        <v>3.439979648</v>
      </c>
      <c r="AM261">
        <v>2.7541817150000001</v>
      </c>
      <c r="AN261">
        <v>1.9027074049999999</v>
      </c>
      <c r="AO261">
        <v>3.3621639019999998</v>
      </c>
      <c r="AP261">
        <v>-3.19826619</v>
      </c>
      <c r="AQ261">
        <v>4.965895927</v>
      </c>
      <c r="AR261">
        <v>2.1752262660000001</v>
      </c>
      <c r="AS261">
        <v>-1.3014094060000001</v>
      </c>
      <c r="AT261">
        <v>0.38850669199999999</v>
      </c>
      <c r="AU261">
        <v>5.9600093440000004</v>
      </c>
      <c r="AV261">
        <v>2.600249298</v>
      </c>
      <c r="AW261">
        <v>2.2428092080000002</v>
      </c>
    </row>
    <row r="262" spans="1:49" x14ac:dyDescent="0.2">
      <c r="A262" t="s">
        <v>326</v>
      </c>
      <c r="B262" s="74">
        <v>41091</v>
      </c>
      <c r="C262">
        <v>-3.637377495</v>
      </c>
      <c r="D262">
        <v>4.1853195809999999</v>
      </c>
      <c r="E262">
        <v>1.023518427</v>
      </c>
      <c r="F262">
        <v>0.79376285999999996</v>
      </c>
      <c r="G262">
        <v>1.0162509289999999</v>
      </c>
      <c r="H262">
        <v>2.5769820449999998</v>
      </c>
      <c r="I262">
        <v>0.71043535700000005</v>
      </c>
      <c r="J262">
        <v>6.8888457189999999</v>
      </c>
      <c r="K262">
        <v>7.7</v>
      </c>
      <c r="L262">
        <v>-0.78653013999999999</v>
      </c>
      <c r="M262">
        <v>0.98056245200000003</v>
      </c>
      <c r="N262">
        <v>-0.43096579600000001</v>
      </c>
      <c r="O262">
        <v>-0.74595703400000002</v>
      </c>
      <c r="P262">
        <v>-3.157385348</v>
      </c>
      <c r="Q262">
        <v>3.4941579900000002</v>
      </c>
      <c r="R262">
        <v>-0.59386302099999999</v>
      </c>
      <c r="T262">
        <v>-1.342555677</v>
      </c>
      <c r="U262">
        <v>0.54623053200000005</v>
      </c>
      <c r="V262">
        <v>1.670101912</v>
      </c>
      <c r="X262">
        <v>1.06810114</v>
      </c>
      <c r="Y262">
        <v>-8.3222307690000008</v>
      </c>
      <c r="Z262">
        <v>-0.96376339099999997</v>
      </c>
      <c r="AA262">
        <v>4.2212199999999998</v>
      </c>
      <c r="AB262">
        <v>-0.12658603600000001</v>
      </c>
      <c r="AC262">
        <v>1.303316363</v>
      </c>
      <c r="AD262">
        <v>3.3949005890000001</v>
      </c>
      <c r="AE262">
        <v>-3.2554238999999998</v>
      </c>
      <c r="AF262">
        <v>2.7649301350000002</v>
      </c>
      <c r="AG262">
        <v>2.4520288529999998</v>
      </c>
      <c r="AH262">
        <v>1.4275279240000001</v>
      </c>
      <c r="AI262">
        <v>6.2913327389999996</v>
      </c>
      <c r="AJ262">
        <v>4.1775956560000003</v>
      </c>
      <c r="AK262">
        <v>-0.759337119</v>
      </c>
      <c r="AL262">
        <v>4.114329873</v>
      </c>
      <c r="AM262">
        <v>2.5817072190000001</v>
      </c>
      <c r="AN262">
        <v>1.6666127390000001</v>
      </c>
      <c r="AO262">
        <v>1.75033175</v>
      </c>
      <c r="AP262">
        <v>-4.0917441290000003</v>
      </c>
      <c r="AQ262">
        <v>4.3829636450000002</v>
      </c>
      <c r="AR262">
        <v>1.638873461</v>
      </c>
      <c r="AS262">
        <v>-2.5500699029999998</v>
      </c>
      <c r="AT262">
        <v>0.217895901</v>
      </c>
      <c r="AU262">
        <v>4.9079508409999999</v>
      </c>
      <c r="AV262">
        <v>2.3738163499999998</v>
      </c>
      <c r="AW262">
        <v>2.5224759780000001</v>
      </c>
    </row>
    <row r="263" spans="1:49" x14ac:dyDescent="0.2">
      <c r="A263" t="s">
        <v>327</v>
      </c>
      <c r="B263" s="74">
        <v>41183</v>
      </c>
      <c r="C263">
        <v>-1.396210929</v>
      </c>
      <c r="D263">
        <v>3.4074657789999998</v>
      </c>
      <c r="E263">
        <v>0.171770274</v>
      </c>
      <c r="F263">
        <v>0.75026148500000001</v>
      </c>
      <c r="G263">
        <v>2.969637117</v>
      </c>
      <c r="H263">
        <v>1.318874171</v>
      </c>
      <c r="I263">
        <v>1.7989269889999999</v>
      </c>
      <c r="J263">
        <v>7.0330178989999999</v>
      </c>
      <c r="K263">
        <v>7.5</v>
      </c>
      <c r="L263">
        <v>-0.96106413000000002</v>
      </c>
      <c r="M263">
        <v>0.37782384800000002</v>
      </c>
      <c r="N263">
        <v>0.91764258600000004</v>
      </c>
      <c r="O263">
        <v>-0.993367161</v>
      </c>
      <c r="P263">
        <v>-3.022491654</v>
      </c>
      <c r="Q263">
        <v>2.302597156</v>
      </c>
      <c r="R263">
        <v>-0.87557333900000001</v>
      </c>
      <c r="T263">
        <v>-1.8428314779999999</v>
      </c>
      <c r="U263">
        <v>0.31527221500000002</v>
      </c>
      <c r="V263">
        <v>1.3000128259999999</v>
      </c>
      <c r="X263">
        <v>1.980047042</v>
      </c>
      <c r="Y263">
        <v>-7.7843437690000004</v>
      </c>
      <c r="Z263">
        <v>-0.85253104999999996</v>
      </c>
      <c r="AA263">
        <v>6.0950300000000004</v>
      </c>
      <c r="AB263">
        <v>-0.15447830000000001</v>
      </c>
      <c r="AC263">
        <v>0.15176810099999999</v>
      </c>
      <c r="AD263">
        <v>2.1347086370000001</v>
      </c>
      <c r="AE263">
        <v>-3.2510351709999998</v>
      </c>
      <c r="AF263">
        <v>-5.1057806999999997E-2</v>
      </c>
      <c r="AG263">
        <v>2.3760541210000001</v>
      </c>
      <c r="AH263">
        <v>1.256960163</v>
      </c>
      <c r="AI263">
        <v>6.0513314400000002</v>
      </c>
      <c r="AJ263">
        <v>2.7713729009999999</v>
      </c>
      <c r="AK263">
        <v>-1.1856849279999999</v>
      </c>
      <c r="AL263">
        <v>0.97806738800000004</v>
      </c>
      <c r="AM263">
        <v>1.7923497269999999</v>
      </c>
      <c r="AN263">
        <v>1.2408505460000001</v>
      </c>
      <c r="AO263">
        <v>0.895997865</v>
      </c>
      <c r="AP263">
        <v>-4.4286947659999996</v>
      </c>
      <c r="AQ263">
        <v>3.7274807239999999</v>
      </c>
      <c r="AR263">
        <v>1.2615239730000001</v>
      </c>
      <c r="AS263">
        <v>-2.1616208029999999</v>
      </c>
      <c r="AT263">
        <v>-1.206826226</v>
      </c>
      <c r="AU263">
        <v>3.9943142659999999</v>
      </c>
      <c r="AV263">
        <v>2.592622977</v>
      </c>
      <c r="AW263">
        <v>2.5151112150000001</v>
      </c>
    </row>
    <row r="264" spans="1:49" x14ac:dyDescent="0.2">
      <c r="A264" t="s">
        <v>328</v>
      </c>
      <c r="B264" s="74">
        <v>41275</v>
      </c>
      <c r="C264">
        <v>0.21251293199999999</v>
      </c>
      <c r="D264">
        <v>2.7982847899999999</v>
      </c>
      <c r="E264">
        <v>0.150743818</v>
      </c>
      <c r="F264">
        <v>0.41114297700000002</v>
      </c>
      <c r="G264">
        <v>2.1590281519999999</v>
      </c>
      <c r="H264">
        <v>0.73508072999999996</v>
      </c>
      <c r="I264">
        <v>1.5919427559999999</v>
      </c>
      <c r="J264">
        <v>5.3766126610000002</v>
      </c>
      <c r="K264">
        <v>8.1</v>
      </c>
      <c r="L264">
        <v>-1.1845567530000001</v>
      </c>
      <c r="M264">
        <v>0.243074925</v>
      </c>
      <c r="N264">
        <v>-6.2150336E-2</v>
      </c>
      <c r="O264">
        <v>-1.023537098</v>
      </c>
      <c r="P264">
        <v>-3.1338623060000002</v>
      </c>
      <c r="Q264">
        <v>3.2452001859999999</v>
      </c>
      <c r="R264">
        <v>-0.93605082500000003</v>
      </c>
      <c r="T264">
        <v>-1.9460079990000001</v>
      </c>
      <c r="U264">
        <v>-1.4057195999999999E-2</v>
      </c>
      <c r="V264">
        <v>0.73441491199999998</v>
      </c>
      <c r="X264">
        <v>1.599090407</v>
      </c>
      <c r="Y264">
        <v>-4.2240625669999998</v>
      </c>
      <c r="Z264">
        <v>-2.2123269049999998</v>
      </c>
      <c r="AA264">
        <v>5.6335699999999997</v>
      </c>
      <c r="AB264">
        <v>0.39465463899999997</v>
      </c>
      <c r="AC264">
        <v>0.25914760199999998</v>
      </c>
      <c r="AD264">
        <v>1.9888973169999999</v>
      </c>
      <c r="AE264">
        <v>-3.0594593840000002</v>
      </c>
      <c r="AF264">
        <v>6.8488230000000004E-3</v>
      </c>
      <c r="AG264">
        <v>2.4065722859999998</v>
      </c>
      <c r="AH264">
        <v>3.3949260309999998</v>
      </c>
      <c r="AI264">
        <v>6.4349430759999997</v>
      </c>
      <c r="AJ264">
        <v>2.9750693940000001</v>
      </c>
      <c r="AK264">
        <v>-1.2815215040000001</v>
      </c>
      <c r="AL264">
        <v>1.7509523730000001</v>
      </c>
      <c r="AM264">
        <v>2.7660331130000002</v>
      </c>
      <c r="AN264">
        <v>0.84174317300000001</v>
      </c>
      <c r="AO264">
        <v>-0.26719844999999998</v>
      </c>
      <c r="AP264">
        <v>-4.5276429540000001</v>
      </c>
      <c r="AQ264">
        <v>2.5587927939999999</v>
      </c>
      <c r="AR264">
        <v>0.37545934800000003</v>
      </c>
      <c r="AS264">
        <v>-4.146801827</v>
      </c>
      <c r="AT264">
        <v>-0.50911115900000004</v>
      </c>
      <c r="AU264">
        <v>4.2462833499999997</v>
      </c>
      <c r="AV264">
        <v>1.5660643460000001</v>
      </c>
      <c r="AW264">
        <v>2.304199814</v>
      </c>
    </row>
    <row r="265" spans="1:49" x14ac:dyDescent="0.2">
      <c r="A265" t="s">
        <v>329</v>
      </c>
      <c r="B265" s="74">
        <v>41365</v>
      </c>
      <c r="C265">
        <v>1.315854176</v>
      </c>
      <c r="D265">
        <v>2.269373705</v>
      </c>
      <c r="E265">
        <v>-0.81981944399999995</v>
      </c>
      <c r="F265">
        <v>-7.9050592000000003E-2</v>
      </c>
      <c r="G265">
        <v>3.9324783239999999</v>
      </c>
      <c r="H265">
        <v>1.573583484</v>
      </c>
      <c r="I265">
        <v>0.98307996900000005</v>
      </c>
      <c r="J265">
        <v>4.1627443419999999</v>
      </c>
      <c r="K265">
        <v>7.9</v>
      </c>
      <c r="L265">
        <v>-1.437090588</v>
      </c>
      <c r="M265">
        <v>-0.43561151799999998</v>
      </c>
      <c r="N265">
        <v>0.57118820299999995</v>
      </c>
      <c r="O265">
        <v>-1.153585335</v>
      </c>
      <c r="P265">
        <v>-2.530045721</v>
      </c>
      <c r="Q265">
        <v>3.1276821749999999</v>
      </c>
      <c r="R265">
        <v>-0.96952051699999997</v>
      </c>
      <c r="T265">
        <v>-2.3599642940000001</v>
      </c>
      <c r="U265">
        <v>3.4357005000000003E-2</v>
      </c>
      <c r="V265">
        <v>0.72881399499999999</v>
      </c>
      <c r="X265">
        <v>1.378622952</v>
      </c>
      <c r="Y265">
        <v>-4.8992087849999999</v>
      </c>
      <c r="Z265">
        <v>-0.256009712</v>
      </c>
      <c r="AA265">
        <v>5.8606699999999998</v>
      </c>
      <c r="AB265">
        <v>-0.60829496699999996</v>
      </c>
      <c r="AC265">
        <v>4.3647503429999999</v>
      </c>
      <c r="AD265">
        <v>2.930666649</v>
      </c>
      <c r="AE265">
        <v>-2.909571423</v>
      </c>
      <c r="AF265">
        <v>1.2800990999999999E-2</v>
      </c>
      <c r="AG265">
        <v>2.4002358959999999</v>
      </c>
      <c r="AH265">
        <v>2.8612656680000002</v>
      </c>
      <c r="AI265">
        <v>1.5807127949999999</v>
      </c>
      <c r="AJ265">
        <v>2.558275031</v>
      </c>
      <c r="AK265">
        <v>-0.75617883100000005</v>
      </c>
      <c r="AL265">
        <v>-0.25977813799999999</v>
      </c>
      <c r="AM265">
        <v>1.8163609940000001</v>
      </c>
      <c r="AN265">
        <v>0.94078461700000005</v>
      </c>
      <c r="AO265">
        <v>-0.272455053</v>
      </c>
      <c r="AP265">
        <v>-3.6042074770000001</v>
      </c>
      <c r="AQ265">
        <v>1.7210856299999999</v>
      </c>
      <c r="AR265">
        <v>0.17450184599999999</v>
      </c>
      <c r="AS265">
        <v>-3.357335306</v>
      </c>
      <c r="AT265">
        <v>0.692929244</v>
      </c>
      <c r="AU265">
        <v>8.2638838620000001</v>
      </c>
      <c r="AV265">
        <v>1.6163010950000001</v>
      </c>
      <c r="AW265">
        <v>2.5169957599999999</v>
      </c>
    </row>
    <row r="266" spans="1:49" x14ac:dyDescent="0.2">
      <c r="A266" t="s">
        <v>330</v>
      </c>
      <c r="B266" s="74">
        <v>41456</v>
      </c>
      <c r="C266">
        <v>5.4346161860000004</v>
      </c>
      <c r="D266">
        <v>1.9484944420000001</v>
      </c>
      <c r="E266">
        <v>-0.33398259000000002</v>
      </c>
      <c r="F266">
        <v>0.50532846399999998</v>
      </c>
      <c r="G266">
        <v>3.8986008270000001</v>
      </c>
      <c r="H266">
        <v>1.8309374890000001</v>
      </c>
      <c r="I266">
        <v>1.947284131</v>
      </c>
      <c r="J266">
        <v>3.0676627239999998</v>
      </c>
      <c r="K266">
        <v>7.6</v>
      </c>
      <c r="L266">
        <v>-0.54201172900000005</v>
      </c>
      <c r="M266">
        <v>0.439963565</v>
      </c>
      <c r="N266">
        <v>0.57021508499999995</v>
      </c>
      <c r="O266">
        <v>-0.35453579899999998</v>
      </c>
      <c r="P266">
        <v>-1.670138916</v>
      </c>
      <c r="Q266">
        <v>1.617110917</v>
      </c>
      <c r="R266">
        <v>-0.19231171</v>
      </c>
      <c r="T266">
        <v>-0.86085371099999997</v>
      </c>
      <c r="U266">
        <v>0.86813119699999997</v>
      </c>
      <c r="V266">
        <v>1.1080504120000001</v>
      </c>
      <c r="X266">
        <v>2.1049183180000002</v>
      </c>
      <c r="Y266">
        <v>-3.0591942589999999</v>
      </c>
      <c r="Z266">
        <v>1.3916862889999999</v>
      </c>
      <c r="AA266">
        <v>6.1179699999999997</v>
      </c>
      <c r="AB266">
        <v>0.20091355299999999</v>
      </c>
      <c r="AC266">
        <v>4.549940909</v>
      </c>
      <c r="AD266">
        <v>5.0920047300000002</v>
      </c>
      <c r="AE266">
        <v>-2.1681353900000002</v>
      </c>
      <c r="AF266">
        <v>1.8381150239999999</v>
      </c>
      <c r="AG266">
        <v>3.0113611100000002</v>
      </c>
      <c r="AH266">
        <v>4.8661395909999996</v>
      </c>
      <c r="AI266">
        <v>2.1011290979999999</v>
      </c>
      <c r="AJ266">
        <v>1.1095095070000001</v>
      </c>
      <c r="AK266">
        <v>-0.98595240100000003</v>
      </c>
      <c r="AL266">
        <v>0.224397702</v>
      </c>
      <c r="AM266">
        <v>2.6654663589999998</v>
      </c>
      <c r="AN266">
        <v>1.345332078</v>
      </c>
      <c r="AO266">
        <v>1.049422055</v>
      </c>
      <c r="AP266">
        <v>-1.546055897</v>
      </c>
      <c r="AQ266">
        <v>1.6739036089999999</v>
      </c>
      <c r="AR266">
        <v>0.33421352300000001</v>
      </c>
      <c r="AS266">
        <v>-1.3080303959999999</v>
      </c>
      <c r="AT266">
        <v>0.43679506299999998</v>
      </c>
      <c r="AU266">
        <v>9.5497674400000001</v>
      </c>
      <c r="AV266">
        <v>1.29617049</v>
      </c>
      <c r="AW266">
        <v>2.4078493050000001</v>
      </c>
    </row>
    <row r="267" spans="1:49" x14ac:dyDescent="0.2">
      <c r="A267" t="s">
        <v>331</v>
      </c>
      <c r="B267" s="74">
        <v>41548</v>
      </c>
      <c r="C267">
        <v>2.867178386</v>
      </c>
      <c r="D267">
        <v>2.1391644680000002</v>
      </c>
      <c r="E267">
        <v>0.30133307199999998</v>
      </c>
      <c r="F267">
        <v>0.57198187199999995</v>
      </c>
      <c r="G267">
        <v>2.4838993579999999</v>
      </c>
      <c r="H267">
        <v>2.5211811590000002</v>
      </c>
      <c r="I267">
        <v>2.019395775</v>
      </c>
      <c r="J267">
        <v>2.8391635750000002</v>
      </c>
      <c r="K267">
        <v>7.9</v>
      </c>
      <c r="L267">
        <v>0.24717662600000001</v>
      </c>
      <c r="M267">
        <v>0.72942525499999999</v>
      </c>
      <c r="N267">
        <v>1.1122699899999999</v>
      </c>
      <c r="O267">
        <v>3.8435879999999999E-2</v>
      </c>
      <c r="P267">
        <v>-1.2204827840000001</v>
      </c>
      <c r="Q267">
        <v>0.86017979499999997</v>
      </c>
      <c r="R267">
        <v>0.20952374800000001</v>
      </c>
      <c r="T267">
        <v>-0.130193592</v>
      </c>
      <c r="U267">
        <v>0.51508326000000004</v>
      </c>
      <c r="V267">
        <v>1.661234908</v>
      </c>
      <c r="X267">
        <v>1.64357186</v>
      </c>
      <c r="Y267">
        <v>-1.6209288610000001</v>
      </c>
      <c r="Z267">
        <v>2.6281623920000001</v>
      </c>
      <c r="AA267">
        <v>5.9169</v>
      </c>
      <c r="AB267">
        <v>4.1241851199999999</v>
      </c>
      <c r="AC267">
        <v>3.6283827460000002</v>
      </c>
      <c r="AD267">
        <v>5.3007976140000004</v>
      </c>
      <c r="AE267">
        <v>-1.431975073</v>
      </c>
      <c r="AF267">
        <v>3.2061489879999998</v>
      </c>
      <c r="AG267">
        <v>3.4260396929999999</v>
      </c>
      <c r="AH267">
        <v>3.8412755299999999</v>
      </c>
      <c r="AI267">
        <v>2.1555664860000001</v>
      </c>
      <c r="AJ267">
        <v>1.483526015</v>
      </c>
      <c r="AK267">
        <v>4.0540039999999999E-2</v>
      </c>
      <c r="AL267">
        <v>2.696098976</v>
      </c>
      <c r="AM267">
        <v>2.994514611</v>
      </c>
      <c r="AN267">
        <v>1.8773219569999999</v>
      </c>
      <c r="AO267">
        <v>1.369326743</v>
      </c>
      <c r="AP267">
        <v>-0.56010572800000002</v>
      </c>
      <c r="AQ267">
        <v>1.192806365</v>
      </c>
      <c r="AR267">
        <v>0.70466011299999998</v>
      </c>
      <c r="AS267">
        <v>-1.4954145249999999</v>
      </c>
      <c r="AT267">
        <v>1.0263199249999999</v>
      </c>
      <c r="AU267">
        <v>9.2280902559999998</v>
      </c>
      <c r="AV267">
        <v>1.9198446199999999</v>
      </c>
      <c r="AW267">
        <v>2.4771044930000001</v>
      </c>
    </row>
    <row r="268" spans="1:49" x14ac:dyDescent="0.2">
      <c r="A268" t="s">
        <v>332</v>
      </c>
      <c r="B268" s="74">
        <v>41640</v>
      </c>
      <c r="C268">
        <v>0.138958677</v>
      </c>
      <c r="D268">
        <v>2.4681359070000002</v>
      </c>
      <c r="E268">
        <v>0.74878470100000005</v>
      </c>
      <c r="F268">
        <v>0.83789398000000004</v>
      </c>
      <c r="G268">
        <v>2.58881373</v>
      </c>
      <c r="H268">
        <v>3.3844473329999998</v>
      </c>
      <c r="I268">
        <v>2.4534632709999999</v>
      </c>
      <c r="J268">
        <v>2.6777411710000001</v>
      </c>
      <c r="K268">
        <v>7.7</v>
      </c>
      <c r="L268">
        <v>1.5822802579999999</v>
      </c>
      <c r="M268">
        <v>1.4836484919999999</v>
      </c>
      <c r="N268">
        <v>1.479632236</v>
      </c>
      <c r="O268">
        <v>0.775792437</v>
      </c>
      <c r="P268">
        <v>-0.29549400799999997</v>
      </c>
      <c r="Q268">
        <v>-7.7656101000000005E-2</v>
      </c>
      <c r="R268">
        <v>0.98753994499999997</v>
      </c>
      <c r="T268">
        <v>-0.23226391199999999</v>
      </c>
      <c r="U268">
        <v>1.3120382230000001</v>
      </c>
      <c r="V268">
        <v>2.2261429920000002</v>
      </c>
      <c r="X268">
        <v>2.4310061599999999</v>
      </c>
      <c r="Y268">
        <v>-0.19670880499999999</v>
      </c>
      <c r="Z268">
        <v>3.6519962509999999</v>
      </c>
      <c r="AA268">
        <v>6.9785599999999999</v>
      </c>
      <c r="AB268">
        <v>2.6567746290000001</v>
      </c>
      <c r="AC268">
        <v>5.6458683900000004</v>
      </c>
      <c r="AD268">
        <v>5.4018433530000003</v>
      </c>
      <c r="AE268">
        <v>-0.904802781</v>
      </c>
      <c r="AF268">
        <v>3.1509414160000002</v>
      </c>
      <c r="AG268">
        <v>3.809548274</v>
      </c>
      <c r="AH268">
        <v>1.156370758</v>
      </c>
      <c r="AI268">
        <v>2.5170324389999998</v>
      </c>
      <c r="AJ268">
        <v>1.185244693</v>
      </c>
      <c r="AK268">
        <v>1.3849673760000001</v>
      </c>
      <c r="AL268">
        <v>1.6829727139999999</v>
      </c>
      <c r="AM268">
        <v>1.680316838</v>
      </c>
      <c r="AN268">
        <v>2.3454614399999998</v>
      </c>
      <c r="AO268">
        <v>2.1753904620000002</v>
      </c>
      <c r="AP268">
        <v>2.1430560930000002</v>
      </c>
      <c r="AQ268">
        <v>1.708512002</v>
      </c>
      <c r="AR268">
        <v>1.405048987</v>
      </c>
      <c r="AS268">
        <v>2.4551534859999999</v>
      </c>
      <c r="AT268">
        <v>2.4629088339999998</v>
      </c>
      <c r="AU268">
        <v>7.7132791860000003</v>
      </c>
      <c r="AV268">
        <v>2.5320497780000002</v>
      </c>
      <c r="AW268">
        <v>2.5397362000000001</v>
      </c>
    </row>
    <row r="269" spans="1:49" x14ac:dyDescent="0.2">
      <c r="A269" t="s">
        <v>333</v>
      </c>
      <c r="B269" s="74">
        <v>41730</v>
      </c>
      <c r="C269">
        <v>-1.365087535</v>
      </c>
      <c r="D269">
        <v>2.8038385250000002</v>
      </c>
      <c r="E269">
        <v>0.70364354399999995</v>
      </c>
      <c r="F269">
        <v>1.55021681</v>
      </c>
      <c r="G269">
        <v>3.043836701</v>
      </c>
      <c r="H269">
        <v>2.6328056470000001</v>
      </c>
      <c r="I269">
        <v>2.6534809849999998</v>
      </c>
      <c r="J269">
        <v>2.1705885720000002</v>
      </c>
      <c r="K269">
        <v>7.5</v>
      </c>
      <c r="L269">
        <v>1.4569164299999999</v>
      </c>
      <c r="M269">
        <v>2.913075283</v>
      </c>
      <c r="N269">
        <v>1.1662242860000001</v>
      </c>
      <c r="O269">
        <v>1.5355632850000001</v>
      </c>
      <c r="P269">
        <v>0.39174025600000001</v>
      </c>
      <c r="Q269">
        <v>1.0782577</v>
      </c>
      <c r="R269">
        <v>1.644028762</v>
      </c>
      <c r="T269">
        <v>-0.146658286</v>
      </c>
      <c r="U269">
        <v>1.2431680140000001</v>
      </c>
      <c r="V269">
        <v>1.7583211169999999</v>
      </c>
      <c r="X269">
        <v>2.913931109</v>
      </c>
      <c r="Y269">
        <v>0.77221374099999995</v>
      </c>
      <c r="Z269">
        <v>4.2542114460000002</v>
      </c>
      <c r="AA269">
        <v>6.5155500000000002</v>
      </c>
      <c r="AB269">
        <v>8.3208532359999996</v>
      </c>
      <c r="AC269">
        <v>1.9246878839999999</v>
      </c>
      <c r="AD269">
        <v>5.0889426660000003</v>
      </c>
      <c r="AE269">
        <v>0.18633502499999999</v>
      </c>
      <c r="AF269">
        <v>2.5856413460000001</v>
      </c>
      <c r="AG269">
        <v>3.8070263889999998</v>
      </c>
      <c r="AH269">
        <v>3.2452686609999999</v>
      </c>
      <c r="AI269">
        <v>2.1438638289999998</v>
      </c>
      <c r="AJ269">
        <v>1.6315526069999999</v>
      </c>
      <c r="AK269">
        <v>0.96282617400000003</v>
      </c>
      <c r="AL269">
        <v>2.0588563290000002</v>
      </c>
      <c r="AM269">
        <v>3.5293436960000002</v>
      </c>
      <c r="AN269">
        <v>2.1152794180000001</v>
      </c>
      <c r="AO269">
        <v>3.1649133119999999</v>
      </c>
      <c r="AP269">
        <v>1.066874721</v>
      </c>
      <c r="AQ269">
        <v>0.95320027200000002</v>
      </c>
      <c r="AR269">
        <v>1.993151549</v>
      </c>
      <c r="AS269">
        <v>2.3461188540000002</v>
      </c>
      <c r="AT269">
        <v>1.8938311590000001</v>
      </c>
      <c r="AU269">
        <v>7.6831303159999997</v>
      </c>
      <c r="AV269">
        <v>1.294055859</v>
      </c>
      <c r="AW269">
        <v>1.609780985</v>
      </c>
    </row>
    <row r="270" spans="1:49" x14ac:dyDescent="0.2">
      <c r="A270" t="s">
        <v>334</v>
      </c>
      <c r="B270" s="74">
        <v>41821</v>
      </c>
      <c r="C270">
        <v>-2.4328953719999999</v>
      </c>
      <c r="D270">
        <v>2.8349684009999998</v>
      </c>
      <c r="E270">
        <v>1.300267606</v>
      </c>
      <c r="F270">
        <v>1.228594186</v>
      </c>
      <c r="G270">
        <v>-0.19015659500000001</v>
      </c>
      <c r="H270">
        <v>2.972572204</v>
      </c>
      <c r="I270">
        <v>2.4303028979999999</v>
      </c>
      <c r="J270">
        <v>2.0329024649999998</v>
      </c>
      <c r="K270">
        <v>7.6</v>
      </c>
      <c r="L270">
        <v>2.0307244080000002</v>
      </c>
      <c r="M270">
        <v>1.82472532</v>
      </c>
      <c r="N270">
        <v>1.017899621</v>
      </c>
      <c r="O270">
        <v>1.2106878050000001</v>
      </c>
      <c r="P270">
        <v>0.94522170500000002</v>
      </c>
      <c r="Q270">
        <v>1.7518055239999999</v>
      </c>
      <c r="R270">
        <v>1.388422262</v>
      </c>
      <c r="T270">
        <v>-0.44364394699999998</v>
      </c>
      <c r="U270">
        <v>0.65408474699999997</v>
      </c>
      <c r="V270">
        <v>1.7878227040000001</v>
      </c>
      <c r="X270">
        <v>3.0662949209999999</v>
      </c>
      <c r="Y270">
        <v>0.35626244099999999</v>
      </c>
      <c r="Z270">
        <v>4.6089113519999998</v>
      </c>
      <c r="AA270">
        <v>7.44604</v>
      </c>
      <c r="AB270">
        <v>9.5517798359999997</v>
      </c>
      <c r="AC270">
        <v>0.361291152</v>
      </c>
      <c r="AD270">
        <v>3.979461804</v>
      </c>
      <c r="AE270">
        <v>0.13478317200000001</v>
      </c>
      <c r="AF270">
        <v>-0.18118975400000001</v>
      </c>
      <c r="AG270">
        <v>3.5112061159999999</v>
      </c>
      <c r="AH270">
        <v>-7.9266942000000007E-2</v>
      </c>
      <c r="AI270">
        <v>2.7451910910000001</v>
      </c>
      <c r="AJ270">
        <v>3.4889445380000002</v>
      </c>
      <c r="AK270">
        <v>1.737787301</v>
      </c>
      <c r="AL270">
        <v>2.075706131</v>
      </c>
      <c r="AM270">
        <v>2.8555089589999998</v>
      </c>
      <c r="AN270">
        <v>2.0568495320000002</v>
      </c>
      <c r="AO270">
        <v>3.2282247339999999</v>
      </c>
      <c r="AP270">
        <v>0.63991803300000005</v>
      </c>
      <c r="AQ270">
        <v>1.0951664050000001</v>
      </c>
      <c r="AR270">
        <v>2.4423770970000001</v>
      </c>
      <c r="AS270">
        <v>2.9075797959999998</v>
      </c>
      <c r="AT270">
        <v>2.84324164</v>
      </c>
      <c r="AU270">
        <v>2.9147265529999999</v>
      </c>
      <c r="AV270">
        <v>2.451999168</v>
      </c>
      <c r="AW270">
        <v>1.274154405</v>
      </c>
    </row>
    <row r="271" spans="1:49" x14ac:dyDescent="0.2">
      <c r="A271" t="s">
        <v>335</v>
      </c>
      <c r="B271" s="74">
        <v>41913</v>
      </c>
      <c r="C271">
        <v>-3.8516779149999998</v>
      </c>
      <c r="D271">
        <v>2.521064521</v>
      </c>
      <c r="E271">
        <v>0.742130395</v>
      </c>
      <c r="F271">
        <v>1.6128872169999999</v>
      </c>
      <c r="G271">
        <v>-0.54488020999999998</v>
      </c>
      <c r="H271">
        <v>3.1197336029999998</v>
      </c>
      <c r="I271">
        <v>2.206515929</v>
      </c>
      <c r="J271">
        <v>0.99086473200000003</v>
      </c>
      <c r="K271">
        <v>7.2</v>
      </c>
      <c r="L271">
        <v>2.8020098249999998</v>
      </c>
      <c r="M271">
        <v>1.783270004</v>
      </c>
      <c r="N271">
        <v>2.0623688850000002</v>
      </c>
      <c r="O271">
        <v>1.389214519</v>
      </c>
      <c r="P271">
        <v>1.74793584</v>
      </c>
      <c r="Q271">
        <v>3.3727769400000001</v>
      </c>
      <c r="R271">
        <v>1.6035201969999999</v>
      </c>
      <c r="T271">
        <v>-0.406204538</v>
      </c>
      <c r="U271">
        <v>1.3273631779999999</v>
      </c>
      <c r="V271">
        <v>1.8843718920000001</v>
      </c>
      <c r="X271">
        <v>2.9742316550000001</v>
      </c>
      <c r="Y271">
        <v>1.4197017670000001</v>
      </c>
      <c r="Z271">
        <v>3.976784055</v>
      </c>
      <c r="AA271">
        <v>7.6836399999999996</v>
      </c>
      <c r="AB271">
        <v>7.7749864479999999</v>
      </c>
      <c r="AC271">
        <v>4.1586789599999996</v>
      </c>
      <c r="AD271">
        <v>3.7560288609999999</v>
      </c>
      <c r="AE271">
        <v>7.2208589999999996E-3</v>
      </c>
      <c r="AF271">
        <v>-1.042460113</v>
      </c>
      <c r="AG271">
        <v>2.9520287679999999</v>
      </c>
      <c r="AH271">
        <v>1.927386059</v>
      </c>
      <c r="AI271">
        <v>1.807946483</v>
      </c>
      <c r="AJ271">
        <v>2.9042877740000002</v>
      </c>
      <c r="AK271">
        <v>1.380761087</v>
      </c>
      <c r="AL271">
        <v>1.509161811</v>
      </c>
      <c r="AM271">
        <v>3.5670286760000001</v>
      </c>
      <c r="AN271">
        <v>2.1283504139999998</v>
      </c>
      <c r="AO271">
        <v>3.3086334040000001</v>
      </c>
      <c r="AP271">
        <v>0.87572742400000003</v>
      </c>
      <c r="AQ271">
        <v>0.73273804300000001</v>
      </c>
      <c r="AR271">
        <v>2.9562735670000002</v>
      </c>
      <c r="AS271">
        <v>3.5127966079999999</v>
      </c>
      <c r="AT271">
        <v>3.1055109089999999</v>
      </c>
      <c r="AU271">
        <v>3.921101733</v>
      </c>
      <c r="AV271">
        <v>2.831456926</v>
      </c>
      <c r="AW271">
        <v>1.280322755</v>
      </c>
    </row>
    <row r="272" spans="1:49" x14ac:dyDescent="0.2">
      <c r="A272" t="s">
        <v>336</v>
      </c>
      <c r="B272" s="74">
        <v>42005</v>
      </c>
      <c r="C272">
        <v>-2.3858552689999999</v>
      </c>
      <c r="D272">
        <v>2.0737911449999999</v>
      </c>
      <c r="E272">
        <v>0.48491693499999999</v>
      </c>
      <c r="F272">
        <v>1.9213437520000001</v>
      </c>
      <c r="G272">
        <v>-0.16305609300000001</v>
      </c>
      <c r="H272">
        <v>2.7538071400000002</v>
      </c>
      <c r="I272">
        <v>2.4059819130000002</v>
      </c>
      <c r="J272">
        <v>1.7282048189999999</v>
      </c>
      <c r="K272">
        <v>7.3</v>
      </c>
      <c r="L272">
        <v>2.7398370609999998</v>
      </c>
      <c r="M272">
        <v>2.3021057460000001</v>
      </c>
      <c r="N272">
        <v>2.2228855059999999</v>
      </c>
      <c r="O272">
        <v>1.4664846380000001</v>
      </c>
      <c r="P272">
        <v>2.450614801</v>
      </c>
      <c r="Q272">
        <v>4.9733410579999999</v>
      </c>
      <c r="R272">
        <v>1.6869647560000001</v>
      </c>
      <c r="T272">
        <v>-0.46560926699999999</v>
      </c>
      <c r="U272">
        <v>0.62991585500000002</v>
      </c>
      <c r="V272">
        <v>1.827087927</v>
      </c>
      <c r="X272">
        <v>3.009588264</v>
      </c>
      <c r="Y272">
        <v>-0.28054779000000002</v>
      </c>
      <c r="Z272">
        <v>3.6652991039999998</v>
      </c>
      <c r="AA272">
        <v>6.9806999999999997</v>
      </c>
      <c r="AB272">
        <v>8.3507311840000007</v>
      </c>
      <c r="AC272">
        <v>0.35760029999999998</v>
      </c>
      <c r="AD272">
        <v>4.5484561039999996</v>
      </c>
      <c r="AE272">
        <v>-4.0131745000000003E-2</v>
      </c>
      <c r="AF272">
        <v>-0.46124283199999999</v>
      </c>
      <c r="AG272">
        <v>2.5598391239999998</v>
      </c>
      <c r="AH272">
        <v>5.4357057290000004</v>
      </c>
      <c r="AI272">
        <v>1.470082369</v>
      </c>
      <c r="AJ272">
        <v>3.4005107680000002</v>
      </c>
      <c r="AK272">
        <v>1.6436397220000001</v>
      </c>
      <c r="AL272">
        <v>2.932518752</v>
      </c>
      <c r="AM272">
        <v>4.9935713210000001</v>
      </c>
      <c r="AN272">
        <v>2.1770417559999999</v>
      </c>
      <c r="AO272">
        <v>3.7114785239999999</v>
      </c>
      <c r="AP272">
        <v>0.590349244</v>
      </c>
      <c r="AQ272">
        <v>-8.1162163999999995E-2</v>
      </c>
      <c r="AR272">
        <v>3.4942558250000002</v>
      </c>
      <c r="AS272">
        <v>1.6835440530000001</v>
      </c>
      <c r="AT272">
        <v>3.1709394400000002</v>
      </c>
      <c r="AU272">
        <v>5.117751062</v>
      </c>
      <c r="AV272">
        <v>2.5637596660000002</v>
      </c>
      <c r="AW272">
        <v>1.4922992829999999</v>
      </c>
    </row>
    <row r="273" spans="1:49" x14ac:dyDescent="0.2">
      <c r="A273" t="s">
        <v>337</v>
      </c>
      <c r="B273" s="74">
        <v>42095</v>
      </c>
      <c r="C273">
        <v>0.55449340899999999</v>
      </c>
      <c r="D273">
        <v>2.2301427509999998</v>
      </c>
      <c r="E273">
        <v>0.99279351199999999</v>
      </c>
      <c r="F273">
        <v>2.0127212659999998</v>
      </c>
      <c r="G273">
        <v>-1.7054888560000001</v>
      </c>
      <c r="H273">
        <v>2.0224016960000002</v>
      </c>
      <c r="I273">
        <v>1.5950923020000001</v>
      </c>
      <c r="J273">
        <v>2.1207343249999999</v>
      </c>
      <c r="K273">
        <v>7.1</v>
      </c>
      <c r="L273">
        <v>5.2625680839999998</v>
      </c>
      <c r="M273">
        <v>0.81967864000000001</v>
      </c>
      <c r="N273">
        <v>2.6627859950000001</v>
      </c>
      <c r="O273">
        <v>1.7403919640000001</v>
      </c>
      <c r="P273">
        <v>3.2469654530000001</v>
      </c>
      <c r="Q273">
        <v>1.83531898</v>
      </c>
      <c r="R273">
        <v>2.0171247320000001</v>
      </c>
      <c r="T273">
        <v>-0.47114027400000003</v>
      </c>
      <c r="U273">
        <v>1.1566432950000001</v>
      </c>
      <c r="V273">
        <v>2.3478420120000001</v>
      </c>
      <c r="X273">
        <v>2.7156340120000002</v>
      </c>
      <c r="Y273">
        <v>0.31616531199999998</v>
      </c>
      <c r="Z273">
        <v>4.5670951850000003</v>
      </c>
      <c r="AA273">
        <v>7.5362299999999998</v>
      </c>
      <c r="AB273">
        <v>29.183214079999999</v>
      </c>
      <c r="AC273">
        <v>1.5184081629999999</v>
      </c>
      <c r="AD273">
        <v>3.4541563279999998</v>
      </c>
      <c r="AE273">
        <v>6.6099496999999993E-2</v>
      </c>
      <c r="AF273">
        <v>0.25714410399999998</v>
      </c>
      <c r="AG273">
        <v>2.4768505649999999</v>
      </c>
      <c r="AH273">
        <v>2.5253013059999998</v>
      </c>
      <c r="AI273">
        <v>3.042606352</v>
      </c>
      <c r="AJ273">
        <v>3.252439088</v>
      </c>
      <c r="AK273">
        <v>2.3458801249999999</v>
      </c>
      <c r="AL273">
        <v>2.1363028220000002</v>
      </c>
      <c r="AM273">
        <v>3.774147277</v>
      </c>
      <c r="AN273">
        <v>2.6487065269999999</v>
      </c>
      <c r="AO273">
        <v>4.1051629079999996</v>
      </c>
      <c r="AP273">
        <v>1.892981477</v>
      </c>
      <c r="AQ273">
        <v>-1.0901795750000001</v>
      </c>
      <c r="AR273">
        <v>4.8411124140000004</v>
      </c>
      <c r="AS273">
        <v>2.0918072460000001</v>
      </c>
      <c r="AT273">
        <v>3.7728304279999998</v>
      </c>
      <c r="AU273">
        <v>4.0856609300000004</v>
      </c>
      <c r="AV273">
        <v>3.7612027729999999</v>
      </c>
      <c r="AW273">
        <v>2.3666319580000001</v>
      </c>
    </row>
    <row r="274" spans="1:49" x14ac:dyDescent="0.2">
      <c r="A274" t="s">
        <v>338</v>
      </c>
      <c r="B274" s="74">
        <v>42186</v>
      </c>
      <c r="C274">
        <v>3.4942398649999999</v>
      </c>
      <c r="D274">
        <v>1.8700742969999999</v>
      </c>
      <c r="E274">
        <v>0.51462163699999997</v>
      </c>
      <c r="F274">
        <v>2.4263823590000002</v>
      </c>
      <c r="G274">
        <v>-2.7972789809999998</v>
      </c>
      <c r="H274">
        <v>0.82387143900000004</v>
      </c>
      <c r="I274">
        <v>1.636317362</v>
      </c>
      <c r="J274">
        <v>2.2728713319999998</v>
      </c>
      <c r="K274">
        <v>7.1</v>
      </c>
      <c r="L274">
        <v>5.703998414</v>
      </c>
      <c r="M274">
        <v>1.532410198</v>
      </c>
      <c r="N274">
        <v>3.2177876630000002</v>
      </c>
      <c r="O274">
        <v>1.994755547</v>
      </c>
      <c r="P274">
        <v>3.8732762529999998</v>
      </c>
      <c r="Q274">
        <v>3.4218554729999999</v>
      </c>
      <c r="R274">
        <v>2.2281815620000001</v>
      </c>
      <c r="T274">
        <v>0.87981565799999994</v>
      </c>
      <c r="U274">
        <v>1.1780272759999999</v>
      </c>
      <c r="V274">
        <v>2.3402067870000001</v>
      </c>
      <c r="X274">
        <v>2.646630585</v>
      </c>
      <c r="Y274">
        <v>0.51232930099999996</v>
      </c>
      <c r="Z274">
        <v>3.3225520159999999</v>
      </c>
      <c r="AA274">
        <v>7.3807700000000001</v>
      </c>
      <c r="AB274">
        <v>21.627918861000001</v>
      </c>
      <c r="AC274">
        <v>7.7831962539999999</v>
      </c>
      <c r="AD274">
        <v>2.5700407059999999</v>
      </c>
      <c r="AE274">
        <v>0.494675431</v>
      </c>
      <c r="AF274">
        <v>2.2604628259999999</v>
      </c>
      <c r="AG274">
        <v>2.07600271</v>
      </c>
      <c r="AH274">
        <v>4.6231706040000002</v>
      </c>
      <c r="AI274">
        <v>3.9874019930000002</v>
      </c>
      <c r="AJ274">
        <v>3.1504155730000001</v>
      </c>
      <c r="AK274">
        <v>2.0636265050000002</v>
      </c>
      <c r="AL274">
        <v>1.9244281130000001</v>
      </c>
      <c r="AM274">
        <v>3.9957003599999998</v>
      </c>
      <c r="AN274">
        <v>2.7262555470000001</v>
      </c>
      <c r="AO274">
        <v>3.7437809120000001</v>
      </c>
      <c r="AP274">
        <v>1.857357964</v>
      </c>
      <c r="AQ274">
        <v>-2.2235911339999999</v>
      </c>
      <c r="AR274">
        <v>5.3428429790000003</v>
      </c>
      <c r="AS274">
        <v>1.909432593</v>
      </c>
      <c r="AT274">
        <v>3.9478371800000001</v>
      </c>
      <c r="AU274">
        <v>7.4143840340000002</v>
      </c>
      <c r="AV274">
        <v>3.039854675</v>
      </c>
      <c r="AW274">
        <v>1.1033660569999999</v>
      </c>
    </row>
    <row r="275" spans="1:49" x14ac:dyDescent="0.2">
      <c r="A275" t="s">
        <v>339</v>
      </c>
      <c r="B275" s="74">
        <v>42278</v>
      </c>
      <c r="C275">
        <v>4.2966035549999999</v>
      </c>
      <c r="D275">
        <v>2.4426729919999999</v>
      </c>
      <c r="E275">
        <v>1.18317205</v>
      </c>
      <c r="F275">
        <v>1.918418379</v>
      </c>
      <c r="G275">
        <v>-4.2133775900000003</v>
      </c>
      <c r="H275">
        <v>0.21933249699999999</v>
      </c>
      <c r="I275">
        <v>1.7196280150000001</v>
      </c>
      <c r="J275">
        <v>2.2855469319999999</v>
      </c>
      <c r="K275">
        <v>7</v>
      </c>
      <c r="L275">
        <v>5.7264859609999998</v>
      </c>
      <c r="M275">
        <v>1.4937711119999999</v>
      </c>
      <c r="N275">
        <v>1.824728012</v>
      </c>
      <c r="O275">
        <v>1.952564033</v>
      </c>
      <c r="P275">
        <v>4.0485580949999997</v>
      </c>
      <c r="Q275">
        <v>2.8139947080000001</v>
      </c>
      <c r="R275">
        <v>2.217212102</v>
      </c>
      <c r="T275">
        <v>0.48184543000000002</v>
      </c>
      <c r="U275">
        <v>0.83398434300000002</v>
      </c>
      <c r="V275">
        <v>1.8607097889999999</v>
      </c>
      <c r="X275">
        <v>2.5039726959999999</v>
      </c>
      <c r="Y275">
        <v>-2.4205565180000002</v>
      </c>
      <c r="Z275">
        <v>3.1130794860000002</v>
      </c>
      <c r="AA275">
        <v>7.4023000000000003</v>
      </c>
      <c r="AB275">
        <v>24.642481347</v>
      </c>
      <c r="AC275">
        <v>3.2637285720000002</v>
      </c>
      <c r="AD275">
        <v>1.7324461799999999</v>
      </c>
      <c r="AE275">
        <v>0.63254534399999995</v>
      </c>
      <c r="AF275">
        <v>2.2601087880000001</v>
      </c>
      <c r="AG275">
        <v>3.2275622639999999</v>
      </c>
      <c r="AH275">
        <v>2.0075629749999999</v>
      </c>
      <c r="AI275">
        <v>4.2960645179999997</v>
      </c>
      <c r="AJ275">
        <v>4.1391783049999997</v>
      </c>
      <c r="AK275">
        <v>2.159635363</v>
      </c>
      <c r="AL275">
        <v>2.6870977300000001</v>
      </c>
      <c r="AM275">
        <v>3.780905148</v>
      </c>
      <c r="AN275">
        <v>2.4690523130000002</v>
      </c>
      <c r="AO275">
        <v>4.1839604980000002</v>
      </c>
      <c r="AP275">
        <v>1.876774457</v>
      </c>
      <c r="AQ275">
        <v>-1.72172671</v>
      </c>
      <c r="AR275">
        <v>5.53762226</v>
      </c>
      <c r="AS275">
        <v>1.943333465</v>
      </c>
      <c r="AT275">
        <v>4.6373399500000003</v>
      </c>
      <c r="AU275">
        <v>6.306599319</v>
      </c>
      <c r="AV275">
        <v>2.1826685110000001</v>
      </c>
      <c r="AW275">
        <v>1.0730239100000001</v>
      </c>
    </row>
    <row r="276" spans="1:49" x14ac:dyDescent="0.2">
      <c r="A276" t="s">
        <v>340</v>
      </c>
      <c r="B276" s="74">
        <v>42370</v>
      </c>
      <c r="C276">
        <v>2.6043188389999998</v>
      </c>
      <c r="D276">
        <v>2.6851555519999999</v>
      </c>
      <c r="E276">
        <v>1.1724216649999999</v>
      </c>
      <c r="F276">
        <v>1.811273819</v>
      </c>
      <c r="G276">
        <v>-5.4467785290000004</v>
      </c>
      <c r="H276">
        <v>-0.39486916599999999</v>
      </c>
      <c r="I276">
        <v>1.598864619</v>
      </c>
      <c r="J276">
        <v>1.8978207410000001</v>
      </c>
      <c r="K276">
        <v>6.9</v>
      </c>
      <c r="L276">
        <v>5.1485031350000003</v>
      </c>
      <c r="M276">
        <v>1.1100328779999999</v>
      </c>
      <c r="N276">
        <v>1.6868750180000001</v>
      </c>
      <c r="O276">
        <v>2.0415301119999998</v>
      </c>
      <c r="P276">
        <v>4.1627441640000002</v>
      </c>
      <c r="Q276">
        <v>1.109257961</v>
      </c>
      <c r="R276">
        <v>2.2993325360000001</v>
      </c>
      <c r="T276">
        <v>1.2873659390000001</v>
      </c>
      <c r="U276">
        <v>1.0740070239999999</v>
      </c>
      <c r="V276">
        <v>1.627227062</v>
      </c>
      <c r="X276">
        <v>2.6256587499999999</v>
      </c>
      <c r="Y276">
        <v>0.38960714200000002</v>
      </c>
      <c r="Z276">
        <v>3.6080953020000002</v>
      </c>
      <c r="AA276">
        <v>7.92964</v>
      </c>
      <c r="AB276">
        <v>26.119873131999999</v>
      </c>
      <c r="AC276">
        <v>5.1961674149999997</v>
      </c>
      <c r="AD276">
        <v>1.039977889</v>
      </c>
      <c r="AE276">
        <v>1.4367180070000001</v>
      </c>
      <c r="AF276">
        <v>1.6212636389999999</v>
      </c>
      <c r="AG276">
        <v>3.4466806430000001</v>
      </c>
      <c r="AH276">
        <v>8.9088378999999995E-2</v>
      </c>
      <c r="AI276">
        <v>3.5756963339999999</v>
      </c>
      <c r="AJ276">
        <v>2.7093970459999999</v>
      </c>
      <c r="AK276">
        <v>1.2693553500000001</v>
      </c>
      <c r="AL276">
        <v>0.556183286</v>
      </c>
      <c r="AM276">
        <v>3.1965279400000002</v>
      </c>
      <c r="AN276">
        <v>2.2267656570000001</v>
      </c>
      <c r="AO276">
        <v>4.7958291170000003</v>
      </c>
      <c r="AP276">
        <v>1.5435730759999999</v>
      </c>
      <c r="AQ276">
        <v>-1.7438928440000001</v>
      </c>
      <c r="AR276">
        <v>5.1367193670000004</v>
      </c>
      <c r="AS276">
        <v>1.966498348</v>
      </c>
      <c r="AT276">
        <v>4.5974075409999999</v>
      </c>
      <c r="AU276">
        <v>6.1170653310000001</v>
      </c>
      <c r="AV276">
        <v>1.874684059</v>
      </c>
      <c r="AW276">
        <v>0.75669968200000004</v>
      </c>
    </row>
    <row r="277" spans="1:49" x14ac:dyDescent="0.2">
      <c r="A277" t="s">
        <v>341</v>
      </c>
      <c r="B277" s="74">
        <v>42461</v>
      </c>
      <c r="C277">
        <v>0.19425788499999999</v>
      </c>
      <c r="D277">
        <v>2.6368201130000002</v>
      </c>
      <c r="E277">
        <v>1.973504371</v>
      </c>
      <c r="F277">
        <v>1.3427295400000001</v>
      </c>
      <c r="G277">
        <v>-6.3221865499999996</v>
      </c>
      <c r="H277">
        <v>0.70485855600000002</v>
      </c>
      <c r="I277">
        <v>2.1992553730000002</v>
      </c>
      <c r="J277">
        <v>2.4883188060000001</v>
      </c>
      <c r="K277">
        <v>6.9</v>
      </c>
      <c r="L277">
        <v>3.356089114</v>
      </c>
      <c r="M277">
        <v>2.4768189889999999</v>
      </c>
      <c r="N277">
        <v>2.1589061780000001</v>
      </c>
      <c r="O277">
        <v>1.9212266520000001</v>
      </c>
      <c r="P277">
        <v>3.6787924009999999</v>
      </c>
      <c r="Q277">
        <v>4.206456524</v>
      </c>
      <c r="R277">
        <v>2.068498403</v>
      </c>
      <c r="T277">
        <v>3.3404243089999999</v>
      </c>
      <c r="U277">
        <v>1.160914056</v>
      </c>
      <c r="V277">
        <v>1.583913447</v>
      </c>
      <c r="X277">
        <v>2.4185704760000002</v>
      </c>
      <c r="Y277">
        <v>-1.132581485</v>
      </c>
      <c r="Z277">
        <v>1.356012443</v>
      </c>
      <c r="AA277">
        <v>9.2224799999999991</v>
      </c>
      <c r="AB277">
        <v>-1.0996191479999999</v>
      </c>
      <c r="AC277">
        <v>3.9123796209999999</v>
      </c>
      <c r="AD277">
        <v>1.948492468</v>
      </c>
      <c r="AE277">
        <v>1.4448893279999999</v>
      </c>
      <c r="AF277">
        <v>0.80656472499999998</v>
      </c>
      <c r="AG277">
        <v>2.9442992979999998</v>
      </c>
      <c r="AH277">
        <v>3.8301931379999998</v>
      </c>
      <c r="AI277">
        <v>3.9912046619999999</v>
      </c>
      <c r="AJ277">
        <v>2.7471442869999998</v>
      </c>
      <c r="AK277">
        <v>1.594983193</v>
      </c>
      <c r="AL277">
        <v>0.94976356900000003</v>
      </c>
      <c r="AM277">
        <v>4.0623260989999999</v>
      </c>
      <c r="AN277">
        <v>1.956232634</v>
      </c>
      <c r="AO277">
        <v>3.0221862389999998</v>
      </c>
      <c r="AP277">
        <v>1.3639343829999999</v>
      </c>
      <c r="AQ277">
        <v>-0.54547591600000001</v>
      </c>
      <c r="AR277">
        <v>3.1251372640000001</v>
      </c>
      <c r="AS277">
        <v>2.5155857450000001</v>
      </c>
      <c r="AT277">
        <v>3.0877696929999998</v>
      </c>
      <c r="AU277">
        <v>4.5244235330000002</v>
      </c>
      <c r="AV277">
        <v>1.648190603</v>
      </c>
      <c r="AW277">
        <v>0.27304619200000002</v>
      </c>
    </row>
    <row r="278" spans="1:49" x14ac:dyDescent="0.2">
      <c r="A278" t="s">
        <v>342</v>
      </c>
      <c r="B278" s="74">
        <v>42552</v>
      </c>
      <c r="C278">
        <v>-3.6366518669999999</v>
      </c>
      <c r="D278">
        <v>3.1969337790000001</v>
      </c>
      <c r="E278">
        <v>1.6558400069999999</v>
      </c>
      <c r="F278">
        <v>1.219500485</v>
      </c>
      <c r="G278">
        <v>-3.2891473809999998</v>
      </c>
      <c r="H278">
        <v>0.48316809100000002</v>
      </c>
      <c r="I278">
        <v>2.0002435460000001</v>
      </c>
      <c r="J278">
        <v>0.99127558999999998</v>
      </c>
      <c r="K278">
        <v>6.8</v>
      </c>
      <c r="L278">
        <v>2.309209407</v>
      </c>
      <c r="M278">
        <v>2.178643906</v>
      </c>
      <c r="N278">
        <v>3.0586654449999999</v>
      </c>
      <c r="O278">
        <v>1.6792372959999999</v>
      </c>
      <c r="P278">
        <v>3.0085783629999998</v>
      </c>
      <c r="Q278">
        <v>2.0006150730000001</v>
      </c>
      <c r="R278">
        <v>1.876830741</v>
      </c>
      <c r="T278">
        <v>1.9500500249999999</v>
      </c>
      <c r="U278">
        <v>0.75477654000000005</v>
      </c>
      <c r="V278">
        <v>1.311201955</v>
      </c>
      <c r="X278">
        <v>2.2547717399999998</v>
      </c>
      <c r="Y278">
        <v>-1.3139751749999999</v>
      </c>
      <c r="Z278">
        <v>2.6192612359999998</v>
      </c>
      <c r="AA278">
        <v>8.8364799999999999</v>
      </c>
      <c r="AB278">
        <v>2.6960015080000002</v>
      </c>
      <c r="AC278">
        <v>4.6434669299999998</v>
      </c>
      <c r="AD278">
        <v>4.2506073730000002</v>
      </c>
      <c r="AE278">
        <v>1.2522623879999999</v>
      </c>
      <c r="AF278">
        <v>0.52785565300000004</v>
      </c>
      <c r="AG278">
        <v>3.6852121050000002</v>
      </c>
      <c r="AH278">
        <v>4.5816392439999998</v>
      </c>
      <c r="AI278">
        <v>1.463137452</v>
      </c>
      <c r="AJ278">
        <v>1.9876404059999999</v>
      </c>
      <c r="AK278">
        <v>1.521448039</v>
      </c>
      <c r="AL278">
        <v>0.38570639699999998</v>
      </c>
      <c r="AM278">
        <v>4.2966104720000002</v>
      </c>
      <c r="AN278">
        <v>1.7494181550000001</v>
      </c>
      <c r="AO278">
        <v>3.5618179460000001</v>
      </c>
      <c r="AP278">
        <v>1.3658777129999999</v>
      </c>
      <c r="AQ278">
        <v>0.17908624300000001</v>
      </c>
      <c r="AR278">
        <v>2.1075421649999999</v>
      </c>
      <c r="AS278">
        <v>3.1397886759999998</v>
      </c>
      <c r="AT278">
        <v>2.1196998210000002</v>
      </c>
      <c r="AU278">
        <v>4.4287952639999997</v>
      </c>
      <c r="AV278">
        <v>1.36762965</v>
      </c>
      <c r="AW278">
        <v>1.224121386</v>
      </c>
    </row>
    <row r="279" spans="1:49" x14ac:dyDescent="0.2">
      <c r="A279" t="s">
        <v>343</v>
      </c>
      <c r="B279" s="74">
        <v>42644</v>
      </c>
      <c r="C279">
        <v>-3.2656841019999998</v>
      </c>
      <c r="D279">
        <v>2.269976583</v>
      </c>
      <c r="E279">
        <v>1.6355251879999999</v>
      </c>
      <c r="F279">
        <v>1.2037569480000001</v>
      </c>
      <c r="G279">
        <v>-2.4302350879999999</v>
      </c>
      <c r="H279">
        <v>1.1615540019999999</v>
      </c>
      <c r="I279">
        <v>1.9080417890000001</v>
      </c>
      <c r="J279">
        <v>2.0187274589999999</v>
      </c>
      <c r="K279">
        <v>6.8</v>
      </c>
      <c r="L279">
        <v>1.9918709299999999</v>
      </c>
      <c r="M279">
        <v>2.0181250249999998</v>
      </c>
      <c r="N279">
        <v>3.6204224250000001</v>
      </c>
      <c r="O279">
        <v>1.727595274</v>
      </c>
      <c r="P279">
        <v>2.9851407970000001</v>
      </c>
      <c r="Q279">
        <v>2.3753488420000002</v>
      </c>
      <c r="R279">
        <v>1.8173884769999999</v>
      </c>
      <c r="T279">
        <v>3.1113124910000001</v>
      </c>
      <c r="U279">
        <v>0.80779131400000004</v>
      </c>
      <c r="V279">
        <v>1.4933195690000001</v>
      </c>
      <c r="X279">
        <v>2.1612003440000001</v>
      </c>
      <c r="Y279">
        <v>0.86992153500000002</v>
      </c>
      <c r="Z279">
        <v>2.364551123</v>
      </c>
      <c r="AA279">
        <v>9.3124300000000009</v>
      </c>
      <c r="AB279">
        <v>-1.312811132</v>
      </c>
      <c r="AC279">
        <v>7.3382498160000003</v>
      </c>
      <c r="AD279">
        <v>5.4385296539999999</v>
      </c>
      <c r="AE279">
        <v>1.582185824</v>
      </c>
      <c r="AF279">
        <v>0.61886396300000002</v>
      </c>
      <c r="AG279">
        <v>2.6354831160000001</v>
      </c>
      <c r="AH279">
        <v>5.8499627739999998</v>
      </c>
      <c r="AI279">
        <v>0.90539433199999997</v>
      </c>
      <c r="AJ279">
        <v>1.730077348</v>
      </c>
      <c r="AK279">
        <v>2.3025779239999999</v>
      </c>
      <c r="AL279">
        <v>-1.0816578640000001</v>
      </c>
      <c r="AM279">
        <v>4.1139854339999999</v>
      </c>
      <c r="AN279">
        <v>1.620162812</v>
      </c>
      <c r="AO279">
        <v>2.5199999289999999</v>
      </c>
      <c r="AP279">
        <v>2.4394637970000002</v>
      </c>
      <c r="AQ279">
        <v>8.6290206999999994E-2</v>
      </c>
      <c r="AR279">
        <v>1.3195021659999999</v>
      </c>
      <c r="AS279">
        <v>3.3829322070000001</v>
      </c>
      <c r="AT279">
        <v>1.0417464320000001</v>
      </c>
      <c r="AU279">
        <v>3.2153910000000001E-2</v>
      </c>
      <c r="AV279">
        <v>1.648263356</v>
      </c>
      <c r="AW279">
        <v>0.75795112499999995</v>
      </c>
    </row>
    <row r="280" spans="1:49" x14ac:dyDescent="0.2">
      <c r="A280" t="s">
        <v>344</v>
      </c>
      <c r="B280" s="74">
        <v>42736</v>
      </c>
      <c r="C280">
        <v>-1.5558936430000001</v>
      </c>
      <c r="D280">
        <v>2.7230425540000001</v>
      </c>
      <c r="E280">
        <v>2.5477777640000001</v>
      </c>
      <c r="F280">
        <v>1.300882844</v>
      </c>
      <c r="G280">
        <v>-1.8639539439999999</v>
      </c>
      <c r="H280">
        <v>1.6534435869999999</v>
      </c>
      <c r="I280">
        <v>1.842998863</v>
      </c>
      <c r="J280">
        <v>1.1137335589999999</v>
      </c>
      <c r="K280">
        <v>6.9</v>
      </c>
      <c r="L280">
        <v>2.1722133690000001</v>
      </c>
      <c r="M280">
        <v>1.9002158899999999</v>
      </c>
      <c r="N280">
        <v>4.1349655670000001</v>
      </c>
      <c r="O280">
        <v>2.0251269459999999</v>
      </c>
      <c r="P280">
        <v>2.4705723079999999</v>
      </c>
      <c r="Q280">
        <v>3.7943242079999999</v>
      </c>
      <c r="R280">
        <v>2.1466669569999999</v>
      </c>
      <c r="T280">
        <v>2.8517788419999999</v>
      </c>
      <c r="U280">
        <v>1.1972345099999999</v>
      </c>
      <c r="V280">
        <v>1.7406676169999999</v>
      </c>
      <c r="X280">
        <v>2.2215100579999998</v>
      </c>
      <c r="Y280">
        <v>-0.28905626400000001</v>
      </c>
      <c r="Z280">
        <v>2.1931009869999998</v>
      </c>
      <c r="AA280">
        <v>8.5962499999999995</v>
      </c>
      <c r="AB280">
        <v>9.0682011159999991</v>
      </c>
      <c r="AC280">
        <v>9.1656729810000002</v>
      </c>
      <c r="AD280">
        <v>5.7111136120000001</v>
      </c>
      <c r="AE280">
        <v>1.3377390339999999</v>
      </c>
      <c r="AF280">
        <v>0.91946795000000003</v>
      </c>
      <c r="AG280">
        <v>2.5358551390000001</v>
      </c>
      <c r="AH280">
        <v>5.697354249</v>
      </c>
      <c r="AI280">
        <v>2.26570699</v>
      </c>
      <c r="AJ280">
        <v>3.1287438289999998</v>
      </c>
      <c r="AK280">
        <v>3.1424451329999998</v>
      </c>
      <c r="AL280">
        <v>1.1312105160000001</v>
      </c>
      <c r="AM280">
        <v>3.4203546</v>
      </c>
      <c r="AN280">
        <v>2.1302675720000002</v>
      </c>
      <c r="AO280">
        <v>3.5897645420000002</v>
      </c>
      <c r="AP280">
        <v>2.9010111080000001</v>
      </c>
      <c r="AQ280">
        <v>1.1729231419999999</v>
      </c>
      <c r="AR280">
        <v>1.209844996</v>
      </c>
      <c r="AS280">
        <v>4.0403788770000002</v>
      </c>
      <c r="AT280">
        <v>1.1692269870000001</v>
      </c>
      <c r="AU280">
        <v>4.3261893249999996</v>
      </c>
      <c r="AV280">
        <v>2.0041770460000001</v>
      </c>
      <c r="AW280">
        <v>0.40827237799999999</v>
      </c>
    </row>
    <row r="281" spans="1:49" x14ac:dyDescent="0.2">
      <c r="A281" t="s">
        <v>345</v>
      </c>
      <c r="B281" s="74">
        <v>42826</v>
      </c>
      <c r="C281">
        <v>0.22362837699999999</v>
      </c>
      <c r="D281">
        <v>2.085255622</v>
      </c>
      <c r="E281">
        <v>1.917775861</v>
      </c>
      <c r="F281">
        <v>1.902990414</v>
      </c>
      <c r="G281">
        <v>0.85980181</v>
      </c>
      <c r="H281">
        <v>2.1977790920000002</v>
      </c>
      <c r="I281">
        <v>1.584423339</v>
      </c>
      <c r="J281">
        <v>-0.53347508099999996</v>
      </c>
      <c r="K281">
        <v>7</v>
      </c>
      <c r="L281">
        <v>3.695055354</v>
      </c>
      <c r="M281">
        <v>2.306102514</v>
      </c>
      <c r="N281">
        <v>3.6226212389999999</v>
      </c>
      <c r="O281">
        <v>2.162757686</v>
      </c>
      <c r="P281">
        <v>2.5887791710000001</v>
      </c>
      <c r="Q281">
        <v>4.1506138449999996</v>
      </c>
      <c r="R281">
        <v>2.3680981249999999</v>
      </c>
      <c r="T281">
        <v>2.6352880089999999</v>
      </c>
      <c r="U281">
        <v>1.3260478250000001</v>
      </c>
      <c r="V281">
        <v>1.805223807</v>
      </c>
      <c r="X281">
        <v>2.4333881470000001</v>
      </c>
      <c r="Y281">
        <v>0.47624762799999998</v>
      </c>
      <c r="Z281">
        <v>4.2122701259999999</v>
      </c>
      <c r="AA281">
        <v>6.3775899999999996</v>
      </c>
      <c r="AB281">
        <v>7.2766720510000003</v>
      </c>
      <c r="AC281">
        <v>8.0602982529999991</v>
      </c>
      <c r="AD281">
        <v>4.8862587929999997</v>
      </c>
      <c r="AE281">
        <v>1.617353901</v>
      </c>
      <c r="AF281">
        <v>0.99861213699999996</v>
      </c>
      <c r="AG281">
        <v>3.2503629809999999</v>
      </c>
      <c r="AH281">
        <v>1.0709353070000001</v>
      </c>
      <c r="AI281">
        <v>2.0081334000000002</v>
      </c>
      <c r="AJ281">
        <v>3.0195560270000001</v>
      </c>
      <c r="AK281">
        <v>2.7392928990000001</v>
      </c>
      <c r="AL281">
        <v>2.0007017939999998</v>
      </c>
      <c r="AM281">
        <v>3.2913575989999999</v>
      </c>
      <c r="AN281">
        <v>2.2231024079999999</v>
      </c>
      <c r="AO281">
        <v>4.8713845600000001</v>
      </c>
      <c r="AP281">
        <v>3.6220976340000002</v>
      </c>
      <c r="AQ281">
        <v>1.1846646649999999</v>
      </c>
      <c r="AR281">
        <v>2.0901365489999999</v>
      </c>
      <c r="AS281">
        <v>4.8283195980000002</v>
      </c>
      <c r="AT281">
        <v>1.7102259989999999</v>
      </c>
      <c r="AU281">
        <v>5.3733098119999996</v>
      </c>
      <c r="AV281">
        <v>1.8852788700000001</v>
      </c>
      <c r="AW281">
        <v>0.64192886000000005</v>
      </c>
    </row>
    <row r="282" spans="1:49" x14ac:dyDescent="0.2">
      <c r="A282" t="s">
        <v>346</v>
      </c>
      <c r="B282" s="74">
        <v>42917</v>
      </c>
      <c r="C282">
        <v>2.9541579769999999</v>
      </c>
      <c r="D282">
        <v>2.1097037360000002</v>
      </c>
      <c r="E282">
        <v>2.6517237219999998</v>
      </c>
      <c r="F282">
        <v>1.5909155589999999</v>
      </c>
      <c r="G282">
        <v>1.0476617699999999</v>
      </c>
      <c r="H282">
        <v>3.75347556</v>
      </c>
      <c r="I282">
        <v>1.3651183899999999</v>
      </c>
      <c r="J282">
        <v>1.1504757809999999</v>
      </c>
      <c r="K282">
        <v>7</v>
      </c>
      <c r="L282">
        <v>5.9155029959999998</v>
      </c>
      <c r="M282">
        <v>2.6793629550000002</v>
      </c>
      <c r="N282">
        <v>3.3825010080000002</v>
      </c>
      <c r="O282">
        <v>2.7465385229999999</v>
      </c>
      <c r="P282">
        <v>3.2572936229999998</v>
      </c>
      <c r="Q282">
        <v>6.3259824419999999</v>
      </c>
      <c r="R282">
        <v>2.9374879100000002</v>
      </c>
      <c r="T282">
        <v>3.7810613640000001</v>
      </c>
      <c r="U282">
        <v>2.4137046089999998</v>
      </c>
      <c r="V282">
        <v>2.1957767010000002</v>
      </c>
      <c r="X282">
        <v>2.1618790720000001</v>
      </c>
      <c r="Y282">
        <v>1.2528148589999999</v>
      </c>
      <c r="Z282">
        <v>4.0629665079999997</v>
      </c>
      <c r="AA282">
        <v>6.6684900000000003</v>
      </c>
      <c r="AB282">
        <v>8.9498373939999993</v>
      </c>
      <c r="AC282">
        <v>4.5755985529999998</v>
      </c>
      <c r="AD282">
        <v>3.977461693</v>
      </c>
      <c r="AE282">
        <v>1.814360382</v>
      </c>
      <c r="AF282">
        <v>1.5642194840000001</v>
      </c>
      <c r="AG282">
        <v>2.7486129250000002</v>
      </c>
      <c r="AH282">
        <v>1.0684939870000001</v>
      </c>
      <c r="AI282">
        <v>3.8032454119999999</v>
      </c>
      <c r="AJ282">
        <v>2.9200925930000001</v>
      </c>
      <c r="AK282">
        <v>3.3994258429999999</v>
      </c>
      <c r="AL282">
        <v>3.0160792380000001</v>
      </c>
      <c r="AM282">
        <v>3.425886373</v>
      </c>
      <c r="AN282">
        <v>2.604445959</v>
      </c>
      <c r="AO282">
        <v>4.4324834790000001</v>
      </c>
      <c r="AP282">
        <v>3.8345971639999998</v>
      </c>
      <c r="AQ282">
        <v>1.828467195</v>
      </c>
      <c r="AR282">
        <v>2.7921113449999999</v>
      </c>
      <c r="AS282">
        <v>4.7544513759999996</v>
      </c>
      <c r="AT282">
        <v>2.987757835</v>
      </c>
      <c r="AU282">
        <v>6.2557580340000003</v>
      </c>
      <c r="AV282">
        <v>2.1467165829999999</v>
      </c>
      <c r="AW282">
        <v>1.0934649860000001</v>
      </c>
    </row>
    <row r="283" spans="1:49" x14ac:dyDescent="0.2">
      <c r="A283" t="s">
        <v>347</v>
      </c>
      <c r="B283" s="74">
        <v>43009</v>
      </c>
      <c r="C283">
        <v>3.8308076190000002</v>
      </c>
      <c r="D283">
        <v>2.9661026029999999</v>
      </c>
      <c r="E283">
        <v>2.61709346</v>
      </c>
      <c r="F283">
        <v>1.3475889240000001</v>
      </c>
      <c r="G283">
        <v>1.9714052639999999</v>
      </c>
      <c r="H283">
        <v>3.12771636</v>
      </c>
      <c r="I283">
        <v>1.45060078</v>
      </c>
      <c r="J283">
        <v>2.4229419459999999</v>
      </c>
      <c r="K283">
        <v>6.9</v>
      </c>
      <c r="L283">
        <v>5.8516788699999998</v>
      </c>
      <c r="M283">
        <v>3.2277027129999998</v>
      </c>
      <c r="N283">
        <v>2.1368106280000001</v>
      </c>
      <c r="O283">
        <v>3.0331895019999999</v>
      </c>
      <c r="P283">
        <v>2.9402268669999998</v>
      </c>
      <c r="Q283">
        <v>5.5310418700000001</v>
      </c>
      <c r="R283">
        <v>3.2477876299999999</v>
      </c>
      <c r="T283">
        <v>3.0046140330000002</v>
      </c>
      <c r="U283">
        <v>3.021887778</v>
      </c>
      <c r="V283">
        <v>2.4020376849999998</v>
      </c>
      <c r="X283">
        <v>2.1446338370000002</v>
      </c>
      <c r="Y283">
        <v>2.0261394410000002</v>
      </c>
      <c r="Z283">
        <v>4.4649830240000004</v>
      </c>
      <c r="AA283">
        <v>5.9981999999999998</v>
      </c>
      <c r="AB283">
        <v>13.520534901</v>
      </c>
      <c r="AC283">
        <v>2.3681202579999998</v>
      </c>
      <c r="AD283">
        <v>4.2468950699999999</v>
      </c>
      <c r="AE283">
        <v>1.6271757689999999</v>
      </c>
      <c r="AF283">
        <v>2.1583376200000002</v>
      </c>
      <c r="AG283">
        <v>3.7983424289999999</v>
      </c>
      <c r="AH283">
        <v>1.6125049330000001</v>
      </c>
      <c r="AI283">
        <v>3.9193909229999999</v>
      </c>
      <c r="AJ283">
        <v>1.589535323</v>
      </c>
      <c r="AK283">
        <v>2.989935252</v>
      </c>
      <c r="AL283">
        <v>4.0414662039999998</v>
      </c>
      <c r="AM283">
        <v>3.3941939639999998</v>
      </c>
      <c r="AN283">
        <v>2.9571715570000001</v>
      </c>
      <c r="AO283">
        <v>5.3241680269999998</v>
      </c>
      <c r="AP283">
        <v>3.3428961410000002</v>
      </c>
      <c r="AQ283">
        <v>2.4172248299999999</v>
      </c>
      <c r="AR283">
        <v>3.2428157080000002</v>
      </c>
      <c r="AS283">
        <v>4.6684434860000001</v>
      </c>
      <c r="AT283">
        <v>3.6357714240000001</v>
      </c>
      <c r="AU283">
        <v>11.051091386</v>
      </c>
      <c r="AV283">
        <v>2.2665646380000002</v>
      </c>
      <c r="AW283">
        <v>1.2917122889999999</v>
      </c>
    </row>
    <row r="284" spans="1:49" x14ac:dyDescent="0.2">
      <c r="A284" t="s">
        <v>348</v>
      </c>
      <c r="B284" s="74">
        <v>43101</v>
      </c>
      <c r="C284">
        <v>4.2894419499999996</v>
      </c>
      <c r="D284">
        <v>2.342999115</v>
      </c>
      <c r="E284">
        <v>2.3015025609999999</v>
      </c>
      <c r="F284">
        <v>1.638432983</v>
      </c>
      <c r="G284">
        <v>2.6144540520000001</v>
      </c>
      <c r="H284">
        <v>3.0831140669999999</v>
      </c>
      <c r="I284">
        <v>2.2072417739999999</v>
      </c>
      <c r="J284">
        <v>3.3054373500000001</v>
      </c>
      <c r="K284">
        <v>6.8</v>
      </c>
      <c r="L284">
        <v>5.895675336</v>
      </c>
      <c r="M284">
        <v>3.7344002230000002</v>
      </c>
      <c r="N284">
        <v>2.171760752</v>
      </c>
      <c r="O284">
        <v>3.0811140190000001</v>
      </c>
      <c r="P284">
        <v>3.1051708809999998</v>
      </c>
      <c r="Q284">
        <v>5.7887721619999999</v>
      </c>
      <c r="R284">
        <v>3.2156289839999999</v>
      </c>
      <c r="T284">
        <v>3.3531688079999999</v>
      </c>
      <c r="U284">
        <v>3.0317741539999998</v>
      </c>
      <c r="V284">
        <v>2.6609285009999999</v>
      </c>
      <c r="X284">
        <v>1.803513159</v>
      </c>
      <c r="Y284">
        <v>0.47695067699999999</v>
      </c>
      <c r="Z284">
        <v>5.0443635870000003</v>
      </c>
      <c r="AA284">
        <v>6.5370799999999996</v>
      </c>
      <c r="AB284">
        <v>7.133942512</v>
      </c>
      <c r="AC284">
        <v>2.1646903819999999</v>
      </c>
      <c r="AD284">
        <v>4.589956344</v>
      </c>
      <c r="AE284">
        <v>1.8804384789999999</v>
      </c>
      <c r="AF284">
        <v>2.0917815559999999</v>
      </c>
      <c r="AG284">
        <v>2.8428957659999998</v>
      </c>
      <c r="AH284">
        <v>1.516171962</v>
      </c>
      <c r="AI284">
        <v>3.4021002600000001</v>
      </c>
      <c r="AJ284">
        <v>1.8314151080000001</v>
      </c>
      <c r="AK284">
        <v>2.9080387289999998</v>
      </c>
      <c r="AL284">
        <v>2.0814679049999998</v>
      </c>
      <c r="AM284">
        <v>3.8775647950000001</v>
      </c>
      <c r="AN284">
        <v>2.9206247859999999</v>
      </c>
      <c r="AO284">
        <v>4.7967032630000004</v>
      </c>
      <c r="AP284">
        <v>3.2338227869999998</v>
      </c>
      <c r="AQ284">
        <v>1.6004158959999999</v>
      </c>
      <c r="AR284">
        <v>3.7846026419999999</v>
      </c>
      <c r="AS284">
        <v>6.2175229119999997</v>
      </c>
      <c r="AT284">
        <v>2.8985970609999998</v>
      </c>
      <c r="AU284">
        <v>7.2337548180000004</v>
      </c>
      <c r="AV284">
        <v>2.7178855820000001</v>
      </c>
      <c r="AW284">
        <v>1.603878997</v>
      </c>
    </row>
    <row r="285" spans="1:49" x14ac:dyDescent="0.2">
      <c r="A285" t="s">
        <v>349</v>
      </c>
      <c r="B285" s="74">
        <v>43191</v>
      </c>
      <c r="C285">
        <v>3.0172297509999999</v>
      </c>
      <c r="D285">
        <v>2.9805915459999999</v>
      </c>
      <c r="E285">
        <v>2.7495214369999998</v>
      </c>
      <c r="F285">
        <v>1.400355705</v>
      </c>
      <c r="G285">
        <v>2.0171778589999998</v>
      </c>
      <c r="H285">
        <v>2.8672536530000001</v>
      </c>
      <c r="I285">
        <v>3.126286297</v>
      </c>
      <c r="J285">
        <v>5.0653238610000004</v>
      </c>
      <c r="K285">
        <v>6.9</v>
      </c>
      <c r="L285">
        <v>4.7408651590000002</v>
      </c>
      <c r="M285">
        <v>2.0421842520000002</v>
      </c>
      <c r="N285">
        <v>2.0272795459999999</v>
      </c>
      <c r="O285">
        <v>2.444450088</v>
      </c>
      <c r="P285">
        <v>2.679684843</v>
      </c>
      <c r="Q285">
        <v>4.8439485109999998</v>
      </c>
      <c r="R285">
        <v>2.6252143999999999</v>
      </c>
      <c r="T285">
        <v>2.5748513810000002</v>
      </c>
      <c r="U285">
        <v>2.3183312840000001</v>
      </c>
      <c r="V285">
        <v>2.3980069080000002</v>
      </c>
      <c r="X285">
        <v>1.3856480920000001</v>
      </c>
      <c r="Y285">
        <v>2.1065788969999999</v>
      </c>
      <c r="Z285">
        <v>5.431220808</v>
      </c>
      <c r="AA285">
        <v>7.9532299999999996</v>
      </c>
      <c r="AB285">
        <v>12.75981067</v>
      </c>
      <c r="AC285">
        <v>6.970985915</v>
      </c>
      <c r="AD285">
        <v>5.6433009609999996</v>
      </c>
      <c r="AE285">
        <v>1.2793789959999999</v>
      </c>
      <c r="AF285">
        <v>1.432552619</v>
      </c>
      <c r="AG285">
        <v>3.0680296739999999</v>
      </c>
      <c r="AH285">
        <v>3.3883408699999999</v>
      </c>
      <c r="AI285">
        <v>3.362650543</v>
      </c>
      <c r="AJ285">
        <v>2.4812279479999999</v>
      </c>
      <c r="AK285">
        <v>2.8283242569999998</v>
      </c>
      <c r="AL285">
        <v>1.8634494020000001</v>
      </c>
      <c r="AM285">
        <v>3.6006546639999999</v>
      </c>
      <c r="AN285">
        <v>2.8503848870000001</v>
      </c>
      <c r="AO285">
        <v>5.115134995</v>
      </c>
      <c r="AP285">
        <v>2.7813323579999998</v>
      </c>
      <c r="AQ285">
        <v>2.770876817</v>
      </c>
      <c r="AR285">
        <v>3.709352789</v>
      </c>
      <c r="AS285">
        <v>4.5796293510000003</v>
      </c>
      <c r="AT285">
        <v>2.8209034179999999</v>
      </c>
      <c r="AU285">
        <v>7.3394112570000001</v>
      </c>
      <c r="AV285">
        <v>3.0153118829999999</v>
      </c>
      <c r="AW285">
        <v>1.5508205669999999</v>
      </c>
    </row>
    <row r="286" spans="1:49" x14ac:dyDescent="0.2">
      <c r="A286" t="s">
        <v>350</v>
      </c>
      <c r="B286" s="74">
        <v>43282</v>
      </c>
      <c r="C286">
        <v>-2.7607192409999999</v>
      </c>
      <c r="D286">
        <v>3.1919970900000001</v>
      </c>
      <c r="E286">
        <v>2.5140525170000001</v>
      </c>
      <c r="F286">
        <v>1.6295009709999999</v>
      </c>
      <c r="G286">
        <v>1.431690905</v>
      </c>
      <c r="H286">
        <v>2.6249711279999999</v>
      </c>
      <c r="I286">
        <v>3.764519731</v>
      </c>
      <c r="J286">
        <v>5.1318643660000003</v>
      </c>
      <c r="K286">
        <v>6.9</v>
      </c>
      <c r="L286">
        <v>2.8213163630000002</v>
      </c>
      <c r="M286">
        <v>1.816096978</v>
      </c>
      <c r="N286">
        <v>1.4065674850000001</v>
      </c>
      <c r="O286">
        <v>2.1553107069999999</v>
      </c>
      <c r="P286">
        <v>2.1843443640000002</v>
      </c>
      <c r="Q286">
        <v>3.6879585480000001</v>
      </c>
      <c r="R286">
        <v>2.3667347479999998</v>
      </c>
      <c r="T286">
        <v>1.250713674</v>
      </c>
      <c r="U286">
        <v>1.9842933540000001</v>
      </c>
      <c r="V286">
        <v>2.466782196</v>
      </c>
      <c r="X286">
        <v>1.6240757889999999</v>
      </c>
      <c r="Y286">
        <v>1.713274446</v>
      </c>
      <c r="Z286">
        <v>5.1647203690000003</v>
      </c>
      <c r="AA286">
        <v>7.1939099999999998</v>
      </c>
      <c r="AB286">
        <v>12.366366389</v>
      </c>
      <c r="AC286">
        <v>5.3091891499999999</v>
      </c>
      <c r="AD286">
        <v>4.4440611759999999</v>
      </c>
      <c r="AE286">
        <v>0.92361864800000004</v>
      </c>
      <c r="AF286">
        <v>1.3943489499999999</v>
      </c>
      <c r="AG286">
        <v>2.9881552349999998</v>
      </c>
      <c r="AH286">
        <v>1.5601245020000001</v>
      </c>
      <c r="AI286">
        <v>3.8441518349999999</v>
      </c>
      <c r="AJ286">
        <v>2.1445065919999999</v>
      </c>
      <c r="AK286">
        <v>2.5863304989999998</v>
      </c>
      <c r="AL286">
        <v>1.1948469509999999</v>
      </c>
      <c r="AM286">
        <v>3.626301008</v>
      </c>
      <c r="AN286">
        <v>2.7793090829999998</v>
      </c>
      <c r="AO286">
        <v>5.5933285679999996</v>
      </c>
      <c r="AP286">
        <v>3.0618326900000001</v>
      </c>
      <c r="AQ286">
        <v>2.6356292149999998</v>
      </c>
      <c r="AR286">
        <v>3.9178004529999999</v>
      </c>
      <c r="AS286">
        <v>4.6007082580000001</v>
      </c>
      <c r="AT286">
        <v>2.5655462029999998</v>
      </c>
      <c r="AU286">
        <v>5.6363458079999997</v>
      </c>
      <c r="AV286">
        <v>3.2961522830000001</v>
      </c>
      <c r="AW286">
        <v>0.78878207499999997</v>
      </c>
    </row>
    <row r="287" spans="1:49" x14ac:dyDescent="0.2">
      <c r="A287" t="s">
        <v>351</v>
      </c>
      <c r="B287" s="74">
        <v>43374</v>
      </c>
      <c r="C287">
        <v>-4.1280098790000004</v>
      </c>
      <c r="D287">
        <v>2.6280940799999999</v>
      </c>
      <c r="E287">
        <v>2.1269682589999999</v>
      </c>
      <c r="F287">
        <v>2.088414207</v>
      </c>
      <c r="G287">
        <v>2.039517644</v>
      </c>
      <c r="H287">
        <v>2.8991055860000001</v>
      </c>
      <c r="I287">
        <v>2.8808440439999998</v>
      </c>
      <c r="J287">
        <v>2.7789409119999999</v>
      </c>
      <c r="K287">
        <v>6.7</v>
      </c>
      <c r="L287">
        <v>2.6958511980000002</v>
      </c>
      <c r="M287">
        <v>0.50217442300000004</v>
      </c>
      <c r="N287">
        <v>2.392719949</v>
      </c>
      <c r="O287">
        <v>1.4689209009999999</v>
      </c>
      <c r="P287">
        <v>2.123714933</v>
      </c>
      <c r="Q287">
        <v>4.0247618049999998</v>
      </c>
      <c r="R287">
        <v>1.7308749160000001</v>
      </c>
      <c r="T287">
        <v>0.70746751500000005</v>
      </c>
      <c r="U287">
        <v>1.5130721460000001</v>
      </c>
      <c r="V287">
        <v>1.9745094350000001</v>
      </c>
      <c r="X287">
        <v>1.8299276040000001</v>
      </c>
      <c r="Y287">
        <v>0.37608994800000001</v>
      </c>
      <c r="Z287">
        <v>5.7171925530000003</v>
      </c>
      <c r="AA287">
        <v>6.8978799999999998</v>
      </c>
      <c r="AB287">
        <v>8.1316233120000003</v>
      </c>
      <c r="AC287">
        <v>4.6289440839999996</v>
      </c>
      <c r="AD287">
        <v>3.7625963570000001</v>
      </c>
      <c r="AE287">
        <v>0.64238200099999998</v>
      </c>
      <c r="AF287">
        <v>-0.107738927</v>
      </c>
      <c r="AG287">
        <v>2.2663272550000002</v>
      </c>
      <c r="AH287">
        <v>1.495348296</v>
      </c>
      <c r="AI287">
        <v>4.6245751290000001</v>
      </c>
      <c r="AJ287">
        <v>2.863550697</v>
      </c>
      <c r="AK287">
        <v>2.1069022340000001</v>
      </c>
      <c r="AL287">
        <v>1.139360105</v>
      </c>
      <c r="AM287">
        <v>3.041968352</v>
      </c>
      <c r="AN287">
        <v>2.237284651</v>
      </c>
      <c r="AO287">
        <v>5.8250283029999999</v>
      </c>
      <c r="AP287">
        <v>2.8885880319999999</v>
      </c>
      <c r="AQ287">
        <v>2.1890012080000001</v>
      </c>
      <c r="AR287">
        <v>4.0916714049999996</v>
      </c>
      <c r="AS287">
        <v>4.961658012</v>
      </c>
      <c r="AT287">
        <v>0.81069643199999997</v>
      </c>
      <c r="AU287">
        <v>2.3648859259999999</v>
      </c>
      <c r="AV287">
        <v>3.0528859119999998</v>
      </c>
      <c r="AW287">
        <v>1.8942322170000001</v>
      </c>
    </row>
    <row r="288" spans="1:49" x14ac:dyDescent="0.2">
      <c r="A288" t="s">
        <v>352</v>
      </c>
      <c r="B288" s="74">
        <v>43466</v>
      </c>
      <c r="C288">
        <v>-6.4318413569999997</v>
      </c>
      <c r="D288">
        <v>2.314029712</v>
      </c>
      <c r="E288">
        <v>2.444951471</v>
      </c>
      <c r="F288">
        <v>2.252565422</v>
      </c>
      <c r="G288">
        <v>1.271590086</v>
      </c>
      <c r="H288">
        <v>2.717788724</v>
      </c>
      <c r="I288">
        <v>2.0044612970000002</v>
      </c>
      <c r="J288">
        <v>3.193849336</v>
      </c>
      <c r="K288">
        <v>6.5</v>
      </c>
      <c r="L288">
        <v>2.619965863</v>
      </c>
      <c r="M288">
        <v>8.4593111999999998E-2</v>
      </c>
      <c r="N288">
        <v>2.1329458849999998</v>
      </c>
      <c r="O288">
        <v>1.203846467</v>
      </c>
      <c r="P288">
        <v>2.1738904570000002</v>
      </c>
      <c r="Q288">
        <v>3.9541520289999998</v>
      </c>
      <c r="R288">
        <v>1.5047286660000001</v>
      </c>
      <c r="T288">
        <v>5.2983875E-2</v>
      </c>
      <c r="U288">
        <v>1.487550164</v>
      </c>
      <c r="V288">
        <v>1.496319078</v>
      </c>
      <c r="X288">
        <v>1.761540578</v>
      </c>
      <c r="Y288">
        <v>1.9667146200000001</v>
      </c>
      <c r="Z288">
        <v>5.2822879189999998</v>
      </c>
      <c r="AA288">
        <v>6.4508400000000004</v>
      </c>
      <c r="AB288">
        <v>4.0160100759999997</v>
      </c>
      <c r="AC288">
        <v>2.7739026089999999</v>
      </c>
      <c r="AD288">
        <v>3.0533708580000001</v>
      </c>
      <c r="AE288">
        <v>0.400140681</v>
      </c>
      <c r="AF288">
        <v>-0.43187357300000001</v>
      </c>
      <c r="AG288">
        <v>3.3129777570000001</v>
      </c>
      <c r="AH288">
        <v>1.7125506850000001</v>
      </c>
      <c r="AI288">
        <v>4.9082015459999999</v>
      </c>
      <c r="AJ288">
        <v>1.2683873480000001</v>
      </c>
      <c r="AK288">
        <v>1.7578534589999999</v>
      </c>
      <c r="AL288">
        <v>1.7531536780000001</v>
      </c>
      <c r="AM288">
        <v>3.4745459859999999</v>
      </c>
      <c r="AN288">
        <v>1.6344263960000001</v>
      </c>
      <c r="AO288">
        <v>4.9463500030000001</v>
      </c>
      <c r="AP288">
        <v>2.6677071969999999</v>
      </c>
      <c r="AQ288">
        <v>2.8459098599999999</v>
      </c>
      <c r="AR288">
        <v>3.4621295939999999</v>
      </c>
      <c r="AS288">
        <v>4.0020251260000004</v>
      </c>
      <c r="AT288">
        <v>1.9351350679999999</v>
      </c>
      <c r="AU288">
        <v>-2.7259678190000001</v>
      </c>
      <c r="AV288">
        <v>2.3206170949999998</v>
      </c>
      <c r="AW288">
        <v>1.853040958</v>
      </c>
    </row>
    <row r="289" spans="1:49" x14ac:dyDescent="0.2">
      <c r="A289" t="s">
        <v>353</v>
      </c>
      <c r="B289" s="74">
        <v>43556</v>
      </c>
      <c r="C289">
        <v>-6.0610184050000004</v>
      </c>
      <c r="D289">
        <v>1.8595941659999999</v>
      </c>
      <c r="E289">
        <v>2.3881875849999998</v>
      </c>
      <c r="F289">
        <v>2.0779868179999998</v>
      </c>
      <c r="G289">
        <v>1.105013925</v>
      </c>
      <c r="H289">
        <v>1.918859114</v>
      </c>
      <c r="I289">
        <v>1.1881978879999999</v>
      </c>
      <c r="J289">
        <v>1.730797768</v>
      </c>
      <c r="K289">
        <v>6.3</v>
      </c>
      <c r="L289">
        <v>2.9978994559999999</v>
      </c>
      <c r="M289">
        <v>1.578883507</v>
      </c>
      <c r="N289">
        <v>1.39096194</v>
      </c>
      <c r="O289">
        <v>1.8778002970000001</v>
      </c>
      <c r="P289">
        <v>2.401358009</v>
      </c>
      <c r="Q289">
        <v>4.54629379</v>
      </c>
      <c r="R289">
        <v>2.146720116</v>
      </c>
      <c r="T289">
        <v>0.51613585100000003</v>
      </c>
      <c r="U289">
        <v>2.1193721669999999</v>
      </c>
      <c r="V289">
        <v>1.693832199</v>
      </c>
      <c r="X289">
        <v>2.1729566610000002</v>
      </c>
      <c r="Y289">
        <v>1.186606592</v>
      </c>
      <c r="Z289">
        <v>5.1394308019999997</v>
      </c>
      <c r="AA289">
        <v>5.3305100000000003</v>
      </c>
      <c r="AB289">
        <v>5.05048268</v>
      </c>
      <c r="AC289">
        <v>4.1286246179999999</v>
      </c>
      <c r="AD289">
        <v>3.3173171529999999</v>
      </c>
      <c r="AE289">
        <v>0.63599831500000004</v>
      </c>
      <c r="AF289">
        <v>-3.9339697999999999E-2</v>
      </c>
      <c r="AG289">
        <v>1.879306135</v>
      </c>
      <c r="AH289">
        <v>2.6773787360000001</v>
      </c>
      <c r="AI289">
        <v>4.5626844210000002</v>
      </c>
      <c r="AJ289">
        <v>0.17122952999999999</v>
      </c>
      <c r="AK289">
        <v>2.0128308819999998</v>
      </c>
      <c r="AL289">
        <v>0.688701644</v>
      </c>
      <c r="AM289">
        <v>3.2788470840000001</v>
      </c>
      <c r="AN289">
        <v>1.689085081</v>
      </c>
      <c r="AO289">
        <v>5.5259554919999996</v>
      </c>
      <c r="AP289">
        <v>2.824818654</v>
      </c>
      <c r="AQ289">
        <v>1.4313071719999999</v>
      </c>
      <c r="AR289">
        <v>3.597508886</v>
      </c>
      <c r="AS289">
        <v>4.3771670970000001</v>
      </c>
      <c r="AT289">
        <v>2.0924865600000002</v>
      </c>
      <c r="AU289">
        <v>-2.3115548330000002</v>
      </c>
      <c r="AV289">
        <v>2.1530015140000001</v>
      </c>
      <c r="AW289">
        <v>0.50852420300000001</v>
      </c>
    </row>
    <row r="290" spans="1:49" x14ac:dyDescent="0.2">
      <c r="A290" t="s">
        <v>354</v>
      </c>
      <c r="B290" s="74">
        <v>43647</v>
      </c>
      <c r="C290">
        <v>-0.86063721500000001</v>
      </c>
      <c r="D290">
        <v>1.6633761810000001</v>
      </c>
      <c r="E290">
        <v>1.5555564049999999</v>
      </c>
      <c r="F290">
        <v>2.0407413189999999</v>
      </c>
      <c r="G290">
        <v>1.6008974570000001</v>
      </c>
      <c r="H290">
        <v>2.1268048070000001</v>
      </c>
      <c r="I290">
        <v>0.67419423700000003</v>
      </c>
      <c r="J290">
        <v>1.668725131</v>
      </c>
      <c r="K290">
        <v>6</v>
      </c>
      <c r="L290">
        <v>3.0712009079999998</v>
      </c>
      <c r="M290">
        <v>0.51867434899999998</v>
      </c>
      <c r="N290">
        <v>1.8979676830000001</v>
      </c>
      <c r="O290">
        <v>1.6095606979999999</v>
      </c>
      <c r="P290">
        <v>2.1767540780000001</v>
      </c>
      <c r="Q290">
        <v>4.1842247889999999</v>
      </c>
      <c r="R290">
        <v>1.868863663</v>
      </c>
      <c r="T290">
        <v>1.462580838</v>
      </c>
      <c r="U290">
        <v>2.397940647</v>
      </c>
      <c r="V290">
        <v>1.5862120209999999</v>
      </c>
      <c r="X290">
        <v>1.752346376</v>
      </c>
      <c r="Y290">
        <v>2.147844418</v>
      </c>
      <c r="Z290">
        <v>4.6358710150000002</v>
      </c>
      <c r="AA290">
        <v>5.05816</v>
      </c>
      <c r="AB290">
        <v>4.510225621</v>
      </c>
      <c r="AC290">
        <v>1.745841642</v>
      </c>
      <c r="AD290">
        <v>3.4020185289999998</v>
      </c>
      <c r="AE290">
        <v>0.90113092900000002</v>
      </c>
      <c r="AF290">
        <v>7.3089720999999996E-2</v>
      </c>
      <c r="AG290">
        <v>2.3078417999999998</v>
      </c>
      <c r="AH290">
        <v>4.8575184739999999</v>
      </c>
      <c r="AI290">
        <v>3.012370212</v>
      </c>
      <c r="AJ290">
        <v>-0.21016902300000001</v>
      </c>
      <c r="AK290">
        <v>1.7844101429999999</v>
      </c>
      <c r="AL290">
        <v>0.55952336599999997</v>
      </c>
      <c r="AM290">
        <v>2.6911119970000001</v>
      </c>
      <c r="AN290">
        <v>1.6407751989999999</v>
      </c>
      <c r="AO290">
        <v>4.9535901280000001</v>
      </c>
      <c r="AP290">
        <v>2.6055713659999999</v>
      </c>
      <c r="AQ290">
        <v>3.1498777059999998</v>
      </c>
      <c r="AR290">
        <v>2.7872833410000002</v>
      </c>
      <c r="AS290">
        <v>2.7848180440000001</v>
      </c>
      <c r="AT290">
        <v>1.6399943960000001</v>
      </c>
      <c r="AU290">
        <v>-0.63993166800000001</v>
      </c>
      <c r="AV290">
        <v>2.1114788359999999</v>
      </c>
      <c r="AW290">
        <v>1.1304401500000001</v>
      </c>
    </row>
    <row r="291" spans="1:49" x14ac:dyDescent="0.2">
      <c r="A291" t="s">
        <v>355</v>
      </c>
      <c r="B291" s="74">
        <v>43739</v>
      </c>
      <c r="C291">
        <v>-0.32180930200000002</v>
      </c>
      <c r="D291">
        <v>2.0625124270000001</v>
      </c>
      <c r="E291">
        <v>1.624014947</v>
      </c>
      <c r="F291">
        <v>2.3285188639999999</v>
      </c>
      <c r="G291">
        <v>0.74663300399999999</v>
      </c>
      <c r="H291">
        <v>1.7581388549999999</v>
      </c>
      <c r="I291">
        <v>1.425650407</v>
      </c>
      <c r="J291">
        <v>2.3062890029999998</v>
      </c>
      <c r="K291">
        <v>5.9</v>
      </c>
      <c r="L291">
        <v>3.029280961</v>
      </c>
      <c r="M291">
        <v>1.359957007</v>
      </c>
      <c r="N291">
        <v>1.751288661</v>
      </c>
      <c r="O291">
        <v>1.7655670240000001</v>
      </c>
      <c r="P291">
        <v>2.0358717460000002</v>
      </c>
      <c r="Q291">
        <v>4.196398995</v>
      </c>
      <c r="R291">
        <v>1.987100501</v>
      </c>
      <c r="T291">
        <v>1.586797282</v>
      </c>
      <c r="U291">
        <v>1.98337352</v>
      </c>
      <c r="V291">
        <v>1.8124932</v>
      </c>
      <c r="X291">
        <v>1.5776679410000001</v>
      </c>
      <c r="Y291">
        <v>2.3288899179999998</v>
      </c>
      <c r="Z291">
        <v>4.4624411259999999</v>
      </c>
      <c r="AA291">
        <v>4.6725500000000002</v>
      </c>
      <c r="AB291">
        <v>5.5594947230000002</v>
      </c>
      <c r="AC291">
        <v>0.81451410800000001</v>
      </c>
      <c r="AD291">
        <v>3.616733048</v>
      </c>
      <c r="AE291">
        <v>0.78290722700000004</v>
      </c>
      <c r="AF291">
        <v>0.80175446299999997</v>
      </c>
      <c r="AG291">
        <v>2.1012468540000002</v>
      </c>
      <c r="AH291">
        <v>3.1668559649999999</v>
      </c>
      <c r="AI291">
        <v>1.370829957</v>
      </c>
      <c r="AJ291">
        <v>-0.105045034</v>
      </c>
      <c r="AK291">
        <v>1.9336328869999999</v>
      </c>
      <c r="AL291">
        <v>0.148885882</v>
      </c>
      <c r="AM291">
        <v>3.2605758069999999</v>
      </c>
      <c r="AN291">
        <v>1.8832137900000001</v>
      </c>
      <c r="AO291">
        <v>4.5171936620000004</v>
      </c>
      <c r="AP291">
        <v>2.5409247979999998</v>
      </c>
      <c r="AQ291">
        <v>1.894762912</v>
      </c>
      <c r="AR291">
        <v>2.035528051</v>
      </c>
      <c r="AS291">
        <v>2.8822416679999998</v>
      </c>
      <c r="AT291">
        <v>2.6377098129999998</v>
      </c>
      <c r="AU291">
        <v>1.0554880099999999</v>
      </c>
      <c r="AV291">
        <v>2.3183259980000002</v>
      </c>
      <c r="AW291">
        <v>-1.2045512E-2</v>
      </c>
    </row>
    <row r="292" spans="1:49" x14ac:dyDescent="0.2">
      <c r="A292" t="s">
        <v>356</v>
      </c>
      <c r="B292" s="74">
        <v>43831</v>
      </c>
      <c r="C292">
        <v>-0.53848677</v>
      </c>
      <c r="D292">
        <v>2.3326119909999998</v>
      </c>
      <c r="E292">
        <v>0.334706956</v>
      </c>
      <c r="F292">
        <v>1.9998730810000001</v>
      </c>
      <c r="G292">
        <v>1.423356557</v>
      </c>
      <c r="H292">
        <v>1.717385462</v>
      </c>
      <c r="I292">
        <v>1.681028585</v>
      </c>
      <c r="J292">
        <v>-2.8375684190000001</v>
      </c>
      <c r="K292">
        <v>5.8</v>
      </c>
      <c r="L292">
        <v>2.7680914240000001</v>
      </c>
      <c r="M292">
        <v>0.89453405200000002</v>
      </c>
      <c r="N292">
        <v>0.93778172000000004</v>
      </c>
      <c r="O292">
        <v>1.1519244879999999</v>
      </c>
      <c r="P292">
        <v>1.7334300490000001</v>
      </c>
      <c r="Q292">
        <v>3.1568817560000002</v>
      </c>
      <c r="R292">
        <v>1.4030249560000001</v>
      </c>
      <c r="T292">
        <v>1.330956206</v>
      </c>
      <c r="U292">
        <v>1.0451742509999999</v>
      </c>
      <c r="V292">
        <v>1.3805893</v>
      </c>
      <c r="X292">
        <v>1.1927699620000001</v>
      </c>
      <c r="Y292">
        <v>1.3711942610000001</v>
      </c>
      <c r="Z292">
        <v>3.9903335219999998</v>
      </c>
      <c r="AA292">
        <v>3.1631900000000002</v>
      </c>
      <c r="AB292">
        <v>5.4031220150000001</v>
      </c>
      <c r="AC292">
        <v>3.0157853229999998</v>
      </c>
      <c r="AD292">
        <v>4.0008492579999997</v>
      </c>
      <c r="AE292">
        <v>-0.327882915</v>
      </c>
      <c r="AF292">
        <v>-1.800490605</v>
      </c>
      <c r="AG292">
        <v>2.679990632</v>
      </c>
      <c r="AH292">
        <v>2.4908261189999998</v>
      </c>
      <c r="AI292">
        <v>0.83291457199999996</v>
      </c>
      <c r="AJ292">
        <v>-0.59808801700000003</v>
      </c>
      <c r="AK292">
        <v>1.913360685</v>
      </c>
      <c r="AL292">
        <v>1.5496427829999999</v>
      </c>
      <c r="AM292">
        <v>2.3013767440000001</v>
      </c>
      <c r="AN292">
        <v>1.687577098</v>
      </c>
      <c r="AO292">
        <v>4.0468652220000001</v>
      </c>
      <c r="AP292">
        <v>2.7606821840000002</v>
      </c>
      <c r="AQ292">
        <v>0.76465798799999996</v>
      </c>
      <c r="AR292">
        <v>2.0266617870000001</v>
      </c>
      <c r="AS292">
        <v>2.9129433429999998</v>
      </c>
      <c r="AT292">
        <v>1.694323703</v>
      </c>
      <c r="AU292">
        <v>5.8034245589999998</v>
      </c>
      <c r="AV292">
        <v>2.5694235349999999</v>
      </c>
      <c r="AW292">
        <v>-0.39798515699999998</v>
      </c>
    </row>
    <row r="293" spans="1:49" x14ac:dyDescent="0.2">
      <c r="A293" t="s">
        <v>357</v>
      </c>
      <c r="B293" s="74">
        <v>43922</v>
      </c>
      <c r="C293">
        <v>-4.8432648289999998</v>
      </c>
      <c r="D293">
        <v>1.60326586</v>
      </c>
      <c r="E293">
        <v>-3.0333124410000001</v>
      </c>
      <c r="F293">
        <v>-1.4569033339999999</v>
      </c>
      <c r="G293">
        <v>-1.4210867030000001</v>
      </c>
      <c r="H293">
        <v>-0.567093183</v>
      </c>
      <c r="I293">
        <v>-0.18892766999999999</v>
      </c>
      <c r="J293">
        <v>-0.59110417400000004</v>
      </c>
      <c r="K293">
        <v>-6.9</v>
      </c>
      <c r="L293">
        <v>-1.462892348</v>
      </c>
      <c r="M293">
        <v>-1.919182065</v>
      </c>
      <c r="N293">
        <v>0.397917572</v>
      </c>
      <c r="O293">
        <v>-3.1334860980000001</v>
      </c>
      <c r="P293">
        <v>-4.3265407890000001</v>
      </c>
      <c r="Q293">
        <v>0.26964126100000002</v>
      </c>
      <c r="R293">
        <v>-2.5106500199999999</v>
      </c>
      <c r="T293">
        <v>0.485445401</v>
      </c>
      <c r="U293">
        <v>-5.3230367010000004</v>
      </c>
      <c r="V293">
        <v>-1.133390186</v>
      </c>
      <c r="X293">
        <v>-1.9924096979999999</v>
      </c>
      <c r="Y293">
        <v>-1.3868973529999999</v>
      </c>
      <c r="Z293">
        <v>1.768339651</v>
      </c>
      <c r="AA293">
        <v>2.1247600000000002</v>
      </c>
      <c r="AB293">
        <v>6.4833612379999996</v>
      </c>
      <c r="AC293">
        <v>-4.0588774680000004</v>
      </c>
      <c r="AD293">
        <v>1.587937629</v>
      </c>
      <c r="AE293">
        <v>-6.4007998769999999</v>
      </c>
      <c r="AF293">
        <v>-1.8895532180000001</v>
      </c>
      <c r="AG293">
        <v>1.5082656480000001</v>
      </c>
      <c r="AH293">
        <v>-0.40802084900000002</v>
      </c>
      <c r="AI293">
        <v>-1.645697983</v>
      </c>
      <c r="AJ293">
        <v>-1.611668498</v>
      </c>
      <c r="AK293">
        <v>-0.27642315000000001</v>
      </c>
      <c r="AL293">
        <v>0.49107333800000003</v>
      </c>
      <c r="AM293">
        <v>0.50415183900000005</v>
      </c>
      <c r="AN293">
        <v>-0.67104190100000005</v>
      </c>
      <c r="AO293">
        <v>2.6065272159999999</v>
      </c>
      <c r="AP293">
        <v>-2.6340061010000002</v>
      </c>
      <c r="AQ293">
        <v>0.60514174399999998</v>
      </c>
      <c r="AR293">
        <v>-2.804286447</v>
      </c>
      <c r="AS293">
        <v>-2.3277541419999999</v>
      </c>
      <c r="AT293">
        <v>0.97974877699999996</v>
      </c>
      <c r="AU293">
        <v>4.2929284550000002</v>
      </c>
      <c r="AV293">
        <v>0.63078516399999995</v>
      </c>
      <c r="AW293">
        <v>0.513294044</v>
      </c>
    </row>
    <row r="294" spans="1:49" x14ac:dyDescent="0.2">
      <c r="A294" t="s">
        <v>358</v>
      </c>
      <c r="B294" s="74">
        <v>44013</v>
      </c>
      <c r="C294">
        <v>-19.764999244999998</v>
      </c>
      <c r="D294">
        <v>-5.951825049</v>
      </c>
      <c r="E294">
        <v>-13.688759976</v>
      </c>
      <c r="F294">
        <v>-13.297134727</v>
      </c>
      <c r="G294">
        <v>-10.652333519000001</v>
      </c>
      <c r="H294">
        <v>-12.414749165</v>
      </c>
      <c r="I294">
        <v>-6.6987327910000003</v>
      </c>
      <c r="J294">
        <v>-14.226994144000001</v>
      </c>
      <c r="K294">
        <v>3.1</v>
      </c>
      <c r="L294">
        <v>-10.782890147</v>
      </c>
      <c r="M294">
        <v>-11.286579908</v>
      </c>
      <c r="N294">
        <v>-6.5714796959999999</v>
      </c>
      <c r="O294">
        <v>-14.650162186999999</v>
      </c>
      <c r="P294">
        <v>-21.501874910000002</v>
      </c>
      <c r="Q294">
        <v>-5.924963172</v>
      </c>
      <c r="R294">
        <v>-13.785225485</v>
      </c>
      <c r="T294">
        <v>-6.5058441450000002</v>
      </c>
      <c r="U294">
        <v>-18.897267446000001</v>
      </c>
      <c r="V294">
        <v>-11.879406426999999</v>
      </c>
      <c r="X294">
        <v>-21.138315395999999</v>
      </c>
      <c r="Y294">
        <v>-15.485028491</v>
      </c>
      <c r="Z294">
        <v>-13.045853154</v>
      </c>
      <c r="AA294">
        <v>-23.371649999999999</v>
      </c>
      <c r="AB294">
        <v>0.96076958099999998</v>
      </c>
      <c r="AC294">
        <v>-10.831659308000001</v>
      </c>
      <c r="AD294">
        <v>-8.1502045949999999</v>
      </c>
      <c r="AE294">
        <v>-18.453551768000001</v>
      </c>
      <c r="AF294">
        <v>-10.083103268</v>
      </c>
      <c r="AG294">
        <v>-2.5967072330000001</v>
      </c>
      <c r="AH294">
        <v>-8.0134700290000005</v>
      </c>
      <c r="AI294">
        <v>-8.6763291270000007</v>
      </c>
      <c r="AJ294">
        <v>-18.845050825000001</v>
      </c>
      <c r="AK294">
        <v>-8.5022538710000006</v>
      </c>
      <c r="AL294">
        <v>-4.3635272719999998</v>
      </c>
      <c r="AM294">
        <v>-10.376787294</v>
      </c>
      <c r="AN294">
        <v>-11.574741027</v>
      </c>
      <c r="AO294">
        <v>-7.4666263480000001</v>
      </c>
      <c r="AP294">
        <v>-17.945345508999999</v>
      </c>
      <c r="AQ294">
        <v>-6.0322870870000003</v>
      </c>
      <c r="AR294">
        <v>-10.127253048</v>
      </c>
      <c r="AS294">
        <v>-11.294522598</v>
      </c>
      <c r="AT294">
        <v>-7.7187582859999999</v>
      </c>
      <c r="AU294">
        <v>-9.1025785149999994</v>
      </c>
      <c r="AV294">
        <v>-9.0837374240000006</v>
      </c>
      <c r="AW294">
        <v>-17.007477874999999</v>
      </c>
    </row>
    <row r="295" spans="1:49" x14ac:dyDescent="0.2">
      <c r="A295" t="s">
        <v>359</v>
      </c>
      <c r="B295" s="74">
        <v>44105</v>
      </c>
      <c r="C295">
        <v>-10.265705543999999</v>
      </c>
      <c r="D295">
        <v>-3.4455134580000002</v>
      </c>
      <c r="E295">
        <v>-4.5457001669999997</v>
      </c>
      <c r="F295">
        <v>-3.6297608189999999</v>
      </c>
      <c r="G295">
        <v>-3.6559303590000001</v>
      </c>
      <c r="H295">
        <v>-4.8569047669999996</v>
      </c>
      <c r="I295">
        <v>-1.3322126969999999</v>
      </c>
      <c r="J295">
        <v>-9.8652487660000006</v>
      </c>
      <c r="K295">
        <v>4.8</v>
      </c>
      <c r="L295">
        <v>-5.2160091059999996</v>
      </c>
      <c r="M295">
        <v>-3.6600779540000001</v>
      </c>
      <c r="N295">
        <v>-1.097538568</v>
      </c>
      <c r="O295">
        <v>-3.9314494799999999</v>
      </c>
      <c r="P295">
        <v>-8.6615832249999993</v>
      </c>
      <c r="Q295">
        <v>-3.2868459730000001</v>
      </c>
      <c r="R295">
        <v>-3.768793531</v>
      </c>
      <c r="T295">
        <v>-1.9129860649999999</v>
      </c>
      <c r="U295">
        <v>-3.163630006</v>
      </c>
      <c r="V295">
        <v>-3.9121451230000002</v>
      </c>
      <c r="X295">
        <v>-7.685695183</v>
      </c>
      <c r="Y295">
        <v>-10.817381115</v>
      </c>
      <c r="Z295">
        <v>-4.183064334</v>
      </c>
      <c r="AA295">
        <v>-5.2931299999999997</v>
      </c>
      <c r="AB295">
        <v>11.238677218999999</v>
      </c>
      <c r="AC295">
        <v>-7.4695303309999996</v>
      </c>
      <c r="AD295">
        <v>-1.5036959910000001</v>
      </c>
      <c r="AE295">
        <v>-5.3729481760000004</v>
      </c>
      <c r="AF295">
        <v>-5.3177071160000002</v>
      </c>
      <c r="AG295">
        <v>-0.83293149700000002</v>
      </c>
      <c r="AH295">
        <v>5.1299773E-2</v>
      </c>
      <c r="AI295">
        <v>-3.0421642019999999</v>
      </c>
      <c r="AJ295">
        <v>-8.3210407699999998</v>
      </c>
      <c r="AK295">
        <v>-3.193316598</v>
      </c>
      <c r="AL295">
        <v>-0.295535243</v>
      </c>
      <c r="AM295">
        <v>1.045355174</v>
      </c>
      <c r="AN295">
        <v>-3.6335459960000001</v>
      </c>
      <c r="AO295">
        <v>-1.563538417</v>
      </c>
      <c r="AP295">
        <v>-6.3388432520000002</v>
      </c>
      <c r="AQ295">
        <v>-2.467576233</v>
      </c>
      <c r="AR295">
        <v>-2.216534754</v>
      </c>
      <c r="AS295">
        <v>-2.0390221419999999</v>
      </c>
      <c r="AT295">
        <v>-1.085155334</v>
      </c>
      <c r="AU295">
        <v>5.7515175770000004</v>
      </c>
      <c r="AV295">
        <v>-2.8875059890000001</v>
      </c>
      <c r="AW295">
        <v>-5.7141756780000001</v>
      </c>
    </row>
    <row r="296" spans="1:49" x14ac:dyDescent="0.2">
      <c r="A296" t="s">
        <v>360</v>
      </c>
      <c r="B296" s="74">
        <v>44197</v>
      </c>
      <c r="C296">
        <v>-4.7969557719999996</v>
      </c>
      <c r="D296">
        <v>-0.67163528900000002</v>
      </c>
      <c r="E296">
        <v>-6.1034629310000001</v>
      </c>
      <c r="F296">
        <v>-4.3523859470000001</v>
      </c>
      <c r="G296">
        <v>-0.988521541</v>
      </c>
      <c r="H296">
        <v>-3.0624428049999999</v>
      </c>
      <c r="I296">
        <v>-1.7718965790000001</v>
      </c>
      <c r="J296">
        <v>9.8664142999999996E-2</v>
      </c>
      <c r="K296">
        <v>6.4</v>
      </c>
      <c r="L296">
        <v>-4.596123382</v>
      </c>
      <c r="M296">
        <v>-2.8716205910000001</v>
      </c>
      <c r="N296">
        <v>-0.68954713099999998</v>
      </c>
      <c r="O296">
        <v>-4.2491229339999999</v>
      </c>
      <c r="P296">
        <v>-8.8016765729999999</v>
      </c>
      <c r="Q296">
        <v>-1.5540360580000001</v>
      </c>
      <c r="R296">
        <v>-3.9645322169999999</v>
      </c>
      <c r="T296">
        <v>-0.94591063500000006</v>
      </c>
      <c r="U296">
        <v>-4.1876545629999997</v>
      </c>
      <c r="V296">
        <v>-2.8834116500000002</v>
      </c>
      <c r="X296">
        <v>-6.2752495540000002</v>
      </c>
      <c r="Y296">
        <v>-6.9189634050000004</v>
      </c>
      <c r="Z296">
        <v>-3.1908392189999999</v>
      </c>
      <c r="AA296">
        <v>0.40786</v>
      </c>
      <c r="AB296">
        <v>4.7896610370000001</v>
      </c>
      <c r="AC296">
        <v>-5.9605084320000001</v>
      </c>
      <c r="AD296">
        <v>-0.47085122899999998</v>
      </c>
      <c r="AE296">
        <v>-6.0998951689999998</v>
      </c>
      <c r="AF296">
        <v>-0.84244258299999997</v>
      </c>
      <c r="AG296">
        <v>-0.88911242599999996</v>
      </c>
      <c r="AH296">
        <v>1.3100716029999999</v>
      </c>
      <c r="AI296">
        <v>-1.6874989890000001</v>
      </c>
      <c r="AJ296">
        <v>-4.251282271</v>
      </c>
      <c r="AK296">
        <v>-3.5572674019999999</v>
      </c>
      <c r="AL296">
        <v>-1.077017114</v>
      </c>
      <c r="AM296">
        <v>0.34833581400000002</v>
      </c>
      <c r="AN296">
        <v>-2.63473786</v>
      </c>
      <c r="AO296">
        <v>-2.0684468819999999</v>
      </c>
      <c r="AP296">
        <v>-6.8493080419999997</v>
      </c>
      <c r="AQ296">
        <v>-1.2994789870000001</v>
      </c>
      <c r="AR296">
        <v>-2.3023636399999998</v>
      </c>
      <c r="AS296">
        <v>-3.5961044769999999</v>
      </c>
      <c r="AT296">
        <v>-1.4968924640000001</v>
      </c>
      <c r="AU296">
        <v>5.5823967640000003</v>
      </c>
      <c r="AV296">
        <v>-2.2629152430000001</v>
      </c>
      <c r="AW296">
        <v>-3.137847324</v>
      </c>
    </row>
    <row r="297" spans="1:49" x14ac:dyDescent="0.2">
      <c r="A297" t="s">
        <v>361</v>
      </c>
      <c r="B297" s="74">
        <v>44287</v>
      </c>
      <c r="C297">
        <v>2.8315507590000002</v>
      </c>
      <c r="D297">
        <v>1.4089486309999999</v>
      </c>
      <c r="E297">
        <v>-4.1087570690000002</v>
      </c>
      <c r="F297">
        <v>6.1487068999999998E-2</v>
      </c>
      <c r="G297">
        <v>2.5923734490000001</v>
      </c>
      <c r="H297">
        <v>0.15774503100000001</v>
      </c>
      <c r="I297">
        <v>-0.42498628199999999</v>
      </c>
      <c r="J297">
        <v>1.536045812</v>
      </c>
      <c r="K297">
        <v>18.3</v>
      </c>
      <c r="L297">
        <v>-1.9074280729999999</v>
      </c>
      <c r="M297">
        <v>-2.792772679</v>
      </c>
      <c r="N297">
        <v>3.3937930999999998E-2</v>
      </c>
      <c r="O297">
        <v>-0.86436336599999997</v>
      </c>
      <c r="P297">
        <v>-4.0893803599999998</v>
      </c>
      <c r="Q297">
        <v>3.2415936780000001</v>
      </c>
      <c r="R297">
        <v>-0.83705589000000002</v>
      </c>
      <c r="T297">
        <v>-0.94875998500000003</v>
      </c>
      <c r="U297">
        <v>1.8047115229999999</v>
      </c>
      <c r="V297">
        <v>-0.49079884299999998</v>
      </c>
      <c r="X297">
        <v>-4.9733586279999997</v>
      </c>
      <c r="Y297">
        <v>-1.6606029849999999</v>
      </c>
      <c r="Z297">
        <v>-1.4374267140000001</v>
      </c>
      <c r="AA297">
        <v>1.7046699999999999</v>
      </c>
      <c r="AB297">
        <v>11.79001744</v>
      </c>
      <c r="AC297">
        <v>-2.938226368</v>
      </c>
      <c r="AD297">
        <v>0.25251287700000002</v>
      </c>
      <c r="AE297">
        <v>3.7799359999999997E-2</v>
      </c>
      <c r="AF297">
        <v>-1.721338574</v>
      </c>
      <c r="AG297">
        <v>2.1863227329999999</v>
      </c>
      <c r="AH297">
        <v>5.1469269679999998</v>
      </c>
      <c r="AI297">
        <v>-0.40219911400000002</v>
      </c>
      <c r="AJ297">
        <v>-2.9168731079999999</v>
      </c>
      <c r="AK297">
        <v>-2.0616855159999998</v>
      </c>
      <c r="AL297">
        <v>0.21303166900000001</v>
      </c>
      <c r="AM297">
        <v>3.2954916060000001</v>
      </c>
      <c r="AN297">
        <v>-0.204801228</v>
      </c>
      <c r="AO297">
        <v>-1.1277082140000001</v>
      </c>
      <c r="AP297">
        <v>-5.398189447</v>
      </c>
      <c r="AQ297">
        <v>-0.43206129399999998</v>
      </c>
      <c r="AR297">
        <v>0.190504277</v>
      </c>
      <c r="AS297">
        <v>2.6006308329999999</v>
      </c>
      <c r="AT297">
        <v>0.228283603</v>
      </c>
      <c r="AU297">
        <v>7.430158896</v>
      </c>
      <c r="AV297">
        <v>0.54697680299999996</v>
      </c>
      <c r="AW297">
        <v>-2.3414245220000001</v>
      </c>
    </row>
    <row r="298" spans="1:49" x14ac:dyDescent="0.2">
      <c r="A298" t="s">
        <v>362</v>
      </c>
      <c r="B298" s="74">
        <v>44378</v>
      </c>
      <c r="C298">
        <v>20.124167475</v>
      </c>
      <c r="D298">
        <v>9.6977252140000001</v>
      </c>
      <c r="E298">
        <v>12.902031161</v>
      </c>
      <c r="F298">
        <v>15.175465016</v>
      </c>
      <c r="G298">
        <v>12.210517969</v>
      </c>
      <c r="H298">
        <v>11.698831984</v>
      </c>
      <c r="I298">
        <v>8.1792516519999996</v>
      </c>
      <c r="J298">
        <v>18.252847805999998</v>
      </c>
      <c r="K298">
        <v>7.9</v>
      </c>
      <c r="L298">
        <v>9.1293429489999998</v>
      </c>
      <c r="M298">
        <v>10.351161574000001</v>
      </c>
      <c r="N298">
        <v>9.0538347730000002</v>
      </c>
      <c r="O298">
        <v>14.653846007</v>
      </c>
      <c r="P298">
        <v>17.784211674000002</v>
      </c>
      <c r="Q298">
        <v>12.141899257</v>
      </c>
      <c r="R298">
        <v>14.112645468</v>
      </c>
      <c r="T298">
        <v>7.1108799439999997</v>
      </c>
      <c r="U298">
        <v>19.156864633000001</v>
      </c>
      <c r="V298">
        <v>13.019583763</v>
      </c>
      <c r="X298">
        <v>24.492977962000001</v>
      </c>
      <c r="Y298">
        <v>15.031404564000001</v>
      </c>
      <c r="Z298">
        <v>17.601893902</v>
      </c>
      <c r="AA298">
        <v>19.677510000000002</v>
      </c>
      <c r="AB298">
        <v>20.727809626999999</v>
      </c>
      <c r="AC298">
        <v>10.002451321000001</v>
      </c>
      <c r="AD298">
        <v>14.801417168</v>
      </c>
      <c r="AE298">
        <v>17.545308273</v>
      </c>
      <c r="AF298">
        <v>7.3888385669999996</v>
      </c>
      <c r="AG298">
        <v>6.2541347370000002</v>
      </c>
      <c r="AH298">
        <v>12.852455598000001</v>
      </c>
      <c r="AI298">
        <v>10.129486749</v>
      </c>
      <c r="AJ298">
        <v>19.581044942999998</v>
      </c>
      <c r="AK298">
        <v>10.358432828</v>
      </c>
      <c r="AL298">
        <v>5.9099624510000002</v>
      </c>
      <c r="AM298">
        <v>17.947651960000002</v>
      </c>
      <c r="AN298">
        <v>13.343946856000001</v>
      </c>
      <c r="AO298">
        <v>10.956546573000001</v>
      </c>
      <c r="AP298">
        <v>16.487143521</v>
      </c>
      <c r="AQ298">
        <v>7.5695837170000004</v>
      </c>
      <c r="AR298">
        <v>10.030445541000001</v>
      </c>
      <c r="AS298">
        <v>15.530510907</v>
      </c>
      <c r="AT298">
        <v>9.8475974829999995</v>
      </c>
      <c r="AU298">
        <v>22.429092907000001</v>
      </c>
      <c r="AV298">
        <v>12.226677108000001</v>
      </c>
      <c r="AW298">
        <v>19.429486458</v>
      </c>
    </row>
    <row r="299" spans="1:49" x14ac:dyDescent="0.2">
      <c r="A299" t="s">
        <v>363</v>
      </c>
      <c r="B299" s="74">
        <v>44470</v>
      </c>
      <c r="C299">
        <v>11.449361196</v>
      </c>
      <c r="D299">
        <v>4.0528939099999999</v>
      </c>
      <c r="E299">
        <v>5.3308220640000004</v>
      </c>
      <c r="F299">
        <v>5.0956005199999996</v>
      </c>
      <c r="G299">
        <v>4.0686394139999997</v>
      </c>
      <c r="H299">
        <v>3.8314741250000002</v>
      </c>
      <c r="I299">
        <v>3.6753259649999999</v>
      </c>
      <c r="J299">
        <v>17.214642109</v>
      </c>
      <c r="K299">
        <v>4.9000000000000004</v>
      </c>
      <c r="L299">
        <v>3.7680622129999999</v>
      </c>
      <c r="M299">
        <v>2.8891752589999999</v>
      </c>
      <c r="N299">
        <v>3.8762125009999999</v>
      </c>
      <c r="O299">
        <v>3.982185785</v>
      </c>
      <c r="P299">
        <v>3.4718484429999998</v>
      </c>
      <c r="Q299">
        <v>9.2792411159999997</v>
      </c>
      <c r="R299">
        <v>4.1883050620000004</v>
      </c>
      <c r="T299">
        <v>3.0591819739999999</v>
      </c>
      <c r="U299">
        <v>3.006804829</v>
      </c>
      <c r="V299">
        <v>4.1351312330000001</v>
      </c>
      <c r="X299">
        <v>6.8575041670000001</v>
      </c>
      <c r="Y299">
        <v>11.655569757</v>
      </c>
      <c r="Z299">
        <v>6.533096595</v>
      </c>
      <c r="AA299">
        <v>9.08887</v>
      </c>
      <c r="AB299">
        <v>11.520003122</v>
      </c>
      <c r="AC299">
        <v>6.9708216939999996</v>
      </c>
      <c r="AD299">
        <v>7.6171081359999997</v>
      </c>
      <c r="AE299">
        <v>3.9690370640000001</v>
      </c>
      <c r="AF299">
        <v>1.185812004</v>
      </c>
      <c r="AG299">
        <v>4.0381180829999996</v>
      </c>
      <c r="AH299">
        <v>5.1195027560000002</v>
      </c>
      <c r="AI299">
        <v>4.819800742</v>
      </c>
      <c r="AJ299">
        <v>4.5997299649999999</v>
      </c>
      <c r="AK299">
        <v>5.469411451</v>
      </c>
      <c r="AL299">
        <v>5.3641888890000002</v>
      </c>
      <c r="AM299">
        <v>-0.23311443900000001</v>
      </c>
      <c r="AN299">
        <v>4.6911031550000004</v>
      </c>
      <c r="AO299">
        <v>6.0625869449999996</v>
      </c>
      <c r="AP299">
        <v>4.3507361580000001</v>
      </c>
      <c r="AQ299">
        <v>3.830445643</v>
      </c>
      <c r="AR299">
        <v>1.248037643</v>
      </c>
      <c r="AS299">
        <v>4.6718903210000002</v>
      </c>
      <c r="AT299">
        <v>4.3414940780000002</v>
      </c>
      <c r="AU299">
        <v>8.0968007249999996</v>
      </c>
      <c r="AV299">
        <v>4.946555569</v>
      </c>
      <c r="AW299">
        <v>3.0877572529999999</v>
      </c>
    </row>
    <row r="300" spans="1:49" x14ac:dyDescent="0.2">
      <c r="A300" t="s">
        <v>364</v>
      </c>
      <c r="B300" s="74">
        <v>44562</v>
      </c>
      <c r="C300">
        <v>8.6956936099999993</v>
      </c>
      <c r="D300">
        <v>4.4017271210000004</v>
      </c>
      <c r="E300">
        <v>6.5131827360000001</v>
      </c>
      <c r="F300">
        <v>5.6655144220000002</v>
      </c>
      <c r="G300">
        <v>1.599252423</v>
      </c>
      <c r="H300">
        <v>3.232168148</v>
      </c>
      <c r="I300">
        <v>3.7984684870000001</v>
      </c>
      <c r="J300">
        <v>11.732267174</v>
      </c>
      <c r="K300">
        <v>4</v>
      </c>
      <c r="L300">
        <v>3.4667140779999999</v>
      </c>
      <c r="M300">
        <v>1.775371405</v>
      </c>
      <c r="N300">
        <v>6.709379041</v>
      </c>
      <c r="O300">
        <v>4.6626915359999996</v>
      </c>
      <c r="P300">
        <v>5.536334708</v>
      </c>
      <c r="Q300">
        <v>8.3657466599999992</v>
      </c>
      <c r="R300">
        <v>4.8739902769999999</v>
      </c>
      <c r="T300">
        <v>3.1163166969999998</v>
      </c>
      <c r="U300">
        <v>4.932174324</v>
      </c>
      <c r="V300">
        <v>4.4585277689999998</v>
      </c>
      <c r="X300">
        <v>6.6393277030000002</v>
      </c>
      <c r="Y300">
        <v>8.1394414810000004</v>
      </c>
      <c r="Z300">
        <v>7.1486106779999998</v>
      </c>
      <c r="AA300">
        <v>4.6668599999999998</v>
      </c>
      <c r="AB300">
        <v>9.9037097900000006</v>
      </c>
      <c r="AC300">
        <v>3.9272506229999999</v>
      </c>
      <c r="AD300">
        <v>9.2364377869999998</v>
      </c>
      <c r="AE300">
        <v>6.3578344009999999</v>
      </c>
      <c r="AF300">
        <v>0.41217037099999998</v>
      </c>
      <c r="AG300">
        <v>4.1656121209999997</v>
      </c>
      <c r="AH300">
        <v>4.8757039630000003</v>
      </c>
      <c r="AI300">
        <v>2.7215393589999999</v>
      </c>
      <c r="AJ300">
        <v>1.2005771300000001</v>
      </c>
      <c r="AK300">
        <v>6.174866808</v>
      </c>
      <c r="AL300">
        <v>4.7111825219999997</v>
      </c>
      <c r="AM300">
        <v>3.1073187139999998</v>
      </c>
      <c r="AN300">
        <v>4.8811840699999998</v>
      </c>
      <c r="AO300">
        <v>7.9797611740000001</v>
      </c>
      <c r="AP300">
        <v>5.8760669229999998</v>
      </c>
      <c r="AR300">
        <v>1.169964389</v>
      </c>
      <c r="AS300">
        <v>10.457623826000001</v>
      </c>
      <c r="AT300">
        <v>5.6327699349999998</v>
      </c>
      <c r="AU300">
        <v>8.4262590759999991</v>
      </c>
      <c r="AV300">
        <v>5.5334840380000001</v>
      </c>
      <c r="AW300">
        <v>1.7551585190000001</v>
      </c>
    </row>
    <row r="301" spans="1:49" x14ac:dyDescent="0.2">
      <c r="A301" t="s">
        <v>365</v>
      </c>
      <c r="B301" s="74">
        <v>44652</v>
      </c>
      <c r="C301">
        <v>6.0826773860000003</v>
      </c>
      <c r="D301">
        <v>3.3463248399999999</v>
      </c>
      <c r="E301">
        <v>8.6820323849999994</v>
      </c>
      <c r="F301">
        <v>4.854493594</v>
      </c>
      <c r="G301">
        <v>1.5091979680000001</v>
      </c>
      <c r="H301">
        <v>2.887084991</v>
      </c>
      <c r="I301">
        <v>4.5413666189999997</v>
      </c>
      <c r="J301">
        <v>6.880497804</v>
      </c>
      <c r="K301">
        <v>4.8</v>
      </c>
      <c r="L301">
        <v>4.9107768470000002</v>
      </c>
      <c r="M301">
        <v>3.7625491289999999</v>
      </c>
      <c r="N301">
        <v>6.2357929580000002</v>
      </c>
      <c r="O301">
        <v>5.4438471929999999</v>
      </c>
      <c r="P301">
        <v>6.2803156309999997</v>
      </c>
      <c r="Q301">
        <v>4.6867466660000003</v>
      </c>
      <c r="R301">
        <v>5.57410535</v>
      </c>
      <c r="T301">
        <v>3.7609606649999998</v>
      </c>
      <c r="U301">
        <v>4.4702488239999996</v>
      </c>
      <c r="V301">
        <v>3.794708908</v>
      </c>
      <c r="X301">
        <v>8.7387284120000004</v>
      </c>
      <c r="Y301">
        <v>7.0012030940000001</v>
      </c>
      <c r="Z301">
        <v>8.0184269120000007</v>
      </c>
      <c r="AA301">
        <v>4.0628700000000002</v>
      </c>
      <c r="AB301">
        <v>11.293798132999999</v>
      </c>
      <c r="AC301">
        <v>7.2766466400000001</v>
      </c>
      <c r="AD301">
        <v>9.0191358610000005</v>
      </c>
      <c r="AE301">
        <v>6.2458560590000003</v>
      </c>
      <c r="AF301">
        <v>0.68657865600000001</v>
      </c>
      <c r="AG301">
        <v>3.0493485900000001</v>
      </c>
      <c r="AH301">
        <v>4.0161697040000002</v>
      </c>
      <c r="AI301">
        <v>6.3723173710000003</v>
      </c>
      <c r="AJ301">
        <v>1.8340840329999999</v>
      </c>
      <c r="AK301">
        <v>6.5675656489999996</v>
      </c>
      <c r="AL301">
        <v>3.7278410059999998</v>
      </c>
      <c r="AM301">
        <v>1.2132966489999999</v>
      </c>
      <c r="AN301">
        <v>4.3767260720000003</v>
      </c>
      <c r="AO301">
        <v>9.1638205480000003</v>
      </c>
      <c r="AP301">
        <v>11.862899798000001</v>
      </c>
      <c r="AR301">
        <v>2.9968193799999998</v>
      </c>
      <c r="AS301">
        <v>9.5880750100000007</v>
      </c>
      <c r="AT301">
        <v>3.1263219759999998</v>
      </c>
      <c r="AU301">
        <v>7.3616658030000002</v>
      </c>
      <c r="AV301">
        <v>3.5278923760000001</v>
      </c>
      <c r="AW301">
        <v>2.8820774220000001</v>
      </c>
    </row>
    <row r="302" spans="1:49" x14ac:dyDescent="0.2">
      <c r="A302" t="s">
        <v>366</v>
      </c>
      <c r="B302" s="74">
        <v>44743</v>
      </c>
    </row>
    <row r="303" spans="1:49" x14ac:dyDescent="0.2">
      <c r="A303" t="s">
        <v>367</v>
      </c>
      <c r="B303" s="74">
        <v>44835</v>
      </c>
    </row>
    <row r="304" spans="1:49" x14ac:dyDescent="0.2">
      <c r="A304" t="s">
        <v>368</v>
      </c>
      <c r="B304" s="74">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selection activeCell="F175" sqref="F175"/>
    </sheetView>
  </sheetViews>
  <sheetFormatPr baseColWidth="10" defaultRowHeight="15" x14ac:dyDescent="0.2"/>
  <sheetData>
    <row r="1" spans="1:15" ht="23" customHeight="1" thickBot="1" x14ac:dyDescent="0.25">
      <c r="A1" t="s">
        <v>371</v>
      </c>
      <c r="B1" t="s">
        <v>372</v>
      </c>
      <c r="C1" t="s">
        <v>373</v>
      </c>
      <c r="D1" t="s">
        <v>374</v>
      </c>
      <c r="E1" t="s">
        <v>375</v>
      </c>
      <c r="F1" t="s">
        <v>376</v>
      </c>
      <c r="G1" t="s">
        <v>377</v>
      </c>
      <c r="H1" t="s">
        <v>378</v>
      </c>
      <c r="I1" t="s">
        <v>379</v>
      </c>
      <c r="J1" t="s">
        <v>380</v>
      </c>
      <c r="K1" t="s">
        <v>381</v>
      </c>
      <c r="L1" t="s">
        <v>382</v>
      </c>
      <c r="M1" t="s">
        <v>383</v>
      </c>
      <c r="N1" t="s">
        <v>384</v>
      </c>
      <c r="O1" t="s">
        <v>385</v>
      </c>
    </row>
    <row r="2" spans="1:15" x14ac:dyDescent="0.2">
      <c r="A2" t="s">
        <v>386</v>
      </c>
      <c r="B2">
        <v>78.400000000000006</v>
      </c>
      <c r="C2">
        <v>-21.2</v>
      </c>
      <c r="D2">
        <v>7.8</v>
      </c>
      <c r="E2">
        <v>20</v>
      </c>
      <c r="G2">
        <v>-1.9300000000000001E-2</v>
      </c>
      <c r="H2">
        <v>-3.4</v>
      </c>
      <c r="I2">
        <v>1.56</v>
      </c>
      <c r="J2">
        <v>1.5599999999999999E-2</v>
      </c>
      <c r="K2">
        <v>15</v>
      </c>
      <c r="L2">
        <v>0.15</v>
      </c>
      <c r="M2">
        <v>11.2</v>
      </c>
      <c r="N2">
        <v>0.112</v>
      </c>
      <c r="O2">
        <v>33.200000000000003</v>
      </c>
    </row>
    <row r="3" spans="1:15" x14ac:dyDescent="0.2">
      <c r="A3" t="s">
        <v>387</v>
      </c>
      <c r="B3">
        <v>107.3</v>
      </c>
      <c r="C3">
        <v>-8.9</v>
      </c>
      <c r="D3">
        <v>78.099999999999994</v>
      </c>
      <c r="E3">
        <v>18</v>
      </c>
      <c r="F3">
        <v>1.5599999999999999E-2</v>
      </c>
      <c r="G3">
        <v>5.9700000000000003E-2</v>
      </c>
      <c r="H3">
        <v>-6.9</v>
      </c>
      <c r="I3">
        <v>7.4</v>
      </c>
      <c r="J3">
        <v>3.1E-2</v>
      </c>
      <c r="K3">
        <v>1.25</v>
      </c>
      <c r="L3">
        <v>5.0000000000000001E-3</v>
      </c>
      <c r="M3">
        <v>11.7</v>
      </c>
      <c r="N3">
        <v>0.11600000000000001</v>
      </c>
      <c r="O3">
        <v>2.85</v>
      </c>
    </row>
    <row r="4" spans="1:15" x14ac:dyDescent="0.2">
      <c r="A4" t="s">
        <v>388</v>
      </c>
      <c r="B4">
        <v>134.37</v>
      </c>
      <c r="C4">
        <v>-7.8</v>
      </c>
      <c r="D4">
        <v>62.5</v>
      </c>
      <c r="E4">
        <v>168</v>
      </c>
      <c r="F4">
        <v>8.0000000000000002E-3</v>
      </c>
      <c r="G4">
        <v>3.1E-2</v>
      </c>
      <c r="H4">
        <v>-4.9000000000000004</v>
      </c>
      <c r="I4">
        <v>10</v>
      </c>
      <c r="J4">
        <v>4.1200000000000001E-2</v>
      </c>
      <c r="K4">
        <v>3</v>
      </c>
      <c r="L4">
        <v>0.03</v>
      </c>
      <c r="M4">
        <v>11.4</v>
      </c>
      <c r="N4">
        <v>0.114</v>
      </c>
      <c r="O4">
        <v>44.23</v>
      </c>
    </row>
    <row r="5" spans="1:15" x14ac:dyDescent="0.2">
      <c r="A5" t="s">
        <v>389</v>
      </c>
      <c r="B5">
        <v>456.04</v>
      </c>
      <c r="C5">
        <v>12.4</v>
      </c>
      <c r="D5">
        <v>85</v>
      </c>
      <c r="E5">
        <v>73</v>
      </c>
      <c r="F5">
        <v>4.2999999999999997E-2</v>
      </c>
      <c r="G5">
        <v>2.5999999999999999E-2</v>
      </c>
      <c r="H5">
        <v>-2.2999999999999998</v>
      </c>
      <c r="I5">
        <v>22.96</v>
      </c>
      <c r="J5">
        <v>0.26979999999999998</v>
      </c>
      <c r="K5">
        <v>20</v>
      </c>
      <c r="L5">
        <v>0.2</v>
      </c>
      <c r="M5">
        <v>32.9</v>
      </c>
      <c r="N5">
        <v>0.34100000000000003</v>
      </c>
      <c r="O5">
        <v>33</v>
      </c>
    </row>
    <row r="6" spans="1:15" x14ac:dyDescent="0.2">
      <c r="A6" t="s">
        <v>390</v>
      </c>
      <c r="B6">
        <v>96.12</v>
      </c>
      <c r="C6">
        <v>1</v>
      </c>
      <c r="D6">
        <v>80.5</v>
      </c>
      <c r="E6">
        <v>491</v>
      </c>
      <c r="F6">
        <v>9.0000000000000011E-3</v>
      </c>
      <c r="G6">
        <v>0.06</v>
      </c>
      <c r="H6">
        <v>-4.5</v>
      </c>
      <c r="I6">
        <v>64</v>
      </c>
      <c r="J6">
        <v>0.51200000000000001</v>
      </c>
      <c r="K6">
        <v>52</v>
      </c>
      <c r="L6">
        <v>0.38</v>
      </c>
      <c r="M6">
        <v>7</v>
      </c>
      <c r="N6">
        <v>8.199999999999999E-2</v>
      </c>
      <c r="O6">
        <v>45.81</v>
      </c>
    </row>
    <row r="7" spans="1:15" x14ac:dyDescent="0.2">
      <c r="A7" t="s">
        <v>391</v>
      </c>
      <c r="B7">
        <v>495.16</v>
      </c>
      <c r="C7">
        <v>-2.5</v>
      </c>
      <c r="D7">
        <v>62.79</v>
      </c>
      <c r="E7">
        <v>14</v>
      </c>
      <c r="G7">
        <v>8.5999999999999993E-2</v>
      </c>
      <c r="H7">
        <v>-4</v>
      </c>
      <c r="I7">
        <v>10.3</v>
      </c>
      <c r="J7">
        <v>9.6000000000000002E-2</v>
      </c>
      <c r="K7">
        <v>9.25</v>
      </c>
      <c r="L7">
        <v>7.7499999999999999E-2</v>
      </c>
      <c r="M7">
        <v>14.8</v>
      </c>
      <c r="N7">
        <v>0.15</v>
      </c>
      <c r="O7">
        <v>2.96</v>
      </c>
    </row>
    <row r="8" spans="1:15" x14ac:dyDescent="0.2">
      <c r="A8" t="s">
        <v>392</v>
      </c>
      <c r="B8">
        <v>0.68</v>
      </c>
      <c r="C8">
        <v>1.3</v>
      </c>
      <c r="D8">
        <v>24.8</v>
      </c>
      <c r="E8">
        <v>1543</v>
      </c>
      <c r="F8">
        <v>8.0000000000000002E-3</v>
      </c>
      <c r="G8">
        <v>3.3000000000000002E-2</v>
      </c>
      <c r="H8">
        <v>-7.8</v>
      </c>
      <c r="I8">
        <v>5.0999999999999996</v>
      </c>
      <c r="J8">
        <v>0.03</v>
      </c>
      <c r="K8">
        <v>1.35</v>
      </c>
      <c r="L8">
        <v>1E-3</v>
      </c>
      <c r="M8">
        <v>3.5</v>
      </c>
      <c r="N8">
        <v>4.5999999999999999E-2</v>
      </c>
      <c r="O8">
        <v>25.77</v>
      </c>
    </row>
    <row r="9" spans="1:15" x14ac:dyDescent="0.2">
      <c r="A9" t="s">
        <v>393</v>
      </c>
      <c r="B9">
        <v>1.1100000000000001</v>
      </c>
      <c r="C9">
        <v>2.5</v>
      </c>
      <c r="D9">
        <v>82.8</v>
      </c>
      <c r="E9">
        <v>477</v>
      </c>
      <c r="F9">
        <v>1.4999999999999999E-2</v>
      </c>
      <c r="G9">
        <v>9.5000000000000001E-2</v>
      </c>
      <c r="H9">
        <v>-5.9</v>
      </c>
      <c r="I9">
        <v>8.6999999999999993</v>
      </c>
      <c r="J9">
        <v>4.2999999999999997E-2</v>
      </c>
      <c r="K9">
        <v>0</v>
      </c>
      <c r="L9">
        <v>0</v>
      </c>
      <c r="M9">
        <v>5.5</v>
      </c>
      <c r="N9">
        <v>7.0000000000000007E-2</v>
      </c>
      <c r="O9">
        <v>8.9</v>
      </c>
    </row>
    <row r="10" spans="1:15" x14ac:dyDescent="0.2">
      <c r="A10" t="s">
        <v>394</v>
      </c>
      <c r="B10">
        <v>1.7</v>
      </c>
      <c r="C10">
        <v>15.2</v>
      </c>
      <c r="D10">
        <v>18.2</v>
      </c>
      <c r="E10">
        <v>55</v>
      </c>
      <c r="G10">
        <v>6.8000000000000005E-2</v>
      </c>
      <c r="H10">
        <v>-1.1000000000000001</v>
      </c>
      <c r="I10">
        <v>12.6</v>
      </c>
      <c r="J10">
        <v>6.2E-2</v>
      </c>
      <c r="K10">
        <v>7.75</v>
      </c>
      <c r="L10">
        <v>7.2499999999999995E-2</v>
      </c>
      <c r="M10">
        <v>6</v>
      </c>
      <c r="N10">
        <v>6.2699999999999992E-2</v>
      </c>
      <c r="O10">
        <v>10.16</v>
      </c>
    </row>
    <row r="11" spans="1:15" x14ac:dyDescent="0.2">
      <c r="A11" t="s">
        <v>395</v>
      </c>
      <c r="B11">
        <v>1</v>
      </c>
      <c r="C11">
        <v>-20.9</v>
      </c>
      <c r="D11">
        <v>83.8</v>
      </c>
      <c r="E11">
        <v>11</v>
      </c>
      <c r="G11">
        <v>0.02</v>
      </c>
      <c r="H11">
        <v>-13.3</v>
      </c>
      <c r="I11">
        <v>4.0999999999999996</v>
      </c>
      <c r="J11">
        <v>2.7E-2</v>
      </c>
      <c r="K11">
        <v>4</v>
      </c>
      <c r="L11">
        <v>0.04</v>
      </c>
      <c r="M11">
        <v>25.6</v>
      </c>
      <c r="N11">
        <v>0.25600000000000001</v>
      </c>
      <c r="O11">
        <v>0.4</v>
      </c>
    </row>
    <row r="12" spans="1:15" x14ac:dyDescent="0.2">
      <c r="A12" t="s">
        <v>396</v>
      </c>
      <c r="B12">
        <v>0.38</v>
      </c>
      <c r="C12">
        <v>-2.1</v>
      </c>
      <c r="D12">
        <v>128.30000000000001</v>
      </c>
      <c r="E12">
        <v>39</v>
      </c>
      <c r="F12">
        <v>4.7999999999999996E-3</v>
      </c>
      <c r="G12">
        <v>5.5E-2</v>
      </c>
      <c r="H12">
        <v>-35</v>
      </c>
      <c r="I12">
        <v>3.5</v>
      </c>
      <c r="J12">
        <v>6.9999999999999993E-3</v>
      </c>
      <c r="K12">
        <v>2.5</v>
      </c>
      <c r="L12">
        <v>0.01</v>
      </c>
      <c r="M12">
        <v>4.9000000000000004</v>
      </c>
      <c r="N12">
        <v>4.9000000000000002E-2</v>
      </c>
      <c r="O12">
        <v>1.7</v>
      </c>
    </row>
    <row r="13" spans="1:15" x14ac:dyDescent="0.2">
      <c r="A13" t="s">
        <v>397</v>
      </c>
      <c r="B13">
        <v>84.8</v>
      </c>
      <c r="C13">
        <v>-1</v>
      </c>
      <c r="D13">
        <v>31.7</v>
      </c>
      <c r="E13">
        <v>416</v>
      </c>
      <c r="F13">
        <v>5.4699999999999999E-2</v>
      </c>
      <c r="G13">
        <v>5.4699999999999999E-2</v>
      </c>
      <c r="H13">
        <v>-5.35</v>
      </c>
      <c r="I13">
        <v>7.42</v>
      </c>
      <c r="J13">
        <v>5.7000000000000002E-2</v>
      </c>
      <c r="K13">
        <v>4.75</v>
      </c>
      <c r="L13">
        <v>4.7500000000000001E-2</v>
      </c>
      <c r="M13">
        <v>5.3</v>
      </c>
      <c r="N13">
        <v>5.2999999999999999E-2</v>
      </c>
      <c r="O13">
        <v>165</v>
      </c>
    </row>
    <row r="14" spans="1:15" x14ac:dyDescent="0.2">
      <c r="A14" t="s">
        <v>398</v>
      </c>
      <c r="B14">
        <v>2.57</v>
      </c>
      <c r="C14">
        <v>-0.4</v>
      </c>
      <c r="D14">
        <v>33.5</v>
      </c>
      <c r="E14">
        <v>68</v>
      </c>
      <c r="G14">
        <v>-4.0000000000000001E-3</v>
      </c>
      <c r="H14">
        <v>-0.3</v>
      </c>
      <c r="I14">
        <v>17.600000000000001</v>
      </c>
      <c r="J14">
        <v>0.10299999999999999</v>
      </c>
      <c r="K14">
        <v>12</v>
      </c>
      <c r="L14">
        <v>9.2499999999999999E-2</v>
      </c>
      <c r="M14">
        <v>3.9</v>
      </c>
      <c r="N14">
        <v>2E-3</v>
      </c>
      <c r="O14">
        <v>9.25</v>
      </c>
    </row>
    <row r="15" spans="1:15" x14ac:dyDescent="0.2">
      <c r="A15" t="s">
        <v>399</v>
      </c>
      <c r="B15">
        <v>1.1100000000000001</v>
      </c>
      <c r="C15">
        <v>-0.2</v>
      </c>
      <c r="D15">
        <v>108.2</v>
      </c>
      <c r="E15">
        <v>600</v>
      </c>
      <c r="F15">
        <v>5.0000000000000001E-3</v>
      </c>
      <c r="G15">
        <v>4.9000000000000002E-2</v>
      </c>
      <c r="H15">
        <v>-5.5</v>
      </c>
      <c r="I15">
        <v>9.65</v>
      </c>
      <c r="J15">
        <v>5.6399999999999999E-2</v>
      </c>
      <c r="K15">
        <v>0</v>
      </c>
      <c r="L15">
        <v>0</v>
      </c>
      <c r="M15">
        <v>5.5</v>
      </c>
      <c r="N15">
        <v>6.3E-2</v>
      </c>
      <c r="O15">
        <v>11.52</v>
      </c>
    </row>
    <row r="16" spans="1:15" x14ac:dyDescent="0.2">
      <c r="A16" t="s">
        <v>400</v>
      </c>
      <c r="B16">
        <v>588.96</v>
      </c>
      <c r="C16">
        <v>-4.5</v>
      </c>
      <c r="D16">
        <v>47.2</v>
      </c>
      <c r="E16">
        <v>18</v>
      </c>
      <c r="G16">
        <v>6.7000000000000004E-2</v>
      </c>
      <c r="H16">
        <v>-6.1</v>
      </c>
      <c r="I16">
        <v>2</v>
      </c>
      <c r="J16">
        <v>2.5000000000000001E-2</v>
      </c>
      <c r="K16">
        <v>4</v>
      </c>
      <c r="L16">
        <v>0.04</v>
      </c>
      <c r="M16">
        <v>1.6</v>
      </c>
      <c r="N16">
        <v>2.5000000000000001E-2</v>
      </c>
      <c r="O16">
        <v>12.11</v>
      </c>
    </row>
    <row r="17" spans="1:15" x14ac:dyDescent="0.2">
      <c r="A17" t="s">
        <v>401</v>
      </c>
      <c r="B17">
        <v>71.010000000000005</v>
      </c>
      <c r="C17">
        <v>-12.7</v>
      </c>
      <c r="D17">
        <v>134.94</v>
      </c>
      <c r="E17">
        <v>2</v>
      </c>
      <c r="G17">
        <v>-0.1008</v>
      </c>
      <c r="H17">
        <v>-6.3</v>
      </c>
      <c r="I17">
        <v>5.79</v>
      </c>
      <c r="J17">
        <v>4.9699999999999987E-2</v>
      </c>
      <c r="K17">
        <v>7.16</v>
      </c>
      <c r="L17">
        <v>7.1399999999999991E-2</v>
      </c>
      <c r="M17">
        <v>5</v>
      </c>
      <c r="N17">
        <v>0.05</v>
      </c>
      <c r="O17">
        <v>0.77</v>
      </c>
    </row>
    <row r="18" spans="1:15" x14ac:dyDescent="0.2">
      <c r="A18" t="s">
        <v>402</v>
      </c>
      <c r="B18">
        <v>6.83</v>
      </c>
      <c r="C18">
        <v>-0.5</v>
      </c>
      <c r="D18">
        <v>67.3</v>
      </c>
      <c r="E18">
        <v>40</v>
      </c>
      <c r="F18">
        <v>0.1404</v>
      </c>
      <c r="G18">
        <v>2.3E-3</v>
      </c>
      <c r="H18">
        <v>-9.5</v>
      </c>
      <c r="I18">
        <v>1.41</v>
      </c>
      <c r="J18">
        <v>9.5999999999999992E-3</v>
      </c>
      <c r="K18">
        <v>3.9</v>
      </c>
      <c r="L18">
        <v>3.85E-2</v>
      </c>
      <c r="M18">
        <v>6.9</v>
      </c>
      <c r="N18">
        <v>5.5999999999999987E-2</v>
      </c>
      <c r="O18">
        <v>11.83</v>
      </c>
    </row>
    <row r="19" spans="1:15" x14ac:dyDescent="0.2">
      <c r="A19" t="s">
        <v>403</v>
      </c>
      <c r="B19">
        <v>1.77</v>
      </c>
      <c r="C19">
        <v>-3.1</v>
      </c>
      <c r="D19">
        <v>24.8</v>
      </c>
      <c r="E19">
        <v>23</v>
      </c>
      <c r="F19">
        <v>1.4999999999999999E-2</v>
      </c>
      <c r="G19">
        <v>5.5E-2</v>
      </c>
      <c r="H19">
        <v>-5.3</v>
      </c>
      <c r="I19">
        <v>14.4</v>
      </c>
      <c r="J19">
        <v>4.2999999999999997E-2</v>
      </c>
      <c r="K19">
        <v>2.94</v>
      </c>
      <c r="L19">
        <v>3.44E-2</v>
      </c>
      <c r="M19">
        <v>30.26</v>
      </c>
      <c r="N19">
        <v>0.31730000000000003</v>
      </c>
      <c r="O19">
        <v>3.28</v>
      </c>
    </row>
    <row r="20" spans="1:15" x14ac:dyDescent="0.2">
      <c r="A20" t="s">
        <v>404</v>
      </c>
      <c r="B20">
        <v>11.03</v>
      </c>
      <c r="C20">
        <v>-1.9</v>
      </c>
      <c r="D20">
        <v>18.2</v>
      </c>
      <c r="E20">
        <v>18</v>
      </c>
      <c r="F20">
        <v>6.5000000000000002E-2</v>
      </c>
      <c r="G20">
        <v>7.0000000000000007E-2</v>
      </c>
      <c r="H20">
        <v>-5.0999999999999996</v>
      </c>
      <c r="I20">
        <v>12.7</v>
      </c>
      <c r="J20">
        <v>8.5999999999999993E-2</v>
      </c>
      <c r="K20">
        <v>2.15</v>
      </c>
      <c r="L20">
        <v>3.7499999999999999E-2</v>
      </c>
      <c r="M20">
        <v>23.3</v>
      </c>
      <c r="N20">
        <v>0.23300000000000001</v>
      </c>
      <c r="O20">
        <v>2.41</v>
      </c>
    </row>
    <row r="21" spans="1:15" x14ac:dyDescent="0.2">
      <c r="A21" t="s">
        <v>405</v>
      </c>
      <c r="B21">
        <v>5.69</v>
      </c>
      <c r="C21">
        <v>-1.8</v>
      </c>
      <c r="D21">
        <v>88.83</v>
      </c>
      <c r="E21">
        <v>1609</v>
      </c>
      <c r="F21">
        <v>0.01</v>
      </c>
      <c r="G21">
        <v>1.7000000000000001E-2</v>
      </c>
      <c r="H21">
        <v>-4.5</v>
      </c>
      <c r="I21">
        <v>11.89</v>
      </c>
      <c r="J21">
        <v>0.1074</v>
      </c>
      <c r="K21">
        <v>13.25</v>
      </c>
      <c r="L21">
        <v>9.2499999999999999E-2</v>
      </c>
      <c r="M21">
        <v>9.8000000000000007</v>
      </c>
      <c r="N21">
        <v>0.126</v>
      </c>
      <c r="O21">
        <v>213.32</v>
      </c>
    </row>
    <row r="22" spans="1:15" x14ac:dyDescent="0.2">
      <c r="A22" t="s">
        <v>406</v>
      </c>
      <c r="B22">
        <v>1.35</v>
      </c>
      <c r="C22">
        <v>1</v>
      </c>
      <c r="D22">
        <v>3.2</v>
      </c>
      <c r="E22">
        <v>14</v>
      </c>
      <c r="G22">
        <v>-1.4E-2</v>
      </c>
      <c r="H22">
        <v>-2.7</v>
      </c>
      <c r="I22">
        <v>3.8</v>
      </c>
      <c r="J22">
        <v>2.1999999999999999E-2</v>
      </c>
      <c r="K22">
        <v>5.5</v>
      </c>
      <c r="L22">
        <v>5.5E-2</v>
      </c>
      <c r="M22">
        <v>7.4</v>
      </c>
      <c r="N22">
        <v>8.4000000000000005E-2</v>
      </c>
      <c r="O22">
        <v>0.45</v>
      </c>
    </row>
    <row r="23" spans="1:15" x14ac:dyDescent="0.2">
      <c r="A23" t="s">
        <v>407</v>
      </c>
      <c r="B23">
        <v>1.66</v>
      </c>
      <c r="C23">
        <v>-0.7</v>
      </c>
      <c r="D23">
        <v>21.1</v>
      </c>
      <c r="E23">
        <v>80</v>
      </c>
      <c r="F23">
        <v>8.3999999999999995E-3</v>
      </c>
      <c r="G23">
        <v>0.04</v>
      </c>
      <c r="H23">
        <v>-4.0999999999999996</v>
      </c>
      <c r="I23">
        <v>16.899999999999999</v>
      </c>
      <c r="J23">
        <v>7.2999999999999995E-2</v>
      </c>
      <c r="K23">
        <v>0</v>
      </c>
      <c r="L23">
        <v>0</v>
      </c>
      <c r="M23">
        <v>4.2</v>
      </c>
      <c r="N23">
        <v>4.7E-2</v>
      </c>
      <c r="O23">
        <v>6.95</v>
      </c>
    </row>
    <row r="24" spans="1:15" x14ac:dyDescent="0.2">
      <c r="A24" t="s">
        <v>408</v>
      </c>
      <c r="B24">
        <v>588.96</v>
      </c>
      <c r="C24">
        <v>5.2</v>
      </c>
      <c r="D24">
        <v>51</v>
      </c>
      <c r="E24">
        <v>20</v>
      </c>
      <c r="G24">
        <v>-2.7E-2</v>
      </c>
      <c r="H24">
        <v>-5.6</v>
      </c>
      <c r="I24">
        <v>15.3</v>
      </c>
      <c r="J24">
        <v>3.9E-2</v>
      </c>
      <c r="K24">
        <v>4</v>
      </c>
      <c r="L24">
        <v>0.04</v>
      </c>
      <c r="M24">
        <v>4.8</v>
      </c>
      <c r="N24">
        <v>0.05</v>
      </c>
      <c r="O24">
        <v>21.51</v>
      </c>
    </row>
    <row r="25" spans="1:15" x14ac:dyDescent="0.2">
      <c r="A25" t="s">
        <v>409</v>
      </c>
      <c r="B25">
        <v>1877.75</v>
      </c>
      <c r="C25">
        <v>-15</v>
      </c>
      <c r="D25">
        <v>15.9</v>
      </c>
      <c r="E25">
        <v>3</v>
      </c>
      <c r="G25">
        <v>2.1999999999999999E-2</v>
      </c>
      <c r="H25">
        <v>-4.5</v>
      </c>
      <c r="I25">
        <v>18.57</v>
      </c>
      <c r="J25">
        <v>9.8699999999999996E-2</v>
      </c>
      <c r="K25">
        <v>6.9</v>
      </c>
      <c r="L25">
        <v>7.0599999999999996E-2</v>
      </c>
      <c r="M25">
        <v>1.8</v>
      </c>
      <c r="N25">
        <v>8.0000000000000002E-3</v>
      </c>
      <c r="O25">
        <v>11.89</v>
      </c>
    </row>
    <row r="26" spans="1:15" x14ac:dyDescent="0.2">
      <c r="A26" t="s">
        <v>410</v>
      </c>
      <c r="B26">
        <v>4061</v>
      </c>
      <c r="C26">
        <v>-11.9</v>
      </c>
      <c r="D26">
        <v>31.5</v>
      </c>
      <c r="E26">
        <v>27</v>
      </c>
      <c r="G26">
        <v>-3.1E-2</v>
      </c>
      <c r="H26">
        <v>-2.6</v>
      </c>
      <c r="I26">
        <v>7.2</v>
      </c>
      <c r="J26">
        <v>2.9600000000000001E-2</v>
      </c>
      <c r="K26">
        <v>1.02</v>
      </c>
      <c r="L26">
        <v>8.8999999999999999E-3</v>
      </c>
      <c r="M26">
        <v>0.31</v>
      </c>
      <c r="N26">
        <v>3.0999999999999999E-3</v>
      </c>
      <c r="O26">
        <v>16.71</v>
      </c>
    </row>
    <row r="27" spans="1:15" x14ac:dyDescent="0.2">
      <c r="A27" t="s">
        <v>411</v>
      </c>
      <c r="B27">
        <v>551.32000000000005</v>
      </c>
      <c r="C27">
        <v>-4.0999999999999996</v>
      </c>
      <c r="D27">
        <v>46</v>
      </c>
      <c r="E27">
        <v>45</v>
      </c>
      <c r="F27">
        <v>2.7E-2</v>
      </c>
      <c r="G27">
        <v>0.04</v>
      </c>
      <c r="H27">
        <v>-3.1</v>
      </c>
      <c r="I27">
        <v>4.6100000000000003</v>
      </c>
      <c r="J27">
        <v>2.3900000000000001E-2</v>
      </c>
      <c r="K27">
        <v>4</v>
      </c>
      <c r="L27">
        <v>3.2500000000000001E-2</v>
      </c>
      <c r="M27">
        <v>3.9</v>
      </c>
      <c r="N27">
        <v>3.5999999999999997E-2</v>
      </c>
      <c r="O27">
        <v>26.54</v>
      </c>
    </row>
    <row r="28" spans="1:15" x14ac:dyDescent="0.2">
      <c r="A28" t="s">
        <v>412</v>
      </c>
      <c r="B28">
        <v>1.33</v>
      </c>
      <c r="C28">
        <v>0.1</v>
      </c>
      <c r="D28">
        <v>117.8</v>
      </c>
      <c r="E28">
        <v>1991</v>
      </c>
      <c r="F28">
        <v>8.0000000000000002E-3</v>
      </c>
      <c r="G28">
        <v>2.9000000000000001E-2</v>
      </c>
      <c r="H28">
        <v>-4.7</v>
      </c>
      <c r="I28">
        <v>7.7</v>
      </c>
      <c r="J28">
        <v>4.7E-2</v>
      </c>
      <c r="K28">
        <v>2.5</v>
      </c>
      <c r="L28">
        <v>2.5000000000000001E-3</v>
      </c>
      <c r="M28">
        <v>4.9000000000000004</v>
      </c>
      <c r="N28">
        <v>0.06</v>
      </c>
      <c r="O28">
        <v>38.44</v>
      </c>
    </row>
    <row r="29" spans="1:15" x14ac:dyDescent="0.2">
      <c r="A29" t="s">
        <v>413</v>
      </c>
      <c r="B29">
        <v>99.94</v>
      </c>
      <c r="C29">
        <v>-11</v>
      </c>
      <c r="D29">
        <v>157</v>
      </c>
      <c r="E29">
        <v>2</v>
      </c>
      <c r="F29">
        <v>0.13500000000000001</v>
      </c>
      <c r="G29">
        <v>0.16800000000000001</v>
      </c>
      <c r="H29">
        <v>-7.6</v>
      </c>
      <c r="I29">
        <v>7.8</v>
      </c>
      <c r="J29">
        <v>4.8000000000000001E-2</v>
      </c>
      <c r="K29">
        <v>0.25</v>
      </c>
      <c r="L29">
        <v>2.5000000000000001E-3</v>
      </c>
      <c r="M29">
        <v>14.5</v>
      </c>
      <c r="N29">
        <v>0.14499999999999999</v>
      </c>
      <c r="O29">
        <v>0.56000000000000005</v>
      </c>
    </row>
    <row r="30" spans="1:15" x14ac:dyDescent="0.2">
      <c r="A30" t="s">
        <v>414</v>
      </c>
      <c r="B30">
        <v>0.82</v>
      </c>
      <c r="C30">
        <v>-18</v>
      </c>
      <c r="D30">
        <v>5.3</v>
      </c>
      <c r="E30">
        <v>6</v>
      </c>
      <c r="G30">
        <v>3.2000000000000001E-2</v>
      </c>
      <c r="H30">
        <v>-2.2000000000000002</v>
      </c>
      <c r="I30">
        <v>11.2</v>
      </c>
      <c r="J30">
        <v>-0.01</v>
      </c>
      <c r="M30">
        <v>5.7</v>
      </c>
      <c r="N30">
        <v>5.1999999999999998E-2</v>
      </c>
      <c r="O30">
        <v>7.0000000000000007E-2</v>
      </c>
    </row>
    <row r="31" spans="1:15" x14ac:dyDescent="0.2">
      <c r="A31" t="s">
        <v>415</v>
      </c>
      <c r="B31">
        <v>551.32000000000005</v>
      </c>
      <c r="C31">
        <v>-9.6</v>
      </c>
      <c r="D31">
        <v>47.6</v>
      </c>
      <c r="E31">
        <v>3</v>
      </c>
      <c r="G31">
        <v>9.0000000000000011E-3</v>
      </c>
      <c r="H31">
        <v>-5.7</v>
      </c>
      <c r="I31">
        <v>2.7</v>
      </c>
      <c r="J31">
        <v>4.7800000000000002E-2</v>
      </c>
      <c r="K31">
        <v>4</v>
      </c>
      <c r="L31">
        <v>3.2500000000000001E-2</v>
      </c>
      <c r="M31">
        <v>6.6</v>
      </c>
      <c r="N31">
        <v>4.2999999999999997E-2</v>
      </c>
      <c r="O31">
        <v>4.83</v>
      </c>
    </row>
    <row r="32" spans="1:15" x14ac:dyDescent="0.2">
      <c r="A32" t="s">
        <v>416</v>
      </c>
      <c r="B32">
        <v>551.32000000000005</v>
      </c>
      <c r="C32">
        <v>-10.9</v>
      </c>
      <c r="D32">
        <v>58.2</v>
      </c>
      <c r="E32">
        <v>12</v>
      </c>
      <c r="G32">
        <v>-1.2E-2</v>
      </c>
      <c r="H32">
        <v>-0.2</v>
      </c>
      <c r="I32">
        <v>3.5</v>
      </c>
      <c r="J32">
        <v>-9.0000000000000011E-3</v>
      </c>
      <c r="K32">
        <v>4</v>
      </c>
      <c r="L32">
        <v>3.2500000000000001E-2</v>
      </c>
      <c r="M32">
        <v>1.9</v>
      </c>
      <c r="N32">
        <v>2.3E-2</v>
      </c>
      <c r="O32">
        <v>16.420000000000002</v>
      </c>
    </row>
    <row r="33" spans="1:15" x14ac:dyDescent="0.2">
      <c r="A33" t="s">
        <v>417</v>
      </c>
      <c r="B33">
        <v>749.27</v>
      </c>
      <c r="C33">
        <v>1.4</v>
      </c>
      <c r="D33">
        <v>33</v>
      </c>
      <c r="E33">
        <v>317</v>
      </c>
      <c r="F33">
        <v>-8.0000000000000002E-3</v>
      </c>
      <c r="G33">
        <v>7.2000000000000008E-2</v>
      </c>
      <c r="H33">
        <v>-7.5</v>
      </c>
      <c r="I33">
        <v>12.5</v>
      </c>
      <c r="J33">
        <v>6.7000000000000004E-2</v>
      </c>
      <c r="K33">
        <v>9.75</v>
      </c>
      <c r="L33">
        <v>0.04</v>
      </c>
      <c r="M33">
        <v>7.8</v>
      </c>
      <c r="N33">
        <v>8.1000000000000003E-2</v>
      </c>
      <c r="O33">
        <v>19.690000000000001</v>
      </c>
    </row>
    <row r="34" spans="1:15" x14ac:dyDescent="0.2">
      <c r="A34" t="s">
        <v>418</v>
      </c>
      <c r="B34">
        <v>6.37</v>
      </c>
      <c r="C34">
        <v>1.8</v>
      </c>
      <c r="D34">
        <v>66.8</v>
      </c>
      <c r="E34">
        <v>17734</v>
      </c>
      <c r="F34">
        <v>-2.5999999999999999E-2</v>
      </c>
      <c r="G34">
        <v>4.0000000000000001E-3</v>
      </c>
      <c r="H34">
        <v>-3.7</v>
      </c>
      <c r="I34">
        <v>2.5</v>
      </c>
      <c r="J34">
        <v>2.3E-2</v>
      </c>
      <c r="K34">
        <v>3.7</v>
      </c>
      <c r="L34">
        <v>3.7999999999999999E-2</v>
      </c>
      <c r="M34">
        <v>5.5</v>
      </c>
      <c r="N34">
        <v>0.05</v>
      </c>
      <c r="O34">
        <v>1412.6</v>
      </c>
    </row>
    <row r="35" spans="1:15" x14ac:dyDescent="0.2">
      <c r="A35" t="s">
        <v>419</v>
      </c>
      <c r="B35">
        <v>3354</v>
      </c>
      <c r="C35">
        <v>-5.7</v>
      </c>
      <c r="D35">
        <v>64.5</v>
      </c>
      <c r="E35">
        <v>314</v>
      </c>
      <c r="F35">
        <v>0.01</v>
      </c>
      <c r="G35">
        <v>8.5000000000000006E-2</v>
      </c>
      <c r="H35">
        <v>-7.1</v>
      </c>
      <c r="I35">
        <v>9.67</v>
      </c>
      <c r="J35">
        <v>5.2600000000000001E-2</v>
      </c>
      <c r="K35">
        <v>7.5</v>
      </c>
      <c r="L35">
        <v>0.03</v>
      </c>
      <c r="M35">
        <v>10.6</v>
      </c>
      <c r="N35">
        <v>0.11799999999999999</v>
      </c>
      <c r="O35">
        <v>51.41</v>
      </c>
    </row>
    <row r="36" spans="1:15" x14ac:dyDescent="0.2">
      <c r="A36" t="s">
        <v>420</v>
      </c>
      <c r="B36">
        <v>417.02</v>
      </c>
      <c r="C36">
        <v>-3.3</v>
      </c>
      <c r="D36">
        <v>31.1</v>
      </c>
      <c r="E36">
        <v>1</v>
      </c>
      <c r="G36">
        <v>2.1999999999999999E-2</v>
      </c>
      <c r="H36">
        <v>-2.9</v>
      </c>
      <c r="I36">
        <v>3.59</v>
      </c>
      <c r="J36">
        <v>-2.46E-2</v>
      </c>
      <c r="K36">
        <v>0.92</v>
      </c>
      <c r="L36">
        <v>9.3999999999999986E-3</v>
      </c>
      <c r="M36">
        <v>9.4</v>
      </c>
      <c r="N36">
        <v>8.4000000000000005E-2</v>
      </c>
      <c r="O36">
        <v>0.87</v>
      </c>
    </row>
    <row r="37" spans="1:15" x14ac:dyDescent="0.2">
      <c r="A37" t="s">
        <v>421</v>
      </c>
      <c r="B37">
        <v>1666.65</v>
      </c>
      <c r="C37">
        <v>-0.5</v>
      </c>
      <c r="D37">
        <v>12.7</v>
      </c>
      <c r="E37">
        <v>54</v>
      </c>
      <c r="G37">
        <v>5.7000000000000002E-2</v>
      </c>
      <c r="H37">
        <v>-1.6</v>
      </c>
      <c r="I37">
        <v>7.07</v>
      </c>
      <c r="J37">
        <v>4.9200000000000001E-2</v>
      </c>
      <c r="K37">
        <v>7.5</v>
      </c>
      <c r="L37">
        <v>8.5000000000000006E-2</v>
      </c>
      <c r="M37">
        <v>46.1</v>
      </c>
      <c r="N37">
        <v>0.46100000000000002</v>
      </c>
      <c r="O37">
        <v>92.08</v>
      </c>
    </row>
    <row r="38" spans="1:15" x14ac:dyDescent="0.2">
      <c r="A38" t="s">
        <v>422</v>
      </c>
      <c r="B38">
        <v>566.57000000000005</v>
      </c>
      <c r="C38">
        <v>-2.4</v>
      </c>
      <c r="D38">
        <v>79.260000000000005</v>
      </c>
      <c r="E38">
        <v>64</v>
      </c>
      <c r="F38">
        <v>-5.0000000000000001E-3</v>
      </c>
      <c r="G38">
        <v>6.9000000000000006E-2</v>
      </c>
      <c r="H38">
        <v>-5</v>
      </c>
      <c r="I38">
        <v>10.06</v>
      </c>
      <c r="J38">
        <v>3.3500000000000002E-2</v>
      </c>
      <c r="K38">
        <v>4</v>
      </c>
      <c r="L38">
        <v>7.4999999999999997E-3</v>
      </c>
      <c r="M38">
        <v>14</v>
      </c>
      <c r="N38">
        <v>0.153</v>
      </c>
      <c r="O38">
        <v>5.21</v>
      </c>
    </row>
    <row r="39" spans="1:15" x14ac:dyDescent="0.2">
      <c r="A39" t="s">
        <v>423</v>
      </c>
      <c r="B39">
        <v>6.68</v>
      </c>
      <c r="C39">
        <v>-0.3</v>
      </c>
      <c r="D39">
        <v>79.8</v>
      </c>
      <c r="E39">
        <v>68</v>
      </c>
      <c r="F39">
        <v>-1E-3</v>
      </c>
      <c r="G39">
        <v>7.0000000000000007E-2</v>
      </c>
      <c r="H39">
        <v>-2.9</v>
      </c>
      <c r="I39">
        <v>12.1</v>
      </c>
      <c r="J39">
        <v>4.8000000000000001E-2</v>
      </c>
      <c r="K39">
        <v>2.5</v>
      </c>
      <c r="L39">
        <v>2.5000000000000001E-2</v>
      </c>
      <c r="M39">
        <v>6.5</v>
      </c>
      <c r="N39">
        <v>7.400000000000001E-2</v>
      </c>
      <c r="O39">
        <v>4.0599999999999996</v>
      </c>
    </row>
    <row r="40" spans="1:15" x14ac:dyDescent="0.2">
      <c r="A40" t="s">
        <v>424</v>
      </c>
      <c r="B40">
        <v>1</v>
      </c>
      <c r="C40">
        <v>0.2</v>
      </c>
      <c r="D40">
        <v>18.399999999999999</v>
      </c>
      <c r="E40">
        <v>107</v>
      </c>
      <c r="G40">
        <v>2.4E-2</v>
      </c>
      <c r="H40">
        <v>-17.7</v>
      </c>
      <c r="I40">
        <v>23.69</v>
      </c>
      <c r="J40">
        <v>4.2000000000000003E-2</v>
      </c>
      <c r="K40">
        <v>2.25</v>
      </c>
      <c r="L40">
        <v>2.2499999999999999E-2</v>
      </c>
      <c r="M40">
        <v>3.87</v>
      </c>
      <c r="N40">
        <v>3.8699999999999998E-2</v>
      </c>
      <c r="O40">
        <v>11.35</v>
      </c>
    </row>
    <row r="41" spans="1:15" x14ac:dyDescent="0.2">
      <c r="A41" t="s">
        <v>425</v>
      </c>
      <c r="B41">
        <v>1.1100000000000001</v>
      </c>
      <c r="C41">
        <v>-11.9</v>
      </c>
      <c r="D41">
        <v>103.6</v>
      </c>
      <c r="E41">
        <v>28</v>
      </c>
      <c r="F41">
        <v>0.01</v>
      </c>
      <c r="G41">
        <v>5.5999999999999987E-2</v>
      </c>
      <c r="H41">
        <v>-1.7</v>
      </c>
      <c r="I41">
        <v>9.6</v>
      </c>
      <c r="J41">
        <v>4.3400000000000001E-2</v>
      </c>
      <c r="K41">
        <v>0</v>
      </c>
      <c r="L41">
        <v>0</v>
      </c>
      <c r="M41">
        <v>4.8</v>
      </c>
      <c r="N41">
        <v>6.6000000000000003E-2</v>
      </c>
      <c r="O41">
        <v>0.89</v>
      </c>
    </row>
    <row r="42" spans="1:15" x14ac:dyDescent="0.2">
      <c r="A42" t="s">
        <v>426</v>
      </c>
      <c r="B42">
        <v>21.77</v>
      </c>
      <c r="C42">
        <v>3.6</v>
      </c>
      <c r="D42">
        <v>41.9</v>
      </c>
      <c r="E42">
        <v>282</v>
      </c>
      <c r="F42">
        <v>9.0000000000000011E-3</v>
      </c>
      <c r="G42">
        <v>4.8000000000000001E-2</v>
      </c>
      <c r="H42">
        <v>-5.9</v>
      </c>
      <c r="I42">
        <v>17.2</v>
      </c>
      <c r="J42">
        <v>0.06</v>
      </c>
      <c r="K42">
        <v>7</v>
      </c>
      <c r="L42">
        <v>3.7499999999999999E-2</v>
      </c>
      <c r="M42">
        <v>3.1</v>
      </c>
      <c r="N42">
        <v>3.3000000000000002E-2</v>
      </c>
      <c r="O42">
        <v>10.7</v>
      </c>
    </row>
    <row r="43" spans="1:15" x14ac:dyDescent="0.2">
      <c r="A43" t="s">
        <v>427</v>
      </c>
      <c r="B43">
        <v>6.31</v>
      </c>
      <c r="C43">
        <v>7.8</v>
      </c>
      <c r="D43">
        <v>36.700000000000003</v>
      </c>
      <c r="E43">
        <v>397</v>
      </c>
      <c r="F43">
        <v>-5.0000000000000001E-3</v>
      </c>
      <c r="G43">
        <v>6.2E-2</v>
      </c>
      <c r="H43">
        <v>2.2999999999999998</v>
      </c>
      <c r="I43">
        <v>8.1999999999999993</v>
      </c>
      <c r="J43">
        <v>3.4000000000000002E-2</v>
      </c>
      <c r="K43">
        <v>-0.6</v>
      </c>
      <c r="L43">
        <v>-6.0000000000000001E-3</v>
      </c>
      <c r="M43">
        <v>2.5</v>
      </c>
      <c r="N43">
        <v>3.1E-2</v>
      </c>
      <c r="O43">
        <v>5.82</v>
      </c>
    </row>
    <row r="44" spans="1:15" x14ac:dyDescent="0.2">
      <c r="A44" t="s">
        <v>428</v>
      </c>
      <c r="B44">
        <v>177.5</v>
      </c>
      <c r="C44">
        <v>9.5</v>
      </c>
      <c r="D44">
        <v>43.2</v>
      </c>
      <c r="E44">
        <v>3</v>
      </c>
      <c r="G44">
        <v>3.9E-2</v>
      </c>
      <c r="H44">
        <v>-1.8</v>
      </c>
      <c r="I44">
        <v>5.3</v>
      </c>
      <c r="J44">
        <v>2.5499999999999998E-2</v>
      </c>
      <c r="K44">
        <v>11.2</v>
      </c>
      <c r="L44">
        <v>0.112</v>
      </c>
      <c r="M44">
        <v>28.4</v>
      </c>
      <c r="N44">
        <v>0.11600000000000001</v>
      </c>
      <c r="O44">
        <v>0.98</v>
      </c>
    </row>
    <row r="45" spans="1:15" x14ac:dyDescent="0.2">
      <c r="A45" t="s">
        <v>429</v>
      </c>
      <c r="B45">
        <v>52.98</v>
      </c>
      <c r="C45">
        <v>-2</v>
      </c>
      <c r="D45">
        <v>50.4</v>
      </c>
      <c r="E45">
        <v>94</v>
      </c>
      <c r="F45">
        <v>0.104</v>
      </c>
      <c r="G45">
        <v>0.111</v>
      </c>
      <c r="H45">
        <v>-2.8</v>
      </c>
      <c r="I45">
        <v>9.48</v>
      </c>
      <c r="J45">
        <v>8.2299999999999998E-2</v>
      </c>
      <c r="K45">
        <v>7.25</v>
      </c>
      <c r="L45">
        <v>0.03</v>
      </c>
      <c r="M45">
        <v>7.6</v>
      </c>
      <c r="N45">
        <v>7.5999999999999998E-2</v>
      </c>
      <c r="O45">
        <v>11.03</v>
      </c>
    </row>
    <row r="46" spans="1:15" x14ac:dyDescent="0.2">
      <c r="A46" t="s">
        <v>430</v>
      </c>
      <c r="C46">
        <v>-18</v>
      </c>
      <c r="E46">
        <v>2</v>
      </c>
      <c r="G46">
        <v>-6.8000000000000005E-2</v>
      </c>
      <c r="H46">
        <v>-4.8</v>
      </c>
      <c r="I46">
        <v>7.4</v>
      </c>
      <c r="J46">
        <v>5.2999999999999999E-2</v>
      </c>
      <c r="M46">
        <v>5.0599999999999996</v>
      </c>
      <c r="N46">
        <v>5.0599999999999999E-2</v>
      </c>
      <c r="O46">
        <v>1.32</v>
      </c>
    </row>
    <row r="47" spans="1:15" x14ac:dyDescent="0.2">
      <c r="A47" t="s">
        <v>431</v>
      </c>
      <c r="B47">
        <v>98.56</v>
      </c>
      <c r="C47">
        <v>2.6</v>
      </c>
      <c r="D47">
        <v>68.900000000000006</v>
      </c>
      <c r="E47">
        <v>106</v>
      </c>
      <c r="F47">
        <v>4.0999999999999986E-3</v>
      </c>
      <c r="G47">
        <v>4.9000000000000002E-2</v>
      </c>
      <c r="H47">
        <v>-8.9</v>
      </c>
      <c r="I47">
        <v>4.2300000000000004</v>
      </c>
      <c r="J47">
        <v>1.84E-2</v>
      </c>
      <c r="K47">
        <v>7.11</v>
      </c>
      <c r="L47">
        <v>9.3299999999999994E-2</v>
      </c>
      <c r="M47">
        <v>6.6</v>
      </c>
      <c r="N47">
        <v>6.6000000000000003E-2</v>
      </c>
      <c r="O47">
        <v>17.73</v>
      </c>
    </row>
    <row r="48" spans="1:15" x14ac:dyDescent="0.2">
      <c r="A48" t="s">
        <v>432</v>
      </c>
      <c r="B48">
        <v>15.64</v>
      </c>
      <c r="C48">
        <v>-4.5999999999999996</v>
      </c>
      <c r="D48">
        <v>92</v>
      </c>
      <c r="E48">
        <v>404</v>
      </c>
      <c r="F48">
        <v>9.8000000000000004E-2</v>
      </c>
      <c r="G48">
        <v>5.4000000000000013E-2</v>
      </c>
      <c r="H48">
        <v>-6.1</v>
      </c>
      <c r="I48">
        <v>13.2</v>
      </c>
      <c r="J48">
        <v>5.5999999999999987E-2</v>
      </c>
      <c r="K48">
        <v>11.25</v>
      </c>
      <c r="L48">
        <v>8.2500000000000004E-2</v>
      </c>
      <c r="M48">
        <v>7.2</v>
      </c>
      <c r="N48">
        <v>7.4999999999999997E-2</v>
      </c>
      <c r="O48">
        <v>100.5</v>
      </c>
    </row>
    <row r="49" spans="1:15" x14ac:dyDescent="0.2">
      <c r="A49" t="s">
        <v>433</v>
      </c>
      <c r="B49">
        <v>98.56</v>
      </c>
      <c r="C49">
        <v>0.5</v>
      </c>
      <c r="D49">
        <v>90.17</v>
      </c>
      <c r="E49">
        <v>29</v>
      </c>
      <c r="F49">
        <v>1.7000000000000001E-2</v>
      </c>
      <c r="G49">
        <v>2.7E-2</v>
      </c>
      <c r="H49">
        <v>-9.1999999999999993</v>
      </c>
      <c r="I49">
        <v>7.76</v>
      </c>
      <c r="J49">
        <v>6.2E-2</v>
      </c>
      <c r="K49">
        <v>4.3899999999999997</v>
      </c>
      <c r="L49">
        <v>4.0099999999999997E-2</v>
      </c>
      <c r="M49">
        <v>6.9</v>
      </c>
      <c r="N49">
        <v>6.9000000000000006E-2</v>
      </c>
      <c r="O49">
        <v>6.52</v>
      </c>
    </row>
    <row r="50" spans="1:15" x14ac:dyDescent="0.2">
      <c r="A50" t="s">
        <v>434</v>
      </c>
      <c r="B50">
        <v>551.32000000000005</v>
      </c>
      <c r="C50">
        <v>-8.4</v>
      </c>
      <c r="D50">
        <v>39.9</v>
      </c>
      <c r="E50">
        <v>12</v>
      </c>
      <c r="G50">
        <v>-1.6E-2</v>
      </c>
      <c r="H50">
        <v>-1.1000000000000001</v>
      </c>
      <c r="I50">
        <v>2.9</v>
      </c>
      <c r="J50">
        <v>0.03</v>
      </c>
      <c r="K50">
        <v>4</v>
      </c>
      <c r="L50">
        <v>3.2500000000000001E-2</v>
      </c>
      <c r="M50">
        <v>9.1999999999999993</v>
      </c>
      <c r="N50">
        <v>9.1999999999999998E-2</v>
      </c>
      <c r="O50">
        <v>1.4</v>
      </c>
    </row>
    <row r="51" spans="1:15" x14ac:dyDescent="0.2">
      <c r="A51" t="s">
        <v>435</v>
      </c>
      <c r="B51">
        <v>15</v>
      </c>
      <c r="C51">
        <v>13.5</v>
      </c>
      <c r="D51">
        <v>171</v>
      </c>
      <c r="E51">
        <v>2</v>
      </c>
      <c r="G51">
        <v>2.9000000000000001E-2</v>
      </c>
      <c r="H51">
        <v>-4</v>
      </c>
      <c r="I51">
        <v>4.5</v>
      </c>
      <c r="J51">
        <v>4.7E-2</v>
      </c>
      <c r="M51">
        <v>8</v>
      </c>
      <c r="N51">
        <v>7.400000000000001E-2</v>
      </c>
      <c r="O51">
        <v>3.21</v>
      </c>
    </row>
    <row r="52" spans="1:15" x14ac:dyDescent="0.2">
      <c r="A52" t="s">
        <v>436</v>
      </c>
      <c r="B52">
        <v>1.1100000000000001</v>
      </c>
      <c r="C52">
        <v>-0.6</v>
      </c>
      <c r="D52">
        <v>18.100000000000001</v>
      </c>
      <c r="E52">
        <v>36</v>
      </c>
      <c r="F52">
        <v>1E-3</v>
      </c>
      <c r="G52">
        <v>4.2999999999999997E-2</v>
      </c>
      <c r="H52">
        <v>-2.4</v>
      </c>
      <c r="I52">
        <v>21.9</v>
      </c>
      <c r="J52">
        <v>8.8000000000000009E-2</v>
      </c>
      <c r="K52">
        <v>0</v>
      </c>
      <c r="L52">
        <v>0</v>
      </c>
      <c r="M52">
        <v>5.5</v>
      </c>
      <c r="N52">
        <v>5.7000000000000002E-2</v>
      </c>
      <c r="O52">
        <v>1.33</v>
      </c>
    </row>
    <row r="53" spans="1:15" x14ac:dyDescent="0.2">
      <c r="A53" t="s">
        <v>437</v>
      </c>
      <c r="B53">
        <v>31.69</v>
      </c>
      <c r="C53">
        <v>-4.3</v>
      </c>
      <c r="D53">
        <v>57</v>
      </c>
      <c r="E53">
        <v>111</v>
      </c>
      <c r="G53">
        <v>8.6999999999999994E-2</v>
      </c>
      <c r="H53">
        <v>-2.7</v>
      </c>
      <c r="I53">
        <v>34</v>
      </c>
      <c r="J53">
        <v>0.33</v>
      </c>
      <c r="K53">
        <v>7</v>
      </c>
      <c r="L53">
        <v>7.0000000000000007E-2</v>
      </c>
      <c r="M53">
        <v>19.100000000000001</v>
      </c>
      <c r="N53">
        <v>0.191</v>
      </c>
      <c r="O53">
        <v>115</v>
      </c>
    </row>
    <row r="54" spans="1:15" x14ac:dyDescent="0.2">
      <c r="A54" t="s">
        <v>438</v>
      </c>
      <c r="B54">
        <v>1.1100000000000001</v>
      </c>
      <c r="C54">
        <v>2.5</v>
      </c>
      <c r="D54">
        <v>95.6</v>
      </c>
      <c r="E54">
        <v>14493</v>
      </c>
      <c r="F54">
        <v>6.0000000000000001E-3</v>
      </c>
      <c r="G54">
        <v>5.4000000000000013E-2</v>
      </c>
      <c r="H54">
        <v>-5.0999999999999996</v>
      </c>
      <c r="I54">
        <v>8.6</v>
      </c>
      <c r="J54">
        <v>4.9000000000000002E-2</v>
      </c>
      <c r="K54">
        <v>0</v>
      </c>
      <c r="L54">
        <v>0</v>
      </c>
      <c r="M54">
        <v>6.6</v>
      </c>
      <c r="N54">
        <v>7.2999999999999995E-2</v>
      </c>
      <c r="O54">
        <v>342.41</v>
      </c>
    </row>
    <row r="55" spans="1:15" x14ac:dyDescent="0.2">
      <c r="A55" t="s">
        <v>439</v>
      </c>
      <c r="B55">
        <v>2.17</v>
      </c>
      <c r="C55">
        <v>-13.8</v>
      </c>
      <c r="D55">
        <v>65.2</v>
      </c>
      <c r="E55">
        <v>5</v>
      </c>
      <c r="G55">
        <v>-4.0999999999999988E-2</v>
      </c>
      <c r="H55">
        <v>-6</v>
      </c>
      <c r="I55">
        <v>5.0999999999999996</v>
      </c>
      <c r="J55">
        <v>8.0000000000000002E-3</v>
      </c>
      <c r="K55">
        <v>0.25</v>
      </c>
      <c r="L55">
        <v>2.5000000000000001E-3</v>
      </c>
      <c r="M55">
        <v>4.8</v>
      </c>
      <c r="N55">
        <v>4.8000000000000001E-2</v>
      </c>
      <c r="O55">
        <v>0.89</v>
      </c>
    </row>
    <row r="56" spans="1:15" x14ac:dyDescent="0.2">
      <c r="A56" t="s">
        <v>440</v>
      </c>
      <c r="B56">
        <v>1.1100000000000001</v>
      </c>
      <c r="C56">
        <v>0.3</v>
      </c>
      <c r="D56">
        <v>65.8</v>
      </c>
      <c r="E56">
        <v>299</v>
      </c>
      <c r="F56">
        <v>2E-3</v>
      </c>
      <c r="G56">
        <v>3.5999999999999997E-2</v>
      </c>
      <c r="H56">
        <v>-2.6</v>
      </c>
      <c r="I56">
        <v>7.8</v>
      </c>
      <c r="J56">
        <v>3.7000000000000012E-2</v>
      </c>
      <c r="K56">
        <v>0</v>
      </c>
      <c r="L56">
        <v>0</v>
      </c>
      <c r="M56">
        <v>7.9</v>
      </c>
      <c r="N56">
        <v>0.06</v>
      </c>
      <c r="O56">
        <v>5.53</v>
      </c>
    </row>
    <row r="57" spans="1:15" x14ac:dyDescent="0.2">
      <c r="A57" t="s">
        <v>441</v>
      </c>
      <c r="B57">
        <v>1.1100000000000001</v>
      </c>
      <c r="C57">
        <v>-1</v>
      </c>
      <c r="D57">
        <v>112.9</v>
      </c>
      <c r="E57">
        <v>2937</v>
      </c>
      <c r="F57">
        <v>-2E-3</v>
      </c>
      <c r="G57">
        <v>4.4999999999999998E-2</v>
      </c>
      <c r="H57">
        <v>-6.5</v>
      </c>
      <c r="I57">
        <v>5.8</v>
      </c>
      <c r="J57">
        <v>2.8000000000000001E-2</v>
      </c>
      <c r="K57">
        <v>0</v>
      </c>
      <c r="L57">
        <v>0</v>
      </c>
      <c r="M57">
        <v>7.3</v>
      </c>
      <c r="N57">
        <v>8.1000000000000003E-2</v>
      </c>
      <c r="O57">
        <v>67.290000000000006</v>
      </c>
    </row>
    <row r="58" spans="1:15" x14ac:dyDescent="0.2">
      <c r="A58" t="s">
        <v>442</v>
      </c>
      <c r="B58">
        <v>551.32000000000005</v>
      </c>
      <c r="C58">
        <v>0.3</v>
      </c>
      <c r="D58">
        <v>69.5</v>
      </c>
      <c r="E58">
        <v>18</v>
      </c>
      <c r="G58">
        <v>1.4999999999999999E-2</v>
      </c>
      <c r="H58">
        <v>2.2999999999999998</v>
      </c>
      <c r="I58">
        <v>1.2</v>
      </c>
      <c r="J58">
        <v>9.0000000000000011E-3</v>
      </c>
      <c r="K58">
        <v>4</v>
      </c>
      <c r="L58">
        <v>3.2500000000000001E-2</v>
      </c>
      <c r="M58">
        <v>22.3</v>
      </c>
      <c r="N58">
        <v>0.20499999999999999</v>
      </c>
      <c r="O58">
        <v>2.2200000000000002</v>
      </c>
    </row>
    <row r="59" spans="1:15" x14ac:dyDescent="0.2">
      <c r="A59" t="s">
        <v>443</v>
      </c>
      <c r="B59">
        <v>51.35</v>
      </c>
      <c r="C59">
        <v>-9.3000000000000007</v>
      </c>
      <c r="D59">
        <v>82.9</v>
      </c>
      <c r="E59">
        <v>2</v>
      </c>
      <c r="G59">
        <v>5.5999999999999987E-2</v>
      </c>
      <c r="H59">
        <v>-4</v>
      </c>
      <c r="I59">
        <v>11.58</v>
      </c>
      <c r="J59">
        <v>7.3399999999999993E-2</v>
      </c>
      <c r="K59">
        <v>11</v>
      </c>
      <c r="L59">
        <v>0.1</v>
      </c>
      <c r="M59">
        <v>11.2</v>
      </c>
      <c r="N59">
        <v>9.6000000000000002E-2</v>
      </c>
      <c r="O59">
        <v>2.2799999999999998</v>
      </c>
    </row>
    <row r="60" spans="1:15" x14ac:dyDescent="0.2">
      <c r="A60" t="s">
        <v>444</v>
      </c>
      <c r="B60">
        <v>2.89</v>
      </c>
      <c r="C60">
        <v>-9.8000000000000007</v>
      </c>
      <c r="D60">
        <v>57.1</v>
      </c>
      <c r="E60">
        <v>19</v>
      </c>
      <c r="G60">
        <v>0.14899999999999999</v>
      </c>
      <c r="H60">
        <v>-6</v>
      </c>
      <c r="I60">
        <v>12.8</v>
      </c>
      <c r="J60">
        <v>0.125</v>
      </c>
      <c r="K60">
        <v>11</v>
      </c>
      <c r="L60">
        <v>0.105</v>
      </c>
      <c r="M60">
        <v>20.6</v>
      </c>
      <c r="N60">
        <v>0.185</v>
      </c>
      <c r="O60">
        <v>3.69</v>
      </c>
    </row>
    <row r="61" spans="1:15" ht="16" customHeight="1" thickBot="1" x14ac:dyDescent="0.25">
      <c r="A61" t="s">
        <v>445</v>
      </c>
      <c r="B61">
        <v>1.1100000000000001</v>
      </c>
      <c r="C61">
        <v>7</v>
      </c>
      <c r="D61">
        <v>69.3</v>
      </c>
      <c r="E61">
        <v>4223</v>
      </c>
      <c r="F61">
        <v>2E-3</v>
      </c>
      <c r="G61">
        <v>3.7999999999999999E-2</v>
      </c>
      <c r="H61">
        <v>-3.7</v>
      </c>
      <c r="I61">
        <v>7.6</v>
      </c>
      <c r="J61">
        <v>5.1999999999999998E-2</v>
      </c>
      <c r="K61">
        <v>0</v>
      </c>
      <c r="L61">
        <v>0</v>
      </c>
      <c r="M61">
        <v>5.3</v>
      </c>
      <c r="N61">
        <v>5.2999999999999999E-2</v>
      </c>
      <c r="O61">
        <v>83.17</v>
      </c>
    </row>
    <row r="62" spans="1:15" x14ac:dyDescent="0.2">
      <c r="A62" t="s">
        <v>446</v>
      </c>
      <c r="B62">
        <v>5.88</v>
      </c>
      <c r="C62">
        <v>-2.1</v>
      </c>
      <c r="D62">
        <v>81.8</v>
      </c>
      <c r="E62">
        <v>78</v>
      </c>
      <c r="F62">
        <v>9.0000000000000011E-3</v>
      </c>
      <c r="G62">
        <v>3.3000000000000002E-2</v>
      </c>
      <c r="H62">
        <v>-12.1</v>
      </c>
      <c r="I62">
        <v>29.8</v>
      </c>
      <c r="J62">
        <v>0.122</v>
      </c>
      <c r="K62">
        <v>19</v>
      </c>
      <c r="L62">
        <v>0.14499999999999999</v>
      </c>
      <c r="M62">
        <v>4.5</v>
      </c>
      <c r="N62">
        <v>4.4999999999999998E-2</v>
      </c>
      <c r="O62">
        <v>30.96</v>
      </c>
    </row>
    <row r="63" spans="1:15" ht="16" customHeight="1" thickBot="1" x14ac:dyDescent="0.25">
      <c r="A63" t="s">
        <v>447</v>
      </c>
      <c r="B63">
        <v>1.1100000000000001</v>
      </c>
      <c r="C63">
        <v>-6.7</v>
      </c>
      <c r="D63">
        <v>193.3</v>
      </c>
      <c r="E63">
        <v>216</v>
      </c>
      <c r="F63">
        <v>2.3E-2</v>
      </c>
      <c r="G63">
        <v>7.0000000000000007E-2</v>
      </c>
      <c r="H63">
        <v>-7.4</v>
      </c>
      <c r="I63">
        <v>12.1</v>
      </c>
      <c r="J63">
        <v>4.8000000000000001E-2</v>
      </c>
      <c r="K63">
        <v>0</v>
      </c>
      <c r="L63">
        <v>0</v>
      </c>
      <c r="M63">
        <v>12.5</v>
      </c>
      <c r="N63">
        <v>0.13300000000000001</v>
      </c>
      <c r="O63">
        <v>10.72</v>
      </c>
    </row>
    <row r="64" spans="1:15" x14ac:dyDescent="0.2">
      <c r="A64" t="s">
        <v>448</v>
      </c>
      <c r="B64">
        <v>7.7</v>
      </c>
      <c r="C64">
        <v>5.5</v>
      </c>
      <c r="D64">
        <v>31.26</v>
      </c>
      <c r="E64">
        <v>86</v>
      </c>
      <c r="G64">
        <v>4.4800000000000013E-2</v>
      </c>
      <c r="H64">
        <v>-4.9000000000000004</v>
      </c>
      <c r="I64">
        <v>7.55</v>
      </c>
      <c r="J64">
        <v>2.8899999999999999E-2</v>
      </c>
      <c r="K64">
        <v>2.25</v>
      </c>
      <c r="L64">
        <v>1.7500000000000002E-2</v>
      </c>
      <c r="M64">
        <v>2</v>
      </c>
      <c r="N64">
        <v>0.02</v>
      </c>
      <c r="O64">
        <v>18.38</v>
      </c>
    </row>
    <row r="65" spans="1:15" ht="16" customHeight="1" thickBot="1" x14ac:dyDescent="0.25">
      <c r="A65" t="s">
        <v>449</v>
      </c>
      <c r="B65">
        <v>9537</v>
      </c>
      <c r="C65">
        <v>-4</v>
      </c>
      <c r="D65">
        <v>43.3</v>
      </c>
      <c r="E65">
        <v>16</v>
      </c>
      <c r="G65">
        <v>5.1999999999999998E-2</v>
      </c>
      <c r="H65">
        <v>-2.2999999999999998</v>
      </c>
      <c r="I65">
        <v>10.99</v>
      </c>
      <c r="J65">
        <v>0.127</v>
      </c>
      <c r="K65">
        <v>11.5</v>
      </c>
      <c r="L65">
        <v>0.115</v>
      </c>
      <c r="M65">
        <v>4.4000000000000004</v>
      </c>
      <c r="N65">
        <v>4.3999999999999997E-2</v>
      </c>
      <c r="O65">
        <v>12.56</v>
      </c>
    </row>
    <row r="66" spans="1:15" ht="16" customHeight="1" thickBot="1" x14ac:dyDescent="0.25">
      <c r="A66" t="s">
        <v>450</v>
      </c>
      <c r="C66">
        <v>-8.6</v>
      </c>
      <c r="D66">
        <v>36.5</v>
      </c>
      <c r="E66">
        <v>2</v>
      </c>
      <c r="G66">
        <v>5.8000000000000003E-2</v>
      </c>
      <c r="H66">
        <v>-5.6</v>
      </c>
      <c r="I66">
        <v>6.7</v>
      </c>
      <c r="J66">
        <v>4.2999999999999997E-2</v>
      </c>
      <c r="K66">
        <v>4</v>
      </c>
      <c r="L66">
        <v>0.04</v>
      </c>
      <c r="M66">
        <v>3.2</v>
      </c>
      <c r="N66">
        <v>3.2000000000000001E-2</v>
      </c>
      <c r="O66">
        <v>1.96</v>
      </c>
    </row>
    <row r="67" spans="1:15" x14ac:dyDescent="0.2">
      <c r="A67" t="s">
        <v>451</v>
      </c>
      <c r="B67">
        <v>209.34</v>
      </c>
      <c r="C67">
        <v>-32.79</v>
      </c>
      <c r="D67">
        <v>37</v>
      </c>
      <c r="E67">
        <v>7</v>
      </c>
      <c r="G67">
        <v>0.48699999999999999</v>
      </c>
      <c r="H67">
        <v>-5.3</v>
      </c>
      <c r="I67">
        <v>6.63</v>
      </c>
      <c r="J67">
        <v>5.9900000000000002E-2</v>
      </c>
      <c r="K67">
        <v>5</v>
      </c>
      <c r="L67">
        <v>0.05</v>
      </c>
      <c r="M67">
        <v>15.8</v>
      </c>
      <c r="N67">
        <v>0.158</v>
      </c>
      <c r="O67">
        <v>0.79</v>
      </c>
    </row>
    <row r="68" spans="1:15" x14ac:dyDescent="0.2">
      <c r="A68" t="s">
        <v>452</v>
      </c>
      <c r="B68">
        <v>88.71</v>
      </c>
      <c r="C68">
        <v>5.5</v>
      </c>
      <c r="D68">
        <v>54.4</v>
      </c>
      <c r="E68">
        <v>21</v>
      </c>
      <c r="G68">
        <v>-1.7999999999999999E-2</v>
      </c>
      <c r="H68">
        <v>-5.9</v>
      </c>
      <c r="I68">
        <v>25.17</v>
      </c>
      <c r="J68">
        <v>0.1091</v>
      </c>
      <c r="K68">
        <v>17</v>
      </c>
      <c r="L68">
        <v>0.17</v>
      </c>
      <c r="M68">
        <v>14.5</v>
      </c>
      <c r="N68">
        <v>0.14499999999999999</v>
      </c>
      <c r="O68">
        <v>11.54</v>
      </c>
    </row>
    <row r="69" spans="1:15" x14ac:dyDescent="0.2">
      <c r="A69" t="s">
        <v>453</v>
      </c>
      <c r="B69">
        <v>24.6</v>
      </c>
      <c r="C69">
        <v>4</v>
      </c>
      <c r="D69">
        <v>54.86</v>
      </c>
      <c r="E69">
        <v>28</v>
      </c>
      <c r="F69">
        <v>6.9999999999999993E-3</v>
      </c>
      <c r="G69">
        <v>0.114</v>
      </c>
      <c r="H69">
        <v>-6.9</v>
      </c>
      <c r="I69">
        <v>9.09</v>
      </c>
      <c r="J69">
        <v>4.9500000000000002E-2</v>
      </c>
      <c r="K69">
        <v>3</v>
      </c>
      <c r="L69">
        <v>0.03</v>
      </c>
      <c r="M69">
        <v>10.9</v>
      </c>
      <c r="N69">
        <v>0.109</v>
      </c>
      <c r="O69">
        <v>9.43</v>
      </c>
    </row>
    <row r="70" spans="1:15" ht="16" customHeight="1" thickBot="1" x14ac:dyDescent="0.25">
      <c r="A70" t="s">
        <v>454</v>
      </c>
      <c r="B70">
        <v>7.83</v>
      </c>
      <c r="C70">
        <v>6.6</v>
      </c>
      <c r="D70">
        <v>38.4</v>
      </c>
      <c r="E70">
        <v>368</v>
      </c>
      <c r="F70">
        <v>-0.03</v>
      </c>
      <c r="G70">
        <v>-0.04</v>
      </c>
      <c r="H70">
        <v>-12</v>
      </c>
      <c r="I70">
        <v>1.2</v>
      </c>
      <c r="J70">
        <v>1.7999999999999999E-2</v>
      </c>
      <c r="K70">
        <v>2</v>
      </c>
      <c r="L70">
        <v>8.6E-3</v>
      </c>
      <c r="M70">
        <v>5.0999999999999996</v>
      </c>
      <c r="N70">
        <v>4.0999999999999988E-2</v>
      </c>
      <c r="O70">
        <v>7.47</v>
      </c>
    </row>
    <row r="71" spans="1:15" x14ac:dyDescent="0.2">
      <c r="A71" t="s">
        <v>455</v>
      </c>
      <c r="B71">
        <v>302.98</v>
      </c>
      <c r="C71">
        <v>0</v>
      </c>
      <c r="D71">
        <v>76.8</v>
      </c>
      <c r="E71">
        <v>182</v>
      </c>
      <c r="F71">
        <v>2.1000000000000001E-2</v>
      </c>
      <c r="G71">
        <v>8.199999999999999E-2</v>
      </c>
      <c r="H71">
        <v>-6.8</v>
      </c>
      <c r="I71">
        <v>11.7</v>
      </c>
      <c r="J71">
        <v>7.400000000000001E-2</v>
      </c>
      <c r="K71">
        <v>9.75</v>
      </c>
      <c r="L71">
        <v>2.4E-2</v>
      </c>
      <c r="M71">
        <v>3.4</v>
      </c>
      <c r="N71">
        <v>3.7999999999999999E-2</v>
      </c>
      <c r="O71">
        <v>9.77</v>
      </c>
    </row>
    <row r="72" spans="1:15" ht="16" customHeight="1" thickBot="1" x14ac:dyDescent="0.25">
      <c r="A72" t="s">
        <v>456</v>
      </c>
      <c r="B72">
        <v>124.24</v>
      </c>
      <c r="C72">
        <v>1</v>
      </c>
      <c r="D72">
        <v>75</v>
      </c>
      <c r="E72">
        <v>25</v>
      </c>
      <c r="F72">
        <v>1.0999999999999999E-2</v>
      </c>
      <c r="G72">
        <v>8.5999999999999993E-2</v>
      </c>
      <c r="H72">
        <v>-8.9</v>
      </c>
      <c r="I72">
        <v>8.8000000000000007</v>
      </c>
      <c r="J72">
        <v>5.0999999999999997E-2</v>
      </c>
      <c r="K72">
        <v>4.75</v>
      </c>
      <c r="L72">
        <v>0.02</v>
      </c>
      <c r="M72">
        <v>3.5</v>
      </c>
      <c r="N72">
        <v>4.2000000000000003E-2</v>
      </c>
      <c r="O72">
        <v>0.36</v>
      </c>
    </row>
    <row r="73" spans="1:15" ht="16" customHeight="1" thickBot="1" x14ac:dyDescent="0.25">
      <c r="A73" t="s">
        <v>457</v>
      </c>
      <c r="B73">
        <v>71.010000000000005</v>
      </c>
      <c r="C73">
        <v>-1.7</v>
      </c>
      <c r="D73">
        <v>73.95</v>
      </c>
      <c r="E73">
        <v>3173</v>
      </c>
      <c r="F73">
        <v>8.0000000000000002E-3</v>
      </c>
      <c r="G73">
        <v>4.0999999999999988E-2</v>
      </c>
      <c r="H73">
        <v>-9.4</v>
      </c>
      <c r="I73">
        <v>7.01</v>
      </c>
      <c r="J73">
        <v>4.9099999999999998E-2</v>
      </c>
      <c r="K73">
        <v>4.9000000000000004</v>
      </c>
      <c r="L73">
        <v>0.04</v>
      </c>
      <c r="M73">
        <v>7.8</v>
      </c>
      <c r="N73">
        <v>6.9000000000000006E-2</v>
      </c>
      <c r="O73">
        <v>1380</v>
      </c>
    </row>
    <row r="74" spans="1:15" x14ac:dyDescent="0.2">
      <c r="A74" t="s">
        <v>458</v>
      </c>
      <c r="B74">
        <v>14462</v>
      </c>
      <c r="C74">
        <v>0.3</v>
      </c>
      <c r="D74">
        <v>38.5</v>
      </c>
      <c r="E74">
        <v>1186</v>
      </c>
      <c r="F74">
        <v>-9.5999999999999992E-3</v>
      </c>
      <c r="G74">
        <v>5.0099999999999999E-2</v>
      </c>
      <c r="H74">
        <v>-4.6500000000000004</v>
      </c>
      <c r="I74">
        <v>4.3499999999999996</v>
      </c>
      <c r="J74">
        <v>1.7500000000000002E-2</v>
      </c>
      <c r="K74">
        <v>3.5</v>
      </c>
      <c r="L74">
        <v>3.5000000000000003E-2</v>
      </c>
      <c r="M74">
        <v>5.83</v>
      </c>
      <c r="N74">
        <v>6.4899999999999999E-2</v>
      </c>
      <c r="O74">
        <v>270.2</v>
      </c>
    </row>
    <row r="75" spans="1:15" x14ac:dyDescent="0.2">
      <c r="A75" t="s">
        <v>459</v>
      </c>
      <c r="B75">
        <v>42000</v>
      </c>
      <c r="C75">
        <v>-0.5</v>
      </c>
      <c r="D75">
        <v>45.4</v>
      </c>
      <c r="E75">
        <v>232</v>
      </c>
      <c r="G75">
        <v>-5.5E-2</v>
      </c>
      <c r="H75">
        <v>-9.5</v>
      </c>
      <c r="I75">
        <v>52.5</v>
      </c>
      <c r="J75">
        <v>0.35699999999999998</v>
      </c>
      <c r="K75">
        <v>18</v>
      </c>
      <c r="L75">
        <v>0.18</v>
      </c>
      <c r="M75">
        <v>8.9</v>
      </c>
      <c r="N75">
        <v>9.6000000000000002E-2</v>
      </c>
      <c r="O75">
        <v>84</v>
      </c>
    </row>
    <row r="76" spans="1:15" x14ac:dyDescent="0.2">
      <c r="A76" t="s">
        <v>460</v>
      </c>
      <c r="B76">
        <v>1193.81</v>
      </c>
      <c r="C76">
        <v>5.9</v>
      </c>
      <c r="D76">
        <v>59.3</v>
      </c>
      <c r="E76">
        <v>208</v>
      </c>
      <c r="G76">
        <v>5.8999999999999997E-2</v>
      </c>
      <c r="H76">
        <v>1.9</v>
      </c>
      <c r="I76">
        <v>5.4</v>
      </c>
      <c r="J76">
        <v>6.8000000000000005E-2</v>
      </c>
      <c r="K76">
        <v>4</v>
      </c>
      <c r="L76">
        <v>0.04</v>
      </c>
      <c r="M76">
        <v>13.74</v>
      </c>
      <c r="N76">
        <v>0.13739999999999999</v>
      </c>
      <c r="O76">
        <v>40.200000000000003</v>
      </c>
    </row>
    <row r="77" spans="1:15" ht="16" customHeight="1" thickBot="1" x14ac:dyDescent="0.25">
      <c r="A77" t="s">
        <v>461</v>
      </c>
      <c r="B77">
        <v>1.1100000000000001</v>
      </c>
      <c r="C77">
        <v>4.5999999999999996</v>
      </c>
      <c r="D77">
        <v>56</v>
      </c>
      <c r="E77">
        <v>499</v>
      </c>
      <c r="F77">
        <v>6.3E-2</v>
      </c>
      <c r="G77">
        <v>0.107</v>
      </c>
      <c r="H77">
        <v>-0.1</v>
      </c>
      <c r="I77">
        <v>9.1</v>
      </c>
      <c r="J77">
        <v>5.2999999999999999E-2</v>
      </c>
      <c r="K77">
        <v>0</v>
      </c>
      <c r="L77">
        <v>0</v>
      </c>
      <c r="M77">
        <v>4.8</v>
      </c>
      <c r="N77">
        <v>5.1999999999999998E-2</v>
      </c>
      <c r="O77">
        <v>4.96</v>
      </c>
    </row>
    <row r="78" spans="1:15" x14ac:dyDescent="0.2">
      <c r="A78" t="s">
        <v>462</v>
      </c>
      <c r="B78">
        <v>3.28</v>
      </c>
      <c r="C78">
        <v>4.9000000000000004</v>
      </c>
      <c r="D78">
        <v>68.8</v>
      </c>
      <c r="E78">
        <v>482</v>
      </c>
      <c r="F78">
        <v>-5.0000000000000001E-3</v>
      </c>
      <c r="G78">
        <v>9.0200000000000002E-2</v>
      </c>
      <c r="H78">
        <v>-11.7</v>
      </c>
      <c r="I78">
        <v>4.4000000000000004</v>
      </c>
      <c r="J78">
        <v>2.4E-2</v>
      </c>
      <c r="K78">
        <v>1.25</v>
      </c>
      <c r="L78">
        <v>1E-3</v>
      </c>
      <c r="M78">
        <v>3.7</v>
      </c>
      <c r="N78">
        <v>0.05</v>
      </c>
      <c r="O78">
        <v>9.2899999999999991</v>
      </c>
    </row>
    <row r="79" spans="1:15" x14ac:dyDescent="0.2">
      <c r="A79" t="s">
        <v>463</v>
      </c>
      <c r="B79">
        <v>1.1100000000000001</v>
      </c>
      <c r="C79">
        <v>3.6</v>
      </c>
      <c r="D79">
        <v>150.80000000000001</v>
      </c>
      <c r="E79">
        <v>2100</v>
      </c>
      <c r="F79">
        <v>1E-3</v>
      </c>
      <c r="G79">
        <v>6.2E-2</v>
      </c>
      <c r="H79">
        <v>-7.2</v>
      </c>
      <c r="I79">
        <v>8</v>
      </c>
      <c r="J79">
        <v>3.7000000000000012E-2</v>
      </c>
      <c r="K79">
        <v>0</v>
      </c>
      <c r="L79">
        <v>0</v>
      </c>
      <c r="M79">
        <v>8.1</v>
      </c>
      <c r="N79">
        <v>9.4E-2</v>
      </c>
      <c r="O79">
        <v>59.64</v>
      </c>
    </row>
    <row r="80" spans="1:15" ht="16" customHeight="1" thickBot="1" x14ac:dyDescent="0.25">
      <c r="A80" t="s">
        <v>464</v>
      </c>
      <c r="B80">
        <v>588.96</v>
      </c>
      <c r="C80">
        <v>-3.8</v>
      </c>
      <c r="D80">
        <v>51.4</v>
      </c>
      <c r="E80">
        <v>70</v>
      </c>
      <c r="G80">
        <v>5.4000000000000013E-2</v>
      </c>
      <c r="H80">
        <v>-5</v>
      </c>
      <c r="I80">
        <v>3.5</v>
      </c>
      <c r="J80">
        <v>4.4999999999999998E-2</v>
      </c>
      <c r="K80">
        <v>4</v>
      </c>
      <c r="L80">
        <v>0.04</v>
      </c>
      <c r="M80">
        <v>3.5</v>
      </c>
      <c r="N80">
        <v>3.5000000000000003E-2</v>
      </c>
      <c r="O80">
        <v>26.37</v>
      </c>
    </row>
    <row r="81" spans="1:15" ht="16" customHeight="1" thickBot="1" x14ac:dyDescent="0.25">
      <c r="A81" t="s">
        <v>465</v>
      </c>
      <c r="B81">
        <v>133.91</v>
      </c>
      <c r="C81">
        <v>0.2</v>
      </c>
      <c r="D81">
        <v>110.1</v>
      </c>
      <c r="E81">
        <v>14</v>
      </c>
      <c r="F81">
        <v>-1.2E-2</v>
      </c>
      <c r="G81">
        <v>6.4000000000000001E-2</v>
      </c>
      <c r="H81">
        <v>-3.9</v>
      </c>
      <c r="I81">
        <v>10.9</v>
      </c>
      <c r="J81">
        <v>8.5000000000000006E-2</v>
      </c>
      <c r="K81">
        <v>5.5</v>
      </c>
      <c r="L81">
        <v>2.5000000000000001E-2</v>
      </c>
      <c r="M81">
        <v>6.2</v>
      </c>
      <c r="N81">
        <v>8.5000000000000006E-2</v>
      </c>
      <c r="O81">
        <v>2.98</v>
      </c>
    </row>
    <row r="82" spans="1:15" ht="16" customHeight="1" thickBot="1" x14ac:dyDescent="0.25">
      <c r="A82" t="s">
        <v>466</v>
      </c>
      <c r="B82">
        <v>108.19</v>
      </c>
      <c r="C82">
        <v>3.2</v>
      </c>
      <c r="D82">
        <v>266.2</v>
      </c>
      <c r="E82">
        <v>4937</v>
      </c>
      <c r="F82">
        <v>-1E-3</v>
      </c>
      <c r="G82">
        <v>2E-3</v>
      </c>
      <c r="H82">
        <v>-12.6</v>
      </c>
      <c r="I82">
        <v>2.5</v>
      </c>
      <c r="J82">
        <v>1E-3</v>
      </c>
      <c r="K82">
        <v>-0.1</v>
      </c>
      <c r="L82">
        <v>-1E-3</v>
      </c>
      <c r="M82">
        <v>2.6</v>
      </c>
      <c r="N82">
        <v>2.7E-2</v>
      </c>
      <c r="O82">
        <v>125.31</v>
      </c>
    </row>
    <row r="83" spans="1:15" x14ac:dyDescent="0.2">
      <c r="A83" t="s">
        <v>467</v>
      </c>
      <c r="B83">
        <v>0.71</v>
      </c>
      <c r="C83">
        <v>-8</v>
      </c>
      <c r="D83">
        <v>92.4</v>
      </c>
      <c r="E83">
        <v>45</v>
      </c>
      <c r="G83">
        <v>2.5000000000000001E-2</v>
      </c>
      <c r="H83">
        <v>-7</v>
      </c>
      <c r="I83">
        <v>4.4000000000000004</v>
      </c>
      <c r="J83">
        <v>1.7000000000000001E-2</v>
      </c>
      <c r="K83">
        <v>3.75</v>
      </c>
      <c r="L83">
        <v>2.5000000000000001E-2</v>
      </c>
      <c r="M83">
        <v>22.8</v>
      </c>
      <c r="N83">
        <v>0.23200000000000001</v>
      </c>
      <c r="O83">
        <v>10.86</v>
      </c>
    </row>
    <row r="84" spans="1:15" x14ac:dyDescent="0.2">
      <c r="A84" t="s">
        <v>468</v>
      </c>
      <c r="B84">
        <v>427.38</v>
      </c>
      <c r="C84">
        <v>-3</v>
      </c>
      <c r="D84">
        <v>27.4</v>
      </c>
      <c r="E84">
        <v>191</v>
      </c>
      <c r="F84">
        <v>1.26E-2</v>
      </c>
      <c r="G84">
        <v>4.3999999999999997E-2</v>
      </c>
      <c r="H84">
        <v>-4</v>
      </c>
      <c r="I84">
        <v>14.5</v>
      </c>
      <c r="J84">
        <v>8.6999999999999994E-2</v>
      </c>
      <c r="K84">
        <v>14</v>
      </c>
      <c r="L84">
        <v>9.7500000000000003E-2</v>
      </c>
      <c r="M84">
        <v>4.9000000000000004</v>
      </c>
      <c r="N84">
        <v>4.9000000000000002E-2</v>
      </c>
      <c r="O84">
        <v>19.12</v>
      </c>
    </row>
    <row r="85" spans="1:15" x14ac:dyDescent="0.2">
      <c r="A85" t="s">
        <v>469</v>
      </c>
      <c r="B85">
        <v>107.9</v>
      </c>
      <c r="C85">
        <v>-5.4</v>
      </c>
      <c r="D85">
        <v>68.400000000000006</v>
      </c>
      <c r="E85">
        <v>110</v>
      </c>
      <c r="F85">
        <v>1.17E-2</v>
      </c>
      <c r="G85">
        <v>6.8000000000000005E-2</v>
      </c>
      <c r="H85">
        <v>-8.1</v>
      </c>
      <c r="I85">
        <v>7.9</v>
      </c>
      <c r="J85">
        <v>5.8000000000000003E-2</v>
      </c>
      <c r="K85">
        <v>7.5</v>
      </c>
      <c r="L85">
        <v>7.0000000000000007E-2</v>
      </c>
      <c r="M85">
        <v>6.6</v>
      </c>
      <c r="N85">
        <v>6.6000000000000003E-2</v>
      </c>
      <c r="O85">
        <v>53.7</v>
      </c>
    </row>
    <row r="86" spans="1:15" x14ac:dyDescent="0.2">
      <c r="A86" t="s">
        <v>470</v>
      </c>
      <c r="B86">
        <v>462.8</v>
      </c>
      <c r="C86">
        <v>-7.2</v>
      </c>
      <c r="D86">
        <v>23.34</v>
      </c>
      <c r="E86">
        <v>9</v>
      </c>
      <c r="G86">
        <v>4.87E-2</v>
      </c>
      <c r="H86">
        <v>-9.9</v>
      </c>
      <c r="I86">
        <v>14.1</v>
      </c>
      <c r="J86">
        <v>6.9000000000000006E-2</v>
      </c>
      <c r="M86">
        <v>25.8</v>
      </c>
      <c r="N86">
        <v>0.25800000000000001</v>
      </c>
      <c r="O86">
        <v>1.78</v>
      </c>
    </row>
    <row r="87" spans="1:15" x14ac:dyDescent="0.2">
      <c r="A87" t="s">
        <v>471</v>
      </c>
      <c r="B87">
        <v>0.3</v>
      </c>
      <c r="C87">
        <v>0.8</v>
      </c>
      <c r="D87">
        <v>11.5</v>
      </c>
      <c r="E87">
        <v>106</v>
      </c>
      <c r="F87">
        <v>4.7E-2</v>
      </c>
      <c r="G87">
        <v>-0.112</v>
      </c>
      <c r="H87">
        <v>-9.4</v>
      </c>
      <c r="I87">
        <v>4.5199999999999996</v>
      </c>
      <c r="J87">
        <v>3.3599999999999998E-2</v>
      </c>
      <c r="K87">
        <v>2.25</v>
      </c>
      <c r="L87">
        <v>1.4999999999999999E-2</v>
      </c>
      <c r="M87">
        <v>2.2999999999999998</v>
      </c>
      <c r="N87">
        <v>2.3E-2</v>
      </c>
      <c r="O87">
        <v>4.2699999999999996</v>
      </c>
    </row>
    <row r="88" spans="1:15" x14ac:dyDescent="0.2">
      <c r="A88" t="s">
        <v>472</v>
      </c>
      <c r="B88">
        <v>69.989999999999995</v>
      </c>
      <c r="C88">
        <v>-8.5</v>
      </c>
      <c r="D88">
        <v>60.3</v>
      </c>
      <c r="E88">
        <v>9</v>
      </c>
      <c r="G88">
        <v>4.4999999999999998E-2</v>
      </c>
      <c r="H88">
        <v>-0.2</v>
      </c>
      <c r="I88">
        <v>13.1</v>
      </c>
      <c r="J88">
        <v>0.123</v>
      </c>
      <c r="K88">
        <v>14</v>
      </c>
      <c r="L88">
        <v>0.08</v>
      </c>
      <c r="M88">
        <v>3</v>
      </c>
      <c r="N88">
        <v>3.1E-2</v>
      </c>
      <c r="O88">
        <v>6.7</v>
      </c>
    </row>
    <row r="89" spans="1:15" ht="16" customHeight="1" thickBot="1" x14ac:dyDescent="0.25">
      <c r="A89" t="s">
        <v>473</v>
      </c>
      <c r="B89">
        <v>9485</v>
      </c>
      <c r="C89">
        <v>-0.6</v>
      </c>
      <c r="D89">
        <v>55.66</v>
      </c>
      <c r="E89">
        <v>19</v>
      </c>
      <c r="G89">
        <v>4.0000000000000001E-3</v>
      </c>
      <c r="H89">
        <v>-5.22</v>
      </c>
      <c r="I89">
        <v>23.6</v>
      </c>
      <c r="J89">
        <v>4.7199999999999999E-2</v>
      </c>
      <c r="K89">
        <v>3.1</v>
      </c>
      <c r="L89">
        <v>0.03</v>
      </c>
      <c r="M89">
        <v>1</v>
      </c>
      <c r="N89">
        <v>0.01</v>
      </c>
      <c r="O89">
        <v>7.3</v>
      </c>
    </row>
    <row r="90" spans="1:15" x14ac:dyDescent="0.2">
      <c r="A90" t="s">
        <v>474</v>
      </c>
      <c r="B90">
        <v>1.1100000000000001</v>
      </c>
      <c r="C90">
        <v>3</v>
      </c>
      <c r="D90">
        <v>44.8</v>
      </c>
      <c r="E90">
        <v>39</v>
      </c>
      <c r="F90">
        <v>3.5999999999999997E-2</v>
      </c>
      <c r="G90">
        <v>6.7000000000000004E-2</v>
      </c>
      <c r="H90">
        <v>-7.3</v>
      </c>
      <c r="I90">
        <v>19.3</v>
      </c>
      <c r="J90">
        <v>7.4999999999999997E-2</v>
      </c>
      <c r="K90">
        <v>0</v>
      </c>
      <c r="L90">
        <v>0</v>
      </c>
      <c r="M90">
        <v>7.3</v>
      </c>
      <c r="N90">
        <v>7.2000000000000008E-2</v>
      </c>
      <c r="O90">
        <v>1.91</v>
      </c>
    </row>
    <row r="91" spans="1:15" x14ac:dyDescent="0.2">
      <c r="A91" t="s">
        <v>475</v>
      </c>
      <c r="B91">
        <v>1512</v>
      </c>
      <c r="C91">
        <v>-22.2</v>
      </c>
      <c r="D91">
        <v>171.7</v>
      </c>
      <c r="E91">
        <v>18</v>
      </c>
      <c r="G91">
        <v>-0.20300000000000001</v>
      </c>
      <c r="H91">
        <v>-16.5</v>
      </c>
      <c r="I91">
        <v>211.43</v>
      </c>
      <c r="J91">
        <v>2.0106999999999999</v>
      </c>
      <c r="K91">
        <v>7.75</v>
      </c>
      <c r="L91">
        <v>0.1</v>
      </c>
      <c r="M91">
        <v>6.6</v>
      </c>
      <c r="N91">
        <v>6.6000000000000003E-2</v>
      </c>
      <c r="O91">
        <v>6.8</v>
      </c>
    </row>
    <row r="92" spans="1:15" ht="16" customHeight="1" thickBot="1" x14ac:dyDescent="0.25">
      <c r="A92" t="s">
        <v>476</v>
      </c>
      <c r="B92">
        <v>14.36</v>
      </c>
      <c r="C92">
        <v>-2.8</v>
      </c>
      <c r="D92">
        <v>54.7</v>
      </c>
      <c r="E92">
        <v>3</v>
      </c>
      <c r="F92">
        <v>-1.4E-3</v>
      </c>
      <c r="G92">
        <v>2.86E-2</v>
      </c>
      <c r="H92">
        <v>-5.8</v>
      </c>
      <c r="I92">
        <v>7.8</v>
      </c>
      <c r="J92">
        <v>5.4000000000000013E-2</v>
      </c>
      <c r="K92">
        <v>4.75</v>
      </c>
      <c r="L92">
        <v>3.5000000000000003E-2</v>
      </c>
      <c r="M92">
        <v>24.6</v>
      </c>
      <c r="N92">
        <v>0.247</v>
      </c>
      <c r="O92">
        <v>2.14</v>
      </c>
    </row>
    <row r="93" spans="1:15" ht="16" customHeight="1" thickBot="1" x14ac:dyDescent="0.25">
      <c r="A93" t="s">
        <v>477</v>
      </c>
      <c r="B93">
        <v>186.3</v>
      </c>
      <c r="C93">
        <v>-17.399999999999999</v>
      </c>
      <c r="D93">
        <v>55</v>
      </c>
      <c r="E93">
        <v>3</v>
      </c>
      <c r="G93">
        <v>0.04</v>
      </c>
      <c r="H93">
        <v>-3.3</v>
      </c>
      <c r="I93">
        <v>5.44</v>
      </c>
      <c r="J93">
        <v>7.0000000000000007E-2</v>
      </c>
      <c r="K93">
        <v>20</v>
      </c>
      <c r="L93">
        <v>0.2</v>
      </c>
      <c r="M93">
        <v>4.0999999999999996</v>
      </c>
      <c r="N93">
        <v>2.7E-2</v>
      </c>
      <c r="O93">
        <v>5.57</v>
      </c>
    </row>
    <row r="94" spans="1:15" x14ac:dyDescent="0.2">
      <c r="A94" t="s">
        <v>478</v>
      </c>
      <c r="B94">
        <v>1.39</v>
      </c>
      <c r="C94">
        <v>21.6</v>
      </c>
      <c r="D94">
        <v>155</v>
      </c>
      <c r="E94">
        <v>42</v>
      </c>
      <c r="G94">
        <v>1.77</v>
      </c>
      <c r="H94">
        <v>13.8</v>
      </c>
      <c r="I94">
        <v>5.7</v>
      </c>
      <c r="J94">
        <v>2.0799999999999999E-2</v>
      </c>
      <c r="K94">
        <v>3</v>
      </c>
      <c r="L94">
        <v>0.03</v>
      </c>
      <c r="M94">
        <v>19.600000000000001</v>
      </c>
      <c r="N94">
        <v>0.18629999999999999</v>
      </c>
      <c r="O94">
        <v>6.87</v>
      </c>
    </row>
    <row r="95" spans="1:15" ht="16" customHeight="1" thickBot="1" x14ac:dyDescent="0.25">
      <c r="A95" t="s">
        <v>479</v>
      </c>
      <c r="B95">
        <v>0.92</v>
      </c>
      <c r="E95">
        <v>6</v>
      </c>
      <c r="G95">
        <v>-0.10100000000000001</v>
      </c>
      <c r="I95">
        <v>2.5</v>
      </c>
      <c r="J95">
        <v>9.0000000000000011E-3</v>
      </c>
      <c r="M95">
        <v>1.9</v>
      </c>
      <c r="N95">
        <v>1.9E-2</v>
      </c>
      <c r="O95">
        <v>0.04</v>
      </c>
    </row>
    <row r="96" spans="1:15" x14ac:dyDescent="0.2">
      <c r="A96" t="s">
        <v>480</v>
      </c>
      <c r="B96">
        <v>1.1100000000000001</v>
      </c>
      <c r="C96">
        <v>8.3000000000000007</v>
      </c>
      <c r="D96">
        <v>44.3</v>
      </c>
      <c r="E96">
        <v>66</v>
      </c>
      <c r="F96">
        <v>0.01</v>
      </c>
      <c r="G96">
        <v>4.5999999999999999E-2</v>
      </c>
      <c r="H96">
        <v>-1</v>
      </c>
      <c r="I96">
        <v>21</v>
      </c>
      <c r="J96">
        <v>9.1999999999999998E-2</v>
      </c>
      <c r="K96">
        <v>0</v>
      </c>
      <c r="L96">
        <v>0</v>
      </c>
      <c r="M96">
        <v>8.8000000000000007</v>
      </c>
      <c r="N96">
        <v>0.109</v>
      </c>
      <c r="O96">
        <v>2.79</v>
      </c>
    </row>
    <row r="97" spans="1:15" x14ac:dyDescent="0.2">
      <c r="A97" t="s">
        <v>481</v>
      </c>
      <c r="B97">
        <v>1.1100000000000001</v>
      </c>
      <c r="C97">
        <v>4.3</v>
      </c>
      <c r="D97">
        <v>24.4</v>
      </c>
      <c r="E97">
        <v>87</v>
      </c>
      <c r="F97">
        <v>1.2E-2</v>
      </c>
      <c r="G97">
        <v>0.04</v>
      </c>
      <c r="H97">
        <v>0.9</v>
      </c>
      <c r="I97">
        <v>7.4</v>
      </c>
      <c r="J97">
        <v>4.4999999999999998E-2</v>
      </c>
      <c r="K97">
        <v>0</v>
      </c>
      <c r="L97">
        <v>0</v>
      </c>
      <c r="M97">
        <v>4.5999999999999996</v>
      </c>
      <c r="N97">
        <v>5.2999999999999999E-2</v>
      </c>
      <c r="O97">
        <v>0.63</v>
      </c>
    </row>
    <row r="98" spans="1:15" x14ac:dyDescent="0.2">
      <c r="A98" t="s">
        <v>482</v>
      </c>
      <c r="B98">
        <v>8.0299999999999994</v>
      </c>
      <c r="C98">
        <v>15.2</v>
      </c>
      <c r="E98">
        <v>30</v>
      </c>
      <c r="G98">
        <v>-8.900000000000001E-2</v>
      </c>
      <c r="I98">
        <v>1.1000000000000001</v>
      </c>
      <c r="J98">
        <v>1.21E-2</v>
      </c>
      <c r="K98">
        <v>2</v>
      </c>
      <c r="L98">
        <v>5.0000000000000001E-3</v>
      </c>
      <c r="M98">
        <v>3.4</v>
      </c>
      <c r="N98">
        <v>2.8000000000000001E-2</v>
      </c>
      <c r="O98">
        <v>0.68</v>
      </c>
    </row>
    <row r="99" spans="1:15" x14ac:dyDescent="0.2">
      <c r="A99" t="s">
        <v>483</v>
      </c>
      <c r="B99">
        <v>51.93</v>
      </c>
      <c r="C99">
        <v>-3.5</v>
      </c>
      <c r="D99">
        <v>51.8</v>
      </c>
      <c r="E99">
        <v>14</v>
      </c>
      <c r="F99">
        <v>3.9E-2</v>
      </c>
      <c r="G99">
        <v>2.4E-2</v>
      </c>
      <c r="H99">
        <v>-5.4</v>
      </c>
      <c r="I99">
        <v>14.5</v>
      </c>
      <c r="J99">
        <v>4.8000000000000001E-2</v>
      </c>
      <c r="K99">
        <v>1.75</v>
      </c>
      <c r="L99">
        <v>1.2500000000000001E-2</v>
      </c>
      <c r="M99">
        <v>14.8</v>
      </c>
      <c r="N99">
        <v>0.157</v>
      </c>
      <c r="O99">
        <v>2.08</v>
      </c>
    </row>
    <row r="100" spans="1:15" x14ac:dyDescent="0.2">
      <c r="A100" t="s">
        <v>484</v>
      </c>
      <c r="B100">
        <v>3680.5</v>
      </c>
      <c r="C100">
        <v>-5.5</v>
      </c>
      <c r="D100">
        <v>44.8</v>
      </c>
      <c r="E100">
        <v>15</v>
      </c>
      <c r="G100">
        <v>4.3999999999999997E-2</v>
      </c>
      <c r="H100">
        <v>-5.4</v>
      </c>
      <c r="I100">
        <v>6.17</v>
      </c>
      <c r="J100">
        <v>6.2899999999999998E-2</v>
      </c>
      <c r="K100">
        <v>9.5</v>
      </c>
      <c r="L100">
        <v>9.5000000000000001E-2</v>
      </c>
      <c r="M100">
        <v>2.6</v>
      </c>
      <c r="N100">
        <v>1.9E-2</v>
      </c>
      <c r="O100">
        <v>27.69</v>
      </c>
    </row>
    <row r="101" spans="1:15" ht="16" customHeight="1" thickBot="1" x14ac:dyDescent="0.25">
      <c r="A101" t="s">
        <v>485</v>
      </c>
      <c r="B101">
        <v>734.11</v>
      </c>
      <c r="C101">
        <v>-13.1</v>
      </c>
      <c r="D101">
        <v>50.7</v>
      </c>
      <c r="E101">
        <v>13</v>
      </c>
      <c r="G101">
        <v>3.7999999999999999E-2</v>
      </c>
      <c r="H101">
        <v>-8.3000000000000007</v>
      </c>
      <c r="I101">
        <v>19.100000000000001</v>
      </c>
      <c r="J101">
        <v>0.111</v>
      </c>
      <c r="K101">
        <v>14</v>
      </c>
      <c r="L101">
        <v>0.12</v>
      </c>
      <c r="M101">
        <v>7</v>
      </c>
      <c r="N101">
        <v>0.06</v>
      </c>
      <c r="O101">
        <v>19.13</v>
      </c>
    </row>
    <row r="102" spans="1:15" x14ac:dyDescent="0.2">
      <c r="A102" t="s">
        <v>486</v>
      </c>
      <c r="B102">
        <v>4.1900000000000004</v>
      </c>
      <c r="C102">
        <v>1</v>
      </c>
      <c r="D102">
        <v>60.7</v>
      </c>
      <c r="E102">
        <v>373</v>
      </c>
      <c r="F102">
        <v>3.9E-2</v>
      </c>
      <c r="G102">
        <v>0.05</v>
      </c>
      <c r="H102">
        <v>-3.2</v>
      </c>
      <c r="I102">
        <v>2.8</v>
      </c>
      <c r="J102">
        <v>3.3000000000000002E-2</v>
      </c>
      <c r="K102">
        <v>2.25</v>
      </c>
      <c r="L102">
        <v>1.7500000000000002E-2</v>
      </c>
      <c r="M102">
        <v>3.9</v>
      </c>
      <c r="N102">
        <v>4.2999999999999997E-2</v>
      </c>
      <c r="O102">
        <v>32.729999999999997</v>
      </c>
    </row>
    <row r="103" spans="1:15" ht="16" customHeight="1" thickBot="1" x14ac:dyDescent="0.25">
      <c r="A103" t="s">
        <v>487</v>
      </c>
      <c r="B103">
        <v>15.46</v>
      </c>
      <c r="C103">
        <v>-9</v>
      </c>
      <c r="D103">
        <v>66.599999999999994</v>
      </c>
      <c r="E103">
        <v>5</v>
      </c>
      <c r="G103">
        <v>0.49399999999999999</v>
      </c>
      <c r="H103">
        <v>-16.600000000000001</v>
      </c>
      <c r="I103">
        <v>2.46</v>
      </c>
      <c r="J103">
        <v>-2E-3</v>
      </c>
      <c r="K103">
        <v>7</v>
      </c>
      <c r="L103">
        <v>7.0000000000000007E-2</v>
      </c>
      <c r="M103">
        <v>6.4</v>
      </c>
      <c r="N103">
        <v>6.4000000000000001E-2</v>
      </c>
      <c r="O103">
        <v>0.56999999999999995</v>
      </c>
    </row>
    <row r="104" spans="1:15" x14ac:dyDescent="0.2">
      <c r="A104" t="s">
        <v>488</v>
      </c>
      <c r="B104">
        <v>588.96</v>
      </c>
      <c r="C104">
        <v>-4.5</v>
      </c>
      <c r="E104">
        <v>19</v>
      </c>
      <c r="G104">
        <v>3.5000000000000003E-2</v>
      </c>
      <c r="H104">
        <v>-4.7</v>
      </c>
      <c r="I104">
        <v>7.5</v>
      </c>
      <c r="J104">
        <v>2.9000000000000001E-2</v>
      </c>
      <c r="K104">
        <v>4</v>
      </c>
      <c r="L104">
        <v>0.04</v>
      </c>
      <c r="M104">
        <v>7.7</v>
      </c>
      <c r="N104">
        <v>7.4999999999999997E-2</v>
      </c>
      <c r="O104">
        <v>20.25</v>
      </c>
    </row>
    <row r="105" spans="1:15" x14ac:dyDescent="0.2">
      <c r="A105" t="s">
        <v>489</v>
      </c>
      <c r="B105">
        <v>1.1100000000000001</v>
      </c>
      <c r="C105">
        <v>-4</v>
      </c>
      <c r="D105">
        <v>57</v>
      </c>
      <c r="E105">
        <v>17</v>
      </c>
      <c r="F105">
        <v>2.3E-2</v>
      </c>
      <c r="G105">
        <v>7.5999999999999998E-2</v>
      </c>
      <c r="H105">
        <v>-8</v>
      </c>
      <c r="I105">
        <v>5.8</v>
      </c>
      <c r="J105">
        <v>2.4E-2</v>
      </c>
      <c r="K105">
        <v>0</v>
      </c>
      <c r="L105">
        <v>0</v>
      </c>
      <c r="M105">
        <v>3.2</v>
      </c>
      <c r="N105">
        <v>3.5999999999999997E-2</v>
      </c>
      <c r="O105">
        <v>0.51</v>
      </c>
    </row>
    <row r="106" spans="1:15" x14ac:dyDescent="0.2">
      <c r="A106" t="s">
        <v>490</v>
      </c>
      <c r="B106">
        <v>357.3</v>
      </c>
      <c r="C106">
        <v>-7.6</v>
      </c>
      <c r="D106">
        <v>53.1</v>
      </c>
      <c r="E106">
        <v>8</v>
      </c>
      <c r="G106">
        <v>3.9E-2</v>
      </c>
      <c r="H106">
        <v>-0.4</v>
      </c>
      <c r="I106">
        <v>8.1999999999999993</v>
      </c>
      <c r="J106">
        <v>4.7E-2</v>
      </c>
      <c r="K106">
        <v>5</v>
      </c>
      <c r="L106">
        <v>0.05</v>
      </c>
      <c r="M106">
        <v>11.5</v>
      </c>
      <c r="N106">
        <v>0.107</v>
      </c>
      <c r="O106">
        <v>4.6500000000000004</v>
      </c>
    </row>
    <row r="107" spans="1:15" x14ac:dyDescent="0.2">
      <c r="A107" t="s">
        <v>491</v>
      </c>
      <c r="B107">
        <v>42.9</v>
      </c>
      <c r="C107">
        <v>-13.6</v>
      </c>
      <c r="D107">
        <v>89</v>
      </c>
      <c r="E107">
        <v>11</v>
      </c>
      <c r="F107">
        <v>4.8000000000000001E-2</v>
      </c>
      <c r="G107">
        <v>4.8000000000000001E-2</v>
      </c>
      <c r="H107">
        <v>-5</v>
      </c>
      <c r="I107">
        <v>9.6</v>
      </c>
      <c r="J107">
        <v>6.4000000000000001E-2</v>
      </c>
      <c r="K107">
        <v>2.25</v>
      </c>
      <c r="L107">
        <v>1.8499999999999999E-2</v>
      </c>
      <c r="M107">
        <v>8.6999999999999993</v>
      </c>
      <c r="N107">
        <v>0.105</v>
      </c>
      <c r="O107">
        <v>1.27</v>
      </c>
    </row>
    <row r="108" spans="1:15" ht="16" customHeight="1" thickBot="1" x14ac:dyDescent="0.25">
      <c r="A108" t="s">
        <v>492</v>
      </c>
      <c r="B108">
        <v>19.36</v>
      </c>
      <c r="C108">
        <v>2.4</v>
      </c>
      <c r="D108">
        <v>52.1</v>
      </c>
      <c r="E108">
        <v>1293</v>
      </c>
      <c r="F108">
        <v>0.01</v>
      </c>
      <c r="G108">
        <v>1.7999999999999999E-2</v>
      </c>
      <c r="H108">
        <v>-3.8</v>
      </c>
      <c r="I108">
        <v>7.99</v>
      </c>
      <c r="J108">
        <v>7.3700000000000002E-2</v>
      </c>
      <c r="K108">
        <v>7.75</v>
      </c>
      <c r="L108">
        <v>5.5E-2</v>
      </c>
      <c r="M108">
        <v>3.3</v>
      </c>
      <c r="N108">
        <v>3.9E-2</v>
      </c>
      <c r="O108">
        <v>126.25</v>
      </c>
    </row>
    <row r="109" spans="1:15" x14ac:dyDescent="0.2">
      <c r="A109" t="s">
        <v>493</v>
      </c>
      <c r="B109">
        <v>17.97</v>
      </c>
      <c r="C109">
        <v>-11.6</v>
      </c>
      <c r="D109">
        <v>32.1</v>
      </c>
      <c r="E109">
        <v>14</v>
      </c>
      <c r="F109">
        <v>-6.4000000000000001E-2</v>
      </c>
      <c r="G109">
        <v>1.0999999999999999E-2</v>
      </c>
      <c r="H109">
        <v>-8</v>
      </c>
      <c r="I109">
        <v>31.83</v>
      </c>
      <c r="J109">
        <v>0.1244</v>
      </c>
      <c r="K109">
        <v>18.5</v>
      </c>
      <c r="L109">
        <v>6.5000000000000002E-2</v>
      </c>
      <c r="M109">
        <v>3</v>
      </c>
      <c r="N109">
        <v>2.5000000000000001E-2</v>
      </c>
      <c r="O109">
        <v>2.59</v>
      </c>
    </row>
    <row r="110" spans="1:15" ht="16" customHeight="1" thickBot="1" x14ac:dyDescent="0.25">
      <c r="A110" t="s">
        <v>494</v>
      </c>
      <c r="B110">
        <v>1.1100000000000001</v>
      </c>
      <c r="E110">
        <v>7</v>
      </c>
      <c r="G110">
        <v>-0.11799999999999999</v>
      </c>
      <c r="O110">
        <v>0.04</v>
      </c>
    </row>
    <row r="111" spans="1:15" x14ac:dyDescent="0.2">
      <c r="A111" t="s">
        <v>495</v>
      </c>
      <c r="B111">
        <v>2728</v>
      </c>
      <c r="C111">
        <v>-12.3</v>
      </c>
      <c r="D111">
        <v>66</v>
      </c>
      <c r="E111">
        <v>15</v>
      </c>
      <c r="F111">
        <v>6.0999999999999999E-2</v>
      </c>
      <c r="G111">
        <v>-3.7999999999999999E-2</v>
      </c>
      <c r="H111">
        <v>-11.5</v>
      </c>
      <c r="I111">
        <v>15.1</v>
      </c>
      <c r="J111">
        <v>0.105</v>
      </c>
      <c r="K111">
        <v>10</v>
      </c>
      <c r="L111">
        <v>0.06</v>
      </c>
      <c r="M111">
        <v>8.1</v>
      </c>
      <c r="N111">
        <v>8.4000000000000005E-2</v>
      </c>
      <c r="O111">
        <v>3.27</v>
      </c>
    </row>
    <row r="112" spans="1:15" x14ac:dyDescent="0.2">
      <c r="A112" t="s">
        <v>496</v>
      </c>
      <c r="B112">
        <v>1.1100000000000001</v>
      </c>
      <c r="C112">
        <v>-25.9</v>
      </c>
      <c r="D112">
        <v>103.28</v>
      </c>
      <c r="E112">
        <v>6</v>
      </c>
      <c r="G112">
        <v>7.2000000000000008E-2</v>
      </c>
      <c r="H112">
        <v>-10.1</v>
      </c>
      <c r="I112">
        <v>11.7</v>
      </c>
      <c r="J112">
        <v>4.3999999999999997E-2</v>
      </c>
      <c r="M112">
        <v>20.63</v>
      </c>
      <c r="N112">
        <v>0.23810000000000001</v>
      </c>
      <c r="O112">
        <v>0.62</v>
      </c>
    </row>
    <row r="113" spans="1:15" ht="16" customHeight="1" thickBot="1" x14ac:dyDescent="0.25">
      <c r="A113" t="s">
        <v>497</v>
      </c>
      <c r="B113">
        <v>8.9600000000000009</v>
      </c>
      <c r="C113">
        <v>-2.2999999999999998</v>
      </c>
      <c r="D113">
        <v>77.900000000000006</v>
      </c>
      <c r="E113">
        <v>133</v>
      </c>
      <c r="F113">
        <v>1.0999999999999999E-2</v>
      </c>
      <c r="G113">
        <v>3.0000000000000001E-3</v>
      </c>
      <c r="H113">
        <v>-6.9</v>
      </c>
      <c r="I113">
        <v>5.9</v>
      </c>
      <c r="J113">
        <v>2.5999999999999999E-2</v>
      </c>
      <c r="K113">
        <v>1.5</v>
      </c>
      <c r="L113">
        <v>1.4999999999999999E-2</v>
      </c>
      <c r="M113">
        <v>12.1</v>
      </c>
      <c r="N113">
        <v>0.11799999999999999</v>
      </c>
      <c r="O113">
        <v>35.950000000000003</v>
      </c>
    </row>
    <row r="114" spans="1:15" ht="16" customHeight="1" thickBot="1" x14ac:dyDescent="0.25">
      <c r="A114" t="s">
        <v>498</v>
      </c>
      <c r="B114">
        <v>63</v>
      </c>
      <c r="C114">
        <v>-30.8</v>
      </c>
      <c r="D114">
        <v>130</v>
      </c>
      <c r="E114">
        <v>16</v>
      </c>
      <c r="F114">
        <v>0.02</v>
      </c>
      <c r="G114">
        <v>4.1399999999999999E-2</v>
      </c>
      <c r="H114">
        <v>-4.8</v>
      </c>
      <c r="I114">
        <v>10.81</v>
      </c>
      <c r="J114">
        <v>6.7699999999999996E-2</v>
      </c>
      <c r="K114">
        <v>15.25</v>
      </c>
      <c r="L114">
        <v>0.13250000000000001</v>
      </c>
      <c r="M114">
        <v>25.04</v>
      </c>
      <c r="N114">
        <v>0.25040000000000001</v>
      </c>
      <c r="O114">
        <v>30.83</v>
      </c>
    </row>
    <row r="115" spans="1:15" x14ac:dyDescent="0.2">
      <c r="A115" t="s">
        <v>499</v>
      </c>
      <c r="B115">
        <v>1500</v>
      </c>
      <c r="C115">
        <v>-4</v>
      </c>
      <c r="D115">
        <v>42.4</v>
      </c>
      <c r="E115">
        <v>65</v>
      </c>
      <c r="G115">
        <v>-0.18</v>
      </c>
      <c r="H115">
        <v>-5.6</v>
      </c>
      <c r="I115">
        <v>13.82</v>
      </c>
      <c r="J115">
        <v>6.5099999999999991E-2</v>
      </c>
      <c r="K115">
        <v>7</v>
      </c>
      <c r="L115">
        <v>7.0000000000000007E-2</v>
      </c>
      <c r="M115">
        <v>1.79</v>
      </c>
      <c r="N115">
        <v>1.7899999999999999E-2</v>
      </c>
      <c r="O115">
        <v>54.53</v>
      </c>
    </row>
    <row r="116" spans="1:15" ht="16" customHeight="1" thickBot="1" x14ac:dyDescent="0.25">
      <c r="A116" t="s">
        <v>500</v>
      </c>
      <c r="B116">
        <v>14.72</v>
      </c>
      <c r="C116">
        <v>-9.1</v>
      </c>
      <c r="D116">
        <v>76</v>
      </c>
      <c r="E116">
        <v>12</v>
      </c>
      <c r="F116">
        <v>-5.6000000000000008E-3</v>
      </c>
      <c r="G116">
        <v>5.2999999999999999E-2</v>
      </c>
      <c r="H116">
        <v>-8.6999999999999993</v>
      </c>
      <c r="I116">
        <v>6</v>
      </c>
      <c r="J116">
        <v>4.0999999999999988E-2</v>
      </c>
      <c r="K116">
        <v>4.75</v>
      </c>
      <c r="L116">
        <v>3.7499999999999999E-2</v>
      </c>
      <c r="M116">
        <v>33.4</v>
      </c>
      <c r="N116">
        <v>0.33400000000000002</v>
      </c>
      <c r="O116">
        <v>2.5</v>
      </c>
    </row>
    <row r="117" spans="1:15" ht="16" customHeight="1" thickBot="1" x14ac:dyDescent="0.25">
      <c r="A117" t="s">
        <v>501</v>
      </c>
      <c r="B117">
        <v>113.59</v>
      </c>
      <c r="C117">
        <v>-0.9</v>
      </c>
      <c r="D117">
        <v>37.700000000000003</v>
      </c>
      <c r="E117">
        <v>36</v>
      </c>
      <c r="G117">
        <v>0.04</v>
      </c>
      <c r="H117">
        <v>-4.3</v>
      </c>
      <c r="I117">
        <v>7.87</v>
      </c>
      <c r="J117">
        <v>5.3199999999999997E-2</v>
      </c>
      <c r="K117">
        <v>7</v>
      </c>
      <c r="L117">
        <v>0.05</v>
      </c>
      <c r="M117">
        <v>4.4400000000000004</v>
      </c>
      <c r="N117">
        <v>4.4400000000000002E-2</v>
      </c>
      <c r="O117">
        <v>29.13</v>
      </c>
    </row>
    <row r="118" spans="1:15" ht="16" customHeight="1" thickBot="1" x14ac:dyDescent="0.25">
      <c r="A118" t="s">
        <v>502</v>
      </c>
      <c r="B118">
        <v>1.1100000000000001</v>
      </c>
      <c r="C118">
        <v>7.8</v>
      </c>
      <c r="D118">
        <v>52.1</v>
      </c>
      <c r="E118">
        <v>1018</v>
      </c>
      <c r="F118">
        <v>4.0000000000000001E-3</v>
      </c>
      <c r="G118">
        <v>6.7000000000000004E-2</v>
      </c>
      <c r="H118">
        <v>-2.5</v>
      </c>
      <c r="I118">
        <v>8.6</v>
      </c>
      <c r="J118">
        <v>5.1999999999999998E-2</v>
      </c>
      <c r="K118">
        <v>0</v>
      </c>
      <c r="L118">
        <v>0</v>
      </c>
      <c r="M118">
        <v>3.3</v>
      </c>
      <c r="N118">
        <v>2.7E-2</v>
      </c>
      <c r="O118">
        <v>17.41</v>
      </c>
    </row>
    <row r="119" spans="1:15" ht="16" customHeight="1" thickBot="1" x14ac:dyDescent="0.25">
      <c r="A119" t="s">
        <v>503</v>
      </c>
      <c r="B119">
        <v>107</v>
      </c>
      <c r="E119">
        <v>9</v>
      </c>
      <c r="G119">
        <v>-2.5999999999999999E-2</v>
      </c>
      <c r="I119">
        <v>2.2000000000000002</v>
      </c>
      <c r="J119">
        <v>6.3E-3</v>
      </c>
      <c r="K119">
        <v>0.25</v>
      </c>
      <c r="L119">
        <v>2.5000000000000001E-3</v>
      </c>
      <c r="M119">
        <v>16.5</v>
      </c>
      <c r="N119">
        <v>0.16500000000000001</v>
      </c>
      <c r="O119">
        <v>0.27</v>
      </c>
    </row>
    <row r="120" spans="1:15" ht="16" customHeight="1" thickBot="1" x14ac:dyDescent="0.25">
      <c r="A120" t="s">
        <v>504</v>
      </c>
      <c r="B120">
        <v>0.63</v>
      </c>
      <c r="C120">
        <v>-2.7</v>
      </c>
      <c r="D120">
        <v>30.1</v>
      </c>
      <c r="E120">
        <v>250</v>
      </c>
      <c r="F120">
        <v>-2E-3</v>
      </c>
      <c r="G120">
        <v>1.2E-2</v>
      </c>
      <c r="H120">
        <v>-1.3</v>
      </c>
      <c r="I120">
        <v>6.9</v>
      </c>
      <c r="J120">
        <v>4.9000000000000002E-2</v>
      </c>
      <c r="K120">
        <v>2.5</v>
      </c>
      <c r="L120">
        <v>7.4999999999999997E-3</v>
      </c>
      <c r="M120">
        <v>3.2</v>
      </c>
      <c r="N120">
        <v>3.4000000000000002E-2</v>
      </c>
      <c r="O120">
        <v>5.12</v>
      </c>
    </row>
    <row r="121" spans="1:15" ht="16" customHeight="1" thickBot="1" x14ac:dyDescent="0.25">
      <c r="A121" t="s">
        <v>505</v>
      </c>
      <c r="B121">
        <v>33.47</v>
      </c>
      <c r="C121">
        <v>7.6</v>
      </c>
      <c r="D121">
        <v>64.8</v>
      </c>
      <c r="E121">
        <v>14</v>
      </c>
      <c r="G121">
        <v>0.10100000000000001</v>
      </c>
      <c r="H121">
        <v>-1</v>
      </c>
      <c r="I121">
        <v>10.61</v>
      </c>
      <c r="J121">
        <v>6.4100000000000004E-2</v>
      </c>
      <c r="K121">
        <v>8.66</v>
      </c>
      <c r="L121">
        <v>8.6199999999999999E-2</v>
      </c>
      <c r="M121">
        <v>3.7</v>
      </c>
      <c r="N121">
        <v>4.9000000000000002E-2</v>
      </c>
      <c r="O121">
        <v>6.75</v>
      </c>
    </row>
    <row r="122" spans="1:15" ht="16" customHeight="1" thickBot="1" x14ac:dyDescent="0.25">
      <c r="A122" t="s">
        <v>506</v>
      </c>
      <c r="B122">
        <v>588.96</v>
      </c>
      <c r="C122">
        <v>-13.6</v>
      </c>
      <c r="D122">
        <v>50.9</v>
      </c>
      <c r="E122">
        <v>15</v>
      </c>
      <c r="G122">
        <v>8.0000000000000002E-3</v>
      </c>
      <c r="H122">
        <v>-5.2</v>
      </c>
      <c r="I122">
        <v>4.8899999999999997</v>
      </c>
      <c r="J122">
        <v>3.61E-2</v>
      </c>
      <c r="K122">
        <v>4</v>
      </c>
      <c r="L122">
        <v>0.04</v>
      </c>
      <c r="M122">
        <v>0.8</v>
      </c>
      <c r="N122">
        <v>6.9999999999999993E-3</v>
      </c>
      <c r="O122">
        <v>24.2</v>
      </c>
    </row>
    <row r="123" spans="1:15" x14ac:dyDescent="0.2">
      <c r="A123" t="s">
        <v>507</v>
      </c>
      <c r="B123">
        <v>411</v>
      </c>
      <c r="C123">
        <v>-2.8</v>
      </c>
      <c r="D123">
        <v>37</v>
      </c>
      <c r="E123">
        <v>441</v>
      </c>
      <c r="F123">
        <v>-0.14660000000000001</v>
      </c>
      <c r="G123">
        <v>3.1099999999999999E-2</v>
      </c>
      <c r="H123">
        <v>-4.7</v>
      </c>
      <c r="I123">
        <v>18.600000000000001</v>
      </c>
      <c r="J123">
        <v>0.154</v>
      </c>
      <c r="K123">
        <v>13</v>
      </c>
      <c r="L123">
        <v>0.115</v>
      </c>
      <c r="M123">
        <v>33.299999999999997</v>
      </c>
      <c r="N123">
        <v>0.33300000000000002</v>
      </c>
      <c r="O123">
        <v>206.14</v>
      </c>
    </row>
    <row r="124" spans="1:15" ht="16" customHeight="1" thickBot="1" x14ac:dyDescent="0.25">
      <c r="A124" t="s">
        <v>508</v>
      </c>
      <c r="B124">
        <v>8.93</v>
      </c>
      <c r="C124">
        <v>2</v>
      </c>
      <c r="D124">
        <v>43.2</v>
      </c>
      <c r="E124">
        <v>482</v>
      </c>
      <c r="F124">
        <v>-0.01</v>
      </c>
      <c r="G124">
        <v>4.8000000000000001E-2</v>
      </c>
      <c r="H124">
        <v>9.1</v>
      </c>
      <c r="I124">
        <v>6.3</v>
      </c>
      <c r="J124">
        <v>5.0999999999999997E-2</v>
      </c>
      <c r="K124">
        <v>1.25</v>
      </c>
      <c r="L124">
        <v>5.0000000000000001E-3</v>
      </c>
      <c r="M124">
        <v>3.3</v>
      </c>
      <c r="N124">
        <v>4.2000000000000003E-2</v>
      </c>
      <c r="O124">
        <v>5.37</v>
      </c>
    </row>
    <row r="125" spans="1:15" ht="16" customHeight="1" thickBot="1" x14ac:dyDescent="0.25">
      <c r="A125" t="s">
        <v>509</v>
      </c>
      <c r="B125">
        <v>0.38</v>
      </c>
      <c r="C125">
        <v>-5.2</v>
      </c>
      <c r="D125">
        <v>55.9</v>
      </c>
      <c r="E125">
        <v>86</v>
      </c>
      <c r="G125">
        <v>-6.3E-2</v>
      </c>
      <c r="H125">
        <v>-7</v>
      </c>
      <c r="I125">
        <v>2.4</v>
      </c>
      <c r="J125">
        <v>3.56E-2</v>
      </c>
      <c r="K125">
        <v>1.5</v>
      </c>
      <c r="L125">
        <v>5.0000000000000001E-3</v>
      </c>
      <c r="M125">
        <v>5</v>
      </c>
      <c r="N125">
        <v>0.05</v>
      </c>
      <c r="O125">
        <v>4.53</v>
      </c>
    </row>
    <row r="126" spans="1:15" ht="16" customHeight="1" thickBot="1" x14ac:dyDescent="0.25">
      <c r="A126" t="s">
        <v>510</v>
      </c>
      <c r="B126">
        <v>159</v>
      </c>
      <c r="C126">
        <v>-0.6</v>
      </c>
      <c r="D126">
        <v>84</v>
      </c>
      <c r="E126">
        <v>346</v>
      </c>
      <c r="F126">
        <v>5.79E-2</v>
      </c>
      <c r="G126">
        <v>3.9399999999999998E-2</v>
      </c>
      <c r="H126">
        <v>-7.1</v>
      </c>
      <c r="I126">
        <v>21.3</v>
      </c>
      <c r="J126">
        <v>0.115</v>
      </c>
      <c r="K126">
        <v>15</v>
      </c>
      <c r="L126">
        <v>9.7500000000000003E-2</v>
      </c>
      <c r="M126">
        <v>4.4000000000000004</v>
      </c>
      <c r="N126">
        <v>4.3999999999999997E-2</v>
      </c>
      <c r="O126">
        <v>221</v>
      </c>
    </row>
    <row r="127" spans="1:15" x14ac:dyDescent="0.2">
      <c r="A127" t="s">
        <v>511</v>
      </c>
      <c r="C127">
        <v>-6.9</v>
      </c>
      <c r="D127">
        <v>16.399999999999999</v>
      </c>
      <c r="E127">
        <v>16</v>
      </c>
      <c r="G127">
        <v>0.06</v>
      </c>
      <c r="H127">
        <v>-0.5</v>
      </c>
      <c r="I127">
        <v>4.47</v>
      </c>
      <c r="J127">
        <v>1.38E-2</v>
      </c>
      <c r="M127">
        <v>25</v>
      </c>
      <c r="N127">
        <v>0.27</v>
      </c>
      <c r="O127">
        <v>5.0999999999999996</v>
      </c>
    </row>
    <row r="128" spans="1:15" ht="16" customHeight="1" thickBot="1" x14ac:dyDescent="0.25">
      <c r="A128" t="s">
        <v>512</v>
      </c>
      <c r="B128">
        <v>1</v>
      </c>
      <c r="C128">
        <v>2.2999999999999998</v>
      </c>
      <c r="D128">
        <v>69.819999999999993</v>
      </c>
      <c r="E128">
        <v>64</v>
      </c>
      <c r="G128">
        <v>0.13600000000000001</v>
      </c>
      <c r="H128">
        <v>-9.23</v>
      </c>
      <c r="I128">
        <v>4.22</v>
      </c>
      <c r="J128">
        <v>3.3599999999999998E-2</v>
      </c>
      <c r="K128">
        <v>1.36</v>
      </c>
      <c r="L128">
        <v>1.3599999999999999E-2</v>
      </c>
      <c r="M128">
        <v>18.5</v>
      </c>
      <c r="N128">
        <v>0.185</v>
      </c>
      <c r="O128">
        <v>4.38</v>
      </c>
    </row>
    <row r="129" spans="1:15" x14ac:dyDescent="0.2">
      <c r="A129" t="s">
        <v>513</v>
      </c>
      <c r="B129">
        <v>3.41</v>
      </c>
      <c r="C129">
        <v>16.899999999999999</v>
      </c>
      <c r="D129">
        <v>48.9</v>
      </c>
      <c r="E129">
        <v>27</v>
      </c>
      <c r="G129">
        <v>-3.7999999999999999E-2</v>
      </c>
      <c r="H129">
        <v>-8.1</v>
      </c>
      <c r="I129">
        <v>6.9</v>
      </c>
      <c r="J129">
        <v>3.3099999999999997E-2</v>
      </c>
      <c r="K129">
        <v>3</v>
      </c>
      <c r="L129">
        <v>0.03</v>
      </c>
      <c r="M129">
        <v>2.7</v>
      </c>
      <c r="N129">
        <v>2.7E-2</v>
      </c>
      <c r="O129">
        <v>8.9499999999999993</v>
      </c>
    </row>
    <row r="130" spans="1:15" x14ac:dyDescent="0.2">
      <c r="A130" t="s">
        <v>514</v>
      </c>
      <c r="B130">
        <v>6838.31</v>
      </c>
      <c r="C130">
        <v>2.2000000000000002</v>
      </c>
      <c r="D130">
        <v>33.9</v>
      </c>
      <c r="E130">
        <v>39</v>
      </c>
      <c r="F130">
        <v>-1.8200000000000001E-2</v>
      </c>
      <c r="G130">
        <v>-0.02</v>
      </c>
      <c r="H130">
        <v>-5.5</v>
      </c>
      <c r="I130">
        <v>11.5</v>
      </c>
      <c r="J130">
        <v>7.400000000000001E-2</v>
      </c>
      <c r="K130">
        <v>7.75</v>
      </c>
      <c r="L130">
        <v>5.2499999999999998E-2</v>
      </c>
      <c r="M130">
        <v>6.8</v>
      </c>
      <c r="N130">
        <v>8.5999999999999993E-2</v>
      </c>
      <c r="O130">
        <v>7.35</v>
      </c>
    </row>
    <row r="131" spans="1:15" ht="16" customHeight="1" thickBot="1" x14ac:dyDescent="0.25">
      <c r="A131" t="s">
        <v>515</v>
      </c>
      <c r="B131">
        <v>3.96</v>
      </c>
      <c r="C131">
        <v>-2.9</v>
      </c>
      <c r="D131">
        <v>36</v>
      </c>
      <c r="E131">
        <v>223</v>
      </c>
      <c r="F131">
        <v>9.0000000000000011E-3</v>
      </c>
      <c r="G131">
        <v>3.7999999999999999E-2</v>
      </c>
      <c r="H131">
        <v>-2.6</v>
      </c>
      <c r="I131">
        <v>8.81</v>
      </c>
      <c r="J131">
        <v>5.6599999999999998E-2</v>
      </c>
      <c r="K131">
        <v>6</v>
      </c>
      <c r="L131">
        <v>2.5000000000000001E-2</v>
      </c>
      <c r="M131">
        <v>6.8</v>
      </c>
      <c r="N131">
        <v>9.0999999999999998E-2</v>
      </c>
      <c r="O131">
        <v>32.78</v>
      </c>
    </row>
    <row r="132" spans="1:15" x14ac:dyDescent="0.2">
      <c r="A132" t="s">
        <v>516</v>
      </c>
      <c r="B132">
        <v>50.07</v>
      </c>
      <c r="C132">
        <v>3.6</v>
      </c>
      <c r="D132">
        <v>53.5</v>
      </c>
      <c r="E132">
        <v>394</v>
      </c>
      <c r="F132">
        <v>1.9E-2</v>
      </c>
      <c r="G132">
        <v>8.3000000000000004E-2</v>
      </c>
      <c r="H132">
        <v>-7.5</v>
      </c>
      <c r="I132">
        <v>6.1</v>
      </c>
      <c r="J132">
        <v>4.2000000000000003E-2</v>
      </c>
      <c r="K132">
        <v>3.25</v>
      </c>
      <c r="L132">
        <v>0.02</v>
      </c>
      <c r="M132">
        <v>6</v>
      </c>
      <c r="N132">
        <v>7.400000000000001E-2</v>
      </c>
      <c r="O132">
        <v>109.6</v>
      </c>
    </row>
    <row r="133" spans="1:15" x14ac:dyDescent="0.2">
      <c r="A133" t="s">
        <v>517</v>
      </c>
      <c r="B133">
        <v>3.89</v>
      </c>
      <c r="C133">
        <v>3.6</v>
      </c>
      <c r="D133">
        <v>53.8</v>
      </c>
      <c r="E133">
        <v>674</v>
      </c>
      <c r="F133">
        <v>2.5000000000000001E-2</v>
      </c>
      <c r="G133">
        <v>8.5000000000000006E-2</v>
      </c>
      <c r="H133">
        <v>-1.9</v>
      </c>
      <c r="I133">
        <v>15.5</v>
      </c>
      <c r="J133">
        <v>7.8E-2</v>
      </c>
      <c r="K133">
        <v>6.5</v>
      </c>
      <c r="L133">
        <v>1.7500000000000002E-2</v>
      </c>
      <c r="M133">
        <v>5.0999999999999996</v>
      </c>
      <c r="N133">
        <v>5.5E-2</v>
      </c>
      <c r="O133">
        <v>37.96</v>
      </c>
    </row>
    <row r="134" spans="1:15" x14ac:dyDescent="0.2">
      <c r="A134" t="s">
        <v>518</v>
      </c>
      <c r="B134">
        <v>1.1100000000000001</v>
      </c>
      <c r="C134">
        <v>-1.2</v>
      </c>
      <c r="D134">
        <v>127.4</v>
      </c>
      <c r="E134">
        <v>250</v>
      </c>
      <c r="F134">
        <v>2.5999999999999999E-2</v>
      </c>
      <c r="G134">
        <v>0.11899999999999999</v>
      </c>
      <c r="H134">
        <v>-2.8</v>
      </c>
      <c r="I134">
        <v>8.6999999999999993</v>
      </c>
      <c r="J134">
        <v>2.5999999999999999E-2</v>
      </c>
      <c r="K134">
        <v>0</v>
      </c>
      <c r="L134">
        <v>0</v>
      </c>
      <c r="M134">
        <v>5.9</v>
      </c>
      <c r="N134">
        <v>6.0999999999999999E-2</v>
      </c>
      <c r="O134">
        <v>10.3</v>
      </c>
    </row>
    <row r="135" spans="1:15" x14ac:dyDescent="0.2">
      <c r="A135" t="s">
        <v>519</v>
      </c>
      <c r="B135">
        <v>98.56</v>
      </c>
      <c r="E135">
        <v>103</v>
      </c>
      <c r="G135">
        <v>1.0999999999999999E-2</v>
      </c>
      <c r="I135">
        <v>6.1</v>
      </c>
      <c r="J135">
        <v>3.5000000000000003E-2</v>
      </c>
      <c r="M135">
        <v>5.9</v>
      </c>
      <c r="N135">
        <v>7.2000000000000008E-2</v>
      </c>
      <c r="O135">
        <v>3.21</v>
      </c>
    </row>
    <row r="136" spans="1:15" ht="16" customHeight="1" thickBot="1" x14ac:dyDescent="0.25">
      <c r="A136" t="s">
        <v>520</v>
      </c>
      <c r="B136">
        <v>3.7</v>
      </c>
      <c r="C136">
        <v>-2.5</v>
      </c>
      <c r="D136">
        <v>71.8</v>
      </c>
      <c r="E136">
        <v>180</v>
      </c>
      <c r="F136">
        <v>-3.0000000000000001E-3</v>
      </c>
      <c r="G136">
        <v>2.5000000000000001E-2</v>
      </c>
      <c r="H136">
        <v>-2.1</v>
      </c>
      <c r="I136">
        <v>5.41</v>
      </c>
      <c r="J136">
        <v>6.0900000000000003E-2</v>
      </c>
      <c r="K136">
        <v>3.25</v>
      </c>
      <c r="L136">
        <v>2.5000000000000001E-2</v>
      </c>
      <c r="M136">
        <v>0.1</v>
      </c>
      <c r="N136">
        <v>1E-3</v>
      </c>
      <c r="O136">
        <v>2.88</v>
      </c>
    </row>
    <row r="137" spans="1:15" x14ac:dyDescent="0.2">
      <c r="A137" t="s">
        <v>521</v>
      </c>
      <c r="B137">
        <v>551.32000000000005</v>
      </c>
      <c r="C137">
        <v>15.5</v>
      </c>
      <c r="D137">
        <v>85</v>
      </c>
      <c r="E137">
        <v>13</v>
      </c>
      <c r="G137">
        <v>-2E-3</v>
      </c>
      <c r="H137">
        <v>1.4</v>
      </c>
      <c r="I137">
        <v>1.1000000000000001</v>
      </c>
      <c r="J137">
        <v>1.0999999999999999E-2</v>
      </c>
      <c r="K137">
        <v>4</v>
      </c>
      <c r="L137">
        <v>3.2500000000000001E-2</v>
      </c>
      <c r="M137">
        <v>23</v>
      </c>
      <c r="N137">
        <v>0.10299999999999999</v>
      </c>
      <c r="O137">
        <v>5.52</v>
      </c>
    </row>
    <row r="138" spans="1:15" ht="16" customHeight="1" thickBot="1" x14ac:dyDescent="0.25">
      <c r="A138" t="s">
        <v>522</v>
      </c>
      <c r="B138">
        <v>4.18</v>
      </c>
      <c r="C138">
        <v>-5.0999999999999996</v>
      </c>
      <c r="D138">
        <v>48.8</v>
      </c>
      <c r="E138">
        <v>284</v>
      </c>
      <c r="F138">
        <v>5.0999999999999997E-2</v>
      </c>
      <c r="G138">
        <v>6.4000000000000001E-2</v>
      </c>
      <c r="H138">
        <v>-7.1</v>
      </c>
      <c r="I138">
        <v>15.05</v>
      </c>
      <c r="J138">
        <v>7.8E-2</v>
      </c>
      <c r="K138">
        <v>4.75</v>
      </c>
      <c r="L138">
        <v>1.7500000000000002E-2</v>
      </c>
      <c r="M138">
        <v>5.4</v>
      </c>
      <c r="N138">
        <v>5.2999999999999999E-2</v>
      </c>
      <c r="O138">
        <v>19.329999999999998</v>
      </c>
    </row>
    <row r="139" spans="1:15" ht="16" customHeight="1" thickBot="1" x14ac:dyDescent="0.25">
      <c r="A139" t="s">
        <v>523</v>
      </c>
      <c r="B139">
        <v>64.349999999999994</v>
      </c>
      <c r="C139">
        <v>6.8</v>
      </c>
      <c r="D139">
        <v>18.2</v>
      </c>
      <c r="E139">
        <v>1776</v>
      </c>
      <c r="F139">
        <v>-8.0000000000000002E-3</v>
      </c>
      <c r="G139">
        <v>3.5000000000000003E-2</v>
      </c>
      <c r="H139">
        <v>0.8</v>
      </c>
      <c r="I139">
        <v>15.9</v>
      </c>
      <c r="J139">
        <v>8.4000000000000005E-2</v>
      </c>
      <c r="K139">
        <v>9.5</v>
      </c>
      <c r="L139">
        <v>8.5000000000000006E-2</v>
      </c>
      <c r="M139">
        <v>3.9</v>
      </c>
      <c r="N139">
        <v>4.2999999999999997E-2</v>
      </c>
      <c r="O139">
        <v>145.55000000000001</v>
      </c>
    </row>
    <row r="140" spans="1:15" x14ac:dyDescent="0.2">
      <c r="A140" t="s">
        <v>524</v>
      </c>
      <c r="B140">
        <v>934.59</v>
      </c>
      <c r="C140">
        <v>-10</v>
      </c>
      <c r="D140">
        <v>61</v>
      </c>
      <c r="E140">
        <v>11</v>
      </c>
      <c r="F140">
        <v>-2.3E-2</v>
      </c>
      <c r="G140">
        <v>7.9000000000000001E-2</v>
      </c>
      <c r="H140">
        <v>-8.3000000000000007</v>
      </c>
      <c r="I140">
        <v>16.100000000000001</v>
      </c>
      <c r="J140">
        <v>-3.4000000000000002E-2</v>
      </c>
      <c r="K140">
        <v>5</v>
      </c>
      <c r="L140">
        <v>4.4999999999999998E-2</v>
      </c>
      <c r="M140">
        <v>23.8</v>
      </c>
      <c r="N140">
        <v>0.23499999999999999</v>
      </c>
      <c r="O140">
        <v>12.66</v>
      </c>
    </row>
    <row r="141" spans="1:15" x14ac:dyDescent="0.2">
      <c r="A141" t="s">
        <v>525</v>
      </c>
      <c r="B141">
        <v>20.8</v>
      </c>
      <c r="C141">
        <v>-9.3000000000000007</v>
      </c>
      <c r="D141">
        <v>88</v>
      </c>
      <c r="E141">
        <v>1</v>
      </c>
      <c r="G141">
        <v>1.7999999999999999E-2</v>
      </c>
      <c r="H141">
        <v>-1.5</v>
      </c>
      <c r="I141">
        <v>14.9</v>
      </c>
      <c r="J141">
        <v>8.4000000000000005E-2</v>
      </c>
      <c r="K141">
        <v>9</v>
      </c>
      <c r="L141">
        <v>0.09</v>
      </c>
      <c r="M141">
        <v>15.9</v>
      </c>
      <c r="N141">
        <v>0.13900000000000001</v>
      </c>
      <c r="O141">
        <v>0.21</v>
      </c>
    </row>
    <row r="142" spans="1:15" x14ac:dyDescent="0.2">
      <c r="A142" t="s">
        <v>526</v>
      </c>
      <c r="B142">
        <v>3.75</v>
      </c>
      <c r="C142">
        <v>-2.8</v>
      </c>
      <c r="D142">
        <v>32.5</v>
      </c>
      <c r="E142">
        <v>834</v>
      </c>
      <c r="F142">
        <v>2.5999999999999999E-2</v>
      </c>
      <c r="G142">
        <v>9.9000000000000005E-2</v>
      </c>
      <c r="H142">
        <v>-11.2</v>
      </c>
      <c r="I142">
        <v>2.2999999999999998</v>
      </c>
      <c r="J142">
        <v>1.0999999999999999E-2</v>
      </c>
      <c r="K142">
        <v>2.25</v>
      </c>
      <c r="L142">
        <v>0.01</v>
      </c>
      <c r="M142">
        <v>6</v>
      </c>
      <c r="N142">
        <v>6.6000000000000003E-2</v>
      </c>
      <c r="O142">
        <v>34.11</v>
      </c>
    </row>
    <row r="143" spans="1:15" x14ac:dyDescent="0.2">
      <c r="A143" t="s">
        <v>527</v>
      </c>
      <c r="B143">
        <v>588.96</v>
      </c>
      <c r="C143">
        <v>-10.4</v>
      </c>
      <c r="D143">
        <v>73</v>
      </c>
      <c r="E143">
        <v>28</v>
      </c>
      <c r="F143">
        <v>2.1000000000000001E-2</v>
      </c>
      <c r="G143">
        <v>5.1999999999999998E-2</v>
      </c>
      <c r="H143">
        <v>-5.9</v>
      </c>
      <c r="I143">
        <v>8.9</v>
      </c>
      <c r="J143">
        <v>0.03</v>
      </c>
      <c r="K143">
        <v>4</v>
      </c>
      <c r="L143">
        <v>0.04</v>
      </c>
      <c r="M143">
        <v>22.6</v>
      </c>
      <c r="N143">
        <v>0.22600000000000001</v>
      </c>
      <c r="O143">
        <v>16.7</v>
      </c>
    </row>
    <row r="144" spans="1:15" x14ac:dyDescent="0.2">
      <c r="A144" t="s">
        <v>528</v>
      </c>
      <c r="B144">
        <v>105.49</v>
      </c>
      <c r="C144">
        <v>-4.3</v>
      </c>
      <c r="D144">
        <v>56.5</v>
      </c>
      <c r="E144">
        <v>63</v>
      </c>
      <c r="F144">
        <v>-5.0000000000000001E-3</v>
      </c>
      <c r="G144">
        <v>4.3999999999999997E-2</v>
      </c>
      <c r="H144">
        <v>-8.4</v>
      </c>
      <c r="I144">
        <v>11.9</v>
      </c>
      <c r="J144">
        <v>7.4999999999999997E-2</v>
      </c>
      <c r="K144">
        <v>2.75</v>
      </c>
      <c r="L144">
        <v>0.01</v>
      </c>
      <c r="M144">
        <v>10.6</v>
      </c>
      <c r="N144">
        <v>0.105</v>
      </c>
      <c r="O144">
        <v>6.93</v>
      </c>
    </row>
    <row r="145" spans="1:15" ht="16" customHeight="1" thickBot="1" x14ac:dyDescent="0.25">
      <c r="A145" t="s">
        <v>529</v>
      </c>
      <c r="B145">
        <v>13.7</v>
      </c>
      <c r="C145">
        <v>-27.4</v>
      </c>
      <c r="D145">
        <v>94</v>
      </c>
      <c r="E145">
        <v>1</v>
      </c>
      <c r="G145">
        <v>0.14000000000000001</v>
      </c>
      <c r="H145">
        <v>-19.100000000000001</v>
      </c>
      <c r="I145">
        <v>2.0499999999999998</v>
      </c>
      <c r="J145">
        <v>9.3699999999999992E-2</v>
      </c>
      <c r="K145">
        <v>2</v>
      </c>
      <c r="L145">
        <v>0.02</v>
      </c>
      <c r="M145">
        <v>3</v>
      </c>
      <c r="N145">
        <v>0.04</v>
      </c>
      <c r="O145">
        <v>0.1</v>
      </c>
    </row>
    <row r="146" spans="1:15" ht="16" customHeight="1" thickBot="1" x14ac:dyDescent="0.25">
      <c r="A146" t="s">
        <v>530</v>
      </c>
      <c r="B146">
        <v>9800</v>
      </c>
      <c r="C146">
        <v>-13.9</v>
      </c>
      <c r="D146">
        <v>75</v>
      </c>
      <c r="E146">
        <v>4</v>
      </c>
      <c r="G146">
        <v>0.03</v>
      </c>
      <c r="H146">
        <v>-7.1</v>
      </c>
      <c r="I146">
        <v>22.44</v>
      </c>
      <c r="J146">
        <v>0.14549999999999999</v>
      </c>
      <c r="K146">
        <v>15</v>
      </c>
      <c r="L146">
        <v>0.14000000000000001</v>
      </c>
      <c r="M146">
        <v>4.5999999999999996</v>
      </c>
      <c r="N146">
        <v>4.5999999999999999E-2</v>
      </c>
      <c r="O146">
        <v>7.98</v>
      </c>
    </row>
    <row r="147" spans="1:15" ht="16" customHeight="1" thickBot="1" x14ac:dyDescent="0.25">
      <c r="A147" t="s">
        <v>531</v>
      </c>
      <c r="B147">
        <v>1.37</v>
      </c>
      <c r="C147">
        <v>17.600000000000001</v>
      </c>
      <c r="D147">
        <v>131</v>
      </c>
      <c r="E147">
        <v>397</v>
      </c>
      <c r="F147">
        <v>0</v>
      </c>
      <c r="G147">
        <v>4.8000000000000001E-2</v>
      </c>
      <c r="H147">
        <v>-13.9</v>
      </c>
      <c r="I147">
        <v>5.6</v>
      </c>
      <c r="J147">
        <v>3.2000000000000001E-2</v>
      </c>
      <c r="K147">
        <v>1.56</v>
      </c>
      <c r="L147">
        <v>2.2000000000000001E-3</v>
      </c>
      <c r="M147">
        <v>2.2000000000000002</v>
      </c>
      <c r="N147">
        <v>2.5999999999999999E-2</v>
      </c>
      <c r="O147">
        <v>5.7</v>
      </c>
    </row>
    <row r="148" spans="1:15" ht="16" customHeight="1" thickBot="1" x14ac:dyDescent="0.25">
      <c r="A148" t="s">
        <v>532</v>
      </c>
      <c r="B148">
        <v>1.1100000000000001</v>
      </c>
      <c r="C148">
        <v>-0.4</v>
      </c>
      <c r="D148">
        <v>63.1</v>
      </c>
      <c r="E148">
        <v>115</v>
      </c>
      <c r="F148">
        <v>4.0000000000000001E-3</v>
      </c>
      <c r="G148">
        <v>3.1E-2</v>
      </c>
      <c r="H148">
        <v>-6.2</v>
      </c>
      <c r="I148">
        <v>13.2</v>
      </c>
      <c r="J148">
        <v>5.5999999999999987E-2</v>
      </c>
      <c r="K148">
        <v>0</v>
      </c>
      <c r="L148">
        <v>0</v>
      </c>
      <c r="M148">
        <v>6.4</v>
      </c>
      <c r="N148">
        <v>6.6000000000000003E-2</v>
      </c>
      <c r="O148">
        <v>5.46</v>
      </c>
    </row>
    <row r="149" spans="1:15" x14ac:dyDescent="0.2">
      <c r="A149" t="s">
        <v>533</v>
      </c>
      <c r="B149">
        <v>1.1100000000000001</v>
      </c>
      <c r="C149">
        <v>7.1</v>
      </c>
      <c r="D149">
        <v>74.7</v>
      </c>
      <c r="E149">
        <v>62</v>
      </c>
      <c r="F149">
        <v>8.0000000000000002E-3</v>
      </c>
      <c r="G149">
        <v>9.8000000000000004E-2</v>
      </c>
      <c r="H149">
        <v>-5.2</v>
      </c>
      <c r="I149">
        <v>10.43</v>
      </c>
      <c r="J149">
        <v>4.5999999999999999E-2</v>
      </c>
      <c r="K149">
        <v>0</v>
      </c>
      <c r="L149">
        <v>0</v>
      </c>
      <c r="M149">
        <v>5.9</v>
      </c>
      <c r="N149">
        <v>6.8000000000000005E-2</v>
      </c>
      <c r="O149">
        <v>2.1</v>
      </c>
    </row>
    <row r="150" spans="1:15" ht="16" customHeight="1" thickBot="1" x14ac:dyDescent="0.25">
      <c r="A150" t="s">
        <v>534</v>
      </c>
      <c r="B150">
        <v>578.5</v>
      </c>
      <c r="E150">
        <v>7</v>
      </c>
      <c r="G150">
        <v>0.02</v>
      </c>
      <c r="I150">
        <v>6.7</v>
      </c>
      <c r="J150">
        <v>5.0299999999999997E-2</v>
      </c>
      <c r="O150">
        <v>15.89</v>
      </c>
    </row>
    <row r="151" spans="1:15" ht="16" customHeight="1" thickBot="1" x14ac:dyDescent="0.25">
      <c r="A151" t="s">
        <v>535</v>
      </c>
      <c r="B151">
        <v>14.73</v>
      </c>
      <c r="C151">
        <v>3.7</v>
      </c>
      <c r="D151">
        <v>69.900000000000006</v>
      </c>
      <c r="E151">
        <v>420</v>
      </c>
      <c r="F151">
        <v>1.9E-2</v>
      </c>
      <c r="G151">
        <v>0.03</v>
      </c>
      <c r="H151">
        <v>-5.7</v>
      </c>
      <c r="I151">
        <v>6.5</v>
      </c>
      <c r="J151">
        <v>5.5E-2</v>
      </c>
      <c r="K151">
        <v>4.75</v>
      </c>
      <c r="L151">
        <v>3.7499999999999999E-2</v>
      </c>
      <c r="M151">
        <v>34.5</v>
      </c>
      <c r="N151">
        <v>0.34899999999999998</v>
      </c>
      <c r="O151">
        <v>59.3</v>
      </c>
    </row>
    <row r="152" spans="1:15" ht="16" customHeight="1" thickBot="1" x14ac:dyDescent="0.25">
      <c r="A152" t="s">
        <v>536</v>
      </c>
      <c r="B152">
        <v>1145.8499999999999</v>
      </c>
      <c r="C152">
        <v>3.5</v>
      </c>
      <c r="D152">
        <v>42.6</v>
      </c>
      <c r="E152">
        <v>1799</v>
      </c>
      <c r="F152">
        <v>6.0000000000000001E-3</v>
      </c>
      <c r="G152">
        <v>0.03</v>
      </c>
      <c r="H152">
        <v>-6.1</v>
      </c>
      <c r="I152">
        <v>6</v>
      </c>
      <c r="J152">
        <v>3.7000000000000012E-2</v>
      </c>
      <c r="K152">
        <v>2.25</v>
      </c>
      <c r="L152">
        <v>0.01</v>
      </c>
      <c r="M152">
        <v>2.9</v>
      </c>
      <c r="N152">
        <v>3.1E-2</v>
      </c>
      <c r="O152">
        <v>51.78</v>
      </c>
    </row>
    <row r="153" spans="1:15" ht="16" customHeight="1" thickBot="1" x14ac:dyDescent="0.25">
      <c r="A153" t="s">
        <v>537</v>
      </c>
      <c r="B153">
        <v>175.31</v>
      </c>
      <c r="E153">
        <v>1</v>
      </c>
      <c r="G153">
        <v>-0.06</v>
      </c>
      <c r="I153">
        <v>-4.29</v>
      </c>
      <c r="J153">
        <v>5.8099999999999999E-2</v>
      </c>
      <c r="K153">
        <v>12</v>
      </c>
      <c r="L153">
        <v>0.15</v>
      </c>
      <c r="M153">
        <v>13.9</v>
      </c>
      <c r="N153">
        <v>0.127</v>
      </c>
      <c r="O153">
        <v>11.19</v>
      </c>
    </row>
    <row r="154" spans="1:15" ht="16" customHeight="1" thickBot="1" x14ac:dyDescent="0.25">
      <c r="A154" t="s">
        <v>538</v>
      </c>
      <c r="B154">
        <v>1.1100000000000001</v>
      </c>
      <c r="C154">
        <v>0.7</v>
      </c>
      <c r="D154">
        <v>118.4</v>
      </c>
      <c r="E154">
        <v>1425</v>
      </c>
      <c r="F154">
        <v>2E-3</v>
      </c>
      <c r="G154">
        <v>6.3E-2</v>
      </c>
      <c r="H154">
        <v>-6.9</v>
      </c>
      <c r="I154">
        <v>10.199999999999999</v>
      </c>
      <c r="J154">
        <v>5.5E-2</v>
      </c>
      <c r="K154">
        <v>0</v>
      </c>
      <c r="L154">
        <v>0</v>
      </c>
      <c r="M154">
        <v>13.65</v>
      </c>
      <c r="N154">
        <v>0.1457</v>
      </c>
      <c r="O154">
        <v>47.33</v>
      </c>
    </row>
    <row r="155" spans="1:15" ht="16" customHeight="1" thickBot="1" x14ac:dyDescent="0.25">
      <c r="A155" t="s">
        <v>539</v>
      </c>
      <c r="B155">
        <v>199</v>
      </c>
      <c r="C155">
        <v>-1.3</v>
      </c>
      <c r="D155">
        <v>101</v>
      </c>
      <c r="E155">
        <v>85</v>
      </c>
      <c r="F155">
        <v>1.4E-2</v>
      </c>
      <c r="G155">
        <v>-1.6E-2</v>
      </c>
      <c r="H155">
        <v>-11.1</v>
      </c>
      <c r="I155">
        <v>54.6</v>
      </c>
      <c r="J155">
        <v>9.9000000000000005E-2</v>
      </c>
      <c r="K155">
        <v>14.5</v>
      </c>
      <c r="L155">
        <v>0.05</v>
      </c>
      <c r="M155">
        <v>4.5999999999999996</v>
      </c>
      <c r="N155">
        <v>5.0999999999999997E-2</v>
      </c>
      <c r="O155">
        <v>21.92</v>
      </c>
    </row>
    <row r="156" spans="1:15" ht="16" customHeight="1" thickBot="1" x14ac:dyDescent="0.25">
      <c r="A156" t="s">
        <v>540</v>
      </c>
      <c r="B156">
        <v>45.11</v>
      </c>
      <c r="C156">
        <v>-10</v>
      </c>
      <c r="D156">
        <v>259.39999999999998</v>
      </c>
      <c r="E156">
        <v>34</v>
      </c>
      <c r="G156">
        <v>5.0000000000000001E-3</v>
      </c>
      <c r="H156">
        <v>-4.5</v>
      </c>
      <c r="I156">
        <v>192.2</v>
      </c>
      <c r="J156">
        <v>3.3959999999999999</v>
      </c>
      <c r="K156">
        <v>23.8</v>
      </c>
      <c r="L156">
        <v>0.17100000000000001</v>
      </c>
      <c r="M156">
        <v>17.7</v>
      </c>
      <c r="N156">
        <v>0.17699999999999999</v>
      </c>
      <c r="O156">
        <v>43.85</v>
      </c>
    </row>
    <row r="157" spans="1:15" ht="16" customHeight="1" thickBot="1" x14ac:dyDescent="0.25">
      <c r="A157" t="s">
        <v>541</v>
      </c>
      <c r="B157">
        <v>7.46</v>
      </c>
      <c r="C157">
        <v>11.4</v>
      </c>
      <c r="D157">
        <v>111.4</v>
      </c>
      <c r="E157">
        <v>3</v>
      </c>
      <c r="G157">
        <v>-0.13400000000000001</v>
      </c>
      <c r="H157">
        <v>-12.9</v>
      </c>
      <c r="I157">
        <v>59.8</v>
      </c>
      <c r="J157">
        <v>0.69499999999999995</v>
      </c>
      <c r="K157">
        <v>10</v>
      </c>
      <c r="L157">
        <v>0.1</v>
      </c>
      <c r="M157">
        <v>11.2</v>
      </c>
      <c r="N157">
        <v>0.112</v>
      </c>
      <c r="O157">
        <v>0.6</v>
      </c>
    </row>
    <row r="158" spans="1:15" ht="16" customHeight="1" thickBot="1" x14ac:dyDescent="0.25">
      <c r="A158" t="s">
        <v>542</v>
      </c>
      <c r="B158">
        <v>14.36</v>
      </c>
      <c r="C158">
        <v>7</v>
      </c>
      <c r="D158">
        <v>15.49</v>
      </c>
      <c r="E158">
        <v>5</v>
      </c>
      <c r="G158">
        <v>5.8999999999999997E-2</v>
      </c>
      <c r="H158">
        <v>-4.5999999999999996</v>
      </c>
      <c r="I158">
        <v>3.4</v>
      </c>
      <c r="J158">
        <v>3.3000000000000002E-2</v>
      </c>
      <c r="K158">
        <v>4.5</v>
      </c>
      <c r="L158">
        <v>3.7499999999999999E-2</v>
      </c>
      <c r="M158">
        <v>25.8</v>
      </c>
      <c r="N158">
        <v>0.23400000000000001</v>
      </c>
      <c r="O158">
        <v>1.1599999999999999</v>
      </c>
    </row>
    <row r="159" spans="1:15" ht="16" customHeight="1" thickBot="1" x14ac:dyDescent="0.25">
      <c r="A159" t="s">
        <v>543</v>
      </c>
      <c r="B159">
        <v>8.65</v>
      </c>
      <c r="C159">
        <v>5.2</v>
      </c>
      <c r="D159">
        <v>36.700000000000003</v>
      </c>
      <c r="E159">
        <v>627</v>
      </c>
      <c r="F159">
        <v>-8.0000000000000002E-3</v>
      </c>
      <c r="G159">
        <v>0.03</v>
      </c>
      <c r="H159">
        <v>-0.2</v>
      </c>
      <c r="I159">
        <v>8.6999999999999993</v>
      </c>
      <c r="J159">
        <v>3.3000000000000002E-2</v>
      </c>
      <c r="K159">
        <v>0.75</v>
      </c>
      <c r="L159">
        <v>0</v>
      </c>
      <c r="M159">
        <v>8.5</v>
      </c>
      <c r="N159">
        <v>7.4999999999999997E-2</v>
      </c>
      <c r="O159">
        <v>10.33</v>
      </c>
    </row>
    <row r="160" spans="1:15" ht="16" customHeight="1" thickBot="1" x14ac:dyDescent="0.25">
      <c r="A160" t="s">
        <v>544</v>
      </c>
      <c r="B160">
        <v>0.92</v>
      </c>
      <c r="C160">
        <v>3.8</v>
      </c>
      <c r="D160">
        <v>41.4</v>
      </c>
      <c r="E160">
        <v>813</v>
      </c>
      <c r="F160">
        <v>5.0000000000000001E-3</v>
      </c>
      <c r="G160">
        <v>4.3999999999999997E-2</v>
      </c>
      <c r="H160">
        <v>-0.7</v>
      </c>
      <c r="I160">
        <v>3.4</v>
      </c>
      <c r="J160">
        <v>1.4999999999999999E-2</v>
      </c>
      <c r="K160">
        <v>-0.25</v>
      </c>
      <c r="L160">
        <v>-7.4999999999999997E-3</v>
      </c>
      <c r="M160">
        <v>2</v>
      </c>
      <c r="N160">
        <v>2.5000000000000001E-2</v>
      </c>
      <c r="O160">
        <v>8.61</v>
      </c>
    </row>
    <row r="161" spans="1:15" ht="16" customHeight="1" thickBot="1" x14ac:dyDescent="0.25">
      <c r="A161" t="s">
        <v>545</v>
      </c>
      <c r="B161">
        <v>436.5</v>
      </c>
      <c r="C161">
        <v>-0.62</v>
      </c>
      <c r="D161">
        <v>30.01</v>
      </c>
      <c r="E161">
        <v>65</v>
      </c>
      <c r="G161">
        <v>-3.9E-2</v>
      </c>
      <c r="H161">
        <v>-11.4</v>
      </c>
      <c r="I161">
        <v>139.46</v>
      </c>
      <c r="J161">
        <v>1.3946000000000001</v>
      </c>
      <c r="M161">
        <v>9</v>
      </c>
      <c r="N161">
        <v>0.09</v>
      </c>
      <c r="O161">
        <v>17.5</v>
      </c>
    </row>
    <row r="162" spans="1:15" ht="16" customHeight="1" thickBot="1" x14ac:dyDescent="0.25">
      <c r="A162" t="s">
        <v>546</v>
      </c>
      <c r="B162">
        <v>28.02</v>
      </c>
      <c r="C162">
        <v>9.5</v>
      </c>
      <c r="D162">
        <v>28.2</v>
      </c>
      <c r="E162">
        <v>669</v>
      </c>
      <c r="F162">
        <v>1.06E-2</v>
      </c>
      <c r="G162">
        <v>3.1399999999999997E-2</v>
      </c>
      <c r="H162">
        <v>-4.5</v>
      </c>
      <c r="I162">
        <v>3.59</v>
      </c>
      <c r="J162">
        <v>2.8400000000000002E-2</v>
      </c>
      <c r="K162">
        <v>1.5</v>
      </c>
      <c r="L162">
        <v>1.1299999999999999E-2</v>
      </c>
      <c r="M162">
        <v>3.73</v>
      </c>
      <c r="N162">
        <v>3.7100000000000001E-2</v>
      </c>
      <c r="O162">
        <v>23.55</v>
      </c>
    </row>
    <row r="163" spans="1:15" ht="16" customHeight="1" thickBot="1" x14ac:dyDescent="0.25">
      <c r="A163" t="s">
        <v>547</v>
      </c>
      <c r="B163">
        <v>9.68</v>
      </c>
      <c r="C163">
        <v>0.1</v>
      </c>
      <c r="D163">
        <v>53.67</v>
      </c>
      <c r="E163">
        <v>9</v>
      </c>
      <c r="G163">
        <v>9.1999999999999998E-2</v>
      </c>
      <c r="H163">
        <v>0.2</v>
      </c>
      <c r="I163">
        <v>7.3</v>
      </c>
      <c r="J163">
        <v>8.6999999999999994E-2</v>
      </c>
      <c r="K163">
        <v>13.25</v>
      </c>
      <c r="L163">
        <v>0.13250000000000001</v>
      </c>
      <c r="M163">
        <v>7.5</v>
      </c>
      <c r="N163">
        <v>7.4999999999999997E-2</v>
      </c>
      <c r="O163">
        <v>9.89</v>
      </c>
    </row>
    <row r="164" spans="1:15" ht="16" customHeight="1" thickBot="1" x14ac:dyDescent="0.25">
      <c r="A164" t="s">
        <v>548</v>
      </c>
      <c r="B164">
        <v>2314</v>
      </c>
      <c r="C164">
        <v>-1.5</v>
      </c>
      <c r="D164">
        <v>37.799999999999997</v>
      </c>
      <c r="E164">
        <v>68</v>
      </c>
      <c r="F164">
        <v>1.4999999999999999E-2</v>
      </c>
      <c r="G164">
        <v>4.9000000000000002E-2</v>
      </c>
      <c r="H164">
        <v>-2.6</v>
      </c>
      <c r="I164">
        <v>4.4000000000000004</v>
      </c>
      <c r="J164">
        <v>4.0999999999999988E-2</v>
      </c>
      <c r="K164">
        <v>5</v>
      </c>
      <c r="L164">
        <v>0.05</v>
      </c>
      <c r="M164">
        <v>9.5</v>
      </c>
      <c r="N164">
        <v>9.5000000000000001E-2</v>
      </c>
      <c r="O164">
        <v>59.73</v>
      </c>
    </row>
    <row r="165" spans="1:15" ht="16" customHeight="1" thickBot="1" x14ac:dyDescent="0.25">
      <c r="A165" t="s">
        <v>549</v>
      </c>
      <c r="B165">
        <v>32.64</v>
      </c>
      <c r="C165">
        <v>4.2</v>
      </c>
      <c r="D165">
        <v>50.5</v>
      </c>
      <c r="E165">
        <v>506</v>
      </c>
      <c r="F165">
        <v>1.0999999999999999E-2</v>
      </c>
      <c r="G165">
        <v>2.1999999999999999E-2</v>
      </c>
      <c r="H165">
        <v>-6.1</v>
      </c>
      <c r="I165">
        <v>7.66</v>
      </c>
      <c r="J165">
        <v>2.7099999999999999E-2</v>
      </c>
      <c r="K165">
        <v>0.5</v>
      </c>
      <c r="L165">
        <v>5.0000000000000001E-3</v>
      </c>
      <c r="M165">
        <v>1.53</v>
      </c>
      <c r="N165">
        <v>2.2499999999999999E-2</v>
      </c>
      <c r="O165">
        <v>66.650000000000006</v>
      </c>
    </row>
    <row r="166" spans="1:15" ht="16" customHeight="1" thickBot="1" x14ac:dyDescent="0.25">
      <c r="A166" t="s">
        <v>550</v>
      </c>
      <c r="B166">
        <v>588.96</v>
      </c>
      <c r="C166">
        <v>-5</v>
      </c>
      <c r="D166">
        <v>61</v>
      </c>
      <c r="E166">
        <v>8</v>
      </c>
      <c r="G166">
        <v>5.5E-2</v>
      </c>
      <c r="H166">
        <v>-6</v>
      </c>
      <c r="I166">
        <v>8</v>
      </c>
      <c r="J166">
        <v>5.8999999999999997E-2</v>
      </c>
      <c r="K166">
        <v>4</v>
      </c>
      <c r="L166">
        <v>0.04</v>
      </c>
      <c r="M166">
        <v>4</v>
      </c>
      <c r="N166">
        <v>4.0999999999999988E-2</v>
      </c>
      <c r="O166">
        <v>8.2799999999999994</v>
      </c>
    </row>
    <row r="167" spans="1:15" ht="16" customHeight="1" thickBot="1" x14ac:dyDescent="0.25">
      <c r="A167" t="s">
        <v>551</v>
      </c>
      <c r="B167">
        <v>6.74</v>
      </c>
      <c r="C167">
        <v>2.2999999999999998</v>
      </c>
      <c r="D167">
        <v>82.7</v>
      </c>
      <c r="E167">
        <v>21</v>
      </c>
      <c r="F167">
        <v>8.4000000000000005E-2</v>
      </c>
      <c r="G167">
        <v>8.199999999999999E-2</v>
      </c>
      <c r="H167">
        <v>-11.2</v>
      </c>
      <c r="I167">
        <v>5.0999999999999996</v>
      </c>
      <c r="J167">
        <v>2.1999999999999999E-2</v>
      </c>
      <c r="K167">
        <v>3.5</v>
      </c>
      <c r="L167">
        <v>3.5000000000000003E-2</v>
      </c>
      <c r="M167">
        <v>4.7</v>
      </c>
      <c r="N167">
        <v>5.0999999999999997E-2</v>
      </c>
      <c r="O167">
        <v>1.38</v>
      </c>
    </row>
    <row r="168" spans="1:15" ht="16" customHeight="1" thickBot="1" x14ac:dyDescent="0.25">
      <c r="A168" t="s">
        <v>552</v>
      </c>
      <c r="B168">
        <v>2.8</v>
      </c>
      <c r="C168">
        <v>-6.3</v>
      </c>
      <c r="D168">
        <v>80</v>
      </c>
      <c r="E168">
        <v>47</v>
      </c>
      <c r="F168">
        <v>6.9999999999999993E-3</v>
      </c>
      <c r="G168">
        <v>2.4E-2</v>
      </c>
      <c r="H168">
        <v>-11.4</v>
      </c>
      <c r="I168">
        <v>8.1</v>
      </c>
      <c r="J168">
        <v>6.4000000000000001E-2</v>
      </c>
      <c r="K168">
        <v>7</v>
      </c>
      <c r="L168">
        <v>6.25E-2</v>
      </c>
      <c r="M168">
        <v>16.100000000000001</v>
      </c>
      <c r="N168">
        <v>0.17799999999999999</v>
      </c>
      <c r="O168">
        <v>11.81</v>
      </c>
    </row>
    <row r="169" spans="1:15" ht="16" customHeight="1" thickBot="1" x14ac:dyDescent="0.25">
      <c r="A169" t="s">
        <v>553</v>
      </c>
      <c r="B169">
        <v>8.6199999999999992</v>
      </c>
      <c r="C169">
        <v>-1.7</v>
      </c>
      <c r="D169">
        <v>42</v>
      </c>
      <c r="E169">
        <v>815</v>
      </c>
      <c r="F169">
        <v>1.2E-2</v>
      </c>
      <c r="G169">
        <v>7.2999999999999995E-2</v>
      </c>
      <c r="H169">
        <v>-2.7</v>
      </c>
      <c r="I169">
        <v>78.62</v>
      </c>
      <c r="J169">
        <v>0.21310000000000001</v>
      </c>
      <c r="K169">
        <v>14</v>
      </c>
      <c r="L169">
        <v>0.14000000000000001</v>
      </c>
      <c r="M169">
        <v>10.9</v>
      </c>
      <c r="N169">
        <v>0.112</v>
      </c>
      <c r="O169">
        <v>84.68</v>
      </c>
    </row>
    <row r="170" spans="1:15" ht="16" customHeight="1" thickBot="1" x14ac:dyDescent="0.25">
      <c r="A170" t="s">
        <v>554</v>
      </c>
      <c r="B170">
        <v>3.5</v>
      </c>
      <c r="C170">
        <v>0.6</v>
      </c>
      <c r="D170">
        <v>30.9</v>
      </c>
      <c r="E170">
        <v>45</v>
      </c>
      <c r="G170">
        <v>6.2E-2</v>
      </c>
      <c r="H170">
        <v>0.1</v>
      </c>
      <c r="I170">
        <v>12.45</v>
      </c>
      <c r="J170">
        <v>0.1</v>
      </c>
      <c r="M170">
        <v>4.38</v>
      </c>
      <c r="N170">
        <v>4.3799999999999999E-2</v>
      </c>
      <c r="O170">
        <v>6</v>
      </c>
    </row>
    <row r="171" spans="1:15" ht="16" customHeight="1" thickBot="1" x14ac:dyDescent="0.25">
      <c r="A171" t="s">
        <v>555</v>
      </c>
      <c r="B171">
        <v>3665</v>
      </c>
      <c r="C171">
        <v>-9.8000000000000007</v>
      </c>
      <c r="D171">
        <v>49.8</v>
      </c>
      <c r="E171">
        <v>40</v>
      </c>
      <c r="F171">
        <v>-9.0000000000000011E-3</v>
      </c>
      <c r="G171">
        <v>5.8999999999999997E-2</v>
      </c>
      <c r="H171">
        <v>-7.3</v>
      </c>
      <c r="I171">
        <v>6.8</v>
      </c>
      <c r="J171">
        <v>2.5999999999999999E-2</v>
      </c>
      <c r="K171">
        <v>8.5</v>
      </c>
      <c r="L171">
        <v>6.5000000000000002E-2</v>
      </c>
      <c r="M171">
        <v>2.9</v>
      </c>
      <c r="N171">
        <v>2.4400000000000002E-2</v>
      </c>
      <c r="O171">
        <v>45.74</v>
      </c>
    </row>
    <row r="172" spans="1:15" ht="16" customHeight="1" thickBot="1" x14ac:dyDescent="0.25">
      <c r="A172" t="s">
        <v>556</v>
      </c>
      <c r="B172">
        <v>27.25</v>
      </c>
      <c r="C172">
        <v>4.3</v>
      </c>
      <c r="D172">
        <v>48.9</v>
      </c>
      <c r="E172">
        <v>200</v>
      </c>
      <c r="F172">
        <v>1.9E-2</v>
      </c>
      <c r="G172">
        <v>-0.151</v>
      </c>
      <c r="H172">
        <v>-3.4</v>
      </c>
      <c r="I172">
        <v>21.5</v>
      </c>
      <c r="J172">
        <v>0.10299999999999999</v>
      </c>
      <c r="K172">
        <v>25</v>
      </c>
      <c r="L172">
        <v>0.09</v>
      </c>
      <c r="M172">
        <v>10.6</v>
      </c>
      <c r="N172">
        <v>9.3000000000000013E-2</v>
      </c>
      <c r="O172">
        <v>44.13</v>
      </c>
    </row>
    <row r="173" spans="1:15" ht="16" customHeight="1" thickBot="1" x14ac:dyDescent="0.25">
      <c r="A173" t="s">
        <v>557</v>
      </c>
      <c r="B173">
        <v>3.67</v>
      </c>
      <c r="C173">
        <v>5.9</v>
      </c>
      <c r="D173">
        <v>36.9</v>
      </c>
      <c r="E173">
        <v>359</v>
      </c>
      <c r="F173">
        <v>0.02</v>
      </c>
      <c r="G173">
        <v>3.7999999999999999E-2</v>
      </c>
      <c r="H173">
        <v>-0.8</v>
      </c>
      <c r="I173">
        <v>2.5</v>
      </c>
      <c r="J173">
        <v>1.2E-2</v>
      </c>
      <c r="K173">
        <v>3</v>
      </c>
      <c r="L173">
        <v>1.4999999999999999E-2</v>
      </c>
      <c r="M173">
        <v>5</v>
      </c>
      <c r="N173">
        <v>0.05</v>
      </c>
      <c r="O173">
        <v>9.9</v>
      </c>
    </row>
    <row r="174" spans="1:15" ht="16" customHeight="1" thickBot="1" x14ac:dyDescent="0.25">
      <c r="A174" t="s">
        <v>558</v>
      </c>
      <c r="B174">
        <v>1.25</v>
      </c>
      <c r="C174">
        <v>-3.5</v>
      </c>
      <c r="D174">
        <v>94</v>
      </c>
      <c r="E174">
        <v>3187</v>
      </c>
      <c r="F174">
        <v>8.0000000000000002E-3</v>
      </c>
      <c r="G174">
        <v>8.6999999999999994E-2</v>
      </c>
      <c r="H174">
        <v>-15</v>
      </c>
      <c r="I174">
        <v>9.1</v>
      </c>
      <c r="J174">
        <v>5.0999999999999997E-2</v>
      </c>
      <c r="K174">
        <v>1.25</v>
      </c>
      <c r="L174">
        <v>2.5000000000000001E-3</v>
      </c>
      <c r="M174">
        <v>3.8</v>
      </c>
      <c r="N174">
        <v>4.2000000000000003E-2</v>
      </c>
      <c r="O174">
        <v>67.08</v>
      </c>
    </row>
    <row r="175" spans="1:15" ht="16" customHeight="1" thickBot="1" x14ac:dyDescent="0.25">
      <c r="A175" t="s">
        <v>559</v>
      </c>
      <c r="B175">
        <v>98.56</v>
      </c>
      <c r="C175">
        <v>-3.6</v>
      </c>
      <c r="D175">
        <v>137.19999999999999</v>
      </c>
      <c r="E175">
        <v>22996</v>
      </c>
      <c r="F175">
        <v>-1.6E-2</v>
      </c>
      <c r="G175">
        <v>3.5000000000000003E-2</v>
      </c>
      <c r="H175">
        <v>-16.7</v>
      </c>
      <c r="I175">
        <v>9.1</v>
      </c>
      <c r="J175">
        <v>6.8000000000000005E-2</v>
      </c>
      <c r="K175">
        <v>1.75</v>
      </c>
      <c r="L175">
        <v>2.5000000000000001E-3</v>
      </c>
      <c r="M175">
        <v>3.6</v>
      </c>
      <c r="N175">
        <v>4.2000000000000003E-2</v>
      </c>
      <c r="O175">
        <v>332.4</v>
      </c>
    </row>
    <row r="176" spans="1:15" ht="16" customHeight="1" thickBot="1" x14ac:dyDescent="0.25">
      <c r="A176" t="s">
        <v>560</v>
      </c>
      <c r="B176">
        <v>37.81</v>
      </c>
      <c r="C176">
        <v>-0.6</v>
      </c>
      <c r="D176">
        <v>73</v>
      </c>
      <c r="E176">
        <v>59</v>
      </c>
      <c r="F176">
        <v>6.0000000000000001E-3</v>
      </c>
      <c r="G176">
        <v>8.3000000000000004E-2</v>
      </c>
      <c r="H176">
        <v>-5.0999999999999996</v>
      </c>
      <c r="I176">
        <v>9.2899999999999991</v>
      </c>
      <c r="J176">
        <v>8.0700000000000008E-2</v>
      </c>
      <c r="K176">
        <v>9.75</v>
      </c>
      <c r="L176">
        <v>5.2499999999999998E-2</v>
      </c>
      <c r="M176">
        <v>8.1</v>
      </c>
      <c r="N176">
        <v>0.08</v>
      </c>
      <c r="O176">
        <v>3.54</v>
      </c>
    </row>
    <row r="177" spans="1:15" ht="16" customHeight="1" thickBot="1" x14ac:dyDescent="0.25">
      <c r="A177" t="s">
        <v>561</v>
      </c>
      <c r="B177">
        <v>9527.2999999999993</v>
      </c>
      <c r="C177">
        <v>-7</v>
      </c>
      <c r="D177">
        <v>38</v>
      </c>
      <c r="E177">
        <v>69</v>
      </c>
      <c r="G177">
        <v>5.8000000000000003E-2</v>
      </c>
      <c r="H177">
        <v>-6</v>
      </c>
      <c r="I177">
        <v>12.2</v>
      </c>
      <c r="J177">
        <v>0.10299999999999999</v>
      </c>
      <c r="K177">
        <v>16</v>
      </c>
      <c r="L177">
        <v>0.14000000000000001</v>
      </c>
      <c r="M177">
        <v>9.6</v>
      </c>
      <c r="N177">
        <v>9.8000000000000004E-2</v>
      </c>
      <c r="O177">
        <v>35.270000000000003</v>
      </c>
    </row>
    <row r="178" spans="1:15" ht="16" customHeight="1" thickBot="1" x14ac:dyDescent="0.25">
      <c r="A178" t="s">
        <v>562</v>
      </c>
      <c r="B178">
        <v>971748.8</v>
      </c>
      <c r="C178">
        <v>-3.5</v>
      </c>
      <c r="D178">
        <v>350</v>
      </c>
      <c r="E178">
        <v>106</v>
      </c>
      <c r="F178">
        <v>-0.23699999999999999</v>
      </c>
      <c r="G178">
        <v>-1.4999999999999999E-2</v>
      </c>
      <c r="H178">
        <v>-4.5</v>
      </c>
      <c r="I178">
        <v>167.15</v>
      </c>
      <c r="J178">
        <v>11.975</v>
      </c>
      <c r="K178">
        <v>56.18</v>
      </c>
      <c r="L178">
        <v>0.56859999999999999</v>
      </c>
      <c r="M178">
        <v>6.4</v>
      </c>
      <c r="N178">
        <v>6.4000000000000001E-2</v>
      </c>
      <c r="O178">
        <v>32.979999999999997</v>
      </c>
    </row>
    <row r="179" spans="1:15" x14ac:dyDescent="0.2">
      <c r="A179" t="s">
        <v>563</v>
      </c>
      <c r="B179">
        <v>23170</v>
      </c>
      <c r="C179">
        <v>5</v>
      </c>
      <c r="D179">
        <v>46.7</v>
      </c>
      <c r="E179">
        <v>363</v>
      </c>
      <c r="F179">
        <v>6.88E-2</v>
      </c>
      <c r="G179">
        <v>7.7199999999999991E-2</v>
      </c>
      <c r="H179">
        <v>-5.8</v>
      </c>
      <c r="I179">
        <v>3.37</v>
      </c>
      <c r="J179">
        <v>2.1000000000000001E-2</v>
      </c>
      <c r="K179">
        <v>4</v>
      </c>
      <c r="L179">
        <v>0.04</v>
      </c>
      <c r="M179">
        <v>2.46</v>
      </c>
      <c r="N179">
        <v>3.7199999999999997E-2</v>
      </c>
      <c r="O179">
        <v>97.58</v>
      </c>
    </row>
    <row r="180" spans="1:15" ht="16" customHeight="1" thickBot="1" x14ac:dyDescent="0.25">
      <c r="A180" t="s">
        <v>564</v>
      </c>
      <c r="B180">
        <v>246.5</v>
      </c>
      <c r="C180">
        <v>-0.01</v>
      </c>
      <c r="D180">
        <v>81.7</v>
      </c>
      <c r="E180">
        <v>21</v>
      </c>
      <c r="G180">
        <v>-0.02</v>
      </c>
      <c r="H180">
        <v>-4.4000000000000004</v>
      </c>
      <c r="I180">
        <v>0.77</v>
      </c>
      <c r="J180">
        <v>7.7000000000000002E-3</v>
      </c>
      <c r="K180">
        <v>27</v>
      </c>
      <c r="L180">
        <v>0.27</v>
      </c>
      <c r="M180">
        <v>13.42</v>
      </c>
      <c r="N180">
        <v>0.13420000000000001</v>
      </c>
      <c r="O180">
        <v>29.82</v>
      </c>
    </row>
    <row r="181" spans="1:15" ht="16" customHeight="1" thickBot="1" x14ac:dyDescent="0.25">
      <c r="A181" t="s">
        <v>565</v>
      </c>
      <c r="B181">
        <v>22.64</v>
      </c>
      <c r="C181">
        <v>12.2</v>
      </c>
      <c r="D181">
        <v>96</v>
      </c>
      <c r="E181">
        <v>21</v>
      </c>
      <c r="G181">
        <v>2.1000000000000001E-2</v>
      </c>
      <c r="H181">
        <v>-9</v>
      </c>
      <c r="I181">
        <v>9.6999999999999993</v>
      </c>
      <c r="J181">
        <v>0.193</v>
      </c>
      <c r="K181">
        <v>9</v>
      </c>
      <c r="L181">
        <v>0.09</v>
      </c>
      <c r="M181">
        <v>12.2</v>
      </c>
      <c r="N181">
        <v>0.122</v>
      </c>
      <c r="O181">
        <v>17.88</v>
      </c>
    </row>
    <row r="182" spans="1:15" x14ac:dyDescent="0.2">
      <c r="A182" t="s">
        <v>566</v>
      </c>
      <c r="B182">
        <v>16.36</v>
      </c>
      <c r="C182">
        <v>-1.9</v>
      </c>
      <c r="D182">
        <v>77.2</v>
      </c>
      <c r="E182">
        <v>26</v>
      </c>
      <c r="G182">
        <v>5.8000000000000003E-2</v>
      </c>
      <c r="H182">
        <v>-1.5</v>
      </c>
      <c r="I182">
        <v>191.6</v>
      </c>
      <c r="J182">
        <v>0.58399999999999996</v>
      </c>
      <c r="K182">
        <v>200</v>
      </c>
      <c r="L182">
        <v>0.6</v>
      </c>
      <c r="M182">
        <v>5.7</v>
      </c>
      <c r="N182">
        <v>5.7000000000000002E-2</v>
      </c>
      <c r="O182">
        <v>14.86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76" activePane="bottomRight" state="frozen"/>
      <selection activeCell="L191" sqref="L191"/>
      <selection pane="topRight" activeCell="L191" sqref="L191"/>
      <selection pane="bottomLeft" activeCell="L191" sqref="L191"/>
      <selection pane="bottomRight" activeCell="AE4" sqref="AE4"/>
    </sheetView>
  </sheetViews>
  <sheetFormatPr baseColWidth="10" defaultColWidth="8.83203125" defaultRowHeight="15" x14ac:dyDescent="0.2"/>
  <cols>
    <col min="1" max="1" width="9.1640625" style="70" customWidth="1"/>
    <col min="2" max="2" width="13" style="67" bestFit="1" customWidth="1"/>
    <col min="3" max="26" width="9" style="67" bestFit="1" customWidth="1"/>
    <col min="27" max="27" width="9" style="67" customWidth="1"/>
    <col min="28" max="28" width="6.1640625" style="67" customWidth="1"/>
    <col min="29" max="29" width="8" style="70" bestFit="1" customWidth="1"/>
    <col min="30" max="30" width="16.33203125" style="70" bestFit="1" customWidth="1"/>
    <col min="31" max="31" width="8" style="70" bestFit="1" customWidth="1"/>
    <col min="32" max="32" width="5.33203125" style="70" bestFit="1" customWidth="1"/>
    <col min="33" max="33" width="37" style="70" bestFit="1" customWidth="1"/>
    <col min="34" max="34" width="41" style="70" bestFit="1" customWidth="1"/>
    <col min="35" max="72" width="9.1640625" style="70"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567</v>
      </c>
    </row>
    <row r="2" spans="2:34" s="70" customFormat="1" x14ac:dyDescent="0.2">
      <c r="AD2" s="70" t="s">
        <v>568</v>
      </c>
      <c r="AE2" s="63" t="s">
        <v>365</v>
      </c>
      <c r="AH2" s="66" t="s">
        <v>569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B3" s="70"/>
      <c r="AD3" s="11" t="s">
        <v>578</v>
      </c>
      <c r="AE3" s="64" t="s">
        <v>364</v>
      </c>
    </row>
    <row r="4" spans="2:34" ht="16" customHeight="1" thickBot="1" x14ac:dyDescent="0.25">
      <c r="B4" s="4" t="s">
        <v>579</v>
      </c>
      <c r="C4" s="13">
        <f t="shared" ref="C4:AA4" si="0">MAX(C90:C98)</f>
        <v>12.226677108000001</v>
      </c>
      <c r="D4" s="13">
        <f t="shared" si="0"/>
        <v>18.3</v>
      </c>
      <c r="E4" s="13">
        <f t="shared" si="0"/>
        <v>14.653846007</v>
      </c>
      <c r="F4" s="13">
        <f t="shared" si="0"/>
        <v>7.3888385669999996</v>
      </c>
      <c r="G4" s="13">
        <f t="shared" si="0"/>
        <v>10.351161574000001</v>
      </c>
      <c r="H4" s="13">
        <f t="shared" si="0"/>
        <v>19.156864633000001</v>
      </c>
      <c r="I4" s="13">
        <f t="shared" si="0"/>
        <v>24.492977962000001</v>
      </c>
      <c r="J4" s="13">
        <f t="shared" si="0"/>
        <v>17.545308273</v>
      </c>
      <c r="K4" s="13">
        <f t="shared" si="0"/>
        <v>17.784211674000002</v>
      </c>
      <c r="L4" s="13">
        <f t="shared" si="0"/>
        <v>9.8475974829999995</v>
      </c>
      <c r="M4" s="13">
        <f t="shared" si="0"/>
        <v>19.581044942999998</v>
      </c>
      <c r="N4" s="13" t="e">
        <f t="shared" si="0"/>
        <v>#N/A</v>
      </c>
      <c r="O4" s="13">
        <f t="shared" si="0"/>
        <v>19.677510000000002</v>
      </c>
      <c r="P4" s="13">
        <f t="shared" si="0"/>
        <v>11.698831984</v>
      </c>
      <c r="Q4" s="13">
        <f t="shared" si="0"/>
        <v>9.6977252140000001</v>
      </c>
      <c r="R4" s="13">
        <f t="shared" si="0"/>
        <v>8.1792516519999996</v>
      </c>
      <c r="S4" s="13">
        <f t="shared" si="0"/>
        <v>6.2541347370000002</v>
      </c>
      <c r="T4" s="13">
        <f t="shared" si="0"/>
        <v>12.210517969</v>
      </c>
      <c r="U4" s="13">
        <f t="shared" si="0"/>
        <v>15.031404564000001</v>
      </c>
      <c r="V4" s="13">
        <f t="shared" si="0"/>
        <v>20.727809626999999</v>
      </c>
      <c r="W4" s="13">
        <f t="shared" si="0"/>
        <v>22.429092907000001</v>
      </c>
      <c r="X4" s="13">
        <f t="shared" si="0"/>
        <v>9.1293429489999998</v>
      </c>
      <c r="Y4" s="13">
        <f t="shared" si="0"/>
        <v>10.956546573000001</v>
      </c>
      <c r="Z4" s="13">
        <f t="shared" si="0"/>
        <v>20.124167475</v>
      </c>
      <c r="AA4" s="13">
        <f t="shared" si="0"/>
        <v>17.947651960000002</v>
      </c>
      <c r="AB4" s="70"/>
      <c r="AD4" s="14" t="s">
        <v>580</v>
      </c>
      <c r="AE4" s="65" t="s">
        <v>361</v>
      </c>
    </row>
    <row r="5" spans="2:34" x14ac:dyDescent="0.2">
      <c r="B5" s="4" t="s">
        <v>581</v>
      </c>
      <c r="C5" s="13">
        <f t="shared" ref="C5:AA5" si="1">MIN(C90:C98)</f>
        <v>-9.0837374240000006</v>
      </c>
      <c r="D5" s="13">
        <f t="shared" si="1"/>
        <v>-6.9</v>
      </c>
      <c r="E5" s="13">
        <f t="shared" si="1"/>
        <v>-14.650162186999999</v>
      </c>
      <c r="F5" s="13">
        <f t="shared" si="1"/>
        <v>-10.083103268</v>
      </c>
      <c r="G5" s="13">
        <f t="shared" si="1"/>
        <v>-11.286579908</v>
      </c>
      <c r="H5" s="13">
        <f t="shared" si="1"/>
        <v>-18.897267446000001</v>
      </c>
      <c r="I5" s="13">
        <f t="shared" si="1"/>
        <v>-21.138315395999999</v>
      </c>
      <c r="J5" s="13">
        <f t="shared" si="1"/>
        <v>-18.453551768000001</v>
      </c>
      <c r="K5" s="13">
        <f t="shared" si="1"/>
        <v>-21.501874910000002</v>
      </c>
      <c r="L5" s="13">
        <f t="shared" si="1"/>
        <v>-7.7187582859999999</v>
      </c>
      <c r="M5" s="13">
        <f t="shared" si="1"/>
        <v>-18.845050825000001</v>
      </c>
      <c r="N5" s="13" t="e">
        <f t="shared" si="1"/>
        <v>#N/A</v>
      </c>
      <c r="O5" s="13">
        <f t="shared" si="1"/>
        <v>-23.371649999999999</v>
      </c>
      <c r="P5" s="13">
        <f t="shared" si="1"/>
        <v>-12.414749165</v>
      </c>
      <c r="Q5" s="13">
        <f t="shared" si="1"/>
        <v>-5.951825049</v>
      </c>
      <c r="R5" s="13">
        <f t="shared" si="1"/>
        <v>-6.6987327910000003</v>
      </c>
      <c r="S5" s="13">
        <f t="shared" si="1"/>
        <v>-2.5967072330000001</v>
      </c>
      <c r="T5" s="13">
        <f t="shared" si="1"/>
        <v>-10.652333519000001</v>
      </c>
      <c r="U5" s="13">
        <f t="shared" si="1"/>
        <v>-15.485028491</v>
      </c>
      <c r="V5" s="13">
        <f t="shared" si="1"/>
        <v>0.96076958099999998</v>
      </c>
      <c r="W5" s="13">
        <f t="shared" si="1"/>
        <v>-9.1025785149999994</v>
      </c>
      <c r="X5" s="13">
        <f t="shared" si="1"/>
        <v>-10.782890147</v>
      </c>
      <c r="Y5" s="13">
        <f t="shared" si="1"/>
        <v>-7.4666263480000001</v>
      </c>
      <c r="Z5" s="13">
        <f t="shared" si="1"/>
        <v>-19.764999244999998</v>
      </c>
      <c r="AA5" s="13">
        <f t="shared" si="1"/>
        <v>-10.376787294</v>
      </c>
      <c r="AB5" s="70"/>
      <c r="AC5" s="16" t="s">
        <v>582</v>
      </c>
      <c r="AE5" s="17"/>
    </row>
    <row r="6" spans="2:34" x14ac:dyDescent="0.2">
      <c r="B6" s="4" t="s">
        <v>583</v>
      </c>
      <c r="C6" s="13">
        <f t="shared" ref="C6:AA6" si="2">AVERAGE(C90:C98)</f>
        <v>1.3577492845555554</v>
      </c>
      <c r="D6" s="13">
        <f t="shared" si="2"/>
        <v>5.3666666666666663</v>
      </c>
      <c r="E6" s="13">
        <f t="shared" si="2"/>
        <v>-0.26421513877777758</v>
      </c>
      <c r="F6" s="13">
        <f t="shared" si="2"/>
        <v>-1.4075349357777778</v>
      </c>
      <c r="G6" s="13">
        <f t="shared" si="2"/>
        <v>-0.73555454522222219</v>
      </c>
      <c r="H6" s="13">
        <f t="shared" si="2"/>
        <v>-0.18065101733333322</v>
      </c>
      <c r="I6" s="13">
        <f t="shared" si="2"/>
        <v>-0.3202720738888884</v>
      </c>
      <c r="J6" s="13">
        <f t="shared" si="2"/>
        <v>-0.971677645222222</v>
      </c>
      <c r="K6" s="13">
        <f t="shared" si="2"/>
        <v>-2.0950256647777774</v>
      </c>
      <c r="L6" s="13">
        <f t="shared" si="2"/>
        <v>1.3803790549999999</v>
      </c>
      <c r="M6" s="13">
        <f t="shared" si="2"/>
        <v>-1.2402946056666666</v>
      </c>
      <c r="N6" s="13" t="e">
        <f t="shared" si="2"/>
        <v>#N/A</v>
      </c>
      <c r="O6" s="13">
        <f t="shared" si="2"/>
        <v>1.3521044444444448</v>
      </c>
      <c r="P6" s="13">
        <f t="shared" si="2"/>
        <v>-2.9287241111111091E-2</v>
      </c>
      <c r="Q6" s="13">
        <f t="shared" si="2"/>
        <v>1.4920221034444445</v>
      </c>
      <c r="R6" s="13">
        <f t="shared" si="2"/>
        <v>0.76859096333333321</v>
      </c>
      <c r="S6" s="13">
        <f t="shared" si="2"/>
        <v>1.834854755333333</v>
      </c>
      <c r="T6" s="13">
        <f t="shared" si="2"/>
        <v>0.57514085444444429</v>
      </c>
      <c r="U6" s="13">
        <f t="shared" si="2"/>
        <v>-7.9181428888885665E-3</v>
      </c>
      <c r="V6" s="13">
        <f t="shared" si="2"/>
        <v>9.2019034521111109</v>
      </c>
      <c r="W6" s="13">
        <f t="shared" si="2"/>
        <v>6.5233333826666673</v>
      </c>
      <c r="X6" s="13">
        <f t="shared" si="2"/>
        <v>-0.53701471022222191</v>
      </c>
      <c r="Y6" s="13">
        <f t="shared" si="2"/>
        <v>2.1584408076666666</v>
      </c>
      <c r="Z6" s="13">
        <f t="shared" si="2"/>
        <v>0.32126232000000104</v>
      </c>
      <c r="AA6" s="13">
        <f t="shared" si="2"/>
        <v>1.9933089020000001</v>
      </c>
      <c r="AB6" s="70"/>
      <c r="AC6" s="18"/>
      <c r="AD6" s="70" t="s">
        <v>584</v>
      </c>
      <c r="AE6" s="17" t="s">
        <v>40</v>
      </c>
      <c r="AG6" s="70" t="str">
        <f>AE6&amp;" Growth yoy% vs "&amp;AE7&amp;" Growth yoy %"</f>
        <v>GBR Growth yoy% vs EA19 Growth yoy %</v>
      </c>
    </row>
    <row r="7" spans="2:34" ht="16" customHeight="1" thickBot="1" x14ac:dyDescent="0.25">
      <c r="B7" s="4" t="s">
        <v>585</v>
      </c>
      <c r="C7" s="13" t="str">
        <f t="shared" ref="C7:AA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e">
        <f t="shared" si="3"/>
        <v>#N/A</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0"/>
      <c r="AC7" s="19"/>
      <c r="AD7" s="20" t="s">
        <v>586</v>
      </c>
      <c r="AE7" s="21" t="s">
        <v>33</v>
      </c>
    </row>
    <row r="8" spans="2:34" x14ac:dyDescent="0.2">
      <c r="B8" s="4" t="s">
        <v>587</v>
      </c>
      <c r="C8" s="13">
        <f t="shared" ref="C8:AA8" si="4">VLOOKUP($AE$2,$B:$Y,MATCH(C3,$B$3:$Y$3,),)-VLOOKUP($AE$4,$B:$Y,MATCH(C3,$B$3:$Y$3,),)</f>
        <v>2.9809155729999999</v>
      </c>
      <c r="D8" s="13">
        <f t="shared" si="4"/>
        <v>-13.5</v>
      </c>
      <c r="E8" s="13">
        <f t="shared" si="4"/>
        <v>6.3082105589999999</v>
      </c>
      <c r="F8" s="13">
        <f t="shared" si="4"/>
        <v>2.4079172299999998</v>
      </c>
      <c r="G8" s="13">
        <f t="shared" si="4"/>
        <v>6.5553218080000004</v>
      </c>
      <c r="H8" s="13">
        <f t="shared" si="4"/>
        <v>2.6655373009999996</v>
      </c>
      <c r="I8" s="13">
        <f t="shared" si="4"/>
        <v>13.71208704</v>
      </c>
      <c r="J8" s="13">
        <f t="shared" si="4"/>
        <v>6.2080566990000001</v>
      </c>
      <c r="K8" s="13">
        <f t="shared" si="4"/>
        <v>10.369695991</v>
      </c>
      <c r="L8" s="13">
        <f t="shared" si="4"/>
        <v>2.8980383729999999</v>
      </c>
      <c r="M8" s="13">
        <f t="shared" si="4"/>
        <v>4.7509571409999998</v>
      </c>
      <c r="N8" s="13" t="e">
        <f t="shared" si="4"/>
        <v>#N/A</v>
      </c>
      <c r="O8" s="13">
        <f t="shared" si="4"/>
        <v>2.3582000000000001</v>
      </c>
      <c r="P8" s="13">
        <f t="shared" si="4"/>
        <v>2.7293399599999999</v>
      </c>
      <c r="Q8" s="13">
        <f t="shared" si="4"/>
        <v>1.937376209</v>
      </c>
      <c r="R8" s="13">
        <f t="shared" si="4"/>
        <v>4.9663529009999996</v>
      </c>
      <c r="S8" s="13">
        <f t="shared" si="4"/>
        <v>0.86302585700000023</v>
      </c>
      <c r="T8" s="13">
        <f t="shared" si="4"/>
        <v>-1.0831754810000001</v>
      </c>
      <c r="U8" s="13">
        <f t="shared" si="4"/>
        <v>8.6618060789999998</v>
      </c>
      <c r="V8" s="13">
        <f t="shared" si="4"/>
        <v>-0.4962193070000005</v>
      </c>
      <c r="W8" s="13">
        <f t="shared" si="4"/>
        <v>-6.8493092999999838E-2</v>
      </c>
      <c r="X8" s="13">
        <f t="shared" si="4"/>
        <v>6.8182049200000003</v>
      </c>
      <c r="Y8" s="13">
        <f t="shared" si="4"/>
        <v>10.291528762</v>
      </c>
      <c r="Z8" s="13" t="e">
        <f t="shared" si="4"/>
        <v>#N/A</v>
      </c>
      <c r="AA8" s="13" t="e">
        <f t="shared" si="4"/>
        <v>#N/A</v>
      </c>
      <c r="AB8" s="70"/>
    </row>
    <row r="9" spans="2:34" x14ac:dyDescent="0.2">
      <c r="B9" s="4" t="s">
        <v>588</v>
      </c>
      <c r="C9" s="13">
        <f t="shared" ref="C9:AA9" si="5">VLOOKUP($AE$2,$B:$Y,MATCH(C3,$B$3:$Y$3,),)-VLOOKUP($AE$3,$B:$Y,MATCH(C3,$B$3:$Y$3,),)</f>
        <v>-2.0055916620000001</v>
      </c>
      <c r="D9" s="13">
        <f t="shared" si="5"/>
        <v>0.79999999999999982</v>
      </c>
      <c r="E9" s="13">
        <f t="shared" si="5"/>
        <v>0.78115565700000023</v>
      </c>
      <c r="F9" s="13">
        <f t="shared" si="5"/>
        <v>0.27440828500000003</v>
      </c>
      <c r="G9" s="13">
        <f t="shared" si="5"/>
        <v>1.9871777239999999</v>
      </c>
      <c r="H9" s="13">
        <f t="shared" si="5"/>
        <v>-0.46192550000000043</v>
      </c>
      <c r="I9" s="13">
        <f t="shared" si="5"/>
        <v>2.0994007090000002</v>
      </c>
      <c r="J9" s="13">
        <f t="shared" si="5"/>
        <v>-0.11197834199999956</v>
      </c>
      <c r="K9" s="13">
        <f t="shared" si="5"/>
        <v>0.74398092299999963</v>
      </c>
      <c r="L9" s="13">
        <f t="shared" si="5"/>
        <v>-2.5064479589999999</v>
      </c>
      <c r="M9" s="13">
        <f t="shared" si="5"/>
        <v>0.63350690299999979</v>
      </c>
      <c r="N9" s="13" t="e">
        <f t="shared" si="5"/>
        <v>#N/A</v>
      </c>
      <c r="O9" s="13">
        <f t="shared" si="5"/>
        <v>-0.60398999999999958</v>
      </c>
      <c r="P9" s="13">
        <f t="shared" si="5"/>
        <v>-0.34508315699999992</v>
      </c>
      <c r="Q9" s="13">
        <f t="shared" si="5"/>
        <v>-1.0554022810000006</v>
      </c>
      <c r="R9" s="13">
        <f t="shared" si="5"/>
        <v>0.74289813199999966</v>
      </c>
      <c r="S9" s="13">
        <f t="shared" si="5"/>
        <v>-1.1162635309999995</v>
      </c>
      <c r="T9" s="13">
        <f t="shared" si="5"/>
        <v>-9.0054454999999978E-2</v>
      </c>
      <c r="U9" s="13">
        <f t="shared" si="5"/>
        <v>-1.1382383870000004</v>
      </c>
      <c r="V9" s="13">
        <f t="shared" si="5"/>
        <v>1.3900883429999986</v>
      </c>
      <c r="W9" s="13">
        <f t="shared" si="5"/>
        <v>-1.064593272999999</v>
      </c>
      <c r="X9" s="13">
        <f t="shared" si="5"/>
        <v>1.4440627690000003</v>
      </c>
      <c r="Y9" s="13">
        <f t="shared" si="5"/>
        <v>1.1840593740000003</v>
      </c>
      <c r="Z9" s="13" t="e">
        <f t="shared" si="5"/>
        <v>#N/A</v>
      </c>
      <c r="AA9" s="13" t="e">
        <f t="shared" si="5"/>
        <v>#N/A</v>
      </c>
      <c r="AB9" s="70"/>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0"/>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0"/>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0"/>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0"/>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0"/>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0"/>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0"/>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0"/>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0"/>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0"/>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0"/>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0"/>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0"/>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0"/>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0"/>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0"/>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0"/>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0"/>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0"/>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0"/>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0"/>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0"/>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0"/>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0"/>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0"/>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0"/>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0"/>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0"/>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0"/>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0"/>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0"/>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0"/>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0"/>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0"/>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0"/>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0"/>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0"/>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0"/>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0"/>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0"/>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0"/>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0"/>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0"/>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0"/>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0"/>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0"/>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0"/>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0"/>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0"/>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0"/>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0"/>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0"/>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0"/>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0"/>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0"/>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0"/>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0"/>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0"/>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0"/>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0"/>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0"/>
      <c r="AC70" s="26" t="str">
        <f t="shared" si="9"/>
        <v>2014-Q4</v>
      </c>
      <c r="AD70" s="27" t="e">
        <f t="shared" si="10"/>
        <v>#REF!</v>
      </c>
      <c r="AE70" s="27" t="e">
        <f t="shared" si="11"/>
        <v>#REF!</v>
      </c>
      <c r="AF70" s="27" t="e">
        <f t="shared" si="12"/>
        <v>#REF!</v>
      </c>
    </row>
    <row r="71" spans="2:32" x14ac:dyDescent="0.2">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1.7403919640000001</v>
      </c>
      <c r="F71" s="25">
        <f>IF(VLOOKUP(B71,'Data yoy'!$A:$AW,MATCH($F$1,'Data yoy'!$A$1:$AW$1,),)=0,#N/A,VLOOKUP(B71,'Data yoy'!$A:$AW,MATCH($F$1,'Data yoy'!$A$1:$AW$1,),))</f>
        <v>0.25714410399999998</v>
      </c>
      <c r="G71" s="25">
        <f>IF(VLOOKUP(B71,'Data yoy'!$A:$AW,MATCH($G$1,'Data yoy'!$A$1:$AW$1,),)=0,#N/A,VLOOKUP(B71,'Data yoy'!$A:$AW,MATCH($G$1,'Data yoy'!$A$1:$AW$1,),))</f>
        <v>0.81967864000000001</v>
      </c>
      <c r="H71" s="25">
        <f>IF(VLOOKUP(B71,'Data yoy'!$A:$AW,MATCH($H$1,'Data yoy'!$A$1:$AW$1,),)=0,#N/A,VLOOKUP(B71,'Data yoy'!$A:$AW,MATCH($H$1,'Data yoy'!$A$1:$AW$1,),))</f>
        <v>1.1566432950000001</v>
      </c>
      <c r="I71" s="25">
        <f>IF(VLOOKUP(B71,'Data yoy'!$A:$AW,MATCH($I$1,'Data yoy'!$A$1:$AW$1,),)=0,#N/A,VLOOKUP(B71,'Data yoy'!$A:$AW,MATCH($I$1,'Data yoy'!$A$1:$AW$1,),))</f>
        <v>2.7156340120000002</v>
      </c>
      <c r="J71" s="25">
        <f>IF(VLOOKUP(B71,'Data yoy'!$A:$AW,MATCH($J$1,'Data yoy'!$A$1:$AW$1,),)=0,#N/A,VLOOKUP(B71,'Data yoy'!$A:$AW,MATCH($J$1,'Data yoy'!$A$1:$AW$1,),))</f>
        <v>6.6099496999999993E-2</v>
      </c>
      <c r="K71" s="25">
        <f>IF(VLOOKUP(B71,'Data yoy'!$A:$AW,MATCH($K$1,'Data yoy'!$A$1:$AW$1,),)=0,#N/A,VLOOKUP(B71,'Data yoy'!$A:$AW,MATCH($K$1,'Data yoy'!$A$1:$AW$1,),))</f>
        <v>3.2469654530000001</v>
      </c>
      <c r="L71" s="25">
        <f>IF(VLOOKUP(B71,'Data yoy'!$A:$AW,MATCH($L$1,'Data yoy'!$A$1:$AW$1,),)=0,#N/A,VLOOKUP(B71,'Data yoy'!$A:$AW,MATCH($L$1,'Data yoy'!$A$1:$AW$1,),))</f>
        <v>3.7728304279999998</v>
      </c>
      <c r="M71" s="25">
        <f>IF(VLOOKUP(B71,'Data yoy'!$A:$AW,MATCH($M$1,'Data yoy'!$A$1:$AW$1,),)=0,#N/A,VLOOKUP(B71,'Data yoy'!$A:$AW,MATCH($M$1,'Data yoy'!$A$1:$AW$1,),))</f>
        <v>3.252439088</v>
      </c>
      <c r="N71" s="25">
        <f>IF(VLOOKUP(B71,'Data yoy'!$A:$AW,MATCH($N$1,'Data yoy'!$A$1:$AW$1,),)=0,#N/A,VLOOKUP(B71,'Data yoy'!$A:$AW,MATCH($N$1,'Data yoy'!$A$1:$AW$1,),))</f>
        <v>-1.0901795750000001</v>
      </c>
      <c r="O71" s="25">
        <f>IF(VLOOKUP(B71,'Data yoy'!$A:$AW,MATCH($O$1,'Data yoy'!$A$1:$AW$1,),)=0,#N/A,VLOOKUP(B71,'Data yoy'!$A:$AW,MATCH($O$1,'Data yoy'!$A$1:$AW$1,),))</f>
        <v>7.5362299999999998</v>
      </c>
      <c r="P71" s="25">
        <f>IF(VLOOKUP(B71,'Data yoy'!$A:$AW,MATCH($P$1,'Data yoy'!$A$1:$AW$1,),)=0,#N/A,VLOOKUP(B71,'Data yoy'!$A:$AW,MATCH($P$1,'Data yoy'!$A$1:$AW$1,),))</f>
        <v>2.0224016960000002</v>
      </c>
      <c r="Q71" s="25">
        <f>IF(VLOOKUP(B71,'Data yoy'!$A:$AW,MATCH($Q$1,'Data yoy'!$A$1:$AW$1,),)=0,#N/A,VLOOKUP(B71,'Data yoy'!$A:$AW,MATCH($Q$1,'Data yoy'!$A$1:$AW$1,),))</f>
        <v>2.2301427509999998</v>
      </c>
      <c r="R71" s="25">
        <f>IF(VLOOKUP(B71,'Data yoy'!$A:$AW,MATCH($R$1,'Data yoy'!$A$1:$AW$1,),)=0,#N/A,VLOOKUP(B71,'Data yoy'!$A:$AW,MATCH($R$1,'Data yoy'!$A$1:$AW$1,),))</f>
        <v>1.5950923020000001</v>
      </c>
      <c r="S71" s="25">
        <f>IF(VLOOKUP(B71,'Data yoy'!$A:$AW,MATCH($S$1,'Data yoy'!$A$1:$AW$1,),)=0,#N/A,VLOOKUP(B71,'Data yoy'!$A:$AW,MATCH($S$1,'Data yoy'!$A$1:$AW$1,),))</f>
        <v>2.4768505649999999</v>
      </c>
      <c r="T71" s="25">
        <f>IF(VLOOKUP(B71,'Data yoy'!$A:$AW,MATCH($T$1,'Data yoy'!$A$1:$AW$1,),)=0,#N/A,VLOOKUP(B71,'Data yoy'!$A:$AW,MATCH($T$1,'Data yoy'!$A$1:$AW$1,),))</f>
        <v>-1.7054888560000001</v>
      </c>
      <c r="U71" s="25">
        <f>IF(VLOOKUP(B71,'Data yoy'!$A:$AW,MATCH($U$1,'Data yoy'!$A$1:$AW$1,),)=0,#N/A,VLOOKUP(B71,'Data yoy'!$A:$AW,MATCH($U$1,'Data yoy'!$A$1:$AW$1,),))</f>
        <v>0.31616531199999998</v>
      </c>
      <c r="V71" s="25">
        <f>IF(VLOOKUP(B71,'Data yoy'!$A:$AW,MATCH($V$1,'Data yoy'!$A$1:$AW$1,),)=0,#N/A,VLOOKUP(B71,'Data yoy'!$A:$AW,MATCH($V$1,'Data yoy'!$A$1:$AW$1,),))</f>
        <v>29.183214079999999</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4.1051629079999996</v>
      </c>
      <c r="Z71" s="25">
        <f>IF(VLOOKUP(B71,'Data yoy'!$A:$AW,MATCH($Z$1,'Data yoy'!$A$1:$AW$1,),)=0,#N/A,VLOOKUP(B71,'Data yoy'!$A:$AW,MATCH($Z$1,'Data yoy'!$A$1:$AW$1,),))</f>
        <v>0.55449340899999999</v>
      </c>
      <c r="AA71" s="25">
        <f>IF(VLOOKUP(B71,'Data yoy'!$A:$AW,MATCH($AA$1,'Data yoy'!$A$1:$AW$1,),)=0,#N/A,VLOOKUP(B71,'Data yoy'!$A:$AW,MATCH($AA$1,'Data yoy'!$A$1:$AW$1,),))</f>
        <v>3.774147277</v>
      </c>
      <c r="AB71" s="70"/>
      <c r="AC71" s="26" t="str">
        <f t="shared" si="9"/>
        <v>2015-Q1</v>
      </c>
      <c r="AD71" s="27">
        <f t="shared" si="10"/>
        <v>2.7156340120000002</v>
      </c>
      <c r="AE71" s="27">
        <f t="shared" si="11"/>
        <v>1.7403919640000001</v>
      </c>
      <c r="AF71" s="27">
        <f t="shared" si="12"/>
        <v>0.97524204800000014</v>
      </c>
    </row>
    <row r="72" spans="2:32" x14ac:dyDescent="0.2">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1.994755547</v>
      </c>
      <c r="F72" s="25">
        <f>IF(VLOOKUP(B72,'Data yoy'!$A:$AW,MATCH($F$1,'Data yoy'!$A$1:$AW$1,),)=0,#N/A,VLOOKUP(B72,'Data yoy'!$A:$AW,MATCH($F$1,'Data yoy'!$A$1:$AW$1,),))</f>
        <v>2.2604628259999999</v>
      </c>
      <c r="G72" s="25">
        <f>IF(VLOOKUP(B72,'Data yoy'!$A:$AW,MATCH($G$1,'Data yoy'!$A$1:$AW$1,),)=0,#N/A,VLOOKUP(B72,'Data yoy'!$A:$AW,MATCH($G$1,'Data yoy'!$A$1:$AW$1,),))</f>
        <v>1.532410198</v>
      </c>
      <c r="H72" s="25">
        <f>IF(VLOOKUP(B72,'Data yoy'!$A:$AW,MATCH($H$1,'Data yoy'!$A$1:$AW$1,),)=0,#N/A,VLOOKUP(B72,'Data yoy'!$A:$AW,MATCH($H$1,'Data yoy'!$A$1:$AW$1,),))</f>
        <v>1.1780272759999999</v>
      </c>
      <c r="I72" s="25">
        <f>IF(VLOOKUP(B72,'Data yoy'!$A:$AW,MATCH($I$1,'Data yoy'!$A$1:$AW$1,),)=0,#N/A,VLOOKUP(B72,'Data yoy'!$A:$AW,MATCH($I$1,'Data yoy'!$A$1:$AW$1,),))</f>
        <v>2.646630585</v>
      </c>
      <c r="J72" s="25">
        <f>IF(VLOOKUP(B72,'Data yoy'!$A:$AW,MATCH($J$1,'Data yoy'!$A$1:$AW$1,),)=0,#N/A,VLOOKUP(B72,'Data yoy'!$A:$AW,MATCH($J$1,'Data yoy'!$A$1:$AW$1,),))</f>
        <v>0.494675431</v>
      </c>
      <c r="K72" s="25">
        <f>IF(VLOOKUP(B72,'Data yoy'!$A:$AW,MATCH($K$1,'Data yoy'!$A$1:$AW$1,),)=0,#N/A,VLOOKUP(B72,'Data yoy'!$A:$AW,MATCH($K$1,'Data yoy'!$A$1:$AW$1,),))</f>
        <v>3.8732762529999998</v>
      </c>
      <c r="L72" s="25">
        <f>IF(VLOOKUP(B72,'Data yoy'!$A:$AW,MATCH($L$1,'Data yoy'!$A$1:$AW$1,),)=0,#N/A,VLOOKUP(B72,'Data yoy'!$A:$AW,MATCH($L$1,'Data yoy'!$A$1:$AW$1,),))</f>
        <v>3.9478371800000001</v>
      </c>
      <c r="M72" s="25">
        <f>IF(VLOOKUP(B72,'Data yoy'!$A:$AW,MATCH($M$1,'Data yoy'!$A$1:$AW$1,),)=0,#N/A,VLOOKUP(B72,'Data yoy'!$A:$AW,MATCH($M$1,'Data yoy'!$A$1:$AW$1,),))</f>
        <v>3.1504155730000001</v>
      </c>
      <c r="N72" s="25">
        <f>IF(VLOOKUP(B72,'Data yoy'!$A:$AW,MATCH($N$1,'Data yoy'!$A$1:$AW$1,),)=0,#N/A,VLOOKUP(B72,'Data yoy'!$A:$AW,MATCH($N$1,'Data yoy'!$A$1:$AW$1,),))</f>
        <v>-2.2235911339999999</v>
      </c>
      <c r="O72" s="25">
        <f>IF(VLOOKUP(B72,'Data yoy'!$A:$AW,MATCH($O$1,'Data yoy'!$A$1:$AW$1,),)=0,#N/A,VLOOKUP(B72,'Data yoy'!$A:$AW,MATCH($O$1,'Data yoy'!$A$1:$AW$1,),))</f>
        <v>7.3807700000000001</v>
      </c>
      <c r="P72" s="25">
        <f>IF(VLOOKUP(B72,'Data yoy'!$A:$AW,MATCH($P$1,'Data yoy'!$A$1:$AW$1,),)=0,#N/A,VLOOKUP(B72,'Data yoy'!$A:$AW,MATCH($P$1,'Data yoy'!$A$1:$AW$1,),))</f>
        <v>0.82387143900000004</v>
      </c>
      <c r="Q72" s="25">
        <f>IF(VLOOKUP(B72,'Data yoy'!$A:$AW,MATCH($Q$1,'Data yoy'!$A$1:$AW$1,),)=0,#N/A,VLOOKUP(B72,'Data yoy'!$A:$AW,MATCH($Q$1,'Data yoy'!$A$1:$AW$1,),))</f>
        <v>1.8700742969999999</v>
      </c>
      <c r="R72" s="25">
        <f>IF(VLOOKUP(B72,'Data yoy'!$A:$AW,MATCH($R$1,'Data yoy'!$A$1:$AW$1,),)=0,#N/A,VLOOKUP(B72,'Data yoy'!$A:$AW,MATCH($R$1,'Data yoy'!$A$1:$AW$1,),))</f>
        <v>1.636317362</v>
      </c>
      <c r="S72" s="25">
        <f>IF(VLOOKUP(B72,'Data yoy'!$A:$AW,MATCH($S$1,'Data yoy'!$A$1:$AW$1,),)=0,#N/A,VLOOKUP(B72,'Data yoy'!$A:$AW,MATCH($S$1,'Data yoy'!$A$1:$AW$1,),))</f>
        <v>2.07600271</v>
      </c>
      <c r="T72" s="25">
        <f>IF(VLOOKUP(B72,'Data yoy'!$A:$AW,MATCH($T$1,'Data yoy'!$A$1:$AW$1,),)=0,#N/A,VLOOKUP(B72,'Data yoy'!$A:$AW,MATCH($T$1,'Data yoy'!$A$1:$AW$1,),))</f>
        <v>-2.7972789809999998</v>
      </c>
      <c r="U72" s="25">
        <f>IF(VLOOKUP(B72,'Data yoy'!$A:$AW,MATCH($U$1,'Data yoy'!$A$1:$AW$1,),)=0,#N/A,VLOOKUP(B72,'Data yoy'!$A:$AW,MATCH($U$1,'Data yoy'!$A$1:$AW$1,),))</f>
        <v>0.51232930099999996</v>
      </c>
      <c r="V72" s="25">
        <f>IF(VLOOKUP(B72,'Data yoy'!$A:$AW,MATCH($V$1,'Data yoy'!$A$1:$AW$1,),)=0,#N/A,VLOOKUP(B72,'Data yoy'!$A:$AW,MATCH($V$1,'Data yoy'!$A$1:$AW$1,),))</f>
        <v>21.627918861000001</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3.7437809120000001</v>
      </c>
      <c r="Z72" s="25">
        <f>IF(VLOOKUP(B72,'Data yoy'!$A:$AW,MATCH($Z$1,'Data yoy'!$A$1:$AW$1,),)=0,#N/A,VLOOKUP(B72,'Data yoy'!$A:$AW,MATCH($Z$1,'Data yoy'!$A$1:$AW$1,),))</f>
        <v>3.4942398649999999</v>
      </c>
      <c r="AA72" s="25">
        <f>IF(VLOOKUP(B72,'Data yoy'!$A:$AW,MATCH($AA$1,'Data yoy'!$A$1:$AW$1,),)=0,#N/A,VLOOKUP(B72,'Data yoy'!$A:$AW,MATCH($AA$1,'Data yoy'!$A$1:$AW$1,),))</f>
        <v>3.9957003599999998</v>
      </c>
      <c r="AB72" s="70"/>
      <c r="AC72" s="26" t="str">
        <f t="shared" si="9"/>
        <v>2015-Q2</v>
      </c>
      <c r="AD72" s="27">
        <f t="shared" si="10"/>
        <v>2.646630585</v>
      </c>
      <c r="AE72" s="27">
        <f t="shared" si="11"/>
        <v>1.994755547</v>
      </c>
      <c r="AF72" s="27">
        <f t="shared" si="12"/>
        <v>0.65187503800000002</v>
      </c>
    </row>
    <row r="73" spans="2:32" x14ac:dyDescent="0.2">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1.952564033</v>
      </c>
      <c r="F73" s="25">
        <f>IF(VLOOKUP(B73,'Data yoy'!$A:$AW,MATCH($F$1,'Data yoy'!$A$1:$AW$1,),)=0,#N/A,VLOOKUP(B73,'Data yoy'!$A:$AW,MATCH($F$1,'Data yoy'!$A$1:$AW$1,),))</f>
        <v>2.2601087880000001</v>
      </c>
      <c r="G73" s="25">
        <f>IF(VLOOKUP(B73,'Data yoy'!$A:$AW,MATCH($G$1,'Data yoy'!$A$1:$AW$1,),)=0,#N/A,VLOOKUP(B73,'Data yoy'!$A:$AW,MATCH($G$1,'Data yoy'!$A$1:$AW$1,),))</f>
        <v>1.4937711119999999</v>
      </c>
      <c r="H73" s="25">
        <f>IF(VLOOKUP(B73,'Data yoy'!$A:$AW,MATCH($H$1,'Data yoy'!$A$1:$AW$1,),)=0,#N/A,VLOOKUP(B73,'Data yoy'!$A:$AW,MATCH($H$1,'Data yoy'!$A$1:$AW$1,),))</f>
        <v>0.83398434300000002</v>
      </c>
      <c r="I73" s="25">
        <f>IF(VLOOKUP(B73,'Data yoy'!$A:$AW,MATCH($I$1,'Data yoy'!$A$1:$AW$1,),)=0,#N/A,VLOOKUP(B73,'Data yoy'!$A:$AW,MATCH($I$1,'Data yoy'!$A$1:$AW$1,),))</f>
        <v>2.5039726959999999</v>
      </c>
      <c r="J73" s="25">
        <f>IF(VLOOKUP(B73,'Data yoy'!$A:$AW,MATCH($J$1,'Data yoy'!$A$1:$AW$1,),)=0,#N/A,VLOOKUP(B73,'Data yoy'!$A:$AW,MATCH($J$1,'Data yoy'!$A$1:$AW$1,),))</f>
        <v>0.63254534399999995</v>
      </c>
      <c r="K73" s="25">
        <f>IF(VLOOKUP(B73,'Data yoy'!$A:$AW,MATCH($K$1,'Data yoy'!$A$1:$AW$1,),)=0,#N/A,VLOOKUP(B73,'Data yoy'!$A:$AW,MATCH($K$1,'Data yoy'!$A$1:$AW$1,),))</f>
        <v>4.0485580949999997</v>
      </c>
      <c r="L73" s="25">
        <f>IF(VLOOKUP(B73,'Data yoy'!$A:$AW,MATCH($L$1,'Data yoy'!$A$1:$AW$1,),)=0,#N/A,VLOOKUP(B73,'Data yoy'!$A:$AW,MATCH($L$1,'Data yoy'!$A$1:$AW$1,),))</f>
        <v>4.6373399500000003</v>
      </c>
      <c r="M73" s="25">
        <f>IF(VLOOKUP(B73,'Data yoy'!$A:$AW,MATCH($M$1,'Data yoy'!$A$1:$AW$1,),)=0,#N/A,VLOOKUP(B73,'Data yoy'!$A:$AW,MATCH($M$1,'Data yoy'!$A$1:$AW$1,),))</f>
        <v>4.1391783049999997</v>
      </c>
      <c r="N73" s="25">
        <f>IF(VLOOKUP(B73,'Data yoy'!$A:$AW,MATCH($N$1,'Data yoy'!$A$1:$AW$1,),)=0,#N/A,VLOOKUP(B73,'Data yoy'!$A:$AW,MATCH($N$1,'Data yoy'!$A$1:$AW$1,),))</f>
        <v>-1.72172671</v>
      </c>
      <c r="O73" s="25">
        <f>IF(VLOOKUP(B73,'Data yoy'!$A:$AW,MATCH($O$1,'Data yoy'!$A$1:$AW$1,),)=0,#N/A,VLOOKUP(B73,'Data yoy'!$A:$AW,MATCH($O$1,'Data yoy'!$A$1:$AW$1,),))</f>
        <v>7.4023000000000003</v>
      </c>
      <c r="P73" s="25">
        <f>IF(VLOOKUP(B73,'Data yoy'!$A:$AW,MATCH($P$1,'Data yoy'!$A$1:$AW$1,),)=0,#N/A,VLOOKUP(B73,'Data yoy'!$A:$AW,MATCH($P$1,'Data yoy'!$A$1:$AW$1,),))</f>
        <v>0.21933249699999999</v>
      </c>
      <c r="Q73" s="25">
        <f>IF(VLOOKUP(B73,'Data yoy'!$A:$AW,MATCH($Q$1,'Data yoy'!$A$1:$AW$1,),)=0,#N/A,VLOOKUP(B73,'Data yoy'!$A:$AW,MATCH($Q$1,'Data yoy'!$A$1:$AW$1,),))</f>
        <v>2.4426729919999999</v>
      </c>
      <c r="R73" s="25">
        <f>IF(VLOOKUP(B73,'Data yoy'!$A:$AW,MATCH($R$1,'Data yoy'!$A$1:$AW$1,),)=0,#N/A,VLOOKUP(B73,'Data yoy'!$A:$AW,MATCH($R$1,'Data yoy'!$A$1:$AW$1,),))</f>
        <v>1.7196280150000001</v>
      </c>
      <c r="S73" s="25">
        <f>IF(VLOOKUP(B73,'Data yoy'!$A:$AW,MATCH($S$1,'Data yoy'!$A$1:$AW$1,),)=0,#N/A,VLOOKUP(B73,'Data yoy'!$A:$AW,MATCH($S$1,'Data yoy'!$A$1:$AW$1,),))</f>
        <v>3.2275622639999999</v>
      </c>
      <c r="T73" s="25">
        <f>IF(VLOOKUP(B73,'Data yoy'!$A:$AW,MATCH($T$1,'Data yoy'!$A$1:$AW$1,),)=0,#N/A,VLOOKUP(B73,'Data yoy'!$A:$AW,MATCH($T$1,'Data yoy'!$A$1:$AW$1,),))</f>
        <v>-4.2133775900000003</v>
      </c>
      <c r="U73" s="25">
        <f>IF(VLOOKUP(B73,'Data yoy'!$A:$AW,MATCH($U$1,'Data yoy'!$A$1:$AW$1,),)=0,#N/A,VLOOKUP(B73,'Data yoy'!$A:$AW,MATCH($U$1,'Data yoy'!$A$1:$AW$1,),))</f>
        <v>-2.4205565180000002</v>
      </c>
      <c r="V73" s="25">
        <f>IF(VLOOKUP(B73,'Data yoy'!$A:$AW,MATCH($V$1,'Data yoy'!$A$1:$AW$1,),)=0,#N/A,VLOOKUP(B73,'Data yoy'!$A:$AW,MATCH($V$1,'Data yoy'!$A$1:$AW$1,),))</f>
        <v>24.642481347</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4.1839604980000002</v>
      </c>
      <c r="Z73" s="25">
        <f>IF(VLOOKUP(B73,'Data yoy'!$A:$AW,MATCH($Z$1,'Data yoy'!$A$1:$AW$1,),)=0,#N/A,VLOOKUP(B73,'Data yoy'!$A:$AW,MATCH($Z$1,'Data yoy'!$A$1:$AW$1,),))</f>
        <v>4.2966035549999999</v>
      </c>
      <c r="AA73" s="25">
        <f>IF(VLOOKUP(B73,'Data yoy'!$A:$AW,MATCH($AA$1,'Data yoy'!$A$1:$AW$1,),)=0,#N/A,VLOOKUP(B73,'Data yoy'!$A:$AW,MATCH($AA$1,'Data yoy'!$A$1:$AW$1,),))</f>
        <v>3.780905148</v>
      </c>
      <c r="AB73" s="70"/>
      <c r="AC73" s="26" t="str">
        <f t="shared" si="9"/>
        <v>2015-Q3</v>
      </c>
      <c r="AD73" s="27">
        <f t="shared" si="10"/>
        <v>2.5039726959999999</v>
      </c>
      <c r="AE73" s="27">
        <f t="shared" si="11"/>
        <v>1.952564033</v>
      </c>
      <c r="AF73" s="27">
        <f t="shared" si="12"/>
        <v>0.55140866299999991</v>
      </c>
    </row>
    <row r="74" spans="2:32" x14ac:dyDescent="0.2">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2.0415301119999998</v>
      </c>
      <c r="F74" s="25">
        <f>IF(VLOOKUP(B74,'Data yoy'!$A:$AW,MATCH($F$1,'Data yoy'!$A$1:$AW$1,),)=0,#N/A,VLOOKUP(B74,'Data yoy'!$A:$AW,MATCH($F$1,'Data yoy'!$A$1:$AW$1,),))</f>
        <v>1.6212636389999999</v>
      </c>
      <c r="G74" s="25">
        <f>IF(VLOOKUP(B74,'Data yoy'!$A:$AW,MATCH($G$1,'Data yoy'!$A$1:$AW$1,),)=0,#N/A,VLOOKUP(B74,'Data yoy'!$A:$AW,MATCH($G$1,'Data yoy'!$A$1:$AW$1,),))</f>
        <v>1.1100328779999999</v>
      </c>
      <c r="H74" s="25">
        <f>IF(VLOOKUP(B74,'Data yoy'!$A:$AW,MATCH($H$1,'Data yoy'!$A$1:$AW$1,),)=0,#N/A,VLOOKUP(B74,'Data yoy'!$A:$AW,MATCH($H$1,'Data yoy'!$A$1:$AW$1,),))</f>
        <v>1.0740070239999999</v>
      </c>
      <c r="I74" s="25">
        <f>IF(VLOOKUP(B74,'Data yoy'!$A:$AW,MATCH($I$1,'Data yoy'!$A$1:$AW$1,),)=0,#N/A,VLOOKUP(B74,'Data yoy'!$A:$AW,MATCH($I$1,'Data yoy'!$A$1:$AW$1,),))</f>
        <v>2.6256587499999999</v>
      </c>
      <c r="J74" s="25">
        <f>IF(VLOOKUP(B74,'Data yoy'!$A:$AW,MATCH($J$1,'Data yoy'!$A$1:$AW$1,),)=0,#N/A,VLOOKUP(B74,'Data yoy'!$A:$AW,MATCH($J$1,'Data yoy'!$A$1:$AW$1,),))</f>
        <v>1.4367180070000001</v>
      </c>
      <c r="K74" s="25">
        <f>IF(VLOOKUP(B74,'Data yoy'!$A:$AW,MATCH($K$1,'Data yoy'!$A$1:$AW$1,),)=0,#N/A,VLOOKUP(B74,'Data yoy'!$A:$AW,MATCH($K$1,'Data yoy'!$A$1:$AW$1,),))</f>
        <v>4.1627441640000002</v>
      </c>
      <c r="L74" s="25">
        <f>IF(VLOOKUP(B74,'Data yoy'!$A:$AW,MATCH($L$1,'Data yoy'!$A$1:$AW$1,),)=0,#N/A,VLOOKUP(B74,'Data yoy'!$A:$AW,MATCH($L$1,'Data yoy'!$A$1:$AW$1,),))</f>
        <v>4.5974075409999999</v>
      </c>
      <c r="M74" s="25">
        <f>IF(VLOOKUP(B74,'Data yoy'!$A:$AW,MATCH($M$1,'Data yoy'!$A$1:$AW$1,),)=0,#N/A,VLOOKUP(B74,'Data yoy'!$A:$AW,MATCH($M$1,'Data yoy'!$A$1:$AW$1,),))</f>
        <v>2.7093970459999999</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2.6851555519999999</v>
      </c>
      <c r="R74" s="25">
        <f>IF(VLOOKUP(B74,'Data yoy'!$A:$AW,MATCH($R$1,'Data yoy'!$A$1:$AW$1,),)=0,#N/A,VLOOKUP(B74,'Data yoy'!$A:$AW,MATCH($R$1,'Data yoy'!$A$1:$AW$1,),))</f>
        <v>1.598864619</v>
      </c>
      <c r="S74" s="25">
        <f>IF(VLOOKUP(B74,'Data yoy'!$A:$AW,MATCH($S$1,'Data yoy'!$A$1:$AW$1,),)=0,#N/A,VLOOKUP(B74,'Data yoy'!$A:$AW,MATCH($S$1,'Data yoy'!$A$1:$AW$1,),))</f>
        <v>3.4466806430000001</v>
      </c>
      <c r="T74" s="25">
        <f>IF(VLOOKUP(B74,'Data yoy'!$A:$AW,MATCH($T$1,'Data yoy'!$A$1:$AW$1,),)=0,#N/A,VLOOKUP(B74,'Data yoy'!$A:$AW,MATCH($T$1,'Data yoy'!$A$1:$AW$1,),))</f>
        <v>-5.4467785290000004</v>
      </c>
      <c r="U74" s="25">
        <f>IF(VLOOKUP(B74,'Data yoy'!$A:$AW,MATCH($U$1,'Data yoy'!$A$1:$AW$1,),)=0,#N/A,VLOOKUP(B74,'Data yoy'!$A:$AW,MATCH($U$1,'Data yoy'!$A$1:$AW$1,),))</f>
        <v>0.38960714200000002</v>
      </c>
      <c r="V74" s="25">
        <f>IF(VLOOKUP(B74,'Data yoy'!$A:$AW,MATCH($V$1,'Data yoy'!$A$1:$AW$1,),)=0,#N/A,VLOOKUP(B74,'Data yoy'!$A:$AW,MATCH($V$1,'Data yoy'!$A$1:$AW$1,),))</f>
        <v>26.119873131999999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4.7958291170000003</v>
      </c>
      <c r="Z74" s="25">
        <f>IF(VLOOKUP(B74,'Data yoy'!$A:$AW,MATCH($Z$1,'Data yoy'!$A$1:$AW$1,),)=0,#N/A,VLOOKUP(B74,'Data yoy'!$A:$AW,MATCH($Z$1,'Data yoy'!$A$1:$AW$1,),))</f>
        <v>2.6043188389999998</v>
      </c>
      <c r="AA74" s="25">
        <f>IF(VLOOKUP(B74,'Data yoy'!$A:$AW,MATCH($AA$1,'Data yoy'!$A$1:$AW$1,),)=0,#N/A,VLOOKUP(B74,'Data yoy'!$A:$AW,MATCH($AA$1,'Data yoy'!$A$1:$AW$1,),))</f>
        <v>3.1965279400000002</v>
      </c>
      <c r="AB74" s="70"/>
      <c r="AC74" s="26" t="str">
        <f t="shared" si="9"/>
        <v>2015-Q4</v>
      </c>
      <c r="AD74" s="27">
        <f t="shared" si="10"/>
        <v>2.6256587499999999</v>
      </c>
      <c r="AE74" s="27">
        <f t="shared" si="11"/>
        <v>2.0415301119999998</v>
      </c>
      <c r="AF74" s="27">
        <f t="shared" si="12"/>
        <v>0.58412863800000014</v>
      </c>
    </row>
    <row r="75" spans="2:32" x14ac:dyDescent="0.2">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1.9212266520000001</v>
      </c>
      <c r="F75" s="25">
        <f>IF(VLOOKUP(B75,'Data yoy'!$A:$AW,MATCH($F$1,'Data yoy'!$A$1:$AW$1,),)=0,#N/A,VLOOKUP(B75,'Data yoy'!$A:$AW,MATCH($F$1,'Data yoy'!$A$1:$AW$1,),))</f>
        <v>0.80656472499999998</v>
      </c>
      <c r="G75" s="25">
        <f>IF(VLOOKUP(B75,'Data yoy'!$A:$AW,MATCH($G$1,'Data yoy'!$A$1:$AW$1,),)=0,#N/A,VLOOKUP(B75,'Data yoy'!$A:$AW,MATCH($G$1,'Data yoy'!$A$1:$AW$1,),))</f>
        <v>2.4768189889999999</v>
      </c>
      <c r="H75" s="25">
        <f>IF(VLOOKUP(B75,'Data yoy'!$A:$AW,MATCH($H$1,'Data yoy'!$A$1:$AW$1,),)=0,#N/A,VLOOKUP(B75,'Data yoy'!$A:$AW,MATCH($H$1,'Data yoy'!$A$1:$AW$1,),))</f>
        <v>1.160914056</v>
      </c>
      <c r="I75" s="25">
        <f>IF(VLOOKUP(B75,'Data yoy'!$A:$AW,MATCH($I$1,'Data yoy'!$A$1:$AW$1,),)=0,#N/A,VLOOKUP(B75,'Data yoy'!$A:$AW,MATCH($I$1,'Data yoy'!$A$1:$AW$1,),))</f>
        <v>2.4185704760000002</v>
      </c>
      <c r="J75" s="25">
        <f>IF(VLOOKUP(B75,'Data yoy'!$A:$AW,MATCH($J$1,'Data yoy'!$A$1:$AW$1,),)=0,#N/A,VLOOKUP(B75,'Data yoy'!$A:$AW,MATCH($J$1,'Data yoy'!$A$1:$AW$1,),))</f>
        <v>1.4448893279999999</v>
      </c>
      <c r="K75" s="25">
        <f>IF(VLOOKUP(B75,'Data yoy'!$A:$AW,MATCH($K$1,'Data yoy'!$A$1:$AW$1,),)=0,#N/A,VLOOKUP(B75,'Data yoy'!$A:$AW,MATCH($K$1,'Data yoy'!$A$1:$AW$1,),))</f>
        <v>3.6787924009999999</v>
      </c>
      <c r="L75" s="25">
        <f>IF(VLOOKUP(B75,'Data yoy'!$A:$AW,MATCH($L$1,'Data yoy'!$A$1:$AW$1,),)=0,#N/A,VLOOKUP(B75,'Data yoy'!$A:$AW,MATCH($L$1,'Data yoy'!$A$1:$AW$1,),))</f>
        <v>3.0877696929999998</v>
      </c>
      <c r="M75" s="25">
        <f>IF(VLOOKUP(B75,'Data yoy'!$A:$AW,MATCH($M$1,'Data yoy'!$A$1:$AW$1,),)=0,#N/A,VLOOKUP(B75,'Data yoy'!$A:$AW,MATCH($M$1,'Data yoy'!$A$1:$AW$1,),))</f>
        <v>2.7471442869999998</v>
      </c>
      <c r="N75" s="25">
        <f>IF(VLOOKUP(B75,'Data yoy'!$A:$AW,MATCH($N$1,'Data yoy'!$A$1:$AW$1,),)=0,#N/A,VLOOKUP(B75,'Data yoy'!$A:$AW,MATCH($N$1,'Data yoy'!$A$1:$AW$1,),))</f>
        <v>-0.54547591600000001</v>
      </c>
      <c r="O75" s="25">
        <f>IF(VLOOKUP(B75,'Data yoy'!$A:$AW,MATCH($O$1,'Data yoy'!$A$1:$AW$1,),)=0,#N/A,VLOOKUP(B75,'Data yoy'!$A:$AW,MATCH($O$1,'Data yoy'!$A$1:$AW$1,),))</f>
        <v>9.2224799999999991</v>
      </c>
      <c r="P75" s="25">
        <f>IF(VLOOKUP(B75,'Data yoy'!$A:$AW,MATCH($P$1,'Data yoy'!$A$1:$AW$1,),)=0,#N/A,VLOOKUP(B75,'Data yoy'!$A:$AW,MATCH($P$1,'Data yoy'!$A$1:$AW$1,),))</f>
        <v>0.70485855600000002</v>
      </c>
      <c r="Q75" s="25">
        <f>IF(VLOOKUP(B75,'Data yoy'!$A:$AW,MATCH($Q$1,'Data yoy'!$A$1:$AW$1,),)=0,#N/A,VLOOKUP(B75,'Data yoy'!$A:$AW,MATCH($Q$1,'Data yoy'!$A$1:$AW$1,),))</f>
        <v>2.6368201130000002</v>
      </c>
      <c r="R75" s="25">
        <f>IF(VLOOKUP(B75,'Data yoy'!$A:$AW,MATCH($R$1,'Data yoy'!$A$1:$AW$1,),)=0,#N/A,VLOOKUP(B75,'Data yoy'!$A:$AW,MATCH($R$1,'Data yoy'!$A$1:$AW$1,),))</f>
        <v>2.1992553730000002</v>
      </c>
      <c r="S75" s="25">
        <f>IF(VLOOKUP(B75,'Data yoy'!$A:$AW,MATCH($S$1,'Data yoy'!$A$1:$AW$1,),)=0,#N/A,VLOOKUP(B75,'Data yoy'!$A:$AW,MATCH($S$1,'Data yoy'!$A$1:$AW$1,),))</f>
        <v>2.9442992979999998</v>
      </c>
      <c r="T75" s="25">
        <f>IF(VLOOKUP(B75,'Data yoy'!$A:$AW,MATCH($T$1,'Data yoy'!$A$1:$AW$1,),)=0,#N/A,VLOOKUP(B75,'Data yoy'!$A:$AW,MATCH($T$1,'Data yoy'!$A$1:$AW$1,),))</f>
        <v>-6.3221865499999996</v>
      </c>
      <c r="U75" s="25">
        <f>IF(VLOOKUP(B75,'Data yoy'!$A:$AW,MATCH($U$1,'Data yoy'!$A$1:$AW$1,),)=0,#N/A,VLOOKUP(B75,'Data yoy'!$A:$AW,MATCH($U$1,'Data yoy'!$A$1:$AW$1,),))</f>
        <v>-1.132581485</v>
      </c>
      <c r="V75" s="25">
        <f>IF(VLOOKUP(B75,'Data yoy'!$A:$AW,MATCH($V$1,'Data yoy'!$A$1:$AW$1,),)=0,#N/A,VLOOKUP(B75,'Data yoy'!$A:$AW,MATCH($V$1,'Data yoy'!$A$1:$AW$1,),))</f>
        <v>-1.0996191479999999</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3.0221862389999998</v>
      </c>
      <c r="Z75" s="25">
        <f>IF(VLOOKUP(B75,'Data yoy'!$A:$AW,MATCH($Z$1,'Data yoy'!$A$1:$AW$1,),)=0,#N/A,VLOOKUP(B75,'Data yoy'!$A:$AW,MATCH($Z$1,'Data yoy'!$A$1:$AW$1,),))</f>
        <v>0.19425788499999999</v>
      </c>
      <c r="AA75" s="25">
        <f>IF(VLOOKUP(B75,'Data yoy'!$A:$AW,MATCH($AA$1,'Data yoy'!$A$1:$AW$1,),)=0,#N/A,VLOOKUP(B75,'Data yoy'!$A:$AW,MATCH($AA$1,'Data yoy'!$A$1:$AW$1,),))</f>
        <v>4.0623260989999999</v>
      </c>
      <c r="AB75" s="70"/>
      <c r="AC75" s="26" t="str">
        <f t="shared" ref="AC75:AC99" si="13">B75</f>
        <v>2016-Q1</v>
      </c>
      <c r="AD75" s="27">
        <f t="shared" ref="AD75:AD106" si="14">(VLOOKUP(AC75,B:Y,MATCH($AE$6,$B$1:$Y$1,),))</f>
        <v>2.4185704760000002</v>
      </c>
      <c r="AE75" s="27">
        <f t="shared" ref="AE75:AE99" si="15">(VLOOKUP(AC75,B:Y,MATCH($AE$7,$B$1:$Y$1,),))</f>
        <v>1.9212266520000001</v>
      </c>
      <c r="AF75" s="27">
        <f t="shared" si="12"/>
        <v>0.4973438240000001</v>
      </c>
    </row>
    <row r="76" spans="2:32" x14ac:dyDescent="0.2">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1.6792372959999999</v>
      </c>
      <c r="F76" s="25">
        <f>IF(VLOOKUP(B76,'Data yoy'!$A:$AW,MATCH($F$1,'Data yoy'!$A$1:$AW$1,),)=0,#N/A,VLOOKUP(B76,'Data yoy'!$A:$AW,MATCH($F$1,'Data yoy'!$A$1:$AW$1,),))</f>
        <v>0.52785565300000004</v>
      </c>
      <c r="G76" s="25">
        <f>IF(VLOOKUP(B76,'Data yoy'!$A:$AW,MATCH($G$1,'Data yoy'!$A$1:$AW$1,),)=0,#N/A,VLOOKUP(B76,'Data yoy'!$A:$AW,MATCH($G$1,'Data yoy'!$A$1:$AW$1,),))</f>
        <v>2.178643906</v>
      </c>
      <c r="H76" s="25">
        <f>IF(VLOOKUP(B76,'Data yoy'!$A:$AW,MATCH($H$1,'Data yoy'!$A$1:$AW$1,),)=0,#N/A,VLOOKUP(B76,'Data yoy'!$A:$AW,MATCH($H$1,'Data yoy'!$A$1:$AW$1,),))</f>
        <v>0.75477654000000005</v>
      </c>
      <c r="I76" s="25">
        <f>IF(VLOOKUP(B76,'Data yoy'!$A:$AW,MATCH($I$1,'Data yoy'!$A$1:$AW$1,),)=0,#N/A,VLOOKUP(B76,'Data yoy'!$A:$AW,MATCH($I$1,'Data yoy'!$A$1:$AW$1,),))</f>
        <v>2.2547717399999998</v>
      </c>
      <c r="J76" s="25">
        <f>IF(VLOOKUP(B76,'Data yoy'!$A:$AW,MATCH($J$1,'Data yoy'!$A$1:$AW$1,),)=0,#N/A,VLOOKUP(B76,'Data yoy'!$A:$AW,MATCH($J$1,'Data yoy'!$A$1:$AW$1,),))</f>
        <v>1.2522623879999999</v>
      </c>
      <c r="K76" s="25">
        <f>IF(VLOOKUP(B76,'Data yoy'!$A:$AW,MATCH($K$1,'Data yoy'!$A$1:$AW$1,),)=0,#N/A,VLOOKUP(B76,'Data yoy'!$A:$AW,MATCH($K$1,'Data yoy'!$A$1:$AW$1,),))</f>
        <v>3.0085783629999998</v>
      </c>
      <c r="L76" s="25">
        <f>IF(VLOOKUP(B76,'Data yoy'!$A:$AW,MATCH($L$1,'Data yoy'!$A$1:$AW$1,),)=0,#N/A,VLOOKUP(B76,'Data yoy'!$A:$AW,MATCH($L$1,'Data yoy'!$A$1:$AW$1,),))</f>
        <v>2.1196998210000002</v>
      </c>
      <c r="M76" s="25">
        <f>IF(VLOOKUP(B76,'Data yoy'!$A:$AW,MATCH($M$1,'Data yoy'!$A$1:$AW$1,),)=0,#N/A,VLOOKUP(B76,'Data yoy'!$A:$AW,MATCH($M$1,'Data yoy'!$A$1:$AW$1,),))</f>
        <v>1.9876404059999999</v>
      </c>
      <c r="N76" s="25">
        <f>IF(VLOOKUP(B76,'Data yoy'!$A:$AW,MATCH($N$1,'Data yoy'!$A$1:$AW$1,),)=0,#N/A,VLOOKUP(B76,'Data yoy'!$A:$AW,MATCH($N$1,'Data yoy'!$A$1:$AW$1,),))</f>
        <v>0.17908624300000001</v>
      </c>
      <c r="O76" s="25">
        <f>IF(VLOOKUP(B76,'Data yoy'!$A:$AW,MATCH($O$1,'Data yoy'!$A$1:$AW$1,),)=0,#N/A,VLOOKUP(B76,'Data yoy'!$A:$AW,MATCH($O$1,'Data yoy'!$A$1:$AW$1,),))</f>
        <v>8.8364799999999999</v>
      </c>
      <c r="P76" s="25">
        <f>IF(VLOOKUP(B76,'Data yoy'!$A:$AW,MATCH($P$1,'Data yoy'!$A$1:$AW$1,),)=0,#N/A,VLOOKUP(B76,'Data yoy'!$A:$AW,MATCH($P$1,'Data yoy'!$A$1:$AW$1,),))</f>
        <v>0.48316809100000002</v>
      </c>
      <c r="Q76" s="25">
        <f>IF(VLOOKUP(B76,'Data yoy'!$A:$AW,MATCH($Q$1,'Data yoy'!$A$1:$AW$1,),)=0,#N/A,VLOOKUP(B76,'Data yoy'!$A:$AW,MATCH($Q$1,'Data yoy'!$A$1:$AW$1,),))</f>
        <v>3.1969337790000001</v>
      </c>
      <c r="R76" s="25">
        <f>IF(VLOOKUP(B76,'Data yoy'!$A:$AW,MATCH($R$1,'Data yoy'!$A$1:$AW$1,),)=0,#N/A,VLOOKUP(B76,'Data yoy'!$A:$AW,MATCH($R$1,'Data yoy'!$A$1:$AW$1,),))</f>
        <v>2.0002435460000001</v>
      </c>
      <c r="S76" s="25">
        <f>IF(VLOOKUP(B76,'Data yoy'!$A:$AW,MATCH($S$1,'Data yoy'!$A$1:$AW$1,),)=0,#N/A,VLOOKUP(B76,'Data yoy'!$A:$AW,MATCH($S$1,'Data yoy'!$A$1:$AW$1,),))</f>
        <v>3.6852121050000002</v>
      </c>
      <c r="T76" s="25">
        <f>IF(VLOOKUP(B76,'Data yoy'!$A:$AW,MATCH($T$1,'Data yoy'!$A$1:$AW$1,),)=0,#N/A,VLOOKUP(B76,'Data yoy'!$A:$AW,MATCH($T$1,'Data yoy'!$A$1:$AW$1,),))</f>
        <v>-3.2891473809999998</v>
      </c>
      <c r="U76" s="25">
        <f>IF(VLOOKUP(B76,'Data yoy'!$A:$AW,MATCH($U$1,'Data yoy'!$A$1:$AW$1,),)=0,#N/A,VLOOKUP(B76,'Data yoy'!$A:$AW,MATCH($U$1,'Data yoy'!$A$1:$AW$1,),))</f>
        <v>-1.3139751749999999</v>
      </c>
      <c r="V76" s="25">
        <f>IF(VLOOKUP(B76,'Data yoy'!$A:$AW,MATCH($V$1,'Data yoy'!$A$1:$AW$1,),)=0,#N/A,VLOOKUP(B76,'Data yoy'!$A:$AW,MATCH($V$1,'Data yoy'!$A$1:$AW$1,),))</f>
        <v>2.6960015080000002</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3.5618179460000001</v>
      </c>
      <c r="Z76" s="25">
        <f>IF(VLOOKUP(B76,'Data yoy'!$A:$AW,MATCH($Z$1,'Data yoy'!$A$1:$AW$1,),)=0,#N/A,VLOOKUP(B76,'Data yoy'!$A:$AW,MATCH($Z$1,'Data yoy'!$A$1:$AW$1,),))</f>
        <v>-3.6366518669999999</v>
      </c>
      <c r="AA76" s="25">
        <f>IF(VLOOKUP(B76,'Data yoy'!$A:$AW,MATCH($AA$1,'Data yoy'!$A$1:$AW$1,),)=0,#N/A,VLOOKUP(B76,'Data yoy'!$A:$AW,MATCH($AA$1,'Data yoy'!$A$1:$AW$1,),))</f>
        <v>4.2966104720000002</v>
      </c>
      <c r="AB76" s="70"/>
      <c r="AC76" s="26" t="str">
        <f t="shared" si="13"/>
        <v>2016-Q2</v>
      </c>
      <c r="AD76" s="27">
        <f t="shared" si="14"/>
        <v>2.2547717399999998</v>
      </c>
      <c r="AE76" s="27">
        <f t="shared" si="15"/>
        <v>1.6792372959999999</v>
      </c>
      <c r="AF76" s="27">
        <f t="shared" si="12"/>
        <v>0.57553444399999987</v>
      </c>
    </row>
    <row r="77" spans="2:32" x14ac:dyDescent="0.2">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1.727595274</v>
      </c>
      <c r="F77" s="25">
        <f>IF(VLOOKUP(B77,'Data yoy'!$A:$AW,MATCH($F$1,'Data yoy'!$A$1:$AW$1,),)=0,#N/A,VLOOKUP(B77,'Data yoy'!$A:$AW,MATCH($F$1,'Data yoy'!$A$1:$AW$1,),))</f>
        <v>0.61886396300000002</v>
      </c>
      <c r="G77" s="25">
        <f>IF(VLOOKUP(B77,'Data yoy'!$A:$AW,MATCH($G$1,'Data yoy'!$A$1:$AW$1,),)=0,#N/A,VLOOKUP(B77,'Data yoy'!$A:$AW,MATCH($G$1,'Data yoy'!$A$1:$AW$1,),))</f>
        <v>2.0181250249999998</v>
      </c>
      <c r="H77" s="25">
        <f>IF(VLOOKUP(B77,'Data yoy'!$A:$AW,MATCH($H$1,'Data yoy'!$A$1:$AW$1,),)=0,#N/A,VLOOKUP(B77,'Data yoy'!$A:$AW,MATCH($H$1,'Data yoy'!$A$1:$AW$1,),))</f>
        <v>0.80779131400000004</v>
      </c>
      <c r="I77" s="25">
        <f>IF(VLOOKUP(B77,'Data yoy'!$A:$AW,MATCH($I$1,'Data yoy'!$A$1:$AW$1,),)=0,#N/A,VLOOKUP(B77,'Data yoy'!$A:$AW,MATCH($I$1,'Data yoy'!$A$1:$AW$1,),))</f>
        <v>2.1612003440000001</v>
      </c>
      <c r="J77" s="25">
        <f>IF(VLOOKUP(B77,'Data yoy'!$A:$AW,MATCH($J$1,'Data yoy'!$A$1:$AW$1,),)=0,#N/A,VLOOKUP(B77,'Data yoy'!$A:$AW,MATCH($J$1,'Data yoy'!$A$1:$AW$1,),))</f>
        <v>1.582185824</v>
      </c>
      <c r="K77" s="25">
        <f>IF(VLOOKUP(B77,'Data yoy'!$A:$AW,MATCH($K$1,'Data yoy'!$A$1:$AW$1,),)=0,#N/A,VLOOKUP(B77,'Data yoy'!$A:$AW,MATCH($K$1,'Data yoy'!$A$1:$AW$1,),))</f>
        <v>2.9851407970000001</v>
      </c>
      <c r="L77" s="25">
        <f>IF(VLOOKUP(B77,'Data yoy'!$A:$AW,MATCH($L$1,'Data yoy'!$A$1:$AW$1,),)=0,#N/A,VLOOKUP(B77,'Data yoy'!$A:$AW,MATCH($L$1,'Data yoy'!$A$1:$AW$1,),))</f>
        <v>1.0417464320000001</v>
      </c>
      <c r="M77" s="25">
        <f>IF(VLOOKUP(B77,'Data yoy'!$A:$AW,MATCH($M$1,'Data yoy'!$A$1:$AW$1,),)=0,#N/A,VLOOKUP(B77,'Data yoy'!$A:$AW,MATCH($M$1,'Data yoy'!$A$1:$AW$1,),))</f>
        <v>1.730077348</v>
      </c>
      <c r="N77" s="25">
        <f>IF(VLOOKUP(B77,'Data yoy'!$A:$AW,MATCH($N$1,'Data yoy'!$A$1:$AW$1,),)=0,#N/A,VLOOKUP(B77,'Data yoy'!$A:$AW,MATCH($N$1,'Data yoy'!$A$1:$AW$1,),))</f>
        <v>8.6290206999999994E-2</v>
      </c>
      <c r="O77" s="25">
        <f>IF(VLOOKUP(B77,'Data yoy'!$A:$AW,MATCH($O$1,'Data yoy'!$A$1:$AW$1,),)=0,#N/A,VLOOKUP(B77,'Data yoy'!$A:$AW,MATCH($O$1,'Data yoy'!$A$1:$AW$1,),))</f>
        <v>9.3124300000000009</v>
      </c>
      <c r="P77" s="25">
        <f>IF(VLOOKUP(B77,'Data yoy'!$A:$AW,MATCH($P$1,'Data yoy'!$A$1:$AW$1,),)=0,#N/A,VLOOKUP(B77,'Data yoy'!$A:$AW,MATCH($P$1,'Data yoy'!$A$1:$AW$1,),))</f>
        <v>1.1615540019999999</v>
      </c>
      <c r="Q77" s="25">
        <f>IF(VLOOKUP(B77,'Data yoy'!$A:$AW,MATCH($Q$1,'Data yoy'!$A$1:$AW$1,),)=0,#N/A,VLOOKUP(B77,'Data yoy'!$A:$AW,MATCH($Q$1,'Data yoy'!$A$1:$AW$1,),))</f>
        <v>2.269976583</v>
      </c>
      <c r="R77" s="25">
        <f>IF(VLOOKUP(B77,'Data yoy'!$A:$AW,MATCH($R$1,'Data yoy'!$A$1:$AW$1,),)=0,#N/A,VLOOKUP(B77,'Data yoy'!$A:$AW,MATCH($R$1,'Data yoy'!$A$1:$AW$1,),))</f>
        <v>1.9080417890000001</v>
      </c>
      <c r="S77" s="25">
        <f>IF(VLOOKUP(B77,'Data yoy'!$A:$AW,MATCH($S$1,'Data yoy'!$A$1:$AW$1,),)=0,#N/A,VLOOKUP(B77,'Data yoy'!$A:$AW,MATCH($S$1,'Data yoy'!$A$1:$AW$1,),))</f>
        <v>2.6354831160000001</v>
      </c>
      <c r="T77" s="25">
        <f>IF(VLOOKUP(B77,'Data yoy'!$A:$AW,MATCH($T$1,'Data yoy'!$A$1:$AW$1,),)=0,#N/A,VLOOKUP(B77,'Data yoy'!$A:$AW,MATCH($T$1,'Data yoy'!$A$1:$AW$1,),))</f>
        <v>-2.4302350879999999</v>
      </c>
      <c r="U77" s="25">
        <f>IF(VLOOKUP(B77,'Data yoy'!$A:$AW,MATCH($U$1,'Data yoy'!$A$1:$AW$1,),)=0,#N/A,VLOOKUP(B77,'Data yoy'!$A:$AW,MATCH($U$1,'Data yoy'!$A$1:$AW$1,),))</f>
        <v>0.86992153500000002</v>
      </c>
      <c r="V77" s="25">
        <f>IF(VLOOKUP(B77,'Data yoy'!$A:$AW,MATCH($V$1,'Data yoy'!$A$1:$AW$1,),)=0,#N/A,VLOOKUP(B77,'Data yoy'!$A:$AW,MATCH($V$1,'Data yoy'!$A$1:$AW$1,),))</f>
        <v>-1.312811132</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2.5199999289999999</v>
      </c>
      <c r="Z77" s="25">
        <f>IF(VLOOKUP(B77,'Data yoy'!$A:$AW,MATCH($Z$1,'Data yoy'!$A$1:$AW$1,),)=0,#N/A,VLOOKUP(B77,'Data yoy'!$A:$AW,MATCH($Z$1,'Data yoy'!$A$1:$AW$1,),))</f>
        <v>-3.2656841019999998</v>
      </c>
      <c r="AA77" s="25">
        <f>IF(VLOOKUP(B77,'Data yoy'!$A:$AW,MATCH($AA$1,'Data yoy'!$A$1:$AW$1,),)=0,#N/A,VLOOKUP(B77,'Data yoy'!$A:$AW,MATCH($AA$1,'Data yoy'!$A$1:$AW$1,),))</f>
        <v>4.1139854339999999</v>
      </c>
      <c r="AB77" s="70"/>
      <c r="AC77" s="26" t="str">
        <f t="shared" si="13"/>
        <v>2016-Q3</v>
      </c>
      <c r="AD77" s="27">
        <f t="shared" si="14"/>
        <v>2.1612003440000001</v>
      </c>
      <c r="AE77" s="27">
        <f t="shared" si="15"/>
        <v>1.727595274</v>
      </c>
      <c r="AF77" s="27">
        <f t="shared" si="12"/>
        <v>0.43360507000000004</v>
      </c>
    </row>
    <row r="78" spans="2:32" x14ac:dyDescent="0.2">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2.0251269459999999</v>
      </c>
      <c r="F78" s="25">
        <f>IF(VLOOKUP(B78,'Data yoy'!$A:$AW,MATCH($F$1,'Data yoy'!$A$1:$AW$1,),)=0,#N/A,VLOOKUP(B78,'Data yoy'!$A:$AW,MATCH($F$1,'Data yoy'!$A$1:$AW$1,),))</f>
        <v>0.91946795000000003</v>
      </c>
      <c r="G78" s="25">
        <f>IF(VLOOKUP(B78,'Data yoy'!$A:$AW,MATCH($G$1,'Data yoy'!$A$1:$AW$1,),)=0,#N/A,VLOOKUP(B78,'Data yoy'!$A:$AW,MATCH($G$1,'Data yoy'!$A$1:$AW$1,),))</f>
        <v>1.9002158899999999</v>
      </c>
      <c r="H78" s="25">
        <f>IF(VLOOKUP(B78,'Data yoy'!$A:$AW,MATCH($H$1,'Data yoy'!$A$1:$AW$1,),)=0,#N/A,VLOOKUP(B78,'Data yoy'!$A:$AW,MATCH($H$1,'Data yoy'!$A$1:$AW$1,),))</f>
        <v>1.1972345099999999</v>
      </c>
      <c r="I78" s="25">
        <f>IF(VLOOKUP(B78,'Data yoy'!$A:$AW,MATCH($I$1,'Data yoy'!$A$1:$AW$1,),)=0,#N/A,VLOOKUP(B78,'Data yoy'!$A:$AW,MATCH($I$1,'Data yoy'!$A$1:$AW$1,),))</f>
        <v>2.2215100579999998</v>
      </c>
      <c r="J78" s="25">
        <f>IF(VLOOKUP(B78,'Data yoy'!$A:$AW,MATCH($J$1,'Data yoy'!$A$1:$AW$1,),)=0,#N/A,VLOOKUP(B78,'Data yoy'!$A:$AW,MATCH($J$1,'Data yoy'!$A$1:$AW$1,),))</f>
        <v>1.3377390339999999</v>
      </c>
      <c r="K78" s="25">
        <f>IF(VLOOKUP(B78,'Data yoy'!$A:$AW,MATCH($K$1,'Data yoy'!$A$1:$AW$1,),)=0,#N/A,VLOOKUP(B78,'Data yoy'!$A:$AW,MATCH($K$1,'Data yoy'!$A$1:$AW$1,),))</f>
        <v>2.4705723079999999</v>
      </c>
      <c r="L78" s="25">
        <f>IF(VLOOKUP(B78,'Data yoy'!$A:$AW,MATCH($L$1,'Data yoy'!$A$1:$AW$1,),)=0,#N/A,VLOOKUP(B78,'Data yoy'!$A:$AW,MATCH($L$1,'Data yoy'!$A$1:$AW$1,),))</f>
        <v>1.1692269870000001</v>
      </c>
      <c r="M78" s="25">
        <f>IF(VLOOKUP(B78,'Data yoy'!$A:$AW,MATCH($M$1,'Data yoy'!$A$1:$AW$1,),)=0,#N/A,VLOOKUP(B78,'Data yoy'!$A:$AW,MATCH($M$1,'Data yoy'!$A$1:$AW$1,),))</f>
        <v>3.1287438289999998</v>
      </c>
      <c r="N78" s="25">
        <f>IF(VLOOKUP(B78,'Data yoy'!$A:$AW,MATCH($N$1,'Data yoy'!$A$1:$AW$1,),)=0,#N/A,VLOOKUP(B78,'Data yoy'!$A:$AW,MATCH($N$1,'Data yoy'!$A$1:$AW$1,),))</f>
        <v>1.1729231419999999</v>
      </c>
      <c r="O78" s="25">
        <f>IF(VLOOKUP(B78,'Data yoy'!$A:$AW,MATCH($O$1,'Data yoy'!$A$1:$AW$1,),)=0,#N/A,VLOOKUP(B78,'Data yoy'!$A:$AW,MATCH($O$1,'Data yoy'!$A$1:$AW$1,),))</f>
        <v>8.5962499999999995</v>
      </c>
      <c r="P78" s="25">
        <f>IF(VLOOKUP(B78,'Data yoy'!$A:$AW,MATCH($P$1,'Data yoy'!$A$1:$AW$1,),)=0,#N/A,VLOOKUP(B78,'Data yoy'!$A:$AW,MATCH($P$1,'Data yoy'!$A$1:$AW$1,),))</f>
        <v>1.6534435869999999</v>
      </c>
      <c r="Q78" s="25">
        <f>IF(VLOOKUP(B78,'Data yoy'!$A:$AW,MATCH($Q$1,'Data yoy'!$A$1:$AW$1,),)=0,#N/A,VLOOKUP(B78,'Data yoy'!$A:$AW,MATCH($Q$1,'Data yoy'!$A$1:$AW$1,),))</f>
        <v>2.7230425540000001</v>
      </c>
      <c r="R78" s="25">
        <f>IF(VLOOKUP(B78,'Data yoy'!$A:$AW,MATCH($R$1,'Data yoy'!$A$1:$AW$1,),)=0,#N/A,VLOOKUP(B78,'Data yoy'!$A:$AW,MATCH($R$1,'Data yoy'!$A$1:$AW$1,),))</f>
        <v>1.842998863</v>
      </c>
      <c r="S78" s="25">
        <f>IF(VLOOKUP(B78,'Data yoy'!$A:$AW,MATCH($S$1,'Data yoy'!$A$1:$AW$1,),)=0,#N/A,VLOOKUP(B78,'Data yoy'!$A:$AW,MATCH($S$1,'Data yoy'!$A$1:$AW$1,),))</f>
        <v>2.5358551390000001</v>
      </c>
      <c r="T78" s="25">
        <f>IF(VLOOKUP(B78,'Data yoy'!$A:$AW,MATCH($T$1,'Data yoy'!$A$1:$AW$1,),)=0,#N/A,VLOOKUP(B78,'Data yoy'!$A:$AW,MATCH($T$1,'Data yoy'!$A$1:$AW$1,),))</f>
        <v>-1.8639539439999999</v>
      </c>
      <c r="U78" s="25">
        <f>IF(VLOOKUP(B78,'Data yoy'!$A:$AW,MATCH($U$1,'Data yoy'!$A$1:$AW$1,),)=0,#N/A,VLOOKUP(B78,'Data yoy'!$A:$AW,MATCH($U$1,'Data yoy'!$A$1:$AW$1,),))</f>
        <v>-0.28905626400000001</v>
      </c>
      <c r="V78" s="25">
        <f>IF(VLOOKUP(B78,'Data yoy'!$A:$AW,MATCH($V$1,'Data yoy'!$A$1:$AW$1,),)=0,#N/A,VLOOKUP(B78,'Data yoy'!$A:$AW,MATCH($V$1,'Data yoy'!$A$1:$AW$1,),))</f>
        <v>9.0682011159999991</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3.5897645420000002</v>
      </c>
      <c r="Z78" s="25">
        <f>IF(VLOOKUP(B78,'Data yoy'!$A:$AW,MATCH($Z$1,'Data yoy'!$A$1:$AW$1,),)=0,#N/A,VLOOKUP(B78,'Data yoy'!$A:$AW,MATCH($Z$1,'Data yoy'!$A$1:$AW$1,),))</f>
        <v>-1.5558936430000001</v>
      </c>
      <c r="AA78" s="25">
        <f>IF(VLOOKUP(B78,'Data yoy'!$A:$AW,MATCH($AA$1,'Data yoy'!$A$1:$AW$1,),)=0,#N/A,VLOOKUP(B78,'Data yoy'!$A:$AW,MATCH($AA$1,'Data yoy'!$A$1:$AW$1,),))</f>
        <v>3.4203546</v>
      </c>
      <c r="AB78" s="70"/>
      <c r="AC78" s="26" t="str">
        <f t="shared" si="13"/>
        <v>2016-Q4</v>
      </c>
      <c r="AD78" s="27">
        <f t="shared" si="14"/>
        <v>2.2215100579999998</v>
      </c>
      <c r="AE78" s="27">
        <f t="shared" si="15"/>
        <v>2.0251269459999999</v>
      </c>
      <c r="AF78" s="27">
        <f t="shared" ref="AF78:AF109" si="16">AD78-AE78</f>
        <v>0.19638311199999992</v>
      </c>
    </row>
    <row r="79" spans="2:32" x14ac:dyDescent="0.2">
      <c r="B79" s="24" t="s">
        <v>345</v>
      </c>
      <c r="C79" s="25">
        <f>IF(VLOOKUP(B79,'Data yoy'!$A:$AW,MATCH($C$1,'Data yoy'!$A$1:$AW$1,),)=0,#N/A,VLOOKUP(B79,'Data yoy'!$A:$AW,MATCH($C$1,'Data yoy'!$A$1:$AW$1,),))</f>
        <v>1.8852788700000001</v>
      </c>
      <c r="D79" s="25">
        <f>IF(VLOOKUP(B79,'Data yoy'!$A:$AW,MATCH($D$1,'Data yoy'!$A$1:$AW$1,),)=0,#N/A,VLOOKUP(B79,'Data yoy'!$A:$AW,MATCH($D$1,'Data yoy'!$A$1:$AW$1,),))</f>
        <v>7</v>
      </c>
      <c r="E79" s="25">
        <f>IF(VLOOKUP(B79,'Data yoy'!$A:$AW,MATCH($E$1,'Data yoy'!$A$1:$AW$1,),)=0,#N/A,VLOOKUP(B79,'Data yoy'!$A:$AW,MATCH($E$1,'Data yoy'!$A$1:$AW$1,),))</f>
        <v>2.162757686</v>
      </c>
      <c r="F79" s="25">
        <f>IF(VLOOKUP(B79,'Data yoy'!$A:$AW,MATCH($F$1,'Data yoy'!$A$1:$AW$1,),)=0,#N/A,VLOOKUP(B79,'Data yoy'!$A:$AW,MATCH($F$1,'Data yoy'!$A$1:$AW$1,),))</f>
        <v>0.99861213699999996</v>
      </c>
      <c r="G79" s="25">
        <f>IF(VLOOKUP(B79,'Data yoy'!$A:$AW,MATCH($G$1,'Data yoy'!$A$1:$AW$1,),)=0,#N/A,VLOOKUP(B79,'Data yoy'!$A:$AW,MATCH($G$1,'Data yoy'!$A$1:$AW$1,),))</f>
        <v>2.306102514</v>
      </c>
      <c r="H79" s="25">
        <f>IF(VLOOKUP(B79,'Data yoy'!$A:$AW,MATCH($H$1,'Data yoy'!$A$1:$AW$1,),)=0,#N/A,VLOOKUP(B79,'Data yoy'!$A:$AW,MATCH($H$1,'Data yoy'!$A$1:$AW$1,),))</f>
        <v>1.3260478250000001</v>
      </c>
      <c r="I79" s="25">
        <f>IF(VLOOKUP(B79,'Data yoy'!$A:$AW,MATCH($I$1,'Data yoy'!$A$1:$AW$1,),)=0,#N/A,VLOOKUP(B79,'Data yoy'!$A:$AW,MATCH($I$1,'Data yoy'!$A$1:$AW$1,),))</f>
        <v>2.4333881470000001</v>
      </c>
      <c r="J79" s="25">
        <f>IF(VLOOKUP(B79,'Data yoy'!$A:$AW,MATCH($J$1,'Data yoy'!$A$1:$AW$1,),)=0,#N/A,VLOOKUP(B79,'Data yoy'!$A:$AW,MATCH($J$1,'Data yoy'!$A$1:$AW$1,),))</f>
        <v>1.617353901</v>
      </c>
      <c r="K79" s="25">
        <f>IF(VLOOKUP(B79,'Data yoy'!$A:$AW,MATCH($K$1,'Data yoy'!$A$1:$AW$1,),)=0,#N/A,VLOOKUP(B79,'Data yoy'!$A:$AW,MATCH($K$1,'Data yoy'!$A$1:$AW$1,),))</f>
        <v>2.5887791710000001</v>
      </c>
      <c r="L79" s="25">
        <f>IF(VLOOKUP(B79,'Data yoy'!$A:$AW,MATCH($L$1,'Data yoy'!$A$1:$AW$1,),)=0,#N/A,VLOOKUP(B79,'Data yoy'!$A:$AW,MATCH($L$1,'Data yoy'!$A$1:$AW$1,),))</f>
        <v>1.7102259989999999</v>
      </c>
      <c r="M79" s="25">
        <f>IF(VLOOKUP(B79,'Data yoy'!$A:$AW,MATCH($M$1,'Data yoy'!$A$1:$AW$1,),)=0,#N/A,VLOOKUP(B79,'Data yoy'!$A:$AW,MATCH($M$1,'Data yoy'!$A$1:$AW$1,),))</f>
        <v>3.0195560270000001</v>
      </c>
      <c r="N79" s="25">
        <f>IF(VLOOKUP(B79,'Data yoy'!$A:$AW,MATCH($N$1,'Data yoy'!$A$1:$AW$1,),)=0,#N/A,VLOOKUP(B79,'Data yoy'!$A:$AW,MATCH($N$1,'Data yoy'!$A$1:$AW$1,),))</f>
        <v>1.1846646649999999</v>
      </c>
      <c r="O79" s="25">
        <f>IF(VLOOKUP(B79,'Data yoy'!$A:$AW,MATCH($O$1,'Data yoy'!$A$1:$AW$1,),)=0,#N/A,VLOOKUP(B79,'Data yoy'!$A:$AW,MATCH($O$1,'Data yoy'!$A$1:$AW$1,),))</f>
        <v>6.3775899999999996</v>
      </c>
      <c r="P79" s="25">
        <f>IF(VLOOKUP(B79,'Data yoy'!$A:$AW,MATCH($P$1,'Data yoy'!$A$1:$AW$1,),)=0,#N/A,VLOOKUP(B79,'Data yoy'!$A:$AW,MATCH($P$1,'Data yoy'!$A$1:$AW$1,),))</f>
        <v>2.1977790920000002</v>
      </c>
      <c r="Q79" s="25">
        <f>IF(VLOOKUP(B79,'Data yoy'!$A:$AW,MATCH($Q$1,'Data yoy'!$A$1:$AW$1,),)=0,#N/A,VLOOKUP(B79,'Data yoy'!$A:$AW,MATCH($Q$1,'Data yoy'!$A$1:$AW$1,),))</f>
        <v>2.085255622</v>
      </c>
      <c r="R79" s="25">
        <f>IF(VLOOKUP(B79,'Data yoy'!$A:$AW,MATCH($R$1,'Data yoy'!$A$1:$AW$1,),)=0,#N/A,VLOOKUP(B79,'Data yoy'!$A:$AW,MATCH($R$1,'Data yoy'!$A$1:$AW$1,),))</f>
        <v>1.584423339</v>
      </c>
      <c r="S79" s="25">
        <f>IF(VLOOKUP(B79,'Data yoy'!$A:$AW,MATCH($S$1,'Data yoy'!$A$1:$AW$1,),)=0,#N/A,VLOOKUP(B79,'Data yoy'!$A:$AW,MATCH($S$1,'Data yoy'!$A$1:$AW$1,),))</f>
        <v>3.2503629809999999</v>
      </c>
      <c r="T79" s="25">
        <f>IF(VLOOKUP(B79,'Data yoy'!$A:$AW,MATCH($T$1,'Data yoy'!$A$1:$AW$1,),)=0,#N/A,VLOOKUP(B79,'Data yoy'!$A:$AW,MATCH($T$1,'Data yoy'!$A$1:$AW$1,),))</f>
        <v>0.85980181</v>
      </c>
      <c r="U79" s="25">
        <f>IF(VLOOKUP(B79,'Data yoy'!$A:$AW,MATCH($U$1,'Data yoy'!$A$1:$AW$1,),)=0,#N/A,VLOOKUP(B79,'Data yoy'!$A:$AW,MATCH($U$1,'Data yoy'!$A$1:$AW$1,),))</f>
        <v>0.47624762799999998</v>
      </c>
      <c r="V79" s="25">
        <f>IF(VLOOKUP(B79,'Data yoy'!$A:$AW,MATCH($V$1,'Data yoy'!$A$1:$AW$1,),)=0,#N/A,VLOOKUP(B79,'Data yoy'!$A:$AW,MATCH($V$1,'Data yoy'!$A$1:$AW$1,),))</f>
        <v>7.2766720510000003</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4.8713845600000001</v>
      </c>
      <c r="Z79" s="25">
        <f>IF(VLOOKUP(B79,'Data yoy'!$A:$AW,MATCH($Z$1,'Data yoy'!$A$1:$AW$1,),)=0,#N/A,VLOOKUP(B79,'Data yoy'!$A:$AW,MATCH($Z$1,'Data yoy'!$A$1:$AW$1,),))</f>
        <v>0.22362837699999999</v>
      </c>
      <c r="AA79" s="25">
        <f>IF(VLOOKUP(B79,'Data yoy'!$A:$AW,MATCH($AA$1,'Data yoy'!$A$1:$AW$1,),)=0,#N/A,VLOOKUP(B79,'Data yoy'!$A:$AW,MATCH($AA$1,'Data yoy'!$A$1:$AW$1,),))</f>
        <v>3.2913575989999999</v>
      </c>
      <c r="AB79" s="70"/>
      <c r="AC79" s="26" t="str">
        <f t="shared" si="13"/>
        <v>2017-Q1</v>
      </c>
      <c r="AD79" s="27">
        <f t="shared" si="14"/>
        <v>2.4333881470000001</v>
      </c>
      <c r="AE79" s="27">
        <f t="shared" si="15"/>
        <v>2.162757686</v>
      </c>
      <c r="AF79" s="27">
        <f t="shared" si="16"/>
        <v>0.2706304610000001</v>
      </c>
    </row>
    <row r="80" spans="2:32" x14ac:dyDescent="0.2">
      <c r="B80" s="24" t="s">
        <v>346</v>
      </c>
      <c r="C80" s="25">
        <f>IF(VLOOKUP(B80,'Data yoy'!$A:$AW,MATCH($C$1,'Data yoy'!$A$1:$AW$1,),)=0,#N/A,VLOOKUP(B80,'Data yoy'!$A:$AW,MATCH($C$1,'Data yoy'!$A$1:$AW$1,),))</f>
        <v>2.1467165829999999</v>
      </c>
      <c r="D80" s="25">
        <f>IF(VLOOKUP(B80,'Data yoy'!$A:$AW,MATCH($D$1,'Data yoy'!$A$1:$AW$1,),)=0,#N/A,VLOOKUP(B80,'Data yoy'!$A:$AW,MATCH($D$1,'Data yoy'!$A$1:$AW$1,),))</f>
        <v>7</v>
      </c>
      <c r="E80" s="25">
        <f>IF(VLOOKUP(B80,'Data yoy'!$A:$AW,MATCH($E$1,'Data yoy'!$A$1:$AW$1,),)=0,#N/A,VLOOKUP(B80,'Data yoy'!$A:$AW,MATCH($E$1,'Data yoy'!$A$1:$AW$1,),))</f>
        <v>2.7465385229999999</v>
      </c>
      <c r="F80" s="25">
        <f>IF(VLOOKUP(B80,'Data yoy'!$A:$AW,MATCH($F$1,'Data yoy'!$A$1:$AW$1,),)=0,#N/A,VLOOKUP(B80,'Data yoy'!$A:$AW,MATCH($F$1,'Data yoy'!$A$1:$AW$1,),))</f>
        <v>1.5642194840000001</v>
      </c>
      <c r="G80" s="25">
        <f>IF(VLOOKUP(B80,'Data yoy'!$A:$AW,MATCH($G$1,'Data yoy'!$A$1:$AW$1,),)=0,#N/A,VLOOKUP(B80,'Data yoy'!$A:$AW,MATCH($G$1,'Data yoy'!$A$1:$AW$1,),))</f>
        <v>2.6793629550000002</v>
      </c>
      <c r="H80" s="25">
        <f>IF(VLOOKUP(B80,'Data yoy'!$A:$AW,MATCH($H$1,'Data yoy'!$A$1:$AW$1,),)=0,#N/A,VLOOKUP(B80,'Data yoy'!$A:$AW,MATCH($H$1,'Data yoy'!$A$1:$AW$1,),))</f>
        <v>2.4137046089999998</v>
      </c>
      <c r="I80" s="25">
        <f>IF(VLOOKUP(B80,'Data yoy'!$A:$AW,MATCH($I$1,'Data yoy'!$A$1:$AW$1,),)=0,#N/A,VLOOKUP(B80,'Data yoy'!$A:$AW,MATCH($I$1,'Data yoy'!$A$1:$AW$1,),))</f>
        <v>2.1618790720000001</v>
      </c>
      <c r="J80" s="25">
        <f>IF(VLOOKUP(B80,'Data yoy'!$A:$AW,MATCH($J$1,'Data yoy'!$A$1:$AW$1,),)=0,#N/A,VLOOKUP(B80,'Data yoy'!$A:$AW,MATCH($J$1,'Data yoy'!$A$1:$AW$1,),))</f>
        <v>1.814360382</v>
      </c>
      <c r="K80" s="25">
        <f>IF(VLOOKUP(B80,'Data yoy'!$A:$AW,MATCH($K$1,'Data yoy'!$A$1:$AW$1,),)=0,#N/A,VLOOKUP(B80,'Data yoy'!$A:$AW,MATCH($K$1,'Data yoy'!$A$1:$AW$1,),))</f>
        <v>3.2572936229999998</v>
      </c>
      <c r="L80" s="25">
        <f>IF(VLOOKUP(B80,'Data yoy'!$A:$AW,MATCH($L$1,'Data yoy'!$A$1:$AW$1,),)=0,#N/A,VLOOKUP(B80,'Data yoy'!$A:$AW,MATCH($L$1,'Data yoy'!$A$1:$AW$1,),))</f>
        <v>2.987757835</v>
      </c>
      <c r="M80" s="25">
        <f>IF(VLOOKUP(B80,'Data yoy'!$A:$AW,MATCH($M$1,'Data yoy'!$A$1:$AW$1,),)=0,#N/A,VLOOKUP(B80,'Data yoy'!$A:$AW,MATCH($M$1,'Data yoy'!$A$1:$AW$1,),))</f>
        <v>2.9200925930000001</v>
      </c>
      <c r="N80" s="25">
        <f>IF(VLOOKUP(B80,'Data yoy'!$A:$AW,MATCH($N$1,'Data yoy'!$A$1:$AW$1,),)=0,#N/A,VLOOKUP(B80,'Data yoy'!$A:$AW,MATCH($N$1,'Data yoy'!$A$1:$AW$1,),))</f>
        <v>1.828467195</v>
      </c>
      <c r="O80" s="25">
        <f>IF(VLOOKUP(B80,'Data yoy'!$A:$AW,MATCH($O$1,'Data yoy'!$A$1:$AW$1,),)=0,#N/A,VLOOKUP(B80,'Data yoy'!$A:$AW,MATCH($O$1,'Data yoy'!$A$1:$AW$1,),))</f>
        <v>6.6684900000000003</v>
      </c>
      <c r="P80" s="25">
        <f>IF(VLOOKUP(B80,'Data yoy'!$A:$AW,MATCH($P$1,'Data yoy'!$A$1:$AW$1,),)=0,#N/A,VLOOKUP(B80,'Data yoy'!$A:$AW,MATCH($P$1,'Data yoy'!$A$1:$AW$1,),))</f>
        <v>3.75347556</v>
      </c>
      <c r="Q80" s="25">
        <f>IF(VLOOKUP(B80,'Data yoy'!$A:$AW,MATCH($Q$1,'Data yoy'!$A$1:$AW$1,),)=0,#N/A,VLOOKUP(B80,'Data yoy'!$A:$AW,MATCH($Q$1,'Data yoy'!$A$1:$AW$1,),))</f>
        <v>2.1097037360000002</v>
      </c>
      <c r="R80" s="25">
        <f>IF(VLOOKUP(B80,'Data yoy'!$A:$AW,MATCH($R$1,'Data yoy'!$A$1:$AW$1,),)=0,#N/A,VLOOKUP(B80,'Data yoy'!$A:$AW,MATCH($R$1,'Data yoy'!$A$1:$AW$1,),))</f>
        <v>1.3651183899999999</v>
      </c>
      <c r="S80" s="25">
        <f>IF(VLOOKUP(B80,'Data yoy'!$A:$AW,MATCH($S$1,'Data yoy'!$A$1:$AW$1,),)=0,#N/A,VLOOKUP(B80,'Data yoy'!$A:$AW,MATCH($S$1,'Data yoy'!$A$1:$AW$1,),))</f>
        <v>2.7486129250000002</v>
      </c>
      <c r="T80" s="25">
        <f>IF(VLOOKUP(B80,'Data yoy'!$A:$AW,MATCH($T$1,'Data yoy'!$A$1:$AW$1,),)=0,#N/A,VLOOKUP(B80,'Data yoy'!$A:$AW,MATCH($T$1,'Data yoy'!$A$1:$AW$1,),))</f>
        <v>1.0476617699999999</v>
      </c>
      <c r="U80" s="25">
        <f>IF(VLOOKUP(B80,'Data yoy'!$A:$AW,MATCH($U$1,'Data yoy'!$A$1:$AW$1,),)=0,#N/A,VLOOKUP(B80,'Data yoy'!$A:$AW,MATCH($U$1,'Data yoy'!$A$1:$AW$1,),))</f>
        <v>1.2528148589999999</v>
      </c>
      <c r="V80" s="25">
        <f>IF(VLOOKUP(B80,'Data yoy'!$A:$AW,MATCH($V$1,'Data yoy'!$A$1:$AW$1,),)=0,#N/A,VLOOKUP(B80,'Data yoy'!$A:$AW,MATCH($V$1,'Data yoy'!$A$1:$AW$1,),))</f>
        <v>8.9498373939999993</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4.4324834790000001</v>
      </c>
      <c r="Z80" s="25">
        <f>IF(VLOOKUP(B80,'Data yoy'!$A:$AW,MATCH($Z$1,'Data yoy'!$A$1:$AW$1,),)=0,#N/A,VLOOKUP(B80,'Data yoy'!$A:$AW,MATCH($Z$1,'Data yoy'!$A$1:$AW$1,),))</f>
        <v>2.9541579769999999</v>
      </c>
      <c r="AA80" s="25">
        <f>IF(VLOOKUP(B80,'Data yoy'!$A:$AW,MATCH($AA$1,'Data yoy'!$A$1:$AW$1,),)=0,#N/A,VLOOKUP(B80,'Data yoy'!$A:$AW,MATCH($AA$1,'Data yoy'!$A$1:$AW$1,),))</f>
        <v>3.425886373</v>
      </c>
      <c r="AB80" s="70"/>
      <c r="AC80" s="26" t="str">
        <f t="shared" si="13"/>
        <v>2017-Q2</v>
      </c>
      <c r="AD80" s="27">
        <f t="shared" si="14"/>
        <v>2.1618790720000001</v>
      </c>
      <c r="AE80" s="27">
        <f t="shared" si="15"/>
        <v>2.7465385229999999</v>
      </c>
      <c r="AF80" s="27">
        <f t="shared" si="16"/>
        <v>-0.58465945099999983</v>
      </c>
    </row>
    <row r="81" spans="2:32" x14ac:dyDescent="0.2">
      <c r="B81" s="24" t="s">
        <v>347</v>
      </c>
      <c r="C81" s="25">
        <f>IF(VLOOKUP(B81,'Data yoy'!$A:$AW,MATCH($C$1,'Data yoy'!$A$1:$AW$1,),)=0,#N/A,VLOOKUP(B81,'Data yoy'!$A:$AW,MATCH($C$1,'Data yoy'!$A$1:$AW$1,),))</f>
        <v>2.2665646380000002</v>
      </c>
      <c r="D81" s="25">
        <f>IF(VLOOKUP(B81,'Data yoy'!$A:$AW,MATCH($D$1,'Data yoy'!$A$1:$AW$1,),)=0,#N/A,VLOOKUP(B81,'Data yoy'!$A:$AW,MATCH($D$1,'Data yoy'!$A$1:$AW$1,),))</f>
        <v>6.9</v>
      </c>
      <c r="E81" s="25">
        <f>IF(VLOOKUP(B81,'Data yoy'!$A:$AW,MATCH($E$1,'Data yoy'!$A$1:$AW$1,),)=0,#N/A,VLOOKUP(B81,'Data yoy'!$A:$AW,MATCH($E$1,'Data yoy'!$A$1:$AW$1,),))</f>
        <v>3.0331895019999999</v>
      </c>
      <c r="F81" s="25">
        <f>IF(VLOOKUP(B81,'Data yoy'!$A:$AW,MATCH($F$1,'Data yoy'!$A$1:$AW$1,),)=0,#N/A,VLOOKUP(B81,'Data yoy'!$A:$AW,MATCH($F$1,'Data yoy'!$A$1:$AW$1,),))</f>
        <v>2.1583376200000002</v>
      </c>
      <c r="G81" s="25">
        <f>IF(VLOOKUP(B81,'Data yoy'!$A:$AW,MATCH($G$1,'Data yoy'!$A$1:$AW$1,),)=0,#N/A,VLOOKUP(B81,'Data yoy'!$A:$AW,MATCH($G$1,'Data yoy'!$A$1:$AW$1,),))</f>
        <v>3.2277027129999998</v>
      </c>
      <c r="H81" s="25">
        <f>IF(VLOOKUP(B81,'Data yoy'!$A:$AW,MATCH($H$1,'Data yoy'!$A$1:$AW$1,),)=0,#N/A,VLOOKUP(B81,'Data yoy'!$A:$AW,MATCH($H$1,'Data yoy'!$A$1:$AW$1,),))</f>
        <v>3.021887778</v>
      </c>
      <c r="I81" s="25">
        <f>IF(VLOOKUP(B81,'Data yoy'!$A:$AW,MATCH($I$1,'Data yoy'!$A$1:$AW$1,),)=0,#N/A,VLOOKUP(B81,'Data yoy'!$A:$AW,MATCH($I$1,'Data yoy'!$A$1:$AW$1,),))</f>
        <v>2.1446338370000002</v>
      </c>
      <c r="J81" s="25">
        <f>IF(VLOOKUP(B81,'Data yoy'!$A:$AW,MATCH($J$1,'Data yoy'!$A$1:$AW$1,),)=0,#N/A,VLOOKUP(B81,'Data yoy'!$A:$AW,MATCH($J$1,'Data yoy'!$A$1:$AW$1,),))</f>
        <v>1.6271757689999999</v>
      </c>
      <c r="K81" s="25">
        <f>IF(VLOOKUP(B81,'Data yoy'!$A:$AW,MATCH($K$1,'Data yoy'!$A$1:$AW$1,),)=0,#N/A,VLOOKUP(B81,'Data yoy'!$A:$AW,MATCH($K$1,'Data yoy'!$A$1:$AW$1,),))</f>
        <v>2.9402268669999998</v>
      </c>
      <c r="L81" s="25">
        <f>IF(VLOOKUP(B81,'Data yoy'!$A:$AW,MATCH($L$1,'Data yoy'!$A$1:$AW$1,),)=0,#N/A,VLOOKUP(B81,'Data yoy'!$A:$AW,MATCH($L$1,'Data yoy'!$A$1:$AW$1,),))</f>
        <v>3.6357714240000001</v>
      </c>
      <c r="M81" s="25">
        <f>IF(VLOOKUP(B81,'Data yoy'!$A:$AW,MATCH($M$1,'Data yoy'!$A$1:$AW$1,),)=0,#N/A,VLOOKUP(B81,'Data yoy'!$A:$AW,MATCH($M$1,'Data yoy'!$A$1:$AW$1,),))</f>
        <v>1.589535323</v>
      </c>
      <c r="N81" s="25">
        <f>IF(VLOOKUP(B81,'Data yoy'!$A:$AW,MATCH($N$1,'Data yoy'!$A$1:$AW$1,),)=0,#N/A,VLOOKUP(B81,'Data yoy'!$A:$AW,MATCH($N$1,'Data yoy'!$A$1:$AW$1,),))</f>
        <v>2.4172248299999999</v>
      </c>
      <c r="O81" s="25">
        <f>IF(VLOOKUP(B81,'Data yoy'!$A:$AW,MATCH($O$1,'Data yoy'!$A$1:$AW$1,),)=0,#N/A,VLOOKUP(B81,'Data yoy'!$A:$AW,MATCH($O$1,'Data yoy'!$A$1:$AW$1,),))</f>
        <v>5.9981999999999998</v>
      </c>
      <c r="P81" s="25">
        <f>IF(VLOOKUP(B81,'Data yoy'!$A:$AW,MATCH($P$1,'Data yoy'!$A$1:$AW$1,),)=0,#N/A,VLOOKUP(B81,'Data yoy'!$A:$AW,MATCH($P$1,'Data yoy'!$A$1:$AW$1,),))</f>
        <v>3.12771636</v>
      </c>
      <c r="Q81" s="25">
        <f>IF(VLOOKUP(B81,'Data yoy'!$A:$AW,MATCH($Q$1,'Data yoy'!$A$1:$AW$1,),)=0,#N/A,VLOOKUP(B81,'Data yoy'!$A:$AW,MATCH($Q$1,'Data yoy'!$A$1:$AW$1,),))</f>
        <v>2.9661026029999999</v>
      </c>
      <c r="R81" s="25">
        <f>IF(VLOOKUP(B81,'Data yoy'!$A:$AW,MATCH($R$1,'Data yoy'!$A$1:$AW$1,),)=0,#N/A,VLOOKUP(B81,'Data yoy'!$A:$AW,MATCH($R$1,'Data yoy'!$A$1:$AW$1,),))</f>
        <v>1.45060078</v>
      </c>
      <c r="S81" s="25">
        <f>IF(VLOOKUP(B81,'Data yoy'!$A:$AW,MATCH($S$1,'Data yoy'!$A$1:$AW$1,),)=0,#N/A,VLOOKUP(B81,'Data yoy'!$A:$AW,MATCH($S$1,'Data yoy'!$A$1:$AW$1,),))</f>
        <v>3.7983424289999999</v>
      </c>
      <c r="T81" s="25">
        <f>IF(VLOOKUP(B81,'Data yoy'!$A:$AW,MATCH($T$1,'Data yoy'!$A$1:$AW$1,),)=0,#N/A,VLOOKUP(B81,'Data yoy'!$A:$AW,MATCH($T$1,'Data yoy'!$A$1:$AW$1,),))</f>
        <v>1.9714052639999999</v>
      </c>
      <c r="U81" s="25">
        <f>IF(VLOOKUP(B81,'Data yoy'!$A:$AW,MATCH($U$1,'Data yoy'!$A$1:$AW$1,),)=0,#N/A,VLOOKUP(B81,'Data yoy'!$A:$AW,MATCH($U$1,'Data yoy'!$A$1:$AW$1,),))</f>
        <v>2.0261394410000002</v>
      </c>
      <c r="V81" s="25">
        <f>IF(VLOOKUP(B81,'Data yoy'!$A:$AW,MATCH($V$1,'Data yoy'!$A$1:$AW$1,),)=0,#N/A,VLOOKUP(B81,'Data yoy'!$A:$AW,MATCH($V$1,'Data yoy'!$A$1:$AW$1,),))</f>
        <v>13.520534901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5.3241680269999998</v>
      </c>
      <c r="Z81" s="25">
        <f>IF(VLOOKUP(B81,'Data yoy'!$A:$AW,MATCH($Z$1,'Data yoy'!$A$1:$AW$1,),)=0,#N/A,VLOOKUP(B81,'Data yoy'!$A:$AW,MATCH($Z$1,'Data yoy'!$A$1:$AW$1,),))</f>
        <v>3.8308076190000002</v>
      </c>
      <c r="AA81" s="25">
        <f>IF(VLOOKUP(B81,'Data yoy'!$A:$AW,MATCH($AA$1,'Data yoy'!$A$1:$AW$1,),)=0,#N/A,VLOOKUP(B81,'Data yoy'!$A:$AW,MATCH($AA$1,'Data yoy'!$A$1:$AW$1,),))</f>
        <v>3.3941939639999998</v>
      </c>
      <c r="AB81" s="70"/>
      <c r="AC81" s="26" t="str">
        <f t="shared" si="13"/>
        <v>2017-Q3</v>
      </c>
      <c r="AD81" s="27">
        <f t="shared" si="14"/>
        <v>2.1446338370000002</v>
      </c>
      <c r="AE81" s="27">
        <f t="shared" si="15"/>
        <v>3.0331895019999999</v>
      </c>
      <c r="AF81" s="27">
        <f t="shared" si="16"/>
        <v>-0.88855566499999972</v>
      </c>
    </row>
    <row r="82" spans="2:32" x14ac:dyDescent="0.2">
      <c r="B82" s="24" t="s">
        <v>348</v>
      </c>
      <c r="C82" s="25">
        <f>IF(VLOOKUP(B82,'Data yoy'!$A:$AW,MATCH($C$1,'Data yoy'!$A$1:$AW$1,),)=0,#N/A,VLOOKUP(B82,'Data yoy'!$A:$AW,MATCH($C$1,'Data yoy'!$A$1:$AW$1,),))</f>
        <v>2.7178855820000001</v>
      </c>
      <c r="D82" s="25">
        <f>IF(VLOOKUP(B82,'Data yoy'!$A:$AW,MATCH($D$1,'Data yoy'!$A$1:$AW$1,),)=0,#N/A,VLOOKUP(B82,'Data yoy'!$A:$AW,MATCH($D$1,'Data yoy'!$A$1:$AW$1,),))</f>
        <v>6.8</v>
      </c>
      <c r="E82" s="25">
        <f>IF(VLOOKUP(B82,'Data yoy'!$A:$AW,MATCH($E$1,'Data yoy'!$A$1:$AW$1,),)=0,#N/A,VLOOKUP(B82,'Data yoy'!$A:$AW,MATCH($E$1,'Data yoy'!$A$1:$AW$1,),))</f>
        <v>3.0811140190000001</v>
      </c>
      <c r="F82" s="25">
        <f>IF(VLOOKUP(B82,'Data yoy'!$A:$AW,MATCH($F$1,'Data yoy'!$A$1:$AW$1,),)=0,#N/A,VLOOKUP(B82,'Data yoy'!$A:$AW,MATCH($F$1,'Data yoy'!$A$1:$AW$1,),))</f>
        <v>2.0917815559999999</v>
      </c>
      <c r="G82" s="25">
        <f>IF(VLOOKUP(B82,'Data yoy'!$A:$AW,MATCH($G$1,'Data yoy'!$A$1:$AW$1,),)=0,#N/A,VLOOKUP(B82,'Data yoy'!$A:$AW,MATCH($G$1,'Data yoy'!$A$1:$AW$1,),))</f>
        <v>3.7344002230000002</v>
      </c>
      <c r="H82" s="25">
        <f>IF(VLOOKUP(B82,'Data yoy'!$A:$AW,MATCH($H$1,'Data yoy'!$A$1:$AW$1,),)=0,#N/A,VLOOKUP(B82,'Data yoy'!$A:$AW,MATCH($H$1,'Data yoy'!$A$1:$AW$1,),))</f>
        <v>3.0317741539999998</v>
      </c>
      <c r="I82" s="25">
        <f>IF(VLOOKUP(B82,'Data yoy'!$A:$AW,MATCH($I$1,'Data yoy'!$A$1:$AW$1,),)=0,#N/A,VLOOKUP(B82,'Data yoy'!$A:$AW,MATCH($I$1,'Data yoy'!$A$1:$AW$1,),))</f>
        <v>1.803513159</v>
      </c>
      <c r="J82" s="25">
        <f>IF(VLOOKUP(B82,'Data yoy'!$A:$AW,MATCH($J$1,'Data yoy'!$A$1:$AW$1,),)=0,#N/A,VLOOKUP(B82,'Data yoy'!$A:$AW,MATCH($J$1,'Data yoy'!$A$1:$AW$1,),))</f>
        <v>1.8804384789999999</v>
      </c>
      <c r="K82" s="25">
        <f>IF(VLOOKUP(B82,'Data yoy'!$A:$AW,MATCH($K$1,'Data yoy'!$A$1:$AW$1,),)=0,#N/A,VLOOKUP(B82,'Data yoy'!$A:$AW,MATCH($K$1,'Data yoy'!$A$1:$AW$1,),))</f>
        <v>3.1051708809999998</v>
      </c>
      <c r="L82" s="25">
        <f>IF(VLOOKUP(B82,'Data yoy'!$A:$AW,MATCH($L$1,'Data yoy'!$A$1:$AW$1,),)=0,#N/A,VLOOKUP(B82,'Data yoy'!$A:$AW,MATCH($L$1,'Data yoy'!$A$1:$AW$1,),))</f>
        <v>2.8985970609999998</v>
      </c>
      <c r="M82" s="25">
        <f>IF(VLOOKUP(B82,'Data yoy'!$A:$AW,MATCH($M$1,'Data yoy'!$A$1:$AW$1,),)=0,#N/A,VLOOKUP(B82,'Data yoy'!$A:$AW,MATCH($M$1,'Data yoy'!$A$1:$AW$1,),))</f>
        <v>1.8314151080000001</v>
      </c>
      <c r="N82" s="25">
        <f>IF(VLOOKUP(B82,'Data yoy'!$A:$AW,MATCH($N$1,'Data yoy'!$A$1:$AW$1,),)=0,#N/A,VLOOKUP(B82,'Data yoy'!$A:$AW,MATCH($N$1,'Data yoy'!$A$1:$AW$1,),))</f>
        <v>1.6004158959999999</v>
      </c>
      <c r="O82" s="25">
        <f>IF(VLOOKUP(B82,'Data yoy'!$A:$AW,MATCH($O$1,'Data yoy'!$A$1:$AW$1,),)=0,#N/A,VLOOKUP(B82,'Data yoy'!$A:$AW,MATCH($O$1,'Data yoy'!$A$1:$AW$1,),))</f>
        <v>6.5370799999999996</v>
      </c>
      <c r="P82" s="25">
        <f>IF(VLOOKUP(B82,'Data yoy'!$A:$AW,MATCH($P$1,'Data yoy'!$A$1:$AW$1,),)=0,#N/A,VLOOKUP(B82,'Data yoy'!$A:$AW,MATCH($P$1,'Data yoy'!$A$1:$AW$1,),))</f>
        <v>3.0831140669999999</v>
      </c>
      <c r="Q82" s="25">
        <f>IF(VLOOKUP(B82,'Data yoy'!$A:$AW,MATCH($Q$1,'Data yoy'!$A$1:$AW$1,),)=0,#N/A,VLOOKUP(B82,'Data yoy'!$A:$AW,MATCH($Q$1,'Data yoy'!$A$1:$AW$1,),))</f>
        <v>2.342999115</v>
      </c>
      <c r="R82" s="25">
        <f>IF(VLOOKUP(B82,'Data yoy'!$A:$AW,MATCH($R$1,'Data yoy'!$A$1:$AW$1,),)=0,#N/A,VLOOKUP(B82,'Data yoy'!$A:$AW,MATCH($R$1,'Data yoy'!$A$1:$AW$1,),))</f>
        <v>2.2072417739999999</v>
      </c>
      <c r="S82" s="25">
        <f>IF(VLOOKUP(B82,'Data yoy'!$A:$AW,MATCH($S$1,'Data yoy'!$A$1:$AW$1,),)=0,#N/A,VLOOKUP(B82,'Data yoy'!$A:$AW,MATCH($S$1,'Data yoy'!$A$1:$AW$1,),))</f>
        <v>2.8428957659999998</v>
      </c>
      <c r="T82" s="25">
        <f>IF(VLOOKUP(B82,'Data yoy'!$A:$AW,MATCH($T$1,'Data yoy'!$A$1:$AW$1,),)=0,#N/A,VLOOKUP(B82,'Data yoy'!$A:$AW,MATCH($T$1,'Data yoy'!$A$1:$AW$1,),))</f>
        <v>2.6144540520000001</v>
      </c>
      <c r="U82" s="25">
        <f>IF(VLOOKUP(B82,'Data yoy'!$A:$AW,MATCH($U$1,'Data yoy'!$A$1:$AW$1,),)=0,#N/A,VLOOKUP(B82,'Data yoy'!$A:$AW,MATCH($U$1,'Data yoy'!$A$1:$AW$1,),))</f>
        <v>0.47695067699999999</v>
      </c>
      <c r="V82" s="25">
        <f>IF(VLOOKUP(B82,'Data yoy'!$A:$AW,MATCH($V$1,'Data yoy'!$A$1:$AW$1,),)=0,#N/A,VLOOKUP(B82,'Data yoy'!$A:$AW,MATCH($V$1,'Data yoy'!$A$1:$AW$1,),))</f>
        <v>7.133942512</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4.7967032630000004</v>
      </c>
      <c r="Z82" s="25">
        <f>IF(VLOOKUP(B82,'Data yoy'!$A:$AW,MATCH($Z$1,'Data yoy'!$A$1:$AW$1,),)=0,#N/A,VLOOKUP(B82,'Data yoy'!$A:$AW,MATCH($Z$1,'Data yoy'!$A$1:$AW$1,),))</f>
        <v>4.2894419499999996</v>
      </c>
      <c r="AA82" s="25">
        <f>IF(VLOOKUP(B82,'Data yoy'!$A:$AW,MATCH($AA$1,'Data yoy'!$A$1:$AW$1,),)=0,#N/A,VLOOKUP(B82,'Data yoy'!$A:$AW,MATCH($AA$1,'Data yoy'!$A$1:$AW$1,),))</f>
        <v>3.8775647950000001</v>
      </c>
      <c r="AB82" s="70"/>
      <c r="AC82" s="26" t="str">
        <f t="shared" si="13"/>
        <v>2017-Q4</v>
      </c>
      <c r="AD82" s="27">
        <f t="shared" si="14"/>
        <v>1.803513159</v>
      </c>
      <c r="AE82" s="27">
        <f t="shared" si="15"/>
        <v>3.0811140190000001</v>
      </c>
      <c r="AF82" s="27">
        <f t="shared" si="16"/>
        <v>-1.2776008600000002</v>
      </c>
    </row>
    <row r="83" spans="2:32" x14ac:dyDescent="0.2">
      <c r="B83" s="24" t="s">
        <v>349</v>
      </c>
      <c r="C83" s="25">
        <f>IF(VLOOKUP(B83,'Data yoy'!$A:$AW,MATCH($C$1,'Data yoy'!$A$1:$AW$1,),)=0,#N/A,VLOOKUP(B83,'Data yoy'!$A:$AW,MATCH($C$1,'Data yoy'!$A$1:$AW$1,),))</f>
        <v>3.0153118829999999</v>
      </c>
      <c r="D83" s="25">
        <f>IF(VLOOKUP(B83,'Data yoy'!$A:$AW,MATCH($D$1,'Data yoy'!$A$1:$AW$1,),)=0,#N/A,VLOOKUP(B83,'Data yoy'!$A:$AW,MATCH($D$1,'Data yoy'!$A$1:$AW$1,),))</f>
        <v>6.9</v>
      </c>
      <c r="E83" s="25">
        <f>IF(VLOOKUP(B83,'Data yoy'!$A:$AW,MATCH($E$1,'Data yoy'!$A$1:$AW$1,),)=0,#N/A,VLOOKUP(B83,'Data yoy'!$A:$AW,MATCH($E$1,'Data yoy'!$A$1:$AW$1,),))</f>
        <v>2.444450088</v>
      </c>
      <c r="F83" s="25">
        <f>IF(VLOOKUP(B83,'Data yoy'!$A:$AW,MATCH($F$1,'Data yoy'!$A$1:$AW$1,),)=0,#N/A,VLOOKUP(B83,'Data yoy'!$A:$AW,MATCH($F$1,'Data yoy'!$A$1:$AW$1,),))</f>
        <v>1.432552619</v>
      </c>
      <c r="G83" s="25">
        <f>IF(VLOOKUP(B83,'Data yoy'!$A:$AW,MATCH($G$1,'Data yoy'!$A$1:$AW$1,),)=0,#N/A,VLOOKUP(B83,'Data yoy'!$A:$AW,MATCH($G$1,'Data yoy'!$A$1:$AW$1,),))</f>
        <v>2.0421842520000002</v>
      </c>
      <c r="H83" s="25">
        <f>IF(VLOOKUP(B83,'Data yoy'!$A:$AW,MATCH($H$1,'Data yoy'!$A$1:$AW$1,),)=0,#N/A,VLOOKUP(B83,'Data yoy'!$A:$AW,MATCH($H$1,'Data yoy'!$A$1:$AW$1,),))</f>
        <v>2.3183312840000001</v>
      </c>
      <c r="I83" s="25">
        <f>IF(VLOOKUP(B83,'Data yoy'!$A:$AW,MATCH($I$1,'Data yoy'!$A$1:$AW$1,),)=0,#N/A,VLOOKUP(B83,'Data yoy'!$A:$AW,MATCH($I$1,'Data yoy'!$A$1:$AW$1,),))</f>
        <v>1.3856480920000001</v>
      </c>
      <c r="J83" s="25">
        <f>IF(VLOOKUP(B83,'Data yoy'!$A:$AW,MATCH($J$1,'Data yoy'!$A$1:$AW$1,),)=0,#N/A,VLOOKUP(B83,'Data yoy'!$A:$AW,MATCH($J$1,'Data yoy'!$A$1:$AW$1,),))</f>
        <v>1.2793789959999999</v>
      </c>
      <c r="K83" s="25">
        <f>IF(VLOOKUP(B83,'Data yoy'!$A:$AW,MATCH($K$1,'Data yoy'!$A$1:$AW$1,),)=0,#N/A,VLOOKUP(B83,'Data yoy'!$A:$AW,MATCH($K$1,'Data yoy'!$A$1:$AW$1,),))</f>
        <v>2.679684843</v>
      </c>
      <c r="L83" s="25">
        <f>IF(VLOOKUP(B83,'Data yoy'!$A:$AW,MATCH($L$1,'Data yoy'!$A$1:$AW$1,),)=0,#N/A,VLOOKUP(B83,'Data yoy'!$A:$AW,MATCH($L$1,'Data yoy'!$A$1:$AW$1,),))</f>
        <v>2.8209034179999999</v>
      </c>
      <c r="M83" s="25">
        <f>IF(VLOOKUP(B83,'Data yoy'!$A:$AW,MATCH($M$1,'Data yoy'!$A$1:$AW$1,),)=0,#N/A,VLOOKUP(B83,'Data yoy'!$A:$AW,MATCH($M$1,'Data yoy'!$A$1:$AW$1,),))</f>
        <v>2.4812279479999999</v>
      </c>
      <c r="N83" s="25">
        <f>IF(VLOOKUP(B83,'Data yoy'!$A:$AW,MATCH($N$1,'Data yoy'!$A$1:$AW$1,),)=0,#N/A,VLOOKUP(B83,'Data yoy'!$A:$AW,MATCH($N$1,'Data yoy'!$A$1:$AW$1,),))</f>
        <v>2.770876817</v>
      </c>
      <c r="O83" s="25">
        <f>IF(VLOOKUP(B83,'Data yoy'!$A:$AW,MATCH($O$1,'Data yoy'!$A$1:$AW$1,),)=0,#N/A,VLOOKUP(B83,'Data yoy'!$A:$AW,MATCH($O$1,'Data yoy'!$A$1:$AW$1,),))</f>
        <v>7.9532299999999996</v>
      </c>
      <c r="P83" s="25">
        <f>IF(VLOOKUP(B83,'Data yoy'!$A:$AW,MATCH($P$1,'Data yoy'!$A$1:$AW$1,),)=0,#N/A,VLOOKUP(B83,'Data yoy'!$A:$AW,MATCH($P$1,'Data yoy'!$A$1:$AW$1,),))</f>
        <v>2.8672536530000001</v>
      </c>
      <c r="Q83" s="25">
        <f>IF(VLOOKUP(B83,'Data yoy'!$A:$AW,MATCH($Q$1,'Data yoy'!$A$1:$AW$1,),)=0,#N/A,VLOOKUP(B83,'Data yoy'!$A:$AW,MATCH($Q$1,'Data yoy'!$A$1:$AW$1,),))</f>
        <v>2.9805915459999999</v>
      </c>
      <c r="R83" s="25">
        <f>IF(VLOOKUP(B83,'Data yoy'!$A:$AW,MATCH($R$1,'Data yoy'!$A$1:$AW$1,),)=0,#N/A,VLOOKUP(B83,'Data yoy'!$A:$AW,MATCH($R$1,'Data yoy'!$A$1:$AW$1,),))</f>
        <v>3.126286297</v>
      </c>
      <c r="S83" s="25">
        <f>IF(VLOOKUP(B83,'Data yoy'!$A:$AW,MATCH($S$1,'Data yoy'!$A$1:$AW$1,),)=0,#N/A,VLOOKUP(B83,'Data yoy'!$A:$AW,MATCH($S$1,'Data yoy'!$A$1:$AW$1,),))</f>
        <v>3.0680296739999999</v>
      </c>
      <c r="T83" s="25">
        <f>IF(VLOOKUP(B83,'Data yoy'!$A:$AW,MATCH($T$1,'Data yoy'!$A$1:$AW$1,),)=0,#N/A,VLOOKUP(B83,'Data yoy'!$A:$AW,MATCH($T$1,'Data yoy'!$A$1:$AW$1,),))</f>
        <v>2.0171778589999998</v>
      </c>
      <c r="U83" s="25">
        <f>IF(VLOOKUP(B83,'Data yoy'!$A:$AW,MATCH($U$1,'Data yoy'!$A$1:$AW$1,),)=0,#N/A,VLOOKUP(B83,'Data yoy'!$A:$AW,MATCH($U$1,'Data yoy'!$A$1:$AW$1,),))</f>
        <v>2.1065788969999999</v>
      </c>
      <c r="V83" s="25">
        <f>IF(VLOOKUP(B83,'Data yoy'!$A:$AW,MATCH($V$1,'Data yoy'!$A$1:$AW$1,),)=0,#N/A,VLOOKUP(B83,'Data yoy'!$A:$AW,MATCH($V$1,'Data yoy'!$A$1:$AW$1,),))</f>
        <v>12.75981067</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5.115134995</v>
      </c>
      <c r="Z83" s="25">
        <f>IF(VLOOKUP(B83,'Data yoy'!$A:$AW,MATCH($Z$1,'Data yoy'!$A$1:$AW$1,),)=0,#N/A,VLOOKUP(B83,'Data yoy'!$A:$AW,MATCH($Z$1,'Data yoy'!$A$1:$AW$1,),))</f>
        <v>3.0172297509999999</v>
      </c>
      <c r="AA83" s="25">
        <f>IF(VLOOKUP(B83,'Data yoy'!$A:$AW,MATCH($AA$1,'Data yoy'!$A$1:$AW$1,),)=0,#N/A,VLOOKUP(B83,'Data yoy'!$A:$AW,MATCH($AA$1,'Data yoy'!$A$1:$AW$1,),))</f>
        <v>3.6006546639999999</v>
      </c>
      <c r="AB83" s="70"/>
      <c r="AC83" s="26" t="str">
        <f t="shared" si="13"/>
        <v>2018-Q1</v>
      </c>
      <c r="AD83" s="27">
        <f t="shared" si="14"/>
        <v>1.3856480920000001</v>
      </c>
      <c r="AE83" s="27">
        <f t="shared" si="15"/>
        <v>2.444450088</v>
      </c>
      <c r="AF83" s="27">
        <f t="shared" si="16"/>
        <v>-1.0588019959999999</v>
      </c>
    </row>
    <row r="84" spans="2:32" s="70" customFormat="1" x14ac:dyDescent="0.2">
      <c r="B84" s="24" t="s">
        <v>350</v>
      </c>
      <c r="C84" s="25">
        <f>IF(VLOOKUP(B84,'Data yoy'!$A:$AW,MATCH($C$1,'Data yoy'!$A$1:$AW$1,),)=0,#N/A,VLOOKUP(B84,'Data yoy'!$A:$AW,MATCH($C$1,'Data yoy'!$A$1:$AW$1,),))</f>
        <v>3.2961522830000001</v>
      </c>
      <c r="D84" s="25">
        <f>IF(VLOOKUP(B84,'Data yoy'!$A:$AW,MATCH($D$1,'Data yoy'!$A$1:$AW$1,),)=0,#N/A,VLOOKUP(B84,'Data yoy'!$A:$AW,MATCH($D$1,'Data yoy'!$A$1:$AW$1,),))</f>
        <v>6.9</v>
      </c>
      <c r="E84" s="25">
        <f>IF(VLOOKUP(B84,'Data yoy'!$A:$AW,MATCH($E$1,'Data yoy'!$A$1:$AW$1,),)=0,#N/A,VLOOKUP(B84,'Data yoy'!$A:$AW,MATCH($E$1,'Data yoy'!$A$1:$AW$1,),))</f>
        <v>2.1553107069999999</v>
      </c>
      <c r="F84" s="25">
        <f>IF(VLOOKUP(B84,'Data yoy'!$A:$AW,MATCH($F$1,'Data yoy'!$A$1:$AW$1,),)=0,#N/A,VLOOKUP(B84,'Data yoy'!$A:$AW,MATCH($F$1,'Data yoy'!$A$1:$AW$1,),))</f>
        <v>1.3943489499999999</v>
      </c>
      <c r="G84" s="25">
        <f>IF(VLOOKUP(B84,'Data yoy'!$A:$AW,MATCH($G$1,'Data yoy'!$A$1:$AW$1,),)=0,#N/A,VLOOKUP(B84,'Data yoy'!$A:$AW,MATCH($G$1,'Data yoy'!$A$1:$AW$1,),))</f>
        <v>1.816096978</v>
      </c>
      <c r="H84" s="25">
        <f>IF(VLOOKUP(B84,'Data yoy'!$A:$AW,MATCH($H$1,'Data yoy'!$A$1:$AW$1,),)=0,#N/A,VLOOKUP(B84,'Data yoy'!$A:$AW,MATCH($H$1,'Data yoy'!$A$1:$AW$1,),))</f>
        <v>1.9842933540000001</v>
      </c>
      <c r="I84" s="25">
        <f>IF(VLOOKUP(B84,'Data yoy'!$A:$AW,MATCH($I$1,'Data yoy'!$A$1:$AW$1,),)=0,#N/A,VLOOKUP(B84,'Data yoy'!$A:$AW,MATCH($I$1,'Data yoy'!$A$1:$AW$1,),))</f>
        <v>1.6240757889999999</v>
      </c>
      <c r="J84" s="25">
        <f>IF(VLOOKUP(B84,'Data yoy'!$A:$AW,MATCH($J$1,'Data yoy'!$A$1:$AW$1,),)=0,#N/A,VLOOKUP(B84,'Data yoy'!$A:$AW,MATCH($J$1,'Data yoy'!$A$1:$AW$1,),))</f>
        <v>0.92361864800000004</v>
      </c>
      <c r="K84" s="25">
        <f>IF(VLOOKUP(B84,'Data yoy'!$A:$AW,MATCH($K$1,'Data yoy'!$A$1:$AW$1,),)=0,#N/A,VLOOKUP(B84,'Data yoy'!$A:$AW,MATCH($K$1,'Data yoy'!$A$1:$AW$1,),))</f>
        <v>2.1843443640000002</v>
      </c>
      <c r="L84" s="25">
        <f>IF(VLOOKUP(B84,'Data yoy'!$A:$AW,MATCH($L$1,'Data yoy'!$A$1:$AW$1,),)=0,#N/A,VLOOKUP(B84,'Data yoy'!$A:$AW,MATCH($L$1,'Data yoy'!$A$1:$AW$1,),))</f>
        <v>2.5655462029999998</v>
      </c>
      <c r="M84" s="25">
        <f>IF(VLOOKUP(B84,'Data yoy'!$A:$AW,MATCH($M$1,'Data yoy'!$A$1:$AW$1,),)=0,#N/A,VLOOKUP(B84,'Data yoy'!$A:$AW,MATCH($M$1,'Data yoy'!$A$1:$AW$1,),))</f>
        <v>2.1445065919999999</v>
      </c>
      <c r="N84" s="25">
        <f>IF(VLOOKUP(B84,'Data yoy'!$A:$AW,MATCH($N$1,'Data yoy'!$A$1:$AW$1,),)=0,#N/A,VLOOKUP(B84,'Data yoy'!$A:$AW,MATCH($N$1,'Data yoy'!$A$1:$AW$1,),))</f>
        <v>2.6356292149999998</v>
      </c>
      <c r="O84" s="25">
        <f>IF(VLOOKUP(B84,'Data yoy'!$A:$AW,MATCH($O$1,'Data yoy'!$A$1:$AW$1,),)=0,#N/A,VLOOKUP(B84,'Data yoy'!$A:$AW,MATCH($O$1,'Data yoy'!$A$1:$AW$1,),))</f>
        <v>7.1939099999999998</v>
      </c>
      <c r="P84" s="25">
        <f>IF(VLOOKUP(B84,'Data yoy'!$A:$AW,MATCH($P$1,'Data yoy'!$A$1:$AW$1,),)=0,#N/A,VLOOKUP(B84,'Data yoy'!$A:$AW,MATCH($P$1,'Data yoy'!$A$1:$AW$1,),))</f>
        <v>2.6249711279999999</v>
      </c>
      <c r="Q84" s="25">
        <f>IF(VLOOKUP(B84,'Data yoy'!$A:$AW,MATCH($Q$1,'Data yoy'!$A$1:$AW$1,),)=0,#N/A,VLOOKUP(B84,'Data yoy'!$A:$AW,MATCH($Q$1,'Data yoy'!$A$1:$AW$1,),))</f>
        <v>3.1919970900000001</v>
      </c>
      <c r="R84" s="25">
        <f>IF(VLOOKUP(B84,'Data yoy'!$A:$AW,MATCH($R$1,'Data yoy'!$A$1:$AW$1,),)=0,#N/A,VLOOKUP(B84,'Data yoy'!$A:$AW,MATCH($R$1,'Data yoy'!$A$1:$AW$1,),))</f>
        <v>3.764519731</v>
      </c>
      <c r="S84" s="25">
        <f>IF(VLOOKUP(B84,'Data yoy'!$A:$AW,MATCH($S$1,'Data yoy'!$A$1:$AW$1,),)=0,#N/A,VLOOKUP(B84,'Data yoy'!$A:$AW,MATCH($S$1,'Data yoy'!$A$1:$AW$1,),))</f>
        <v>2.9881552349999998</v>
      </c>
      <c r="T84" s="25">
        <f>IF(VLOOKUP(B84,'Data yoy'!$A:$AW,MATCH($T$1,'Data yoy'!$A$1:$AW$1,),)=0,#N/A,VLOOKUP(B84,'Data yoy'!$A:$AW,MATCH($T$1,'Data yoy'!$A$1:$AW$1,),))</f>
        <v>1.431690905</v>
      </c>
      <c r="U84" s="25">
        <f>IF(VLOOKUP(B84,'Data yoy'!$A:$AW,MATCH($U$1,'Data yoy'!$A$1:$AW$1,),)=0,#N/A,VLOOKUP(B84,'Data yoy'!$A:$AW,MATCH($U$1,'Data yoy'!$A$1:$AW$1,),))</f>
        <v>1.713274446</v>
      </c>
      <c r="V84" s="25">
        <f>IF(VLOOKUP(B84,'Data yoy'!$A:$AW,MATCH($V$1,'Data yoy'!$A$1:$AW$1,),)=0,#N/A,VLOOKUP(B84,'Data yoy'!$A:$AW,MATCH($V$1,'Data yoy'!$A$1:$AW$1,),))</f>
        <v>12.366366389</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5.5933285679999996</v>
      </c>
      <c r="Z84" s="25">
        <f>IF(VLOOKUP(B84,'Data yoy'!$A:$AW,MATCH($Z$1,'Data yoy'!$A$1:$AW$1,),)=0,#N/A,VLOOKUP(B84,'Data yoy'!$A:$AW,MATCH($Z$1,'Data yoy'!$A$1:$AW$1,),))</f>
        <v>-2.7607192409999999</v>
      </c>
      <c r="AA84" s="25">
        <f>IF(VLOOKUP(B84,'Data yoy'!$A:$AW,MATCH($AA$1,'Data yoy'!$A$1:$AW$1,),)=0,#N/A,VLOOKUP(B84,'Data yoy'!$A:$AW,MATCH($AA$1,'Data yoy'!$A$1:$AW$1,),))</f>
        <v>3.626301008</v>
      </c>
      <c r="AC84" s="26" t="str">
        <f t="shared" si="13"/>
        <v>2018-Q2</v>
      </c>
      <c r="AD84" s="27">
        <f t="shared" si="14"/>
        <v>1.6240757889999999</v>
      </c>
      <c r="AE84" s="27">
        <f t="shared" si="15"/>
        <v>2.1553107069999999</v>
      </c>
      <c r="AF84" s="27">
        <f t="shared" si="16"/>
        <v>-0.531234918</v>
      </c>
    </row>
    <row r="85" spans="2:32" s="70" customFormat="1" x14ac:dyDescent="0.2">
      <c r="B85" s="24" t="s">
        <v>351</v>
      </c>
      <c r="C85" s="25">
        <f>IF(VLOOKUP(B85,'Data yoy'!$A:$AW,MATCH($C$1,'Data yoy'!$A$1:$AW$1,),)=0,#N/A,VLOOKUP(B85,'Data yoy'!$A:$AW,MATCH($C$1,'Data yoy'!$A$1:$AW$1,),))</f>
        <v>3.0528859119999998</v>
      </c>
      <c r="D85" s="25">
        <f>IF(VLOOKUP(B85,'Data yoy'!$A:$AW,MATCH($D$1,'Data yoy'!$A$1:$AW$1,),)=0,#N/A,VLOOKUP(B85,'Data yoy'!$A:$AW,MATCH($D$1,'Data yoy'!$A$1:$AW$1,),))</f>
        <v>6.7</v>
      </c>
      <c r="E85" s="25">
        <f>IF(VLOOKUP(B85,'Data yoy'!$A:$AW,MATCH($E$1,'Data yoy'!$A$1:$AW$1,),)=0,#N/A,VLOOKUP(B85,'Data yoy'!$A:$AW,MATCH($E$1,'Data yoy'!$A$1:$AW$1,),))</f>
        <v>1.4689209009999999</v>
      </c>
      <c r="F85" s="25">
        <f>IF(VLOOKUP(B85,'Data yoy'!$A:$AW,MATCH($F$1,'Data yoy'!$A$1:$AW$1,),)=0,#N/A,VLOOKUP(B85,'Data yoy'!$A:$AW,MATCH($F$1,'Data yoy'!$A$1:$AW$1,),))</f>
        <v>-0.107738927</v>
      </c>
      <c r="G85" s="25">
        <f>IF(VLOOKUP(B85,'Data yoy'!$A:$AW,MATCH($G$1,'Data yoy'!$A$1:$AW$1,),)=0,#N/A,VLOOKUP(B85,'Data yoy'!$A:$AW,MATCH($G$1,'Data yoy'!$A$1:$AW$1,),))</f>
        <v>0.50217442300000004</v>
      </c>
      <c r="H85" s="25">
        <f>IF(VLOOKUP(B85,'Data yoy'!$A:$AW,MATCH($H$1,'Data yoy'!$A$1:$AW$1,),)=0,#N/A,VLOOKUP(B85,'Data yoy'!$A:$AW,MATCH($H$1,'Data yoy'!$A$1:$AW$1,),))</f>
        <v>1.5130721460000001</v>
      </c>
      <c r="I85" s="25">
        <f>IF(VLOOKUP(B85,'Data yoy'!$A:$AW,MATCH($I$1,'Data yoy'!$A$1:$AW$1,),)=0,#N/A,VLOOKUP(B85,'Data yoy'!$A:$AW,MATCH($I$1,'Data yoy'!$A$1:$AW$1,),))</f>
        <v>1.8299276040000001</v>
      </c>
      <c r="J85" s="25">
        <f>IF(VLOOKUP(B85,'Data yoy'!$A:$AW,MATCH($J$1,'Data yoy'!$A$1:$AW$1,),)=0,#N/A,VLOOKUP(B85,'Data yoy'!$A:$AW,MATCH($J$1,'Data yoy'!$A$1:$AW$1,),))</f>
        <v>0.64238200099999998</v>
      </c>
      <c r="K85" s="25">
        <f>IF(VLOOKUP(B85,'Data yoy'!$A:$AW,MATCH($K$1,'Data yoy'!$A$1:$AW$1,),)=0,#N/A,VLOOKUP(B85,'Data yoy'!$A:$AW,MATCH($K$1,'Data yoy'!$A$1:$AW$1,),))</f>
        <v>2.123714933</v>
      </c>
      <c r="L85" s="25">
        <f>IF(VLOOKUP(B85,'Data yoy'!$A:$AW,MATCH($L$1,'Data yoy'!$A$1:$AW$1,),)=0,#N/A,VLOOKUP(B85,'Data yoy'!$A:$AW,MATCH($L$1,'Data yoy'!$A$1:$AW$1,),))</f>
        <v>0.81069643199999997</v>
      </c>
      <c r="M85" s="25">
        <f>IF(VLOOKUP(B85,'Data yoy'!$A:$AW,MATCH($M$1,'Data yoy'!$A$1:$AW$1,),)=0,#N/A,VLOOKUP(B85,'Data yoy'!$A:$AW,MATCH($M$1,'Data yoy'!$A$1:$AW$1,),))</f>
        <v>2.863550697</v>
      </c>
      <c r="N85" s="25">
        <f>IF(VLOOKUP(B85,'Data yoy'!$A:$AW,MATCH($N$1,'Data yoy'!$A$1:$AW$1,),)=0,#N/A,VLOOKUP(B85,'Data yoy'!$A:$AW,MATCH($N$1,'Data yoy'!$A$1:$AW$1,),))</f>
        <v>2.1890012080000001</v>
      </c>
      <c r="O85" s="25">
        <f>IF(VLOOKUP(B85,'Data yoy'!$A:$AW,MATCH($O$1,'Data yoy'!$A$1:$AW$1,),)=0,#N/A,VLOOKUP(B85,'Data yoy'!$A:$AW,MATCH($O$1,'Data yoy'!$A$1:$AW$1,),))</f>
        <v>6.8978799999999998</v>
      </c>
      <c r="P85" s="25">
        <f>IF(VLOOKUP(B85,'Data yoy'!$A:$AW,MATCH($P$1,'Data yoy'!$A$1:$AW$1,),)=0,#N/A,VLOOKUP(B85,'Data yoy'!$A:$AW,MATCH($P$1,'Data yoy'!$A$1:$AW$1,),))</f>
        <v>2.8991055860000001</v>
      </c>
      <c r="Q85" s="25">
        <f>IF(VLOOKUP(B85,'Data yoy'!$A:$AW,MATCH($Q$1,'Data yoy'!$A$1:$AW$1,),)=0,#N/A,VLOOKUP(B85,'Data yoy'!$A:$AW,MATCH($Q$1,'Data yoy'!$A$1:$AW$1,),))</f>
        <v>2.6280940799999999</v>
      </c>
      <c r="R85" s="25">
        <f>IF(VLOOKUP(B85,'Data yoy'!$A:$AW,MATCH($R$1,'Data yoy'!$A$1:$AW$1,),)=0,#N/A,VLOOKUP(B85,'Data yoy'!$A:$AW,MATCH($R$1,'Data yoy'!$A$1:$AW$1,),))</f>
        <v>2.8808440439999998</v>
      </c>
      <c r="S85" s="25">
        <f>IF(VLOOKUP(B85,'Data yoy'!$A:$AW,MATCH($S$1,'Data yoy'!$A$1:$AW$1,),)=0,#N/A,VLOOKUP(B85,'Data yoy'!$A:$AW,MATCH($S$1,'Data yoy'!$A$1:$AW$1,),))</f>
        <v>2.2663272550000002</v>
      </c>
      <c r="T85" s="25">
        <f>IF(VLOOKUP(B85,'Data yoy'!$A:$AW,MATCH($T$1,'Data yoy'!$A$1:$AW$1,),)=0,#N/A,VLOOKUP(B85,'Data yoy'!$A:$AW,MATCH($T$1,'Data yoy'!$A$1:$AW$1,),))</f>
        <v>2.039517644</v>
      </c>
      <c r="U85" s="25">
        <f>IF(VLOOKUP(B85,'Data yoy'!$A:$AW,MATCH($U$1,'Data yoy'!$A$1:$AW$1,),)=0,#N/A,VLOOKUP(B85,'Data yoy'!$A:$AW,MATCH($U$1,'Data yoy'!$A$1:$AW$1,),))</f>
        <v>0.37608994800000001</v>
      </c>
      <c r="V85" s="25">
        <f>IF(VLOOKUP(B85,'Data yoy'!$A:$AW,MATCH($V$1,'Data yoy'!$A$1:$AW$1,),)=0,#N/A,VLOOKUP(B85,'Data yoy'!$A:$AW,MATCH($V$1,'Data yoy'!$A$1:$AW$1,),))</f>
        <v>8.1316233120000003</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5.8250283029999999</v>
      </c>
      <c r="Z85" s="25">
        <f>IF(VLOOKUP(B85,'Data yoy'!$A:$AW,MATCH($Z$1,'Data yoy'!$A$1:$AW$1,),)=0,#N/A,VLOOKUP(B85,'Data yoy'!$A:$AW,MATCH($Z$1,'Data yoy'!$A$1:$AW$1,),))</f>
        <v>-4.1280098790000004</v>
      </c>
      <c r="AA85" s="25">
        <f>IF(VLOOKUP(B85,'Data yoy'!$A:$AW,MATCH($AA$1,'Data yoy'!$A$1:$AW$1,),)=0,#N/A,VLOOKUP(B85,'Data yoy'!$A:$AW,MATCH($AA$1,'Data yoy'!$A$1:$AW$1,),))</f>
        <v>3.041968352</v>
      </c>
      <c r="AC85" s="26" t="str">
        <f t="shared" si="13"/>
        <v>2018-Q3</v>
      </c>
      <c r="AD85" s="27">
        <f t="shared" si="14"/>
        <v>1.8299276040000001</v>
      </c>
      <c r="AE85" s="27">
        <f t="shared" si="15"/>
        <v>1.4689209009999999</v>
      </c>
      <c r="AF85" s="27">
        <f t="shared" si="16"/>
        <v>0.36100670300000015</v>
      </c>
    </row>
    <row r="86" spans="2:32" s="70" customFormat="1" x14ac:dyDescent="0.2">
      <c r="B86" s="24" t="s">
        <v>352</v>
      </c>
      <c r="C86" s="25">
        <f>IF(VLOOKUP(B86,'Data yoy'!$A:$AW,MATCH($C$1,'Data yoy'!$A$1:$AW$1,),)=0,#N/A,VLOOKUP(B86,'Data yoy'!$A:$AW,MATCH($C$1,'Data yoy'!$A$1:$AW$1,),))</f>
        <v>2.3206170949999998</v>
      </c>
      <c r="D86" s="25">
        <f>IF(VLOOKUP(B86,'Data yoy'!$A:$AW,MATCH($D$1,'Data yoy'!$A$1:$AW$1,),)=0,#N/A,VLOOKUP(B86,'Data yoy'!$A:$AW,MATCH($D$1,'Data yoy'!$A$1:$AW$1,),))</f>
        <v>6.5</v>
      </c>
      <c r="E86" s="25">
        <f>IF(VLOOKUP(B86,'Data yoy'!$A:$AW,MATCH($E$1,'Data yoy'!$A$1:$AW$1,),)=0,#N/A,VLOOKUP(B86,'Data yoy'!$A:$AW,MATCH($E$1,'Data yoy'!$A$1:$AW$1,),))</f>
        <v>1.203846467</v>
      </c>
      <c r="F86" s="25">
        <f>IF(VLOOKUP(B86,'Data yoy'!$A:$AW,MATCH($F$1,'Data yoy'!$A$1:$AW$1,),)=0,#N/A,VLOOKUP(B86,'Data yoy'!$A:$AW,MATCH($F$1,'Data yoy'!$A$1:$AW$1,),))</f>
        <v>-0.43187357300000001</v>
      </c>
      <c r="G86" s="25">
        <f>IF(VLOOKUP(B86,'Data yoy'!$A:$AW,MATCH($G$1,'Data yoy'!$A$1:$AW$1,),)=0,#N/A,VLOOKUP(B86,'Data yoy'!$A:$AW,MATCH($G$1,'Data yoy'!$A$1:$AW$1,),))</f>
        <v>8.4593111999999998E-2</v>
      </c>
      <c r="H86" s="25">
        <f>IF(VLOOKUP(B86,'Data yoy'!$A:$AW,MATCH($H$1,'Data yoy'!$A$1:$AW$1,),)=0,#N/A,VLOOKUP(B86,'Data yoy'!$A:$AW,MATCH($H$1,'Data yoy'!$A$1:$AW$1,),))</f>
        <v>1.487550164</v>
      </c>
      <c r="I86" s="25">
        <f>IF(VLOOKUP(B86,'Data yoy'!$A:$AW,MATCH($I$1,'Data yoy'!$A$1:$AW$1,),)=0,#N/A,VLOOKUP(B86,'Data yoy'!$A:$AW,MATCH($I$1,'Data yoy'!$A$1:$AW$1,),))</f>
        <v>1.761540578</v>
      </c>
      <c r="J86" s="25">
        <f>IF(VLOOKUP(B86,'Data yoy'!$A:$AW,MATCH($J$1,'Data yoy'!$A$1:$AW$1,),)=0,#N/A,VLOOKUP(B86,'Data yoy'!$A:$AW,MATCH($J$1,'Data yoy'!$A$1:$AW$1,),))</f>
        <v>0.400140681</v>
      </c>
      <c r="K86" s="25">
        <f>IF(VLOOKUP(B86,'Data yoy'!$A:$AW,MATCH($K$1,'Data yoy'!$A$1:$AW$1,),)=0,#N/A,VLOOKUP(B86,'Data yoy'!$A:$AW,MATCH($K$1,'Data yoy'!$A$1:$AW$1,),))</f>
        <v>2.1738904570000002</v>
      </c>
      <c r="L86" s="25">
        <f>IF(VLOOKUP(B86,'Data yoy'!$A:$AW,MATCH($L$1,'Data yoy'!$A$1:$AW$1,),)=0,#N/A,VLOOKUP(B86,'Data yoy'!$A:$AW,MATCH($L$1,'Data yoy'!$A$1:$AW$1,),))</f>
        <v>1.9351350679999999</v>
      </c>
      <c r="M86" s="25">
        <f>IF(VLOOKUP(B86,'Data yoy'!$A:$AW,MATCH($M$1,'Data yoy'!$A$1:$AW$1,),)=0,#N/A,VLOOKUP(B86,'Data yoy'!$A:$AW,MATCH($M$1,'Data yoy'!$A$1:$AW$1,),))</f>
        <v>1.2683873480000001</v>
      </c>
      <c r="N86" s="25">
        <f>IF(VLOOKUP(B86,'Data yoy'!$A:$AW,MATCH($N$1,'Data yoy'!$A$1:$AW$1,),)=0,#N/A,VLOOKUP(B86,'Data yoy'!$A:$AW,MATCH($N$1,'Data yoy'!$A$1:$AW$1,),))</f>
        <v>2.8459098599999999</v>
      </c>
      <c r="O86" s="25">
        <f>IF(VLOOKUP(B86,'Data yoy'!$A:$AW,MATCH($O$1,'Data yoy'!$A$1:$AW$1,),)=0,#N/A,VLOOKUP(B86,'Data yoy'!$A:$AW,MATCH($O$1,'Data yoy'!$A$1:$AW$1,),))</f>
        <v>6.4508400000000004</v>
      </c>
      <c r="P86" s="25">
        <f>IF(VLOOKUP(B86,'Data yoy'!$A:$AW,MATCH($P$1,'Data yoy'!$A$1:$AW$1,),)=0,#N/A,VLOOKUP(B86,'Data yoy'!$A:$AW,MATCH($P$1,'Data yoy'!$A$1:$AW$1,),))</f>
        <v>2.717788724</v>
      </c>
      <c r="Q86" s="25">
        <f>IF(VLOOKUP(B86,'Data yoy'!$A:$AW,MATCH($Q$1,'Data yoy'!$A$1:$AW$1,),)=0,#N/A,VLOOKUP(B86,'Data yoy'!$A:$AW,MATCH($Q$1,'Data yoy'!$A$1:$AW$1,),))</f>
        <v>2.314029712</v>
      </c>
      <c r="R86" s="25">
        <f>IF(VLOOKUP(B86,'Data yoy'!$A:$AW,MATCH($R$1,'Data yoy'!$A$1:$AW$1,),)=0,#N/A,VLOOKUP(B86,'Data yoy'!$A:$AW,MATCH($R$1,'Data yoy'!$A$1:$AW$1,),))</f>
        <v>2.0044612970000002</v>
      </c>
      <c r="S86" s="25">
        <f>IF(VLOOKUP(B86,'Data yoy'!$A:$AW,MATCH($S$1,'Data yoy'!$A$1:$AW$1,),)=0,#N/A,VLOOKUP(B86,'Data yoy'!$A:$AW,MATCH($S$1,'Data yoy'!$A$1:$AW$1,),))</f>
        <v>3.3129777570000001</v>
      </c>
      <c r="T86" s="25">
        <f>IF(VLOOKUP(B86,'Data yoy'!$A:$AW,MATCH($T$1,'Data yoy'!$A$1:$AW$1,),)=0,#N/A,VLOOKUP(B86,'Data yoy'!$A:$AW,MATCH($T$1,'Data yoy'!$A$1:$AW$1,),))</f>
        <v>1.271590086</v>
      </c>
      <c r="U86" s="25">
        <f>IF(VLOOKUP(B86,'Data yoy'!$A:$AW,MATCH($U$1,'Data yoy'!$A$1:$AW$1,),)=0,#N/A,VLOOKUP(B86,'Data yoy'!$A:$AW,MATCH($U$1,'Data yoy'!$A$1:$AW$1,),))</f>
        <v>1.9667146200000001</v>
      </c>
      <c r="V86" s="25">
        <f>IF(VLOOKUP(B86,'Data yoy'!$A:$AW,MATCH($V$1,'Data yoy'!$A$1:$AW$1,),)=0,#N/A,VLOOKUP(B86,'Data yoy'!$A:$AW,MATCH($V$1,'Data yoy'!$A$1:$AW$1,),))</f>
        <v>4.0160100759999997</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4.9463500030000001</v>
      </c>
      <c r="Z86" s="25">
        <f>IF(VLOOKUP(B86,'Data yoy'!$A:$AW,MATCH($Z$1,'Data yoy'!$A$1:$AW$1,),)=0,#N/A,VLOOKUP(B86,'Data yoy'!$A:$AW,MATCH($Z$1,'Data yoy'!$A$1:$AW$1,),))</f>
        <v>-6.4318413569999997</v>
      </c>
      <c r="AA86" s="25">
        <f>IF(VLOOKUP(B86,'Data yoy'!$A:$AW,MATCH($AA$1,'Data yoy'!$A$1:$AW$1,),)=0,#N/A,VLOOKUP(B86,'Data yoy'!$A:$AW,MATCH($AA$1,'Data yoy'!$A$1:$AW$1,),))</f>
        <v>3.4745459859999999</v>
      </c>
      <c r="AC86" s="26" t="str">
        <f t="shared" si="13"/>
        <v>2018-Q4</v>
      </c>
      <c r="AD86" s="27">
        <f t="shared" si="14"/>
        <v>1.761540578</v>
      </c>
      <c r="AE86" s="27">
        <f t="shared" si="15"/>
        <v>1.203846467</v>
      </c>
      <c r="AF86" s="27">
        <f t="shared" si="16"/>
        <v>0.55769411099999999</v>
      </c>
    </row>
    <row r="87" spans="2:32" s="70" customFormat="1" x14ac:dyDescent="0.2">
      <c r="B87" s="24" t="s">
        <v>353</v>
      </c>
      <c r="C87" s="25">
        <f>IF(VLOOKUP(B87,'Data yoy'!$A:$AW,MATCH($C$1,'Data yoy'!$A$1:$AW$1,),)=0,#N/A,VLOOKUP(B87,'Data yoy'!$A:$AW,MATCH($C$1,'Data yoy'!$A$1:$AW$1,),))</f>
        <v>2.1530015140000001</v>
      </c>
      <c r="D87" s="25">
        <f>IF(VLOOKUP(B87,'Data yoy'!$A:$AW,MATCH($D$1,'Data yoy'!$A$1:$AW$1,),)=0,#N/A,VLOOKUP(B87,'Data yoy'!$A:$AW,MATCH($D$1,'Data yoy'!$A$1:$AW$1,),))</f>
        <v>6.3</v>
      </c>
      <c r="E87" s="25">
        <f>IF(VLOOKUP(B87,'Data yoy'!$A:$AW,MATCH($E$1,'Data yoy'!$A$1:$AW$1,),)=0,#N/A,VLOOKUP(B87,'Data yoy'!$A:$AW,MATCH($E$1,'Data yoy'!$A$1:$AW$1,),))</f>
        <v>1.8778002970000001</v>
      </c>
      <c r="F87" s="25">
        <f>IF(VLOOKUP(B87,'Data yoy'!$A:$AW,MATCH($F$1,'Data yoy'!$A$1:$AW$1,),)=0,#N/A,VLOOKUP(B87,'Data yoy'!$A:$AW,MATCH($F$1,'Data yoy'!$A$1:$AW$1,),))</f>
        <v>-3.9339697999999999E-2</v>
      </c>
      <c r="G87" s="25">
        <f>IF(VLOOKUP(B87,'Data yoy'!$A:$AW,MATCH($G$1,'Data yoy'!$A$1:$AW$1,),)=0,#N/A,VLOOKUP(B87,'Data yoy'!$A:$AW,MATCH($G$1,'Data yoy'!$A$1:$AW$1,),))</f>
        <v>1.578883507</v>
      </c>
      <c r="H87" s="25">
        <f>IF(VLOOKUP(B87,'Data yoy'!$A:$AW,MATCH($H$1,'Data yoy'!$A$1:$AW$1,),)=0,#N/A,VLOOKUP(B87,'Data yoy'!$A:$AW,MATCH($H$1,'Data yoy'!$A$1:$AW$1,),))</f>
        <v>2.1193721669999999</v>
      </c>
      <c r="I87" s="25">
        <f>IF(VLOOKUP(B87,'Data yoy'!$A:$AW,MATCH($I$1,'Data yoy'!$A$1:$AW$1,),)=0,#N/A,VLOOKUP(B87,'Data yoy'!$A:$AW,MATCH($I$1,'Data yoy'!$A$1:$AW$1,),))</f>
        <v>2.1729566610000002</v>
      </c>
      <c r="J87" s="25">
        <f>IF(VLOOKUP(B87,'Data yoy'!$A:$AW,MATCH($J$1,'Data yoy'!$A$1:$AW$1,),)=0,#N/A,VLOOKUP(B87,'Data yoy'!$A:$AW,MATCH($J$1,'Data yoy'!$A$1:$AW$1,),))</f>
        <v>0.63599831500000004</v>
      </c>
      <c r="K87" s="25">
        <f>IF(VLOOKUP(B87,'Data yoy'!$A:$AW,MATCH($K$1,'Data yoy'!$A$1:$AW$1,),)=0,#N/A,VLOOKUP(B87,'Data yoy'!$A:$AW,MATCH($K$1,'Data yoy'!$A$1:$AW$1,),))</f>
        <v>2.401358009</v>
      </c>
      <c r="L87" s="25">
        <f>IF(VLOOKUP(B87,'Data yoy'!$A:$AW,MATCH($L$1,'Data yoy'!$A$1:$AW$1,),)=0,#N/A,VLOOKUP(B87,'Data yoy'!$A:$AW,MATCH($L$1,'Data yoy'!$A$1:$AW$1,),))</f>
        <v>2.0924865600000002</v>
      </c>
      <c r="M87" s="25">
        <f>IF(VLOOKUP(B87,'Data yoy'!$A:$AW,MATCH($M$1,'Data yoy'!$A$1:$AW$1,),)=0,#N/A,VLOOKUP(B87,'Data yoy'!$A:$AW,MATCH($M$1,'Data yoy'!$A$1:$AW$1,),))</f>
        <v>0.17122952999999999</v>
      </c>
      <c r="N87" s="25">
        <f>IF(VLOOKUP(B87,'Data yoy'!$A:$AW,MATCH($N$1,'Data yoy'!$A$1:$AW$1,),)=0,#N/A,VLOOKUP(B87,'Data yoy'!$A:$AW,MATCH($N$1,'Data yoy'!$A$1:$AW$1,),))</f>
        <v>1.4313071719999999</v>
      </c>
      <c r="O87" s="25">
        <f>IF(VLOOKUP(B87,'Data yoy'!$A:$AW,MATCH($O$1,'Data yoy'!$A$1:$AW$1,),)=0,#N/A,VLOOKUP(B87,'Data yoy'!$A:$AW,MATCH($O$1,'Data yoy'!$A$1:$AW$1,),))</f>
        <v>5.3305100000000003</v>
      </c>
      <c r="P87" s="25">
        <f>IF(VLOOKUP(B87,'Data yoy'!$A:$AW,MATCH($P$1,'Data yoy'!$A$1:$AW$1,),)=0,#N/A,VLOOKUP(B87,'Data yoy'!$A:$AW,MATCH($P$1,'Data yoy'!$A$1:$AW$1,),))</f>
        <v>1.918859114</v>
      </c>
      <c r="Q87" s="25">
        <f>IF(VLOOKUP(B87,'Data yoy'!$A:$AW,MATCH($Q$1,'Data yoy'!$A$1:$AW$1,),)=0,#N/A,VLOOKUP(B87,'Data yoy'!$A:$AW,MATCH($Q$1,'Data yoy'!$A$1:$AW$1,),))</f>
        <v>1.8595941659999999</v>
      </c>
      <c r="R87" s="25">
        <f>IF(VLOOKUP(B87,'Data yoy'!$A:$AW,MATCH($R$1,'Data yoy'!$A$1:$AW$1,),)=0,#N/A,VLOOKUP(B87,'Data yoy'!$A:$AW,MATCH($R$1,'Data yoy'!$A$1:$AW$1,),))</f>
        <v>1.1881978879999999</v>
      </c>
      <c r="S87" s="25">
        <f>IF(VLOOKUP(B87,'Data yoy'!$A:$AW,MATCH($S$1,'Data yoy'!$A$1:$AW$1,),)=0,#N/A,VLOOKUP(B87,'Data yoy'!$A:$AW,MATCH($S$1,'Data yoy'!$A$1:$AW$1,),))</f>
        <v>1.879306135</v>
      </c>
      <c r="T87" s="25">
        <f>IF(VLOOKUP(B87,'Data yoy'!$A:$AW,MATCH($T$1,'Data yoy'!$A$1:$AW$1,),)=0,#N/A,VLOOKUP(B87,'Data yoy'!$A:$AW,MATCH($T$1,'Data yoy'!$A$1:$AW$1,),))</f>
        <v>1.105013925</v>
      </c>
      <c r="U87" s="25">
        <f>IF(VLOOKUP(B87,'Data yoy'!$A:$AW,MATCH($U$1,'Data yoy'!$A$1:$AW$1,),)=0,#N/A,VLOOKUP(B87,'Data yoy'!$A:$AW,MATCH($U$1,'Data yoy'!$A$1:$AW$1,),))</f>
        <v>1.186606592</v>
      </c>
      <c r="V87" s="25">
        <f>IF(VLOOKUP(B87,'Data yoy'!$A:$AW,MATCH($V$1,'Data yoy'!$A$1:$AW$1,),)=0,#N/A,VLOOKUP(B87,'Data yoy'!$A:$AW,MATCH($V$1,'Data yoy'!$A$1:$AW$1,),))</f>
        <v>5.05048268</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5.5259554919999996</v>
      </c>
      <c r="Z87" s="25">
        <f>IF(VLOOKUP(B87,'Data yoy'!$A:$AW,MATCH($Z$1,'Data yoy'!$A$1:$AW$1,),)=0,#N/A,VLOOKUP(B87,'Data yoy'!$A:$AW,MATCH($Z$1,'Data yoy'!$A$1:$AW$1,),))</f>
        <v>-6.0610184050000004</v>
      </c>
      <c r="AA87" s="25">
        <f>IF(VLOOKUP(B87,'Data yoy'!$A:$AW,MATCH($AA$1,'Data yoy'!$A$1:$AW$1,),)=0,#N/A,VLOOKUP(B87,'Data yoy'!$A:$AW,MATCH($AA$1,'Data yoy'!$A$1:$AW$1,),))</f>
        <v>3.2788470840000001</v>
      </c>
      <c r="AC87" s="26" t="str">
        <f t="shared" si="13"/>
        <v>2019-Q1</v>
      </c>
      <c r="AD87" s="27">
        <f t="shared" si="14"/>
        <v>2.1729566610000002</v>
      </c>
      <c r="AE87" s="27">
        <f t="shared" si="15"/>
        <v>1.8778002970000001</v>
      </c>
      <c r="AF87" s="27">
        <f t="shared" si="16"/>
        <v>0.29515636400000012</v>
      </c>
    </row>
    <row r="88" spans="2:32" s="70" customFormat="1" x14ac:dyDescent="0.2">
      <c r="B88" s="24" t="s">
        <v>354</v>
      </c>
      <c r="C88" s="25">
        <f>IF(VLOOKUP(B88,'Data yoy'!$A:$AW,MATCH($C$1,'Data yoy'!$A$1:$AW$1,),)=0,#N/A,VLOOKUP(B88,'Data yoy'!$A:$AW,MATCH($C$1,'Data yoy'!$A$1:$AW$1,),))</f>
        <v>2.1114788359999999</v>
      </c>
      <c r="D88" s="25">
        <f>IF(VLOOKUP(B88,'Data yoy'!$A:$AW,MATCH($D$1,'Data yoy'!$A$1:$AW$1,),)=0,#N/A,VLOOKUP(B88,'Data yoy'!$A:$AW,MATCH($D$1,'Data yoy'!$A$1:$AW$1,),))</f>
        <v>6</v>
      </c>
      <c r="E88" s="25">
        <f>IF(VLOOKUP(B88,'Data yoy'!$A:$AW,MATCH($E$1,'Data yoy'!$A$1:$AW$1,),)=0,#N/A,VLOOKUP(B88,'Data yoy'!$A:$AW,MATCH($E$1,'Data yoy'!$A$1:$AW$1,),))</f>
        <v>1.6095606979999999</v>
      </c>
      <c r="F88" s="25">
        <f>IF(VLOOKUP(B88,'Data yoy'!$A:$AW,MATCH($F$1,'Data yoy'!$A$1:$AW$1,),)=0,#N/A,VLOOKUP(B88,'Data yoy'!$A:$AW,MATCH($F$1,'Data yoy'!$A$1:$AW$1,),))</f>
        <v>7.3089720999999996E-2</v>
      </c>
      <c r="G88" s="25">
        <f>IF(VLOOKUP(B88,'Data yoy'!$A:$AW,MATCH($G$1,'Data yoy'!$A$1:$AW$1,),)=0,#N/A,VLOOKUP(B88,'Data yoy'!$A:$AW,MATCH($G$1,'Data yoy'!$A$1:$AW$1,),))</f>
        <v>0.51867434899999998</v>
      </c>
      <c r="H88" s="25">
        <f>IF(VLOOKUP(B88,'Data yoy'!$A:$AW,MATCH($H$1,'Data yoy'!$A$1:$AW$1,),)=0,#N/A,VLOOKUP(B88,'Data yoy'!$A:$AW,MATCH($H$1,'Data yoy'!$A$1:$AW$1,),))</f>
        <v>2.397940647</v>
      </c>
      <c r="I88" s="25">
        <f>IF(VLOOKUP(B88,'Data yoy'!$A:$AW,MATCH($I$1,'Data yoy'!$A$1:$AW$1,),)=0,#N/A,VLOOKUP(B88,'Data yoy'!$A:$AW,MATCH($I$1,'Data yoy'!$A$1:$AW$1,),))</f>
        <v>1.752346376</v>
      </c>
      <c r="J88" s="25">
        <f>IF(VLOOKUP(B88,'Data yoy'!$A:$AW,MATCH($J$1,'Data yoy'!$A$1:$AW$1,),)=0,#N/A,VLOOKUP(B88,'Data yoy'!$A:$AW,MATCH($J$1,'Data yoy'!$A$1:$AW$1,),))</f>
        <v>0.90113092900000002</v>
      </c>
      <c r="K88" s="25">
        <f>IF(VLOOKUP(B88,'Data yoy'!$A:$AW,MATCH($K$1,'Data yoy'!$A$1:$AW$1,),)=0,#N/A,VLOOKUP(B88,'Data yoy'!$A:$AW,MATCH($K$1,'Data yoy'!$A$1:$AW$1,),))</f>
        <v>2.1767540780000001</v>
      </c>
      <c r="L88" s="25">
        <f>IF(VLOOKUP(B88,'Data yoy'!$A:$AW,MATCH($L$1,'Data yoy'!$A$1:$AW$1,),)=0,#N/A,VLOOKUP(B88,'Data yoy'!$A:$AW,MATCH($L$1,'Data yoy'!$A$1:$AW$1,),))</f>
        <v>1.6399943960000001</v>
      </c>
      <c r="M88" s="25">
        <f>IF(VLOOKUP(B88,'Data yoy'!$A:$AW,MATCH($M$1,'Data yoy'!$A$1:$AW$1,),)=0,#N/A,VLOOKUP(B88,'Data yoy'!$A:$AW,MATCH($M$1,'Data yoy'!$A$1:$AW$1,),))</f>
        <v>-0.21016902300000001</v>
      </c>
      <c r="N88" s="25">
        <f>IF(VLOOKUP(B88,'Data yoy'!$A:$AW,MATCH($N$1,'Data yoy'!$A$1:$AW$1,),)=0,#N/A,VLOOKUP(B88,'Data yoy'!$A:$AW,MATCH($N$1,'Data yoy'!$A$1:$AW$1,),))</f>
        <v>3.1498777059999998</v>
      </c>
      <c r="O88" s="25">
        <f>IF(VLOOKUP(B88,'Data yoy'!$A:$AW,MATCH($O$1,'Data yoy'!$A$1:$AW$1,),)=0,#N/A,VLOOKUP(B88,'Data yoy'!$A:$AW,MATCH($O$1,'Data yoy'!$A$1:$AW$1,),))</f>
        <v>5.05816</v>
      </c>
      <c r="P88" s="25">
        <f>IF(VLOOKUP(B88,'Data yoy'!$A:$AW,MATCH($P$1,'Data yoy'!$A$1:$AW$1,),)=0,#N/A,VLOOKUP(B88,'Data yoy'!$A:$AW,MATCH($P$1,'Data yoy'!$A$1:$AW$1,),))</f>
        <v>2.1268048070000001</v>
      </c>
      <c r="Q88" s="25">
        <f>IF(VLOOKUP(B88,'Data yoy'!$A:$AW,MATCH($Q$1,'Data yoy'!$A$1:$AW$1,),)=0,#N/A,VLOOKUP(B88,'Data yoy'!$A:$AW,MATCH($Q$1,'Data yoy'!$A$1:$AW$1,),))</f>
        <v>1.6633761810000001</v>
      </c>
      <c r="R88" s="25">
        <f>IF(VLOOKUP(B88,'Data yoy'!$A:$AW,MATCH($R$1,'Data yoy'!$A$1:$AW$1,),)=0,#N/A,VLOOKUP(B88,'Data yoy'!$A:$AW,MATCH($R$1,'Data yoy'!$A$1:$AW$1,),))</f>
        <v>0.67419423700000003</v>
      </c>
      <c r="S88" s="25">
        <f>IF(VLOOKUP(B88,'Data yoy'!$A:$AW,MATCH($S$1,'Data yoy'!$A$1:$AW$1,),)=0,#N/A,VLOOKUP(B88,'Data yoy'!$A:$AW,MATCH($S$1,'Data yoy'!$A$1:$AW$1,),))</f>
        <v>2.3078417999999998</v>
      </c>
      <c r="T88" s="25">
        <f>IF(VLOOKUP(B88,'Data yoy'!$A:$AW,MATCH($T$1,'Data yoy'!$A$1:$AW$1,),)=0,#N/A,VLOOKUP(B88,'Data yoy'!$A:$AW,MATCH($T$1,'Data yoy'!$A$1:$AW$1,),))</f>
        <v>1.6008974570000001</v>
      </c>
      <c r="U88" s="25">
        <f>IF(VLOOKUP(B88,'Data yoy'!$A:$AW,MATCH($U$1,'Data yoy'!$A$1:$AW$1,),)=0,#N/A,VLOOKUP(B88,'Data yoy'!$A:$AW,MATCH($U$1,'Data yoy'!$A$1:$AW$1,),))</f>
        <v>2.147844418</v>
      </c>
      <c r="V88" s="25">
        <f>IF(VLOOKUP(B88,'Data yoy'!$A:$AW,MATCH($V$1,'Data yoy'!$A$1:$AW$1,),)=0,#N/A,VLOOKUP(B88,'Data yoy'!$A:$AW,MATCH($V$1,'Data yoy'!$A$1:$AW$1,),))</f>
        <v>4.510225621</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4.9535901280000001</v>
      </c>
      <c r="Z88" s="25">
        <f>IF(VLOOKUP(B88,'Data yoy'!$A:$AW,MATCH($Z$1,'Data yoy'!$A$1:$AW$1,),)=0,#N/A,VLOOKUP(B88,'Data yoy'!$A:$AW,MATCH($Z$1,'Data yoy'!$A$1:$AW$1,),))</f>
        <v>-0.86063721500000001</v>
      </c>
      <c r="AA88" s="25">
        <f>IF(VLOOKUP(B88,'Data yoy'!$A:$AW,MATCH($AA$1,'Data yoy'!$A$1:$AW$1,),)=0,#N/A,VLOOKUP(B88,'Data yoy'!$A:$AW,MATCH($AA$1,'Data yoy'!$A$1:$AW$1,),))</f>
        <v>2.6911119970000001</v>
      </c>
      <c r="AC88" s="26" t="str">
        <f t="shared" si="13"/>
        <v>2019-Q2</v>
      </c>
      <c r="AD88" s="27">
        <f t="shared" si="14"/>
        <v>1.752346376</v>
      </c>
      <c r="AE88" s="27">
        <f t="shared" si="15"/>
        <v>1.6095606979999999</v>
      </c>
      <c r="AF88" s="27">
        <f t="shared" si="16"/>
        <v>0.14278567800000008</v>
      </c>
    </row>
    <row r="89" spans="2:32" s="70" customFormat="1" x14ac:dyDescent="0.2">
      <c r="B89" s="24" t="s">
        <v>355</v>
      </c>
      <c r="C89" s="25">
        <f>IF(VLOOKUP(B89,'Data yoy'!$A:$AW,MATCH($C$1,'Data yoy'!$A$1:$AW$1,),)=0,#N/A,VLOOKUP(B89,'Data yoy'!$A:$AW,MATCH($C$1,'Data yoy'!$A$1:$AW$1,),))</f>
        <v>2.3183259980000002</v>
      </c>
      <c r="D89" s="25">
        <f>IF(VLOOKUP(B89,'Data yoy'!$A:$AW,MATCH($D$1,'Data yoy'!$A$1:$AW$1,),)=0,#N/A,VLOOKUP(B89,'Data yoy'!$A:$AW,MATCH($D$1,'Data yoy'!$A$1:$AW$1,),))</f>
        <v>5.9</v>
      </c>
      <c r="E89" s="25">
        <f>IF(VLOOKUP(B89,'Data yoy'!$A:$AW,MATCH($E$1,'Data yoy'!$A$1:$AW$1,),)=0,#N/A,VLOOKUP(B89,'Data yoy'!$A:$AW,MATCH($E$1,'Data yoy'!$A$1:$AW$1,),))</f>
        <v>1.7655670240000001</v>
      </c>
      <c r="F89" s="25">
        <f>IF(VLOOKUP(B89,'Data yoy'!$A:$AW,MATCH($F$1,'Data yoy'!$A$1:$AW$1,),)=0,#N/A,VLOOKUP(B89,'Data yoy'!$A:$AW,MATCH($F$1,'Data yoy'!$A$1:$AW$1,),))</f>
        <v>0.80175446299999997</v>
      </c>
      <c r="G89" s="25">
        <f>IF(VLOOKUP(B89,'Data yoy'!$A:$AW,MATCH($G$1,'Data yoy'!$A$1:$AW$1,),)=0,#N/A,VLOOKUP(B89,'Data yoy'!$A:$AW,MATCH($G$1,'Data yoy'!$A$1:$AW$1,),))</f>
        <v>1.359957007</v>
      </c>
      <c r="H89" s="25">
        <f>IF(VLOOKUP(B89,'Data yoy'!$A:$AW,MATCH($H$1,'Data yoy'!$A$1:$AW$1,),)=0,#N/A,VLOOKUP(B89,'Data yoy'!$A:$AW,MATCH($H$1,'Data yoy'!$A$1:$AW$1,),))</f>
        <v>1.98337352</v>
      </c>
      <c r="I89" s="25">
        <f>IF(VLOOKUP(B89,'Data yoy'!$A:$AW,MATCH($I$1,'Data yoy'!$A$1:$AW$1,),)=0,#N/A,VLOOKUP(B89,'Data yoy'!$A:$AW,MATCH($I$1,'Data yoy'!$A$1:$AW$1,),))</f>
        <v>1.5776679410000001</v>
      </c>
      <c r="J89" s="25">
        <f>IF(VLOOKUP(B89,'Data yoy'!$A:$AW,MATCH($J$1,'Data yoy'!$A$1:$AW$1,),)=0,#N/A,VLOOKUP(B89,'Data yoy'!$A:$AW,MATCH($J$1,'Data yoy'!$A$1:$AW$1,),))</f>
        <v>0.78290722700000004</v>
      </c>
      <c r="K89" s="25">
        <f>IF(VLOOKUP(B89,'Data yoy'!$A:$AW,MATCH($K$1,'Data yoy'!$A$1:$AW$1,),)=0,#N/A,VLOOKUP(B89,'Data yoy'!$A:$AW,MATCH($K$1,'Data yoy'!$A$1:$AW$1,),))</f>
        <v>2.0358717460000002</v>
      </c>
      <c r="L89" s="25">
        <f>IF(VLOOKUP(B89,'Data yoy'!$A:$AW,MATCH($L$1,'Data yoy'!$A$1:$AW$1,),)=0,#N/A,VLOOKUP(B89,'Data yoy'!$A:$AW,MATCH($L$1,'Data yoy'!$A$1:$AW$1,),))</f>
        <v>2.6377098129999998</v>
      </c>
      <c r="M89" s="25">
        <f>IF(VLOOKUP(B89,'Data yoy'!$A:$AW,MATCH($M$1,'Data yoy'!$A$1:$AW$1,),)=0,#N/A,VLOOKUP(B89,'Data yoy'!$A:$AW,MATCH($M$1,'Data yoy'!$A$1:$AW$1,),))</f>
        <v>-0.105045034</v>
      </c>
      <c r="N89" s="25">
        <f>IF(VLOOKUP(B89,'Data yoy'!$A:$AW,MATCH($N$1,'Data yoy'!$A$1:$AW$1,),)=0,#N/A,VLOOKUP(B89,'Data yoy'!$A:$AW,MATCH($N$1,'Data yoy'!$A$1:$AW$1,),))</f>
        <v>1.894762912</v>
      </c>
      <c r="O89" s="25">
        <f>IF(VLOOKUP(B89,'Data yoy'!$A:$AW,MATCH($O$1,'Data yoy'!$A$1:$AW$1,),)=0,#N/A,VLOOKUP(B89,'Data yoy'!$A:$AW,MATCH($O$1,'Data yoy'!$A$1:$AW$1,),))</f>
        <v>4.6725500000000002</v>
      </c>
      <c r="P89" s="25">
        <f>IF(VLOOKUP(B89,'Data yoy'!$A:$AW,MATCH($P$1,'Data yoy'!$A$1:$AW$1,),)=0,#N/A,VLOOKUP(B89,'Data yoy'!$A:$AW,MATCH($P$1,'Data yoy'!$A$1:$AW$1,),))</f>
        <v>1.7581388549999999</v>
      </c>
      <c r="Q89" s="25">
        <f>IF(VLOOKUP(B89,'Data yoy'!$A:$AW,MATCH($Q$1,'Data yoy'!$A$1:$AW$1,),)=0,#N/A,VLOOKUP(B89,'Data yoy'!$A:$AW,MATCH($Q$1,'Data yoy'!$A$1:$AW$1,),))</f>
        <v>2.0625124270000001</v>
      </c>
      <c r="R89" s="25">
        <f>IF(VLOOKUP(B89,'Data yoy'!$A:$AW,MATCH($R$1,'Data yoy'!$A$1:$AW$1,),)=0,#N/A,VLOOKUP(B89,'Data yoy'!$A:$AW,MATCH($R$1,'Data yoy'!$A$1:$AW$1,),))</f>
        <v>1.425650407</v>
      </c>
      <c r="S89" s="25">
        <f>IF(VLOOKUP(B89,'Data yoy'!$A:$AW,MATCH($S$1,'Data yoy'!$A$1:$AW$1,),)=0,#N/A,VLOOKUP(B89,'Data yoy'!$A:$AW,MATCH($S$1,'Data yoy'!$A$1:$AW$1,),))</f>
        <v>2.1012468540000002</v>
      </c>
      <c r="T89" s="25">
        <f>IF(VLOOKUP(B89,'Data yoy'!$A:$AW,MATCH($T$1,'Data yoy'!$A$1:$AW$1,),)=0,#N/A,VLOOKUP(B89,'Data yoy'!$A:$AW,MATCH($T$1,'Data yoy'!$A$1:$AW$1,),))</f>
        <v>0.74663300399999999</v>
      </c>
      <c r="U89" s="25">
        <f>IF(VLOOKUP(B89,'Data yoy'!$A:$AW,MATCH($U$1,'Data yoy'!$A$1:$AW$1,),)=0,#N/A,VLOOKUP(B89,'Data yoy'!$A:$AW,MATCH($U$1,'Data yoy'!$A$1:$AW$1,),))</f>
        <v>2.3288899179999998</v>
      </c>
      <c r="V89" s="25">
        <f>IF(VLOOKUP(B89,'Data yoy'!$A:$AW,MATCH($V$1,'Data yoy'!$A$1:$AW$1,),)=0,#N/A,VLOOKUP(B89,'Data yoy'!$A:$AW,MATCH($V$1,'Data yoy'!$A$1:$AW$1,),))</f>
        <v>5.5594947230000002</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4.5171936620000004</v>
      </c>
      <c r="Z89" s="25">
        <f>IF(VLOOKUP(B89,'Data yoy'!$A:$AW,MATCH($Z$1,'Data yoy'!$A$1:$AW$1,),)=0,#N/A,VLOOKUP(B89,'Data yoy'!$A:$AW,MATCH($Z$1,'Data yoy'!$A$1:$AW$1,),))</f>
        <v>-0.32180930200000002</v>
      </c>
      <c r="AA89" s="25">
        <f>IF(VLOOKUP(B89,'Data yoy'!$A:$AW,MATCH($AA$1,'Data yoy'!$A$1:$AW$1,),)=0,#N/A,VLOOKUP(B89,'Data yoy'!$A:$AW,MATCH($AA$1,'Data yoy'!$A$1:$AW$1,),))</f>
        <v>3.2605758069999999</v>
      </c>
      <c r="AC89" s="26" t="str">
        <f t="shared" si="13"/>
        <v>2019-Q3</v>
      </c>
      <c r="AD89" s="27">
        <f t="shared" si="14"/>
        <v>1.5776679410000001</v>
      </c>
      <c r="AE89" s="27">
        <f t="shared" si="15"/>
        <v>1.7655670240000001</v>
      </c>
      <c r="AF89" s="27">
        <f t="shared" si="16"/>
        <v>-0.18789908300000002</v>
      </c>
    </row>
    <row r="90" spans="2:32" s="70" customFormat="1" x14ac:dyDescent="0.2">
      <c r="B90" s="24" t="s">
        <v>356</v>
      </c>
      <c r="C90" s="25">
        <f>IF(VLOOKUP(B90,'Data yoy'!$A:$AW,MATCH($C$1,'Data yoy'!$A$1:$AW$1,),)=0,#N/A,VLOOKUP(B90,'Data yoy'!$A:$AW,MATCH($C$1,'Data yoy'!$A$1:$AW$1,),))</f>
        <v>2.5694235349999999</v>
      </c>
      <c r="D90" s="25">
        <f>IF(VLOOKUP(B90,'Data yoy'!$A:$AW,MATCH($D$1,'Data yoy'!$A$1:$AW$1,),)=0,#N/A,VLOOKUP(B90,'Data yoy'!$A:$AW,MATCH($D$1,'Data yoy'!$A$1:$AW$1,),))</f>
        <v>5.8</v>
      </c>
      <c r="E90" s="25">
        <f>IF(VLOOKUP(B90,'Data yoy'!$A:$AW,MATCH($E$1,'Data yoy'!$A$1:$AW$1,),)=0,#N/A,VLOOKUP(B90,'Data yoy'!$A:$AW,MATCH($E$1,'Data yoy'!$A$1:$AW$1,),))</f>
        <v>1.1519244879999999</v>
      </c>
      <c r="F90" s="25">
        <f>IF(VLOOKUP(B90,'Data yoy'!$A:$AW,MATCH($F$1,'Data yoy'!$A$1:$AW$1,),)=0,#N/A,VLOOKUP(B90,'Data yoy'!$A:$AW,MATCH($F$1,'Data yoy'!$A$1:$AW$1,),))</f>
        <v>-1.800490605</v>
      </c>
      <c r="G90" s="25">
        <f>IF(VLOOKUP(B90,'Data yoy'!$A:$AW,MATCH($G$1,'Data yoy'!$A$1:$AW$1,),)=0,#N/A,VLOOKUP(B90,'Data yoy'!$A:$AW,MATCH($G$1,'Data yoy'!$A$1:$AW$1,),))</f>
        <v>0.89453405200000002</v>
      </c>
      <c r="H90" s="25">
        <f>IF(VLOOKUP(B90,'Data yoy'!$A:$AW,MATCH($H$1,'Data yoy'!$A$1:$AW$1,),)=0,#N/A,VLOOKUP(B90,'Data yoy'!$A:$AW,MATCH($H$1,'Data yoy'!$A$1:$AW$1,),))</f>
        <v>1.0451742509999999</v>
      </c>
      <c r="I90" s="25">
        <f>IF(VLOOKUP(B90,'Data yoy'!$A:$AW,MATCH($I$1,'Data yoy'!$A$1:$AW$1,),)=0,#N/A,VLOOKUP(B90,'Data yoy'!$A:$AW,MATCH($I$1,'Data yoy'!$A$1:$AW$1,),))</f>
        <v>1.1927699620000001</v>
      </c>
      <c r="J90" s="25">
        <f>IF(VLOOKUP(B90,'Data yoy'!$A:$AW,MATCH($J$1,'Data yoy'!$A$1:$AW$1,),)=0,#N/A,VLOOKUP(B90,'Data yoy'!$A:$AW,MATCH($J$1,'Data yoy'!$A$1:$AW$1,),))</f>
        <v>-0.327882915</v>
      </c>
      <c r="K90" s="25">
        <f>IF(VLOOKUP(B90,'Data yoy'!$A:$AW,MATCH($K$1,'Data yoy'!$A$1:$AW$1,),)=0,#N/A,VLOOKUP(B90,'Data yoy'!$A:$AW,MATCH($K$1,'Data yoy'!$A$1:$AW$1,),))</f>
        <v>1.7334300490000001</v>
      </c>
      <c r="L90" s="25">
        <f>IF(VLOOKUP(B90,'Data yoy'!$A:$AW,MATCH($L$1,'Data yoy'!$A$1:$AW$1,),)=0,#N/A,VLOOKUP(B90,'Data yoy'!$A:$AW,MATCH($L$1,'Data yoy'!$A$1:$AW$1,),))</f>
        <v>1.694323703</v>
      </c>
      <c r="M90" s="25">
        <f>IF(VLOOKUP(B90,'Data yoy'!$A:$AW,MATCH($M$1,'Data yoy'!$A$1:$AW$1,),)=0,#N/A,VLOOKUP(B90,'Data yoy'!$A:$AW,MATCH($M$1,'Data yoy'!$A$1:$AW$1,),))</f>
        <v>-0.59808801700000003</v>
      </c>
      <c r="N90" s="25">
        <f>IF(VLOOKUP(B90,'Data yoy'!$A:$AW,MATCH($N$1,'Data yoy'!$A$1:$AW$1,),)=0,#N/A,VLOOKUP(B90,'Data yoy'!$A:$AW,MATCH($N$1,'Data yoy'!$A$1:$AW$1,),))</f>
        <v>0.76465798799999996</v>
      </c>
      <c r="O90" s="25">
        <f>IF(VLOOKUP(B90,'Data yoy'!$A:$AW,MATCH($O$1,'Data yoy'!$A$1:$AW$1,),)=0,#N/A,VLOOKUP(B90,'Data yoy'!$A:$AW,MATCH($O$1,'Data yoy'!$A$1:$AW$1,),))</f>
        <v>3.1631900000000002</v>
      </c>
      <c r="P90" s="25">
        <f>IF(VLOOKUP(B90,'Data yoy'!$A:$AW,MATCH($P$1,'Data yoy'!$A$1:$AW$1,),)=0,#N/A,VLOOKUP(B90,'Data yoy'!$A:$AW,MATCH($P$1,'Data yoy'!$A$1:$AW$1,),))</f>
        <v>1.717385462</v>
      </c>
      <c r="Q90" s="25">
        <f>IF(VLOOKUP(B90,'Data yoy'!$A:$AW,MATCH($Q$1,'Data yoy'!$A$1:$AW$1,),)=0,#N/A,VLOOKUP(B90,'Data yoy'!$A:$AW,MATCH($Q$1,'Data yoy'!$A$1:$AW$1,),))</f>
        <v>2.3326119909999998</v>
      </c>
      <c r="R90" s="25">
        <f>IF(VLOOKUP(B90,'Data yoy'!$A:$AW,MATCH($R$1,'Data yoy'!$A$1:$AW$1,),)=0,#N/A,VLOOKUP(B90,'Data yoy'!$A:$AW,MATCH($R$1,'Data yoy'!$A$1:$AW$1,),))</f>
        <v>1.681028585</v>
      </c>
      <c r="S90" s="25">
        <f>IF(VLOOKUP(B90,'Data yoy'!$A:$AW,MATCH($S$1,'Data yoy'!$A$1:$AW$1,),)=0,#N/A,VLOOKUP(B90,'Data yoy'!$A:$AW,MATCH($S$1,'Data yoy'!$A$1:$AW$1,),))</f>
        <v>2.679990632</v>
      </c>
      <c r="T90" s="25">
        <f>IF(VLOOKUP(B90,'Data yoy'!$A:$AW,MATCH($T$1,'Data yoy'!$A$1:$AW$1,),)=0,#N/A,VLOOKUP(B90,'Data yoy'!$A:$AW,MATCH($T$1,'Data yoy'!$A$1:$AW$1,),))</f>
        <v>1.423356557</v>
      </c>
      <c r="U90" s="25">
        <f>IF(VLOOKUP(B90,'Data yoy'!$A:$AW,MATCH($U$1,'Data yoy'!$A$1:$AW$1,),)=0,#N/A,VLOOKUP(B90,'Data yoy'!$A:$AW,MATCH($U$1,'Data yoy'!$A$1:$AW$1,),))</f>
        <v>1.3711942610000001</v>
      </c>
      <c r="V90" s="25">
        <f>IF(VLOOKUP(B90,'Data yoy'!$A:$AW,MATCH($V$1,'Data yoy'!$A$1:$AW$1,),)=0,#N/A,VLOOKUP(B90,'Data yoy'!$A:$AW,MATCH($V$1,'Data yoy'!$A$1:$AW$1,),))</f>
        <v>5.4031220150000001</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4.0468652220000001</v>
      </c>
      <c r="Z90" s="25">
        <f>IF(VLOOKUP(B90,'Data yoy'!$A:$AW,MATCH($Z$1,'Data yoy'!$A$1:$AW$1,),)=0,#N/A,VLOOKUP(B90,'Data yoy'!$A:$AW,MATCH($Z$1,'Data yoy'!$A$1:$AW$1,),))</f>
        <v>-0.53848677</v>
      </c>
      <c r="AA90" s="25">
        <f>IF(VLOOKUP(B90,'Data yoy'!$A:$AW,MATCH($AA$1,'Data yoy'!$A$1:$AW$1,),)=0,#N/A,VLOOKUP(B90,'Data yoy'!$A:$AW,MATCH($AA$1,'Data yoy'!$A$1:$AW$1,),))</f>
        <v>2.3013767440000001</v>
      </c>
      <c r="AC90" s="26" t="str">
        <f t="shared" si="13"/>
        <v>2019-Q4</v>
      </c>
      <c r="AD90" s="27">
        <f t="shared" si="14"/>
        <v>1.1927699620000001</v>
      </c>
      <c r="AE90" s="27">
        <f t="shared" si="15"/>
        <v>1.1519244879999999</v>
      </c>
      <c r="AF90" s="27">
        <f t="shared" si="16"/>
        <v>4.0845474000000159E-2</v>
      </c>
    </row>
    <row r="91" spans="2:32" s="70" customFormat="1" x14ac:dyDescent="0.2">
      <c r="B91" s="24" t="s">
        <v>357</v>
      </c>
      <c r="C91" s="25">
        <f>IF(VLOOKUP(B91,'Data yoy'!$A:$AW,MATCH($C$1,'Data yoy'!$A$1:$AW$1,),)=0,#N/A,VLOOKUP(B91,'Data yoy'!$A:$AW,MATCH($C$1,'Data yoy'!$A$1:$AW$1,),))</f>
        <v>0.63078516399999995</v>
      </c>
      <c r="D91" s="25">
        <f>IF(VLOOKUP(B91,'Data yoy'!$A:$AW,MATCH($D$1,'Data yoy'!$A$1:$AW$1,),)=0,#N/A,VLOOKUP(B91,'Data yoy'!$A:$AW,MATCH($D$1,'Data yoy'!$A$1:$AW$1,),))</f>
        <v>-6.9</v>
      </c>
      <c r="E91" s="25">
        <f>IF(VLOOKUP(B91,'Data yoy'!$A:$AW,MATCH($E$1,'Data yoy'!$A$1:$AW$1,),)=0,#N/A,VLOOKUP(B91,'Data yoy'!$A:$AW,MATCH($E$1,'Data yoy'!$A$1:$AW$1,),))</f>
        <v>-3.1334860980000001</v>
      </c>
      <c r="F91" s="25">
        <f>IF(VLOOKUP(B91,'Data yoy'!$A:$AW,MATCH($F$1,'Data yoy'!$A$1:$AW$1,),)=0,#N/A,VLOOKUP(B91,'Data yoy'!$A:$AW,MATCH($F$1,'Data yoy'!$A$1:$AW$1,),))</f>
        <v>-1.8895532180000001</v>
      </c>
      <c r="G91" s="25">
        <f>IF(VLOOKUP(B91,'Data yoy'!$A:$AW,MATCH($G$1,'Data yoy'!$A$1:$AW$1,),)=0,#N/A,VLOOKUP(B91,'Data yoy'!$A:$AW,MATCH($G$1,'Data yoy'!$A$1:$AW$1,),))</f>
        <v>-1.919182065</v>
      </c>
      <c r="H91" s="25">
        <f>IF(VLOOKUP(B91,'Data yoy'!$A:$AW,MATCH($H$1,'Data yoy'!$A$1:$AW$1,),)=0,#N/A,VLOOKUP(B91,'Data yoy'!$A:$AW,MATCH($H$1,'Data yoy'!$A$1:$AW$1,),))</f>
        <v>-5.3230367010000004</v>
      </c>
      <c r="I91" s="25">
        <f>IF(VLOOKUP(B91,'Data yoy'!$A:$AW,MATCH($I$1,'Data yoy'!$A$1:$AW$1,),)=0,#N/A,VLOOKUP(B91,'Data yoy'!$A:$AW,MATCH($I$1,'Data yoy'!$A$1:$AW$1,),))</f>
        <v>-1.9924096979999999</v>
      </c>
      <c r="J91" s="25">
        <f>IF(VLOOKUP(B91,'Data yoy'!$A:$AW,MATCH($J$1,'Data yoy'!$A$1:$AW$1,),)=0,#N/A,VLOOKUP(B91,'Data yoy'!$A:$AW,MATCH($J$1,'Data yoy'!$A$1:$AW$1,),))</f>
        <v>-6.4007998769999999</v>
      </c>
      <c r="K91" s="25">
        <f>IF(VLOOKUP(B91,'Data yoy'!$A:$AW,MATCH($K$1,'Data yoy'!$A$1:$AW$1,),)=0,#N/A,VLOOKUP(B91,'Data yoy'!$A:$AW,MATCH($K$1,'Data yoy'!$A$1:$AW$1,),))</f>
        <v>-4.3265407890000001</v>
      </c>
      <c r="L91" s="25">
        <f>IF(VLOOKUP(B91,'Data yoy'!$A:$AW,MATCH($L$1,'Data yoy'!$A$1:$AW$1,),)=0,#N/A,VLOOKUP(B91,'Data yoy'!$A:$AW,MATCH($L$1,'Data yoy'!$A$1:$AW$1,),))</f>
        <v>0.97974877699999996</v>
      </c>
      <c r="M91" s="25">
        <f>IF(VLOOKUP(B91,'Data yoy'!$A:$AW,MATCH($M$1,'Data yoy'!$A$1:$AW$1,),)=0,#N/A,VLOOKUP(B91,'Data yoy'!$A:$AW,MATCH($M$1,'Data yoy'!$A$1:$AW$1,),))</f>
        <v>-1.611668498</v>
      </c>
      <c r="N91" s="25">
        <f>IF(VLOOKUP(B91,'Data yoy'!$A:$AW,MATCH($N$1,'Data yoy'!$A$1:$AW$1,),)=0,#N/A,VLOOKUP(B91,'Data yoy'!$A:$AW,MATCH($N$1,'Data yoy'!$A$1:$AW$1,),))</f>
        <v>0.60514174399999998</v>
      </c>
      <c r="O91" s="25">
        <f>IF(VLOOKUP(B91,'Data yoy'!$A:$AW,MATCH($O$1,'Data yoy'!$A$1:$AW$1,),)=0,#N/A,VLOOKUP(B91,'Data yoy'!$A:$AW,MATCH($O$1,'Data yoy'!$A$1:$AW$1,),))</f>
        <v>2.1247600000000002</v>
      </c>
      <c r="P91" s="25">
        <f>IF(VLOOKUP(B91,'Data yoy'!$A:$AW,MATCH($P$1,'Data yoy'!$A$1:$AW$1,),)=0,#N/A,VLOOKUP(B91,'Data yoy'!$A:$AW,MATCH($P$1,'Data yoy'!$A$1:$AW$1,),))</f>
        <v>-0.567093183</v>
      </c>
      <c r="Q91" s="25">
        <f>IF(VLOOKUP(B91,'Data yoy'!$A:$AW,MATCH($Q$1,'Data yoy'!$A$1:$AW$1,),)=0,#N/A,VLOOKUP(B91,'Data yoy'!$A:$AW,MATCH($Q$1,'Data yoy'!$A$1:$AW$1,),))</f>
        <v>1.60326586</v>
      </c>
      <c r="R91" s="25">
        <f>IF(VLOOKUP(B91,'Data yoy'!$A:$AW,MATCH($R$1,'Data yoy'!$A$1:$AW$1,),)=0,#N/A,VLOOKUP(B91,'Data yoy'!$A:$AW,MATCH($R$1,'Data yoy'!$A$1:$AW$1,),))</f>
        <v>-0.18892766999999999</v>
      </c>
      <c r="S91" s="25">
        <f>IF(VLOOKUP(B91,'Data yoy'!$A:$AW,MATCH($S$1,'Data yoy'!$A$1:$AW$1,),)=0,#N/A,VLOOKUP(B91,'Data yoy'!$A:$AW,MATCH($S$1,'Data yoy'!$A$1:$AW$1,),))</f>
        <v>1.5082656480000001</v>
      </c>
      <c r="T91" s="25">
        <f>IF(VLOOKUP(B91,'Data yoy'!$A:$AW,MATCH($T$1,'Data yoy'!$A$1:$AW$1,),)=0,#N/A,VLOOKUP(B91,'Data yoy'!$A:$AW,MATCH($T$1,'Data yoy'!$A$1:$AW$1,),))</f>
        <v>-1.4210867030000001</v>
      </c>
      <c r="U91" s="25">
        <f>IF(VLOOKUP(B91,'Data yoy'!$A:$AW,MATCH($U$1,'Data yoy'!$A$1:$AW$1,),)=0,#N/A,VLOOKUP(B91,'Data yoy'!$A:$AW,MATCH($U$1,'Data yoy'!$A$1:$AW$1,),))</f>
        <v>-1.3868973529999999</v>
      </c>
      <c r="V91" s="25">
        <f>IF(VLOOKUP(B91,'Data yoy'!$A:$AW,MATCH($V$1,'Data yoy'!$A$1:$AW$1,),)=0,#N/A,VLOOKUP(B91,'Data yoy'!$A:$AW,MATCH($V$1,'Data yoy'!$A$1:$AW$1,),))</f>
        <v>6.4833612379999996</v>
      </c>
      <c r="W91" s="25">
        <f>IF(VLOOKUP(B91,'Data yoy'!$A:$AW,MATCH($W$1,'Data yoy'!$A$1:$AW$1,),)=0,#N/A,VLOOKUP(B91,'Data yoy'!$A:$AW,MATCH($W$1,'Data yoy'!$A$1:$AW$1,),))</f>
        <v>4.2929284550000002</v>
      </c>
      <c r="X91" s="25">
        <f>IF(VLOOKUP(B91,'Data yoy'!$A:$AW,MATCH($X$1,'Data yoy'!$A$1:$AW$1,),)=0,#N/A,VLOOKUP(B91,'Data yoy'!$A:$AW,MATCH($X$1,'Data yoy'!$A$1:$AW$1,),))</f>
        <v>-1.462892348</v>
      </c>
      <c r="Y91" s="25">
        <f>IF(VLOOKUP(B91,'Data yoy'!$A:$AW,MATCH($Y$1,'Data yoy'!$A$1:$AW$1,),)=0,#N/A,VLOOKUP(B91,'Data yoy'!$A:$AW,MATCH($Y$1,'Data yoy'!$A$1:$AW$1,),))</f>
        <v>2.6065272159999999</v>
      </c>
      <c r="Z91" s="25">
        <f>IF(VLOOKUP(B91,'Data yoy'!$A:$AW,MATCH($Z$1,'Data yoy'!$A$1:$AW$1,),)=0,#N/A,VLOOKUP(B91,'Data yoy'!$A:$AW,MATCH($Z$1,'Data yoy'!$A$1:$AW$1,),))</f>
        <v>-4.8432648289999998</v>
      </c>
      <c r="AA91" s="25">
        <f>IF(VLOOKUP(B91,'Data yoy'!$A:$AW,MATCH($AA$1,'Data yoy'!$A$1:$AW$1,),)=0,#N/A,VLOOKUP(B91,'Data yoy'!$A:$AW,MATCH($AA$1,'Data yoy'!$A$1:$AW$1,),))</f>
        <v>0.50415183900000005</v>
      </c>
      <c r="AC91" s="26" t="str">
        <f t="shared" si="13"/>
        <v>2020-Q1</v>
      </c>
      <c r="AD91" s="27">
        <f t="shared" si="14"/>
        <v>-1.9924096979999999</v>
      </c>
      <c r="AE91" s="27">
        <f t="shared" si="15"/>
        <v>-3.1334860980000001</v>
      </c>
      <c r="AF91" s="27">
        <f t="shared" si="16"/>
        <v>1.1410764000000002</v>
      </c>
    </row>
    <row r="92" spans="2:32" s="70" customFormat="1" x14ac:dyDescent="0.2">
      <c r="B92" s="24" t="s">
        <v>358</v>
      </c>
      <c r="C92" s="25">
        <f>IF(VLOOKUP(B92,'Data yoy'!$A:$AW,MATCH($C$1,'Data yoy'!$A$1:$AW$1,),)=0,#N/A,VLOOKUP(B92,'Data yoy'!$A:$AW,MATCH($C$1,'Data yoy'!$A$1:$AW$1,),))</f>
        <v>-9.0837374240000006</v>
      </c>
      <c r="D92" s="25">
        <f>IF(VLOOKUP(B92,'Data yoy'!$A:$AW,MATCH($D$1,'Data yoy'!$A$1:$AW$1,),)=0,#N/A,VLOOKUP(B92,'Data yoy'!$A:$AW,MATCH($D$1,'Data yoy'!$A$1:$AW$1,),))</f>
        <v>3.1</v>
      </c>
      <c r="E92" s="25">
        <f>IF(VLOOKUP(B92,'Data yoy'!$A:$AW,MATCH($E$1,'Data yoy'!$A$1:$AW$1,),)=0,#N/A,VLOOKUP(B92,'Data yoy'!$A:$AW,MATCH($E$1,'Data yoy'!$A$1:$AW$1,),))</f>
        <v>-14.650162186999999</v>
      </c>
      <c r="F92" s="25">
        <f>IF(VLOOKUP(B92,'Data yoy'!$A:$AW,MATCH($F$1,'Data yoy'!$A$1:$AW$1,),)=0,#N/A,VLOOKUP(B92,'Data yoy'!$A:$AW,MATCH($F$1,'Data yoy'!$A$1:$AW$1,),))</f>
        <v>-10.083103268</v>
      </c>
      <c r="G92" s="25">
        <f>IF(VLOOKUP(B92,'Data yoy'!$A:$AW,MATCH($G$1,'Data yoy'!$A$1:$AW$1,),)=0,#N/A,VLOOKUP(B92,'Data yoy'!$A:$AW,MATCH($G$1,'Data yoy'!$A$1:$AW$1,),))</f>
        <v>-11.286579908</v>
      </c>
      <c r="H92" s="25">
        <f>IF(VLOOKUP(B92,'Data yoy'!$A:$AW,MATCH($H$1,'Data yoy'!$A$1:$AW$1,),)=0,#N/A,VLOOKUP(B92,'Data yoy'!$A:$AW,MATCH($H$1,'Data yoy'!$A$1:$AW$1,),))</f>
        <v>-18.897267446000001</v>
      </c>
      <c r="I92" s="25">
        <f>IF(VLOOKUP(B92,'Data yoy'!$A:$AW,MATCH($I$1,'Data yoy'!$A$1:$AW$1,),)=0,#N/A,VLOOKUP(B92,'Data yoy'!$A:$AW,MATCH($I$1,'Data yoy'!$A$1:$AW$1,),))</f>
        <v>-21.138315395999999</v>
      </c>
      <c r="J92" s="25">
        <f>IF(VLOOKUP(B92,'Data yoy'!$A:$AW,MATCH($J$1,'Data yoy'!$A$1:$AW$1,),)=0,#N/A,VLOOKUP(B92,'Data yoy'!$A:$AW,MATCH($J$1,'Data yoy'!$A$1:$AW$1,),))</f>
        <v>-18.453551768000001</v>
      </c>
      <c r="K92" s="25">
        <f>IF(VLOOKUP(B92,'Data yoy'!$A:$AW,MATCH($K$1,'Data yoy'!$A$1:$AW$1,),)=0,#N/A,VLOOKUP(B92,'Data yoy'!$A:$AW,MATCH($K$1,'Data yoy'!$A$1:$AW$1,),))</f>
        <v>-21.501874910000002</v>
      </c>
      <c r="L92" s="25">
        <f>IF(VLOOKUP(B92,'Data yoy'!$A:$AW,MATCH($L$1,'Data yoy'!$A$1:$AW$1,),)=0,#N/A,VLOOKUP(B92,'Data yoy'!$A:$AW,MATCH($L$1,'Data yoy'!$A$1:$AW$1,),))</f>
        <v>-7.7187582859999999</v>
      </c>
      <c r="M92" s="25">
        <f>IF(VLOOKUP(B92,'Data yoy'!$A:$AW,MATCH($M$1,'Data yoy'!$A$1:$AW$1,),)=0,#N/A,VLOOKUP(B92,'Data yoy'!$A:$AW,MATCH($M$1,'Data yoy'!$A$1:$AW$1,),))</f>
        <v>-18.845050825000001</v>
      </c>
      <c r="N92" s="25">
        <f>IF(VLOOKUP(B92,'Data yoy'!$A:$AW,MATCH($N$1,'Data yoy'!$A$1:$AW$1,),)=0,#N/A,VLOOKUP(B92,'Data yoy'!$A:$AW,MATCH($N$1,'Data yoy'!$A$1:$AW$1,),))</f>
        <v>-6.0322870870000003</v>
      </c>
      <c r="O92" s="25">
        <f>IF(VLOOKUP(B92,'Data yoy'!$A:$AW,MATCH($O$1,'Data yoy'!$A$1:$AW$1,),)=0,#N/A,VLOOKUP(B92,'Data yoy'!$A:$AW,MATCH($O$1,'Data yoy'!$A$1:$AW$1,),))</f>
        <v>-23.371649999999999</v>
      </c>
      <c r="P92" s="25">
        <f>IF(VLOOKUP(B92,'Data yoy'!$A:$AW,MATCH($P$1,'Data yoy'!$A$1:$AW$1,),)=0,#N/A,VLOOKUP(B92,'Data yoy'!$A:$AW,MATCH($P$1,'Data yoy'!$A$1:$AW$1,),))</f>
        <v>-12.414749165</v>
      </c>
      <c r="Q92" s="25">
        <f>IF(VLOOKUP(B92,'Data yoy'!$A:$AW,MATCH($Q$1,'Data yoy'!$A$1:$AW$1,),)=0,#N/A,VLOOKUP(B92,'Data yoy'!$A:$AW,MATCH($Q$1,'Data yoy'!$A$1:$AW$1,),))</f>
        <v>-5.951825049</v>
      </c>
      <c r="R92" s="25">
        <f>IF(VLOOKUP(B92,'Data yoy'!$A:$AW,MATCH($R$1,'Data yoy'!$A$1:$AW$1,),)=0,#N/A,VLOOKUP(B92,'Data yoy'!$A:$AW,MATCH($R$1,'Data yoy'!$A$1:$AW$1,),))</f>
        <v>-6.6987327910000003</v>
      </c>
      <c r="S92" s="25">
        <f>IF(VLOOKUP(B92,'Data yoy'!$A:$AW,MATCH($S$1,'Data yoy'!$A$1:$AW$1,),)=0,#N/A,VLOOKUP(B92,'Data yoy'!$A:$AW,MATCH($S$1,'Data yoy'!$A$1:$AW$1,),))</f>
        <v>-2.5967072330000001</v>
      </c>
      <c r="T92" s="25">
        <f>IF(VLOOKUP(B92,'Data yoy'!$A:$AW,MATCH($T$1,'Data yoy'!$A$1:$AW$1,),)=0,#N/A,VLOOKUP(B92,'Data yoy'!$A:$AW,MATCH($T$1,'Data yoy'!$A$1:$AW$1,),))</f>
        <v>-10.652333519000001</v>
      </c>
      <c r="U92" s="25">
        <f>IF(VLOOKUP(B92,'Data yoy'!$A:$AW,MATCH($U$1,'Data yoy'!$A$1:$AW$1,),)=0,#N/A,VLOOKUP(B92,'Data yoy'!$A:$AW,MATCH($U$1,'Data yoy'!$A$1:$AW$1,),))</f>
        <v>-15.485028491</v>
      </c>
      <c r="V92" s="25">
        <f>IF(VLOOKUP(B92,'Data yoy'!$A:$AW,MATCH($V$1,'Data yoy'!$A$1:$AW$1,),)=0,#N/A,VLOOKUP(B92,'Data yoy'!$A:$AW,MATCH($V$1,'Data yoy'!$A$1:$AW$1,),))</f>
        <v>0.96076958099999998</v>
      </c>
      <c r="W92" s="25">
        <f>IF(VLOOKUP(B92,'Data yoy'!$A:$AW,MATCH($W$1,'Data yoy'!$A$1:$AW$1,),)=0,#N/A,VLOOKUP(B92,'Data yoy'!$A:$AW,MATCH($W$1,'Data yoy'!$A$1:$AW$1,),))</f>
        <v>-9.1025785149999994</v>
      </c>
      <c r="X92" s="25">
        <f>IF(VLOOKUP(B92,'Data yoy'!$A:$AW,MATCH($X$1,'Data yoy'!$A$1:$AW$1,),)=0,#N/A,VLOOKUP(B92,'Data yoy'!$A:$AW,MATCH($X$1,'Data yoy'!$A$1:$AW$1,),))</f>
        <v>-10.782890147</v>
      </c>
      <c r="Y92" s="25">
        <f>IF(VLOOKUP(B92,'Data yoy'!$A:$AW,MATCH($Y$1,'Data yoy'!$A$1:$AW$1,),)=0,#N/A,VLOOKUP(B92,'Data yoy'!$A:$AW,MATCH($Y$1,'Data yoy'!$A$1:$AW$1,),))</f>
        <v>-7.4666263480000001</v>
      </c>
      <c r="Z92" s="25">
        <f>IF(VLOOKUP(B92,'Data yoy'!$A:$AW,MATCH($Z$1,'Data yoy'!$A$1:$AW$1,),)=0,#N/A,VLOOKUP(B92,'Data yoy'!$A:$AW,MATCH($Z$1,'Data yoy'!$A$1:$AW$1,),))</f>
        <v>-19.764999244999998</v>
      </c>
      <c r="AA92" s="25">
        <f>IF(VLOOKUP(B92,'Data yoy'!$A:$AW,MATCH($AA$1,'Data yoy'!$A$1:$AW$1,),)=0,#N/A,VLOOKUP(B92,'Data yoy'!$A:$AW,MATCH($AA$1,'Data yoy'!$A$1:$AW$1,),))</f>
        <v>-10.376787294</v>
      </c>
      <c r="AC92" s="26" t="str">
        <f t="shared" si="13"/>
        <v>2020-Q2</v>
      </c>
      <c r="AD92" s="27">
        <f t="shared" si="14"/>
        <v>-21.138315395999999</v>
      </c>
      <c r="AE92" s="27">
        <f t="shared" si="15"/>
        <v>-14.650162186999999</v>
      </c>
      <c r="AF92" s="27">
        <f t="shared" si="16"/>
        <v>-6.488153209</v>
      </c>
    </row>
    <row r="93" spans="2:32" s="70" customFormat="1" x14ac:dyDescent="0.2">
      <c r="B93" s="24" t="s">
        <v>359</v>
      </c>
      <c r="C93" s="25">
        <f>IF(VLOOKUP(B93,'Data yoy'!$A:$AW,MATCH($C$1,'Data yoy'!$A$1:$AW$1,),)=0,#N/A,VLOOKUP(B93,'Data yoy'!$A:$AW,MATCH($C$1,'Data yoy'!$A$1:$AW$1,),))</f>
        <v>-2.8875059890000001</v>
      </c>
      <c r="D93" s="25">
        <f>IF(VLOOKUP(B93,'Data yoy'!$A:$AW,MATCH($D$1,'Data yoy'!$A$1:$AW$1,),)=0,#N/A,VLOOKUP(B93,'Data yoy'!$A:$AW,MATCH($D$1,'Data yoy'!$A$1:$AW$1,),))</f>
        <v>4.8</v>
      </c>
      <c r="E93" s="25">
        <f>IF(VLOOKUP(B93,'Data yoy'!$A:$AW,MATCH($E$1,'Data yoy'!$A$1:$AW$1,),)=0,#N/A,VLOOKUP(B93,'Data yoy'!$A:$AW,MATCH($E$1,'Data yoy'!$A$1:$AW$1,),))</f>
        <v>-3.9314494799999999</v>
      </c>
      <c r="F93" s="25">
        <f>IF(VLOOKUP(B93,'Data yoy'!$A:$AW,MATCH($F$1,'Data yoy'!$A$1:$AW$1,),)=0,#N/A,VLOOKUP(B93,'Data yoy'!$A:$AW,MATCH($F$1,'Data yoy'!$A$1:$AW$1,),))</f>
        <v>-5.3177071160000002</v>
      </c>
      <c r="G93" s="25">
        <f>IF(VLOOKUP(B93,'Data yoy'!$A:$AW,MATCH($G$1,'Data yoy'!$A$1:$AW$1,),)=0,#N/A,VLOOKUP(B93,'Data yoy'!$A:$AW,MATCH($G$1,'Data yoy'!$A$1:$AW$1,),))</f>
        <v>-3.6600779540000001</v>
      </c>
      <c r="H93" s="25">
        <f>IF(VLOOKUP(B93,'Data yoy'!$A:$AW,MATCH($H$1,'Data yoy'!$A$1:$AW$1,),)=0,#N/A,VLOOKUP(B93,'Data yoy'!$A:$AW,MATCH($H$1,'Data yoy'!$A$1:$AW$1,),))</f>
        <v>-3.163630006</v>
      </c>
      <c r="I93" s="25">
        <f>IF(VLOOKUP(B93,'Data yoy'!$A:$AW,MATCH($I$1,'Data yoy'!$A$1:$AW$1,),)=0,#N/A,VLOOKUP(B93,'Data yoy'!$A:$AW,MATCH($I$1,'Data yoy'!$A$1:$AW$1,),))</f>
        <v>-7.685695183</v>
      </c>
      <c r="J93" s="25">
        <f>IF(VLOOKUP(B93,'Data yoy'!$A:$AW,MATCH($J$1,'Data yoy'!$A$1:$AW$1,),)=0,#N/A,VLOOKUP(B93,'Data yoy'!$A:$AW,MATCH($J$1,'Data yoy'!$A$1:$AW$1,),))</f>
        <v>-5.3729481760000004</v>
      </c>
      <c r="K93" s="25">
        <f>IF(VLOOKUP(B93,'Data yoy'!$A:$AW,MATCH($K$1,'Data yoy'!$A$1:$AW$1,),)=0,#N/A,VLOOKUP(B93,'Data yoy'!$A:$AW,MATCH($K$1,'Data yoy'!$A$1:$AW$1,),))</f>
        <v>-8.6615832249999993</v>
      </c>
      <c r="L93" s="25">
        <f>IF(VLOOKUP(B93,'Data yoy'!$A:$AW,MATCH($L$1,'Data yoy'!$A$1:$AW$1,),)=0,#N/A,VLOOKUP(B93,'Data yoy'!$A:$AW,MATCH($L$1,'Data yoy'!$A$1:$AW$1,),))</f>
        <v>-1.085155334</v>
      </c>
      <c r="M93" s="25">
        <f>IF(VLOOKUP(B93,'Data yoy'!$A:$AW,MATCH($M$1,'Data yoy'!$A$1:$AW$1,),)=0,#N/A,VLOOKUP(B93,'Data yoy'!$A:$AW,MATCH($M$1,'Data yoy'!$A$1:$AW$1,),))</f>
        <v>-8.3210407699999998</v>
      </c>
      <c r="N93" s="25">
        <f>IF(VLOOKUP(B93,'Data yoy'!$A:$AW,MATCH($N$1,'Data yoy'!$A$1:$AW$1,),)=0,#N/A,VLOOKUP(B93,'Data yoy'!$A:$AW,MATCH($N$1,'Data yoy'!$A$1:$AW$1,),))</f>
        <v>-2.467576233</v>
      </c>
      <c r="O93" s="25">
        <f>IF(VLOOKUP(B93,'Data yoy'!$A:$AW,MATCH($O$1,'Data yoy'!$A$1:$AW$1,),)=0,#N/A,VLOOKUP(B93,'Data yoy'!$A:$AW,MATCH($O$1,'Data yoy'!$A$1:$AW$1,),))</f>
        <v>-5.2931299999999997</v>
      </c>
      <c r="P93" s="25">
        <f>IF(VLOOKUP(B93,'Data yoy'!$A:$AW,MATCH($P$1,'Data yoy'!$A$1:$AW$1,),)=0,#N/A,VLOOKUP(B93,'Data yoy'!$A:$AW,MATCH($P$1,'Data yoy'!$A$1:$AW$1,),))</f>
        <v>-4.8569047669999996</v>
      </c>
      <c r="Q93" s="25">
        <f>IF(VLOOKUP(B93,'Data yoy'!$A:$AW,MATCH($Q$1,'Data yoy'!$A$1:$AW$1,),)=0,#N/A,VLOOKUP(B93,'Data yoy'!$A:$AW,MATCH($Q$1,'Data yoy'!$A$1:$AW$1,),))</f>
        <v>-3.4455134580000002</v>
      </c>
      <c r="R93" s="25">
        <f>IF(VLOOKUP(B93,'Data yoy'!$A:$AW,MATCH($R$1,'Data yoy'!$A$1:$AW$1,),)=0,#N/A,VLOOKUP(B93,'Data yoy'!$A:$AW,MATCH($R$1,'Data yoy'!$A$1:$AW$1,),))</f>
        <v>-1.3322126969999999</v>
      </c>
      <c r="S93" s="25">
        <f>IF(VLOOKUP(B93,'Data yoy'!$A:$AW,MATCH($S$1,'Data yoy'!$A$1:$AW$1,),)=0,#N/A,VLOOKUP(B93,'Data yoy'!$A:$AW,MATCH($S$1,'Data yoy'!$A$1:$AW$1,),))</f>
        <v>-0.83293149700000002</v>
      </c>
      <c r="T93" s="25">
        <f>IF(VLOOKUP(B93,'Data yoy'!$A:$AW,MATCH($T$1,'Data yoy'!$A$1:$AW$1,),)=0,#N/A,VLOOKUP(B93,'Data yoy'!$A:$AW,MATCH($T$1,'Data yoy'!$A$1:$AW$1,),))</f>
        <v>-3.6559303590000001</v>
      </c>
      <c r="U93" s="25">
        <f>IF(VLOOKUP(B93,'Data yoy'!$A:$AW,MATCH($U$1,'Data yoy'!$A$1:$AW$1,),)=0,#N/A,VLOOKUP(B93,'Data yoy'!$A:$AW,MATCH($U$1,'Data yoy'!$A$1:$AW$1,),))</f>
        <v>-10.817381115</v>
      </c>
      <c r="V93" s="25">
        <f>IF(VLOOKUP(B93,'Data yoy'!$A:$AW,MATCH($V$1,'Data yoy'!$A$1:$AW$1,),)=0,#N/A,VLOOKUP(B93,'Data yoy'!$A:$AW,MATCH($V$1,'Data yoy'!$A$1:$AW$1,),))</f>
        <v>11.238677218999999</v>
      </c>
      <c r="W93" s="25">
        <f>IF(VLOOKUP(B93,'Data yoy'!$A:$AW,MATCH($W$1,'Data yoy'!$A$1:$AW$1,),)=0,#N/A,VLOOKUP(B93,'Data yoy'!$A:$AW,MATCH($W$1,'Data yoy'!$A$1:$AW$1,),))</f>
        <v>5.7515175770000004</v>
      </c>
      <c r="X93" s="25">
        <f>IF(VLOOKUP(B93,'Data yoy'!$A:$AW,MATCH($X$1,'Data yoy'!$A$1:$AW$1,),)=0,#N/A,VLOOKUP(B93,'Data yoy'!$A:$AW,MATCH($X$1,'Data yoy'!$A$1:$AW$1,),))</f>
        <v>-5.2160091059999996</v>
      </c>
      <c r="Y93" s="25">
        <f>IF(VLOOKUP(B93,'Data yoy'!$A:$AW,MATCH($Y$1,'Data yoy'!$A$1:$AW$1,),)=0,#N/A,VLOOKUP(B93,'Data yoy'!$A:$AW,MATCH($Y$1,'Data yoy'!$A$1:$AW$1,),))</f>
        <v>-1.563538417</v>
      </c>
      <c r="Z93" s="25">
        <f>IF(VLOOKUP(B93,'Data yoy'!$A:$AW,MATCH($Z$1,'Data yoy'!$A$1:$AW$1,),)=0,#N/A,VLOOKUP(B93,'Data yoy'!$A:$AW,MATCH($Z$1,'Data yoy'!$A$1:$AW$1,),))</f>
        <v>-10.265705543999999</v>
      </c>
      <c r="AA93" s="25">
        <f>IF(VLOOKUP(B93,'Data yoy'!$A:$AW,MATCH($AA$1,'Data yoy'!$A$1:$AW$1,),)=0,#N/A,VLOOKUP(B93,'Data yoy'!$A:$AW,MATCH($AA$1,'Data yoy'!$A$1:$AW$1,),))</f>
        <v>1.045355174</v>
      </c>
      <c r="AC93" s="26" t="str">
        <f t="shared" si="13"/>
        <v>2020-Q3</v>
      </c>
      <c r="AD93" s="27">
        <f t="shared" si="14"/>
        <v>-7.685695183</v>
      </c>
      <c r="AE93" s="27">
        <f t="shared" si="15"/>
        <v>-3.9314494799999999</v>
      </c>
      <c r="AF93" s="27">
        <f t="shared" si="16"/>
        <v>-3.754245703</v>
      </c>
    </row>
    <row r="94" spans="2:32" s="70" customFormat="1" x14ac:dyDescent="0.2">
      <c r="B94" s="24" t="s">
        <v>360</v>
      </c>
      <c r="C94" s="25">
        <f>IF(VLOOKUP(B94,'Data yoy'!$A:$AW,MATCH($C$1,'Data yoy'!$A$1:$AW$1,),)=0,#N/A,VLOOKUP(B94,'Data yoy'!$A:$AW,MATCH($C$1,'Data yoy'!$A$1:$AW$1,),))</f>
        <v>-2.2629152430000001</v>
      </c>
      <c r="D94" s="25">
        <f>IF(VLOOKUP(B94,'Data yoy'!$A:$AW,MATCH($D$1,'Data yoy'!$A$1:$AW$1,),)=0,#N/A,VLOOKUP(B94,'Data yoy'!$A:$AW,MATCH($D$1,'Data yoy'!$A$1:$AW$1,),))</f>
        <v>6.4</v>
      </c>
      <c r="E94" s="25">
        <f>IF(VLOOKUP(B94,'Data yoy'!$A:$AW,MATCH($E$1,'Data yoy'!$A$1:$AW$1,),)=0,#N/A,VLOOKUP(B94,'Data yoy'!$A:$AW,MATCH($E$1,'Data yoy'!$A$1:$AW$1,),))</f>
        <v>-4.2491229339999999</v>
      </c>
      <c r="F94" s="25">
        <f>IF(VLOOKUP(B94,'Data yoy'!$A:$AW,MATCH($F$1,'Data yoy'!$A$1:$AW$1,),)=0,#N/A,VLOOKUP(B94,'Data yoy'!$A:$AW,MATCH($F$1,'Data yoy'!$A$1:$AW$1,),))</f>
        <v>-0.84244258299999997</v>
      </c>
      <c r="G94" s="25">
        <f>IF(VLOOKUP(B94,'Data yoy'!$A:$AW,MATCH($G$1,'Data yoy'!$A$1:$AW$1,),)=0,#N/A,VLOOKUP(B94,'Data yoy'!$A:$AW,MATCH($G$1,'Data yoy'!$A$1:$AW$1,),))</f>
        <v>-2.8716205910000001</v>
      </c>
      <c r="H94" s="25">
        <f>IF(VLOOKUP(B94,'Data yoy'!$A:$AW,MATCH($H$1,'Data yoy'!$A$1:$AW$1,),)=0,#N/A,VLOOKUP(B94,'Data yoy'!$A:$AW,MATCH($H$1,'Data yoy'!$A$1:$AW$1,),))</f>
        <v>-4.1876545629999997</v>
      </c>
      <c r="I94" s="25">
        <f>IF(VLOOKUP(B94,'Data yoy'!$A:$AW,MATCH($I$1,'Data yoy'!$A$1:$AW$1,),)=0,#N/A,VLOOKUP(B94,'Data yoy'!$A:$AW,MATCH($I$1,'Data yoy'!$A$1:$AW$1,),))</f>
        <v>-6.2752495540000002</v>
      </c>
      <c r="J94" s="25">
        <f>IF(VLOOKUP(B94,'Data yoy'!$A:$AW,MATCH($J$1,'Data yoy'!$A$1:$AW$1,),)=0,#N/A,VLOOKUP(B94,'Data yoy'!$A:$AW,MATCH($J$1,'Data yoy'!$A$1:$AW$1,),))</f>
        <v>-6.0998951689999998</v>
      </c>
      <c r="K94" s="25">
        <f>IF(VLOOKUP(B94,'Data yoy'!$A:$AW,MATCH($K$1,'Data yoy'!$A$1:$AW$1,),)=0,#N/A,VLOOKUP(B94,'Data yoy'!$A:$AW,MATCH($K$1,'Data yoy'!$A$1:$AW$1,),))</f>
        <v>-8.8016765729999999</v>
      </c>
      <c r="L94" s="25">
        <f>IF(VLOOKUP(B94,'Data yoy'!$A:$AW,MATCH($L$1,'Data yoy'!$A$1:$AW$1,),)=0,#N/A,VLOOKUP(B94,'Data yoy'!$A:$AW,MATCH($L$1,'Data yoy'!$A$1:$AW$1,),))</f>
        <v>-1.4968924640000001</v>
      </c>
      <c r="M94" s="25">
        <f>IF(VLOOKUP(B94,'Data yoy'!$A:$AW,MATCH($M$1,'Data yoy'!$A$1:$AW$1,),)=0,#N/A,VLOOKUP(B94,'Data yoy'!$A:$AW,MATCH($M$1,'Data yoy'!$A$1:$AW$1,),))</f>
        <v>-4.251282271</v>
      </c>
      <c r="N94" s="25">
        <f>IF(VLOOKUP(B94,'Data yoy'!$A:$AW,MATCH($N$1,'Data yoy'!$A$1:$AW$1,),)=0,#N/A,VLOOKUP(B94,'Data yoy'!$A:$AW,MATCH($N$1,'Data yoy'!$A$1:$AW$1,),))</f>
        <v>-1.2994789870000001</v>
      </c>
      <c r="O94" s="25">
        <f>IF(VLOOKUP(B94,'Data yoy'!$A:$AW,MATCH($O$1,'Data yoy'!$A$1:$AW$1,),)=0,#N/A,VLOOKUP(B94,'Data yoy'!$A:$AW,MATCH($O$1,'Data yoy'!$A$1:$AW$1,),))</f>
        <v>0.40786</v>
      </c>
      <c r="P94" s="25">
        <f>IF(VLOOKUP(B94,'Data yoy'!$A:$AW,MATCH($P$1,'Data yoy'!$A$1:$AW$1,),)=0,#N/A,VLOOKUP(B94,'Data yoy'!$A:$AW,MATCH($P$1,'Data yoy'!$A$1:$AW$1,),))</f>
        <v>-3.0624428049999999</v>
      </c>
      <c r="Q94" s="25">
        <f>IF(VLOOKUP(B94,'Data yoy'!$A:$AW,MATCH($Q$1,'Data yoy'!$A$1:$AW$1,),)=0,#N/A,VLOOKUP(B94,'Data yoy'!$A:$AW,MATCH($Q$1,'Data yoy'!$A$1:$AW$1,),))</f>
        <v>-0.67163528900000002</v>
      </c>
      <c r="R94" s="25">
        <f>IF(VLOOKUP(B94,'Data yoy'!$A:$AW,MATCH($R$1,'Data yoy'!$A$1:$AW$1,),)=0,#N/A,VLOOKUP(B94,'Data yoy'!$A:$AW,MATCH($R$1,'Data yoy'!$A$1:$AW$1,),))</f>
        <v>-1.7718965790000001</v>
      </c>
      <c r="S94" s="25">
        <f>IF(VLOOKUP(B94,'Data yoy'!$A:$AW,MATCH($S$1,'Data yoy'!$A$1:$AW$1,),)=0,#N/A,VLOOKUP(B94,'Data yoy'!$A:$AW,MATCH($S$1,'Data yoy'!$A$1:$AW$1,),))</f>
        <v>-0.88911242599999996</v>
      </c>
      <c r="T94" s="25">
        <f>IF(VLOOKUP(B94,'Data yoy'!$A:$AW,MATCH($T$1,'Data yoy'!$A$1:$AW$1,),)=0,#N/A,VLOOKUP(B94,'Data yoy'!$A:$AW,MATCH($T$1,'Data yoy'!$A$1:$AW$1,),))</f>
        <v>-0.988521541</v>
      </c>
      <c r="U94" s="25">
        <f>IF(VLOOKUP(B94,'Data yoy'!$A:$AW,MATCH($U$1,'Data yoy'!$A$1:$AW$1,),)=0,#N/A,VLOOKUP(B94,'Data yoy'!$A:$AW,MATCH($U$1,'Data yoy'!$A$1:$AW$1,),))</f>
        <v>-6.9189634050000004</v>
      </c>
      <c r="V94" s="25">
        <f>IF(VLOOKUP(B94,'Data yoy'!$A:$AW,MATCH($V$1,'Data yoy'!$A$1:$AW$1,),)=0,#N/A,VLOOKUP(B94,'Data yoy'!$A:$AW,MATCH($V$1,'Data yoy'!$A$1:$AW$1,),))</f>
        <v>4.7896610370000001</v>
      </c>
      <c r="W94" s="25">
        <f>IF(VLOOKUP(B94,'Data yoy'!$A:$AW,MATCH($W$1,'Data yoy'!$A$1:$AW$1,),)=0,#N/A,VLOOKUP(B94,'Data yoy'!$A:$AW,MATCH($W$1,'Data yoy'!$A$1:$AW$1,),))</f>
        <v>5.5823967640000003</v>
      </c>
      <c r="X94" s="25">
        <f>IF(VLOOKUP(B94,'Data yoy'!$A:$AW,MATCH($X$1,'Data yoy'!$A$1:$AW$1,),)=0,#N/A,VLOOKUP(B94,'Data yoy'!$A:$AW,MATCH($X$1,'Data yoy'!$A$1:$AW$1,),))</f>
        <v>-4.596123382</v>
      </c>
      <c r="Y94" s="25">
        <f>IF(VLOOKUP(B94,'Data yoy'!$A:$AW,MATCH($Y$1,'Data yoy'!$A$1:$AW$1,),)=0,#N/A,VLOOKUP(B94,'Data yoy'!$A:$AW,MATCH($Y$1,'Data yoy'!$A$1:$AW$1,),))</f>
        <v>-2.0684468819999999</v>
      </c>
      <c r="Z94" s="25">
        <f>IF(VLOOKUP(B94,'Data yoy'!$A:$AW,MATCH($Z$1,'Data yoy'!$A$1:$AW$1,),)=0,#N/A,VLOOKUP(B94,'Data yoy'!$A:$AW,MATCH($Z$1,'Data yoy'!$A$1:$AW$1,),))</f>
        <v>-4.7969557719999996</v>
      </c>
      <c r="AA94" s="25">
        <f>IF(VLOOKUP(B94,'Data yoy'!$A:$AW,MATCH($AA$1,'Data yoy'!$A$1:$AW$1,),)=0,#N/A,VLOOKUP(B94,'Data yoy'!$A:$AW,MATCH($AA$1,'Data yoy'!$A$1:$AW$1,),))</f>
        <v>0.34833581400000002</v>
      </c>
      <c r="AC94" s="26" t="str">
        <f t="shared" si="13"/>
        <v>2020-Q4</v>
      </c>
      <c r="AD94" s="27">
        <f t="shared" si="14"/>
        <v>-6.2752495540000002</v>
      </c>
      <c r="AE94" s="27">
        <f t="shared" si="15"/>
        <v>-4.2491229339999999</v>
      </c>
      <c r="AF94" s="27">
        <f t="shared" si="16"/>
        <v>-2.0261266200000003</v>
      </c>
    </row>
    <row r="95" spans="2:32" s="70" customFormat="1" x14ac:dyDescent="0.2">
      <c r="B95" s="24" t="s">
        <v>361</v>
      </c>
      <c r="C95" s="25">
        <f>IF(VLOOKUP(B95,'Data yoy'!$A:$AW,MATCH($C$1,'Data yoy'!$A$1:$AW$1,),)=0,#N/A,VLOOKUP(B95,'Data yoy'!$A:$AW,MATCH($C$1,'Data yoy'!$A$1:$AW$1,),))</f>
        <v>0.54697680299999996</v>
      </c>
      <c r="D95" s="25">
        <f>IF(VLOOKUP(B95,'Data yoy'!$A:$AW,MATCH($D$1,'Data yoy'!$A$1:$AW$1,),)=0,#N/A,VLOOKUP(B95,'Data yoy'!$A:$AW,MATCH($D$1,'Data yoy'!$A$1:$AW$1,),))</f>
        <v>18.3</v>
      </c>
      <c r="E95" s="25">
        <f>IF(VLOOKUP(B95,'Data yoy'!$A:$AW,MATCH($E$1,'Data yoy'!$A$1:$AW$1,),)=0,#N/A,VLOOKUP(B95,'Data yoy'!$A:$AW,MATCH($E$1,'Data yoy'!$A$1:$AW$1,),))</f>
        <v>-0.86436336599999997</v>
      </c>
      <c r="F95" s="25">
        <f>IF(VLOOKUP(B95,'Data yoy'!$A:$AW,MATCH($F$1,'Data yoy'!$A$1:$AW$1,),)=0,#N/A,VLOOKUP(B95,'Data yoy'!$A:$AW,MATCH($F$1,'Data yoy'!$A$1:$AW$1,),))</f>
        <v>-1.721338574</v>
      </c>
      <c r="G95" s="25">
        <f>IF(VLOOKUP(B95,'Data yoy'!$A:$AW,MATCH($G$1,'Data yoy'!$A$1:$AW$1,),)=0,#N/A,VLOOKUP(B95,'Data yoy'!$A:$AW,MATCH($G$1,'Data yoy'!$A$1:$AW$1,),))</f>
        <v>-2.792772679</v>
      </c>
      <c r="H95" s="25">
        <f>IF(VLOOKUP(B95,'Data yoy'!$A:$AW,MATCH($H$1,'Data yoy'!$A$1:$AW$1,),)=0,#N/A,VLOOKUP(B95,'Data yoy'!$A:$AW,MATCH($H$1,'Data yoy'!$A$1:$AW$1,),))</f>
        <v>1.8047115229999999</v>
      </c>
      <c r="I95" s="25">
        <f>IF(VLOOKUP(B95,'Data yoy'!$A:$AW,MATCH($I$1,'Data yoy'!$A$1:$AW$1,),)=0,#N/A,VLOOKUP(B95,'Data yoy'!$A:$AW,MATCH($I$1,'Data yoy'!$A$1:$AW$1,),))</f>
        <v>-4.9733586279999997</v>
      </c>
      <c r="J95" s="25">
        <f>IF(VLOOKUP(B95,'Data yoy'!$A:$AW,MATCH($J$1,'Data yoy'!$A$1:$AW$1,),)=0,#N/A,VLOOKUP(B95,'Data yoy'!$A:$AW,MATCH($J$1,'Data yoy'!$A$1:$AW$1,),))</f>
        <v>3.7799359999999997E-2</v>
      </c>
      <c r="K95" s="25">
        <f>IF(VLOOKUP(B95,'Data yoy'!$A:$AW,MATCH($K$1,'Data yoy'!$A$1:$AW$1,),)=0,#N/A,VLOOKUP(B95,'Data yoy'!$A:$AW,MATCH($K$1,'Data yoy'!$A$1:$AW$1,),))</f>
        <v>-4.0893803599999998</v>
      </c>
      <c r="L95" s="25">
        <f>IF(VLOOKUP(B95,'Data yoy'!$A:$AW,MATCH($L$1,'Data yoy'!$A$1:$AW$1,),)=0,#N/A,VLOOKUP(B95,'Data yoy'!$A:$AW,MATCH($L$1,'Data yoy'!$A$1:$AW$1,),))</f>
        <v>0.228283603</v>
      </c>
      <c r="M95" s="25">
        <f>IF(VLOOKUP(B95,'Data yoy'!$A:$AW,MATCH($M$1,'Data yoy'!$A$1:$AW$1,),)=0,#N/A,VLOOKUP(B95,'Data yoy'!$A:$AW,MATCH($M$1,'Data yoy'!$A$1:$AW$1,),))</f>
        <v>-2.9168731079999999</v>
      </c>
      <c r="N95" s="25">
        <f>IF(VLOOKUP(B95,'Data yoy'!$A:$AW,MATCH($N$1,'Data yoy'!$A$1:$AW$1,),)=0,#N/A,VLOOKUP(B95,'Data yoy'!$A:$AW,MATCH($N$1,'Data yoy'!$A$1:$AW$1,),))</f>
        <v>-0.43206129399999998</v>
      </c>
      <c r="O95" s="25">
        <f>IF(VLOOKUP(B95,'Data yoy'!$A:$AW,MATCH($O$1,'Data yoy'!$A$1:$AW$1,),)=0,#N/A,VLOOKUP(B95,'Data yoy'!$A:$AW,MATCH($O$1,'Data yoy'!$A$1:$AW$1,),))</f>
        <v>1.7046699999999999</v>
      </c>
      <c r="P95" s="25">
        <f>IF(VLOOKUP(B95,'Data yoy'!$A:$AW,MATCH($P$1,'Data yoy'!$A$1:$AW$1,),)=0,#N/A,VLOOKUP(B95,'Data yoy'!$A:$AW,MATCH($P$1,'Data yoy'!$A$1:$AW$1,),))</f>
        <v>0.15774503100000001</v>
      </c>
      <c r="Q95" s="25">
        <f>IF(VLOOKUP(B95,'Data yoy'!$A:$AW,MATCH($Q$1,'Data yoy'!$A$1:$AW$1,),)=0,#N/A,VLOOKUP(B95,'Data yoy'!$A:$AW,MATCH($Q$1,'Data yoy'!$A$1:$AW$1,),))</f>
        <v>1.4089486309999999</v>
      </c>
      <c r="R95" s="25">
        <f>IF(VLOOKUP(B95,'Data yoy'!$A:$AW,MATCH($R$1,'Data yoy'!$A$1:$AW$1,),)=0,#N/A,VLOOKUP(B95,'Data yoy'!$A:$AW,MATCH($R$1,'Data yoy'!$A$1:$AW$1,),))</f>
        <v>-0.42498628199999999</v>
      </c>
      <c r="S95" s="25">
        <f>IF(VLOOKUP(B95,'Data yoy'!$A:$AW,MATCH($S$1,'Data yoy'!$A$1:$AW$1,),)=0,#N/A,VLOOKUP(B95,'Data yoy'!$A:$AW,MATCH($S$1,'Data yoy'!$A$1:$AW$1,),))</f>
        <v>2.1863227329999999</v>
      </c>
      <c r="T95" s="25">
        <f>IF(VLOOKUP(B95,'Data yoy'!$A:$AW,MATCH($T$1,'Data yoy'!$A$1:$AW$1,),)=0,#N/A,VLOOKUP(B95,'Data yoy'!$A:$AW,MATCH($T$1,'Data yoy'!$A$1:$AW$1,),))</f>
        <v>2.5923734490000001</v>
      </c>
      <c r="U95" s="25">
        <f>IF(VLOOKUP(B95,'Data yoy'!$A:$AW,MATCH($U$1,'Data yoy'!$A$1:$AW$1,),)=0,#N/A,VLOOKUP(B95,'Data yoy'!$A:$AW,MATCH($U$1,'Data yoy'!$A$1:$AW$1,),))</f>
        <v>-1.6606029849999999</v>
      </c>
      <c r="V95" s="25">
        <f>IF(VLOOKUP(B95,'Data yoy'!$A:$AW,MATCH($V$1,'Data yoy'!$A$1:$AW$1,),)=0,#N/A,VLOOKUP(B95,'Data yoy'!$A:$AW,MATCH($V$1,'Data yoy'!$A$1:$AW$1,),))</f>
        <v>11.79001744</v>
      </c>
      <c r="W95" s="25">
        <f>IF(VLOOKUP(B95,'Data yoy'!$A:$AW,MATCH($W$1,'Data yoy'!$A$1:$AW$1,),)=0,#N/A,VLOOKUP(B95,'Data yoy'!$A:$AW,MATCH($W$1,'Data yoy'!$A$1:$AW$1,),))</f>
        <v>7.430158896</v>
      </c>
      <c r="X95" s="25">
        <f>IF(VLOOKUP(B95,'Data yoy'!$A:$AW,MATCH($X$1,'Data yoy'!$A$1:$AW$1,),)=0,#N/A,VLOOKUP(B95,'Data yoy'!$A:$AW,MATCH($X$1,'Data yoy'!$A$1:$AW$1,),))</f>
        <v>-1.9074280729999999</v>
      </c>
      <c r="Y95" s="25">
        <f>IF(VLOOKUP(B95,'Data yoy'!$A:$AW,MATCH($Y$1,'Data yoy'!$A$1:$AW$1,),)=0,#N/A,VLOOKUP(B95,'Data yoy'!$A:$AW,MATCH($Y$1,'Data yoy'!$A$1:$AW$1,),))</f>
        <v>-1.1277082140000001</v>
      </c>
      <c r="Z95" s="25">
        <f>IF(VLOOKUP(B95,'Data yoy'!$A:$AW,MATCH($Z$1,'Data yoy'!$A$1:$AW$1,),)=0,#N/A,VLOOKUP(B95,'Data yoy'!$A:$AW,MATCH($Z$1,'Data yoy'!$A$1:$AW$1,),))</f>
        <v>2.8315507590000002</v>
      </c>
      <c r="AA95" s="25">
        <f>IF(VLOOKUP(B95,'Data yoy'!$A:$AW,MATCH($AA$1,'Data yoy'!$A$1:$AW$1,),)=0,#N/A,VLOOKUP(B95,'Data yoy'!$A:$AW,MATCH($AA$1,'Data yoy'!$A$1:$AW$1,),))</f>
        <v>3.2954916060000001</v>
      </c>
      <c r="AC95" s="26" t="str">
        <f t="shared" si="13"/>
        <v>2021-Q1</v>
      </c>
      <c r="AD95" s="27">
        <f t="shared" si="14"/>
        <v>-4.9733586279999997</v>
      </c>
      <c r="AE95" s="27">
        <f t="shared" si="15"/>
        <v>-0.86436336599999997</v>
      </c>
      <c r="AF95" s="27">
        <f t="shared" si="16"/>
        <v>-4.1089952619999996</v>
      </c>
    </row>
    <row r="96" spans="2:32" s="70" customFormat="1" x14ac:dyDescent="0.2">
      <c r="B96" s="24" t="s">
        <v>362</v>
      </c>
      <c r="C96" s="25">
        <f>IF(VLOOKUP(B96,'Data yoy'!$A:$AW,MATCH($C$1,'Data yoy'!$A$1:$AW$1,),)=0,#N/A,VLOOKUP(B96,'Data yoy'!$A:$AW,MATCH($C$1,'Data yoy'!$A$1:$AW$1,),))</f>
        <v>12.226677108000001</v>
      </c>
      <c r="D96" s="25">
        <f>IF(VLOOKUP(B96,'Data yoy'!$A:$AW,MATCH($D$1,'Data yoy'!$A$1:$AW$1,),)=0,#N/A,VLOOKUP(B96,'Data yoy'!$A:$AW,MATCH($D$1,'Data yoy'!$A$1:$AW$1,),))</f>
        <v>7.9</v>
      </c>
      <c r="E96" s="25">
        <f>IF(VLOOKUP(B96,'Data yoy'!$A:$AW,MATCH($E$1,'Data yoy'!$A$1:$AW$1,),)=0,#N/A,VLOOKUP(B96,'Data yoy'!$A:$AW,MATCH($E$1,'Data yoy'!$A$1:$AW$1,),))</f>
        <v>14.653846007</v>
      </c>
      <c r="F96" s="25">
        <f>IF(VLOOKUP(B96,'Data yoy'!$A:$AW,MATCH($F$1,'Data yoy'!$A$1:$AW$1,),)=0,#N/A,VLOOKUP(B96,'Data yoy'!$A:$AW,MATCH($F$1,'Data yoy'!$A$1:$AW$1,),))</f>
        <v>7.3888385669999996</v>
      </c>
      <c r="G96" s="25">
        <f>IF(VLOOKUP(B96,'Data yoy'!$A:$AW,MATCH($G$1,'Data yoy'!$A$1:$AW$1,),)=0,#N/A,VLOOKUP(B96,'Data yoy'!$A:$AW,MATCH($G$1,'Data yoy'!$A$1:$AW$1,),))</f>
        <v>10.351161574000001</v>
      </c>
      <c r="H96" s="25">
        <f>IF(VLOOKUP(B96,'Data yoy'!$A:$AW,MATCH($H$1,'Data yoy'!$A$1:$AW$1,),)=0,#N/A,VLOOKUP(B96,'Data yoy'!$A:$AW,MATCH($H$1,'Data yoy'!$A$1:$AW$1,),))</f>
        <v>19.156864633000001</v>
      </c>
      <c r="I96" s="25">
        <f>IF(VLOOKUP(B96,'Data yoy'!$A:$AW,MATCH($I$1,'Data yoy'!$A$1:$AW$1,),)=0,#N/A,VLOOKUP(B96,'Data yoy'!$A:$AW,MATCH($I$1,'Data yoy'!$A$1:$AW$1,),))</f>
        <v>24.492977962000001</v>
      </c>
      <c r="J96" s="25">
        <f>IF(VLOOKUP(B96,'Data yoy'!$A:$AW,MATCH($J$1,'Data yoy'!$A$1:$AW$1,),)=0,#N/A,VLOOKUP(B96,'Data yoy'!$A:$AW,MATCH($J$1,'Data yoy'!$A$1:$AW$1,),))</f>
        <v>17.545308273</v>
      </c>
      <c r="K96" s="25">
        <f>IF(VLOOKUP(B96,'Data yoy'!$A:$AW,MATCH($K$1,'Data yoy'!$A$1:$AW$1,),)=0,#N/A,VLOOKUP(B96,'Data yoy'!$A:$AW,MATCH($K$1,'Data yoy'!$A$1:$AW$1,),))</f>
        <v>17.784211674000002</v>
      </c>
      <c r="L96" s="25">
        <f>IF(VLOOKUP(B96,'Data yoy'!$A:$AW,MATCH($L$1,'Data yoy'!$A$1:$AW$1,),)=0,#N/A,VLOOKUP(B96,'Data yoy'!$A:$AW,MATCH($L$1,'Data yoy'!$A$1:$AW$1,),))</f>
        <v>9.8475974829999995</v>
      </c>
      <c r="M96" s="25">
        <f>IF(VLOOKUP(B96,'Data yoy'!$A:$AW,MATCH($M$1,'Data yoy'!$A$1:$AW$1,),)=0,#N/A,VLOOKUP(B96,'Data yoy'!$A:$AW,MATCH($M$1,'Data yoy'!$A$1:$AW$1,),))</f>
        <v>19.581044942999998</v>
      </c>
      <c r="N96" s="25">
        <f>IF(VLOOKUP(B96,'Data yoy'!$A:$AW,MATCH($N$1,'Data yoy'!$A$1:$AW$1,),)=0,#N/A,VLOOKUP(B96,'Data yoy'!$A:$AW,MATCH($N$1,'Data yoy'!$A$1:$AW$1,),))</f>
        <v>7.5695837170000004</v>
      </c>
      <c r="O96" s="25">
        <f>IF(VLOOKUP(B96,'Data yoy'!$A:$AW,MATCH($O$1,'Data yoy'!$A$1:$AW$1,),)=0,#N/A,VLOOKUP(B96,'Data yoy'!$A:$AW,MATCH($O$1,'Data yoy'!$A$1:$AW$1,),))</f>
        <v>19.677510000000002</v>
      </c>
      <c r="P96" s="25">
        <f>IF(VLOOKUP(B96,'Data yoy'!$A:$AW,MATCH($P$1,'Data yoy'!$A$1:$AW$1,),)=0,#N/A,VLOOKUP(B96,'Data yoy'!$A:$AW,MATCH($P$1,'Data yoy'!$A$1:$AW$1,),))</f>
        <v>11.698831984</v>
      </c>
      <c r="Q96" s="25">
        <f>IF(VLOOKUP(B96,'Data yoy'!$A:$AW,MATCH($Q$1,'Data yoy'!$A$1:$AW$1,),)=0,#N/A,VLOOKUP(B96,'Data yoy'!$A:$AW,MATCH($Q$1,'Data yoy'!$A$1:$AW$1,),))</f>
        <v>9.6977252140000001</v>
      </c>
      <c r="R96" s="25">
        <f>IF(VLOOKUP(B96,'Data yoy'!$A:$AW,MATCH($R$1,'Data yoy'!$A$1:$AW$1,),)=0,#N/A,VLOOKUP(B96,'Data yoy'!$A:$AW,MATCH($R$1,'Data yoy'!$A$1:$AW$1,),))</f>
        <v>8.1792516519999996</v>
      </c>
      <c r="S96" s="25">
        <f>IF(VLOOKUP(B96,'Data yoy'!$A:$AW,MATCH($S$1,'Data yoy'!$A$1:$AW$1,),)=0,#N/A,VLOOKUP(B96,'Data yoy'!$A:$AW,MATCH($S$1,'Data yoy'!$A$1:$AW$1,),))</f>
        <v>6.2541347370000002</v>
      </c>
      <c r="T96" s="25">
        <f>IF(VLOOKUP(B96,'Data yoy'!$A:$AW,MATCH($T$1,'Data yoy'!$A$1:$AW$1,),)=0,#N/A,VLOOKUP(B96,'Data yoy'!$A:$AW,MATCH($T$1,'Data yoy'!$A$1:$AW$1,),))</f>
        <v>12.210517969</v>
      </c>
      <c r="U96" s="25">
        <f>IF(VLOOKUP(B96,'Data yoy'!$A:$AW,MATCH($U$1,'Data yoy'!$A$1:$AW$1,),)=0,#N/A,VLOOKUP(B96,'Data yoy'!$A:$AW,MATCH($U$1,'Data yoy'!$A$1:$AW$1,),))</f>
        <v>15.031404564000001</v>
      </c>
      <c r="V96" s="25">
        <f>IF(VLOOKUP(B96,'Data yoy'!$A:$AW,MATCH($V$1,'Data yoy'!$A$1:$AW$1,),)=0,#N/A,VLOOKUP(B96,'Data yoy'!$A:$AW,MATCH($V$1,'Data yoy'!$A$1:$AW$1,),))</f>
        <v>20.727809626999999</v>
      </c>
      <c r="W96" s="25">
        <f>IF(VLOOKUP(B96,'Data yoy'!$A:$AW,MATCH($W$1,'Data yoy'!$A$1:$AW$1,),)=0,#N/A,VLOOKUP(B96,'Data yoy'!$A:$AW,MATCH($W$1,'Data yoy'!$A$1:$AW$1,),))</f>
        <v>22.429092907000001</v>
      </c>
      <c r="X96" s="25">
        <f>IF(VLOOKUP(B96,'Data yoy'!$A:$AW,MATCH($X$1,'Data yoy'!$A$1:$AW$1,),)=0,#N/A,VLOOKUP(B96,'Data yoy'!$A:$AW,MATCH($X$1,'Data yoy'!$A$1:$AW$1,),))</f>
        <v>9.1293429489999998</v>
      </c>
      <c r="Y96" s="25">
        <f>IF(VLOOKUP(B96,'Data yoy'!$A:$AW,MATCH($Y$1,'Data yoy'!$A$1:$AW$1,),)=0,#N/A,VLOOKUP(B96,'Data yoy'!$A:$AW,MATCH($Y$1,'Data yoy'!$A$1:$AW$1,),))</f>
        <v>10.956546573000001</v>
      </c>
      <c r="Z96" s="25">
        <f>IF(VLOOKUP(B96,'Data yoy'!$A:$AW,MATCH($Z$1,'Data yoy'!$A$1:$AW$1,),)=0,#N/A,VLOOKUP(B96,'Data yoy'!$A:$AW,MATCH($Z$1,'Data yoy'!$A$1:$AW$1,),))</f>
        <v>20.124167475</v>
      </c>
      <c r="AA96" s="25">
        <f>IF(VLOOKUP(B96,'Data yoy'!$A:$AW,MATCH($AA$1,'Data yoy'!$A$1:$AW$1,),)=0,#N/A,VLOOKUP(B96,'Data yoy'!$A:$AW,MATCH($AA$1,'Data yoy'!$A$1:$AW$1,),))</f>
        <v>17.947651960000002</v>
      </c>
      <c r="AC96" s="26" t="str">
        <f t="shared" si="13"/>
        <v>2021-Q2</v>
      </c>
      <c r="AD96" s="27">
        <f t="shared" si="14"/>
        <v>24.492977962000001</v>
      </c>
      <c r="AE96" s="27">
        <f t="shared" si="15"/>
        <v>14.653846007</v>
      </c>
      <c r="AF96" s="27">
        <f t="shared" si="16"/>
        <v>9.8391319550000009</v>
      </c>
    </row>
    <row r="97" spans="2:32" s="70" customFormat="1" x14ac:dyDescent="0.2">
      <c r="B97" s="24" t="s">
        <v>363</v>
      </c>
      <c r="C97" s="25">
        <f>IF(VLOOKUP(B97,'Data yoy'!$A:$AW,MATCH($C$1,'Data yoy'!$A$1:$AW$1,),)=0,#N/A,VLOOKUP(B97,'Data yoy'!$A:$AW,MATCH($C$1,'Data yoy'!$A$1:$AW$1,),))</f>
        <v>4.946555569</v>
      </c>
      <c r="D97" s="25">
        <f>IF(VLOOKUP(B97,'Data yoy'!$A:$AW,MATCH($D$1,'Data yoy'!$A$1:$AW$1,),)=0,#N/A,VLOOKUP(B97,'Data yoy'!$A:$AW,MATCH($D$1,'Data yoy'!$A$1:$AW$1,),))</f>
        <v>4.9000000000000004</v>
      </c>
      <c r="E97" s="25">
        <f>IF(VLOOKUP(B97,'Data yoy'!$A:$AW,MATCH($E$1,'Data yoy'!$A$1:$AW$1,),)=0,#N/A,VLOOKUP(B97,'Data yoy'!$A:$AW,MATCH($E$1,'Data yoy'!$A$1:$AW$1,),))</f>
        <v>3.982185785</v>
      </c>
      <c r="F97" s="25">
        <f>IF(VLOOKUP(B97,'Data yoy'!$A:$AW,MATCH($F$1,'Data yoy'!$A$1:$AW$1,),)=0,#N/A,VLOOKUP(B97,'Data yoy'!$A:$AW,MATCH($F$1,'Data yoy'!$A$1:$AW$1,),))</f>
        <v>1.185812004</v>
      </c>
      <c r="G97" s="25">
        <f>IF(VLOOKUP(B97,'Data yoy'!$A:$AW,MATCH($G$1,'Data yoy'!$A$1:$AW$1,),)=0,#N/A,VLOOKUP(B97,'Data yoy'!$A:$AW,MATCH($G$1,'Data yoy'!$A$1:$AW$1,),))</f>
        <v>2.8891752589999999</v>
      </c>
      <c r="H97" s="25">
        <f>IF(VLOOKUP(B97,'Data yoy'!$A:$AW,MATCH($H$1,'Data yoy'!$A$1:$AW$1,),)=0,#N/A,VLOOKUP(B97,'Data yoy'!$A:$AW,MATCH($H$1,'Data yoy'!$A$1:$AW$1,),))</f>
        <v>3.006804829</v>
      </c>
      <c r="I97" s="25">
        <f>IF(VLOOKUP(B97,'Data yoy'!$A:$AW,MATCH($I$1,'Data yoy'!$A$1:$AW$1,),)=0,#N/A,VLOOKUP(B97,'Data yoy'!$A:$AW,MATCH($I$1,'Data yoy'!$A$1:$AW$1,),))</f>
        <v>6.8575041670000001</v>
      </c>
      <c r="J97" s="25">
        <f>IF(VLOOKUP(B97,'Data yoy'!$A:$AW,MATCH($J$1,'Data yoy'!$A$1:$AW$1,),)=0,#N/A,VLOOKUP(B97,'Data yoy'!$A:$AW,MATCH($J$1,'Data yoy'!$A$1:$AW$1,),))</f>
        <v>3.9690370640000001</v>
      </c>
      <c r="K97" s="25">
        <f>IF(VLOOKUP(B97,'Data yoy'!$A:$AW,MATCH($K$1,'Data yoy'!$A$1:$AW$1,),)=0,#N/A,VLOOKUP(B97,'Data yoy'!$A:$AW,MATCH($K$1,'Data yoy'!$A$1:$AW$1,),))</f>
        <v>3.4718484429999998</v>
      </c>
      <c r="L97" s="25">
        <f>IF(VLOOKUP(B97,'Data yoy'!$A:$AW,MATCH($L$1,'Data yoy'!$A$1:$AW$1,),)=0,#N/A,VLOOKUP(B97,'Data yoy'!$A:$AW,MATCH($L$1,'Data yoy'!$A$1:$AW$1,),))</f>
        <v>4.3414940780000002</v>
      </c>
      <c r="M97" s="25">
        <f>IF(VLOOKUP(B97,'Data yoy'!$A:$AW,MATCH($M$1,'Data yoy'!$A$1:$AW$1,),)=0,#N/A,VLOOKUP(B97,'Data yoy'!$A:$AW,MATCH($M$1,'Data yoy'!$A$1:$AW$1,),))</f>
        <v>4.5997299649999999</v>
      </c>
      <c r="N97" s="25">
        <f>IF(VLOOKUP(B97,'Data yoy'!$A:$AW,MATCH($N$1,'Data yoy'!$A$1:$AW$1,),)=0,#N/A,VLOOKUP(B97,'Data yoy'!$A:$AW,MATCH($N$1,'Data yoy'!$A$1:$AW$1,),))</f>
        <v>3.830445643</v>
      </c>
      <c r="O97" s="25">
        <f>IF(VLOOKUP(B97,'Data yoy'!$A:$AW,MATCH($O$1,'Data yoy'!$A$1:$AW$1,),)=0,#N/A,VLOOKUP(B97,'Data yoy'!$A:$AW,MATCH($O$1,'Data yoy'!$A$1:$AW$1,),))</f>
        <v>9.08887</v>
      </c>
      <c r="P97" s="25">
        <f>IF(VLOOKUP(B97,'Data yoy'!$A:$AW,MATCH($P$1,'Data yoy'!$A$1:$AW$1,),)=0,#N/A,VLOOKUP(B97,'Data yoy'!$A:$AW,MATCH($P$1,'Data yoy'!$A$1:$AW$1,),))</f>
        <v>3.8314741250000002</v>
      </c>
      <c r="Q97" s="25">
        <f>IF(VLOOKUP(B97,'Data yoy'!$A:$AW,MATCH($Q$1,'Data yoy'!$A$1:$AW$1,),)=0,#N/A,VLOOKUP(B97,'Data yoy'!$A:$AW,MATCH($Q$1,'Data yoy'!$A$1:$AW$1,),))</f>
        <v>4.0528939099999999</v>
      </c>
      <c r="R97" s="25">
        <f>IF(VLOOKUP(B97,'Data yoy'!$A:$AW,MATCH($R$1,'Data yoy'!$A$1:$AW$1,),)=0,#N/A,VLOOKUP(B97,'Data yoy'!$A:$AW,MATCH($R$1,'Data yoy'!$A$1:$AW$1,),))</f>
        <v>3.6753259649999999</v>
      </c>
      <c r="S97" s="25">
        <f>IF(VLOOKUP(B97,'Data yoy'!$A:$AW,MATCH($S$1,'Data yoy'!$A$1:$AW$1,),)=0,#N/A,VLOOKUP(B97,'Data yoy'!$A:$AW,MATCH($S$1,'Data yoy'!$A$1:$AW$1,),))</f>
        <v>4.0381180829999996</v>
      </c>
      <c r="T97" s="25">
        <f>IF(VLOOKUP(B97,'Data yoy'!$A:$AW,MATCH($T$1,'Data yoy'!$A$1:$AW$1,),)=0,#N/A,VLOOKUP(B97,'Data yoy'!$A:$AW,MATCH($T$1,'Data yoy'!$A$1:$AW$1,),))</f>
        <v>4.0686394139999997</v>
      </c>
      <c r="U97" s="25">
        <f>IF(VLOOKUP(B97,'Data yoy'!$A:$AW,MATCH($U$1,'Data yoy'!$A$1:$AW$1,),)=0,#N/A,VLOOKUP(B97,'Data yoy'!$A:$AW,MATCH($U$1,'Data yoy'!$A$1:$AW$1,),))</f>
        <v>11.655569757</v>
      </c>
      <c r="V97" s="25">
        <f>IF(VLOOKUP(B97,'Data yoy'!$A:$AW,MATCH($V$1,'Data yoy'!$A$1:$AW$1,),)=0,#N/A,VLOOKUP(B97,'Data yoy'!$A:$AW,MATCH($V$1,'Data yoy'!$A$1:$AW$1,),))</f>
        <v>11.520003122</v>
      </c>
      <c r="W97" s="25">
        <f>IF(VLOOKUP(B97,'Data yoy'!$A:$AW,MATCH($W$1,'Data yoy'!$A$1:$AW$1,),)=0,#N/A,VLOOKUP(B97,'Data yoy'!$A:$AW,MATCH($W$1,'Data yoy'!$A$1:$AW$1,),))</f>
        <v>8.0968007249999996</v>
      </c>
      <c r="X97" s="25">
        <f>IF(VLOOKUP(B97,'Data yoy'!$A:$AW,MATCH($X$1,'Data yoy'!$A$1:$AW$1,),)=0,#N/A,VLOOKUP(B97,'Data yoy'!$A:$AW,MATCH($X$1,'Data yoy'!$A$1:$AW$1,),))</f>
        <v>3.7680622129999999</v>
      </c>
      <c r="Y97" s="25">
        <f>IF(VLOOKUP(B97,'Data yoy'!$A:$AW,MATCH($Y$1,'Data yoy'!$A$1:$AW$1,),)=0,#N/A,VLOOKUP(B97,'Data yoy'!$A:$AW,MATCH($Y$1,'Data yoy'!$A$1:$AW$1,),))</f>
        <v>6.0625869449999996</v>
      </c>
      <c r="Z97" s="25">
        <f>IF(VLOOKUP(B97,'Data yoy'!$A:$AW,MATCH($Z$1,'Data yoy'!$A$1:$AW$1,),)=0,#N/A,VLOOKUP(B97,'Data yoy'!$A:$AW,MATCH($Z$1,'Data yoy'!$A$1:$AW$1,),))</f>
        <v>11.449361196</v>
      </c>
      <c r="AA97" s="25">
        <f>IF(VLOOKUP(B97,'Data yoy'!$A:$AW,MATCH($AA$1,'Data yoy'!$A$1:$AW$1,),)=0,#N/A,VLOOKUP(B97,'Data yoy'!$A:$AW,MATCH($AA$1,'Data yoy'!$A$1:$AW$1,),))</f>
        <v>-0.23311443900000001</v>
      </c>
      <c r="AC97" s="26" t="str">
        <f t="shared" si="13"/>
        <v>2021-Q3</v>
      </c>
      <c r="AD97" s="27">
        <f t="shared" si="14"/>
        <v>6.8575041670000001</v>
      </c>
      <c r="AE97" s="27">
        <f t="shared" si="15"/>
        <v>3.982185785</v>
      </c>
      <c r="AF97" s="27">
        <f t="shared" si="16"/>
        <v>2.8753183820000001</v>
      </c>
    </row>
    <row r="98" spans="2:32" s="70" customFormat="1" x14ac:dyDescent="0.2">
      <c r="B98" s="24" t="s">
        <v>364</v>
      </c>
      <c r="C98" s="25">
        <f>IF(VLOOKUP(B98,'Data yoy'!$A:$AW,MATCH($C$1,'Data yoy'!$A$1:$AW$1,),)=0,#N/A,VLOOKUP(B98,'Data yoy'!$A:$AW,MATCH($C$1,'Data yoy'!$A$1:$AW$1,),))</f>
        <v>5.5334840380000001</v>
      </c>
      <c r="D98" s="25">
        <f>IF(VLOOKUP(B98,'Data yoy'!$A:$AW,MATCH($D$1,'Data yoy'!$A$1:$AW$1,),)=0,#N/A,VLOOKUP(B98,'Data yoy'!$A:$AW,MATCH($D$1,'Data yoy'!$A$1:$AW$1,),))</f>
        <v>4</v>
      </c>
      <c r="E98" s="25">
        <f>IF(VLOOKUP(B98,'Data yoy'!$A:$AW,MATCH($E$1,'Data yoy'!$A$1:$AW$1,),)=0,#N/A,VLOOKUP(B98,'Data yoy'!$A:$AW,MATCH($E$1,'Data yoy'!$A$1:$AW$1,),))</f>
        <v>4.6626915359999996</v>
      </c>
      <c r="F98" s="25">
        <f>IF(VLOOKUP(B98,'Data yoy'!$A:$AW,MATCH($F$1,'Data yoy'!$A$1:$AW$1,),)=0,#N/A,VLOOKUP(B98,'Data yoy'!$A:$AW,MATCH($F$1,'Data yoy'!$A$1:$AW$1,),))</f>
        <v>0.41217037099999998</v>
      </c>
      <c r="G98" s="25">
        <f>IF(VLOOKUP(B98,'Data yoy'!$A:$AW,MATCH($G$1,'Data yoy'!$A$1:$AW$1,),)=0,#N/A,VLOOKUP(B98,'Data yoy'!$A:$AW,MATCH($G$1,'Data yoy'!$A$1:$AW$1,),))</f>
        <v>1.775371405</v>
      </c>
      <c r="H98" s="25">
        <f>IF(VLOOKUP(B98,'Data yoy'!$A:$AW,MATCH($H$1,'Data yoy'!$A$1:$AW$1,),)=0,#N/A,VLOOKUP(B98,'Data yoy'!$A:$AW,MATCH($H$1,'Data yoy'!$A$1:$AW$1,),))</f>
        <v>4.932174324</v>
      </c>
      <c r="I98" s="25">
        <f>IF(VLOOKUP(B98,'Data yoy'!$A:$AW,MATCH($I$1,'Data yoy'!$A$1:$AW$1,),)=0,#N/A,VLOOKUP(B98,'Data yoy'!$A:$AW,MATCH($I$1,'Data yoy'!$A$1:$AW$1,),))</f>
        <v>6.6393277030000002</v>
      </c>
      <c r="J98" s="25">
        <f>IF(VLOOKUP(B98,'Data yoy'!$A:$AW,MATCH($J$1,'Data yoy'!$A$1:$AW$1,),)=0,#N/A,VLOOKUP(B98,'Data yoy'!$A:$AW,MATCH($J$1,'Data yoy'!$A$1:$AW$1,),))</f>
        <v>6.3578344009999999</v>
      </c>
      <c r="K98" s="25">
        <f>IF(VLOOKUP(B98,'Data yoy'!$A:$AW,MATCH($K$1,'Data yoy'!$A$1:$AW$1,),)=0,#N/A,VLOOKUP(B98,'Data yoy'!$A:$AW,MATCH($K$1,'Data yoy'!$A$1:$AW$1,),))</f>
        <v>5.536334708</v>
      </c>
      <c r="L98" s="25">
        <f>IF(VLOOKUP(B98,'Data yoy'!$A:$AW,MATCH($L$1,'Data yoy'!$A$1:$AW$1,),)=0,#N/A,VLOOKUP(B98,'Data yoy'!$A:$AW,MATCH($L$1,'Data yoy'!$A$1:$AW$1,),))</f>
        <v>5.6327699349999998</v>
      </c>
      <c r="M98" s="25">
        <f>IF(VLOOKUP(B98,'Data yoy'!$A:$AW,MATCH($M$1,'Data yoy'!$A$1:$AW$1,),)=0,#N/A,VLOOKUP(B98,'Data yoy'!$A:$AW,MATCH($M$1,'Data yoy'!$A$1:$AW$1,),))</f>
        <v>1.2005771300000001</v>
      </c>
      <c r="N98" s="25" t="e">
        <f>IF(VLOOKUP(B98,'Data yoy'!$A:$AW,MATCH($N$1,'Data yoy'!$A$1:$AW$1,),)=0,#N/A,VLOOKUP(B98,'Data yoy'!$A:$AW,MATCH($N$1,'Data yoy'!$A$1:$AW$1,),))</f>
        <v>#N/A</v>
      </c>
      <c r="O98" s="25">
        <f>IF(VLOOKUP(B98,'Data yoy'!$A:$AW,MATCH($O$1,'Data yoy'!$A$1:$AW$1,),)=0,#N/A,VLOOKUP(B98,'Data yoy'!$A:$AW,MATCH($O$1,'Data yoy'!$A$1:$AW$1,),))</f>
        <v>4.6668599999999998</v>
      </c>
      <c r="P98" s="25">
        <f>IF(VLOOKUP(B98,'Data yoy'!$A:$AW,MATCH($P$1,'Data yoy'!$A$1:$AW$1,),)=0,#N/A,VLOOKUP(B98,'Data yoy'!$A:$AW,MATCH($P$1,'Data yoy'!$A$1:$AW$1,),))</f>
        <v>3.232168148</v>
      </c>
      <c r="Q98" s="25">
        <f>IF(VLOOKUP(B98,'Data yoy'!$A:$AW,MATCH($Q$1,'Data yoy'!$A$1:$AW$1,),)=0,#N/A,VLOOKUP(B98,'Data yoy'!$A:$AW,MATCH($Q$1,'Data yoy'!$A$1:$AW$1,),))</f>
        <v>4.4017271210000004</v>
      </c>
      <c r="R98" s="25">
        <f>IF(VLOOKUP(B98,'Data yoy'!$A:$AW,MATCH($R$1,'Data yoy'!$A$1:$AW$1,),)=0,#N/A,VLOOKUP(B98,'Data yoy'!$A:$AW,MATCH($R$1,'Data yoy'!$A$1:$AW$1,),))</f>
        <v>3.7984684870000001</v>
      </c>
      <c r="S98" s="25">
        <f>IF(VLOOKUP(B98,'Data yoy'!$A:$AW,MATCH($S$1,'Data yoy'!$A$1:$AW$1,),)=0,#N/A,VLOOKUP(B98,'Data yoy'!$A:$AW,MATCH($S$1,'Data yoy'!$A$1:$AW$1,),))</f>
        <v>4.1656121209999997</v>
      </c>
      <c r="T98" s="25">
        <f>IF(VLOOKUP(B98,'Data yoy'!$A:$AW,MATCH($T$1,'Data yoy'!$A$1:$AW$1,),)=0,#N/A,VLOOKUP(B98,'Data yoy'!$A:$AW,MATCH($T$1,'Data yoy'!$A$1:$AW$1,),))</f>
        <v>1.599252423</v>
      </c>
      <c r="U98" s="25">
        <f>IF(VLOOKUP(B98,'Data yoy'!$A:$AW,MATCH($U$1,'Data yoy'!$A$1:$AW$1,),)=0,#N/A,VLOOKUP(B98,'Data yoy'!$A:$AW,MATCH($U$1,'Data yoy'!$A$1:$AW$1,),))</f>
        <v>8.1394414810000004</v>
      </c>
      <c r="V98" s="25">
        <f>IF(VLOOKUP(B98,'Data yoy'!$A:$AW,MATCH($V$1,'Data yoy'!$A$1:$AW$1,),)=0,#N/A,VLOOKUP(B98,'Data yoy'!$A:$AW,MATCH($V$1,'Data yoy'!$A$1:$AW$1,),))</f>
        <v>9.9037097900000006</v>
      </c>
      <c r="W98" s="25">
        <f>IF(VLOOKUP(B98,'Data yoy'!$A:$AW,MATCH($W$1,'Data yoy'!$A$1:$AW$1,),)=0,#N/A,VLOOKUP(B98,'Data yoy'!$A:$AW,MATCH($W$1,'Data yoy'!$A$1:$AW$1,),))</f>
        <v>8.4262590759999991</v>
      </c>
      <c r="X98" s="25">
        <f>IF(VLOOKUP(B98,'Data yoy'!$A:$AW,MATCH($X$1,'Data yoy'!$A$1:$AW$1,),)=0,#N/A,VLOOKUP(B98,'Data yoy'!$A:$AW,MATCH($X$1,'Data yoy'!$A$1:$AW$1,),))</f>
        <v>3.4667140779999999</v>
      </c>
      <c r="Y98" s="25">
        <f>IF(VLOOKUP(B98,'Data yoy'!$A:$AW,MATCH($Y$1,'Data yoy'!$A$1:$AW$1,),)=0,#N/A,VLOOKUP(B98,'Data yoy'!$A:$AW,MATCH($Y$1,'Data yoy'!$A$1:$AW$1,),))</f>
        <v>7.9797611740000001</v>
      </c>
      <c r="Z98" s="25">
        <f>IF(VLOOKUP(B98,'Data yoy'!$A:$AW,MATCH($Z$1,'Data yoy'!$A$1:$AW$1,),)=0,#N/A,VLOOKUP(B98,'Data yoy'!$A:$AW,MATCH($Z$1,'Data yoy'!$A$1:$AW$1,),))</f>
        <v>8.6956936099999993</v>
      </c>
      <c r="AA98" s="25">
        <f>IF(VLOOKUP(B98,'Data yoy'!$A:$AW,MATCH($AA$1,'Data yoy'!$A$1:$AW$1,),)=0,#N/A,VLOOKUP(B98,'Data yoy'!$A:$AW,MATCH($AA$1,'Data yoy'!$A$1:$AW$1,),))</f>
        <v>3.1073187139999998</v>
      </c>
      <c r="AC98" s="26" t="str">
        <f t="shared" si="13"/>
        <v>2021-Q4</v>
      </c>
      <c r="AD98" s="27">
        <f t="shared" si="14"/>
        <v>6.6393277030000002</v>
      </c>
      <c r="AE98" s="27">
        <f t="shared" si="15"/>
        <v>4.6626915359999996</v>
      </c>
      <c r="AF98" s="27">
        <f t="shared" si="16"/>
        <v>1.9766361670000006</v>
      </c>
    </row>
    <row r="99" spans="2:32" s="70" customFormat="1" x14ac:dyDescent="0.2">
      <c r="B99" s="24" t="s">
        <v>365</v>
      </c>
      <c r="C99" s="25">
        <f>IF(VLOOKUP(B99,'Data yoy'!$A:$AW,MATCH($C$1,'Data yoy'!$A$1:$AW$1,),)=0,#N/A,VLOOKUP(B99,'Data yoy'!$A:$AW,MATCH($C$1,'Data yoy'!$A$1:$AW$1,),))</f>
        <v>3.5278923760000001</v>
      </c>
      <c r="D99" s="25">
        <f>IF(VLOOKUP(B99,'Data yoy'!$A:$AW,MATCH($D$1,'Data yoy'!$A$1:$AW$1,),)=0,#N/A,VLOOKUP(B99,'Data yoy'!$A:$AW,MATCH($D$1,'Data yoy'!$A$1:$AW$1,),))</f>
        <v>4.8</v>
      </c>
      <c r="E99" s="25">
        <f>IF(VLOOKUP(B99,'Data yoy'!$A:$AW,MATCH($E$1,'Data yoy'!$A$1:$AW$1,),)=0,#N/A,VLOOKUP(B99,'Data yoy'!$A:$AW,MATCH($E$1,'Data yoy'!$A$1:$AW$1,),))</f>
        <v>5.4438471929999999</v>
      </c>
      <c r="F99" s="25">
        <f>IF(VLOOKUP(B99,'Data yoy'!$A:$AW,MATCH($F$1,'Data yoy'!$A$1:$AW$1,),)=0,#N/A,VLOOKUP(B99,'Data yoy'!$A:$AW,MATCH($F$1,'Data yoy'!$A$1:$AW$1,),))</f>
        <v>0.68657865600000001</v>
      </c>
      <c r="G99" s="25">
        <f>IF(VLOOKUP(B99,'Data yoy'!$A:$AW,MATCH($G$1,'Data yoy'!$A$1:$AW$1,),)=0,#N/A,VLOOKUP(B99,'Data yoy'!$A:$AW,MATCH($G$1,'Data yoy'!$A$1:$AW$1,),))</f>
        <v>3.7625491289999999</v>
      </c>
      <c r="H99" s="25">
        <f>IF(VLOOKUP(B99,'Data yoy'!$A:$AW,MATCH($H$1,'Data yoy'!$A$1:$AW$1,),)=0,#N/A,VLOOKUP(B99,'Data yoy'!$A:$AW,MATCH($H$1,'Data yoy'!$A$1:$AW$1,),))</f>
        <v>4.4702488239999996</v>
      </c>
      <c r="I99" s="25">
        <f>IF(VLOOKUP(B99,'Data yoy'!$A:$AW,MATCH($I$1,'Data yoy'!$A$1:$AW$1,),)=0,#N/A,VLOOKUP(B99,'Data yoy'!$A:$AW,MATCH($I$1,'Data yoy'!$A$1:$AW$1,),))</f>
        <v>8.7387284120000004</v>
      </c>
      <c r="J99" s="25">
        <f>IF(VLOOKUP(B99,'Data yoy'!$A:$AW,MATCH($J$1,'Data yoy'!$A$1:$AW$1,),)=0,#N/A,VLOOKUP(B99,'Data yoy'!$A:$AW,MATCH($J$1,'Data yoy'!$A$1:$AW$1,),))</f>
        <v>6.2458560590000003</v>
      </c>
      <c r="K99" s="25">
        <f>IF(VLOOKUP(B99,'Data yoy'!$A:$AW,MATCH($K$1,'Data yoy'!$A$1:$AW$1,),)=0,#N/A,VLOOKUP(B99,'Data yoy'!$A:$AW,MATCH($K$1,'Data yoy'!$A$1:$AW$1,),))</f>
        <v>6.2803156309999997</v>
      </c>
      <c r="L99" s="25">
        <f>IF(VLOOKUP(B99,'Data yoy'!$A:$AW,MATCH($L$1,'Data yoy'!$A$1:$AW$1,),)=0,#N/A,VLOOKUP(B99,'Data yoy'!$A:$AW,MATCH($L$1,'Data yoy'!$A$1:$AW$1,),))</f>
        <v>3.1263219759999998</v>
      </c>
      <c r="M99" s="25">
        <f>IF(VLOOKUP(B99,'Data yoy'!$A:$AW,MATCH($M$1,'Data yoy'!$A$1:$AW$1,),)=0,#N/A,VLOOKUP(B99,'Data yoy'!$A:$AW,MATCH($M$1,'Data yoy'!$A$1:$AW$1,),))</f>
        <v>1.8340840329999999</v>
      </c>
      <c r="N99" s="25" t="e">
        <f>IF(VLOOKUP(B99,'Data yoy'!$A:$AW,MATCH($N$1,'Data yoy'!$A$1:$AW$1,),)=0,#N/A,VLOOKUP(B99,'Data yoy'!$A:$AW,MATCH($N$1,'Data yoy'!$A$1:$AW$1,),))</f>
        <v>#N/A</v>
      </c>
      <c r="O99" s="25">
        <f>IF(VLOOKUP(B99,'Data yoy'!$A:$AW,MATCH($O$1,'Data yoy'!$A$1:$AW$1,),)=0,#N/A,VLOOKUP(B99,'Data yoy'!$A:$AW,MATCH($O$1,'Data yoy'!$A$1:$AW$1,),))</f>
        <v>4.0628700000000002</v>
      </c>
      <c r="P99" s="25">
        <f>IF(VLOOKUP(B99,'Data yoy'!$A:$AW,MATCH($P$1,'Data yoy'!$A$1:$AW$1,),)=0,#N/A,VLOOKUP(B99,'Data yoy'!$A:$AW,MATCH($P$1,'Data yoy'!$A$1:$AW$1,),))</f>
        <v>2.887084991</v>
      </c>
      <c r="Q99" s="25">
        <f>IF(VLOOKUP(B99,'Data yoy'!$A:$AW,MATCH($Q$1,'Data yoy'!$A$1:$AW$1,),)=0,#N/A,VLOOKUP(B99,'Data yoy'!$A:$AW,MATCH($Q$1,'Data yoy'!$A$1:$AW$1,),))</f>
        <v>3.3463248399999999</v>
      </c>
      <c r="R99" s="25">
        <f>IF(VLOOKUP(B99,'Data yoy'!$A:$AW,MATCH($R$1,'Data yoy'!$A$1:$AW$1,),)=0,#N/A,VLOOKUP(B99,'Data yoy'!$A:$AW,MATCH($R$1,'Data yoy'!$A$1:$AW$1,),))</f>
        <v>4.5413666189999997</v>
      </c>
      <c r="S99" s="25">
        <f>IF(VLOOKUP(B99,'Data yoy'!$A:$AW,MATCH($S$1,'Data yoy'!$A$1:$AW$1,),)=0,#N/A,VLOOKUP(B99,'Data yoy'!$A:$AW,MATCH($S$1,'Data yoy'!$A$1:$AW$1,),))</f>
        <v>3.0493485900000001</v>
      </c>
      <c r="T99" s="25">
        <f>IF(VLOOKUP(B99,'Data yoy'!$A:$AW,MATCH($T$1,'Data yoy'!$A$1:$AW$1,),)=0,#N/A,VLOOKUP(B99,'Data yoy'!$A:$AW,MATCH($T$1,'Data yoy'!$A$1:$AW$1,),))</f>
        <v>1.5091979680000001</v>
      </c>
      <c r="U99" s="25">
        <f>IF(VLOOKUP(B99,'Data yoy'!$A:$AW,MATCH($U$1,'Data yoy'!$A$1:$AW$1,),)=0,#N/A,VLOOKUP(B99,'Data yoy'!$A:$AW,MATCH($U$1,'Data yoy'!$A$1:$AW$1,),))</f>
        <v>7.0012030940000001</v>
      </c>
      <c r="V99" s="25">
        <f>IF(VLOOKUP(B99,'Data yoy'!$A:$AW,MATCH($V$1,'Data yoy'!$A$1:$AW$1,),)=0,#N/A,VLOOKUP(B99,'Data yoy'!$A:$AW,MATCH($V$1,'Data yoy'!$A$1:$AW$1,),))</f>
        <v>11.293798132999999</v>
      </c>
      <c r="W99" s="25">
        <f>IF(VLOOKUP(B99,'Data yoy'!$A:$AW,MATCH($W$1,'Data yoy'!$A$1:$AW$1,),)=0,#N/A,VLOOKUP(B99,'Data yoy'!$A:$AW,MATCH($W$1,'Data yoy'!$A$1:$AW$1,),))</f>
        <v>7.3616658030000002</v>
      </c>
      <c r="X99" s="25">
        <f>IF(VLOOKUP(B99,'Data yoy'!$A:$AW,MATCH($X$1,'Data yoy'!$A$1:$AW$1,),)=0,#N/A,VLOOKUP(B99,'Data yoy'!$A:$AW,MATCH($X$1,'Data yoy'!$A$1:$AW$1,),))</f>
        <v>4.9107768470000002</v>
      </c>
      <c r="Y99" s="25">
        <f>IF(VLOOKUP(B99,'Data yoy'!$A:$AW,MATCH($Y$1,'Data yoy'!$A$1:$AW$1,),)=0,#N/A,VLOOKUP(B99,'Data yoy'!$A:$AW,MATCH($Y$1,'Data yoy'!$A$1:$AW$1,),))</f>
        <v>9.1638205480000003</v>
      </c>
      <c r="Z99" s="25">
        <f>IF(VLOOKUP(B99,'Data yoy'!$A:$AW,MATCH($Z$1,'Data yoy'!$A$1:$AW$1,),)=0,#N/A,VLOOKUP(B99,'Data yoy'!$A:$AW,MATCH($Z$1,'Data yoy'!$A$1:$AW$1,),))</f>
        <v>6.0826773860000003</v>
      </c>
      <c r="AA99" s="25">
        <f>IF(VLOOKUP(B99,'Data yoy'!$A:$AW,MATCH($AA$1,'Data yoy'!$A$1:$AW$1,),)=0,#N/A,VLOOKUP(B99,'Data yoy'!$A:$AW,MATCH($AA$1,'Data yoy'!$A$1:$AW$1,),))</f>
        <v>1.2132966489999999</v>
      </c>
      <c r="AC99" s="26" t="str">
        <f t="shared" si="13"/>
        <v>2022-Q1</v>
      </c>
      <c r="AD99" s="27">
        <f t="shared" si="14"/>
        <v>8.7387284120000004</v>
      </c>
      <c r="AE99" s="27">
        <f t="shared" si="15"/>
        <v>5.4438471929999999</v>
      </c>
      <c r="AF99" s="27">
        <f t="shared" si="16"/>
        <v>3.2948812190000005</v>
      </c>
    </row>
    <row r="100" spans="2:32" s="70" customFormat="1" x14ac:dyDescent="0.2"/>
    <row r="101" spans="2:32" s="70" customFormat="1" x14ac:dyDescent="0.2"/>
    <row r="102" spans="2:32" s="70" customFormat="1" x14ac:dyDescent="0.2"/>
    <row r="103" spans="2:32" s="70" customFormat="1" x14ac:dyDescent="0.2"/>
    <row r="104" spans="2:32" s="70" customFormat="1" x14ac:dyDescent="0.2"/>
    <row r="105" spans="2:32" s="70" customFormat="1" x14ac:dyDescent="0.2"/>
    <row r="106" spans="2:32" s="70" customFormat="1" x14ac:dyDescent="0.2"/>
    <row r="107" spans="2:32" s="70" customFormat="1" x14ac:dyDescent="0.2"/>
    <row r="108" spans="2:32" s="70" customFormat="1" x14ac:dyDescent="0.2"/>
    <row r="109" spans="2:32" s="70" customFormat="1" x14ac:dyDescent="0.2"/>
    <row r="110" spans="2:32" s="70" customFormat="1" x14ac:dyDescent="0.2"/>
    <row r="111" spans="2:32" s="70" customFormat="1" x14ac:dyDescent="0.2"/>
    <row r="112" spans="2:32" s="70" customFormat="1" x14ac:dyDescent="0.2"/>
    <row r="113" s="70" customFormat="1" x14ac:dyDescent="0.2"/>
    <row r="114" s="70" customFormat="1" x14ac:dyDescent="0.2"/>
    <row r="115" s="70" customFormat="1" x14ac:dyDescent="0.2"/>
    <row r="116" s="70" customFormat="1" x14ac:dyDescent="0.2"/>
    <row r="117" s="70" customFormat="1" x14ac:dyDescent="0.2"/>
    <row r="118" s="70" customFormat="1" x14ac:dyDescent="0.2"/>
    <row r="119" s="70" customFormat="1" x14ac:dyDescent="0.2"/>
    <row r="120" s="70" customFormat="1" x14ac:dyDescent="0.2"/>
    <row r="121" s="70" customFormat="1" x14ac:dyDescent="0.2"/>
    <row r="122" s="70" customFormat="1" x14ac:dyDescent="0.2"/>
    <row r="123" s="70" customFormat="1" x14ac:dyDescent="0.2"/>
    <row r="124" s="70" customFormat="1" x14ac:dyDescent="0.2"/>
    <row r="125" s="70" customFormat="1" x14ac:dyDescent="0.2"/>
    <row r="126" s="70" customFormat="1" x14ac:dyDescent="0.2"/>
    <row r="127" s="70" customFormat="1" x14ac:dyDescent="0.2"/>
    <row r="128" s="70" customFormat="1" x14ac:dyDescent="0.2"/>
    <row r="129" s="70" customFormat="1" x14ac:dyDescent="0.2"/>
    <row r="130" s="70" customFormat="1" x14ac:dyDescent="0.2"/>
    <row r="131" s="70" customFormat="1" x14ac:dyDescent="0.2"/>
    <row r="132" s="70" customFormat="1" x14ac:dyDescent="0.2"/>
    <row r="133" s="70" customFormat="1" x14ac:dyDescent="0.2"/>
    <row r="134" s="70" customFormat="1" x14ac:dyDescent="0.2"/>
    <row r="135" s="70" customFormat="1" x14ac:dyDescent="0.2"/>
    <row r="136" s="70" customFormat="1" x14ac:dyDescent="0.2"/>
    <row r="137" s="70" customFormat="1" x14ac:dyDescent="0.2"/>
    <row r="138" s="70" customFormat="1" x14ac:dyDescent="0.2"/>
    <row r="139" s="70" customFormat="1" x14ac:dyDescent="0.2"/>
    <row r="140" s="70" customFormat="1" x14ac:dyDescent="0.2"/>
    <row r="141" s="70" customFormat="1" x14ac:dyDescent="0.2"/>
    <row r="142" s="70" customFormat="1" x14ac:dyDescent="0.2"/>
    <row r="143" s="70" customFormat="1" x14ac:dyDescent="0.2"/>
    <row r="144" s="70" customFormat="1" x14ac:dyDescent="0.2"/>
    <row r="145" s="70" customFormat="1" x14ac:dyDescent="0.2"/>
    <row r="146" s="70" customFormat="1" x14ac:dyDescent="0.2"/>
    <row r="147" s="70" customFormat="1" x14ac:dyDescent="0.2"/>
    <row r="148" s="70" customFormat="1" x14ac:dyDescent="0.2"/>
    <row r="149" s="70" customFormat="1" x14ac:dyDescent="0.2"/>
    <row r="150" s="70" customFormat="1" x14ac:dyDescent="0.2"/>
    <row r="151" s="70" customFormat="1" x14ac:dyDescent="0.2"/>
    <row r="152" s="70" customFormat="1" x14ac:dyDescent="0.2"/>
    <row r="153" s="70" customFormat="1" x14ac:dyDescent="0.2"/>
    <row r="154" s="70" customFormat="1" x14ac:dyDescent="0.2"/>
    <row r="155" s="70" customFormat="1" x14ac:dyDescent="0.2"/>
    <row r="156" s="70" customFormat="1" x14ac:dyDescent="0.2"/>
    <row r="157" s="70" customFormat="1" x14ac:dyDescent="0.2"/>
    <row r="158" s="70" customFormat="1" x14ac:dyDescent="0.2"/>
    <row r="159" s="70" customFormat="1" x14ac:dyDescent="0.2"/>
    <row r="160" s="70" customFormat="1" x14ac:dyDescent="0.2"/>
    <row r="161" s="70" customFormat="1" x14ac:dyDescent="0.2"/>
    <row r="162" s="70" customFormat="1" x14ac:dyDescent="0.2"/>
    <row r="163" s="70" customFormat="1" x14ac:dyDescent="0.2"/>
    <row r="164" s="70" customFormat="1" x14ac:dyDescent="0.2"/>
    <row r="165" s="70" customFormat="1" x14ac:dyDescent="0.2"/>
    <row r="166" s="70" customFormat="1" x14ac:dyDescent="0.2"/>
    <row r="167" s="70" customFormat="1" x14ac:dyDescent="0.2"/>
    <row r="168" s="70" customFormat="1" x14ac:dyDescent="0.2"/>
    <row r="169" s="70" customFormat="1" x14ac:dyDescent="0.2"/>
    <row r="170" s="70" customFormat="1" x14ac:dyDescent="0.2"/>
    <row r="171" s="70" customFormat="1" x14ac:dyDescent="0.2"/>
    <row r="172" s="70" customFormat="1" x14ac:dyDescent="0.2"/>
    <row r="173" s="70" customFormat="1" x14ac:dyDescent="0.2"/>
    <row r="174" s="70" customFormat="1" x14ac:dyDescent="0.2"/>
    <row r="175" s="70" customFormat="1" x14ac:dyDescent="0.2"/>
    <row r="176" s="70" customFormat="1" x14ac:dyDescent="0.2"/>
    <row r="177" s="70" customFormat="1" x14ac:dyDescent="0.2"/>
    <row r="178" s="70" customFormat="1" x14ac:dyDescent="0.2"/>
    <row r="179" s="70" customFormat="1" x14ac:dyDescent="0.2"/>
    <row r="180" s="70" customFormat="1" x14ac:dyDescent="0.2"/>
    <row r="181" s="70" customFormat="1" x14ac:dyDescent="0.2"/>
    <row r="182" s="70" customFormat="1" x14ac:dyDescent="0.2"/>
    <row r="183" s="70" customFormat="1" x14ac:dyDescent="0.2"/>
    <row r="184" s="70" customFormat="1" x14ac:dyDescent="0.2"/>
    <row r="185" s="70" customFormat="1" x14ac:dyDescent="0.2"/>
    <row r="186" s="70" customFormat="1" x14ac:dyDescent="0.2"/>
    <row r="187" s="70" customFormat="1" x14ac:dyDescent="0.2"/>
    <row r="188" s="70" customFormat="1" x14ac:dyDescent="0.2"/>
    <row r="189" s="70" customFormat="1" x14ac:dyDescent="0.2"/>
    <row r="190" s="70" customFormat="1" x14ac:dyDescent="0.2"/>
    <row r="191" s="70" customFormat="1" x14ac:dyDescent="0.2"/>
    <row r="192" s="70" customFormat="1" x14ac:dyDescent="0.2"/>
    <row r="193" s="70" customFormat="1" x14ac:dyDescent="0.2"/>
    <row r="194" s="70" customFormat="1" x14ac:dyDescent="0.2"/>
    <row r="195" s="70" customFormat="1" x14ac:dyDescent="0.2"/>
    <row r="196" s="70" customFormat="1" x14ac:dyDescent="0.2"/>
    <row r="197" s="70" customFormat="1" x14ac:dyDescent="0.2"/>
    <row r="198" s="70" customFormat="1" x14ac:dyDescent="0.2"/>
    <row r="199" s="70" customFormat="1" x14ac:dyDescent="0.2"/>
    <row r="200" s="70" customFormat="1" x14ac:dyDescent="0.2"/>
    <row r="201" s="70" customFormat="1" x14ac:dyDescent="0.2"/>
    <row r="202" s="70" customFormat="1" x14ac:dyDescent="0.2"/>
    <row r="203" s="70" customFormat="1" x14ac:dyDescent="0.2"/>
    <row r="204" s="70" customFormat="1" x14ac:dyDescent="0.2"/>
    <row r="205" s="70" customFormat="1" x14ac:dyDescent="0.2"/>
    <row r="206" s="70" customFormat="1" x14ac:dyDescent="0.2"/>
    <row r="207" s="70" customFormat="1" x14ac:dyDescent="0.2"/>
    <row r="208" s="70" customFormat="1" x14ac:dyDescent="0.2"/>
    <row r="209" s="70" customFormat="1" x14ac:dyDescent="0.2"/>
    <row r="210" s="70" customFormat="1" x14ac:dyDescent="0.2"/>
    <row r="211" s="70" customFormat="1" x14ac:dyDescent="0.2"/>
    <row r="212" s="70" customFormat="1" x14ac:dyDescent="0.2"/>
    <row r="213" s="70" customFormat="1" x14ac:dyDescent="0.2"/>
    <row r="214" s="70" customFormat="1" x14ac:dyDescent="0.2"/>
    <row r="215" s="70" customFormat="1" x14ac:dyDescent="0.2"/>
    <row r="216" s="70" customFormat="1" x14ac:dyDescent="0.2"/>
    <row r="217" s="70" customFormat="1" x14ac:dyDescent="0.2"/>
    <row r="218" s="70" customFormat="1" x14ac:dyDescent="0.2"/>
    <row r="219" s="70" customFormat="1" x14ac:dyDescent="0.2"/>
    <row r="220" s="70" customFormat="1" x14ac:dyDescent="0.2"/>
    <row r="221" s="70" customFormat="1" x14ac:dyDescent="0.2"/>
    <row r="222" s="70" customFormat="1" x14ac:dyDescent="0.2"/>
    <row r="223" s="70" customFormat="1" x14ac:dyDescent="0.2"/>
    <row r="224" s="70" customFormat="1" x14ac:dyDescent="0.2"/>
    <row r="225" s="70" customFormat="1" x14ac:dyDescent="0.2"/>
    <row r="226" s="70" customFormat="1" x14ac:dyDescent="0.2"/>
    <row r="227" s="70" customFormat="1" x14ac:dyDescent="0.2"/>
    <row r="228" s="70" customFormat="1" x14ac:dyDescent="0.2"/>
    <row r="229" s="70" customFormat="1" x14ac:dyDescent="0.2"/>
    <row r="230" s="70" customFormat="1" x14ac:dyDescent="0.2"/>
    <row r="231" s="70" customFormat="1" x14ac:dyDescent="0.2"/>
    <row r="232" s="70" customFormat="1" x14ac:dyDescent="0.2"/>
    <row r="233" s="70" customFormat="1" x14ac:dyDescent="0.2"/>
    <row r="234" s="70" customFormat="1" x14ac:dyDescent="0.2"/>
    <row r="235" s="70" customFormat="1" x14ac:dyDescent="0.2"/>
    <row r="236" s="70" customFormat="1" x14ac:dyDescent="0.2"/>
    <row r="237" s="70" customFormat="1" x14ac:dyDescent="0.2"/>
    <row r="238" s="70" customFormat="1" x14ac:dyDescent="0.2"/>
    <row r="239" s="70" customFormat="1" x14ac:dyDescent="0.2"/>
    <row r="240" s="70" customFormat="1" x14ac:dyDescent="0.2"/>
    <row r="241" s="70" customFormat="1" x14ac:dyDescent="0.2"/>
    <row r="242" s="70" customFormat="1" x14ac:dyDescent="0.2"/>
    <row r="243" s="70" customFormat="1" x14ac:dyDescent="0.2"/>
    <row r="244" s="70" customFormat="1" x14ac:dyDescent="0.2"/>
    <row r="245" s="70" customFormat="1" x14ac:dyDescent="0.2"/>
    <row r="246" s="70" customFormat="1" x14ac:dyDescent="0.2"/>
    <row r="247" s="70" customFormat="1" x14ac:dyDescent="0.2"/>
    <row r="248" s="70" customFormat="1" x14ac:dyDescent="0.2"/>
    <row r="249" s="70" customFormat="1" x14ac:dyDescent="0.2"/>
    <row r="250" s="70" customFormat="1" x14ac:dyDescent="0.2"/>
    <row r="251" s="70" customFormat="1" x14ac:dyDescent="0.2"/>
    <row r="252" s="70" customFormat="1" x14ac:dyDescent="0.2"/>
    <row r="253" s="70" customFormat="1" x14ac:dyDescent="0.2"/>
    <row r="254" s="70" customFormat="1" x14ac:dyDescent="0.2"/>
    <row r="255" s="70" customFormat="1" x14ac:dyDescent="0.2"/>
    <row r="256" s="70" customFormat="1" x14ac:dyDescent="0.2"/>
    <row r="257" s="70" customFormat="1" x14ac:dyDescent="0.2"/>
    <row r="258" s="70" customFormat="1" x14ac:dyDescent="0.2"/>
    <row r="259" s="70" customFormat="1" x14ac:dyDescent="0.2"/>
    <row r="260" s="70" customFormat="1" x14ac:dyDescent="0.2"/>
    <row r="261" s="70" customFormat="1" x14ac:dyDescent="0.2"/>
    <row r="262" s="70" customFormat="1" x14ac:dyDescent="0.2"/>
    <row r="263" s="70" customFormat="1" x14ac:dyDescent="0.2"/>
    <row r="264" s="70" customFormat="1" x14ac:dyDescent="0.2"/>
    <row r="265" s="70" customFormat="1" x14ac:dyDescent="0.2"/>
    <row r="266" s="70" customFormat="1" x14ac:dyDescent="0.2"/>
    <row r="267" s="70" customFormat="1" x14ac:dyDescent="0.2"/>
    <row r="268" s="70" customFormat="1" x14ac:dyDescent="0.2"/>
    <row r="269" s="70" customFormat="1" x14ac:dyDescent="0.2"/>
    <row r="270" s="70" customFormat="1" x14ac:dyDescent="0.2"/>
    <row r="271" s="70" customFormat="1" x14ac:dyDescent="0.2"/>
    <row r="272" s="70" customFormat="1" x14ac:dyDescent="0.2"/>
    <row r="273" s="70" customFormat="1" x14ac:dyDescent="0.2"/>
    <row r="274" s="70" customFormat="1" x14ac:dyDescent="0.2"/>
    <row r="275" s="70" customFormat="1" x14ac:dyDescent="0.2"/>
    <row r="276" s="70" customFormat="1" x14ac:dyDescent="0.2"/>
    <row r="277" s="70" customFormat="1" x14ac:dyDescent="0.2"/>
    <row r="278" s="70" customFormat="1" x14ac:dyDescent="0.2"/>
    <row r="279" s="70" customFormat="1" x14ac:dyDescent="0.2"/>
    <row r="280" s="70" customFormat="1" x14ac:dyDescent="0.2"/>
    <row r="281" s="70" customFormat="1" x14ac:dyDescent="0.2"/>
    <row r="282" s="70" customFormat="1" x14ac:dyDescent="0.2"/>
    <row r="283" s="70" customFormat="1" x14ac:dyDescent="0.2"/>
    <row r="284" s="70" customFormat="1" x14ac:dyDescent="0.2"/>
    <row r="285" s="70" customFormat="1" x14ac:dyDescent="0.2"/>
    <row r="286" s="70" customFormat="1" x14ac:dyDescent="0.2"/>
    <row r="287" s="70" customFormat="1" x14ac:dyDescent="0.2"/>
    <row r="288" s="70" customFormat="1" x14ac:dyDescent="0.2"/>
    <row r="289" s="70" customFormat="1" x14ac:dyDescent="0.2"/>
    <row r="290" s="70" customFormat="1" x14ac:dyDescent="0.2"/>
    <row r="291" s="70" customFormat="1" x14ac:dyDescent="0.2"/>
    <row r="292" s="70" customFormat="1" x14ac:dyDescent="0.2"/>
    <row r="293" s="70" customFormat="1" x14ac:dyDescent="0.2"/>
    <row r="294" s="70" customFormat="1" x14ac:dyDescent="0.2"/>
    <row r="295" s="70" customFormat="1" x14ac:dyDescent="0.2"/>
    <row r="296" s="70" customFormat="1" x14ac:dyDescent="0.2"/>
    <row r="297" s="70" customFormat="1" x14ac:dyDescent="0.2"/>
    <row r="298" s="70" customFormat="1" x14ac:dyDescent="0.2"/>
    <row r="299" s="70" customFormat="1" x14ac:dyDescent="0.2"/>
    <row r="300" s="70" customFormat="1" x14ac:dyDescent="0.2"/>
    <row r="301" s="70" customFormat="1" x14ac:dyDescent="0.2"/>
    <row r="302" s="70" customFormat="1" x14ac:dyDescent="0.2"/>
    <row r="303" s="70" customFormat="1" x14ac:dyDescent="0.2"/>
    <row r="304" s="70" customFormat="1" x14ac:dyDescent="0.2"/>
    <row r="305" s="70" customFormat="1" x14ac:dyDescent="0.2"/>
    <row r="306" s="70" customFormat="1" x14ac:dyDescent="0.2"/>
    <row r="307" s="70" customFormat="1" x14ac:dyDescent="0.2"/>
    <row r="308" s="70" customFormat="1" x14ac:dyDescent="0.2"/>
    <row r="309" s="70" customFormat="1" x14ac:dyDescent="0.2"/>
    <row r="310" s="70" customFormat="1" x14ac:dyDescent="0.2"/>
    <row r="311" s="70" customFormat="1" x14ac:dyDescent="0.2"/>
    <row r="312" s="70" customFormat="1" x14ac:dyDescent="0.2"/>
    <row r="313" s="70" customFormat="1" x14ac:dyDescent="0.2"/>
    <row r="314" s="70" customFormat="1" x14ac:dyDescent="0.2"/>
    <row r="315" s="70" customFormat="1" x14ac:dyDescent="0.2"/>
    <row r="316" s="70" customFormat="1" x14ac:dyDescent="0.2"/>
    <row r="317" s="70" customFormat="1" x14ac:dyDescent="0.2"/>
    <row r="318" s="70" customFormat="1" x14ac:dyDescent="0.2"/>
    <row r="319" s="70" customFormat="1" x14ac:dyDescent="0.2"/>
    <row r="320" s="70" customFormat="1" x14ac:dyDescent="0.2"/>
    <row r="321" s="70" customFormat="1" x14ac:dyDescent="0.2"/>
    <row r="322" s="70" customFormat="1" x14ac:dyDescent="0.2"/>
    <row r="323" s="70" customFormat="1" x14ac:dyDescent="0.2"/>
    <row r="324" s="70" customFormat="1" x14ac:dyDescent="0.2"/>
    <row r="325" s="70" customFormat="1" x14ac:dyDescent="0.2"/>
    <row r="326" s="70" customFormat="1" x14ac:dyDescent="0.2"/>
    <row r="327" s="70" customFormat="1" x14ac:dyDescent="0.2"/>
    <row r="328" s="70" customFormat="1" x14ac:dyDescent="0.2"/>
    <row r="329" s="70" customFormat="1" x14ac:dyDescent="0.2"/>
    <row r="330" s="70" customFormat="1" x14ac:dyDescent="0.2"/>
    <row r="331" s="70" customFormat="1" x14ac:dyDescent="0.2"/>
    <row r="332" s="70" customFormat="1" x14ac:dyDescent="0.2"/>
    <row r="333" s="70" customFormat="1" x14ac:dyDescent="0.2"/>
    <row r="334" s="70" customFormat="1" x14ac:dyDescent="0.2"/>
    <row r="335" s="70" customFormat="1" x14ac:dyDescent="0.2"/>
    <row r="336" s="70" customFormat="1" x14ac:dyDescent="0.2"/>
    <row r="337" s="70" customFormat="1" x14ac:dyDescent="0.2"/>
    <row r="338" s="70" customFormat="1" x14ac:dyDescent="0.2"/>
    <row r="339" s="70" customFormat="1" x14ac:dyDescent="0.2"/>
    <row r="340" s="70" customFormat="1" x14ac:dyDescent="0.2"/>
    <row r="341" s="70" customFormat="1" x14ac:dyDescent="0.2"/>
    <row r="342" s="70" customFormat="1" x14ac:dyDescent="0.2"/>
    <row r="343" s="70" customFormat="1" x14ac:dyDescent="0.2"/>
    <row r="344" s="70" customFormat="1" x14ac:dyDescent="0.2"/>
    <row r="345" s="70" customFormat="1" x14ac:dyDescent="0.2"/>
    <row r="346" s="70" customFormat="1" x14ac:dyDescent="0.2"/>
    <row r="347" s="70" customFormat="1" x14ac:dyDescent="0.2"/>
    <row r="348" s="70" customFormat="1" x14ac:dyDescent="0.2"/>
    <row r="349" s="70" customFormat="1" x14ac:dyDescent="0.2"/>
    <row r="350" s="70" customFormat="1" x14ac:dyDescent="0.2"/>
    <row r="351" s="70" customFormat="1" x14ac:dyDescent="0.2"/>
    <row r="352" s="70" customFormat="1" x14ac:dyDescent="0.2"/>
    <row r="353" s="70" customFormat="1" x14ac:dyDescent="0.2"/>
    <row r="354" s="70" customFormat="1" x14ac:dyDescent="0.2"/>
    <row r="355" s="70" customFormat="1" x14ac:dyDescent="0.2"/>
    <row r="356" s="70" customFormat="1" x14ac:dyDescent="0.2"/>
    <row r="357" s="70" customFormat="1" x14ac:dyDescent="0.2"/>
    <row r="358" s="70" customFormat="1" x14ac:dyDescent="0.2"/>
    <row r="359" s="70" customFormat="1" x14ac:dyDescent="0.2"/>
    <row r="360" s="70" customFormat="1" x14ac:dyDescent="0.2"/>
    <row r="361" s="70" customFormat="1" x14ac:dyDescent="0.2"/>
    <row r="362" s="70" customFormat="1" x14ac:dyDescent="0.2"/>
    <row r="363" s="70" customFormat="1" x14ac:dyDescent="0.2"/>
    <row r="364" s="70" customFormat="1" x14ac:dyDescent="0.2"/>
    <row r="365" s="70" customFormat="1" x14ac:dyDescent="0.2"/>
    <row r="366" s="70" customFormat="1" x14ac:dyDescent="0.2"/>
    <row r="367" s="70" customFormat="1" x14ac:dyDescent="0.2"/>
    <row r="368" s="70" customFormat="1" x14ac:dyDescent="0.2"/>
    <row r="369" s="70" customFormat="1" x14ac:dyDescent="0.2"/>
    <row r="370" s="70" customFormat="1" x14ac:dyDescent="0.2"/>
    <row r="371" s="70" customFormat="1" x14ac:dyDescent="0.2"/>
    <row r="372" s="70" customFormat="1" x14ac:dyDescent="0.2"/>
    <row r="373" s="70" customFormat="1" x14ac:dyDescent="0.2"/>
    <row r="374" s="70" customFormat="1" x14ac:dyDescent="0.2"/>
    <row r="375" s="70" customFormat="1" x14ac:dyDescent="0.2"/>
    <row r="376" s="70" customFormat="1" x14ac:dyDescent="0.2"/>
    <row r="377" s="70" customFormat="1" x14ac:dyDescent="0.2"/>
    <row r="378" s="70" customFormat="1" x14ac:dyDescent="0.2"/>
  </sheetData>
  <conditionalFormatting sqref="C11:C98 D71:AA98 C99:AA99">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pane ySplit="3" topLeftCell="A4" activePane="bottomLeft" state="frozen"/>
      <selection pane="bottomLeft" activeCell="C104" sqref="C104"/>
    </sheetView>
  </sheetViews>
  <sheetFormatPr baseColWidth="10" defaultColWidth="8.83203125" defaultRowHeight="15" x14ac:dyDescent="0.2"/>
  <cols>
    <col min="1" max="1" width="9.1640625" style="70" customWidth="1"/>
    <col min="2" max="2" width="13.6640625" style="67" customWidth="1"/>
    <col min="3" max="27" width="6.1640625" style="67" customWidth="1"/>
    <col min="28" max="28" width="6.1640625" style="70" customWidth="1"/>
    <col min="29" max="30" width="15.33203125" style="70" customWidth="1"/>
    <col min="31" max="31" width="10.6640625" style="70" bestFit="1" customWidth="1"/>
    <col min="32" max="72" width="9.1640625" style="70"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0" customFormat="1" x14ac:dyDescent="0.2">
      <c r="AD2" s="70" t="s">
        <v>568</v>
      </c>
      <c r="AE2" s="3" t="str">
        <f>'Table yoy'!AE2</f>
        <v>2022-Q1</v>
      </c>
      <c r="AH2" s="70" t="s">
        <v>589</v>
      </c>
    </row>
    <row r="3" spans="2: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2021-Q4</v>
      </c>
    </row>
    <row r="4" spans="2:34" ht="16" customHeight="1" thickBot="1" x14ac:dyDescent="0.25">
      <c r="B4" s="4" t="s">
        <v>579</v>
      </c>
      <c r="C4" s="13">
        <f t="shared" ref="C4:AA4" si="0">MAX(C90:C93)</f>
        <v>7.547534636</v>
      </c>
      <c r="D4" s="13">
        <f t="shared" si="0"/>
        <v>11.6</v>
      </c>
      <c r="E4" s="13">
        <f t="shared" si="0"/>
        <v>12.817738</v>
      </c>
      <c r="F4" s="13">
        <f t="shared" si="0"/>
        <v>5.2840494150000001</v>
      </c>
      <c r="G4" s="13">
        <f t="shared" si="0"/>
        <v>9.043062505</v>
      </c>
      <c r="H4" s="13">
        <f t="shared" si="0"/>
        <v>19.394170178</v>
      </c>
      <c r="I4" s="13">
        <f t="shared" si="0"/>
        <v>17.595765822000001</v>
      </c>
      <c r="J4" s="13">
        <f t="shared" si="0"/>
        <v>16.023038565</v>
      </c>
      <c r="K4" s="13">
        <f t="shared" si="0"/>
        <v>16.798457004999999</v>
      </c>
      <c r="L4" s="13">
        <f t="shared" si="0"/>
        <v>7.386759241</v>
      </c>
      <c r="M4" s="13">
        <f t="shared" si="0"/>
        <v>13.615062976000001</v>
      </c>
      <c r="N4" s="13">
        <f t="shared" si="0"/>
        <v>2.7780786000000002</v>
      </c>
      <c r="O4" s="13">
        <f t="shared" si="0"/>
        <v>16.798457004999999</v>
      </c>
      <c r="P4" s="13">
        <f t="shared" si="0"/>
        <v>8.9839583770000004</v>
      </c>
      <c r="Q4" s="13">
        <f t="shared" si="0"/>
        <v>3.505833467</v>
      </c>
      <c r="R4" s="13">
        <f t="shared" si="0"/>
        <v>6.2963233150000004</v>
      </c>
      <c r="S4" s="13">
        <f t="shared" si="0"/>
        <v>2.3477855380000001</v>
      </c>
      <c r="T4" s="13">
        <f t="shared" si="0"/>
        <v>7.8920703210000003</v>
      </c>
      <c r="U4" s="13">
        <f t="shared" si="0"/>
        <v>5.4227869750000002</v>
      </c>
      <c r="V4" s="13">
        <f t="shared" si="0"/>
        <v>10.346691912000001</v>
      </c>
      <c r="W4" s="13">
        <f t="shared" si="0"/>
        <v>16.400501818999999</v>
      </c>
      <c r="X4" s="13">
        <f t="shared" si="0"/>
        <v>6.953208665</v>
      </c>
      <c r="Y4" s="13">
        <f t="shared" si="0"/>
        <v>7.3365250270000004</v>
      </c>
      <c r="Z4" s="13">
        <f t="shared" si="0"/>
        <v>12.185239948</v>
      </c>
      <c r="AA4" s="13">
        <f t="shared" si="0"/>
        <v>13.691558835</v>
      </c>
      <c r="AD4" s="14" t="s">
        <v>580</v>
      </c>
      <c r="AE4" s="15" t="str">
        <f>'Table yoy'!AE4</f>
        <v>2021-Q1</v>
      </c>
    </row>
    <row r="5" spans="2:34" x14ac:dyDescent="0.2">
      <c r="B5" s="4" t="s">
        <v>581</v>
      </c>
      <c r="C5" s="13">
        <f t="shared" ref="C5:AA5" si="1">MIN(C90:C93)</f>
        <v>-8.9372505009999994</v>
      </c>
      <c r="D5" s="13">
        <f t="shared" si="1"/>
        <v>-10.3</v>
      </c>
      <c r="E5" s="13">
        <f t="shared" si="1"/>
        <v>-11.665675</v>
      </c>
      <c r="F5" s="13">
        <f t="shared" si="1"/>
        <v>-7.9018844359999996</v>
      </c>
      <c r="G5" s="13">
        <f t="shared" si="1"/>
        <v>-9.9962156110000002</v>
      </c>
      <c r="H5" s="13">
        <f t="shared" si="1"/>
        <v>-13.721498431000001</v>
      </c>
      <c r="I5" s="13">
        <f t="shared" si="1"/>
        <v>-19.428322456</v>
      </c>
      <c r="J5" s="13">
        <f t="shared" si="1"/>
        <v>-12.606197908</v>
      </c>
      <c r="K5" s="13">
        <f t="shared" si="1"/>
        <v>-17.652092760999999</v>
      </c>
      <c r="L5" s="13">
        <f t="shared" si="1"/>
        <v>-8.0628687939999999</v>
      </c>
      <c r="M5" s="13">
        <f t="shared" si="1"/>
        <v>-17.839348944000001</v>
      </c>
      <c r="N5" s="13">
        <f t="shared" si="1"/>
        <v>-4.4850020739999996</v>
      </c>
      <c r="O5" s="13">
        <f t="shared" si="1"/>
        <v>-17.652092760999999</v>
      </c>
      <c r="P5" s="13">
        <f t="shared" si="1"/>
        <v>-11.042537245</v>
      </c>
      <c r="Q5" s="13">
        <f t="shared" si="1"/>
        <v>-6.7966776299999996</v>
      </c>
      <c r="R5" s="13">
        <f t="shared" si="1"/>
        <v>-6.1367257290000001</v>
      </c>
      <c r="S5" s="13">
        <f t="shared" si="1"/>
        <v>-3.026935758</v>
      </c>
      <c r="T5" s="13">
        <f t="shared" si="1"/>
        <v>-8.7694941350000004</v>
      </c>
      <c r="U5" s="13">
        <f t="shared" si="1"/>
        <v>-13.360691096</v>
      </c>
      <c r="V5" s="13">
        <f t="shared" si="1"/>
        <v>-2.8058950970000001</v>
      </c>
      <c r="W5" s="13">
        <f t="shared" si="1"/>
        <v>-10.769850757</v>
      </c>
      <c r="X5" s="13">
        <f t="shared" si="1"/>
        <v>-8.8487394629999994</v>
      </c>
      <c r="Y5" s="13">
        <f t="shared" si="1"/>
        <v>-9.0947213579999993</v>
      </c>
      <c r="Z5" s="13">
        <f t="shared" si="1"/>
        <v>-15.080425188</v>
      </c>
      <c r="AA5" s="13">
        <f t="shared" si="1"/>
        <v>-10.34616639</v>
      </c>
      <c r="AC5" s="16" t="s">
        <v>582</v>
      </c>
      <c r="AE5" s="17"/>
    </row>
    <row r="6" spans="2:34" x14ac:dyDescent="0.2">
      <c r="B6" s="4" t="s">
        <v>583</v>
      </c>
      <c r="C6" s="13">
        <f t="shared" ref="C6:AA6" si="2">AVERAGE(C90:C93)</f>
        <v>-0.55605024825000005</v>
      </c>
      <c r="D6" s="13">
        <f t="shared" si="2"/>
        <v>1.4749999999999996</v>
      </c>
      <c r="E6" s="13">
        <f t="shared" si="2"/>
        <v>-0.61276749999999991</v>
      </c>
      <c r="F6" s="13">
        <f t="shared" si="2"/>
        <v>-1.2394190544999999</v>
      </c>
      <c r="G6" s="13">
        <f t="shared" si="2"/>
        <v>-0.69788582450000014</v>
      </c>
      <c r="H6" s="13">
        <f t="shared" si="2"/>
        <v>-8.5384176749999874E-2</v>
      </c>
      <c r="I6" s="13">
        <f t="shared" si="2"/>
        <v>-1.1007977774999995</v>
      </c>
      <c r="J6" s="13">
        <f t="shared" si="2"/>
        <v>-0.82693468699999961</v>
      </c>
      <c r="K6" s="13">
        <f t="shared" si="2"/>
        <v>-1.4670705919999998</v>
      </c>
      <c r="L6" s="13">
        <f t="shared" si="2"/>
        <v>-0.12166983824999988</v>
      </c>
      <c r="M6" s="13">
        <f t="shared" si="2"/>
        <v>-1.5047572137499996</v>
      </c>
      <c r="N6" s="13">
        <f t="shared" si="2"/>
        <v>-0.58893363149999989</v>
      </c>
      <c r="O6" s="13">
        <f t="shared" si="2"/>
        <v>-1.4670705919999998</v>
      </c>
      <c r="P6" s="13">
        <f t="shared" si="2"/>
        <v>-0.97879943074999964</v>
      </c>
      <c r="Q6" s="13">
        <f t="shared" si="2"/>
        <v>-0.80074420824999992</v>
      </c>
      <c r="R6" s="13">
        <f t="shared" si="2"/>
        <v>-0.23515378149999999</v>
      </c>
      <c r="S6" s="13">
        <f t="shared" si="2"/>
        <v>-0.18637254000000003</v>
      </c>
      <c r="T6" s="13">
        <f t="shared" si="2"/>
        <v>-0.74725464974999989</v>
      </c>
      <c r="U6" s="13">
        <f t="shared" si="2"/>
        <v>-2.5757339217500004</v>
      </c>
      <c r="V6" s="13">
        <f t="shared" si="2"/>
        <v>2.8077973572500001</v>
      </c>
      <c r="W6" s="13">
        <f t="shared" si="2"/>
        <v>1.8603809869999997</v>
      </c>
      <c r="X6" s="13">
        <f t="shared" si="2"/>
        <v>-1.16368377475</v>
      </c>
      <c r="Y6" s="13">
        <f t="shared" si="2"/>
        <v>-0.21919851424999948</v>
      </c>
      <c r="Z6" s="13">
        <f t="shared" si="2"/>
        <v>-2.1926200250000001</v>
      </c>
      <c r="AA6" s="13">
        <f t="shared" si="2"/>
        <v>0.6206325184999999</v>
      </c>
      <c r="AC6" s="18"/>
      <c r="AD6" s="70" t="s">
        <v>584</v>
      </c>
      <c r="AE6" s="17" t="s">
        <v>64</v>
      </c>
    </row>
    <row r="7" spans="2:34" ht="16" customHeight="1" thickBot="1" x14ac:dyDescent="0.25">
      <c r="B7" s="4" t="s">
        <v>585</v>
      </c>
      <c r="C7" s="13" t="str">
        <f>IF((VLOOKUP($AE$2,$B:$AA,MATCH(C3,$B$3:$AA$3,),))&gt;C6,"above","below")</f>
        <v>above</v>
      </c>
      <c r="D7" s="13" t="str">
        <f t="shared" ref="C7:Y7" si="3">IF((VLOOKUP($AE$2,$B:$Y,MATCH(D3,$B$3:$Y$3,),))&gt;D6,"above","below")</f>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below</v>
      </c>
      <c r="M7" s="13" t="str">
        <f t="shared" si="3"/>
        <v>above</v>
      </c>
      <c r="N7" s="13" t="e">
        <f t="shared" si="3"/>
        <v>#N/A</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below</v>
      </c>
      <c r="AC7" s="19"/>
      <c r="AD7" s="20" t="s">
        <v>586</v>
      </c>
      <c r="AE7" s="21" t="s">
        <v>31</v>
      </c>
    </row>
    <row r="8" spans="2:34" x14ac:dyDescent="0.2">
      <c r="B8" s="4" t="s">
        <v>587</v>
      </c>
      <c r="C8" s="13">
        <f>VLOOKUP($AE$2,$B:$AA,MATCH(C3,$B$3:$AA$3,),)-VLOOKUP($AE$4,$B:$AA,MATCH(C3,$B$3:$AA$3,),)</f>
        <v>-1.9295821069999999</v>
      </c>
      <c r="D8" s="13">
        <f t="shared" ref="C8:Y8" si="4">VLOOKUP($AE$2,$B:$Y,MATCH(D3,$B$3:$Y$3,),)-VLOOKUP($AE$4,$B:$Y,MATCH(D3,$B$3:$Y$3,),)</f>
        <v>0.8</v>
      </c>
      <c r="E8" s="13">
        <f t="shared" si="4"/>
        <v>0.74545099999999997</v>
      </c>
      <c r="F8" s="13">
        <f t="shared" si="4"/>
        <v>0.27219264499999996</v>
      </c>
      <c r="G8" s="13">
        <f t="shared" si="4"/>
        <v>1.9196286120000001</v>
      </c>
      <c r="H8" s="13">
        <f t="shared" si="4"/>
        <v>-0.44123214899999996</v>
      </c>
      <c r="I8" s="13">
        <f t="shared" si="4"/>
        <v>1.9456213870000001</v>
      </c>
      <c r="J8" s="13">
        <f t="shared" si="4"/>
        <v>-0.10553322100000001</v>
      </c>
      <c r="K8" s="13">
        <f t="shared" si="4"/>
        <v>0.70140856499999993</v>
      </c>
      <c r="L8" s="13">
        <f t="shared" si="4"/>
        <v>-2.41083201</v>
      </c>
      <c r="M8" s="13">
        <f t="shared" si="4"/>
        <v>0.62837347799999987</v>
      </c>
      <c r="N8" s="13" t="e">
        <f t="shared" si="4"/>
        <v>#N/A</v>
      </c>
      <c r="O8" s="13">
        <f t="shared" si="4"/>
        <v>0.70140856499999993</v>
      </c>
      <c r="P8" s="13">
        <f t="shared" si="4"/>
        <v>-0.33793221600000001</v>
      </c>
      <c r="Q8" s="13">
        <f t="shared" si="4"/>
        <v>-1.0289328390000001</v>
      </c>
      <c r="R8" s="13">
        <f t="shared" si="4"/>
        <v>0.71401292999999999</v>
      </c>
      <c r="S8" s="13">
        <f t="shared" si="4"/>
        <v>-1.0900993539999999</v>
      </c>
      <c r="T8" s="13">
        <f t="shared" si="4"/>
        <v>-8.9599237999999914E-2</v>
      </c>
      <c r="U8" s="13">
        <f t="shared" si="4"/>
        <v>-1.088757127</v>
      </c>
      <c r="V8" s="13">
        <f t="shared" si="4"/>
        <v>1.3845434710000006</v>
      </c>
      <c r="W8" s="13">
        <f t="shared" si="4"/>
        <v>-1.0035006129999999</v>
      </c>
      <c r="X8" s="13">
        <f t="shared" si="4"/>
        <v>1.3884803130000001</v>
      </c>
      <c r="Y8" s="13">
        <f t="shared" si="4"/>
        <v>1.1114078349999998</v>
      </c>
      <c r="Z8" s="13">
        <f>VLOOKUP($AE$2,$B:$Z,MATCH(Z3,$B$3:$Z$3,),)-VLOOKUP($AE$4,$B:$Z,MATCH(Z3,$B$3:$Z$3,),)</f>
        <v>-2.4847128930000002</v>
      </c>
      <c r="AA8" s="13">
        <f>VLOOKUP($AE$2,$B:$AA,MATCH(AA3,$B$3:$AA$3,),)-VLOOKUP($AE$4,$B:$AA,MATCH(AA3,$B$3:$AA$3,),)</f>
        <v>-1.8683755470000001</v>
      </c>
    </row>
    <row r="9" spans="2:34" x14ac:dyDescent="0.2">
      <c r="B9" s="4" t="s">
        <v>588</v>
      </c>
      <c r="C9" s="13">
        <f>VLOOKUP($AE$2,$B:$Y,MATCH(C3,$B$3:$Y$3,),)-VLOOKUP($AE$3,$B:$Y,MATCH(C3,$B$3:$Y$3,),)</f>
        <v>-2.076470746</v>
      </c>
      <c r="D9" s="13">
        <f t="shared" ref="C9:Y9" si="5">VLOOKUP($AE$2,$B:$Y,MATCH(D3,$B$3:$Y$3,),)-VLOOKUP($AE$3,$B:$Y,MATCH(D3,$B$3:$Y$3,),)</f>
        <v>-0.19999999999999996</v>
      </c>
      <c r="E9" s="13">
        <f t="shared" si="5"/>
        <v>0.37486999999999993</v>
      </c>
      <c r="F9" s="13">
        <f t="shared" si="5"/>
        <v>-1.1091225360000001</v>
      </c>
      <c r="G9" s="13">
        <f t="shared" si="5"/>
        <v>0.58259093299999998</v>
      </c>
      <c r="H9" s="13">
        <f t="shared" si="5"/>
        <v>-0.65312661400000005</v>
      </c>
      <c r="I9" s="13">
        <f t="shared" si="5"/>
        <v>-0.50152880899999996</v>
      </c>
      <c r="J9" s="13">
        <f t="shared" si="5"/>
        <v>-0.55786744499999996</v>
      </c>
      <c r="K9" s="13">
        <f t="shared" si="5"/>
        <v>-2.023574032</v>
      </c>
      <c r="L9" s="13">
        <f t="shared" si="5"/>
        <v>-1.9617955149999999</v>
      </c>
      <c r="M9" s="13">
        <f t="shared" si="5"/>
        <v>0.7675520079999999</v>
      </c>
      <c r="N9" s="13" t="e">
        <f t="shared" si="5"/>
        <v>#N/A</v>
      </c>
      <c r="O9" s="13">
        <f t="shared" si="5"/>
        <v>-2.023574032</v>
      </c>
      <c r="P9" s="13">
        <f t="shared" si="5"/>
        <v>-0.84755471000000004</v>
      </c>
      <c r="Q9" s="13">
        <f t="shared" si="5"/>
        <v>-2.8687719510000003</v>
      </c>
      <c r="R9" s="13">
        <f t="shared" si="5"/>
        <v>0.31894247800000003</v>
      </c>
      <c r="S9" s="13">
        <f t="shared" si="5"/>
        <v>-0.70380785500000009</v>
      </c>
      <c r="T9" s="13">
        <f t="shared" si="5"/>
        <v>0.33386480399999996</v>
      </c>
      <c r="U9" s="13">
        <f t="shared" si="5"/>
        <v>1.5405328739999997</v>
      </c>
      <c r="V9" s="13">
        <f t="shared" si="5"/>
        <v>17.010118501000001</v>
      </c>
      <c r="W9" s="13">
        <f t="shared" si="5"/>
        <v>-0.31035236799999999</v>
      </c>
      <c r="X9" s="13">
        <f t="shared" si="5"/>
        <v>2.5893437999999991E-2</v>
      </c>
      <c r="Y9" s="13">
        <f t="shared" si="5"/>
        <v>0.6826202389999998</v>
      </c>
      <c r="Z9" s="13">
        <f>VLOOKUP($AE$2,$B:$Z,MATCH(Z3,$B$3:$Z$3,),)-VLOOKUP($AE$3,$B:$Z,MATCH(Z3,$B$3:$Z$3,),)</f>
        <v>-0.97852941400000004</v>
      </c>
      <c r="AA9" s="13">
        <f>VLOOKUP($AE$2,$B:$AA,MATCH(AA3,$B$3:$AA$3,),)-VLOOKUP($AE$3,$B:$AA,MATCH(AA3,$B$3:$AA$3,),)</f>
        <v>-3.129109202</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1.2424789999999999</v>
      </c>
      <c r="F11" s="25">
        <f>VLOOKUP(B11,'Data qoq'!$A:$AT,MATCH($F$1,'Data qoq'!$A$1:$AT$1,),)</f>
        <v>1.6981987810000001</v>
      </c>
      <c r="G11" s="25">
        <f>VLOOKUP(B11,'Data qoq'!$A:$AT,MATCH($G$1,'Data qoq'!$A$1:$AT$1,),)</f>
        <v>1.430876974</v>
      </c>
      <c r="H11" s="25">
        <f>VLOOKUP(B11,'Data qoq'!$A:$AT,MATCH($H$1,'Data qoq'!$A$1:$AT$1,),)</f>
        <v>1.0391530449999999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0.67347310999999999</v>
      </c>
      <c r="M11" s="25">
        <f>VLOOKUP(B11,'Data qoq'!$A:$AT,MATCH($M$1,'Data qoq'!$A$1:$AT$1,),)</f>
        <v>1.882978356</v>
      </c>
      <c r="N11" s="25">
        <f>VLOOKUP(B11,'Data qoq'!$A:$AT,MATCH($N$1,'Data qoq'!$A$1:$AT$1,),)</f>
        <v>0</v>
      </c>
      <c r="O11" s="25">
        <f>VLOOKUP(B11,'Data qoq'!$A:$AT,MATCH($C$1,'Data qoq'!$J$1:$AT$1,),)</f>
        <v>1.455051221</v>
      </c>
      <c r="P11" s="25">
        <f>VLOOKUP(B11,'Data qoq'!$A:$AT,MATCH($P$1,'Data qoq'!$A$1:$AT$1,),)</f>
        <v>1.59973568</v>
      </c>
      <c r="Q11" s="25">
        <f>VLOOKUP(B11,'Data qoq'!$A:$AT,MATCH($Q$1,'Data qoq'!$A$1:$AT$1,),)</f>
        <v>0.40307412999999997</v>
      </c>
      <c r="R11" s="25">
        <f>VLOOKUP(B11,'Data qoq'!$A:$AT,MATCH($E$1,'Data qoq'!$A$1:$AT$1,),)</f>
        <v>1.2424789999999999</v>
      </c>
      <c r="S11" s="25">
        <f>VLOOKUP(B11,'Data qoq'!$A:$AT,MATCH($S$1,'Data qoq'!$A$1:$AT$1,),)</f>
        <v>1.895051738</v>
      </c>
      <c r="T11" s="25">
        <f>VLOOKUP(B11,'Data qoq'!$A:$AT,MATCH($T$1,'Data qoq'!$A$1:$AT$1,),)</f>
        <v>1.0399027270000001</v>
      </c>
      <c r="U11" s="25">
        <f>VLOOKUP(B11,'Data qoq'!$A:$AT,MATCH($U$1,'Data qoq'!$A$1:$AT$1,),)</f>
        <v>0.37966255999999998</v>
      </c>
      <c r="V11" s="25">
        <f>VLOOKUP(B11,'Data qoq'!$A:$AT,MATCH($V$1,'Data qoq'!$A$1:$AT$1,),)</f>
        <v>1.8610975139999999</v>
      </c>
      <c r="W11" s="25">
        <f>VLOOKUP(B11,'Data qoq'!$A:$AT,MATCH($W$1,'Data qoq'!$A$1:$AT$1,),)</f>
        <v>1.5748513790000001</v>
      </c>
      <c r="X11" s="25">
        <f>VLOOKUP(B11,'Data qoq'!$A:$AT,MATCH($X$1,'Data qoq'!$A$1:$AT$1,),)</f>
        <v>1.3260170120000001</v>
      </c>
      <c r="Y11" s="25">
        <f>VLOOKUP(B11,'Data qoq'!$A:$AT,MATCH($Y$1,'Data qoq'!$A$1:$AT$1,),)</f>
        <v>-0.340982059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row>
    <row r="12" spans="2:34" hidden="1" x14ac:dyDescent="0.2">
      <c r="B12" s="24" t="s">
        <v>278</v>
      </c>
      <c r="C12" s="25">
        <f>VLOOKUP(B12,'Data qoq'!$A:$AT,MATCH($C$1,'Data qoq'!$A$1:$AT$1,),)</f>
        <v>1.8205830080000001</v>
      </c>
      <c r="D12" s="25">
        <f>VLOOKUP(B12,'Data qoq'!$A:$AT,MATCH($D$1,'Data qoq'!$A$1:$AT$1,),)</f>
        <v>0</v>
      </c>
      <c r="E12" s="25">
        <f>VLOOKUP(B12,'Data qoq'!$A:$AT,MATCH($E$1,'Data qoq'!$A$1:$AT$1,),)</f>
        <v>0.93220199999999998</v>
      </c>
      <c r="F12" s="25">
        <f>VLOOKUP(B12,'Data qoq'!$A:$AT,MATCH($F$1,'Data qoq'!$A$1:$AT$1,),)</f>
        <v>0.47328397300000002</v>
      </c>
      <c r="G12" s="25">
        <f>VLOOKUP(B12,'Data qoq'!$A:$AT,MATCH($G$1,'Data qoq'!$A$1:$AT$1,),)</f>
        <v>0.821432516</v>
      </c>
      <c r="H12" s="25">
        <f>VLOOKUP(B12,'Data qoq'!$A:$AT,MATCH($H$1,'Data qoq'!$A$1:$AT$1,),)</f>
        <v>1.060572654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2.514784653</v>
      </c>
      <c r="M12" s="25">
        <f>VLOOKUP(B12,'Data qoq'!$A:$AT,MATCH($M$1,'Data qoq'!$A$1:$AT$1,),)</f>
        <v>1.505105275</v>
      </c>
      <c r="N12" s="25">
        <f>VLOOKUP(B12,'Data qoq'!$A:$AT,MATCH($N$1,'Data qoq'!$A$1:$AT$1,),)</f>
        <v>0</v>
      </c>
      <c r="O12" s="25">
        <f>VLOOKUP(B12,'Data qoq'!$A:$AT,MATCH($C$1,'Data qoq'!$J$1:$AT$1,),)</f>
        <v>4.7454588999999998E-2</v>
      </c>
      <c r="P12" s="25">
        <f>VLOOKUP(B12,'Data qoq'!$A:$AT,MATCH($P$1,'Data qoq'!$A$1:$AT$1,),)</f>
        <v>1.1885847089999999</v>
      </c>
      <c r="Q12" s="25">
        <f>VLOOKUP(B12,'Data qoq'!$A:$AT,MATCH($Q$1,'Data qoq'!$A$1:$AT$1,),)</f>
        <v>0.93833457600000003</v>
      </c>
      <c r="R12" s="25">
        <f>VLOOKUP(B12,'Data qoq'!$A:$AT,MATCH($E$1,'Data qoq'!$A$1:$AT$1,),)</f>
        <v>0.93220199999999998</v>
      </c>
      <c r="S12" s="25">
        <f>VLOOKUP(B12,'Data qoq'!$A:$AT,MATCH($S$1,'Data qoq'!$A$1:$AT$1,),)</f>
        <v>1.3325102150000001</v>
      </c>
      <c r="T12" s="25">
        <f>VLOOKUP(B12,'Data qoq'!$A:$AT,MATCH($T$1,'Data qoq'!$A$1:$AT$1,),)</f>
        <v>1.414711606</v>
      </c>
      <c r="U12" s="25">
        <f>VLOOKUP(B12,'Data qoq'!$A:$AT,MATCH($U$1,'Data qoq'!$A$1:$AT$1,),)</f>
        <v>0.92199407799999999</v>
      </c>
      <c r="V12" s="25">
        <f>VLOOKUP(B12,'Data qoq'!$A:$AT,MATCH($V$1,'Data qoq'!$A$1:$AT$1,),)</f>
        <v>3.3149614559999998</v>
      </c>
      <c r="W12" s="25">
        <f>VLOOKUP(B12,'Data qoq'!$A:$AT,MATCH($W$1,'Data qoq'!$A$1:$AT$1,),)</f>
        <v>3.8933703569999998</v>
      </c>
      <c r="X12" s="25">
        <f>VLOOKUP(B12,'Data qoq'!$A:$AT,MATCH($X$1,'Data qoq'!$A$1:$AT$1,),)</f>
        <v>0.95429668599999995</v>
      </c>
      <c r="Y12" s="25">
        <f>VLOOKUP(B12,'Data qoq'!$A:$AT,MATCH($Y$1,'Data qoq'!$A$1:$AT$1,),)</f>
        <v>1.204555729</v>
      </c>
      <c r="Z12" s="25">
        <f>VLOOKUP(B12,'Data qoq'!$A:$AU,MATCH($Z$1,'Data qoq'!$A$1:$AU$1,),)</f>
        <v>-1.6088924600000001</v>
      </c>
      <c r="AA12" s="25" t="e">
        <f>VLOOKUP(C12,'Data qoq'!$A:$AU,MATCH($Z$1,'Data qoq'!$A$1:$AU$1,),)</f>
        <v>#N/A</v>
      </c>
      <c r="AC12" s="26" t="str">
        <f t="shared" si="6"/>
        <v>2000-Q2</v>
      </c>
      <c r="AD12" s="27">
        <f t="shared" si="7"/>
        <v>0.99915049200000006</v>
      </c>
      <c r="AE12" s="27"/>
    </row>
    <row r="13" spans="2:34" hidden="1" x14ac:dyDescent="0.2">
      <c r="B13" s="24" t="s">
        <v>279</v>
      </c>
      <c r="C13" s="25">
        <f>VLOOKUP(B13,'Data qoq'!$A:$AT,MATCH($C$1,'Data qoq'!$A$1:$AT$1,),)</f>
        <v>9.9774128000000004E-2</v>
      </c>
      <c r="D13" s="25">
        <f>VLOOKUP(B13,'Data qoq'!$A:$AT,MATCH($D$1,'Data qoq'!$A$1:$AT$1,),)</f>
        <v>0</v>
      </c>
      <c r="E13" s="25">
        <f>VLOOKUP(B13,'Data qoq'!$A:$AT,MATCH($E$1,'Data qoq'!$A$1:$AT$1,),)</f>
        <v>0.54920599999999997</v>
      </c>
      <c r="F13" s="25">
        <f>VLOOKUP(B13,'Data qoq'!$A:$AT,MATCH($F$1,'Data qoq'!$A$1:$AT$1,),)</f>
        <v>2.5615445000000001E-2</v>
      </c>
      <c r="G13" s="25">
        <f>VLOOKUP(B13,'Data qoq'!$A:$AT,MATCH($G$1,'Data qoq'!$A$1:$AT$1,),)</f>
        <v>-2.3611874000000001E-2</v>
      </c>
      <c r="H13" s="25">
        <f>VLOOKUP(B13,'Data qoq'!$A:$AT,MATCH($H$1,'Data qoq'!$A$1:$AT$1,),)</f>
        <v>0.67108077799999999</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0.79858975099999996</v>
      </c>
      <c r="M13" s="25">
        <f>VLOOKUP(B13,'Data qoq'!$A:$AT,MATCH($M$1,'Data qoq'!$A$1:$AT$1,),)</f>
        <v>1.020346693</v>
      </c>
      <c r="N13" s="25">
        <f>VLOOKUP(B13,'Data qoq'!$A:$AT,MATCH($N$1,'Data qoq'!$A$1:$AT$1,),)</f>
        <v>0</v>
      </c>
      <c r="O13" s="25">
        <f>VLOOKUP(B13,'Data qoq'!$A:$AT,MATCH($C$1,'Data qoq'!$J$1:$AT$1,),)</f>
        <v>0.39263221700000001</v>
      </c>
      <c r="P13" s="25">
        <f>VLOOKUP(B13,'Data qoq'!$A:$AT,MATCH($P$1,'Data qoq'!$A$1:$AT$1,),)</f>
        <v>1.0169817880000001</v>
      </c>
      <c r="Q13" s="25">
        <f>VLOOKUP(B13,'Data qoq'!$A:$AT,MATCH($Q$1,'Data qoq'!$A$1:$AT$1,),)</f>
        <v>0.24857749000000001</v>
      </c>
      <c r="R13" s="25">
        <f>VLOOKUP(B13,'Data qoq'!$A:$AT,MATCH($E$1,'Data qoq'!$A$1:$AT$1,),)</f>
        <v>0.54920599999999997</v>
      </c>
      <c r="S13" s="25">
        <f>VLOOKUP(B13,'Data qoq'!$A:$AT,MATCH($S$1,'Data qoq'!$A$1:$AT$1,),)</f>
        <v>2.754591172</v>
      </c>
      <c r="T13" s="25">
        <f>VLOOKUP(B13,'Data qoq'!$A:$AT,MATCH($T$1,'Data qoq'!$A$1:$AT$1,),)</f>
        <v>1.160243763</v>
      </c>
      <c r="U13" s="25">
        <f>VLOOKUP(B13,'Data qoq'!$A:$AT,MATCH($U$1,'Data qoq'!$A$1:$AT$1,),)</f>
        <v>1.8684096670000001</v>
      </c>
      <c r="V13" s="25">
        <f>VLOOKUP(B13,'Data qoq'!$A:$AT,MATCH($V$1,'Data qoq'!$A$1:$AT$1,),)</f>
        <v>1.669263159</v>
      </c>
      <c r="W13" s="25">
        <f>VLOOKUP(B13,'Data qoq'!$A:$AT,MATCH($W$1,'Data qoq'!$A$1:$AT$1,),)</f>
        <v>1.4893164219999999</v>
      </c>
      <c r="X13" s="25">
        <f>VLOOKUP(B13,'Data qoq'!$A:$AT,MATCH($X$1,'Data qoq'!$A$1:$AT$1,),)</f>
        <v>1.2986223240000001</v>
      </c>
      <c r="Y13" s="25">
        <f>VLOOKUP(B13,'Data qoq'!$A:$AT,MATCH($Y$1,'Data qoq'!$A$1:$AT$1,),)</f>
        <v>0.387268422</v>
      </c>
      <c r="Z13" s="25">
        <f>VLOOKUP(B13,'Data qoq'!$A:$AU,MATCH($Z$1,'Data qoq'!$A$1:$AU$1,),)</f>
        <v>-0.25518508200000001</v>
      </c>
      <c r="AA13" s="25">
        <f>VLOOKUP(B13,'Data qoq'!$A:$AU,MATCH($AA$1,'Data qoq'!$A$1:$AU$1,),)</f>
        <v>0.39263221700000001</v>
      </c>
      <c r="AC13" s="26" t="str">
        <f t="shared" si="6"/>
        <v>2000-Q3</v>
      </c>
      <c r="AD13" s="27">
        <f t="shared" si="7"/>
        <v>0.12338600200000001</v>
      </c>
      <c r="AE13" s="27"/>
    </row>
    <row r="14" spans="2:34" hidden="1" x14ac:dyDescent="0.2">
      <c r="B14" s="24" t="s">
        <v>280</v>
      </c>
      <c r="C14" s="25">
        <f>VLOOKUP(B14,'Data qoq'!$A:$AT,MATCH($C$1,'Data qoq'!$A$1:$AT$1,),)</f>
        <v>0.59436175499999999</v>
      </c>
      <c r="D14" s="25">
        <f>VLOOKUP(B14,'Data qoq'!$A:$AT,MATCH($D$1,'Data qoq'!$A$1:$AT$1,),)</f>
        <v>0</v>
      </c>
      <c r="E14" s="25">
        <f>VLOOKUP(B14,'Data qoq'!$A:$AT,MATCH($E$1,'Data qoq'!$A$1:$AT$1,),)</f>
        <v>0.66671800000000003</v>
      </c>
      <c r="F14" s="25">
        <f>VLOOKUP(B14,'Data qoq'!$A:$AT,MATCH($F$1,'Data qoq'!$A$1:$AT$1,),)</f>
        <v>0.97193494300000005</v>
      </c>
      <c r="G14" s="25">
        <f>VLOOKUP(B14,'Data qoq'!$A:$AT,MATCH($G$1,'Data qoq'!$A$1:$AT$1,),)</f>
        <v>-0.30707993500000003</v>
      </c>
      <c r="H14" s="25">
        <f>VLOOKUP(B14,'Data qoq'!$A:$AT,MATCH($H$1,'Data qoq'!$A$1:$AT$1,),)</f>
        <v>0.82747563999999996</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-0.30526114700000001</v>
      </c>
      <c r="M14" s="25">
        <f>VLOOKUP(B14,'Data qoq'!$A:$AT,MATCH($M$1,'Data qoq'!$A$1:$AT$1,),)</f>
        <v>-0.86338646799999996</v>
      </c>
      <c r="N14" s="25">
        <f>VLOOKUP(B14,'Data qoq'!$A:$AT,MATCH($N$1,'Data qoq'!$A$1:$AT$1,),)</f>
        <v>0</v>
      </c>
      <c r="O14" s="25">
        <f>VLOOKUP(B14,'Data qoq'!$A:$AT,MATCH($C$1,'Data qoq'!$J$1:$AT$1,),)</f>
        <v>0.19686072800000001</v>
      </c>
      <c r="P14" s="25">
        <f>VLOOKUP(B14,'Data qoq'!$A:$AT,MATCH($P$1,'Data qoq'!$A$1:$AT$1,),)</f>
        <v>0.17120740000000001</v>
      </c>
      <c r="Q14" s="25">
        <f>VLOOKUP(B14,'Data qoq'!$A:$AT,MATCH($Q$1,'Data qoq'!$A$1:$AT$1,),)</f>
        <v>-0.36277050700000002</v>
      </c>
      <c r="R14" s="25">
        <f>VLOOKUP(B14,'Data qoq'!$A:$AT,MATCH($E$1,'Data qoq'!$A$1:$AT$1,),)</f>
        <v>0.66671800000000003</v>
      </c>
      <c r="S14" s="25">
        <f>VLOOKUP(B14,'Data qoq'!$A:$AT,MATCH($S$1,'Data qoq'!$A$1:$AT$1,),)</f>
        <v>-0.32445797199999998</v>
      </c>
      <c r="T14" s="25">
        <f>VLOOKUP(B14,'Data qoq'!$A:$AT,MATCH($T$1,'Data qoq'!$A$1:$AT$1,),)</f>
        <v>1.2266833150000001</v>
      </c>
      <c r="U14" s="25">
        <f>VLOOKUP(B14,'Data qoq'!$A:$AT,MATCH($U$1,'Data qoq'!$A$1:$AT$1,),)</f>
        <v>1.418925598</v>
      </c>
      <c r="V14" s="25">
        <f>VLOOKUP(B14,'Data qoq'!$A:$AT,MATCH($V$1,'Data qoq'!$A$1:$AT$1,),)</f>
        <v>0.16753071999999999</v>
      </c>
      <c r="W14" s="25">
        <f>VLOOKUP(B14,'Data qoq'!$A:$AT,MATCH($W$1,'Data qoq'!$A$1:$AT$1,),)</f>
        <v>1.436633405</v>
      </c>
      <c r="X14" s="25">
        <f>VLOOKUP(B14,'Data qoq'!$A:$AT,MATCH($X$1,'Data qoq'!$A$1:$AT$1,),)</f>
        <v>0.475647341</v>
      </c>
      <c r="Y14" s="25">
        <f>VLOOKUP(B14,'Data qoq'!$A:$AT,MATCH($Y$1,'Data qoq'!$A$1:$AT$1,),)</f>
        <v>2.9320749410000002</v>
      </c>
      <c r="Z14" s="25">
        <f>VLOOKUP(B14,'Data qoq'!$A:$AU,MATCH($Z$1,'Data qoq'!$A$1:$AU$1,),)</f>
        <v>0.30685813499999998</v>
      </c>
      <c r="AA14" s="25">
        <f>VLOOKUP(B14,'Data qoq'!$A:$AU,MATCH($AA$1,'Data qoq'!$A$1:$AU$1,),)</f>
        <v>0.19686072800000001</v>
      </c>
      <c r="AC14" s="26" t="str">
        <f t="shared" si="6"/>
        <v>2000-Q4</v>
      </c>
      <c r="AD14" s="27">
        <f t="shared" si="7"/>
        <v>0.90144168999999996</v>
      </c>
      <c r="AE14" s="27"/>
    </row>
    <row r="15" spans="2:34" hidden="1" x14ac:dyDescent="0.2">
      <c r="B15" s="24" t="s">
        <v>281</v>
      </c>
      <c r="C15" s="25">
        <f>VLOOKUP(B15,'Data qoq'!$A:$AT,MATCH($C$1,'Data qoq'!$A$1:$AT$1,),)</f>
        <v>-0.32422100300000001</v>
      </c>
      <c r="D15" s="25">
        <f>VLOOKUP(B15,'Data qoq'!$A:$AT,MATCH($D$1,'Data qoq'!$A$1:$AT$1,),)</f>
        <v>0</v>
      </c>
      <c r="E15" s="25">
        <f>VLOOKUP(B15,'Data qoq'!$A:$AT,MATCH($E$1,'Data qoq'!$A$1:$AT$1,),)</f>
        <v>1.018761</v>
      </c>
      <c r="F15" s="25">
        <f>VLOOKUP(B15,'Data qoq'!$A:$AT,MATCH($F$1,'Data qoq'!$A$1:$AT$1,),)</f>
        <v>0.74214223199999996</v>
      </c>
      <c r="G15" s="25">
        <f>VLOOKUP(B15,'Data qoq'!$A:$AT,MATCH($G$1,'Data qoq'!$A$1:$AT$1,),)</f>
        <v>2.010957903</v>
      </c>
      <c r="H15" s="25">
        <f>VLOOKUP(B15,'Data qoq'!$A:$AT,MATCH($H$1,'Data qoq'!$A$1:$AT$1,),)</f>
        <v>0.50197806300000003</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0.36876531800000001</v>
      </c>
      <c r="M15" s="25">
        <f>VLOOKUP(B15,'Data qoq'!$A:$AT,MATCH($M$1,'Data qoq'!$A$1:$AT$1,),)</f>
        <v>2.7529420999999998E-2</v>
      </c>
      <c r="N15" s="25">
        <f>VLOOKUP(B15,'Data qoq'!$A:$AT,MATCH($N$1,'Data qoq'!$A$1:$AT$1,),)</f>
        <v>0</v>
      </c>
      <c r="O15" s="25">
        <f>VLOOKUP(B15,'Data qoq'!$A:$AT,MATCH($C$1,'Data qoq'!$J$1:$AT$1,),)</f>
        <v>0.3484138</v>
      </c>
      <c r="P15" s="25">
        <f>VLOOKUP(B15,'Data qoq'!$A:$AT,MATCH($P$1,'Data qoq'!$A$1:$AT$1,),)</f>
        <v>0.529651011</v>
      </c>
      <c r="Q15" s="25">
        <f>VLOOKUP(B15,'Data qoq'!$A:$AT,MATCH($Q$1,'Data qoq'!$A$1:$AT$1,),)</f>
        <v>1.0431830040000001</v>
      </c>
      <c r="R15" s="25">
        <f>VLOOKUP(B15,'Data qoq'!$A:$AT,MATCH($E$1,'Data qoq'!$A$1:$AT$1,),)</f>
        <v>1.018761</v>
      </c>
      <c r="S15" s="25">
        <f>VLOOKUP(B15,'Data qoq'!$A:$AT,MATCH($S$1,'Data qoq'!$A$1:$AT$1,),)</f>
        <v>1.2255548009999999</v>
      </c>
      <c r="T15" s="25">
        <f>VLOOKUP(B15,'Data qoq'!$A:$AT,MATCH($T$1,'Data qoq'!$A$1:$AT$1,),)</f>
        <v>0.40795216099999998</v>
      </c>
      <c r="U15" s="25">
        <f>VLOOKUP(B15,'Data qoq'!$A:$AT,MATCH($U$1,'Data qoq'!$A$1:$AT$1,),)</f>
        <v>1.237878102</v>
      </c>
      <c r="V15" s="25">
        <f>VLOOKUP(B15,'Data qoq'!$A:$AT,MATCH($V$1,'Data qoq'!$A$1:$AT$1,),)</f>
        <v>2.680123203</v>
      </c>
      <c r="W15" s="25">
        <f>VLOOKUP(B15,'Data qoq'!$A:$AT,MATCH($W$1,'Data qoq'!$A$1:$AT$1,),)</f>
        <v>-5.1251296079999999</v>
      </c>
      <c r="X15" s="25">
        <f>VLOOKUP(B15,'Data qoq'!$A:$AT,MATCH($X$1,'Data qoq'!$A$1:$AT$1,),)</f>
        <v>1.186158643</v>
      </c>
      <c r="Y15" s="25">
        <f>VLOOKUP(B15,'Data qoq'!$A:$AT,MATCH($Y$1,'Data qoq'!$A$1:$AT$1,),)</f>
        <v>-1.348308576</v>
      </c>
      <c r="Z15" s="25">
        <f>VLOOKUP(B15,'Data qoq'!$A:$AU,MATCH($Z$1,'Data qoq'!$A$1:$AU$1,),)</f>
        <v>0.16364615900000001</v>
      </c>
      <c r="AA15" s="25">
        <f>VLOOKUP(B15,'Data qoq'!$A:$AU,MATCH($AA$1,'Data qoq'!$A$1:$AU$1,),)</f>
        <v>0.3484138</v>
      </c>
      <c r="AC15" s="26" t="str">
        <f t="shared" si="6"/>
        <v>2001-Q1</v>
      </c>
      <c r="AD15" s="27">
        <f t="shared" si="7"/>
        <v>-2.3351789059999999</v>
      </c>
      <c r="AE15" s="27"/>
    </row>
    <row r="16" spans="2:34" hidden="1" x14ac:dyDescent="0.2">
      <c r="B16" s="24" t="s">
        <v>282</v>
      </c>
      <c r="C16" s="25">
        <f>VLOOKUP(B16,'Data qoq'!$A:$AT,MATCH($C$1,'Data qoq'!$A$1:$AT$1,),)</f>
        <v>0.62138921499999999</v>
      </c>
      <c r="D16" s="25">
        <f>VLOOKUP(B16,'Data qoq'!$A:$AT,MATCH($D$1,'Data qoq'!$A$1:$AT$1,),)</f>
        <v>0</v>
      </c>
      <c r="E16" s="25">
        <f>VLOOKUP(B16,'Data qoq'!$A:$AT,MATCH($E$1,'Data qoq'!$A$1:$AT$1,),)</f>
        <v>8.0893999999999994E-2</v>
      </c>
      <c r="F16" s="25">
        <f>VLOOKUP(B16,'Data qoq'!$A:$AT,MATCH($F$1,'Data qoq'!$A$1:$AT$1,),)</f>
        <v>-0.75051650599999997</v>
      </c>
      <c r="G16" s="25">
        <f>VLOOKUP(B16,'Data qoq'!$A:$AT,MATCH($G$1,'Data qoq'!$A$1:$AT$1,),)</f>
        <v>-5.8069487000000003E-2</v>
      </c>
      <c r="H16" s="25">
        <f>VLOOKUP(B16,'Data qoq'!$A:$AT,MATCH($H$1,'Data qoq'!$A$1:$AT$1,),)</f>
        <v>0.123882377</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1.2580241000000001E-2</v>
      </c>
      <c r="M16" s="25">
        <f>VLOOKUP(B16,'Data qoq'!$A:$AT,MATCH($M$1,'Data qoq'!$A$1:$AT$1,),)</f>
        <v>-0.53735536699999997</v>
      </c>
      <c r="N16" s="25">
        <f>VLOOKUP(B16,'Data qoq'!$A:$AT,MATCH($N$1,'Data qoq'!$A$1:$AT$1,),)</f>
        <v>0</v>
      </c>
      <c r="O16" s="25">
        <f>VLOOKUP(B16,'Data qoq'!$A:$AT,MATCH($C$1,'Data qoq'!$J$1:$AT$1,),)</f>
        <v>1.4227536160000001</v>
      </c>
      <c r="P16" s="25">
        <f>VLOOKUP(B16,'Data qoq'!$A:$AT,MATCH($P$1,'Data qoq'!$A$1:$AT$1,),)</f>
        <v>0.26949002500000002</v>
      </c>
      <c r="Q16" s="25">
        <f>VLOOKUP(B16,'Data qoq'!$A:$AT,MATCH($Q$1,'Data qoq'!$A$1:$AT$1,),)</f>
        <v>0.81310962099999995</v>
      </c>
      <c r="R16" s="25">
        <f>VLOOKUP(B16,'Data qoq'!$A:$AT,MATCH($E$1,'Data qoq'!$A$1:$AT$1,),)</f>
        <v>8.0893999999999994E-2</v>
      </c>
      <c r="S16" s="25">
        <f>VLOOKUP(B16,'Data qoq'!$A:$AT,MATCH($S$1,'Data qoq'!$A$1:$AT$1,),)</f>
        <v>1.2988810260000001</v>
      </c>
      <c r="T16" s="25">
        <f>VLOOKUP(B16,'Data qoq'!$A:$AT,MATCH($T$1,'Data qoq'!$A$1:$AT$1,),)</f>
        <v>-0.51148583000000003</v>
      </c>
      <c r="U16" s="25">
        <f>VLOOKUP(B16,'Data qoq'!$A:$AT,MATCH($U$1,'Data qoq'!$A$1:$AT$1,),)</f>
        <v>-0.26357386700000002</v>
      </c>
      <c r="V16" s="25">
        <f>VLOOKUP(B16,'Data qoq'!$A:$AT,MATCH($V$1,'Data qoq'!$A$1:$AT$1,),)</f>
        <v>1.6402031420000001</v>
      </c>
      <c r="W16" s="25">
        <f>VLOOKUP(B16,'Data qoq'!$A:$AT,MATCH($W$1,'Data qoq'!$A$1:$AT$1,),)</f>
        <v>-4.8440387170000001</v>
      </c>
      <c r="X16" s="25">
        <f>VLOOKUP(B16,'Data qoq'!$A:$AT,MATCH($X$1,'Data qoq'!$A$1:$AT$1,),)</f>
        <v>0.23166178400000001</v>
      </c>
      <c r="Y16" s="25">
        <f>VLOOKUP(B16,'Data qoq'!$A:$AT,MATCH($Y$1,'Data qoq'!$A$1:$AT$1,),)</f>
        <v>-0.45309452500000003</v>
      </c>
      <c r="Z16" s="25">
        <f>VLOOKUP(B16,'Data qoq'!$A:$AU,MATCH($Z$1,'Data qoq'!$A$1:$AU$1,),)</f>
        <v>-0.82981777400000001</v>
      </c>
      <c r="AA16" s="25">
        <f>VLOOKUP(B16,'Data qoq'!$A:$AU,MATCH($AA$1,'Data qoq'!$A$1:$AU$1,),)</f>
        <v>1.4227536160000001</v>
      </c>
      <c r="AC16" s="26" t="str">
        <f t="shared" si="6"/>
        <v>2001-Q2</v>
      </c>
      <c r="AD16" s="27">
        <f t="shared" si="7"/>
        <v>0.67945870200000003</v>
      </c>
      <c r="AE16" s="27"/>
    </row>
    <row r="17" spans="2:31" hidden="1" x14ac:dyDescent="0.2">
      <c r="B17" s="24" t="s">
        <v>283</v>
      </c>
      <c r="C17" s="25">
        <f>VLOOKUP(B17,'Data qoq'!$A:$AT,MATCH($C$1,'Data qoq'!$A$1:$AT$1,),)</f>
        <v>-0.400349016</v>
      </c>
      <c r="D17" s="25">
        <f>VLOOKUP(B17,'Data qoq'!$A:$AT,MATCH($D$1,'Data qoq'!$A$1:$AT$1,),)</f>
        <v>0</v>
      </c>
      <c r="E17" s="25">
        <f>VLOOKUP(B17,'Data qoq'!$A:$AT,MATCH($E$1,'Data qoq'!$A$1:$AT$1,),)</f>
        <v>9.6254999999999993E-2</v>
      </c>
      <c r="F17" s="25">
        <f>VLOOKUP(B17,'Data qoq'!$A:$AT,MATCH($F$1,'Data qoq'!$A$1:$AT$1,),)</f>
        <v>-1.08933773</v>
      </c>
      <c r="G17" s="25">
        <f>VLOOKUP(B17,'Data qoq'!$A:$AT,MATCH($G$1,'Data qoq'!$A$1:$AT$1,),)</f>
        <v>-0.162669071</v>
      </c>
      <c r="H17" s="25">
        <f>VLOOKUP(B17,'Data qoq'!$A:$AT,MATCH($H$1,'Data qoq'!$A$1:$AT$1,),)</f>
        <v>0.256621722</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0.38387370999999998</v>
      </c>
      <c r="M17" s="25">
        <f>VLOOKUP(B17,'Data qoq'!$A:$AT,MATCH($M$1,'Data qoq'!$A$1:$AT$1,),)</f>
        <v>0.219295454</v>
      </c>
      <c r="N17" s="25">
        <f>VLOOKUP(B17,'Data qoq'!$A:$AT,MATCH($N$1,'Data qoq'!$A$1:$AT$1,),)</f>
        <v>0</v>
      </c>
      <c r="O17" s="25">
        <f>VLOOKUP(B17,'Data qoq'!$A:$AT,MATCH($C$1,'Data qoq'!$J$1:$AT$1,),)</f>
        <v>0.76188515099999998</v>
      </c>
      <c r="P17" s="25">
        <f>VLOOKUP(B17,'Data qoq'!$A:$AT,MATCH($P$1,'Data qoq'!$A$1:$AT$1,),)</f>
        <v>-6.6614244000000003E-2</v>
      </c>
      <c r="Q17" s="25">
        <f>VLOOKUP(B17,'Data qoq'!$A:$AT,MATCH($Q$1,'Data qoq'!$A$1:$AT$1,),)</f>
        <v>1.1947671209999999</v>
      </c>
      <c r="R17" s="25">
        <f>VLOOKUP(B17,'Data qoq'!$A:$AT,MATCH($E$1,'Data qoq'!$A$1:$AT$1,),)</f>
        <v>9.6254999999999993E-2</v>
      </c>
      <c r="S17" s="25">
        <f>VLOOKUP(B17,'Data qoq'!$A:$AT,MATCH($S$1,'Data qoq'!$A$1:$AT$1,),)</f>
        <v>1.3501936240000001</v>
      </c>
      <c r="T17" s="25">
        <f>VLOOKUP(B17,'Data qoq'!$A:$AT,MATCH($T$1,'Data qoq'!$A$1:$AT$1,),)</f>
        <v>-0.535968632</v>
      </c>
      <c r="U17" s="25">
        <f>VLOOKUP(B17,'Data qoq'!$A:$AT,MATCH($U$1,'Data qoq'!$A$1:$AT$1,),)</f>
        <v>1.621616296</v>
      </c>
      <c r="V17" s="25">
        <f>VLOOKUP(B17,'Data qoq'!$A:$AT,MATCH($V$1,'Data qoq'!$A$1:$AT$1,),)</f>
        <v>-0.79417904900000003</v>
      </c>
      <c r="W17" s="25">
        <f>VLOOKUP(B17,'Data qoq'!$A:$AT,MATCH($W$1,'Data qoq'!$A$1:$AT$1,),)</f>
        <v>1.2517857720000001</v>
      </c>
      <c r="X17" s="25">
        <f>VLOOKUP(B17,'Data qoq'!$A:$AT,MATCH($X$1,'Data qoq'!$A$1:$AT$1,),)</f>
        <v>0.43192050500000001</v>
      </c>
      <c r="Y17" s="25">
        <f>VLOOKUP(B17,'Data qoq'!$A:$AT,MATCH($Y$1,'Data qoq'!$A$1:$AT$1,),)</f>
        <v>0.78292662199999996</v>
      </c>
      <c r="Z17" s="25">
        <f>VLOOKUP(B17,'Data qoq'!$A:$AU,MATCH($Z$1,'Data qoq'!$A$1:$AU$1,),)</f>
        <v>-4.6458788760000003</v>
      </c>
      <c r="AA17" s="25">
        <f>VLOOKUP(B17,'Data qoq'!$A:$AU,MATCH($AA$1,'Data qoq'!$A$1:$AU$1,),)</f>
        <v>0.76188515099999998</v>
      </c>
      <c r="AC17" s="26" t="str">
        <f t="shared" si="6"/>
        <v>2001-Q3</v>
      </c>
      <c r="AD17" s="27">
        <f t="shared" si="7"/>
        <v>-0.237679945</v>
      </c>
      <c r="AE17" s="27"/>
    </row>
    <row r="18" spans="2:31" hidden="1" x14ac:dyDescent="0.2">
      <c r="B18" s="24" t="s">
        <v>284</v>
      </c>
      <c r="C18" s="25">
        <f>VLOOKUP(B18,'Data qoq'!$A:$AT,MATCH($C$1,'Data qoq'!$A$1:$AT$1,),)</f>
        <v>0.27731435799999998</v>
      </c>
      <c r="D18" s="25">
        <f>VLOOKUP(B18,'Data qoq'!$A:$AT,MATCH($D$1,'Data qoq'!$A$1:$AT$1,),)</f>
        <v>0</v>
      </c>
      <c r="E18" s="25">
        <f>VLOOKUP(B18,'Data qoq'!$A:$AT,MATCH($E$1,'Data qoq'!$A$1:$AT$1,),)</f>
        <v>9.6745999999999999E-2</v>
      </c>
      <c r="F18" s="25">
        <f>VLOOKUP(B18,'Data qoq'!$A:$AT,MATCH($F$1,'Data qoq'!$A$1:$AT$1,),)</f>
        <v>-0.34076035900000001</v>
      </c>
      <c r="G18" s="25">
        <f>VLOOKUP(B18,'Data qoq'!$A:$AT,MATCH($G$1,'Data qoq'!$A$1:$AT$1,),)</f>
        <v>-0.11638810300000001</v>
      </c>
      <c r="H18" s="25">
        <f>VLOOKUP(B18,'Data qoq'!$A:$AT,MATCH($H$1,'Data qoq'!$A$1:$AT$1,),)</f>
        <v>-6.3594286999999999E-2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0.85834316899999996</v>
      </c>
      <c r="M18" s="25">
        <f>VLOOKUP(B18,'Data qoq'!$A:$AT,MATCH($M$1,'Data qoq'!$A$1:$AT$1,),)</f>
        <v>-0.636086967</v>
      </c>
      <c r="N18" s="25">
        <f>VLOOKUP(B18,'Data qoq'!$A:$AT,MATCH($N$1,'Data qoq'!$A$1:$AT$1,),)</f>
        <v>0</v>
      </c>
      <c r="O18" s="25">
        <f>VLOOKUP(B18,'Data qoq'!$A:$AT,MATCH($C$1,'Data qoq'!$J$1:$AT$1,),)</f>
        <v>1.4841494879999999</v>
      </c>
      <c r="P18" s="25">
        <f>VLOOKUP(B18,'Data qoq'!$A:$AT,MATCH($P$1,'Data qoq'!$A$1:$AT$1,),)</f>
        <v>0.60882924699999996</v>
      </c>
      <c r="Q18" s="25">
        <f>VLOOKUP(B18,'Data qoq'!$A:$AT,MATCH($Q$1,'Data qoq'!$A$1:$AT$1,),)</f>
        <v>1.208771947</v>
      </c>
      <c r="R18" s="25">
        <f>VLOOKUP(B18,'Data qoq'!$A:$AT,MATCH($E$1,'Data qoq'!$A$1:$AT$1,),)</f>
        <v>9.6745999999999999E-2</v>
      </c>
      <c r="S18" s="25">
        <f>VLOOKUP(B18,'Data qoq'!$A:$AT,MATCH($S$1,'Data qoq'!$A$1:$AT$1,),)</f>
        <v>1.762585517</v>
      </c>
      <c r="T18" s="25">
        <f>VLOOKUP(B18,'Data qoq'!$A:$AT,MATCH($T$1,'Data qoq'!$A$1:$AT$1,),)</f>
        <v>-0.25322836999999998</v>
      </c>
      <c r="U18" s="25">
        <f>VLOOKUP(B18,'Data qoq'!$A:$AT,MATCH($U$1,'Data qoq'!$A$1:$AT$1,),)</f>
        <v>0.26489864099999999</v>
      </c>
      <c r="V18" s="25">
        <f>VLOOKUP(B18,'Data qoq'!$A:$AT,MATCH($V$1,'Data qoq'!$A$1:$AT$1,),)</f>
        <v>1.4452762990000001</v>
      </c>
      <c r="W18" s="25">
        <f>VLOOKUP(B18,'Data qoq'!$A:$AT,MATCH($W$1,'Data qoq'!$A$1:$AT$1,),)</f>
        <v>-1.6828962709999999</v>
      </c>
      <c r="X18" s="25">
        <f>VLOOKUP(B18,'Data qoq'!$A:$AT,MATCH($X$1,'Data qoq'!$A$1:$AT$1,),)</f>
        <v>0.74081654600000002</v>
      </c>
      <c r="Y18" s="25">
        <f>VLOOKUP(B18,'Data qoq'!$A:$AT,MATCH($Y$1,'Data qoq'!$A$1:$AT$1,),)</f>
        <v>0.295694911</v>
      </c>
      <c r="Z18" s="25">
        <f>VLOOKUP(B18,'Data qoq'!$A:$AU,MATCH($Z$1,'Data qoq'!$A$1:$AU$1,),)</f>
        <v>-5.6948729309999999</v>
      </c>
      <c r="AA18" s="25">
        <f>VLOOKUP(B18,'Data qoq'!$A:$AU,MATCH($AA$1,'Data qoq'!$A$1:$AU$1,),)</f>
        <v>1.4841494879999999</v>
      </c>
      <c r="AC18" s="26" t="str">
        <f t="shared" si="6"/>
        <v>2001-Q4</v>
      </c>
      <c r="AD18" s="27">
        <f t="shared" si="7"/>
        <v>0.393702461</v>
      </c>
      <c r="AE18" s="27"/>
    </row>
    <row r="19" spans="2:31" hidden="1" x14ac:dyDescent="0.2">
      <c r="B19" s="24" t="s">
        <v>285</v>
      </c>
      <c r="C19" s="25">
        <f>VLOOKUP(B19,'Data qoq'!$A:$AT,MATCH($C$1,'Data qoq'!$A$1:$AT$1,),)</f>
        <v>0.82822721600000004</v>
      </c>
      <c r="D19" s="25">
        <f>VLOOKUP(B19,'Data qoq'!$A:$AT,MATCH($D$1,'Data qoq'!$A$1:$AT$1,),)</f>
        <v>0</v>
      </c>
      <c r="E19" s="25">
        <f>VLOOKUP(B19,'Data qoq'!$A:$AT,MATCH($E$1,'Data qoq'!$A$1:$AT$1,),)</f>
        <v>0.14055999999999999</v>
      </c>
      <c r="F19" s="25">
        <f>VLOOKUP(B19,'Data qoq'!$A:$AT,MATCH($F$1,'Data qoq'!$A$1:$AT$1,),)</f>
        <v>0.168274856</v>
      </c>
      <c r="G19" s="25">
        <f>VLOOKUP(B19,'Data qoq'!$A:$AT,MATCH($G$1,'Data qoq'!$A$1:$AT$1,),)</f>
        <v>-0.52435598400000005</v>
      </c>
      <c r="H19" s="25">
        <f>VLOOKUP(B19,'Data qoq'!$A:$AT,MATCH($H$1,'Data qoq'!$A$1:$AT$1,),)</f>
        <v>0.56919184700000003</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-0.14864329700000001</v>
      </c>
      <c r="M19" s="25">
        <f>VLOOKUP(B19,'Data qoq'!$A:$AT,MATCH($M$1,'Data qoq'!$A$1:$AT$1,),)</f>
        <v>-0.67712961599999999</v>
      </c>
      <c r="N19" s="25">
        <f>VLOOKUP(B19,'Data qoq'!$A:$AT,MATCH($N$1,'Data qoq'!$A$1:$AT$1,),)</f>
        <v>0</v>
      </c>
      <c r="O19" s="25">
        <f>VLOOKUP(B19,'Data qoq'!$A:$AT,MATCH($C$1,'Data qoq'!$J$1:$AT$1,),)</f>
        <v>0.89105920299999997</v>
      </c>
      <c r="P19" s="25">
        <f>VLOOKUP(B19,'Data qoq'!$A:$AT,MATCH($P$1,'Data qoq'!$A$1:$AT$1,),)</f>
        <v>1.4842260460000001</v>
      </c>
      <c r="Q19" s="25">
        <f>VLOOKUP(B19,'Data qoq'!$A:$AT,MATCH($Q$1,'Data qoq'!$A$1:$AT$1,),)</f>
        <v>0.76659652099999998</v>
      </c>
      <c r="R19" s="25">
        <f>VLOOKUP(B19,'Data qoq'!$A:$AT,MATCH($E$1,'Data qoq'!$A$1:$AT$1,),)</f>
        <v>0.14055999999999999</v>
      </c>
      <c r="S19" s="25">
        <f>VLOOKUP(B19,'Data qoq'!$A:$AT,MATCH($S$1,'Data qoq'!$A$1:$AT$1,),)</f>
        <v>2.5444815919999999</v>
      </c>
      <c r="T19" s="25">
        <f>VLOOKUP(B19,'Data qoq'!$A:$AT,MATCH($T$1,'Data qoq'!$A$1:$AT$1,),)</f>
        <v>2.297581895</v>
      </c>
      <c r="U19" s="25">
        <f>VLOOKUP(B19,'Data qoq'!$A:$AT,MATCH($U$1,'Data qoq'!$A$1:$AT$1,),)</f>
        <v>0.81704766799999995</v>
      </c>
      <c r="V19" s="25">
        <f>VLOOKUP(B19,'Data qoq'!$A:$AT,MATCH($V$1,'Data qoq'!$A$1:$AT$1,),)</f>
        <v>2.9768507340000001</v>
      </c>
      <c r="W19" s="25">
        <f>VLOOKUP(B19,'Data qoq'!$A:$AT,MATCH($W$1,'Data qoq'!$A$1:$AT$1,),)</f>
        <v>3.7775825539999999</v>
      </c>
      <c r="X19" s="25">
        <f>VLOOKUP(B19,'Data qoq'!$A:$AT,MATCH($X$1,'Data qoq'!$A$1:$AT$1,),)</f>
        <v>-0.196354374</v>
      </c>
      <c r="Y19" s="25">
        <f>VLOOKUP(B19,'Data qoq'!$A:$AT,MATCH($Y$1,'Data qoq'!$A$1:$AT$1,),)</f>
        <v>0.21149791700000001</v>
      </c>
      <c r="Z19" s="25">
        <f>VLOOKUP(B19,'Data qoq'!$A:$AU,MATCH($Z$1,'Data qoq'!$A$1:$AU$1,),)</f>
        <v>-4.9310185359999998</v>
      </c>
      <c r="AA19" s="25">
        <f>VLOOKUP(B19,'Data qoq'!$A:$AU,MATCH($AA$1,'Data qoq'!$A$1:$AU$1,),)</f>
        <v>0.89105920299999997</v>
      </c>
      <c r="AC19" s="26" t="str">
        <f t="shared" si="6"/>
        <v>2002-Q1</v>
      </c>
      <c r="AD19" s="27">
        <f t="shared" si="7"/>
        <v>1.3525832000000002</v>
      </c>
      <c r="AE19" s="27"/>
    </row>
    <row r="20" spans="2:31" hidden="1" x14ac:dyDescent="0.2">
      <c r="B20" s="24" t="s">
        <v>286</v>
      </c>
      <c r="C20" s="25">
        <f>VLOOKUP(B20,'Data qoq'!$A:$AT,MATCH($C$1,'Data qoq'!$A$1:$AT$1,),)</f>
        <v>0.61550245599999998</v>
      </c>
      <c r="D20" s="25">
        <f>VLOOKUP(B20,'Data qoq'!$A:$AT,MATCH($D$1,'Data qoq'!$A$1:$AT$1,),)</f>
        <v>0</v>
      </c>
      <c r="E20" s="25">
        <f>VLOOKUP(B20,'Data qoq'!$A:$AT,MATCH($E$1,'Data qoq'!$A$1:$AT$1,),)</f>
        <v>0.52998500000000004</v>
      </c>
      <c r="F20" s="25">
        <f>VLOOKUP(B20,'Data qoq'!$A:$AT,MATCH($F$1,'Data qoq'!$A$1:$AT$1,),)</f>
        <v>0.81027722700000004</v>
      </c>
      <c r="G20" s="25">
        <f>VLOOKUP(B20,'Data qoq'!$A:$AT,MATCH($G$1,'Data qoq'!$A$1:$AT$1,),)</f>
        <v>0.445116442</v>
      </c>
      <c r="H20" s="25">
        <f>VLOOKUP(B20,'Data qoq'!$A:$AT,MATCH($H$1,'Data qoq'!$A$1:$AT$1,),)</f>
        <v>0.41205342700000003</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1.5712989100000001</v>
      </c>
      <c r="M20" s="25">
        <f>VLOOKUP(B20,'Data qoq'!$A:$AT,MATCH($M$1,'Data qoq'!$A$1:$AT$1,),)</f>
        <v>0.91820923099999996</v>
      </c>
      <c r="N20" s="25">
        <f>VLOOKUP(B20,'Data qoq'!$A:$AT,MATCH($N$1,'Data qoq'!$A$1:$AT$1,),)</f>
        <v>0</v>
      </c>
      <c r="O20" s="25">
        <f>VLOOKUP(B20,'Data qoq'!$A:$AT,MATCH($C$1,'Data qoq'!$J$1:$AT$1,),)</f>
        <v>1.3172995359999999</v>
      </c>
      <c r="P20" s="25">
        <f>VLOOKUP(B20,'Data qoq'!$A:$AT,MATCH($P$1,'Data qoq'!$A$1:$AT$1,),)</f>
        <v>0.58937331199999998</v>
      </c>
      <c r="Q20" s="25">
        <f>VLOOKUP(B20,'Data qoq'!$A:$AT,MATCH($Q$1,'Data qoq'!$A$1:$AT$1,),)</f>
        <v>1.708963791</v>
      </c>
      <c r="R20" s="25">
        <f>VLOOKUP(B20,'Data qoq'!$A:$AT,MATCH($E$1,'Data qoq'!$A$1:$AT$1,),)</f>
        <v>0.52998500000000004</v>
      </c>
      <c r="S20" s="25">
        <f>VLOOKUP(B20,'Data qoq'!$A:$AT,MATCH($S$1,'Data qoq'!$A$1:$AT$1,),)</f>
        <v>1.8121354160000001</v>
      </c>
      <c r="T20" s="25">
        <f>VLOOKUP(B20,'Data qoq'!$A:$AT,MATCH($T$1,'Data qoq'!$A$1:$AT$1,),)</f>
        <v>0.54942524400000003</v>
      </c>
      <c r="U20" s="25">
        <f>VLOOKUP(B20,'Data qoq'!$A:$AT,MATCH($U$1,'Data qoq'!$A$1:$AT$1,),)</f>
        <v>2.238306787</v>
      </c>
      <c r="V20" s="25">
        <f>VLOOKUP(B20,'Data qoq'!$A:$AT,MATCH($V$1,'Data qoq'!$A$1:$AT$1,),)</f>
        <v>0.68489928899999997</v>
      </c>
      <c r="W20" s="25">
        <f>VLOOKUP(B20,'Data qoq'!$A:$AT,MATCH($W$1,'Data qoq'!$A$1:$AT$1,),)</f>
        <v>4.3164154459999997</v>
      </c>
      <c r="X20" s="25">
        <f>VLOOKUP(B20,'Data qoq'!$A:$AT,MATCH($X$1,'Data qoq'!$A$1:$AT$1,),)</f>
        <v>0.50147152100000003</v>
      </c>
      <c r="Y20" s="25">
        <f>VLOOKUP(B20,'Data qoq'!$A:$AT,MATCH($Y$1,'Data qoq'!$A$1:$AT$1,),)</f>
        <v>0.90444327999999996</v>
      </c>
      <c r="Z20" s="25">
        <f>VLOOKUP(B20,'Data qoq'!$A:$AU,MATCH($Z$1,'Data qoq'!$A$1:$AU$1,),)</f>
        <v>0.42398614800000001</v>
      </c>
      <c r="AA20" s="25">
        <f>VLOOKUP(B20,'Data qoq'!$A:$AU,MATCH($AA$1,'Data qoq'!$A$1:$AU$1,),)</f>
        <v>1.3172995359999999</v>
      </c>
      <c r="AC20" s="26" t="str">
        <f t="shared" si="6"/>
        <v>2002-Q2</v>
      </c>
      <c r="AD20" s="27">
        <f t="shared" si="7"/>
        <v>0.17038601399999997</v>
      </c>
      <c r="AE20" s="27"/>
    </row>
    <row r="21" spans="2:31" hidden="1" x14ac:dyDescent="0.2">
      <c r="B21" s="24" t="s">
        <v>287</v>
      </c>
      <c r="C21" s="25">
        <f>VLOOKUP(B21,'Data qoq'!$A:$AT,MATCH($C$1,'Data qoq'!$A$1:$AT$1,),)</f>
        <v>0.40352870400000002</v>
      </c>
      <c r="D21" s="25">
        <f>VLOOKUP(B21,'Data qoq'!$A:$AT,MATCH($D$1,'Data qoq'!$A$1:$AT$1,),)</f>
        <v>0</v>
      </c>
      <c r="E21" s="25">
        <f>VLOOKUP(B21,'Data qoq'!$A:$AT,MATCH($E$1,'Data qoq'!$A$1:$AT$1,),)</f>
        <v>0.37751699999999999</v>
      </c>
      <c r="F21" s="25">
        <f>VLOOKUP(B21,'Data qoq'!$A:$AT,MATCH($F$1,'Data qoq'!$A$1:$AT$1,),)</f>
        <v>0.314341604</v>
      </c>
      <c r="G21" s="25">
        <f>VLOOKUP(B21,'Data qoq'!$A:$AT,MATCH($G$1,'Data qoq'!$A$1:$AT$1,),)</f>
        <v>0.48979764199999998</v>
      </c>
      <c r="H21" s="25">
        <f>VLOOKUP(B21,'Data qoq'!$A:$AT,MATCH($H$1,'Data qoq'!$A$1:$AT$1,),)</f>
        <v>0.24066436999999999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0.586902857</v>
      </c>
      <c r="M21" s="25">
        <f>VLOOKUP(B21,'Data qoq'!$A:$AT,MATCH($M$1,'Data qoq'!$A$1:$AT$1,),)</f>
        <v>0.78082600400000002</v>
      </c>
      <c r="N21" s="25">
        <f>VLOOKUP(B21,'Data qoq'!$A:$AT,MATCH($N$1,'Data qoq'!$A$1:$AT$1,),)</f>
        <v>0</v>
      </c>
      <c r="O21" s="25">
        <f>VLOOKUP(B21,'Data qoq'!$A:$AT,MATCH($C$1,'Data qoq'!$J$1:$AT$1,),)</f>
        <v>1.1721250919999999</v>
      </c>
      <c r="P21" s="25">
        <f>VLOOKUP(B21,'Data qoq'!$A:$AT,MATCH($P$1,'Data qoq'!$A$1:$AT$1,),)</f>
        <v>0.86544944000000001</v>
      </c>
      <c r="Q21" s="25">
        <f>VLOOKUP(B21,'Data qoq'!$A:$AT,MATCH($Q$1,'Data qoq'!$A$1:$AT$1,),)</f>
        <v>0.30289117599999998</v>
      </c>
      <c r="R21" s="25">
        <f>VLOOKUP(B21,'Data qoq'!$A:$AT,MATCH($E$1,'Data qoq'!$A$1:$AT$1,),)</f>
        <v>0.37751699999999999</v>
      </c>
      <c r="S21" s="25">
        <f>VLOOKUP(B21,'Data qoq'!$A:$AT,MATCH($S$1,'Data qoq'!$A$1:$AT$1,),)</f>
        <v>2.0218129560000002</v>
      </c>
      <c r="T21" s="25">
        <f>VLOOKUP(B21,'Data qoq'!$A:$AT,MATCH($T$1,'Data qoq'!$A$1:$AT$1,),)</f>
        <v>1.256827229</v>
      </c>
      <c r="U21" s="25">
        <f>VLOOKUP(B21,'Data qoq'!$A:$AT,MATCH($U$1,'Data qoq'!$A$1:$AT$1,),)</f>
        <v>0.57704490600000002</v>
      </c>
      <c r="V21" s="25">
        <f>VLOOKUP(B21,'Data qoq'!$A:$AT,MATCH($V$1,'Data qoq'!$A$1:$AT$1,),)</f>
        <v>1.951682758</v>
      </c>
      <c r="W21" s="25">
        <f>VLOOKUP(B21,'Data qoq'!$A:$AT,MATCH($W$1,'Data qoq'!$A$1:$AT$1,),)</f>
        <v>1.366468032</v>
      </c>
      <c r="X21" s="25">
        <f>VLOOKUP(B21,'Data qoq'!$A:$AT,MATCH($X$1,'Data qoq'!$A$1:$AT$1,),)</f>
        <v>0.63705044899999996</v>
      </c>
      <c r="Y21" s="25">
        <f>VLOOKUP(B21,'Data qoq'!$A:$AT,MATCH($Y$1,'Data qoq'!$A$1:$AT$1,),)</f>
        <v>1.2326548610000001</v>
      </c>
      <c r="Z21" s="25">
        <f>VLOOKUP(B21,'Data qoq'!$A:$AU,MATCH($Z$1,'Data qoq'!$A$1:$AU$1,),)</f>
        <v>7.4497308999999998E-2</v>
      </c>
      <c r="AA21" s="25">
        <f>VLOOKUP(B21,'Data qoq'!$A:$AU,MATCH($AA$1,'Data qoq'!$A$1:$AU$1,),)</f>
        <v>1.1721250919999999</v>
      </c>
      <c r="AC21" s="26" t="str">
        <f t="shared" si="6"/>
        <v>2002-Q3</v>
      </c>
      <c r="AD21" s="27">
        <f t="shared" si="7"/>
        <v>-8.6268937999999962E-2</v>
      </c>
      <c r="AE21" s="27"/>
    </row>
    <row r="22" spans="2:31" hidden="1" x14ac:dyDescent="0.2">
      <c r="B22" s="24" t="s">
        <v>288</v>
      </c>
      <c r="C22" s="25">
        <f>VLOOKUP(B22,'Data qoq'!$A:$AT,MATCH($C$1,'Data qoq'!$A$1:$AT$1,),)</f>
        <v>0.13065576700000001</v>
      </c>
      <c r="D22" s="25">
        <f>VLOOKUP(B22,'Data qoq'!$A:$AT,MATCH($D$1,'Data qoq'!$A$1:$AT$1,),)</f>
        <v>0</v>
      </c>
      <c r="E22" s="25">
        <f>VLOOKUP(B22,'Data qoq'!$A:$AT,MATCH($E$1,'Data qoq'!$A$1:$AT$1,),)</f>
        <v>0.21523900000000001</v>
      </c>
      <c r="F22" s="25">
        <f>VLOOKUP(B22,'Data qoq'!$A:$AT,MATCH($F$1,'Data qoq'!$A$1:$AT$1,),)</f>
        <v>0.27863518500000001</v>
      </c>
      <c r="G22" s="25">
        <f>VLOOKUP(B22,'Data qoq'!$A:$AT,MATCH($G$1,'Data qoq'!$A$1:$AT$1,),)</f>
        <v>-0.13925285900000001</v>
      </c>
      <c r="H22" s="25">
        <f>VLOOKUP(B22,'Data qoq'!$A:$AT,MATCH($H$1,'Data qoq'!$A$1:$AT$1,),)</f>
        <v>0.234678256</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0.16288681499999999</v>
      </c>
      <c r="M22" s="25">
        <f>VLOOKUP(B22,'Data qoq'!$A:$AT,MATCH($M$1,'Data qoq'!$A$1:$AT$1,),)</f>
        <v>0.23539754800000001</v>
      </c>
      <c r="N22" s="25">
        <f>VLOOKUP(B22,'Data qoq'!$A:$AT,MATCH($N$1,'Data qoq'!$A$1:$AT$1,),)</f>
        <v>0</v>
      </c>
      <c r="O22" s="25">
        <f>VLOOKUP(B22,'Data qoq'!$A:$AT,MATCH($C$1,'Data qoq'!$J$1:$AT$1,),)</f>
        <v>1.331353746</v>
      </c>
      <c r="P22" s="25">
        <f>VLOOKUP(B22,'Data qoq'!$A:$AT,MATCH($P$1,'Data qoq'!$A$1:$AT$1,),)</f>
        <v>0.54862090500000005</v>
      </c>
      <c r="Q22" s="25">
        <f>VLOOKUP(B22,'Data qoq'!$A:$AT,MATCH($Q$1,'Data qoq'!$A$1:$AT$1,),)</f>
        <v>0.81629020299999999</v>
      </c>
      <c r="R22" s="25">
        <f>VLOOKUP(B22,'Data qoq'!$A:$AT,MATCH($E$1,'Data qoq'!$A$1:$AT$1,),)</f>
        <v>0.21523900000000001</v>
      </c>
      <c r="S22" s="25">
        <f>VLOOKUP(B22,'Data qoq'!$A:$AT,MATCH($S$1,'Data qoq'!$A$1:$AT$1,),)</f>
        <v>1.0973539919999999</v>
      </c>
      <c r="T22" s="25">
        <f>VLOOKUP(B22,'Data qoq'!$A:$AT,MATCH($T$1,'Data qoq'!$A$1:$AT$1,),)</f>
        <v>1.0079755889999999</v>
      </c>
      <c r="U22" s="25">
        <f>VLOOKUP(B22,'Data qoq'!$A:$AT,MATCH($U$1,'Data qoq'!$A$1:$AT$1,),)</f>
        <v>0.77102046599999996</v>
      </c>
      <c r="V22" s="25">
        <f>VLOOKUP(B22,'Data qoq'!$A:$AT,MATCH($V$1,'Data qoq'!$A$1:$AT$1,),)</f>
        <v>0.83477411099999999</v>
      </c>
      <c r="W22" s="25">
        <f>VLOOKUP(B22,'Data qoq'!$A:$AT,MATCH($W$1,'Data qoq'!$A$1:$AT$1,),)</f>
        <v>2.13363529</v>
      </c>
      <c r="X22" s="25">
        <f>VLOOKUP(B22,'Data qoq'!$A:$AT,MATCH($X$1,'Data qoq'!$A$1:$AT$1,),)</f>
        <v>0.66296281300000004</v>
      </c>
      <c r="Y22" s="25">
        <f>VLOOKUP(B22,'Data qoq'!$A:$AT,MATCH($Y$1,'Data qoq'!$A$1:$AT$1,),)</f>
        <v>9.4280064999999996E-2</v>
      </c>
      <c r="Z22" s="25">
        <f>VLOOKUP(B22,'Data qoq'!$A:$AU,MATCH($Z$1,'Data qoq'!$A$1:$AU$1,),)</f>
        <v>1.019056942</v>
      </c>
      <c r="AA22" s="25">
        <f>VLOOKUP(B22,'Data qoq'!$A:$AU,MATCH($AA$1,'Data qoq'!$A$1:$AU$1,),)</f>
        <v>1.331353746</v>
      </c>
      <c r="AC22" s="26" t="str">
        <f t="shared" si="6"/>
        <v>2002-Q4</v>
      </c>
      <c r="AD22" s="27">
        <f t="shared" si="7"/>
        <v>0.26990862599999998</v>
      </c>
      <c r="AE22" s="27"/>
    </row>
    <row r="23" spans="2:31" hidden="1" x14ac:dyDescent="0.2">
      <c r="B23" s="24" t="s">
        <v>289</v>
      </c>
      <c r="C23" s="25">
        <f>VLOOKUP(B23,'Data qoq'!$A:$AT,MATCH($C$1,'Data qoq'!$A$1:$AT$1,),)</f>
        <v>0.51672318699999997</v>
      </c>
      <c r="D23" s="25">
        <f>VLOOKUP(B23,'Data qoq'!$A:$AT,MATCH($D$1,'Data qoq'!$A$1:$AT$1,),)</f>
        <v>0</v>
      </c>
      <c r="E23" s="25">
        <f>VLOOKUP(B23,'Data qoq'!$A:$AT,MATCH($E$1,'Data qoq'!$A$1:$AT$1,),)</f>
        <v>-0.32027899999999998</v>
      </c>
      <c r="F23" s="25">
        <f>VLOOKUP(B23,'Data qoq'!$A:$AT,MATCH($F$1,'Data qoq'!$A$1:$AT$1,),)</f>
        <v>6.1742323000000002E-2</v>
      </c>
      <c r="G23" s="25">
        <f>VLOOKUP(B23,'Data qoq'!$A:$AT,MATCH($G$1,'Data qoq'!$A$1:$AT$1,),)</f>
        <v>-1.4903972080000001</v>
      </c>
      <c r="H23" s="25">
        <f>VLOOKUP(B23,'Data qoq'!$A:$AT,MATCH($H$1,'Data qoq'!$A$1:$AT$1,),)</f>
        <v>0.111446582</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1.173960951</v>
      </c>
      <c r="M23" s="25">
        <f>VLOOKUP(B23,'Data qoq'!$A:$AT,MATCH($M$1,'Data qoq'!$A$1:$AT$1,),)</f>
        <v>0.23678360400000001</v>
      </c>
      <c r="N23" s="25">
        <f>VLOOKUP(B23,'Data qoq'!$A:$AT,MATCH($N$1,'Data qoq'!$A$1:$AT$1,),)</f>
        <v>0</v>
      </c>
      <c r="O23" s="25">
        <f>VLOOKUP(B23,'Data qoq'!$A:$AT,MATCH($C$1,'Data qoq'!$J$1:$AT$1,),)</f>
        <v>0.55244637699999999</v>
      </c>
      <c r="P23" s="25">
        <f>VLOOKUP(B23,'Data qoq'!$A:$AT,MATCH($P$1,'Data qoq'!$A$1:$AT$1,),)</f>
        <v>0.55332523499999997</v>
      </c>
      <c r="Q23" s="25">
        <f>VLOOKUP(B23,'Data qoq'!$A:$AT,MATCH($Q$1,'Data qoq'!$A$1:$AT$1,),)</f>
        <v>0.20273551100000001</v>
      </c>
      <c r="R23" s="25">
        <f>VLOOKUP(B23,'Data qoq'!$A:$AT,MATCH($E$1,'Data qoq'!$A$1:$AT$1,),)</f>
        <v>-0.32027899999999998</v>
      </c>
      <c r="S23" s="25">
        <f>VLOOKUP(B23,'Data qoq'!$A:$AT,MATCH($S$1,'Data qoq'!$A$1:$AT$1,),)</f>
        <v>-0.65915983499999997</v>
      </c>
      <c r="T23" s="25">
        <f>VLOOKUP(B23,'Data qoq'!$A:$AT,MATCH($T$1,'Data qoq'!$A$1:$AT$1,),)</f>
        <v>-0.43870516700000001</v>
      </c>
      <c r="U23" s="25">
        <f>VLOOKUP(B23,'Data qoq'!$A:$AT,MATCH($U$1,'Data qoq'!$A$1:$AT$1,),)</f>
        <v>2.0819525830000001</v>
      </c>
      <c r="V23" s="25">
        <f>VLOOKUP(B23,'Data qoq'!$A:$AT,MATCH($V$1,'Data qoq'!$A$1:$AT$1,),)</f>
        <v>-0.35251364299999999</v>
      </c>
      <c r="W23" s="25">
        <f>VLOOKUP(B23,'Data qoq'!$A:$AT,MATCH($W$1,'Data qoq'!$A$1:$AT$1,),)</f>
        <v>8.3600699000000001E-2</v>
      </c>
      <c r="X23" s="25">
        <f>VLOOKUP(B23,'Data qoq'!$A:$AT,MATCH($X$1,'Data qoq'!$A$1:$AT$1,),)</f>
        <v>1.055680792</v>
      </c>
      <c r="Y23" s="25">
        <f>VLOOKUP(B23,'Data qoq'!$A:$AT,MATCH($Y$1,'Data qoq'!$A$1:$AT$1,),)</f>
        <v>0.34951247200000002</v>
      </c>
      <c r="Z23" s="25">
        <f>VLOOKUP(B23,'Data qoq'!$A:$AU,MATCH($Z$1,'Data qoq'!$A$1:$AU$1,),)</f>
        <v>3.695017177</v>
      </c>
      <c r="AA23" s="25">
        <f>VLOOKUP(B23,'Data qoq'!$A:$AU,MATCH($AA$1,'Data qoq'!$A$1:$AU$1,),)</f>
        <v>0.55244637699999999</v>
      </c>
      <c r="AC23" s="26" t="str">
        <f t="shared" si="6"/>
        <v>2003-Q1</v>
      </c>
      <c r="AD23" s="27">
        <f t="shared" si="7"/>
        <v>2.0071203950000003</v>
      </c>
      <c r="AE23" s="27"/>
    </row>
    <row r="24" spans="2:31" hidden="1" x14ac:dyDescent="0.2">
      <c r="B24" s="24" t="s">
        <v>290</v>
      </c>
      <c r="C24" s="25">
        <f>VLOOKUP(B24,'Data qoq'!$A:$AT,MATCH($C$1,'Data qoq'!$A$1:$AT$1,),)</f>
        <v>0.89337780099999997</v>
      </c>
      <c r="D24" s="25">
        <f>VLOOKUP(B24,'Data qoq'!$A:$AT,MATCH($D$1,'Data qoq'!$A$1:$AT$1,),)</f>
        <v>0</v>
      </c>
      <c r="E24" s="25">
        <f>VLOOKUP(B24,'Data qoq'!$A:$AT,MATCH($E$1,'Data qoq'!$A$1:$AT$1,),)</f>
        <v>7.9502000000000003E-2</v>
      </c>
      <c r="F24" s="25">
        <f>VLOOKUP(B24,'Data qoq'!$A:$AT,MATCH($F$1,'Data qoq'!$A$1:$AT$1,),)</f>
        <v>0.68743837299999999</v>
      </c>
      <c r="G24" s="25">
        <f>VLOOKUP(B24,'Data qoq'!$A:$AT,MATCH($G$1,'Data qoq'!$A$1:$AT$1,),)</f>
        <v>0.117964262</v>
      </c>
      <c r="H24" s="25">
        <f>VLOOKUP(B24,'Data qoq'!$A:$AT,MATCH($H$1,'Data qoq'!$A$1:$AT$1,),)</f>
        <v>-0.23593948200000001</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-0.58381770200000005</v>
      </c>
      <c r="M24" s="25">
        <f>VLOOKUP(B24,'Data qoq'!$A:$AT,MATCH($M$1,'Data qoq'!$A$1:$AT$1,),)</f>
        <v>0.23126754799999999</v>
      </c>
      <c r="N24" s="25">
        <f>VLOOKUP(B24,'Data qoq'!$A:$AT,MATCH($N$1,'Data qoq'!$A$1:$AT$1,),)</f>
        <v>1.1154365420000001</v>
      </c>
      <c r="O24" s="25">
        <f>VLOOKUP(B24,'Data qoq'!$A:$AT,MATCH($C$1,'Data qoq'!$J$1:$AT$1,),)</f>
        <v>0.43714019500000001</v>
      </c>
      <c r="P24" s="25">
        <f>VLOOKUP(B24,'Data qoq'!$A:$AT,MATCH($P$1,'Data qoq'!$A$1:$AT$1,),)</f>
        <v>-0.14746372799999999</v>
      </c>
      <c r="Q24" s="25">
        <f>VLOOKUP(B24,'Data qoq'!$A:$AT,MATCH($Q$1,'Data qoq'!$A$1:$AT$1,),)</f>
        <v>0.415978352</v>
      </c>
      <c r="R24" s="25">
        <f>VLOOKUP(B24,'Data qoq'!$A:$AT,MATCH($E$1,'Data qoq'!$A$1:$AT$1,),)</f>
        <v>7.9502000000000003E-2</v>
      </c>
      <c r="S24" s="25">
        <f>VLOOKUP(B24,'Data qoq'!$A:$AT,MATCH($S$1,'Data qoq'!$A$1:$AT$1,),)</f>
        <v>-0.154146863</v>
      </c>
      <c r="T24" s="25">
        <f>VLOOKUP(B24,'Data qoq'!$A:$AT,MATCH($T$1,'Data qoq'!$A$1:$AT$1,),)</f>
        <v>-0.86186373400000005</v>
      </c>
      <c r="U24" s="25">
        <f>VLOOKUP(B24,'Data qoq'!$A:$AT,MATCH($U$1,'Data qoq'!$A$1:$AT$1,),)</f>
        <v>1.771173645</v>
      </c>
      <c r="V24" s="25">
        <f>VLOOKUP(B24,'Data qoq'!$A:$AT,MATCH($V$1,'Data qoq'!$A$1:$AT$1,),)</f>
        <v>0.52974463599999999</v>
      </c>
      <c r="W24" s="25">
        <f>VLOOKUP(B24,'Data qoq'!$A:$AT,MATCH($W$1,'Data qoq'!$A$1:$AT$1,),)</f>
        <v>0.336326982</v>
      </c>
      <c r="X24" s="25">
        <f>VLOOKUP(B24,'Data qoq'!$A:$AT,MATCH($X$1,'Data qoq'!$A$1:$AT$1,),)</f>
        <v>1.051891208</v>
      </c>
      <c r="Y24" s="25">
        <f>VLOOKUP(B24,'Data qoq'!$A:$AT,MATCH($Y$1,'Data qoq'!$A$1:$AT$1,),)</f>
        <v>2.096758334</v>
      </c>
      <c r="Z24" s="25">
        <f>VLOOKUP(B24,'Data qoq'!$A:$AU,MATCH($Z$1,'Data qoq'!$A$1:$AU$1,),)</f>
        <v>3.1643250489999999</v>
      </c>
      <c r="AA24" s="25">
        <f>VLOOKUP(B24,'Data qoq'!$A:$AU,MATCH($AA$1,'Data qoq'!$A$1:$AU$1,),)</f>
        <v>0.43714019500000001</v>
      </c>
      <c r="AC24" s="26" t="str">
        <f t="shared" si="6"/>
        <v>2003-Q2</v>
      </c>
      <c r="AD24" s="27">
        <f t="shared" si="7"/>
        <v>0.77541353899999999</v>
      </c>
      <c r="AE24" s="27"/>
    </row>
    <row r="25" spans="2:31" hidden="1" x14ac:dyDescent="0.2">
      <c r="B25" s="24" t="s">
        <v>291</v>
      </c>
      <c r="C25" s="25">
        <f>VLOOKUP(B25,'Data qoq'!$A:$AT,MATCH($C$1,'Data qoq'!$A$1:$AT$1,),)</f>
        <v>1.6668962700000001</v>
      </c>
      <c r="D25" s="25">
        <f>VLOOKUP(B25,'Data qoq'!$A:$AT,MATCH($D$1,'Data qoq'!$A$1:$AT$1,),)</f>
        <v>0</v>
      </c>
      <c r="E25" s="25">
        <f>VLOOKUP(B25,'Data qoq'!$A:$AT,MATCH($E$1,'Data qoq'!$A$1:$AT$1,),)</f>
        <v>0.54109099999999999</v>
      </c>
      <c r="F25" s="25">
        <f>VLOOKUP(B25,'Data qoq'!$A:$AT,MATCH($F$1,'Data qoq'!$A$1:$AT$1,),)</f>
        <v>0.29495215899999999</v>
      </c>
      <c r="G25" s="25">
        <f>VLOOKUP(B25,'Data qoq'!$A:$AT,MATCH($G$1,'Data qoq'!$A$1:$AT$1,),)</f>
        <v>0.76587593499999995</v>
      </c>
      <c r="H25" s="25">
        <f>VLOOKUP(B25,'Data qoq'!$A:$AT,MATCH($H$1,'Data qoq'!$A$1:$AT$1,),)</f>
        <v>0.67281973900000003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1.447878531</v>
      </c>
      <c r="M25" s="25">
        <f>VLOOKUP(B25,'Data qoq'!$A:$AT,MATCH($M$1,'Data qoq'!$A$1:$AT$1,),)</f>
        <v>-3.9227583000000003E-2</v>
      </c>
      <c r="N25" s="25">
        <f>VLOOKUP(B25,'Data qoq'!$A:$AT,MATCH($N$1,'Data qoq'!$A$1:$AT$1,),)</f>
        <v>1.6881671840000001</v>
      </c>
      <c r="O25" s="25">
        <f>VLOOKUP(B25,'Data qoq'!$A:$AT,MATCH($C$1,'Data qoq'!$J$1:$AT$1,),)</f>
        <v>2.107215906</v>
      </c>
      <c r="P25" s="25">
        <f>VLOOKUP(B25,'Data qoq'!$A:$AT,MATCH($P$1,'Data qoq'!$A$1:$AT$1,),)</f>
        <v>0.373654347</v>
      </c>
      <c r="Q25" s="25">
        <f>VLOOKUP(B25,'Data qoq'!$A:$AT,MATCH($Q$1,'Data qoq'!$A$1:$AT$1,),)</f>
        <v>1.736612697</v>
      </c>
      <c r="R25" s="25">
        <f>VLOOKUP(B25,'Data qoq'!$A:$AT,MATCH($E$1,'Data qoq'!$A$1:$AT$1,),)</f>
        <v>0.54109099999999999</v>
      </c>
      <c r="S25" s="25">
        <f>VLOOKUP(B25,'Data qoq'!$A:$AT,MATCH($S$1,'Data qoq'!$A$1:$AT$1,),)</f>
        <v>1.9326695089999999</v>
      </c>
      <c r="T25" s="25">
        <f>VLOOKUP(B25,'Data qoq'!$A:$AT,MATCH($T$1,'Data qoq'!$A$1:$AT$1,),)</f>
        <v>0.96175471499999998</v>
      </c>
      <c r="U25" s="25">
        <f>VLOOKUP(B25,'Data qoq'!$A:$AT,MATCH($U$1,'Data qoq'!$A$1:$AT$1,),)</f>
        <v>0.62731859400000001</v>
      </c>
      <c r="V25" s="25">
        <f>VLOOKUP(B25,'Data qoq'!$A:$AT,MATCH($V$1,'Data qoq'!$A$1:$AT$1,),)</f>
        <v>0.87483786900000005</v>
      </c>
      <c r="W25" s="25">
        <f>VLOOKUP(B25,'Data qoq'!$A:$AT,MATCH($W$1,'Data qoq'!$A$1:$AT$1,),)</f>
        <v>2.8512124029999999</v>
      </c>
      <c r="X25" s="25">
        <f>VLOOKUP(B25,'Data qoq'!$A:$AT,MATCH($X$1,'Data qoq'!$A$1:$AT$1,),)</f>
        <v>1.075444689</v>
      </c>
      <c r="Y25" s="25">
        <f>VLOOKUP(B25,'Data qoq'!$A:$AT,MATCH($Y$1,'Data qoq'!$A$1:$AT$1,),)</f>
        <v>1.1135982390000001</v>
      </c>
      <c r="Z25" s="25">
        <f>VLOOKUP(B25,'Data qoq'!$A:$AU,MATCH($Z$1,'Data qoq'!$A$1:$AU$1,),)</f>
        <v>2.4436381310000002</v>
      </c>
      <c r="AA25" s="25">
        <f>VLOOKUP(B25,'Data qoq'!$A:$AU,MATCH($AA$1,'Data qoq'!$A$1:$AU$1,),)</f>
        <v>2.107215906</v>
      </c>
      <c r="AC25" s="26" t="str">
        <f t="shared" si="6"/>
        <v>2003-Q3</v>
      </c>
      <c r="AD25" s="27">
        <f t="shared" si="7"/>
        <v>0.90102033500000012</v>
      </c>
      <c r="AE25" s="27"/>
    </row>
    <row r="26" spans="2:31" hidden="1" x14ac:dyDescent="0.2">
      <c r="B26" s="24" t="s">
        <v>292</v>
      </c>
      <c r="C26" s="25">
        <f>VLOOKUP(B26,'Data qoq'!$A:$AT,MATCH($C$1,'Data qoq'!$A$1:$AT$1,),)</f>
        <v>1.154045728</v>
      </c>
      <c r="D26" s="25">
        <f>VLOOKUP(B26,'Data qoq'!$A:$AT,MATCH($D$1,'Data qoq'!$A$1:$AT$1,),)</f>
        <v>0</v>
      </c>
      <c r="E26" s="25">
        <f>VLOOKUP(B26,'Data qoq'!$A:$AT,MATCH($E$1,'Data qoq'!$A$1:$AT$1,),)</f>
        <v>0.723271</v>
      </c>
      <c r="F26" s="25">
        <f>VLOOKUP(B26,'Data qoq'!$A:$AT,MATCH($F$1,'Data qoq'!$A$1:$AT$1,),)</f>
        <v>1.0890290979999999</v>
      </c>
      <c r="G26" s="25">
        <f>VLOOKUP(B26,'Data qoq'!$A:$AT,MATCH($G$1,'Data qoq'!$A$1:$AT$1,),)</f>
        <v>0.26894256</v>
      </c>
      <c r="H26" s="25">
        <f>VLOOKUP(B26,'Data qoq'!$A:$AT,MATCH($H$1,'Data qoq'!$A$1:$AT$1,),)</f>
        <v>0.68362229500000005</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0.63099570900000002</v>
      </c>
      <c r="M26" s="25">
        <f>VLOOKUP(B26,'Data qoq'!$A:$AT,MATCH($M$1,'Data qoq'!$A$1:$AT$1,),)</f>
        <v>1.100260934</v>
      </c>
      <c r="N26" s="25">
        <f>VLOOKUP(B26,'Data qoq'!$A:$AT,MATCH($N$1,'Data qoq'!$A$1:$AT$1,),)</f>
        <v>1.8238187690000001</v>
      </c>
      <c r="O26" s="25">
        <f>VLOOKUP(B26,'Data qoq'!$A:$AT,MATCH($C$1,'Data qoq'!$J$1:$AT$1,),)</f>
        <v>1.3043883350000001</v>
      </c>
      <c r="P26" s="25">
        <f>VLOOKUP(B26,'Data qoq'!$A:$AT,MATCH($P$1,'Data qoq'!$A$1:$AT$1,),)</f>
        <v>0.68995918099999998</v>
      </c>
      <c r="Q26" s="25">
        <f>VLOOKUP(B26,'Data qoq'!$A:$AT,MATCH($Q$1,'Data qoq'!$A$1:$AT$1,),)</f>
        <v>1.640439956</v>
      </c>
      <c r="R26" s="25">
        <f>VLOOKUP(B26,'Data qoq'!$A:$AT,MATCH($E$1,'Data qoq'!$A$1:$AT$1,),)</f>
        <v>0.723271</v>
      </c>
      <c r="S26" s="25">
        <f>VLOOKUP(B26,'Data qoq'!$A:$AT,MATCH($S$1,'Data qoq'!$A$1:$AT$1,),)</f>
        <v>2.6394795860000002</v>
      </c>
      <c r="T26" s="25">
        <f>VLOOKUP(B26,'Data qoq'!$A:$AT,MATCH($T$1,'Data qoq'!$A$1:$AT$1,),)</f>
        <v>1.0330708710000001</v>
      </c>
      <c r="U26" s="25">
        <f>VLOOKUP(B26,'Data qoq'!$A:$AT,MATCH($U$1,'Data qoq'!$A$1:$AT$1,),)</f>
        <v>2.1371795480000002</v>
      </c>
      <c r="V26" s="25">
        <f>VLOOKUP(B26,'Data qoq'!$A:$AT,MATCH($V$1,'Data qoq'!$A$1:$AT$1,),)</f>
        <v>5.0249603130000002</v>
      </c>
      <c r="W26" s="25">
        <f>VLOOKUP(B26,'Data qoq'!$A:$AT,MATCH($W$1,'Data qoq'!$A$1:$AT$1,),)</f>
        <v>3.0230130769999999</v>
      </c>
      <c r="X26" s="25">
        <f>VLOOKUP(B26,'Data qoq'!$A:$AT,MATCH($X$1,'Data qoq'!$A$1:$AT$1,),)</f>
        <v>0.81300236800000003</v>
      </c>
      <c r="Y26" s="25">
        <f>VLOOKUP(B26,'Data qoq'!$A:$AT,MATCH($Y$1,'Data qoq'!$A$1:$AT$1,),)</f>
        <v>0.28006102900000002</v>
      </c>
      <c r="Z26" s="25">
        <f>VLOOKUP(B26,'Data qoq'!$A:$AU,MATCH($Z$1,'Data qoq'!$A$1:$AU$1,),)</f>
        <v>1.8764988899999999</v>
      </c>
      <c r="AA26" s="25">
        <f>VLOOKUP(B26,'Data qoq'!$A:$AU,MATCH($AA$1,'Data qoq'!$A$1:$AU$1,),)</f>
        <v>1.3043883350000001</v>
      </c>
      <c r="AC26" s="26" t="str">
        <f t="shared" si="6"/>
        <v>2003-Q4</v>
      </c>
      <c r="AD26" s="27">
        <f t="shared" si="7"/>
        <v>0.88510316800000011</v>
      </c>
      <c r="AE26" s="27"/>
    </row>
    <row r="27" spans="2:31" hidden="1" x14ac:dyDescent="0.2">
      <c r="B27" s="24" t="s">
        <v>293</v>
      </c>
      <c r="C27" s="25">
        <f>VLOOKUP(B27,'Data qoq'!$A:$AT,MATCH($C$1,'Data qoq'!$A$1:$AT$1,),)</f>
        <v>0.572916486</v>
      </c>
      <c r="D27" s="25">
        <f>VLOOKUP(B27,'Data qoq'!$A:$AT,MATCH($D$1,'Data qoq'!$A$1:$AT$1,),)</f>
        <v>0</v>
      </c>
      <c r="E27" s="25">
        <f>VLOOKUP(B27,'Data qoq'!$A:$AT,MATCH($E$1,'Data qoq'!$A$1:$AT$1,),)</f>
        <v>0.50836400000000004</v>
      </c>
      <c r="F27" s="25">
        <f>VLOOKUP(B27,'Data qoq'!$A:$AT,MATCH($F$1,'Data qoq'!$A$1:$AT$1,),)</f>
        <v>0.73424959899999998</v>
      </c>
      <c r="G27" s="25">
        <f>VLOOKUP(B27,'Data qoq'!$A:$AT,MATCH($G$1,'Data qoq'!$A$1:$AT$1,),)</f>
        <v>-0.17199453100000001</v>
      </c>
      <c r="H27" s="25">
        <f>VLOOKUP(B27,'Data qoq'!$A:$AT,MATCH($H$1,'Data qoq'!$A$1:$AT$1,),)</f>
        <v>0.98506012700000001</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1.8330136990000001</v>
      </c>
      <c r="M27" s="25">
        <f>VLOOKUP(B27,'Data qoq'!$A:$AT,MATCH($M$1,'Data qoq'!$A$1:$AT$1,),)</f>
        <v>1.409002308</v>
      </c>
      <c r="N27" s="25">
        <f>VLOOKUP(B27,'Data qoq'!$A:$AT,MATCH($N$1,'Data qoq'!$A$1:$AT$1,),)</f>
        <v>1.8786669309999999</v>
      </c>
      <c r="O27" s="25">
        <f>VLOOKUP(B27,'Data qoq'!$A:$AT,MATCH($C$1,'Data qoq'!$J$1:$AT$1,),)</f>
        <v>1.7060608850000001</v>
      </c>
      <c r="P27" s="25">
        <f>VLOOKUP(B27,'Data qoq'!$A:$AT,MATCH($P$1,'Data qoq'!$A$1:$AT$1,),)</f>
        <v>0.72026758700000004</v>
      </c>
      <c r="Q27" s="25">
        <f>VLOOKUP(B27,'Data qoq'!$A:$AT,MATCH($Q$1,'Data qoq'!$A$1:$AT$1,),)</f>
        <v>0.78516341199999995</v>
      </c>
      <c r="R27" s="25">
        <f>VLOOKUP(B27,'Data qoq'!$A:$AT,MATCH($E$1,'Data qoq'!$A$1:$AT$1,),)</f>
        <v>0.50836400000000004</v>
      </c>
      <c r="S27" s="25">
        <f>VLOOKUP(B27,'Data qoq'!$A:$AT,MATCH($S$1,'Data qoq'!$A$1:$AT$1,),)</f>
        <v>1.254800591</v>
      </c>
      <c r="T27" s="25">
        <f>VLOOKUP(B27,'Data qoq'!$A:$AT,MATCH($T$1,'Data qoq'!$A$1:$AT$1,),)</f>
        <v>1.399135215</v>
      </c>
      <c r="U27" s="25">
        <f>VLOOKUP(B27,'Data qoq'!$A:$AT,MATCH($U$1,'Data qoq'!$A$1:$AT$1,),)</f>
        <v>1.8285645370000001</v>
      </c>
      <c r="V27" s="25">
        <f>VLOOKUP(B27,'Data qoq'!$A:$AT,MATCH($V$1,'Data qoq'!$A$1:$AT$1,),)</f>
        <v>7.6458309999999996E-3</v>
      </c>
      <c r="W27" s="25">
        <f>VLOOKUP(B27,'Data qoq'!$A:$AT,MATCH($W$1,'Data qoq'!$A$1:$AT$1,),)</f>
        <v>2.7542829950000001</v>
      </c>
      <c r="X27" s="25">
        <f>VLOOKUP(B27,'Data qoq'!$A:$AT,MATCH($X$1,'Data qoq'!$A$1:$AT$1,),)</f>
        <v>1.0657318469999999</v>
      </c>
      <c r="Y27" s="25">
        <f>VLOOKUP(B27,'Data qoq'!$A:$AT,MATCH($Y$1,'Data qoq'!$A$1:$AT$1,),)</f>
        <v>2.9871741169999999</v>
      </c>
      <c r="Z27" s="25">
        <f>VLOOKUP(B27,'Data qoq'!$A:$AU,MATCH($Z$1,'Data qoq'!$A$1:$AU$1,),)</f>
        <v>3.2337525</v>
      </c>
      <c r="AA27" s="25">
        <f>VLOOKUP(B27,'Data qoq'!$A:$AU,MATCH($AA$1,'Data qoq'!$A$1:$AU$1,),)</f>
        <v>1.7060608850000001</v>
      </c>
      <c r="AC27" s="26" t="str">
        <f t="shared" si="6"/>
        <v>2004-Q1</v>
      </c>
      <c r="AD27" s="27">
        <f t="shared" si="7"/>
        <v>0.74491101699999995</v>
      </c>
      <c r="AE27" s="27"/>
    </row>
    <row r="28" spans="2:31" hidden="1" x14ac:dyDescent="0.2">
      <c r="B28" s="24" t="s">
        <v>294</v>
      </c>
      <c r="C28" s="25">
        <f>VLOOKUP(B28,'Data qoq'!$A:$AT,MATCH($C$1,'Data qoq'!$A$1:$AT$1,),)</f>
        <v>0.77873875800000003</v>
      </c>
      <c r="D28" s="25">
        <f>VLOOKUP(B28,'Data qoq'!$A:$AT,MATCH($D$1,'Data qoq'!$A$1:$AT$1,),)</f>
        <v>0</v>
      </c>
      <c r="E28" s="25">
        <f>VLOOKUP(B28,'Data qoq'!$A:$AT,MATCH($E$1,'Data qoq'!$A$1:$AT$1,),)</f>
        <v>0.61577400000000004</v>
      </c>
      <c r="F28" s="25">
        <f>VLOOKUP(B28,'Data qoq'!$A:$AT,MATCH($F$1,'Data qoq'!$A$1:$AT$1,),)</f>
        <v>1.5309961E-2</v>
      </c>
      <c r="G28" s="25">
        <f>VLOOKUP(B28,'Data qoq'!$A:$AT,MATCH($G$1,'Data qoq'!$A$1:$AT$1,),)</f>
        <v>0.50232971599999998</v>
      </c>
      <c r="H28" s="25">
        <f>VLOOKUP(B28,'Data qoq'!$A:$AT,MATCH($H$1,'Data qoq'!$A$1:$AT$1,),)</f>
        <v>0.56669689199999995</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0.41268173600000002</v>
      </c>
      <c r="M28" s="25">
        <f>VLOOKUP(B28,'Data qoq'!$A:$AT,MATCH($M$1,'Data qoq'!$A$1:$AT$1,),)</f>
        <v>1.5435012640000001</v>
      </c>
      <c r="N28" s="25">
        <f>VLOOKUP(B28,'Data qoq'!$A:$AT,MATCH($N$1,'Data qoq'!$A$1:$AT$1,),)</f>
        <v>1.9271840410000001</v>
      </c>
      <c r="O28" s="25">
        <f>VLOOKUP(B28,'Data qoq'!$A:$AT,MATCH($C$1,'Data qoq'!$J$1:$AT$1,),)</f>
        <v>0.86358909399999995</v>
      </c>
      <c r="P28" s="25">
        <f>VLOOKUP(B28,'Data qoq'!$A:$AT,MATCH($P$1,'Data qoq'!$A$1:$AT$1,),)</f>
        <v>1.1878190150000001</v>
      </c>
      <c r="Q28" s="25">
        <f>VLOOKUP(B28,'Data qoq'!$A:$AT,MATCH($Q$1,'Data qoq'!$A$1:$AT$1,),)</f>
        <v>0.66328708999999997</v>
      </c>
      <c r="R28" s="25">
        <f>VLOOKUP(B28,'Data qoq'!$A:$AT,MATCH($E$1,'Data qoq'!$A$1:$AT$1,),)</f>
        <v>0.61577400000000004</v>
      </c>
      <c r="S28" s="25">
        <f>VLOOKUP(B28,'Data qoq'!$A:$AT,MATCH($S$1,'Data qoq'!$A$1:$AT$1,),)</f>
        <v>0.76349936900000004</v>
      </c>
      <c r="T28" s="25">
        <f>VLOOKUP(B28,'Data qoq'!$A:$AT,MATCH($T$1,'Data qoq'!$A$1:$AT$1,),)</f>
        <v>2.7383070599999999</v>
      </c>
      <c r="U28" s="25">
        <f>VLOOKUP(B28,'Data qoq'!$A:$AT,MATCH($U$1,'Data qoq'!$A$1:$AT$1,),)</f>
        <v>-1.8592187999999999E-2</v>
      </c>
      <c r="V28" s="25">
        <f>VLOOKUP(B28,'Data qoq'!$A:$AT,MATCH($V$1,'Data qoq'!$A$1:$AT$1,),)</f>
        <v>2.2587906919999998</v>
      </c>
      <c r="W28" s="25">
        <f>VLOOKUP(B28,'Data qoq'!$A:$AT,MATCH($W$1,'Data qoq'!$A$1:$AT$1,),)</f>
        <v>2.328300885</v>
      </c>
      <c r="X28" s="25">
        <f>VLOOKUP(B28,'Data qoq'!$A:$AT,MATCH($X$1,'Data qoq'!$A$1:$AT$1,),)</f>
        <v>1.234532121</v>
      </c>
      <c r="Y28" s="25">
        <f>VLOOKUP(B28,'Data qoq'!$A:$AT,MATCH($Y$1,'Data qoq'!$A$1:$AT$1,),)</f>
        <v>0.809345804</v>
      </c>
      <c r="Z28" s="25">
        <f>VLOOKUP(B28,'Data qoq'!$A:$AU,MATCH($Z$1,'Data qoq'!$A$1:$AU$1,),)</f>
        <v>-1.1039141690000001</v>
      </c>
      <c r="AA28" s="25">
        <f>VLOOKUP(B28,'Data qoq'!$A:$AU,MATCH($AA$1,'Data qoq'!$A$1:$AU$1,),)</f>
        <v>0.86358909399999995</v>
      </c>
      <c r="AC28" s="26" t="str">
        <f t="shared" si="6"/>
        <v>2004-Q2</v>
      </c>
      <c r="AD28" s="27">
        <f t="shared" si="7"/>
        <v>0.27640904200000005</v>
      </c>
      <c r="AE28" s="27"/>
    </row>
    <row r="29" spans="2:31" hidden="1" x14ac:dyDescent="0.2">
      <c r="B29" s="24" t="s">
        <v>295</v>
      </c>
      <c r="C29" s="25">
        <f>VLOOKUP(B29,'Data qoq'!$A:$AT,MATCH($C$1,'Data qoq'!$A$1:$AT$1,),)</f>
        <v>0.94124722500000002</v>
      </c>
      <c r="D29" s="25">
        <f>VLOOKUP(B29,'Data qoq'!$A:$AT,MATCH($D$1,'Data qoq'!$A$1:$AT$1,),)</f>
        <v>0</v>
      </c>
      <c r="E29" s="25">
        <f>VLOOKUP(B29,'Data qoq'!$A:$AT,MATCH($E$1,'Data qoq'!$A$1:$AT$1,),)</f>
        <v>0.25011499999999998</v>
      </c>
      <c r="F29" s="25">
        <f>VLOOKUP(B29,'Data qoq'!$A:$AT,MATCH($F$1,'Data qoq'!$A$1:$AT$1,),)</f>
        <v>0.61138783100000005</v>
      </c>
      <c r="G29" s="25">
        <f>VLOOKUP(B29,'Data qoq'!$A:$AT,MATCH($G$1,'Data qoq'!$A$1:$AT$1,),)</f>
        <v>-0.18597518800000001</v>
      </c>
      <c r="H29" s="25">
        <f>VLOOKUP(B29,'Data qoq'!$A:$AT,MATCH($H$1,'Data qoq'!$A$1:$AT$1,),)</f>
        <v>0.29253613000000001</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0.78526696500000004</v>
      </c>
      <c r="M29" s="25">
        <f>VLOOKUP(B29,'Data qoq'!$A:$AT,MATCH($M$1,'Data qoq'!$A$1:$AT$1,),)</f>
        <v>-0.21501161299999999</v>
      </c>
      <c r="N29" s="25">
        <f>VLOOKUP(B29,'Data qoq'!$A:$AT,MATCH($N$1,'Data qoq'!$A$1:$AT$1,),)</f>
        <v>1.514535194</v>
      </c>
      <c r="O29" s="25">
        <f>VLOOKUP(B29,'Data qoq'!$A:$AT,MATCH($C$1,'Data qoq'!$J$1:$AT$1,),)</f>
        <v>0.28689259499999997</v>
      </c>
      <c r="P29" s="25">
        <f>VLOOKUP(B29,'Data qoq'!$A:$AT,MATCH($P$1,'Data qoq'!$A$1:$AT$1,),)</f>
        <v>1.1804355769999999</v>
      </c>
      <c r="Q29" s="25">
        <f>VLOOKUP(B29,'Data qoq'!$A:$AT,MATCH($Q$1,'Data qoq'!$A$1:$AT$1,),)</f>
        <v>0.77241989099999997</v>
      </c>
      <c r="R29" s="25">
        <f>VLOOKUP(B29,'Data qoq'!$A:$AT,MATCH($E$1,'Data qoq'!$A$1:$AT$1,),)</f>
        <v>0.25011499999999998</v>
      </c>
      <c r="S29" s="25">
        <f>VLOOKUP(B29,'Data qoq'!$A:$AT,MATCH($S$1,'Data qoq'!$A$1:$AT$1,),)</f>
        <v>0.40558612900000002</v>
      </c>
      <c r="T29" s="25">
        <f>VLOOKUP(B29,'Data qoq'!$A:$AT,MATCH($T$1,'Data qoq'!$A$1:$AT$1,),)</f>
        <v>1.26960714</v>
      </c>
      <c r="U29" s="25">
        <f>VLOOKUP(B29,'Data qoq'!$A:$AT,MATCH($U$1,'Data qoq'!$A$1:$AT$1,),)</f>
        <v>1.334459386</v>
      </c>
      <c r="V29" s="25">
        <f>VLOOKUP(B29,'Data qoq'!$A:$AT,MATCH($V$1,'Data qoq'!$A$1:$AT$1,),)</f>
        <v>-0.48311152200000002</v>
      </c>
      <c r="W29" s="25">
        <f>VLOOKUP(B29,'Data qoq'!$A:$AT,MATCH($W$1,'Data qoq'!$A$1:$AT$1,),)</f>
        <v>1.1277305360000001</v>
      </c>
      <c r="X29" s="25">
        <f>VLOOKUP(B29,'Data qoq'!$A:$AT,MATCH($X$1,'Data qoq'!$A$1:$AT$1,),)</f>
        <v>1.4518295590000001</v>
      </c>
      <c r="Y29" s="25">
        <f>VLOOKUP(B29,'Data qoq'!$A:$AT,MATCH($Y$1,'Data qoq'!$A$1:$AT$1,),)</f>
        <v>-0.50365247700000004</v>
      </c>
      <c r="Z29" s="25">
        <f>VLOOKUP(B29,'Data qoq'!$A:$AU,MATCH($Z$1,'Data qoq'!$A$1:$AU$1,),)</f>
        <v>5.0254570699999999</v>
      </c>
      <c r="AA29" s="25">
        <f>VLOOKUP(B29,'Data qoq'!$A:$AU,MATCH($AA$1,'Data qoq'!$A$1:$AU$1,),)</f>
        <v>0.28689259499999997</v>
      </c>
      <c r="AC29" s="26" t="str">
        <f t="shared" si="6"/>
        <v>2004-Q3</v>
      </c>
      <c r="AD29" s="27">
        <f t="shared" si="7"/>
        <v>1.1272224130000001</v>
      </c>
      <c r="AE29" s="27"/>
    </row>
    <row r="30" spans="2:31" hidden="1" x14ac:dyDescent="0.2">
      <c r="B30" s="24" t="s">
        <v>296</v>
      </c>
      <c r="C30" s="25">
        <f>VLOOKUP(B30,'Data qoq'!$A:$AT,MATCH($C$1,'Data qoq'!$A$1:$AT$1,),)</f>
        <v>1.0220273689999999</v>
      </c>
      <c r="D30" s="25">
        <f>VLOOKUP(B30,'Data qoq'!$A:$AT,MATCH($D$1,'Data qoq'!$A$1:$AT$1,),)</f>
        <v>0</v>
      </c>
      <c r="E30" s="25">
        <f>VLOOKUP(B30,'Data qoq'!$A:$AT,MATCH($E$1,'Data qoq'!$A$1:$AT$1,),)</f>
        <v>0.35830000000000001</v>
      </c>
      <c r="F30" s="25">
        <f>VLOOKUP(B30,'Data qoq'!$A:$AT,MATCH($F$1,'Data qoq'!$A$1:$AT$1,),)</f>
        <v>-0.19220315299999999</v>
      </c>
      <c r="G30" s="25">
        <f>VLOOKUP(B30,'Data qoq'!$A:$AT,MATCH($G$1,'Data qoq'!$A$1:$AT$1,),)</f>
        <v>-0.104814134</v>
      </c>
      <c r="H30" s="25">
        <f>VLOOKUP(B30,'Data qoq'!$A:$AT,MATCH($H$1,'Data qoq'!$A$1:$AT$1,),)</f>
        <v>0.74166326500000002</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0.84152148900000001</v>
      </c>
      <c r="M30" s="25">
        <f>VLOOKUP(B30,'Data qoq'!$A:$AT,MATCH($M$1,'Data qoq'!$A$1:$AT$1,),)</f>
        <v>1.3262536570000001</v>
      </c>
      <c r="N30" s="25">
        <f>VLOOKUP(B30,'Data qoq'!$A:$AT,MATCH($N$1,'Data qoq'!$A$1:$AT$1,),)</f>
        <v>1.1181707839999999</v>
      </c>
      <c r="O30" s="25">
        <f>VLOOKUP(B30,'Data qoq'!$A:$AT,MATCH($C$1,'Data qoq'!$J$1:$AT$1,),)</f>
        <v>0.35088503500000001</v>
      </c>
      <c r="P30" s="25">
        <f>VLOOKUP(B30,'Data qoq'!$A:$AT,MATCH($P$1,'Data qoq'!$A$1:$AT$1,),)</f>
        <v>0.71842654399999994</v>
      </c>
      <c r="Q30" s="25">
        <f>VLOOKUP(B30,'Data qoq'!$A:$AT,MATCH($Q$1,'Data qoq'!$A$1:$AT$1,),)</f>
        <v>0.75227193199999998</v>
      </c>
      <c r="R30" s="25">
        <f>VLOOKUP(B30,'Data qoq'!$A:$AT,MATCH($E$1,'Data qoq'!$A$1:$AT$1,),)</f>
        <v>0.35830000000000001</v>
      </c>
      <c r="S30" s="25">
        <f>VLOOKUP(B30,'Data qoq'!$A:$AT,MATCH($S$1,'Data qoq'!$A$1:$AT$1,),)</f>
        <v>0.75793377399999995</v>
      </c>
      <c r="T30" s="25">
        <f>VLOOKUP(B30,'Data qoq'!$A:$AT,MATCH($T$1,'Data qoq'!$A$1:$AT$1,),)</f>
        <v>0.76479916699999995</v>
      </c>
      <c r="U30" s="25">
        <f>VLOOKUP(B30,'Data qoq'!$A:$AT,MATCH($U$1,'Data qoq'!$A$1:$AT$1,),)</f>
        <v>-0.381337288</v>
      </c>
      <c r="V30" s="25">
        <f>VLOOKUP(B30,'Data qoq'!$A:$AT,MATCH($V$1,'Data qoq'!$A$1:$AT$1,),)</f>
        <v>2.2145325520000001</v>
      </c>
      <c r="W30" s="25">
        <f>VLOOKUP(B30,'Data qoq'!$A:$AT,MATCH($W$1,'Data qoq'!$A$1:$AT$1,),)</f>
        <v>1.622484668</v>
      </c>
      <c r="X30" s="25">
        <f>VLOOKUP(B30,'Data qoq'!$A:$AT,MATCH($X$1,'Data qoq'!$A$1:$AT$1,),)</f>
        <v>1.8685639009999999</v>
      </c>
      <c r="Y30" s="25">
        <f>VLOOKUP(B30,'Data qoq'!$A:$AT,MATCH($Y$1,'Data qoq'!$A$1:$AT$1,),)</f>
        <v>1.0601645749999999</v>
      </c>
      <c r="Z30" s="25">
        <f>VLOOKUP(B30,'Data qoq'!$A:$AU,MATCH($Z$1,'Data qoq'!$A$1:$AU$1,),)</f>
        <v>1.4436239850000001</v>
      </c>
      <c r="AA30" s="25">
        <f>VLOOKUP(B30,'Data qoq'!$A:$AU,MATCH($AA$1,'Data qoq'!$A$1:$AU$1,),)</f>
        <v>0.35088503500000001</v>
      </c>
      <c r="AC30" s="26" t="str">
        <f t="shared" si="6"/>
        <v>2004-Q4</v>
      </c>
      <c r="AD30" s="27">
        <f t="shared" si="7"/>
        <v>1.1268415029999999</v>
      </c>
      <c r="AE30" s="27"/>
    </row>
    <row r="31" spans="2:31" hidden="1" x14ac:dyDescent="0.2">
      <c r="B31" s="24" t="s">
        <v>297</v>
      </c>
      <c r="C31" s="25">
        <f>VLOOKUP(B31,'Data qoq'!$A:$AT,MATCH($C$1,'Data qoq'!$A$1:$AT$1,),)</f>
        <v>1.110882508</v>
      </c>
      <c r="D31" s="25">
        <f>VLOOKUP(B31,'Data qoq'!$A:$AT,MATCH($D$1,'Data qoq'!$A$1:$AT$1,),)</f>
        <v>0</v>
      </c>
      <c r="E31" s="25">
        <f>VLOOKUP(B31,'Data qoq'!$A:$AT,MATCH($E$1,'Data qoq'!$A$1:$AT$1,),)</f>
        <v>0.232686</v>
      </c>
      <c r="F31" s="25">
        <f>VLOOKUP(B31,'Data qoq'!$A:$AT,MATCH($F$1,'Data qoq'!$A$1:$AT$1,),)</f>
        <v>0.51487848000000003</v>
      </c>
      <c r="G31" s="25">
        <f>VLOOKUP(B31,'Data qoq'!$A:$AT,MATCH($G$1,'Data qoq'!$A$1:$AT$1,),)</f>
        <v>2.8892190000000002E-3</v>
      </c>
      <c r="H31" s="25">
        <f>VLOOKUP(B31,'Data qoq'!$A:$AT,MATCH($H$1,'Data qoq'!$A$1:$AT$1,),)</f>
        <v>0.237083396</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0.43276346999999998</v>
      </c>
      <c r="M31" s="25">
        <f>VLOOKUP(B31,'Data qoq'!$A:$AT,MATCH($M$1,'Data qoq'!$A$1:$AT$1,),)</f>
        <v>0.161296143</v>
      </c>
      <c r="N31" s="25">
        <f>VLOOKUP(B31,'Data qoq'!$A:$AT,MATCH($N$1,'Data qoq'!$A$1:$AT$1,),)</f>
        <v>1.7480820589999999</v>
      </c>
      <c r="O31" s="25">
        <f>VLOOKUP(B31,'Data qoq'!$A:$AT,MATCH($C$1,'Data qoq'!$J$1:$AT$1,),)</f>
        <v>1.1670118709999999</v>
      </c>
      <c r="P31" s="25">
        <f>VLOOKUP(B31,'Data qoq'!$A:$AT,MATCH($P$1,'Data qoq'!$A$1:$AT$1,),)</f>
        <v>0.34606659499999998</v>
      </c>
      <c r="Q31" s="25">
        <f>VLOOKUP(B31,'Data qoq'!$A:$AT,MATCH($Q$1,'Data qoq'!$A$1:$AT$1,),)</f>
        <v>0.76401228499999996</v>
      </c>
      <c r="R31" s="25">
        <f>VLOOKUP(B31,'Data qoq'!$A:$AT,MATCH($E$1,'Data qoq'!$A$1:$AT$1,),)</f>
        <v>0.232686</v>
      </c>
      <c r="S31" s="25">
        <f>VLOOKUP(B31,'Data qoq'!$A:$AT,MATCH($S$1,'Data qoq'!$A$1:$AT$1,),)</f>
        <v>0.85090336899999997</v>
      </c>
      <c r="T31" s="25">
        <f>VLOOKUP(B31,'Data qoq'!$A:$AT,MATCH($T$1,'Data qoq'!$A$1:$AT$1,),)</f>
        <v>0.73329732400000003</v>
      </c>
      <c r="U31" s="25">
        <f>VLOOKUP(B31,'Data qoq'!$A:$AT,MATCH($U$1,'Data qoq'!$A$1:$AT$1,),)</f>
        <v>-0.588090483</v>
      </c>
      <c r="V31" s="25">
        <f>VLOOKUP(B31,'Data qoq'!$A:$AT,MATCH($V$1,'Data qoq'!$A$1:$AT$1,),)</f>
        <v>2.067765267</v>
      </c>
      <c r="W31" s="25">
        <f>VLOOKUP(B31,'Data qoq'!$A:$AT,MATCH($W$1,'Data qoq'!$A$1:$AT$1,),)</f>
        <v>4.6099516109999996</v>
      </c>
      <c r="X31" s="25">
        <f>VLOOKUP(B31,'Data qoq'!$A:$AT,MATCH($X$1,'Data qoq'!$A$1:$AT$1,),)</f>
        <v>1.718163938</v>
      </c>
      <c r="Y31" s="25">
        <f>VLOOKUP(B31,'Data qoq'!$A:$AT,MATCH($Y$1,'Data qoq'!$A$1:$AT$1,),)</f>
        <v>1.10186842</v>
      </c>
      <c r="Z31" s="25">
        <f>VLOOKUP(B31,'Data qoq'!$A:$AU,MATCH($Z$1,'Data qoq'!$A$1:$AU$1,),)</f>
        <v>2.8921312850000001</v>
      </c>
      <c r="AA31" s="25">
        <f>VLOOKUP(B31,'Data qoq'!$A:$AU,MATCH($AA$1,'Data qoq'!$A$1:$AU$1,),)</f>
        <v>1.1670118709999999</v>
      </c>
      <c r="AC31" s="26" t="str">
        <f t="shared" si="6"/>
        <v>2005-Q1</v>
      </c>
      <c r="AD31" s="27">
        <f t="shared" si="7"/>
        <v>1.1079932889999999</v>
      </c>
      <c r="AE31" s="27"/>
    </row>
    <row r="32" spans="2:31" hidden="1" x14ac:dyDescent="0.2">
      <c r="B32" s="24" t="s">
        <v>298</v>
      </c>
      <c r="C32" s="25">
        <f>VLOOKUP(B32,'Data qoq'!$A:$AT,MATCH($C$1,'Data qoq'!$A$1:$AT$1,),)</f>
        <v>0.48660447800000001</v>
      </c>
      <c r="D32" s="25">
        <f>VLOOKUP(B32,'Data qoq'!$A:$AT,MATCH($D$1,'Data qoq'!$A$1:$AT$1,),)</f>
        <v>0</v>
      </c>
      <c r="E32" s="25">
        <f>VLOOKUP(B32,'Data qoq'!$A:$AT,MATCH($E$1,'Data qoq'!$A$1:$AT$1,),)</f>
        <v>0.58657099999999995</v>
      </c>
      <c r="F32" s="25">
        <f>VLOOKUP(B32,'Data qoq'!$A:$AT,MATCH($F$1,'Data qoq'!$A$1:$AT$1,),)</f>
        <v>0.77892631599999995</v>
      </c>
      <c r="G32" s="25">
        <f>VLOOKUP(B32,'Data qoq'!$A:$AT,MATCH($G$1,'Data qoq'!$A$1:$AT$1,),)</f>
        <v>0.52459768399999995</v>
      </c>
      <c r="H32" s="25">
        <f>VLOOKUP(B32,'Data qoq'!$A:$AT,MATCH($H$1,'Data qoq'!$A$1:$AT$1,),)</f>
        <v>0.27448331399999998</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0.658503159</v>
      </c>
      <c r="M32" s="25">
        <f>VLOOKUP(B32,'Data qoq'!$A:$AT,MATCH($M$1,'Data qoq'!$A$1:$AT$1,),)</f>
        <v>0.29001728300000001</v>
      </c>
      <c r="N32" s="25">
        <f>VLOOKUP(B32,'Data qoq'!$A:$AT,MATCH($N$1,'Data qoq'!$A$1:$AT$1,),)</f>
        <v>1.522295172</v>
      </c>
      <c r="O32" s="25">
        <f>VLOOKUP(B32,'Data qoq'!$A:$AT,MATCH($C$1,'Data qoq'!$J$1:$AT$1,),)</f>
        <v>1.598238855</v>
      </c>
      <c r="P32" s="25">
        <f>VLOOKUP(B32,'Data qoq'!$A:$AT,MATCH($P$1,'Data qoq'!$A$1:$AT$1,),)</f>
        <v>0.72552270699999999</v>
      </c>
      <c r="Q32" s="25">
        <f>VLOOKUP(B32,'Data qoq'!$A:$AT,MATCH($Q$1,'Data qoq'!$A$1:$AT$1,),)</f>
        <v>0.43881546100000002</v>
      </c>
      <c r="R32" s="25">
        <f>VLOOKUP(B32,'Data qoq'!$A:$AT,MATCH($E$1,'Data qoq'!$A$1:$AT$1,),)</f>
        <v>0.58657099999999995</v>
      </c>
      <c r="S32" s="25">
        <f>VLOOKUP(B32,'Data qoq'!$A:$AT,MATCH($S$1,'Data qoq'!$A$1:$AT$1,),)</f>
        <v>1.8870628620000001</v>
      </c>
      <c r="T32" s="25">
        <f>VLOOKUP(B32,'Data qoq'!$A:$AT,MATCH($T$1,'Data qoq'!$A$1:$AT$1,),)</f>
        <v>1.369830981</v>
      </c>
      <c r="U32" s="25">
        <f>VLOOKUP(B32,'Data qoq'!$A:$AT,MATCH($U$1,'Data qoq'!$A$1:$AT$1,),)</f>
        <v>0.23781521799999999</v>
      </c>
      <c r="V32" s="25">
        <f>VLOOKUP(B32,'Data qoq'!$A:$AT,MATCH($V$1,'Data qoq'!$A$1:$AT$1,),)</f>
        <v>1.905069661</v>
      </c>
      <c r="W32" s="25">
        <f>VLOOKUP(B32,'Data qoq'!$A:$AT,MATCH($W$1,'Data qoq'!$A$1:$AT$1,),)</f>
        <v>0.42215947599999998</v>
      </c>
      <c r="X32" s="25">
        <f>VLOOKUP(B32,'Data qoq'!$A:$AT,MATCH($X$1,'Data qoq'!$A$1:$AT$1,),)</f>
        <v>1.5272647260000001</v>
      </c>
      <c r="Y32" s="25">
        <f>VLOOKUP(B32,'Data qoq'!$A:$AT,MATCH($Y$1,'Data qoq'!$A$1:$AT$1,),)</f>
        <v>0.14735405500000001</v>
      </c>
      <c r="Z32" s="25">
        <f>VLOOKUP(B32,'Data qoq'!$A:$AU,MATCH($Z$1,'Data qoq'!$A$1:$AU$1,),)</f>
        <v>2.0890694660000002</v>
      </c>
      <c r="AA32" s="25">
        <f>VLOOKUP(B32,'Data qoq'!$A:$AU,MATCH($AA$1,'Data qoq'!$A$1:$AU$1,),)</f>
        <v>1.598238855</v>
      </c>
      <c r="AC32" s="26" t="str">
        <f t="shared" si="6"/>
        <v>2005-Q2</v>
      </c>
      <c r="AD32" s="27">
        <f t="shared" si="7"/>
        <v>-3.7993205999999946E-2</v>
      </c>
      <c r="AE32" s="27"/>
    </row>
    <row r="33" spans="2:31" hidden="1" x14ac:dyDescent="0.2">
      <c r="B33" s="24" t="s">
        <v>299</v>
      </c>
      <c r="C33" s="25">
        <f>VLOOKUP(B33,'Data qoq'!$A:$AT,MATCH($C$1,'Data qoq'!$A$1:$AT$1,),)</f>
        <v>0.78562198000000005</v>
      </c>
      <c r="D33" s="25">
        <f>VLOOKUP(B33,'Data qoq'!$A:$AT,MATCH($D$1,'Data qoq'!$A$1:$AT$1,),)</f>
        <v>0</v>
      </c>
      <c r="E33" s="25">
        <f>VLOOKUP(B33,'Data qoq'!$A:$AT,MATCH($E$1,'Data qoq'!$A$1:$AT$1,),)</f>
        <v>0.75299300000000002</v>
      </c>
      <c r="F33" s="25">
        <f>VLOOKUP(B33,'Data qoq'!$A:$AT,MATCH($F$1,'Data qoq'!$A$1:$AT$1,),)</f>
        <v>1.012664528</v>
      </c>
      <c r="G33" s="25">
        <f>VLOOKUP(B33,'Data qoq'!$A:$AT,MATCH($G$1,'Data qoq'!$A$1:$AT$1,),)</f>
        <v>0.85817236299999999</v>
      </c>
      <c r="H33" s="25">
        <f>VLOOKUP(B33,'Data qoq'!$A:$AT,MATCH($H$1,'Data qoq'!$A$1:$AT$1,),)</f>
        <v>0.53252793799999998</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1.1961881379999999</v>
      </c>
      <c r="M33" s="25">
        <f>VLOOKUP(B33,'Data qoq'!$A:$AT,MATCH($M$1,'Data qoq'!$A$1:$AT$1,),)</f>
        <v>0.84113850099999998</v>
      </c>
      <c r="N33" s="25">
        <f>VLOOKUP(B33,'Data qoq'!$A:$AT,MATCH($N$1,'Data qoq'!$A$1:$AT$1,),)</f>
        <v>1.762204946</v>
      </c>
      <c r="O33" s="25">
        <f>VLOOKUP(B33,'Data qoq'!$A:$AT,MATCH($C$1,'Data qoq'!$J$1:$AT$1,),)</f>
        <v>0.48753006399999999</v>
      </c>
      <c r="P33" s="25">
        <f>VLOOKUP(B33,'Data qoq'!$A:$AT,MATCH($P$1,'Data qoq'!$A$1:$AT$1,),)</f>
        <v>1.211374835</v>
      </c>
      <c r="Q33" s="25">
        <f>VLOOKUP(B33,'Data qoq'!$A:$AT,MATCH($Q$1,'Data qoq'!$A$1:$AT$1,),)</f>
        <v>1.124947677</v>
      </c>
      <c r="R33" s="25">
        <f>VLOOKUP(B33,'Data qoq'!$A:$AT,MATCH($E$1,'Data qoq'!$A$1:$AT$1,),)</f>
        <v>0.75299300000000002</v>
      </c>
      <c r="S33" s="25">
        <f>VLOOKUP(B33,'Data qoq'!$A:$AT,MATCH($S$1,'Data qoq'!$A$1:$AT$1,),)</f>
        <v>1.5053308940000001</v>
      </c>
      <c r="T33" s="25">
        <f>VLOOKUP(B33,'Data qoq'!$A:$AT,MATCH($T$1,'Data qoq'!$A$1:$AT$1,),)</f>
        <v>-0.73962421599999995</v>
      </c>
      <c r="U33" s="25">
        <f>VLOOKUP(B33,'Data qoq'!$A:$AT,MATCH($U$1,'Data qoq'!$A$1:$AT$1,),)</f>
        <v>1.3908431649999999</v>
      </c>
      <c r="V33" s="25">
        <f>VLOOKUP(B33,'Data qoq'!$A:$AT,MATCH($V$1,'Data qoq'!$A$1:$AT$1,),)</f>
        <v>-0.91643887999999996</v>
      </c>
      <c r="W33" s="25">
        <f>VLOOKUP(B33,'Data qoq'!$A:$AT,MATCH($W$1,'Data qoq'!$A$1:$AT$1,),)</f>
        <v>1.4119712600000001</v>
      </c>
      <c r="X33" s="25">
        <f>VLOOKUP(B33,'Data qoq'!$A:$AT,MATCH($X$1,'Data qoq'!$A$1:$AT$1,),)</f>
        <v>1.493346037</v>
      </c>
      <c r="Y33" s="25">
        <f>VLOOKUP(B33,'Data qoq'!$A:$AT,MATCH($Y$1,'Data qoq'!$A$1:$AT$1,),)</f>
        <v>1.932599951</v>
      </c>
      <c r="Z33" s="25">
        <f>VLOOKUP(B33,'Data qoq'!$A:$AU,MATCH($Z$1,'Data qoq'!$A$1:$AU$1,),)</f>
        <v>0.73594555699999997</v>
      </c>
      <c r="AA33" s="25">
        <f>VLOOKUP(B33,'Data qoq'!$A:$AU,MATCH($AA$1,'Data qoq'!$A$1:$AU$1,),)</f>
        <v>0.48753006399999999</v>
      </c>
      <c r="AC33" s="26" t="str">
        <f t="shared" si="6"/>
        <v>2005-Q3</v>
      </c>
      <c r="AD33" s="27">
        <f t="shared" si="7"/>
        <v>-7.2550382999999941E-2</v>
      </c>
      <c r="AE33" s="27"/>
    </row>
    <row r="34" spans="2:31" hidden="1" x14ac:dyDescent="0.2">
      <c r="B34" s="24" t="s">
        <v>300</v>
      </c>
      <c r="C34" s="25">
        <f>VLOOKUP(B34,'Data qoq'!$A:$AT,MATCH($C$1,'Data qoq'!$A$1:$AT$1,),)</f>
        <v>0.56792823800000003</v>
      </c>
      <c r="D34" s="25">
        <f>VLOOKUP(B34,'Data qoq'!$A:$AT,MATCH($D$1,'Data qoq'!$A$1:$AT$1,),)</f>
        <v>0</v>
      </c>
      <c r="E34" s="25">
        <f>VLOOKUP(B34,'Data qoq'!$A:$AT,MATCH($E$1,'Data qoq'!$A$1:$AT$1,),)</f>
        <v>0.62616099999999997</v>
      </c>
      <c r="F34" s="25">
        <f>VLOOKUP(B34,'Data qoq'!$A:$AT,MATCH($F$1,'Data qoq'!$A$1:$AT$1,),)</f>
        <v>0.17661956600000001</v>
      </c>
      <c r="G34" s="25">
        <f>VLOOKUP(B34,'Data qoq'!$A:$AT,MATCH($G$1,'Data qoq'!$A$1:$AT$1,),)</f>
        <v>0.47142782</v>
      </c>
      <c r="H34" s="25">
        <f>VLOOKUP(B34,'Data qoq'!$A:$AT,MATCH($H$1,'Data qoq'!$A$1:$AT$1,),)</f>
        <v>0.67494969400000004</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0.67987434700000005</v>
      </c>
      <c r="M34" s="25">
        <f>VLOOKUP(B34,'Data qoq'!$A:$AT,MATCH($M$1,'Data qoq'!$A$1:$AT$1,),)</f>
        <v>1.6702430049999999</v>
      </c>
      <c r="N34" s="25">
        <f>VLOOKUP(B34,'Data qoq'!$A:$AT,MATCH($N$1,'Data qoq'!$A$1:$AT$1,),)</f>
        <v>2.0628404740000001</v>
      </c>
      <c r="O34" s="25">
        <f>VLOOKUP(B34,'Data qoq'!$A:$AT,MATCH($C$1,'Data qoq'!$J$1:$AT$1,),)</f>
        <v>-0.40322580600000002</v>
      </c>
      <c r="P34" s="25">
        <f>VLOOKUP(B34,'Data qoq'!$A:$AT,MATCH($P$1,'Data qoq'!$A$1:$AT$1,),)</f>
        <v>0.988734322</v>
      </c>
      <c r="Q34" s="25">
        <f>VLOOKUP(B34,'Data qoq'!$A:$AT,MATCH($Q$1,'Data qoq'!$A$1:$AT$1,),)</f>
        <v>0.76289359199999995</v>
      </c>
      <c r="R34" s="25">
        <f>VLOOKUP(B34,'Data qoq'!$A:$AT,MATCH($E$1,'Data qoq'!$A$1:$AT$1,),)</f>
        <v>0.62616099999999997</v>
      </c>
      <c r="S34" s="25">
        <f>VLOOKUP(B34,'Data qoq'!$A:$AT,MATCH($S$1,'Data qoq'!$A$1:$AT$1,),)</f>
        <v>1.0124646660000001</v>
      </c>
      <c r="T34" s="25">
        <f>VLOOKUP(B34,'Data qoq'!$A:$AT,MATCH($T$1,'Data qoq'!$A$1:$AT$1,),)</f>
        <v>1.2289865010000001</v>
      </c>
      <c r="U34" s="25">
        <f>VLOOKUP(B34,'Data qoq'!$A:$AT,MATCH($U$1,'Data qoq'!$A$1:$AT$1,),)</f>
        <v>0.50101551600000005</v>
      </c>
      <c r="V34" s="25">
        <f>VLOOKUP(B34,'Data qoq'!$A:$AT,MATCH($V$1,'Data qoq'!$A$1:$AT$1,),)</f>
        <v>3.044171489</v>
      </c>
      <c r="W34" s="25">
        <f>VLOOKUP(B34,'Data qoq'!$A:$AT,MATCH($W$1,'Data qoq'!$A$1:$AT$1,),)</f>
        <v>3.3068041410000002</v>
      </c>
      <c r="X34" s="25">
        <f>VLOOKUP(B34,'Data qoq'!$A:$AT,MATCH($X$1,'Data qoq'!$A$1:$AT$1,),)</f>
        <v>1.8493126790000001</v>
      </c>
      <c r="Y34" s="25">
        <f>VLOOKUP(B34,'Data qoq'!$A:$AT,MATCH($Y$1,'Data qoq'!$A$1:$AT$1,),)</f>
        <v>1.8394144459999999</v>
      </c>
      <c r="Z34" s="25">
        <f>VLOOKUP(B34,'Data qoq'!$A:$AU,MATCH($Z$1,'Data qoq'!$A$1:$AU$1,),)</f>
        <v>1.954373956</v>
      </c>
      <c r="AA34" s="25">
        <f>VLOOKUP(B34,'Data qoq'!$A:$AU,MATCH($AA$1,'Data qoq'!$A$1:$AU$1,),)</f>
        <v>-0.40322580600000002</v>
      </c>
      <c r="AC34" s="26" t="str">
        <f t="shared" si="6"/>
        <v>2005-Q4</v>
      </c>
      <c r="AD34" s="27">
        <f t="shared" si="7"/>
        <v>9.6500418000000032E-2</v>
      </c>
      <c r="AE34" s="27"/>
    </row>
    <row r="35" spans="2:31" hidden="1" x14ac:dyDescent="0.2">
      <c r="B35" s="24" t="s">
        <v>301</v>
      </c>
      <c r="C35" s="25">
        <f>VLOOKUP(B35,'Data qoq'!$A:$AT,MATCH($C$1,'Data qoq'!$A$1:$AT$1,),)</f>
        <v>1.3486661200000001</v>
      </c>
      <c r="D35" s="25">
        <f>VLOOKUP(B35,'Data qoq'!$A:$AT,MATCH($D$1,'Data qoq'!$A$1:$AT$1,),)</f>
        <v>0</v>
      </c>
      <c r="E35" s="25">
        <f>VLOOKUP(B35,'Data qoq'!$A:$AT,MATCH($E$1,'Data qoq'!$A$1:$AT$1,),)</f>
        <v>0.88335799999999998</v>
      </c>
      <c r="F35" s="25">
        <f>VLOOKUP(B35,'Data qoq'!$A:$AT,MATCH($F$1,'Data qoq'!$A$1:$AT$1,),)</f>
        <v>0.15882258299999999</v>
      </c>
      <c r="G35" s="25">
        <f>VLOOKUP(B35,'Data qoq'!$A:$AT,MATCH($G$1,'Data qoq'!$A$1:$AT$1,),)</f>
        <v>0.96704201899999997</v>
      </c>
      <c r="H35" s="25">
        <f>VLOOKUP(B35,'Data qoq'!$A:$AT,MATCH($H$1,'Data qoq'!$A$1:$AT$1,),)</f>
        <v>0.788943379</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1.5440548999999999</v>
      </c>
      <c r="M35" s="25">
        <f>VLOOKUP(B35,'Data qoq'!$A:$AT,MATCH($M$1,'Data qoq'!$A$1:$AT$1,),)</f>
        <v>1.756034753</v>
      </c>
      <c r="N35" s="25">
        <f>VLOOKUP(B35,'Data qoq'!$A:$AT,MATCH($N$1,'Data qoq'!$A$1:$AT$1,),)</f>
        <v>1.930605205</v>
      </c>
      <c r="O35" s="25">
        <f>VLOOKUP(B35,'Data qoq'!$A:$AT,MATCH($C$1,'Data qoq'!$J$1:$AT$1,),)</f>
        <v>1.64541341</v>
      </c>
      <c r="P35" s="25">
        <f>VLOOKUP(B35,'Data qoq'!$A:$AT,MATCH($P$1,'Data qoq'!$A$1:$AT$1,),)</f>
        <v>0.81099541100000005</v>
      </c>
      <c r="Q35" s="25">
        <f>VLOOKUP(B35,'Data qoq'!$A:$AT,MATCH($Q$1,'Data qoq'!$A$1:$AT$1,),)</f>
        <v>0.112398014</v>
      </c>
      <c r="R35" s="25">
        <f>VLOOKUP(B35,'Data qoq'!$A:$AT,MATCH($E$1,'Data qoq'!$A$1:$AT$1,),)</f>
        <v>0.88335799999999998</v>
      </c>
      <c r="S35" s="25">
        <f>VLOOKUP(B35,'Data qoq'!$A:$AT,MATCH($S$1,'Data qoq'!$A$1:$AT$1,),)</f>
        <v>1.639117138</v>
      </c>
      <c r="T35" s="25">
        <f>VLOOKUP(B35,'Data qoq'!$A:$AT,MATCH($T$1,'Data qoq'!$A$1:$AT$1,),)</f>
        <v>1.7325751009999999</v>
      </c>
      <c r="U35" s="25">
        <f>VLOOKUP(B35,'Data qoq'!$A:$AT,MATCH($U$1,'Data qoq'!$A$1:$AT$1,),)</f>
        <v>3.2582208709999998</v>
      </c>
      <c r="V35" s="25">
        <f>VLOOKUP(B35,'Data qoq'!$A:$AT,MATCH($V$1,'Data qoq'!$A$1:$AT$1,),)</f>
        <v>1.880706972</v>
      </c>
      <c r="W35" s="25">
        <f>VLOOKUP(B35,'Data qoq'!$A:$AT,MATCH($W$1,'Data qoq'!$A$1:$AT$1,),)</f>
        <v>1.1451332700000001</v>
      </c>
      <c r="X35" s="25">
        <f>VLOOKUP(B35,'Data qoq'!$A:$AT,MATCH($X$1,'Data qoq'!$A$1:$AT$1,),)</f>
        <v>1.839711359</v>
      </c>
      <c r="Y35" s="25">
        <f>VLOOKUP(B35,'Data qoq'!$A:$AT,MATCH($Y$1,'Data qoq'!$A$1:$AT$1,),)</f>
        <v>1.503304263</v>
      </c>
      <c r="Z35" s="25">
        <f>VLOOKUP(B35,'Data qoq'!$A:$AU,MATCH($Z$1,'Data qoq'!$A$1:$AU$1,),)</f>
        <v>2.5825447719999999</v>
      </c>
      <c r="AA35" s="25">
        <f>VLOOKUP(B35,'Data qoq'!$A:$AU,MATCH($AA$1,'Data qoq'!$A$1:$AU$1,),)</f>
        <v>1.64541341</v>
      </c>
      <c r="AC35" s="26" t="str">
        <f t="shared" si="6"/>
        <v>2006-Q1</v>
      </c>
      <c r="AD35" s="27">
        <f t="shared" si="7"/>
        <v>0.3816241010000001</v>
      </c>
      <c r="AE35" s="27"/>
    </row>
    <row r="36" spans="2:31" hidden="1" x14ac:dyDescent="0.2">
      <c r="B36" s="24" t="s">
        <v>302</v>
      </c>
      <c r="C36" s="25">
        <f>VLOOKUP(B36,'Data qoq'!$A:$AT,MATCH($C$1,'Data qoq'!$A$1:$AT$1,),)</f>
        <v>0.245583731</v>
      </c>
      <c r="D36" s="25">
        <f>VLOOKUP(B36,'Data qoq'!$A:$AT,MATCH($D$1,'Data qoq'!$A$1:$AT$1,),)</f>
        <v>0</v>
      </c>
      <c r="E36" s="25">
        <f>VLOOKUP(B36,'Data qoq'!$A:$AT,MATCH($E$1,'Data qoq'!$A$1:$AT$1,),)</f>
        <v>1.103208</v>
      </c>
      <c r="F36" s="25">
        <f>VLOOKUP(B36,'Data qoq'!$A:$AT,MATCH($F$1,'Data qoq'!$A$1:$AT$1,),)</f>
        <v>0.15497476499999999</v>
      </c>
      <c r="G36" s="25">
        <f>VLOOKUP(B36,'Data qoq'!$A:$AT,MATCH($G$1,'Data qoq'!$A$1:$AT$1,),)</f>
        <v>1.722767803</v>
      </c>
      <c r="H36" s="25">
        <f>VLOOKUP(B36,'Data qoq'!$A:$AT,MATCH($H$1,'Data qoq'!$A$1:$AT$1,),)</f>
        <v>1.029730713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1.650622461</v>
      </c>
      <c r="M36" s="25">
        <f>VLOOKUP(B36,'Data qoq'!$A:$AT,MATCH($M$1,'Data qoq'!$A$1:$AT$1,),)</f>
        <v>0.97457500699999999</v>
      </c>
      <c r="N36" s="25">
        <f>VLOOKUP(B36,'Data qoq'!$A:$AT,MATCH($N$1,'Data qoq'!$A$1:$AT$1,),)</f>
        <v>1.9251039539999999</v>
      </c>
      <c r="O36" s="25">
        <f>VLOOKUP(B36,'Data qoq'!$A:$AT,MATCH($C$1,'Data qoq'!$J$1:$AT$1,),)</f>
        <v>0.45581375499999999</v>
      </c>
      <c r="P36" s="25">
        <f>VLOOKUP(B36,'Data qoq'!$A:$AT,MATCH($P$1,'Data qoq'!$A$1:$AT$1,),)</f>
        <v>5.1646385000000003E-2</v>
      </c>
      <c r="Q36" s="25">
        <f>VLOOKUP(B36,'Data qoq'!$A:$AT,MATCH($Q$1,'Data qoq'!$A$1:$AT$1,),)</f>
        <v>0.20516678299999999</v>
      </c>
      <c r="R36" s="25">
        <f>VLOOKUP(B36,'Data qoq'!$A:$AT,MATCH($E$1,'Data qoq'!$A$1:$AT$1,),)</f>
        <v>1.103208</v>
      </c>
      <c r="S36" s="25">
        <f>VLOOKUP(B36,'Data qoq'!$A:$AT,MATCH($S$1,'Data qoq'!$A$1:$AT$1,),)</f>
        <v>0.73060202799999996</v>
      </c>
      <c r="T36" s="25">
        <f>VLOOKUP(B36,'Data qoq'!$A:$AT,MATCH($T$1,'Data qoq'!$A$1:$AT$1,),)</f>
        <v>0.23965486899999999</v>
      </c>
      <c r="U36" s="25">
        <f>VLOOKUP(B36,'Data qoq'!$A:$AT,MATCH($U$1,'Data qoq'!$A$1:$AT$1,),)</f>
        <v>0.30705051100000003</v>
      </c>
      <c r="V36" s="25">
        <f>VLOOKUP(B36,'Data qoq'!$A:$AT,MATCH($V$1,'Data qoq'!$A$1:$AT$1,),)</f>
        <v>0.22397668600000001</v>
      </c>
      <c r="W36" s="25">
        <f>VLOOKUP(B36,'Data qoq'!$A:$AT,MATCH($W$1,'Data qoq'!$A$1:$AT$1,),)</f>
        <v>3.0461220990000002</v>
      </c>
      <c r="X36" s="25">
        <f>VLOOKUP(B36,'Data qoq'!$A:$AT,MATCH($X$1,'Data qoq'!$A$1:$AT$1,),)</f>
        <v>1.944582606</v>
      </c>
      <c r="Y36" s="25">
        <f>VLOOKUP(B36,'Data qoq'!$A:$AT,MATCH($Y$1,'Data qoq'!$A$1:$AT$1,),)</f>
        <v>2.2997680140000001</v>
      </c>
      <c r="Z36" s="25">
        <f>VLOOKUP(B36,'Data qoq'!$A:$AU,MATCH($Z$1,'Data qoq'!$A$1:$AU$1,),)</f>
        <v>1.2282300580000001</v>
      </c>
      <c r="AA36" s="25">
        <f>VLOOKUP(B36,'Data qoq'!$A:$AU,MATCH($AA$1,'Data qoq'!$A$1:$AU$1,),)</f>
        <v>0.45581375499999999</v>
      </c>
      <c r="AC36" s="26" t="str">
        <f t="shared" si="6"/>
        <v>2006-Q2</v>
      </c>
      <c r="AD36" s="27">
        <f t="shared" si="7"/>
        <v>-1.477184072</v>
      </c>
      <c r="AE36" s="27"/>
    </row>
    <row r="37" spans="2:31" hidden="1" x14ac:dyDescent="0.2">
      <c r="B37" s="24" t="s">
        <v>303</v>
      </c>
      <c r="C37" s="25">
        <f>VLOOKUP(B37,'Data qoq'!$A:$AT,MATCH($C$1,'Data qoq'!$A$1:$AT$1,),)</f>
        <v>0.15045618799999999</v>
      </c>
      <c r="D37" s="25">
        <f>VLOOKUP(B37,'Data qoq'!$A:$AT,MATCH($D$1,'Data qoq'!$A$1:$AT$1,),)</f>
        <v>0</v>
      </c>
      <c r="E37" s="25">
        <f>VLOOKUP(B37,'Data qoq'!$A:$AT,MATCH($E$1,'Data qoq'!$A$1:$AT$1,),)</f>
        <v>0.58985299999999996</v>
      </c>
      <c r="F37" s="25">
        <f>VLOOKUP(B37,'Data qoq'!$A:$AT,MATCH($F$1,'Data qoq'!$A$1:$AT$1,),)</f>
        <v>-0.20505857499999999</v>
      </c>
      <c r="G37" s="25">
        <f>VLOOKUP(B37,'Data qoq'!$A:$AT,MATCH($G$1,'Data qoq'!$A$1:$AT$1,),)</f>
        <v>0.76880583300000005</v>
      </c>
      <c r="H37" s="25">
        <f>VLOOKUP(B37,'Data qoq'!$A:$AT,MATCH($H$1,'Data qoq'!$A$1:$AT$1,),)</f>
        <v>5.7026209000000001E-2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1.1718865869999999</v>
      </c>
      <c r="M37" s="25">
        <f>VLOOKUP(B37,'Data qoq'!$A:$AT,MATCH($M$1,'Data qoq'!$A$1:$AT$1,),)</f>
        <v>0.27868122899999997</v>
      </c>
      <c r="N37" s="25">
        <f>VLOOKUP(B37,'Data qoq'!$A:$AT,MATCH($N$1,'Data qoq'!$A$1:$AT$1,),)</f>
        <v>2.2961291660000001</v>
      </c>
      <c r="O37" s="25">
        <f>VLOOKUP(B37,'Data qoq'!$A:$AT,MATCH($C$1,'Data qoq'!$J$1:$AT$1,),)</f>
        <v>0.64033246399999999</v>
      </c>
      <c r="P37" s="25">
        <f>VLOOKUP(B37,'Data qoq'!$A:$AT,MATCH($P$1,'Data qoq'!$A$1:$AT$1,),)</f>
        <v>0.27924548500000002</v>
      </c>
      <c r="Q37" s="25">
        <f>VLOOKUP(B37,'Data qoq'!$A:$AT,MATCH($Q$1,'Data qoq'!$A$1:$AT$1,),)</f>
        <v>1.495504103</v>
      </c>
      <c r="R37" s="25">
        <f>VLOOKUP(B37,'Data qoq'!$A:$AT,MATCH($E$1,'Data qoq'!$A$1:$AT$1,),)</f>
        <v>0.58985299999999996</v>
      </c>
      <c r="S37" s="25">
        <f>VLOOKUP(B37,'Data qoq'!$A:$AT,MATCH($S$1,'Data qoq'!$A$1:$AT$1,),)</f>
        <v>1.613954951</v>
      </c>
      <c r="T37" s="25">
        <f>VLOOKUP(B37,'Data qoq'!$A:$AT,MATCH($T$1,'Data qoq'!$A$1:$AT$1,),)</f>
        <v>1.616526908</v>
      </c>
      <c r="U37" s="25">
        <f>VLOOKUP(B37,'Data qoq'!$A:$AT,MATCH($U$1,'Data qoq'!$A$1:$AT$1,),)</f>
        <v>0.47743896299999999</v>
      </c>
      <c r="V37" s="25">
        <f>VLOOKUP(B37,'Data qoq'!$A:$AT,MATCH($V$1,'Data qoq'!$A$1:$AT$1,),)</f>
        <v>1.2418167339999999</v>
      </c>
      <c r="W37" s="25">
        <f>VLOOKUP(B37,'Data qoq'!$A:$AT,MATCH($W$1,'Data qoq'!$A$1:$AT$1,),)</f>
        <v>-0.75348610900000002</v>
      </c>
      <c r="X37" s="25">
        <f>VLOOKUP(B37,'Data qoq'!$A:$AT,MATCH($X$1,'Data qoq'!$A$1:$AT$1,),)</f>
        <v>1.211839455</v>
      </c>
      <c r="Y37" s="25">
        <f>VLOOKUP(B37,'Data qoq'!$A:$AT,MATCH($Y$1,'Data qoq'!$A$1:$AT$1,),)</f>
        <v>1.6510320549999999</v>
      </c>
      <c r="Z37" s="25">
        <f>VLOOKUP(B37,'Data qoq'!$A:$AU,MATCH($Z$1,'Data qoq'!$A$1:$AU$1,),)</f>
        <v>2.8241373310000002</v>
      </c>
      <c r="AA37" s="25">
        <f>VLOOKUP(B37,'Data qoq'!$A:$AU,MATCH($AA$1,'Data qoq'!$A$1:$AU$1,),)</f>
        <v>0.64033246399999999</v>
      </c>
      <c r="AC37" s="26" t="str">
        <f t="shared" si="6"/>
        <v>2006-Q3</v>
      </c>
      <c r="AD37" s="27">
        <f t="shared" si="7"/>
        <v>-0.61834964500000011</v>
      </c>
      <c r="AE37" s="27"/>
    </row>
    <row r="38" spans="2:31" hidden="1" x14ac:dyDescent="0.2">
      <c r="B38" s="24" t="s">
        <v>304</v>
      </c>
      <c r="C38" s="25">
        <f>VLOOKUP(B38,'Data qoq'!$A:$AT,MATCH($C$1,'Data qoq'!$A$1:$AT$1,),)</f>
        <v>0.84371169599999996</v>
      </c>
      <c r="D38" s="25">
        <f>VLOOKUP(B38,'Data qoq'!$A:$AT,MATCH($D$1,'Data qoq'!$A$1:$AT$1,),)</f>
        <v>0</v>
      </c>
      <c r="E38" s="25">
        <f>VLOOKUP(B38,'Data qoq'!$A:$AT,MATCH($E$1,'Data qoq'!$A$1:$AT$1,),)</f>
        <v>1.1611480000000001</v>
      </c>
      <c r="F38" s="25">
        <f>VLOOKUP(B38,'Data qoq'!$A:$AT,MATCH($F$1,'Data qoq'!$A$1:$AT$1,),)</f>
        <v>1.351006838</v>
      </c>
      <c r="G38" s="25">
        <f>VLOOKUP(B38,'Data qoq'!$A:$AT,MATCH($G$1,'Data qoq'!$A$1:$AT$1,),)</f>
        <v>1.514812212</v>
      </c>
      <c r="H38" s="25">
        <f>VLOOKUP(B38,'Data qoq'!$A:$AT,MATCH($H$1,'Data qoq'!$A$1:$AT$1,),)</f>
        <v>0.73912977700000004</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0.65638022399999996</v>
      </c>
      <c r="M38" s="25">
        <f>VLOOKUP(B38,'Data qoq'!$A:$AT,MATCH($M$1,'Data qoq'!$A$1:$AT$1,),)</f>
        <v>0.24796625</v>
      </c>
      <c r="N38" s="25">
        <f>VLOOKUP(B38,'Data qoq'!$A:$AT,MATCH($N$1,'Data qoq'!$A$1:$AT$1,),)</f>
        <v>1.8992405130000001</v>
      </c>
      <c r="O38" s="25">
        <f>VLOOKUP(B38,'Data qoq'!$A:$AT,MATCH($C$1,'Data qoq'!$J$1:$AT$1,),)</f>
        <v>0.88275571500000005</v>
      </c>
      <c r="P38" s="25">
        <f>VLOOKUP(B38,'Data qoq'!$A:$AT,MATCH($P$1,'Data qoq'!$A$1:$AT$1,),)</f>
        <v>0.39859824199999999</v>
      </c>
      <c r="Q38" s="25">
        <f>VLOOKUP(B38,'Data qoq'!$A:$AT,MATCH($Q$1,'Data qoq'!$A$1:$AT$1,),)</f>
        <v>1.2854673270000001</v>
      </c>
      <c r="R38" s="25">
        <f>VLOOKUP(B38,'Data qoq'!$A:$AT,MATCH($E$1,'Data qoq'!$A$1:$AT$1,),)</f>
        <v>1.1611480000000001</v>
      </c>
      <c r="S38" s="25">
        <f>VLOOKUP(B38,'Data qoq'!$A:$AT,MATCH($S$1,'Data qoq'!$A$1:$AT$1,),)</f>
        <v>0.779357615</v>
      </c>
      <c r="T38" s="25">
        <f>VLOOKUP(B38,'Data qoq'!$A:$AT,MATCH($T$1,'Data qoq'!$A$1:$AT$1,),)</f>
        <v>1.1844287870000001</v>
      </c>
      <c r="U38" s="25">
        <f>VLOOKUP(B38,'Data qoq'!$A:$AT,MATCH($U$1,'Data qoq'!$A$1:$AT$1,),)</f>
        <v>2.5429404259999999</v>
      </c>
      <c r="V38" s="25">
        <f>VLOOKUP(B38,'Data qoq'!$A:$AT,MATCH($V$1,'Data qoq'!$A$1:$AT$1,),)</f>
        <v>0.17943735499999999</v>
      </c>
      <c r="W38" s="25">
        <f>VLOOKUP(B38,'Data qoq'!$A:$AT,MATCH($W$1,'Data qoq'!$A$1:$AT$1,),)</f>
        <v>2.2587130449999999</v>
      </c>
      <c r="X38" s="25">
        <f>VLOOKUP(B38,'Data qoq'!$A:$AT,MATCH($X$1,'Data qoq'!$A$1:$AT$1,),)</f>
        <v>1.34905802</v>
      </c>
      <c r="Y38" s="25">
        <f>VLOOKUP(B38,'Data qoq'!$A:$AT,MATCH($Y$1,'Data qoq'!$A$1:$AT$1,),)</f>
        <v>-1.498642882</v>
      </c>
      <c r="Z38" s="25">
        <f>VLOOKUP(B38,'Data qoq'!$A:$AU,MATCH($Z$1,'Data qoq'!$A$1:$AU$1,),)</f>
        <v>2.1526986849999998</v>
      </c>
      <c r="AA38" s="25">
        <f>VLOOKUP(B38,'Data qoq'!$A:$AU,MATCH($AA$1,'Data qoq'!$A$1:$AU$1,),)</f>
        <v>0.88275571500000005</v>
      </c>
      <c r="AC38" s="26" t="str">
        <f t="shared" si="6"/>
        <v>2006-Q4</v>
      </c>
      <c r="AD38" s="27">
        <f t="shared" si="7"/>
        <v>-0.67110051600000009</v>
      </c>
      <c r="AE38" s="27"/>
    </row>
    <row r="39" spans="2:31" hidden="1" x14ac:dyDescent="0.2">
      <c r="B39" s="24" t="s">
        <v>305</v>
      </c>
      <c r="C39" s="25">
        <f>VLOOKUP(B39,'Data qoq'!$A:$AT,MATCH($C$1,'Data qoq'!$A$1:$AT$1,),)</f>
        <v>0.29359886099999999</v>
      </c>
      <c r="D39" s="25">
        <f>VLOOKUP(B39,'Data qoq'!$A:$AT,MATCH($D$1,'Data qoq'!$A$1:$AT$1,),)</f>
        <v>0</v>
      </c>
      <c r="E39" s="25">
        <f>VLOOKUP(B39,'Data qoq'!$A:$AT,MATCH($E$1,'Data qoq'!$A$1:$AT$1,),)</f>
        <v>0.62990100000000004</v>
      </c>
      <c r="F39" s="25">
        <f>VLOOKUP(B39,'Data qoq'!$A:$AT,MATCH($F$1,'Data qoq'!$A$1:$AT$1,),)</f>
        <v>0.67171874399999998</v>
      </c>
      <c r="G39" s="25">
        <f>VLOOKUP(B39,'Data qoq'!$A:$AT,MATCH($G$1,'Data qoq'!$A$1:$AT$1,),)</f>
        <v>7.6329825000000004E-2</v>
      </c>
      <c r="H39" s="25">
        <f>VLOOKUP(B39,'Data qoq'!$A:$AT,MATCH($H$1,'Data qoq'!$A$1:$AT$1,),)</f>
        <v>0.74593875399999998</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0.96950539999999996</v>
      </c>
      <c r="M39" s="25">
        <f>VLOOKUP(B39,'Data qoq'!$A:$AT,MATCH($M$1,'Data qoq'!$A$1:$AT$1,),)</f>
        <v>0.69905179500000003</v>
      </c>
      <c r="N39" s="25">
        <f>VLOOKUP(B39,'Data qoq'!$A:$AT,MATCH($N$1,'Data qoq'!$A$1:$AT$1,),)</f>
        <v>1.8136509329999999</v>
      </c>
      <c r="O39" s="25">
        <f>VLOOKUP(B39,'Data qoq'!$A:$AT,MATCH($C$1,'Data qoq'!$J$1:$AT$1,),)</f>
        <v>1.2300559689999999</v>
      </c>
      <c r="P39" s="25">
        <f>VLOOKUP(B39,'Data qoq'!$A:$AT,MATCH($P$1,'Data qoq'!$A$1:$AT$1,),)</f>
        <v>0.63962664400000002</v>
      </c>
      <c r="Q39" s="25">
        <f>VLOOKUP(B39,'Data qoq'!$A:$AT,MATCH($Q$1,'Data qoq'!$A$1:$AT$1,),)</f>
        <v>1.3999961270000001</v>
      </c>
      <c r="R39" s="25">
        <f>VLOOKUP(B39,'Data qoq'!$A:$AT,MATCH($E$1,'Data qoq'!$A$1:$AT$1,),)</f>
        <v>0.62990100000000004</v>
      </c>
      <c r="S39" s="25">
        <f>VLOOKUP(B39,'Data qoq'!$A:$AT,MATCH($S$1,'Data qoq'!$A$1:$AT$1,),)</f>
        <v>1.674043596</v>
      </c>
      <c r="T39" s="25">
        <f>VLOOKUP(B39,'Data qoq'!$A:$AT,MATCH($T$1,'Data qoq'!$A$1:$AT$1,),)</f>
        <v>2.0145271820000001</v>
      </c>
      <c r="U39" s="25">
        <f>VLOOKUP(B39,'Data qoq'!$A:$AT,MATCH($U$1,'Data qoq'!$A$1:$AT$1,),)</f>
        <v>-0.78528566200000005</v>
      </c>
      <c r="V39" s="25">
        <f>VLOOKUP(B39,'Data qoq'!$A:$AT,MATCH($V$1,'Data qoq'!$A$1:$AT$1,),)</f>
        <v>5.996435365</v>
      </c>
      <c r="W39" s="25">
        <f>VLOOKUP(B39,'Data qoq'!$A:$AT,MATCH($W$1,'Data qoq'!$A$1:$AT$1,),)</f>
        <v>1.8230804439999999</v>
      </c>
      <c r="X39" s="25">
        <f>VLOOKUP(B39,'Data qoq'!$A:$AT,MATCH($X$1,'Data qoq'!$A$1:$AT$1,),)</f>
        <v>1.7111227849999999</v>
      </c>
      <c r="Y39" s="25">
        <f>VLOOKUP(B39,'Data qoq'!$A:$AT,MATCH($Y$1,'Data qoq'!$A$1:$AT$1,),)</f>
        <v>4.5899808440000003</v>
      </c>
      <c r="Z39" s="25">
        <f>VLOOKUP(B39,'Data qoq'!$A:$AU,MATCH($Z$1,'Data qoq'!$A$1:$AU$1,),)</f>
        <v>2.2886320439999999</v>
      </c>
      <c r="AA39" s="25">
        <f>VLOOKUP(B39,'Data qoq'!$A:$AU,MATCH($AA$1,'Data qoq'!$A$1:$AU$1,),)</f>
        <v>1.2300559689999999</v>
      </c>
      <c r="AC39" s="26" t="str">
        <f t="shared" si="6"/>
        <v>2007-Q1</v>
      </c>
      <c r="AD39" s="27">
        <f t="shared" si="7"/>
        <v>0.21726903599999997</v>
      </c>
      <c r="AE39" s="27"/>
    </row>
    <row r="40" spans="2:31" hidden="1" x14ac:dyDescent="0.2">
      <c r="B40" s="24" t="s">
        <v>306</v>
      </c>
      <c r="C40" s="25">
        <f>VLOOKUP(B40,'Data qoq'!$A:$AT,MATCH($C$1,'Data qoq'!$A$1:$AT$1,),)</f>
        <v>0.63843452999999994</v>
      </c>
      <c r="D40" s="25">
        <f>VLOOKUP(B40,'Data qoq'!$A:$AT,MATCH($D$1,'Data qoq'!$A$1:$AT$1,),)</f>
        <v>0</v>
      </c>
      <c r="E40" s="25">
        <f>VLOOKUP(B40,'Data qoq'!$A:$AT,MATCH($E$1,'Data qoq'!$A$1:$AT$1,),)</f>
        <v>0.69511900000000004</v>
      </c>
      <c r="F40" s="25">
        <f>VLOOKUP(B40,'Data qoq'!$A:$AT,MATCH($F$1,'Data qoq'!$A$1:$AT$1,),)</f>
        <v>2.8360785999999999E-2</v>
      </c>
      <c r="G40" s="25">
        <f>VLOOKUP(B40,'Data qoq'!$A:$AT,MATCH($G$1,'Data qoq'!$A$1:$AT$1,),)</f>
        <v>0.838052558</v>
      </c>
      <c r="H40" s="25">
        <f>VLOOKUP(B40,'Data qoq'!$A:$AT,MATCH($H$1,'Data qoq'!$A$1:$AT$1,),)</f>
        <v>0.65149456100000003</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0.52039323599999998</v>
      </c>
      <c r="M40" s="25">
        <f>VLOOKUP(B40,'Data qoq'!$A:$AT,MATCH($M$1,'Data qoq'!$A$1:$AT$1,),)</f>
        <v>0.77599910900000002</v>
      </c>
      <c r="N40" s="25">
        <f>VLOOKUP(B40,'Data qoq'!$A:$AT,MATCH($N$1,'Data qoq'!$A$1:$AT$1,),)</f>
        <v>2.5237981899999999</v>
      </c>
      <c r="O40" s="25">
        <f>VLOOKUP(B40,'Data qoq'!$A:$AT,MATCH($C$1,'Data qoq'!$J$1:$AT$1,),)</f>
        <v>0.90978482900000002</v>
      </c>
      <c r="P40" s="25">
        <f>VLOOKUP(B40,'Data qoq'!$A:$AT,MATCH($P$1,'Data qoq'!$A$1:$AT$1,),)</f>
        <v>0.96890726299999996</v>
      </c>
      <c r="Q40" s="25">
        <f>VLOOKUP(B40,'Data qoq'!$A:$AT,MATCH($Q$1,'Data qoq'!$A$1:$AT$1,),)</f>
        <v>0.61981329200000002</v>
      </c>
      <c r="R40" s="25">
        <f>VLOOKUP(B40,'Data qoq'!$A:$AT,MATCH($E$1,'Data qoq'!$A$1:$AT$1,),)</f>
        <v>0.69511900000000004</v>
      </c>
      <c r="S40" s="25">
        <f>VLOOKUP(B40,'Data qoq'!$A:$AT,MATCH($S$1,'Data qoq'!$A$1:$AT$1,),)</f>
        <v>1.730290857</v>
      </c>
      <c r="T40" s="25">
        <f>VLOOKUP(B40,'Data qoq'!$A:$AT,MATCH($T$1,'Data qoq'!$A$1:$AT$1,),)</f>
        <v>1.5533753239999999</v>
      </c>
      <c r="U40" s="25">
        <f>VLOOKUP(B40,'Data qoq'!$A:$AT,MATCH($U$1,'Data qoq'!$A$1:$AT$1,),)</f>
        <v>2.9117218239999998</v>
      </c>
      <c r="V40" s="25">
        <f>VLOOKUP(B40,'Data qoq'!$A:$AT,MATCH($V$1,'Data qoq'!$A$1:$AT$1,),)</f>
        <v>-1.5564797939999999</v>
      </c>
      <c r="W40" s="25">
        <f>VLOOKUP(B40,'Data qoq'!$A:$AT,MATCH($W$1,'Data qoq'!$A$1:$AT$1,),)</f>
        <v>3.0535506E-2</v>
      </c>
      <c r="X40" s="25">
        <f>VLOOKUP(B40,'Data qoq'!$A:$AT,MATCH($X$1,'Data qoq'!$A$1:$AT$1,),)</f>
        <v>0.81155748299999997</v>
      </c>
      <c r="Y40" s="25">
        <f>VLOOKUP(B40,'Data qoq'!$A:$AT,MATCH($Y$1,'Data qoq'!$A$1:$AT$1,),)</f>
        <v>1.1397468559999999</v>
      </c>
      <c r="Z40" s="25">
        <f>VLOOKUP(B40,'Data qoq'!$A:$AU,MATCH($Z$1,'Data qoq'!$A$1:$AU$1,),)</f>
        <v>2.2018857249999999</v>
      </c>
      <c r="AA40" s="25">
        <f>VLOOKUP(B40,'Data qoq'!$A:$AU,MATCH($AA$1,'Data qoq'!$A$1:$AU$1,),)</f>
        <v>0.90978482900000002</v>
      </c>
      <c r="AC40" s="26" t="str">
        <f t="shared" si="6"/>
        <v>2007-Q2</v>
      </c>
      <c r="AD40" s="27">
        <f t="shared" si="7"/>
        <v>-0.19961802800000006</v>
      </c>
      <c r="AE40" s="27"/>
    </row>
    <row r="41" spans="2:31" hidden="1" x14ac:dyDescent="0.2">
      <c r="B41" s="24" t="s">
        <v>307</v>
      </c>
      <c r="C41" s="25">
        <f>VLOOKUP(B41,'Data qoq'!$A:$AT,MATCH($C$1,'Data qoq'!$A$1:$AT$1,),)</f>
        <v>0.60230665699999997</v>
      </c>
      <c r="D41" s="25">
        <f>VLOOKUP(B41,'Data qoq'!$A:$AT,MATCH($D$1,'Data qoq'!$A$1:$AT$1,),)</f>
        <v>0</v>
      </c>
      <c r="E41" s="25">
        <f>VLOOKUP(B41,'Data qoq'!$A:$AT,MATCH($E$1,'Data qoq'!$A$1:$AT$1,),)</f>
        <v>0.45612799999999998</v>
      </c>
      <c r="F41" s="25">
        <f>VLOOKUP(B41,'Data qoq'!$A:$AT,MATCH($F$1,'Data qoq'!$A$1:$AT$1,),)</f>
        <v>-0.55160872500000002</v>
      </c>
      <c r="G41" s="25">
        <f>VLOOKUP(B41,'Data qoq'!$A:$AT,MATCH($G$1,'Data qoq'!$A$1:$AT$1,),)</f>
        <v>0.49649168999999999</v>
      </c>
      <c r="H41" s="25">
        <f>VLOOKUP(B41,'Data qoq'!$A:$AT,MATCH($H$1,'Data qoq'!$A$1:$AT$1,),)</f>
        <v>0.47755094999999997</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0.77191982000000003</v>
      </c>
      <c r="M41" s="25">
        <f>VLOOKUP(B41,'Data qoq'!$A:$AT,MATCH($M$1,'Data qoq'!$A$1:$AT$1,),)</f>
        <v>0.62768616200000005</v>
      </c>
      <c r="N41" s="25">
        <f>VLOOKUP(B41,'Data qoq'!$A:$AT,MATCH($N$1,'Data qoq'!$A$1:$AT$1,),)</f>
        <v>2.2051103799999998</v>
      </c>
      <c r="O41" s="25">
        <f>VLOOKUP(B41,'Data qoq'!$A:$AT,MATCH($C$1,'Data qoq'!$J$1:$AT$1,),)</f>
        <v>0.74416322499999998</v>
      </c>
      <c r="P41" s="25">
        <f>VLOOKUP(B41,'Data qoq'!$A:$AT,MATCH($P$1,'Data qoq'!$A$1:$AT$1,),)</f>
        <v>0.41985457500000001</v>
      </c>
      <c r="Q41" s="25">
        <f>VLOOKUP(B41,'Data qoq'!$A:$AT,MATCH($Q$1,'Data qoq'!$A$1:$AT$1,),)</f>
        <v>1.1549911340000001</v>
      </c>
      <c r="R41" s="25">
        <f>VLOOKUP(B41,'Data qoq'!$A:$AT,MATCH($E$1,'Data qoq'!$A$1:$AT$1,),)</f>
        <v>0.45612799999999998</v>
      </c>
      <c r="S41" s="25">
        <f>VLOOKUP(B41,'Data qoq'!$A:$AT,MATCH($S$1,'Data qoq'!$A$1:$AT$1,),)</f>
        <v>1.173831453</v>
      </c>
      <c r="T41" s="25">
        <f>VLOOKUP(B41,'Data qoq'!$A:$AT,MATCH($T$1,'Data qoq'!$A$1:$AT$1,),)</f>
        <v>1.013355577</v>
      </c>
      <c r="U41" s="25">
        <f>VLOOKUP(B41,'Data qoq'!$A:$AT,MATCH($U$1,'Data qoq'!$A$1:$AT$1,),)</f>
        <v>-0.62311345799999995</v>
      </c>
      <c r="V41" s="25">
        <f>VLOOKUP(B41,'Data qoq'!$A:$AT,MATCH($V$1,'Data qoq'!$A$1:$AT$1,),)</f>
        <v>-2.5291588329999999</v>
      </c>
      <c r="W41" s="25">
        <f>VLOOKUP(B41,'Data qoq'!$A:$AT,MATCH($W$1,'Data qoq'!$A$1:$AT$1,),)</f>
        <v>0.58639459900000002</v>
      </c>
      <c r="X41" s="25">
        <f>VLOOKUP(B41,'Data qoq'!$A:$AT,MATCH($X$1,'Data qoq'!$A$1:$AT$1,),)</f>
        <v>1.4058694810000001</v>
      </c>
      <c r="Y41" s="25">
        <f>VLOOKUP(B41,'Data qoq'!$A:$AT,MATCH($Y$1,'Data qoq'!$A$1:$AT$1,),)</f>
        <v>1.6971587260000001</v>
      </c>
      <c r="Z41" s="25">
        <f>VLOOKUP(B41,'Data qoq'!$A:$AU,MATCH($Z$1,'Data qoq'!$A$1:$AU$1,),)</f>
        <v>1.3789015659999999</v>
      </c>
      <c r="AA41" s="25">
        <f>VLOOKUP(B41,'Data qoq'!$A:$AU,MATCH($AA$1,'Data qoq'!$A$1:$AU$1,),)</f>
        <v>0.74416322499999998</v>
      </c>
      <c r="AC41" s="26" t="str">
        <f t="shared" si="6"/>
        <v>2007-Q3</v>
      </c>
      <c r="AD41" s="27">
        <f t="shared" si="7"/>
        <v>0.10581496699999998</v>
      </c>
      <c r="AE41" s="27"/>
    </row>
    <row r="42" spans="2:31" hidden="1" x14ac:dyDescent="0.2">
      <c r="B42" s="24" t="s">
        <v>308</v>
      </c>
      <c r="C42" s="25">
        <f>VLOOKUP(B42,'Data qoq'!$A:$AT,MATCH($C$1,'Data qoq'!$A$1:$AT$1,),)</f>
        <v>0.60964400299999999</v>
      </c>
      <c r="D42" s="25">
        <f>VLOOKUP(B42,'Data qoq'!$A:$AT,MATCH($D$1,'Data qoq'!$A$1:$AT$1,),)</f>
        <v>0</v>
      </c>
      <c r="E42" s="25">
        <f>VLOOKUP(B42,'Data qoq'!$A:$AT,MATCH($E$1,'Data qoq'!$A$1:$AT$1,),)</f>
        <v>0.52534499999999995</v>
      </c>
      <c r="F42" s="25">
        <f>VLOOKUP(B42,'Data qoq'!$A:$AT,MATCH($F$1,'Data qoq'!$A$1:$AT$1,),)</f>
        <v>0.44478282099999999</v>
      </c>
      <c r="G42" s="25">
        <f>VLOOKUP(B42,'Data qoq'!$A:$AT,MATCH($G$1,'Data qoq'!$A$1:$AT$1,),)</f>
        <v>0.66588292599999999</v>
      </c>
      <c r="H42" s="25">
        <f>VLOOKUP(B42,'Data qoq'!$A:$AT,MATCH($H$1,'Data qoq'!$A$1:$AT$1,),)</f>
        <v>0.192471478</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1.1365160560000001</v>
      </c>
      <c r="M42" s="25">
        <f>VLOOKUP(B42,'Data qoq'!$A:$AT,MATCH($M$1,'Data qoq'!$A$1:$AT$1,),)</f>
        <v>0.39176656700000001</v>
      </c>
      <c r="N42" s="25">
        <f>VLOOKUP(B42,'Data qoq'!$A:$AT,MATCH($N$1,'Data qoq'!$A$1:$AT$1,),)</f>
        <v>3.193832161</v>
      </c>
      <c r="O42" s="25">
        <f>VLOOKUP(B42,'Data qoq'!$A:$AT,MATCH($C$1,'Data qoq'!$J$1:$AT$1,),)</f>
        <v>0.16437355400000001</v>
      </c>
      <c r="P42" s="25">
        <f>VLOOKUP(B42,'Data qoq'!$A:$AT,MATCH($P$1,'Data qoq'!$A$1:$AT$1,),)</f>
        <v>0.113617046</v>
      </c>
      <c r="Q42" s="25">
        <f>VLOOKUP(B42,'Data qoq'!$A:$AT,MATCH($Q$1,'Data qoq'!$A$1:$AT$1,),)</f>
        <v>0.40150739499999999</v>
      </c>
      <c r="R42" s="25">
        <f>VLOOKUP(B42,'Data qoq'!$A:$AT,MATCH($E$1,'Data qoq'!$A$1:$AT$1,),)</f>
        <v>0.52534499999999995</v>
      </c>
      <c r="S42" s="25">
        <f>VLOOKUP(B42,'Data qoq'!$A:$AT,MATCH($S$1,'Data qoq'!$A$1:$AT$1,),)</f>
        <v>2.156948555</v>
      </c>
      <c r="T42" s="25">
        <f>VLOOKUP(B42,'Data qoq'!$A:$AT,MATCH($T$1,'Data qoq'!$A$1:$AT$1,),)</f>
        <v>1.574992564</v>
      </c>
      <c r="U42" s="25">
        <f>VLOOKUP(B42,'Data qoq'!$A:$AT,MATCH($U$1,'Data qoq'!$A$1:$AT$1,),)</f>
        <v>-0.49587677200000002</v>
      </c>
      <c r="V42" s="25">
        <f>VLOOKUP(B42,'Data qoq'!$A:$AT,MATCH($V$1,'Data qoq'!$A$1:$AT$1,),)</f>
        <v>4.0494580239999998</v>
      </c>
      <c r="W42" s="25">
        <f>VLOOKUP(B42,'Data qoq'!$A:$AT,MATCH($W$1,'Data qoq'!$A$1:$AT$1,),)</f>
        <v>3.432599138</v>
      </c>
      <c r="X42" s="25">
        <f>VLOOKUP(B42,'Data qoq'!$A:$AT,MATCH($X$1,'Data qoq'!$A$1:$AT$1,),)</f>
        <v>1.303889735</v>
      </c>
      <c r="Y42" s="25">
        <f>VLOOKUP(B42,'Data qoq'!$A:$AT,MATCH($Y$1,'Data qoq'!$A$1:$AT$1,),)</f>
        <v>1.343488762</v>
      </c>
      <c r="Z42" s="25">
        <f>VLOOKUP(B42,'Data qoq'!$A:$AU,MATCH($Z$1,'Data qoq'!$A$1:$AU$1,),)</f>
        <v>3.0418209300000001</v>
      </c>
      <c r="AA42" s="25">
        <f>VLOOKUP(B42,'Data qoq'!$A:$AU,MATCH($AA$1,'Data qoq'!$A$1:$AU$1,),)</f>
        <v>0.16437355400000001</v>
      </c>
      <c r="AC42" s="26" t="str">
        <f t="shared" si="6"/>
        <v>2007-Q4</v>
      </c>
      <c r="AD42" s="27">
        <f t="shared" si="7"/>
        <v>-5.6238922999999996E-2</v>
      </c>
      <c r="AE42" s="27"/>
    </row>
    <row r="43" spans="2:31" hidden="1" x14ac:dyDescent="0.2">
      <c r="B43" s="24" t="s">
        <v>309</v>
      </c>
      <c r="C43" s="25">
        <f>VLOOKUP(B43,'Data qoq'!$A:$AT,MATCH($C$1,'Data qoq'!$A$1:$AT$1,),)</f>
        <v>-0.40742947400000001</v>
      </c>
      <c r="D43" s="25">
        <f>VLOOKUP(B43,'Data qoq'!$A:$AT,MATCH($D$1,'Data qoq'!$A$1:$AT$1,),)</f>
        <v>0</v>
      </c>
      <c r="E43" s="25">
        <f>VLOOKUP(B43,'Data qoq'!$A:$AT,MATCH($E$1,'Data qoq'!$A$1:$AT$1,),)</f>
        <v>0.496757</v>
      </c>
      <c r="F43" s="25">
        <f>VLOOKUP(B43,'Data qoq'!$A:$AT,MATCH($F$1,'Data qoq'!$A$1:$AT$1,),)</f>
        <v>0.368590482</v>
      </c>
      <c r="G43" s="25">
        <f>VLOOKUP(B43,'Data qoq'!$A:$AT,MATCH($G$1,'Data qoq'!$A$1:$AT$1,),)</f>
        <v>0.62947670200000005</v>
      </c>
      <c r="H43" s="25">
        <f>VLOOKUP(B43,'Data qoq'!$A:$AT,MATCH($H$1,'Data qoq'!$A$1:$AT$1,),)</f>
        <v>0.49107105299999998</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-0.78319660899999999</v>
      </c>
      <c r="M43" s="25">
        <f>VLOOKUP(B43,'Data qoq'!$A:$AT,MATCH($M$1,'Data qoq'!$A$1:$AT$1,),)</f>
        <v>-0.19869140800000001</v>
      </c>
      <c r="N43" s="25">
        <f>VLOOKUP(B43,'Data qoq'!$A:$AT,MATCH($N$1,'Data qoq'!$A$1:$AT$1,),)</f>
        <v>2.653171822</v>
      </c>
      <c r="O43" s="25">
        <f>VLOOKUP(B43,'Data qoq'!$A:$AT,MATCH($C$1,'Data qoq'!$J$1:$AT$1,),)</f>
        <v>-0.31402581099999999</v>
      </c>
      <c r="P43" s="25">
        <f>VLOOKUP(B43,'Data qoq'!$A:$AT,MATCH($P$1,'Data qoq'!$A$1:$AT$1,),)</f>
        <v>7.6640567000000007E-2</v>
      </c>
      <c r="Q43" s="25">
        <f>VLOOKUP(B43,'Data qoq'!$A:$AT,MATCH($Q$1,'Data qoq'!$A$1:$AT$1,),)</f>
        <v>1.032323168</v>
      </c>
      <c r="R43" s="25">
        <f>VLOOKUP(B43,'Data qoq'!$A:$AT,MATCH($E$1,'Data qoq'!$A$1:$AT$1,),)</f>
        <v>0.496757</v>
      </c>
      <c r="S43" s="25">
        <f>VLOOKUP(B43,'Data qoq'!$A:$AT,MATCH($S$1,'Data qoq'!$A$1:$AT$1,),)</f>
        <v>0.40239485800000002</v>
      </c>
      <c r="T43" s="25">
        <f>VLOOKUP(B43,'Data qoq'!$A:$AT,MATCH($T$1,'Data qoq'!$A$1:$AT$1,),)</f>
        <v>1.1220504600000001</v>
      </c>
      <c r="U43" s="25">
        <f>VLOOKUP(B43,'Data qoq'!$A:$AT,MATCH($U$1,'Data qoq'!$A$1:$AT$1,),)</f>
        <v>0.61159760600000002</v>
      </c>
      <c r="V43" s="25">
        <f>VLOOKUP(B43,'Data qoq'!$A:$AT,MATCH($V$1,'Data qoq'!$A$1:$AT$1,),)</f>
        <v>-2.5793486259999998</v>
      </c>
      <c r="W43" s="25">
        <f>VLOOKUP(B43,'Data qoq'!$A:$AT,MATCH($W$1,'Data qoq'!$A$1:$AT$1,),)</f>
        <v>2.1064921079999999</v>
      </c>
      <c r="X43" s="25">
        <f>VLOOKUP(B43,'Data qoq'!$A:$AT,MATCH($X$1,'Data qoq'!$A$1:$AT$1,),)</f>
        <v>0.47042799299999999</v>
      </c>
      <c r="Y43" s="25">
        <f>VLOOKUP(B43,'Data qoq'!$A:$AT,MATCH($Y$1,'Data qoq'!$A$1:$AT$1,),)</f>
        <v>1.9177004600000001</v>
      </c>
      <c r="Z43" s="25">
        <f>VLOOKUP(B43,'Data qoq'!$A:$AU,MATCH($Z$1,'Data qoq'!$A$1:$AU$1,),)</f>
        <v>0.878634951</v>
      </c>
      <c r="AA43" s="25">
        <f>VLOOKUP(B43,'Data qoq'!$A:$AU,MATCH($AA$1,'Data qoq'!$A$1:$AU$1,),)</f>
        <v>-0.31402581099999999</v>
      </c>
      <c r="AC43" s="26" t="str">
        <f t="shared" ref="AC43:AC74" si="8">B43</f>
        <v>2008-Q1</v>
      </c>
      <c r="AD43" s="27">
        <f t="shared" ref="AD43:AD74" si="9">(VLOOKUP(AC43,B:Y,MATCH($AE$6,$B$1:$Y$1,),))-(VLOOKUP(AC43,B:Y,MATCH($AE$7,$B$1:$Y$1,),))</f>
        <v>-1.036906176</v>
      </c>
      <c r="AE43" s="27"/>
    </row>
    <row r="44" spans="2:31" hidden="1" x14ac:dyDescent="0.2">
      <c r="B44" s="24" t="s">
        <v>310</v>
      </c>
      <c r="C44" s="25">
        <f>VLOOKUP(B44,'Data qoq'!$A:$AT,MATCH($C$1,'Data qoq'!$A$1:$AT$1,),)</f>
        <v>0.57229534500000001</v>
      </c>
      <c r="D44" s="25">
        <f>VLOOKUP(B44,'Data qoq'!$A:$AT,MATCH($D$1,'Data qoq'!$A$1:$AT$1,),)</f>
        <v>0</v>
      </c>
      <c r="E44" s="25">
        <f>VLOOKUP(B44,'Data qoq'!$A:$AT,MATCH($E$1,'Data qoq'!$A$1:$AT$1,),)</f>
        <v>-0.35112500000000002</v>
      </c>
      <c r="F44" s="25">
        <f>VLOOKUP(B44,'Data qoq'!$A:$AT,MATCH($F$1,'Data qoq'!$A$1:$AT$1,),)</f>
        <v>-0.597064751</v>
      </c>
      <c r="G44" s="25">
        <f>VLOOKUP(B44,'Data qoq'!$A:$AT,MATCH($G$1,'Data qoq'!$A$1:$AT$1,),)</f>
        <v>-0.23324228799999999</v>
      </c>
      <c r="H44" s="25">
        <f>VLOOKUP(B44,'Data qoq'!$A:$AT,MATCH($H$1,'Data qoq'!$A$1:$AT$1,),)</f>
        <v>-0.54429724999999995</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-5.7862157999999997E-2</v>
      </c>
      <c r="M44" s="25">
        <f>VLOOKUP(B44,'Data qoq'!$A:$AT,MATCH($M$1,'Data qoq'!$A$1:$AT$1,),)</f>
        <v>0.76831606500000005</v>
      </c>
      <c r="N44" s="25">
        <f>VLOOKUP(B44,'Data qoq'!$A:$AT,MATCH($N$1,'Data qoq'!$A$1:$AT$1,),)</f>
        <v>0.62160239399999995</v>
      </c>
      <c r="O44" s="25">
        <f>VLOOKUP(B44,'Data qoq'!$A:$AT,MATCH($C$1,'Data qoq'!$J$1:$AT$1,),)</f>
        <v>-0.30078855399999999</v>
      </c>
      <c r="P44" s="25">
        <f>VLOOKUP(B44,'Data qoq'!$A:$AT,MATCH($P$1,'Data qoq'!$A$1:$AT$1,),)</f>
        <v>0.36167189700000002</v>
      </c>
      <c r="Q44" s="25">
        <f>VLOOKUP(B44,'Data qoq'!$A:$AT,MATCH($Q$1,'Data qoq'!$A$1:$AT$1,),)</f>
        <v>0.31945336200000002</v>
      </c>
      <c r="R44" s="25">
        <f>VLOOKUP(B44,'Data qoq'!$A:$AT,MATCH($E$1,'Data qoq'!$A$1:$AT$1,),)</f>
        <v>-0.35112500000000002</v>
      </c>
      <c r="S44" s="25">
        <f>VLOOKUP(B44,'Data qoq'!$A:$AT,MATCH($S$1,'Data qoq'!$A$1:$AT$1,),)</f>
        <v>0.52347300299999999</v>
      </c>
      <c r="T44" s="25">
        <f>VLOOKUP(B44,'Data qoq'!$A:$AT,MATCH($T$1,'Data qoq'!$A$1:$AT$1,),)</f>
        <v>2.3192594799999999</v>
      </c>
      <c r="U44" s="25">
        <f>VLOOKUP(B44,'Data qoq'!$A:$AT,MATCH($U$1,'Data qoq'!$A$1:$AT$1,),)</f>
        <v>-0.63973648299999997</v>
      </c>
      <c r="V44" s="25">
        <f>VLOOKUP(B44,'Data qoq'!$A:$AT,MATCH($V$1,'Data qoq'!$A$1:$AT$1,),)</f>
        <v>-2.5266674189999998</v>
      </c>
      <c r="W44" s="25">
        <f>VLOOKUP(B44,'Data qoq'!$A:$AT,MATCH($W$1,'Data qoq'!$A$1:$AT$1,),)</f>
        <v>-3.5485985709999999</v>
      </c>
      <c r="X44" s="25">
        <f>VLOOKUP(B44,'Data qoq'!$A:$AT,MATCH($X$1,'Data qoq'!$A$1:$AT$1,),)</f>
        <v>0.72075756000000002</v>
      </c>
      <c r="Y44" s="25">
        <f>VLOOKUP(B44,'Data qoq'!$A:$AT,MATCH($Y$1,'Data qoq'!$A$1:$AT$1,),)</f>
        <v>0.243079668</v>
      </c>
      <c r="Z44" s="25">
        <f>VLOOKUP(B44,'Data qoq'!$A:$AU,MATCH($Z$1,'Data qoq'!$A$1:$AU$1,),)</f>
        <v>0.59280987500000004</v>
      </c>
      <c r="AA44" s="25">
        <f>VLOOKUP(B44,'Data qoq'!$A:$AU,MATCH($AA$1,'Data qoq'!$A$1:$AU$1,),)</f>
        <v>-0.30078855399999999</v>
      </c>
      <c r="AC44" s="26" t="str">
        <f t="shared" si="8"/>
        <v>2008-Q2</v>
      </c>
      <c r="AD44" s="27">
        <f t="shared" si="9"/>
        <v>0.80553763300000003</v>
      </c>
      <c r="AE44" s="27"/>
    </row>
    <row r="45" spans="2:31" hidden="1" x14ac:dyDescent="0.2">
      <c r="B45" s="24" t="s">
        <v>311</v>
      </c>
      <c r="C45" s="25">
        <f>VLOOKUP(B45,'Data qoq'!$A:$AT,MATCH($C$1,'Data qoq'!$A$1:$AT$1,),)</f>
        <v>-0.52689290200000005</v>
      </c>
      <c r="D45" s="25">
        <f>VLOOKUP(B45,'Data qoq'!$A:$AT,MATCH($D$1,'Data qoq'!$A$1:$AT$1,),)</f>
        <v>0</v>
      </c>
      <c r="E45" s="25">
        <f>VLOOKUP(B45,'Data qoq'!$A:$AT,MATCH($E$1,'Data qoq'!$A$1:$AT$1,),)</f>
        <v>-0.51571400000000001</v>
      </c>
      <c r="F45" s="25">
        <f>VLOOKUP(B45,'Data qoq'!$A:$AT,MATCH($F$1,'Data qoq'!$A$1:$AT$1,),)</f>
        <v>-1.259684155</v>
      </c>
      <c r="G45" s="25">
        <f>VLOOKUP(B45,'Data qoq'!$A:$AT,MATCH($G$1,'Data qoq'!$A$1:$AT$1,),)</f>
        <v>-0.64824918200000003</v>
      </c>
      <c r="H45" s="25">
        <f>VLOOKUP(B45,'Data qoq'!$A:$AT,MATCH($H$1,'Data qoq'!$A$1:$AT$1,),)</f>
        <v>-0.186816921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-0.50328915100000005</v>
      </c>
      <c r="M45" s="25">
        <f>VLOOKUP(B45,'Data qoq'!$A:$AT,MATCH($M$1,'Data qoq'!$A$1:$AT$1,),)</f>
        <v>0.317441521</v>
      </c>
      <c r="N45" s="25">
        <f>VLOOKUP(B45,'Data qoq'!$A:$AT,MATCH($N$1,'Data qoq'!$A$1:$AT$1,),)</f>
        <v>-1.490668597</v>
      </c>
      <c r="O45" s="25">
        <f>VLOOKUP(B45,'Data qoq'!$A:$AT,MATCH($C$1,'Data qoq'!$J$1:$AT$1,),)</f>
        <v>-0.34042726699999998</v>
      </c>
      <c r="P45" s="25">
        <f>VLOOKUP(B45,'Data qoq'!$A:$AT,MATCH($P$1,'Data qoq'!$A$1:$AT$1,),)</f>
        <v>0.82004401199999999</v>
      </c>
      <c r="Q45" s="25">
        <f>VLOOKUP(B45,'Data qoq'!$A:$AT,MATCH($Q$1,'Data qoq'!$A$1:$AT$1,),)</f>
        <v>0.71167440999999998</v>
      </c>
      <c r="R45" s="25">
        <f>VLOOKUP(B45,'Data qoq'!$A:$AT,MATCH($E$1,'Data qoq'!$A$1:$AT$1,),)</f>
        <v>-0.51571400000000001</v>
      </c>
      <c r="S45" s="25">
        <f>VLOOKUP(B45,'Data qoq'!$A:$AT,MATCH($S$1,'Data qoq'!$A$1:$AT$1,),)</f>
        <v>0.81588104299999997</v>
      </c>
      <c r="T45" s="25">
        <f>VLOOKUP(B45,'Data qoq'!$A:$AT,MATCH($T$1,'Data qoq'!$A$1:$AT$1,),)</f>
        <v>1.473431785</v>
      </c>
      <c r="U45" s="25">
        <f>VLOOKUP(B45,'Data qoq'!$A:$AT,MATCH($U$1,'Data qoq'!$A$1:$AT$1,),)</f>
        <v>-9.7483140999999995E-2</v>
      </c>
      <c r="V45" s="25">
        <f>VLOOKUP(B45,'Data qoq'!$A:$AT,MATCH($V$1,'Data qoq'!$A$1:$AT$1,),)</f>
        <v>-0.77771857600000005</v>
      </c>
      <c r="W45" s="25">
        <f>VLOOKUP(B45,'Data qoq'!$A:$AT,MATCH($W$1,'Data qoq'!$A$1:$AT$1,),)</f>
        <v>-1.8168699740000001</v>
      </c>
      <c r="X45" s="25">
        <f>VLOOKUP(B45,'Data qoq'!$A:$AT,MATCH($X$1,'Data qoq'!$A$1:$AT$1,),)</f>
        <v>0.24770763000000001</v>
      </c>
      <c r="Y45" s="25">
        <f>VLOOKUP(B45,'Data qoq'!$A:$AT,MATCH($Y$1,'Data qoq'!$A$1:$AT$1,),)</f>
        <v>-0.33657292500000002</v>
      </c>
      <c r="Z45" s="25">
        <f>VLOOKUP(B45,'Data qoq'!$A:$AU,MATCH($Z$1,'Data qoq'!$A$1:$AU$1,),)</f>
        <v>0.83411831599999997</v>
      </c>
      <c r="AA45" s="25">
        <f>VLOOKUP(B45,'Data qoq'!$A:$AU,MATCH($AA$1,'Data qoq'!$A$1:$AU$1,),)</f>
        <v>-0.34042726699999998</v>
      </c>
      <c r="AC45" s="26" t="str">
        <f t="shared" si="8"/>
        <v>2008-Q3</v>
      </c>
      <c r="AD45" s="27">
        <f t="shared" si="9"/>
        <v>0.12135627999999998</v>
      </c>
      <c r="AE45" s="27"/>
    </row>
    <row r="46" spans="2:31" hidden="1" x14ac:dyDescent="0.2">
      <c r="B46" s="24" t="s">
        <v>312</v>
      </c>
      <c r="C46" s="25">
        <f>VLOOKUP(B46,'Data qoq'!$A:$AT,MATCH($C$1,'Data qoq'!$A$1:$AT$1,),)</f>
        <v>-2.1830971479999999</v>
      </c>
      <c r="D46" s="25">
        <f>VLOOKUP(B46,'Data qoq'!$A:$AT,MATCH($D$1,'Data qoq'!$A$1:$AT$1,),)</f>
        <v>0</v>
      </c>
      <c r="E46" s="25">
        <f>VLOOKUP(B46,'Data qoq'!$A:$AT,MATCH($E$1,'Data qoq'!$A$1:$AT$1,),)</f>
        <v>-1.793839</v>
      </c>
      <c r="F46" s="25">
        <f>VLOOKUP(B46,'Data qoq'!$A:$AT,MATCH($F$1,'Data qoq'!$A$1:$AT$1,),)</f>
        <v>-2.44294301</v>
      </c>
      <c r="G46" s="25">
        <f>VLOOKUP(B46,'Data qoq'!$A:$AT,MATCH($G$1,'Data qoq'!$A$1:$AT$1,),)</f>
        <v>-1.593756296</v>
      </c>
      <c r="H46" s="25">
        <f>VLOOKUP(B46,'Data qoq'!$A:$AT,MATCH($H$1,'Data qoq'!$A$1:$AT$1,),)</f>
        <v>-1.4952636509999999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-3.537622281</v>
      </c>
      <c r="M46" s="25">
        <f>VLOOKUP(B46,'Data qoq'!$A:$AT,MATCH($M$1,'Data qoq'!$A$1:$AT$1,),)</f>
        <v>-1.6332572540000001</v>
      </c>
      <c r="N46" s="25">
        <f>VLOOKUP(B46,'Data qoq'!$A:$AT,MATCH($N$1,'Data qoq'!$A$1:$AT$1,),)</f>
        <v>-3.252211484</v>
      </c>
      <c r="O46" s="25">
        <f>VLOOKUP(B46,'Data qoq'!$A:$AT,MATCH($C$1,'Data qoq'!$J$1:$AT$1,),)</f>
        <v>-0.67090756600000001</v>
      </c>
      <c r="P46" s="25">
        <f>VLOOKUP(B46,'Data qoq'!$A:$AT,MATCH($P$1,'Data qoq'!$A$1:$AT$1,),)</f>
        <v>-1.1595184890000001</v>
      </c>
      <c r="Q46" s="25">
        <f>VLOOKUP(B46,'Data qoq'!$A:$AT,MATCH($Q$1,'Data qoq'!$A$1:$AT$1,),)</f>
        <v>-0.47545570999999998</v>
      </c>
      <c r="R46" s="25">
        <f>VLOOKUP(B46,'Data qoq'!$A:$AT,MATCH($E$1,'Data qoq'!$A$1:$AT$1,),)</f>
        <v>-1.793839</v>
      </c>
      <c r="S46" s="25">
        <f>VLOOKUP(B46,'Data qoq'!$A:$AT,MATCH($S$1,'Data qoq'!$A$1:$AT$1,),)</f>
        <v>-3.2838893470000001</v>
      </c>
      <c r="T46" s="25">
        <f>VLOOKUP(B46,'Data qoq'!$A:$AT,MATCH($T$1,'Data qoq'!$A$1:$AT$1,),)</f>
        <v>-3.7752197120000002</v>
      </c>
      <c r="U46" s="25">
        <f>VLOOKUP(B46,'Data qoq'!$A:$AT,MATCH($U$1,'Data qoq'!$A$1:$AT$1,),)</f>
        <v>-1.397015176</v>
      </c>
      <c r="V46" s="25">
        <f>VLOOKUP(B46,'Data qoq'!$A:$AT,MATCH($V$1,'Data qoq'!$A$1:$AT$1,),)</f>
        <v>-4.2808209399999999</v>
      </c>
      <c r="W46" s="25">
        <f>VLOOKUP(B46,'Data qoq'!$A:$AT,MATCH($W$1,'Data qoq'!$A$1:$AT$1,),)</f>
        <v>-2.5400315510000002</v>
      </c>
      <c r="X46" s="25">
        <f>VLOOKUP(B46,'Data qoq'!$A:$AT,MATCH($X$1,'Data qoq'!$A$1:$AT$1,),)</f>
        <v>-1.975761103</v>
      </c>
      <c r="Y46" s="25">
        <f>VLOOKUP(B46,'Data qoq'!$A:$AT,MATCH($Y$1,'Data qoq'!$A$1:$AT$1,),)</f>
        <v>0.40488332599999999</v>
      </c>
      <c r="Z46" s="25">
        <f>VLOOKUP(B46,'Data qoq'!$A:$AU,MATCH($Z$1,'Data qoq'!$A$1:$AU$1,),)</f>
        <v>-4.7702893509999997</v>
      </c>
      <c r="AA46" s="25">
        <f>VLOOKUP(B46,'Data qoq'!$A:$AU,MATCH($AA$1,'Data qoq'!$A$1:$AU$1,),)</f>
        <v>-0.67090756600000001</v>
      </c>
      <c r="AC46" s="26" t="str">
        <f t="shared" si="8"/>
        <v>2008-Q4</v>
      </c>
      <c r="AD46" s="27">
        <f t="shared" si="9"/>
        <v>-0.58934085199999986</v>
      </c>
      <c r="AE46" s="27"/>
    </row>
    <row r="47" spans="2:31" hidden="1" x14ac:dyDescent="0.2">
      <c r="B47" s="24" t="s">
        <v>313</v>
      </c>
      <c r="C47" s="25">
        <f>VLOOKUP(B47,'Data qoq'!$A:$AT,MATCH($C$1,'Data qoq'!$A$1:$AT$1,),)</f>
        <v>-1.1657225309999999</v>
      </c>
      <c r="D47" s="25">
        <f>VLOOKUP(B47,'Data qoq'!$A:$AT,MATCH($D$1,'Data qoq'!$A$1:$AT$1,),)</f>
        <v>0</v>
      </c>
      <c r="E47" s="25">
        <f>VLOOKUP(B47,'Data qoq'!$A:$AT,MATCH($E$1,'Data qoq'!$A$1:$AT$1,),)</f>
        <v>-3.1167250000000002</v>
      </c>
      <c r="F47" s="25">
        <f>VLOOKUP(B47,'Data qoq'!$A:$AT,MATCH($F$1,'Data qoq'!$A$1:$AT$1,),)</f>
        <v>-4.7968384589999999</v>
      </c>
      <c r="G47" s="25">
        <f>VLOOKUP(B47,'Data qoq'!$A:$AT,MATCH($G$1,'Data qoq'!$A$1:$AT$1,),)</f>
        <v>-4.6822270550000002</v>
      </c>
      <c r="H47" s="25">
        <f>VLOOKUP(B47,'Data qoq'!$A:$AT,MATCH($H$1,'Data qoq'!$A$1:$AT$1,),)</f>
        <v>-1.688870858</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-1.477710265</v>
      </c>
      <c r="M47" s="25">
        <f>VLOOKUP(B47,'Data qoq'!$A:$AT,MATCH($M$1,'Data qoq'!$A$1:$AT$1,),)</f>
        <v>-5.1264508729999996</v>
      </c>
      <c r="N47" s="25">
        <f>VLOOKUP(B47,'Data qoq'!$A:$AT,MATCH($N$1,'Data qoq'!$A$1:$AT$1,),)</f>
        <v>-3.5269817579999998</v>
      </c>
      <c r="O47" s="25">
        <f>VLOOKUP(B47,'Data qoq'!$A:$AT,MATCH($C$1,'Data qoq'!$J$1:$AT$1,),)</f>
        <v>-1.0069809110000001</v>
      </c>
      <c r="P47" s="25">
        <f>VLOOKUP(B47,'Data qoq'!$A:$AT,MATCH($P$1,'Data qoq'!$A$1:$AT$1,),)</f>
        <v>-2.2596861829999999</v>
      </c>
      <c r="Q47" s="25">
        <f>VLOOKUP(B47,'Data qoq'!$A:$AT,MATCH($Q$1,'Data qoq'!$A$1:$AT$1,),)</f>
        <v>0.91866551699999999</v>
      </c>
      <c r="R47" s="25">
        <f>VLOOKUP(B47,'Data qoq'!$A:$AT,MATCH($E$1,'Data qoq'!$A$1:$AT$1,),)</f>
        <v>-3.1167250000000002</v>
      </c>
      <c r="S47" s="25">
        <f>VLOOKUP(B47,'Data qoq'!$A:$AT,MATCH($S$1,'Data qoq'!$A$1:$AT$1,),)</f>
        <v>8.9986722000000005E-2</v>
      </c>
      <c r="T47" s="25">
        <f>VLOOKUP(B47,'Data qoq'!$A:$AT,MATCH($T$1,'Data qoq'!$A$1:$AT$1,),)</f>
        <v>-1.41434174</v>
      </c>
      <c r="U47" s="25">
        <f>VLOOKUP(B47,'Data qoq'!$A:$AT,MATCH($U$1,'Data qoq'!$A$1:$AT$1,),)</f>
        <v>-4.7477806170000001</v>
      </c>
      <c r="V47" s="25">
        <f>VLOOKUP(B47,'Data qoq'!$A:$AT,MATCH($V$1,'Data qoq'!$A$1:$AT$1,),)</f>
        <v>0.54266968400000004</v>
      </c>
      <c r="W47" s="25">
        <f>VLOOKUP(B47,'Data qoq'!$A:$AT,MATCH($W$1,'Data qoq'!$A$1:$AT$1,),)</f>
        <v>-5.6640195660000003</v>
      </c>
      <c r="X47" s="25">
        <f>VLOOKUP(B47,'Data qoq'!$A:$AT,MATCH($X$1,'Data qoq'!$A$1:$AT$1,),)</f>
        <v>-3.3489163249999998</v>
      </c>
      <c r="Y47" s="25">
        <f>VLOOKUP(B47,'Data qoq'!$A:$AT,MATCH($Y$1,'Data qoq'!$A$1:$AT$1,),)</f>
        <v>1.5787712359999999</v>
      </c>
      <c r="Z47" s="25">
        <f>VLOOKUP(B47,'Data qoq'!$A:$AU,MATCH($Z$1,'Data qoq'!$A$1:$AU$1,),)</f>
        <v>-3.706118316</v>
      </c>
      <c r="AA47" s="25">
        <f>VLOOKUP(B47,'Data qoq'!$A:$AU,MATCH($AA$1,'Data qoq'!$A$1:$AU$1,),)</f>
        <v>-1.0069809110000001</v>
      </c>
      <c r="AC47" s="26" t="str">
        <f t="shared" si="8"/>
        <v>2009-Q1</v>
      </c>
      <c r="AD47" s="27">
        <f t="shared" si="9"/>
        <v>3.5165045240000001</v>
      </c>
      <c r="AE47" s="27"/>
    </row>
    <row r="48" spans="2:31" hidden="1" x14ac:dyDescent="0.2">
      <c r="B48" s="24" t="s">
        <v>314</v>
      </c>
      <c r="C48" s="25">
        <f>VLOOKUP(B48,'Data qoq'!$A:$AT,MATCH($C$1,'Data qoq'!$A$1:$AT$1,),)</f>
        <v>-0.16923813900000001</v>
      </c>
      <c r="D48" s="25">
        <f>VLOOKUP(B48,'Data qoq'!$A:$AT,MATCH($D$1,'Data qoq'!$A$1:$AT$1,),)</f>
        <v>0</v>
      </c>
      <c r="E48" s="25">
        <f>VLOOKUP(B48,'Data qoq'!$A:$AT,MATCH($E$1,'Data qoq'!$A$1:$AT$1,),)</f>
        <v>-5.9680000000000002E-3</v>
      </c>
      <c r="F48" s="25">
        <f>VLOOKUP(B48,'Data qoq'!$A:$AT,MATCH($F$1,'Data qoq'!$A$1:$AT$1,),)</f>
        <v>1.933083112</v>
      </c>
      <c r="G48" s="25">
        <f>VLOOKUP(B48,'Data qoq'!$A:$AT,MATCH($G$1,'Data qoq'!$A$1:$AT$1,),)</f>
        <v>0.159652865</v>
      </c>
      <c r="H48" s="25">
        <f>VLOOKUP(B48,'Data qoq'!$A:$AT,MATCH($H$1,'Data qoq'!$A$1:$AT$1,),)</f>
        <v>-2.8941316000000002E-2</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6.2680436000000006E-2</v>
      </c>
      <c r="M48" s="25">
        <f>VLOOKUP(B48,'Data qoq'!$A:$AT,MATCH($M$1,'Data qoq'!$A$1:$AT$1,),)</f>
        <v>-1.4693906990000001</v>
      </c>
      <c r="N48" s="25">
        <f>VLOOKUP(B48,'Data qoq'!$A:$AT,MATCH($N$1,'Data qoq'!$A$1:$AT$1,),)</f>
        <v>-1.4588607810000001</v>
      </c>
      <c r="O48" s="25">
        <f>VLOOKUP(B48,'Data qoq'!$A:$AT,MATCH($C$1,'Data qoq'!$J$1:$AT$1,),)</f>
        <v>-5.4085538000000002E-2</v>
      </c>
      <c r="P48" s="25">
        <f>VLOOKUP(B48,'Data qoq'!$A:$AT,MATCH($P$1,'Data qoq'!$A$1:$AT$1,),)</f>
        <v>-1.0912585960000001</v>
      </c>
      <c r="Q48" s="25">
        <f>VLOOKUP(B48,'Data qoq'!$A:$AT,MATCH($Q$1,'Data qoq'!$A$1:$AT$1,),)</f>
        <v>0.75667624899999997</v>
      </c>
      <c r="R48" s="25">
        <f>VLOOKUP(B48,'Data qoq'!$A:$AT,MATCH($E$1,'Data qoq'!$A$1:$AT$1,),)</f>
        <v>-5.9680000000000002E-3</v>
      </c>
      <c r="S48" s="25">
        <f>VLOOKUP(B48,'Data qoq'!$A:$AT,MATCH($S$1,'Data qoq'!$A$1:$AT$1,),)</f>
        <v>1.332777638</v>
      </c>
      <c r="T48" s="25">
        <f>VLOOKUP(B48,'Data qoq'!$A:$AT,MATCH($T$1,'Data qoq'!$A$1:$AT$1,),)</f>
        <v>1.8263229240000001</v>
      </c>
      <c r="U48" s="25">
        <f>VLOOKUP(B48,'Data qoq'!$A:$AT,MATCH($U$1,'Data qoq'!$A$1:$AT$1,),)</f>
        <v>2.7768419029999998</v>
      </c>
      <c r="V48" s="25">
        <f>VLOOKUP(B48,'Data qoq'!$A:$AT,MATCH($V$1,'Data qoq'!$A$1:$AT$1,),)</f>
        <v>-0.54342427100000001</v>
      </c>
      <c r="W48" s="25">
        <f>VLOOKUP(B48,'Data qoq'!$A:$AT,MATCH($W$1,'Data qoq'!$A$1:$AT$1,),)</f>
        <v>4.0069981370000001</v>
      </c>
      <c r="X48" s="25">
        <f>VLOOKUP(B48,'Data qoq'!$A:$AT,MATCH($X$1,'Data qoq'!$A$1:$AT$1,),)</f>
        <v>-0.38163602899999999</v>
      </c>
      <c r="Y48" s="25">
        <f>VLOOKUP(B48,'Data qoq'!$A:$AT,MATCH($Y$1,'Data qoq'!$A$1:$AT$1,),)</f>
        <v>4.6144546000000002E-2</v>
      </c>
      <c r="Z48" s="25">
        <f>VLOOKUP(B48,'Data qoq'!$A:$AU,MATCH($Z$1,'Data qoq'!$A$1:$AU$1,),)</f>
        <v>-2.1220797669999998</v>
      </c>
      <c r="AA48" s="25">
        <f>VLOOKUP(B48,'Data qoq'!$A:$AU,MATCH($AA$1,'Data qoq'!$A$1:$AU$1,),)</f>
        <v>-5.4085538000000002E-2</v>
      </c>
      <c r="AC48" s="26" t="str">
        <f t="shared" si="8"/>
        <v>2009-Q2</v>
      </c>
      <c r="AD48" s="27">
        <f t="shared" si="9"/>
        <v>-0.32889100400000004</v>
      </c>
      <c r="AE48" s="27"/>
    </row>
    <row r="49" spans="2:31" hidden="1" x14ac:dyDescent="0.2">
      <c r="B49" s="24" t="s">
        <v>315</v>
      </c>
      <c r="C49" s="25">
        <f>VLOOKUP(B49,'Data qoq'!$A:$AT,MATCH($C$1,'Data qoq'!$A$1:$AT$1,),)</f>
        <v>0.36192999100000001</v>
      </c>
      <c r="D49" s="25">
        <f>VLOOKUP(B49,'Data qoq'!$A:$AT,MATCH($D$1,'Data qoq'!$A$1:$AT$1,),)</f>
        <v>0</v>
      </c>
      <c r="E49" s="25">
        <f>VLOOKUP(B49,'Data qoq'!$A:$AT,MATCH($E$1,'Data qoq'!$A$1:$AT$1,),)</f>
        <v>0.39075199999999999</v>
      </c>
      <c r="F49" s="25">
        <f>VLOOKUP(B49,'Data qoq'!$A:$AT,MATCH($F$1,'Data qoq'!$A$1:$AT$1,),)</f>
        <v>-5.9138001000000003E-2</v>
      </c>
      <c r="G49" s="25">
        <f>VLOOKUP(B49,'Data qoq'!$A:$AT,MATCH($G$1,'Data qoq'!$A$1:$AT$1,),)</f>
        <v>0.55789132299999999</v>
      </c>
      <c r="H49" s="25">
        <f>VLOOKUP(B49,'Data qoq'!$A:$AT,MATCH($H$1,'Data qoq'!$A$1:$AT$1,),)</f>
        <v>0.16475403399999999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-5.2184841000000003E-2</v>
      </c>
      <c r="M49" s="25">
        <f>VLOOKUP(B49,'Data qoq'!$A:$AT,MATCH($M$1,'Data qoq'!$A$1:$AT$1,),)</f>
        <v>3.292447734</v>
      </c>
      <c r="N49" s="25">
        <f>VLOOKUP(B49,'Data qoq'!$A:$AT,MATCH($N$1,'Data qoq'!$A$1:$AT$1,),)</f>
        <v>0.41042516099999998</v>
      </c>
      <c r="O49" s="25">
        <f>VLOOKUP(B49,'Data qoq'!$A:$AT,MATCH($C$1,'Data qoq'!$J$1:$AT$1,),)</f>
        <v>0.495358615</v>
      </c>
      <c r="P49" s="25">
        <f>VLOOKUP(B49,'Data qoq'!$A:$AT,MATCH($P$1,'Data qoq'!$A$1:$AT$1,),)</f>
        <v>0.44993852000000001</v>
      </c>
      <c r="Q49" s="25">
        <f>VLOOKUP(B49,'Data qoq'!$A:$AT,MATCH($Q$1,'Data qoq'!$A$1:$AT$1,),)</f>
        <v>0.30003566300000001</v>
      </c>
      <c r="R49" s="25">
        <f>VLOOKUP(B49,'Data qoq'!$A:$AT,MATCH($E$1,'Data qoq'!$A$1:$AT$1,),)</f>
        <v>0.39075199999999999</v>
      </c>
      <c r="S49" s="25">
        <f>VLOOKUP(B49,'Data qoq'!$A:$AT,MATCH($S$1,'Data qoq'!$A$1:$AT$1,),)</f>
        <v>2.9926747850000002</v>
      </c>
      <c r="T49" s="25">
        <f>VLOOKUP(B49,'Data qoq'!$A:$AT,MATCH($T$1,'Data qoq'!$A$1:$AT$1,),)</f>
        <v>2.344212288</v>
      </c>
      <c r="U49" s="25">
        <f>VLOOKUP(B49,'Data qoq'!$A:$AT,MATCH($U$1,'Data qoq'!$A$1:$AT$1,),)</f>
        <v>-0.72543689099999997</v>
      </c>
      <c r="V49" s="25">
        <f>VLOOKUP(B49,'Data qoq'!$A:$AT,MATCH($V$1,'Data qoq'!$A$1:$AT$1,),)</f>
        <v>-1.31944704</v>
      </c>
      <c r="W49" s="25">
        <f>VLOOKUP(B49,'Data qoq'!$A:$AT,MATCH($W$1,'Data qoq'!$A$1:$AT$1,),)</f>
        <v>2.3957610740000002</v>
      </c>
      <c r="X49" s="25">
        <f>VLOOKUP(B49,'Data qoq'!$A:$AT,MATCH($X$1,'Data qoq'!$A$1:$AT$1,),)</f>
        <v>0.47858265300000002</v>
      </c>
      <c r="Y49" s="25">
        <f>VLOOKUP(B49,'Data qoq'!$A:$AT,MATCH($Y$1,'Data qoq'!$A$1:$AT$1,),)</f>
        <v>0.57827747799999996</v>
      </c>
      <c r="Z49" s="25">
        <f>VLOOKUP(B49,'Data qoq'!$A:$AU,MATCH($Z$1,'Data qoq'!$A$1:$AU$1,),)</f>
        <v>3.9312516070000001</v>
      </c>
      <c r="AA49" s="25">
        <f>VLOOKUP(B49,'Data qoq'!$A:$AU,MATCH($AA$1,'Data qoq'!$A$1:$AU$1,),)</f>
        <v>0.495358615</v>
      </c>
      <c r="AC49" s="26" t="str">
        <f t="shared" si="8"/>
        <v>2009-Q3</v>
      </c>
      <c r="AD49" s="27">
        <f t="shared" si="9"/>
        <v>-0.19596133199999999</v>
      </c>
      <c r="AE49" s="27"/>
    </row>
    <row r="50" spans="2:31" hidden="1" x14ac:dyDescent="0.2">
      <c r="B50" s="24" t="s">
        <v>316</v>
      </c>
      <c r="C50" s="25">
        <f>VLOOKUP(B50,'Data qoq'!$A:$AT,MATCH($C$1,'Data qoq'!$A$1:$AT$1,),)</f>
        <v>1.0679619499999999</v>
      </c>
      <c r="D50" s="25">
        <f>VLOOKUP(B50,'Data qoq'!$A:$AT,MATCH($D$1,'Data qoq'!$A$1:$AT$1,),)</f>
        <v>0</v>
      </c>
      <c r="E50" s="25">
        <f>VLOOKUP(B50,'Data qoq'!$A:$AT,MATCH($E$1,'Data qoq'!$A$1:$AT$1,),)</f>
        <v>0.46012500000000001</v>
      </c>
      <c r="F50" s="25">
        <f>VLOOKUP(B50,'Data qoq'!$A:$AT,MATCH($F$1,'Data qoq'!$A$1:$AT$1,),)</f>
        <v>1.264514889</v>
      </c>
      <c r="G50" s="25">
        <f>VLOOKUP(B50,'Data qoq'!$A:$AT,MATCH($G$1,'Data qoq'!$A$1:$AT$1,),)</f>
        <v>0.73596276800000004</v>
      </c>
      <c r="H50" s="25">
        <f>VLOOKUP(B50,'Data qoq'!$A:$AT,MATCH($H$1,'Data qoq'!$A$1:$AT$1,),)</f>
        <v>0.72270995999999998</v>
      </c>
      <c r="I50" s="25">
        <f>VLOOKUP(B50,'Data qoq'!$A:$AT,MATCH($I$1,'Data qoq'!$A$1:$AT$1,),)</f>
        <v>0.3103824</v>
      </c>
      <c r="J50" s="25">
        <f>VLOOKUP(B50,'Data qoq'!$A:$AT,MATCH($J$1,'Data qoq'!$A$1:$AT$1,),)</f>
        <v>0.32450437700000001</v>
      </c>
      <c r="K50" s="25">
        <f>VLOOKUP(B50,'Data qoq'!$A:$AT,MATCH($K$1,'Data qoq'!$A$1:$AT$1,),)</f>
        <v>-2.0400669E-2</v>
      </c>
      <c r="L50" s="25">
        <f>VLOOKUP(B50,'Data qoq'!$A:$AT,MATCH($L$1,'Data qoq'!$A$1:$AT$1,),)</f>
        <v>0.46293426100000001</v>
      </c>
      <c r="M50" s="25">
        <f>VLOOKUP(B50,'Data qoq'!$A:$AT,MATCH($M$1,'Data qoq'!$A$1:$AT$1,),)</f>
        <v>1.6579162359999999</v>
      </c>
      <c r="N50" s="25">
        <f>VLOOKUP(B50,'Data qoq'!$A:$AT,MATCH($N$1,'Data qoq'!$A$1:$AT$1,),)</f>
        <v>1.0817084560000001</v>
      </c>
      <c r="O50" s="25">
        <f>VLOOKUP(B50,'Data qoq'!$A:$AT,MATCH($C$1,'Data qoq'!$J$1:$AT$1,),)</f>
        <v>1.2695717010000001</v>
      </c>
      <c r="P50" s="25">
        <f>VLOOKUP(B50,'Data qoq'!$A:$AT,MATCH($P$1,'Data qoq'!$A$1:$AT$1,),)</f>
        <v>1.1661570240000001</v>
      </c>
      <c r="Q50" s="25">
        <f>VLOOKUP(B50,'Data qoq'!$A:$AT,MATCH($Q$1,'Data qoq'!$A$1:$AT$1,),)</f>
        <v>0.75055073900000002</v>
      </c>
      <c r="R50" s="25">
        <f>VLOOKUP(B50,'Data qoq'!$A:$AT,MATCH($E$1,'Data qoq'!$A$1:$AT$1,),)</f>
        <v>0.46012500000000001</v>
      </c>
      <c r="S50" s="25">
        <f>VLOOKUP(B50,'Data qoq'!$A:$AT,MATCH($S$1,'Data qoq'!$A$1:$AT$1,),)</f>
        <v>0.74686754499999997</v>
      </c>
      <c r="T50" s="25">
        <f>VLOOKUP(B50,'Data qoq'!$A:$AT,MATCH($T$1,'Data qoq'!$A$1:$AT$1,),)</f>
        <v>2.5458407030000001</v>
      </c>
      <c r="U50" s="25">
        <f>VLOOKUP(B50,'Data qoq'!$A:$AT,MATCH($U$1,'Data qoq'!$A$1:$AT$1,),)</f>
        <v>0.128217041</v>
      </c>
      <c r="V50" s="25">
        <f>VLOOKUP(B50,'Data qoq'!$A:$AT,MATCH($V$1,'Data qoq'!$A$1:$AT$1,),)</f>
        <v>-1.38314381</v>
      </c>
      <c r="W50" s="25">
        <f>VLOOKUP(B50,'Data qoq'!$A:$AT,MATCH($W$1,'Data qoq'!$A$1:$AT$1,),)</f>
        <v>1.9523571850000001</v>
      </c>
      <c r="X50" s="25">
        <f>VLOOKUP(B50,'Data qoq'!$A:$AT,MATCH($X$1,'Data qoq'!$A$1:$AT$1,),)</f>
        <v>6.8675372999999998E-2</v>
      </c>
      <c r="Y50" s="25">
        <f>VLOOKUP(B50,'Data qoq'!$A:$AT,MATCH($Y$1,'Data qoq'!$A$1:$AT$1,),)</f>
        <v>2.3966667359999998</v>
      </c>
      <c r="Z50" s="25">
        <f>VLOOKUP(B50,'Data qoq'!$A:$AU,MATCH($Z$1,'Data qoq'!$A$1:$AU$1,),)</f>
        <v>1.8341550049999999</v>
      </c>
      <c r="AA50" s="25">
        <f>VLOOKUP(B50,'Data qoq'!$A:$AU,MATCH($AA$1,'Data qoq'!$A$1:$AU$1,),)</f>
        <v>1.2695717010000001</v>
      </c>
      <c r="AC50" s="26" t="str">
        <f t="shared" si="8"/>
        <v>2009-Q4</v>
      </c>
      <c r="AD50" s="27">
        <f t="shared" si="9"/>
        <v>0.33199918199999989</v>
      </c>
      <c r="AE50" s="27"/>
    </row>
    <row r="51" spans="2:31" hidden="1" x14ac:dyDescent="0.2">
      <c r="B51" s="24" t="s">
        <v>317</v>
      </c>
      <c r="C51" s="25">
        <f>VLOOKUP(B51,'Data qoq'!$A:$AT,MATCH($C$1,'Data qoq'!$A$1:$AT$1,),)</f>
        <v>0.50005348100000002</v>
      </c>
      <c r="D51" s="25">
        <f>VLOOKUP(B51,'Data qoq'!$A:$AT,MATCH($D$1,'Data qoq'!$A$1:$AT$1,),)</f>
        <v>0</v>
      </c>
      <c r="E51" s="25">
        <f>VLOOKUP(B51,'Data qoq'!$A:$AT,MATCH($E$1,'Data qoq'!$A$1:$AT$1,),)</f>
        <v>0.40062399999999998</v>
      </c>
      <c r="F51" s="25">
        <f>VLOOKUP(B51,'Data qoq'!$A:$AT,MATCH($F$1,'Data qoq'!$A$1:$AT$1,),)</f>
        <v>1.06307022</v>
      </c>
      <c r="G51" s="25">
        <f>VLOOKUP(B51,'Data qoq'!$A:$AT,MATCH($G$1,'Data qoq'!$A$1:$AT$1,),)</f>
        <v>0.80651542499999995</v>
      </c>
      <c r="H51" s="25">
        <f>VLOOKUP(B51,'Data qoq'!$A:$AT,MATCH($H$1,'Data qoq'!$A$1:$AT$1,),)</f>
        <v>0.34737647500000002</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2.673398213</v>
      </c>
      <c r="M51" s="25">
        <f>VLOOKUP(B51,'Data qoq'!$A:$AT,MATCH($M$1,'Data qoq'!$A$1:$AT$1,),)</f>
        <v>1.04512144</v>
      </c>
      <c r="N51" s="25">
        <f>VLOOKUP(B51,'Data qoq'!$A:$AT,MATCH($N$1,'Data qoq'!$A$1:$AT$1,),)</f>
        <v>2.138462021</v>
      </c>
      <c r="O51" s="25">
        <f>VLOOKUP(B51,'Data qoq'!$A:$AT,MATCH($C$1,'Data qoq'!$J$1:$AT$1,),)</f>
        <v>0.32926355400000001</v>
      </c>
      <c r="P51" s="25">
        <f>VLOOKUP(B51,'Data qoq'!$A:$AT,MATCH($P$1,'Data qoq'!$A$1:$AT$1,),)</f>
        <v>1.206341487</v>
      </c>
      <c r="Q51" s="25">
        <f>VLOOKUP(B51,'Data qoq'!$A:$AT,MATCH($Q$1,'Data qoq'!$A$1:$AT$1,),)</f>
        <v>0.43168264200000001</v>
      </c>
      <c r="R51" s="25">
        <f>VLOOKUP(B51,'Data qoq'!$A:$AT,MATCH($E$1,'Data qoq'!$A$1:$AT$1,),)</f>
        <v>0.40062399999999998</v>
      </c>
      <c r="S51" s="25">
        <f>VLOOKUP(B51,'Data qoq'!$A:$AT,MATCH($S$1,'Data qoq'!$A$1:$AT$1,),)</f>
        <v>1.9590767389999999</v>
      </c>
      <c r="T51" s="25">
        <f>VLOOKUP(B51,'Data qoq'!$A:$AT,MATCH($T$1,'Data qoq'!$A$1:$AT$1,),)</f>
        <v>2.2514953499999999</v>
      </c>
      <c r="U51" s="25">
        <f>VLOOKUP(B51,'Data qoq'!$A:$AT,MATCH($U$1,'Data qoq'!$A$1:$AT$1,),)</f>
        <v>-5.606995307</v>
      </c>
      <c r="V51" s="25">
        <f>VLOOKUP(B51,'Data qoq'!$A:$AT,MATCH($V$1,'Data qoq'!$A$1:$AT$1,),)</f>
        <v>3.0100343829999998</v>
      </c>
      <c r="W51" s="25">
        <f>VLOOKUP(B51,'Data qoq'!$A:$AT,MATCH($W$1,'Data qoq'!$A$1:$AT$1,),)</f>
        <v>-0.29499498200000002</v>
      </c>
      <c r="X51" s="25">
        <f>VLOOKUP(B51,'Data qoq'!$A:$AT,MATCH($X$1,'Data qoq'!$A$1:$AT$1,),)</f>
        <v>0.68762807699999995</v>
      </c>
      <c r="Y51" s="25">
        <f>VLOOKUP(B51,'Data qoq'!$A:$AT,MATCH($Y$1,'Data qoq'!$A$1:$AT$1,),)</f>
        <v>-0.422487636</v>
      </c>
      <c r="Z51" s="25">
        <f>VLOOKUP(B51,'Data qoq'!$A:$AU,MATCH($Z$1,'Data qoq'!$A$1:$AU$1,),)</f>
        <v>2.9865020019999999</v>
      </c>
      <c r="AA51" s="25">
        <f>VLOOKUP(B51,'Data qoq'!$A:$AU,MATCH($AA$1,'Data qoq'!$A$1:$AU$1,),)</f>
        <v>0.32926355400000001</v>
      </c>
      <c r="AC51" s="26" t="str">
        <f t="shared" si="8"/>
        <v>2010-Q1</v>
      </c>
      <c r="AD51" s="27">
        <f t="shared" si="9"/>
        <v>-0.30646194399999993</v>
      </c>
      <c r="AE51" s="27"/>
    </row>
    <row r="52" spans="2:31" hidden="1" x14ac:dyDescent="0.2">
      <c r="B52" s="24" t="s">
        <v>318</v>
      </c>
      <c r="C52" s="25">
        <f>VLOOKUP(B52,'Data qoq'!$A:$AT,MATCH($C$1,'Data qoq'!$A$1:$AT$1,),)</f>
        <v>0.96770463900000003</v>
      </c>
      <c r="D52" s="25">
        <f>VLOOKUP(B52,'Data qoq'!$A:$AT,MATCH($D$1,'Data qoq'!$A$1:$AT$1,),)</f>
        <v>0</v>
      </c>
      <c r="E52" s="25">
        <f>VLOOKUP(B52,'Data qoq'!$A:$AT,MATCH($E$1,'Data qoq'!$A$1:$AT$1,),)</f>
        <v>0.96386300000000003</v>
      </c>
      <c r="F52" s="25">
        <f>VLOOKUP(B52,'Data qoq'!$A:$AT,MATCH($F$1,'Data qoq'!$A$1:$AT$1,),)</f>
        <v>1.1767953760000001</v>
      </c>
      <c r="G52" s="25">
        <f>VLOOKUP(B52,'Data qoq'!$A:$AT,MATCH($G$1,'Data qoq'!$A$1:$AT$1,),)</f>
        <v>2.2410465359999998</v>
      </c>
      <c r="H52" s="25">
        <f>VLOOKUP(B52,'Data qoq'!$A:$AT,MATCH($H$1,'Data qoq'!$A$1:$AT$1,),)</f>
        <v>0.47943655200000002</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2.051119753</v>
      </c>
      <c r="M52" s="25">
        <f>VLOOKUP(B52,'Data qoq'!$A:$AT,MATCH($M$1,'Data qoq'!$A$1:$AT$1,),)</f>
        <v>1.1126299180000001</v>
      </c>
      <c r="N52" s="25">
        <f>VLOOKUP(B52,'Data qoq'!$A:$AT,MATCH($N$1,'Data qoq'!$A$1:$AT$1,),)</f>
        <v>0.95009906200000005</v>
      </c>
      <c r="O52" s="25">
        <f>VLOOKUP(B52,'Data qoq'!$A:$AT,MATCH($C$1,'Data qoq'!$J$1:$AT$1,),)</f>
        <v>0.70732602200000005</v>
      </c>
      <c r="P52" s="25">
        <f>VLOOKUP(B52,'Data qoq'!$A:$AT,MATCH($P$1,'Data qoq'!$A$1:$AT$1,),)</f>
        <v>0.523260909</v>
      </c>
      <c r="Q52" s="25">
        <f>VLOOKUP(B52,'Data qoq'!$A:$AT,MATCH($Q$1,'Data qoq'!$A$1:$AT$1,),)</f>
        <v>0.68013526300000005</v>
      </c>
      <c r="R52" s="25">
        <f>VLOOKUP(B52,'Data qoq'!$A:$AT,MATCH($E$1,'Data qoq'!$A$1:$AT$1,),)</f>
        <v>0.96386300000000003</v>
      </c>
      <c r="S52" s="25">
        <f>VLOOKUP(B52,'Data qoq'!$A:$AT,MATCH($S$1,'Data qoq'!$A$1:$AT$1,),)</f>
        <v>1.899801372</v>
      </c>
      <c r="T52" s="25">
        <f>VLOOKUP(B52,'Data qoq'!$A:$AT,MATCH($T$1,'Data qoq'!$A$1:$AT$1,),)</f>
        <v>0.98252285800000005</v>
      </c>
      <c r="U52" s="25">
        <f>VLOOKUP(B52,'Data qoq'!$A:$AT,MATCH($U$1,'Data qoq'!$A$1:$AT$1,),)</f>
        <v>-3.702650454</v>
      </c>
      <c r="V52" s="25">
        <f>VLOOKUP(B52,'Data qoq'!$A:$AT,MATCH($V$1,'Data qoq'!$A$1:$AT$1,),)</f>
        <v>7.7500506999999996E-2</v>
      </c>
      <c r="W52" s="25">
        <f>VLOOKUP(B52,'Data qoq'!$A:$AT,MATCH($W$1,'Data qoq'!$A$1:$AT$1,),)</f>
        <v>3.8007093269999999</v>
      </c>
      <c r="X52" s="25">
        <f>VLOOKUP(B52,'Data qoq'!$A:$AT,MATCH($X$1,'Data qoq'!$A$1:$AT$1,),)</f>
        <v>1.2204761239999999</v>
      </c>
      <c r="Y52" s="25">
        <f>VLOOKUP(B52,'Data qoq'!$A:$AT,MATCH($Y$1,'Data qoq'!$A$1:$AT$1,),)</f>
        <v>1.5260696010000001</v>
      </c>
      <c r="Z52" s="25">
        <f>VLOOKUP(B52,'Data qoq'!$A:$AU,MATCH($Z$1,'Data qoq'!$A$1:$AU$1,),)</f>
        <v>4.5536121520000004</v>
      </c>
      <c r="AA52" s="25">
        <f>VLOOKUP(B52,'Data qoq'!$A:$AU,MATCH($AA$1,'Data qoq'!$A$1:$AU$1,),)</f>
        <v>0.70732602200000005</v>
      </c>
      <c r="AC52" s="26" t="str">
        <f t="shared" si="8"/>
        <v>2010-Q2</v>
      </c>
      <c r="AD52" s="27">
        <f t="shared" si="9"/>
        <v>-1.2733418969999999</v>
      </c>
      <c r="AE52" s="27"/>
    </row>
    <row r="53" spans="2:31" hidden="1" x14ac:dyDescent="0.2">
      <c r="B53" s="24" t="s">
        <v>319</v>
      </c>
      <c r="C53" s="25">
        <f>VLOOKUP(B53,'Data qoq'!$A:$AT,MATCH($C$1,'Data qoq'!$A$1:$AT$1,),)</f>
        <v>0.77314415000000003</v>
      </c>
      <c r="D53" s="25">
        <f>VLOOKUP(B53,'Data qoq'!$A:$AT,MATCH($D$1,'Data qoq'!$A$1:$AT$1,),)</f>
        <v>0</v>
      </c>
      <c r="E53" s="25">
        <f>VLOOKUP(B53,'Data qoq'!$A:$AT,MATCH($E$1,'Data qoq'!$A$1:$AT$1,),)</f>
        <v>0.43575399999999997</v>
      </c>
      <c r="F53" s="25">
        <f>VLOOKUP(B53,'Data qoq'!$A:$AT,MATCH($F$1,'Data qoq'!$A$1:$AT$1,),)</f>
        <v>1.8015926440000001</v>
      </c>
      <c r="G53" s="25">
        <f>VLOOKUP(B53,'Data qoq'!$A:$AT,MATCH($G$1,'Data qoq'!$A$1:$AT$1,),)</f>
        <v>0.83969932899999999</v>
      </c>
      <c r="H53" s="25">
        <f>VLOOKUP(B53,'Data qoq'!$A:$AT,MATCH($H$1,'Data qoq'!$A$1:$AT$1,),)</f>
        <v>0.62586283700000001</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1.2169243030000001</v>
      </c>
      <c r="M53" s="25">
        <f>VLOOKUP(B53,'Data qoq'!$A:$AT,MATCH($M$1,'Data qoq'!$A$1:$AT$1,),)</f>
        <v>0.93521265499999995</v>
      </c>
      <c r="N53" s="25">
        <f>VLOOKUP(B53,'Data qoq'!$A:$AT,MATCH($N$1,'Data qoq'!$A$1:$AT$1,),)</f>
        <v>0.52351252500000001</v>
      </c>
      <c r="O53" s="25">
        <f>VLOOKUP(B53,'Data qoq'!$A:$AT,MATCH($C$1,'Data qoq'!$J$1:$AT$1,),)</f>
        <v>-0.248962656</v>
      </c>
      <c r="P53" s="25">
        <f>VLOOKUP(B53,'Data qoq'!$A:$AT,MATCH($P$1,'Data qoq'!$A$1:$AT$1,),)</f>
        <v>0.70869492199999995</v>
      </c>
      <c r="Q53" s="25">
        <f>VLOOKUP(B53,'Data qoq'!$A:$AT,MATCH($Q$1,'Data qoq'!$A$1:$AT$1,),)</f>
        <v>0.70513193399999996</v>
      </c>
      <c r="R53" s="25">
        <f>VLOOKUP(B53,'Data qoq'!$A:$AT,MATCH($E$1,'Data qoq'!$A$1:$AT$1,),)</f>
        <v>0.43575399999999997</v>
      </c>
      <c r="S53" s="25">
        <f>VLOOKUP(B53,'Data qoq'!$A:$AT,MATCH($S$1,'Data qoq'!$A$1:$AT$1,),)</f>
        <v>1.1552150800000001</v>
      </c>
      <c r="T53" s="25">
        <f>VLOOKUP(B53,'Data qoq'!$A:$AT,MATCH($T$1,'Data qoq'!$A$1:$AT$1,),)</f>
        <v>1.0261248030000001</v>
      </c>
      <c r="U53" s="25">
        <f>VLOOKUP(B53,'Data qoq'!$A:$AT,MATCH($U$1,'Data qoq'!$A$1:$AT$1,),)</f>
        <v>-3.30384104</v>
      </c>
      <c r="V53" s="25">
        <f>VLOOKUP(B53,'Data qoq'!$A:$AT,MATCH($V$1,'Data qoq'!$A$1:$AT$1,),)</f>
        <v>0.51578953100000002</v>
      </c>
      <c r="W53" s="25">
        <f>VLOOKUP(B53,'Data qoq'!$A:$AT,MATCH($W$1,'Data qoq'!$A$1:$AT$1,),)</f>
        <v>2.7707017839999999</v>
      </c>
      <c r="X53" s="25">
        <f>VLOOKUP(B53,'Data qoq'!$A:$AT,MATCH($X$1,'Data qoq'!$A$1:$AT$1,),)</f>
        <v>0.73307573999999998</v>
      </c>
      <c r="Y53" s="25">
        <f>VLOOKUP(B53,'Data qoq'!$A:$AT,MATCH($Y$1,'Data qoq'!$A$1:$AT$1,),)</f>
        <v>1.3185657150000001</v>
      </c>
      <c r="Z53" s="25">
        <f>VLOOKUP(B53,'Data qoq'!$A:$AU,MATCH($Z$1,'Data qoq'!$A$1:$AU$1,),)</f>
        <v>0.53789519799999996</v>
      </c>
      <c r="AA53" s="25">
        <f>VLOOKUP(B53,'Data qoq'!$A:$AU,MATCH($AA$1,'Data qoq'!$A$1:$AU$1,),)</f>
        <v>-0.248962656</v>
      </c>
      <c r="AC53" s="26" t="str">
        <f t="shared" si="8"/>
        <v>2010-Q3</v>
      </c>
      <c r="AD53" s="27">
        <f t="shared" si="9"/>
        <v>-6.6555178999999964E-2</v>
      </c>
      <c r="AE53" s="27"/>
    </row>
    <row r="54" spans="2:31" hidden="1" x14ac:dyDescent="0.2">
      <c r="B54" s="24" t="s">
        <v>320</v>
      </c>
      <c r="C54" s="25">
        <f>VLOOKUP(B54,'Data qoq'!$A:$AT,MATCH($C$1,'Data qoq'!$A$1:$AT$1,),)</f>
        <v>0.51959515899999997</v>
      </c>
      <c r="D54" s="25">
        <f>VLOOKUP(B54,'Data qoq'!$A:$AT,MATCH($D$1,'Data qoq'!$A$1:$AT$1,),)</f>
        <v>0</v>
      </c>
      <c r="E54" s="25">
        <f>VLOOKUP(B54,'Data qoq'!$A:$AT,MATCH($E$1,'Data qoq'!$A$1:$AT$1,),)</f>
        <v>0.61914400000000003</v>
      </c>
      <c r="F54" s="25">
        <f>VLOOKUP(B54,'Data qoq'!$A:$AT,MATCH($F$1,'Data qoq'!$A$1:$AT$1,),)</f>
        <v>-0.79528314300000003</v>
      </c>
      <c r="G54" s="25">
        <f>VLOOKUP(B54,'Data qoq'!$A:$AT,MATCH($G$1,'Data qoq'!$A$1:$AT$1,),)</f>
        <v>0.811076295</v>
      </c>
      <c r="H54" s="25">
        <f>VLOOKUP(B54,'Data qoq'!$A:$AT,MATCH($H$1,'Data qoq'!$A$1:$AT$1,),)</f>
        <v>0.68785174800000004</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1.6195138090000001</v>
      </c>
      <c r="M54" s="25">
        <f>VLOOKUP(B54,'Data qoq'!$A:$AT,MATCH($M$1,'Data qoq'!$A$1:$AT$1,),)</f>
        <v>0.77308699999999997</v>
      </c>
      <c r="N54" s="25">
        <f>VLOOKUP(B54,'Data qoq'!$A:$AT,MATCH($N$1,'Data qoq'!$A$1:$AT$1,),)</f>
        <v>1.25698003</v>
      </c>
      <c r="O54" s="25">
        <f>VLOOKUP(B54,'Data qoq'!$A:$AT,MATCH($C$1,'Data qoq'!$J$1:$AT$1,),)</f>
        <v>-0.51945943800000005</v>
      </c>
      <c r="P54" s="25">
        <f>VLOOKUP(B54,'Data qoq'!$A:$AT,MATCH($P$1,'Data qoq'!$A$1:$AT$1,),)</f>
        <v>1.1175051540000001</v>
      </c>
      <c r="Q54" s="25">
        <f>VLOOKUP(B54,'Data qoq'!$A:$AT,MATCH($Q$1,'Data qoq'!$A$1:$AT$1,),)</f>
        <v>0.87599673499999997</v>
      </c>
      <c r="R54" s="25">
        <f>VLOOKUP(B54,'Data qoq'!$A:$AT,MATCH($E$1,'Data qoq'!$A$1:$AT$1,),)</f>
        <v>0.61914400000000003</v>
      </c>
      <c r="S54" s="25">
        <f>VLOOKUP(B54,'Data qoq'!$A:$AT,MATCH($S$1,'Data qoq'!$A$1:$AT$1,),)</f>
        <v>1.2193187110000001</v>
      </c>
      <c r="T54" s="25">
        <f>VLOOKUP(B54,'Data qoq'!$A:$AT,MATCH($T$1,'Data qoq'!$A$1:$AT$1,),)</f>
        <v>1.3765226669999999</v>
      </c>
      <c r="U54" s="25">
        <f>VLOOKUP(B54,'Data qoq'!$A:$AT,MATCH($U$1,'Data qoq'!$A$1:$AT$1,),)</f>
        <v>-0.76501911499999997</v>
      </c>
      <c r="V54" s="25">
        <f>VLOOKUP(B54,'Data qoq'!$A:$AT,MATCH($V$1,'Data qoq'!$A$1:$AT$1,),)</f>
        <v>-0.59211356699999995</v>
      </c>
      <c r="W54" s="25">
        <f>VLOOKUP(B54,'Data qoq'!$A:$AT,MATCH($W$1,'Data qoq'!$A$1:$AT$1,),)</f>
        <v>3.0231894029999999</v>
      </c>
      <c r="X54" s="25">
        <f>VLOOKUP(B54,'Data qoq'!$A:$AT,MATCH($X$1,'Data qoq'!$A$1:$AT$1,),)</f>
        <v>0.448272634</v>
      </c>
      <c r="Y54" s="25">
        <f>VLOOKUP(B54,'Data qoq'!$A:$AT,MATCH($Y$1,'Data qoq'!$A$1:$AT$1,),)</f>
        <v>0.97761131700000004</v>
      </c>
      <c r="Z54" s="25">
        <f>VLOOKUP(B54,'Data qoq'!$A:$AU,MATCH($Z$1,'Data qoq'!$A$1:$AU$1,),)</f>
        <v>1.3420216739999999</v>
      </c>
      <c r="AA54" s="25">
        <f>VLOOKUP(B54,'Data qoq'!$A:$AU,MATCH($AA$1,'Data qoq'!$A$1:$AU$1,),)</f>
        <v>-0.51945943800000005</v>
      </c>
      <c r="AC54" s="26" t="str">
        <f t="shared" si="8"/>
        <v>2010-Q4</v>
      </c>
      <c r="AD54" s="27">
        <f t="shared" si="9"/>
        <v>-0.29148113600000003</v>
      </c>
      <c r="AE54" s="27"/>
    </row>
    <row r="55" spans="2:31" hidden="1" x14ac:dyDescent="0.2">
      <c r="B55" s="24" t="s">
        <v>321</v>
      </c>
      <c r="C55" s="25">
        <f>VLOOKUP(B55,'Data qoq'!$A:$AT,MATCH($C$1,'Data qoq'!$A$1:$AT$1,),)</f>
        <v>-0.24091606800000001</v>
      </c>
      <c r="D55" s="25">
        <f>VLOOKUP(B55,'Data qoq'!$A:$AT,MATCH($D$1,'Data qoq'!$A$1:$AT$1,),)</f>
        <v>2.5</v>
      </c>
      <c r="E55" s="25">
        <f>VLOOKUP(B55,'Data qoq'!$A:$AT,MATCH($E$1,'Data qoq'!$A$1:$AT$1,),)</f>
        <v>0.85531100000000004</v>
      </c>
      <c r="F55" s="25">
        <f>VLOOKUP(B55,'Data qoq'!$A:$AT,MATCH($F$1,'Data qoq'!$A$1:$AT$1,),)</f>
        <v>-1.0446827729999999</v>
      </c>
      <c r="G55" s="25">
        <f>VLOOKUP(B55,'Data qoq'!$A:$AT,MATCH($G$1,'Data qoq'!$A$1:$AT$1,),)</f>
        <v>1.9310182810000001</v>
      </c>
      <c r="H55" s="25">
        <f>VLOOKUP(B55,'Data qoq'!$A:$AT,MATCH($H$1,'Data qoq'!$A$1:$AT$1,),)</f>
        <v>1.033483927</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0.35966363400000001</v>
      </c>
      <c r="M55" s="25">
        <f>VLOOKUP(B55,'Data qoq'!$A:$AT,MATCH($M$1,'Data qoq'!$A$1:$AT$1,),)</f>
        <v>0.75796008500000001</v>
      </c>
      <c r="N55" s="25">
        <f>VLOOKUP(B55,'Data qoq'!$A:$AT,MATCH($N$1,'Data qoq'!$A$1:$AT$1,),)</f>
        <v>1.155158313</v>
      </c>
      <c r="O55" s="25">
        <f>VLOOKUP(B55,'Data qoq'!$A:$AT,MATCH($C$1,'Data qoq'!$J$1:$AT$1,),)</f>
        <v>1.0912577000000001</v>
      </c>
      <c r="P55" s="25">
        <f>VLOOKUP(B55,'Data qoq'!$A:$AT,MATCH($P$1,'Data qoq'!$A$1:$AT$1,),)</f>
        <v>0.75534704399999997</v>
      </c>
      <c r="Q55" s="25">
        <f>VLOOKUP(B55,'Data qoq'!$A:$AT,MATCH($Q$1,'Data qoq'!$A$1:$AT$1,),)</f>
        <v>-0.29950480899999998</v>
      </c>
      <c r="R55" s="25">
        <f>VLOOKUP(B55,'Data qoq'!$A:$AT,MATCH($E$1,'Data qoq'!$A$1:$AT$1,),)</f>
        <v>0.85531100000000004</v>
      </c>
      <c r="S55" s="25">
        <f>VLOOKUP(B55,'Data qoq'!$A:$AT,MATCH($S$1,'Data qoq'!$A$1:$AT$1,),)</f>
        <v>0.933130719</v>
      </c>
      <c r="T55" s="25">
        <f>VLOOKUP(B55,'Data qoq'!$A:$AT,MATCH($T$1,'Data qoq'!$A$1:$AT$1,),)</f>
        <v>1.4128943430000001</v>
      </c>
      <c r="U55" s="25">
        <f>VLOOKUP(B55,'Data qoq'!$A:$AT,MATCH($U$1,'Data qoq'!$A$1:$AT$1,),)</f>
        <v>-3.8759906019999999</v>
      </c>
      <c r="V55" s="25">
        <f>VLOOKUP(B55,'Data qoq'!$A:$AT,MATCH($V$1,'Data qoq'!$A$1:$AT$1,),)</f>
        <v>0.80652812500000004</v>
      </c>
      <c r="W55" s="25">
        <f>VLOOKUP(B55,'Data qoq'!$A:$AT,MATCH($W$1,'Data qoq'!$A$1:$AT$1,),)</f>
        <v>2.2538581770000001</v>
      </c>
      <c r="X55" s="25">
        <f>VLOOKUP(B55,'Data qoq'!$A:$AT,MATCH($X$1,'Data qoq'!$A$1:$AT$1,),)</f>
        <v>0.57303278599999996</v>
      </c>
      <c r="Y55" s="25">
        <f>VLOOKUP(B55,'Data qoq'!$A:$AT,MATCH($Y$1,'Data qoq'!$A$1:$AT$1,),)</f>
        <v>1.1280214770000001</v>
      </c>
      <c r="Z55" s="25">
        <f>VLOOKUP(B55,'Data qoq'!$A:$AU,MATCH($Z$1,'Data qoq'!$A$1:$AU$1,),)</f>
        <v>2.3647354749999998</v>
      </c>
      <c r="AA55" s="25">
        <f>VLOOKUP(B55,'Data qoq'!$A:$AU,MATCH($AA$1,'Data qoq'!$A$1:$AU$1,),)</f>
        <v>1.0912577000000001</v>
      </c>
      <c r="AC55" s="26" t="str">
        <f t="shared" si="8"/>
        <v>2011-Q1</v>
      </c>
      <c r="AD55" s="27">
        <f t="shared" si="9"/>
        <v>-2.1719343490000003</v>
      </c>
      <c r="AE55" s="27"/>
    </row>
    <row r="56" spans="2:31" hidden="1" x14ac:dyDescent="0.2">
      <c r="B56" s="24" t="s">
        <v>322</v>
      </c>
      <c r="C56" s="25">
        <f>VLOOKUP(B56,'Data qoq'!$A:$AT,MATCH($C$1,'Data qoq'!$A$1:$AT$1,),)</f>
        <v>0.67805075100000001</v>
      </c>
      <c r="D56" s="25">
        <f>VLOOKUP(B56,'Data qoq'!$A:$AT,MATCH($D$1,'Data qoq'!$A$1:$AT$1,),)</f>
        <v>2.2000000000000002</v>
      </c>
      <c r="E56" s="25">
        <f>VLOOKUP(B56,'Data qoq'!$A:$AT,MATCH($E$1,'Data qoq'!$A$1:$AT$1,),)</f>
        <v>-2.5151E-2</v>
      </c>
      <c r="F56" s="25">
        <f>VLOOKUP(B56,'Data qoq'!$A:$AT,MATCH($F$1,'Data qoq'!$A$1:$AT$1,),)</f>
        <v>-0.87948100600000001</v>
      </c>
      <c r="G56" s="25">
        <f>VLOOKUP(B56,'Data qoq'!$A:$AT,MATCH($G$1,'Data qoq'!$A$1:$AT$1,),)</f>
        <v>8.4194172999999997E-2</v>
      </c>
      <c r="H56" s="25">
        <f>VLOOKUP(B56,'Data qoq'!$A:$AT,MATCH($H$1,'Data qoq'!$A$1:$AT$1,),)</f>
        <v>-9.8948601999999997E-2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0.31888215600000003</v>
      </c>
      <c r="M56" s="25">
        <f>VLOOKUP(B56,'Data qoq'!$A:$AT,MATCH($M$1,'Data qoq'!$A$1:$AT$1,),)</f>
        <v>0.54111167599999999</v>
      </c>
      <c r="N56" s="25">
        <f>VLOOKUP(B56,'Data qoq'!$A:$AT,MATCH($N$1,'Data qoq'!$A$1:$AT$1,),)</f>
        <v>0.94769094300000001</v>
      </c>
      <c r="O56" s="25">
        <f>VLOOKUP(B56,'Data qoq'!$A:$AT,MATCH($C$1,'Data qoq'!$J$1:$AT$1,),)</f>
        <v>0.50644660100000005</v>
      </c>
      <c r="P56" s="25">
        <f>VLOOKUP(B56,'Data qoq'!$A:$AT,MATCH($P$1,'Data qoq'!$A$1:$AT$1,),)</f>
        <v>0.19480650999999999</v>
      </c>
      <c r="Q56" s="25">
        <f>VLOOKUP(B56,'Data qoq'!$A:$AT,MATCH($Q$1,'Data qoq'!$A$1:$AT$1,),)</f>
        <v>1.2975078659999999</v>
      </c>
      <c r="R56" s="25">
        <f>VLOOKUP(B56,'Data qoq'!$A:$AT,MATCH($E$1,'Data qoq'!$A$1:$AT$1,),)</f>
        <v>-2.5151E-2</v>
      </c>
      <c r="S56" s="25">
        <f>VLOOKUP(B56,'Data qoq'!$A:$AT,MATCH($S$1,'Data qoq'!$A$1:$AT$1,),)</f>
        <v>0.49079106099999997</v>
      </c>
      <c r="T56" s="25">
        <f>VLOOKUP(B56,'Data qoq'!$A:$AT,MATCH($T$1,'Data qoq'!$A$1:$AT$1,),)</f>
        <v>0.98293584000000001</v>
      </c>
      <c r="U56" s="25">
        <f>VLOOKUP(B56,'Data qoq'!$A:$AT,MATCH($U$1,'Data qoq'!$A$1:$AT$1,),)</f>
        <v>-1.7832413119999999</v>
      </c>
      <c r="V56" s="25">
        <f>VLOOKUP(B56,'Data qoq'!$A:$AT,MATCH($V$1,'Data qoq'!$A$1:$AT$1,),)</f>
        <v>1.512498109</v>
      </c>
      <c r="W56" s="25">
        <f>VLOOKUP(B56,'Data qoq'!$A:$AT,MATCH($W$1,'Data qoq'!$A$1:$AT$1,),)</f>
        <v>2.7476908170000001</v>
      </c>
      <c r="X56" s="25">
        <f>VLOOKUP(B56,'Data qoq'!$A:$AT,MATCH($X$1,'Data qoq'!$A$1:$AT$1,),)</f>
        <v>0.31880308000000002</v>
      </c>
      <c r="Y56" s="25">
        <f>VLOOKUP(B56,'Data qoq'!$A:$AT,MATCH($Y$1,'Data qoq'!$A$1:$AT$1,),)</f>
        <v>1.335067633</v>
      </c>
      <c r="Z56" s="25">
        <f>VLOOKUP(B56,'Data qoq'!$A:$AU,MATCH($Z$1,'Data qoq'!$A$1:$AU$1,),)</f>
        <v>0.95778764900000002</v>
      </c>
      <c r="AA56" s="25">
        <f>VLOOKUP(B56,'Data qoq'!$A:$AU,MATCH($AA$1,'Data qoq'!$A$1:$AU$1,),)</f>
        <v>0.50644660100000005</v>
      </c>
      <c r="AC56" s="26" t="str">
        <f t="shared" si="8"/>
        <v>2011-Q2</v>
      </c>
      <c r="AD56" s="27">
        <f t="shared" si="9"/>
        <v>0.59385657800000002</v>
      </c>
      <c r="AE56" s="27"/>
    </row>
    <row r="57" spans="2:31" hidden="1" x14ac:dyDescent="0.2">
      <c r="B57" s="24" t="s">
        <v>323</v>
      </c>
      <c r="C57" s="25">
        <f>VLOOKUP(B57,'Data qoq'!$A:$AT,MATCH($C$1,'Data qoq'!$A$1:$AT$1,),)</f>
        <v>-3.8767163E-2</v>
      </c>
      <c r="D57" s="25">
        <f>VLOOKUP(B57,'Data qoq'!$A:$AT,MATCH($D$1,'Data qoq'!$A$1:$AT$1,),)</f>
        <v>1.9</v>
      </c>
      <c r="E57" s="25">
        <f>VLOOKUP(B57,'Data qoq'!$A:$AT,MATCH($E$1,'Data qoq'!$A$1:$AT$1,),)</f>
        <v>0.14583599999999999</v>
      </c>
      <c r="F57" s="25">
        <f>VLOOKUP(B57,'Data qoq'!$A:$AT,MATCH($F$1,'Data qoq'!$A$1:$AT$1,),)</f>
        <v>2.4180933800000002</v>
      </c>
      <c r="G57" s="25">
        <f>VLOOKUP(B57,'Data qoq'!$A:$AT,MATCH($G$1,'Data qoq'!$A$1:$AT$1,),)</f>
        <v>0.89379265900000004</v>
      </c>
      <c r="H57" s="25">
        <f>VLOOKUP(B57,'Data qoq'!$A:$AT,MATCH($H$1,'Data qoq'!$A$1:$AT$1,),)</f>
        <v>0.475184041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1.30693108</v>
      </c>
      <c r="M57" s="25">
        <f>VLOOKUP(B57,'Data qoq'!$A:$AT,MATCH($M$1,'Data qoq'!$A$1:$AT$1,),)</f>
        <v>1.9395699500000001</v>
      </c>
      <c r="N57" s="25">
        <f>VLOOKUP(B57,'Data qoq'!$A:$AT,MATCH($N$1,'Data qoq'!$A$1:$AT$1,),)</f>
        <v>1.151337174</v>
      </c>
      <c r="O57" s="25">
        <f>VLOOKUP(B57,'Data qoq'!$A:$AT,MATCH($C$1,'Data qoq'!$J$1:$AT$1,),)</f>
        <v>1.02987232</v>
      </c>
      <c r="P57" s="25">
        <f>VLOOKUP(B57,'Data qoq'!$A:$AT,MATCH($P$1,'Data qoq'!$A$1:$AT$1,),)</f>
        <v>1.3796395619999999</v>
      </c>
      <c r="Q57" s="25">
        <f>VLOOKUP(B57,'Data qoq'!$A:$AT,MATCH($Q$1,'Data qoq'!$A$1:$AT$1,),)</f>
        <v>1.3558285839999999</v>
      </c>
      <c r="R57" s="25">
        <f>VLOOKUP(B57,'Data qoq'!$A:$AT,MATCH($E$1,'Data qoq'!$A$1:$AT$1,),)</f>
        <v>0.14583599999999999</v>
      </c>
      <c r="S57" s="25">
        <f>VLOOKUP(B57,'Data qoq'!$A:$AT,MATCH($S$1,'Data qoq'!$A$1:$AT$1,),)</f>
        <v>0.52632363800000004</v>
      </c>
      <c r="T57" s="25">
        <f>VLOOKUP(B57,'Data qoq'!$A:$AT,MATCH($T$1,'Data qoq'!$A$1:$AT$1,),)</f>
        <v>-0.21075026299999999</v>
      </c>
      <c r="U57" s="25">
        <f>VLOOKUP(B57,'Data qoq'!$A:$AT,MATCH($U$1,'Data qoq'!$A$1:$AT$1,),)</f>
        <v>-2.0279300419999999</v>
      </c>
      <c r="V57" s="25">
        <f>VLOOKUP(B57,'Data qoq'!$A:$AT,MATCH($V$1,'Data qoq'!$A$1:$AT$1,),)</f>
        <v>-1.744654691</v>
      </c>
      <c r="W57" s="25">
        <f>VLOOKUP(B57,'Data qoq'!$A:$AT,MATCH($W$1,'Data qoq'!$A$1:$AT$1,),)</f>
        <v>2.6588431219999999</v>
      </c>
      <c r="X57" s="25">
        <f>VLOOKUP(B57,'Data qoq'!$A:$AT,MATCH($X$1,'Data qoq'!$A$1:$AT$1,),)</f>
        <v>-0.18540826799999999</v>
      </c>
      <c r="Y57" s="25">
        <f>VLOOKUP(B57,'Data qoq'!$A:$AT,MATCH($Y$1,'Data qoq'!$A$1:$AT$1,),)</f>
        <v>1.2881018980000001</v>
      </c>
      <c r="Z57" s="25">
        <f>VLOOKUP(B57,'Data qoq'!$A:$AU,MATCH($Z$1,'Data qoq'!$A$1:$AU$1,),)</f>
        <v>0.81268899800000005</v>
      </c>
      <c r="AA57" s="25">
        <f>VLOOKUP(B57,'Data qoq'!$A:$AU,MATCH($AA$1,'Data qoq'!$A$1:$AU$1,),)</f>
        <v>1.02987232</v>
      </c>
      <c r="AC57" s="26" t="str">
        <f t="shared" si="8"/>
        <v>2011-Q3</v>
      </c>
      <c r="AD57" s="27">
        <f t="shared" si="9"/>
        <v>-0.93255982200000009</v>
      </c>
      <c r="AE57" s="27"/>
    </row>
    <row r="58" spans="2:31" hidden="1" x14ac:dyDescent="0.2">
      <c r="B58" s="24" t="s">
        <v>324</v>
      </c>
      <c r="C58" s="25">
        <f>VLOOKUP(B58,'Data qoq'!$A:$AT,MATCH($C$1,'Data qoq'!$A$1:$AT$1,),)</f>
        <v>1.121678183</v>
      </c>
      <c r="D58" s="25">
        <f>VLOOKUP(B58,'Data qoq'!$A:$AT,MATCH($D$1,'Data qoq'!$A$1:$AT$1,),)</f>
        <v>1.5</v>
      </c>
      <c r="E58" s="25">
        <f>VLOOKUP(B58,'Data qoq'!$A:$AT,MATCH($E$1,'Data qoq'!$A$1:$AT$1,),)</f>
        <v>-0.41053000000000001</v>
      </c>
      <c r="F58" s="25">
        <f>VLOOKUP(B58,'Data qoq'!$A:$AT,MATCH($F$1,'Data qoq'!$A$1:$AT$1,),)</f>
        <v>-0.12879743699999999</v>
      </c>
      <c r="G58" s="25">
        <f>VLOOKUP(B58,'Data qoq'!$A:$AT,MATCH($G$1,'Data qoq'!$A$1:$AT$1,),)</f>
        <v>-0.312652447</v>
      </c>
      <c r="H58" s="25">
        <f>VLOOKUP(B58,'Data qoq'!$A:$AT,MATCH($H$1,'Data qoq'!$A$1:$AT$1,),)</f>
        <v>0.19993934199999999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-1.394630772</v>
      </c>
      <c r="M58" s="25">
        <f>VLOOKUP(B58,'Data qoq'!$A:$AT,MATCH($M$1,'Data qoq'!$A$1:$AT$1,),)</f>
        <v>0.65553273899999998</v>
      </c>
      <c r="N58" s="25">
        <f>VLOOKUP(B58,'Data qoq'!$A:$AT,MATCH($N$1,'Data qoq'!$A$1:$AT$1,),)</f>
        <v>1.2076822229999999</v>
      </c>
      <c r="O58" s="25">
        <f>VLOOKUP(B58,'Data qoq'!$A:$AT,MATCH($C$1,'Data qoq'!$J$1:$AT$1,),)</f>
        <v>0.57426726299999997</v>
      </c>
      <c r="P58" s="25">
        <f>VLOOKUP(B58,'Data qoq'!$A:$AT,MATCH($P$1,'Data qoq'!$A$1:$AT$1,),)</f>
        <v>0.78751324</v>
      </c>
      <c r="Q58" s="25">
        <f>VLOOKUP(B58,'Data qoq'!$A:$AT,MATCH($Q$1,'Data qoq'!$A$1:$AT$1,),)</f>
        <v>1.075017755</v>
      </c>
      <c r="R58" s="25">
        <f>VLOOKUP(B58,'Data qoq'!$A:$AT,MATCH($E$1,'Data qoq'!$A$1:$AT$1,),)</f>
        <v>-0.41053000000000001</v>
      </c>
      <c r="S58" s="25">
        <f>VLOOKUP(B58,'Data qoq'!$A:$AT,MATCH($S$1,'Data qoq'!$A$1:$AT$1,),)</f>
        <v>0.47229806800000002</v>
      </c>
      <c r="T58" s="25">
        <f>VLOOKUP(B58,'Data qoq'!$A:$AT,MATCH($T$1,'Data qoq'!$A$1:$AT$1,),)</f>
        <v>0.81325533900000002</v>
      </c>
      <c r="U58" s="25">
        <f>VLOOKUP(B58,'Data qoq'!$A:$AT,MATCH($U$1,'Data qoq'!$A$1:$AT$1,),)</f>
        <v>-4.4891485470000001</v>
      </c>
      <c r="V58" s="25">
        <f>VLOOKUP(B58,'Data qoq'!$A:$AT,MATCH($V$1,'Data qoq'!$A$1:$AT$1,),)</f>
        <v>5.1046836999999998E-2</v>
      </c>
      <c r="W58" s="25">
        <f>VLOOKUP(B58,'Data qoq'!$A:$AT,MATCH($W$1,'Data qoq'!$A$1:$AT$1,),)</f>
        <v>1.357311969</v>
      </c>
      <c r="X58" s="25">
        <f>VLOOKUP(B58,'Data qoq'!$A:$AT,MATCH($X$1,'Data qoq'!$A$1:$AT$1,),)</f>
        <v>0.103381032</v>
      </c>
      <c r="Y58" s="25">
        <f>VLOOKUP(B58,'Data qoq'!$A:$AT,MATCH($Y$1,'Data qoq'!$A$1:$AT$1,),)</f>
        <v>0.63377834499999997</v>
      </c>
      <c r="Z58" s="25">
        <f>VLOOKUP(B58,'Data qoq'!$A:$AU,MATCH($Z$1,'Data qoq'!$A$1:$AU$1,),)</f>
        <v>7.1034263E-2</v>
      </c>
      <c r="AA58" s="25">
        <f>VLOOKUP(B58,'Data qoq'!$A:$AU,MATCH($AA$1,'Data qoq'!$A$1:$AU$1,),)</f>
        <v>0.57426726299999997</v>
      </c>
      <c r="AC58" s="26" t="str">
        <f t="shared" si="8"/>
        <v>2011-Q4</v>
      </c>
      <c r="AD58" s="27">
        <f t="shared" si="9"/>
        <v>1.4343306300000001</v>
      </c>
      <c r="AE58" s="27"/>
    </row>
    <row r="59" spans="2:31" hidden="1" x14ac:dyDescent="0.2">
      <c r="B59" s="24" t="s">
        <v>325</v>
      </c>
      <c r="C59" s="25">
        <f>VLOOKUP(B59,'Data qoq'!$A:$AT,MATCH($C$1,'Data qoq'!$A$1:$AT$1,),)</f>
        <v>0.81792284500000001</v>
      </c>
      <c r="D59" s="25">
        <f>VLOOKUP(B59,'Data qoq'!$A:$AT,MATCH($D$1,'Data qoq'!$A$1:$AT$1,),)</f>
        <v>1.7</v>
      </c>
      <c r="E59" s="25">
        <f>VLOOKUP(B59,'Data qoq'!$A:$AT,MATCH($E$1,'Data qoq'!$A$1:$AT$1,),)</f>
        <v>-0.216111</v>
      </c>
      <c r="F59" s="25">
        <f>VLOOKUP(B59,'Data qoq'!$A:$AT,MATCH($F$1,'Data qoq'!$A$1:$AT$1,),)</f>
        <v>1.3966943270000001</v>
      </c>
      <c r="G59" s="25">
        <f>VLOOKUP(B59,'Data qoq'!$A:$AT,MATCH($G$1,'Data qoq'!$A$1:$AT$1,),)</f>
        <v>0.21171714999999999</v>
      </c>
      <c r="H59" s="25">
        <f>VLOOKUP(B59,'Data qoq'!$A:$AT,MATCH($H$1,'Data qoq'!$A$1:$AT$1,),)</f>
        <v>3.297017E-2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0.175515694</v>
      </c>
      <c r="M59" s="25">
        <f>VLOOKUP(B59,'Data qoq'!$A:$AT,MATCH($M$1,'Data qoq'!$A$1:$AT$1,),)</f>
        <v>0.65399905300000005</v>
      </c>
      <c r="N59" s="25">
        <f>VLOOKUP(B59,'Data qoq'!$A:$AT,MATCH($N$1,'Data qoq'!$A$1:$AT$1,),)</f>
        <v>1.570296481</v>
      </c>
      <c r="O59" s="25">
        <f>VLOOKUP(B59,'Data qoq'!$A:$AT,MATCH($C$1,'Data qoq'!$J$1:$AT$1,),)</f>
        <v>0.61643023699999999</v>
      </c>
      <c r="P59" s="25">
        <f>VLOOKUP(B59,'Data qoq'!$A:$AT,MATCH($P$1,'Data qoq'!$A$1:$AT$1,),)</f>
        <v>6.4087343000000005E-2</v>
      </c>
      <c r="Q59" s="25">
        <f>VLOOKUP(B59,'Data qoq'!$A:$AT,MATCH($Q$1,'Data qoq'!$A$1:$AT$1,),)</f>
        <v>0.94399099099999995</v>
      </c>
      <c r="R59" s="25">
        <f>VLOOKUP(B59,'Data qoq'!$A:$AT,MATCH($E$1,'Data qoq'!$A$1:$AT$1,),)</f>
        <v>-0.216111</v>
      </c>
      <c r="S59" s="25">
        <f>VLOOKUP(B59,'Data qoq'!$A:$AT,MATCH($S$1,'Data qoq'!$A$1:$AT$1,),)</f>
        <v>0.86566595300000004</v>
      </c>
      <c r="T59" s="25">
        <f>VLOOKUP(B59,'Data qoq'!$A:$AT,MATCH($T$1,'Data qoq'!$A$1:$AT$1,),)</f>
        <v>-1.285780607</v>
      </c>
      <c r="U59" s="25">
        <f>VLOOKUP(B59,'Data qoq'!$A:$AT,MATCH($U$1,'Data qoq'!$A$1:$AT$1,),)</f>
        <v>-0.28880597299999999</v>
      </c>
      <c r="V59" s="25">
        <f>VLOOKUP(B59,'Data qoq'!$A:$AT,MATCH($V$1,'Data qoq'!$A$1:$AT$1,),)</f>
        <v>-0.53306370000000003</v>
      </c>
      <c r="W59" s="25">
        <f>VLOOKUP(B59,'Data qoq'!$A:$AT,MATCH($W$1,'Data qoq'!$A$1:$AT$1,),)</f>
        <v>-0.88977375700000005</v>
      </c>
      <c r="X59" s="25">
        <f>VLOOKUP(B59,'Data qoq'!$A:$AT,MATCH($X$1,'Data qoq'!$A$1:$AT$1,),)</f>
        <v>-0.169658261</v>
      </c>
      <c r="Y59" s="25">
        <f>VLOOKUP(B59,'Data qoq'!$A:$AT,MATCH($Y$1,'Data qoq'!$A$1:$AT$1,),)</f>
        <v>6.9013764000000005E-2</v>
      </c>
      <c r="Z59" s="25">
        <f>VLOOKUP(B59,'Data qoq'!$A:$AU,MATCH($Z$1,'Data qoq'!$A$1:$AU$1,),)</f>
        <v>-1.1060402869999999</v>
      </c>
      <c r="AA59" s="25">
        <f>VLOOKUP(B59,'Data qoq'!$A:$AU,MATCH($AA$1,'Data qoq'!$A$1:$AU$1,),)</f>
        <v>0.61643023699999999</v>
      </c>
      <c r="AC59" s="26" t="str">
        <f t="shared" si="8"/>
        <v>2012-Q1</v>
      </c>
      <c r="AD59" s="27">
        <f t="shared" si="9"/>
        <v>0.60620569499999999</v>
      </c>
      <c r="AE59" s="27"/>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-0.26640799999999998</v>
      </c>
      <c r="F60" s="25">
        <f>VLOOKUP(B60,'Data qoq'!$A:$AT,MATCH($F$1,'Data qoq'!$A$1:$AT$1,),)</f>
        <v>-0.91585443799999999</v>
      </c>
      <c r="G60" s="25">
        <f>VLOOKUP(B60,'Data qoq'!$A:$AT,MATCH($G$1,'Data qoq'!$A$1:$AT$1,),)</f>
        <v>0.18778914499999999</v>
      </c>
      <c r="H60" s="25">
        <f>VLOOKUP(B60,'Data qoq'!$A:$AT,MATCH($H$1,'Data qoq'!$A$1:$AT$1,),)</f>
        <v>-0.161887788</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0.14838969199999999</v>
      </c>
      <c r="M60" s="25">
        <f>VLOOKUP(B60,'Data qoq'!$A:$AT,MATCH($M$1,'Data qoq'!$A$1:$AT$1,),)</f>
        <v>0.87019182699999997</v>
      </c>
      <c r="N60" s="25">
        <f>VLOOKUP(B60,'Data qoq'!$A:$AT,MATCH($N$1,'Data qoq'!$A$1:$AT$1,),)</f>
        <v>0.38707392299999999</v>
      </c>
      <c r="O60" s="25">
        <f>VLOOKUP(B60,'Data qoq'!$A:$AT,MATCH($C$1,'Data qoq'!$J$1:$AT$1,),)</f>
        <v>0.33774496300000001</v>
      </c>
      <c r="P60" s="25">
        <f>VLOOKUP(B60,'Data qoq'!$A:$AT,MATCH($P$1,'Data qoq'!$A$1:$AT$1,),)</f>
        <v>0.32616373700000001</v>
      </c>
      <c r="Q60" s="25">
        <f>VLOOKUP(B60,'Data qoq'!$A:$AT,MATCH($Q$1,'Data qoq'!$A$1:$AT$1,),)</f>
        <v>0.74732001699999995</v>
      </c>
      <c r="R60" s="25">
        <f>VLOOKUP(B60,'Data qoq'!$A:$AT,MATCH($E$1,'Data qoq'!$A$1:$AT$1,),)</f>
        <v>-0.26640799999999998</v>
      </c>
      <c r="S60" s="25">
        <f>VLOOKUP(B60,'Data qoq'!$A:$AT,MATCH($S$1,'Data qoq'!$A$1:$AT$1,),)</f>
        <v>0.56597461800000004</v>
      </c>
      <c r="T60" s="25">
        <f>VLOOKUP(B60,'Data qoq'!$A:$AT,MATCH($T$1,'Data qoq'!$A$1:$AT$1,),)</f>
        <v>1.7208860779999999</v>
      </c>
      <c r="U60" s="25">
        <f>VLOOKUP(B60,'Data qoq'!$A:$AT,MATCH($U$1,'Data qoq'!$A$1:$AT$1,),)</f>
        <v>-1.742633571</v>
      </c>
      <c r="V60" s="25">
        <f>VLOOKUP(B60,'Data qoq'!$A:$AT,MATCH($V$1,'Data qoq'!$A$1:$AT$1,),)</f>
        <v>2.1394067200000002</v>
      </c>
      <c r="W60" s="25">
        <f>VLOOKUP(B60,'Data qoq'!$A:$AT,MATCH($W$1,'Data qoq'!$A$1:$AT$1,),)</f>
        <v>1.727526866</v>
      </c>
      <c r="X60" s="25">
        <f>VLOOKUP(B60,'Data qoq'!$A:$AT,MATCH($X$1,'Data qoq'!$A$1:$AT$1,),)</f>
        <v>-0.53614212900000002</v>
      </c>
      <c r="Y60" s="25">
        <f>VLOOKUP(B60,'Data qoq'!$A:$AT,MATCH($Y$1,'Data qoq'!$A$1:$AT$1,),)</f>
        <v>-0.24515392999999999</v>
      </c>
      <c r="Z60" s="25">
        <f>VLOOKUP(B60,'Data qoq'!$A:$AU,MATCH($Z$1,'Data qoq'!$A$1:$AU$1,),)</f>
        <v>-3.4137605899999999</v>
      </c>
      <c r="AA60" s="25">
        <f>VLOOKUP(B60,'Data qoq'!$A:$AU,MATCH($AA$1,'Data qoq'!$A$1:$AU$1,),)</f>
        <v>0.33774496300000001</v>
      </c>
      <c r="AC60" s="26" t="str">
        <f t="shared" si="8"/>
        <v>2012-Q2</v>
      </c>
      <c r="AD60" s="27">
        <f t="shared" si="9"/>
        <v>0.26807084200000003</v>
      </c>
      <c r="AE60" s="27"/>
    </row>
    <row r="61" spans="2:31" hidden="1" x14ac:dyDescent="0.2">
      <c r="B61" s="24" t="s">
        <v>327</v>
      </c>
      <c r="C61" s="25">
        <f>VLOOKUP(B61,'Data qoq'!$A:$AT,MATCH($C$1,'Data qoq'!$A$1:$AT$1,),)</f>
        <v>0.17488297799999999</v>
      </c>
      <c r="D61" s="25">
        <f>VLOOKUP(B61,'Data qoq'!$A:$AT,MATCH($D$1,'Data qoq'!$A$1:$AT$1,),)</f>
        <v>1.9</v>
      </c>
      <c r="E61" s="25">
        <f>VLOOKUP(B61,'Data qoq'!$A:$AT,MATCH($E$1,'Data qoq'!$A$1:$AT$1,),)</f>
        <v>-0.103797</v>
      </c>
      <c r="F61" s="25">
        <f>VLOOKUP(B61,'Data qoq'!$A:$AT,MATCH($F$1,'Data qoq'!$A$1:$AT$1,),)</f>
        <v>-0.38839046199999999</v>
      </c>
      <c r="G61" s="25">
        <f>VLOOKUP(B61,'Data qoq'!$A:$AT,MATCH($G$1,'Data qoq'!$A$1:$AT$1,),)</f>
        <v>0.29157197200000001</v>
      </c>
      <c r="H61" s="25">
        <f>VLOOKUP(B61,'Data qoq'!$A:$AT,MATCH($H$1,'Data qoq'!$A$1:$AT$1,),)</f>
        <v>0.24438892100000001</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-0.13327303700000001</v>
      </c>
      <c r="M61" s="25">
        <f>VLOOKUP(B61,'Data qoq'!$A:$AT,MATCH($M$1,'Data qoq'!$A$1:$AT$1,),)</f>
        <v>0.563556787</v>
      </c>
      <c r="N61" s="25">
        <f>VLOOKUP(B61,'Data qoq'!$A:$AT,MATCH($N$1,'Data qoq'!$A$1:$AT$1,),)</f>
        <v>0.51614756399999995</v>
      </c>
      <c r="O61" s="25">
        <f>VLOOKUP(B61,'Data qoq'!$A:$AT,MATCH($C$1,'Data qoq'!$J$1:$AT$1,),)</f>
        <v>0.25245606500000001</v>
      </c>
      <c r="P61" s="25">
        <f>VLOOKUP(B61,'Data qoq'!$A:$AT,MATCH($P$1,'Data qoq'!$A$1:$AT$1,),)</f>
        <v>0.136217106</v>
      </c>
      <c r="Q61" s="25">
        <f>VLOOKUP(B61,'Data qoq'!$A:$AT,MATCH($Q$1,'Data qoq'!$A$1:$AT$1,),)</f>
        <v>0.59909992999999995</v>
      </c>
      <c r="R61" s="25">
        <f>VLOOKUP(B61,'Data qoq'!$A:$AT,MATCH($E$1,'Data qoq'!$A$1:$AT$1,),)</f>
        <v>-0.103797</v>
      </c>
      <c r="S61" s="25">
        <f>VLOOKUP(B61,'Data qoq'!$A:$AT,MATCH($S$1,'Data qoq'!$A$1:$AT$1,),)</f>
        <v>0.45177694000000002</v>
      </c>
      <c r="T61" s="25">
        <f>VLOOKUP(B61,'Data qoq'!$A:$AT,MATCH($T$1,'Data qoq'!$A$1:$AT$1,),)</f>
        <v>1.7189089790000001</v>
      </c>
      <c r="U61" s="25">
        <f>VLOOKUP(B61,'Data qoq'!$A:$AT,MATCH($U$1,'Data qoq'!$A$1:$AT$1,),)</f>
        <v>-1.4531134509999999</v>
      </c>
      <c r="V61" s="25">
        <f>VLOOKUP(B61,'Data qoq'!$A:$AT,MATCH($V$1,'Data qoq'!$A$1:$AT$1,),)</f>
        <v>-1.772095067</v>
      </c>
      <c r="W61" s="25">
        <f>VLOOKUP(B61,'Data qoq'!$A:$AT,MATCH($W$1,'Data qoq'!$A$1:$AT$1,),)</f>
        <v>1.7647938809999999</v>
      </c>
      <c r="X61" s="25">
        <f>VLOOKUP(B61,'Data qoq'!$A:$AT,MATCH($X$1,'Data qoq'!$A$1:$AT$1,),)</f>
        <v>-0.36099973699999999</v>
      </c>
      <c r="Y61" s="25">
        <f>VLOOKUP(B61,'Data qoq'!$A:$AT,MATCH($Y$1,'Data qoq'!$A$1:$AT$1,),)</f>
        <v>0.43764906799999997</v>
      </c>
      <c r="Z61" s="25">
        <f>VLOOKUP(B61,'Data qoq'!$A:$AU,MATCH($Z$1,'Data qoq'!$A$1:$AU$1,),)</f>
        <v>3.1573535800000001</v>
      </c>
      <c r="AA61" s="25">
        <f>VLOOKUP(B61,'Data qoq'!$A:$AU,MATCH($AA$1,'Data qoq'!$A$1:$AU$1,),)</f>
        <v>0.25245606500000001</v>
      </c>
      <c r="AC61" s="26" t="str">
        <f t="shared" si="8"/>
        <v>2012-Q3</v>
      </c>
      <c r="AD61" s="27">
        <f t="shared" si="9"/>
        <v>-0.11668899400000002</v>
      </c>
      <c r="AE61" s="27"/>
    </row>
    <row r="62" spans="2:31" hidden="1" x14ac:dyDescent="0.2">
      <c r="B62" s="24" t="s">
        <v>328</v>
      </c>
      <c r="C62" s="25">
        <f>VLOOKUP(B62,'Data qoq'!$A:$AT,MATCH($C$1,'Data qoq'!$A$1:$AT$1,),)</f>
        <v>0.109838067</v>
      </c>
      <c r="D62" s="25">
        <f>VLOOKUP(B62,'Data qoq'!$A:$AT,MATCH($D$1,'Data qoq'!$A$1:$AT$1,),)</f>
        <v>1.9</v>
      </c>
      <c r="E62" s="25">
        <f>VLOOKUP(B62,'Data qoq'!$A:$AT,MATCH($E$1,'Data qoq'!$A$1:$AT$1,),)</f>
        <v>-0.44087700000000002</v>
      </c>
      <c r="F62" s="25">
        <f>VLOOKUP(B62,'Data qoq'!$A:$AT,MATCH($F$1,'Data qoq'!$A$1:$AT$1,),)</f>
        <v>-7.0935844999999997E-2</v>
      </c>
      <c r="G62" s="25">
        <f>VLOOKUP(B62,'Data qoq'!$A:$AT,MATCH($G$1,'Data qoq'!$A$1:$AT$1,),)</f>
        <v>-0.44647446200000002</v>
      </c>
      <c r="H62" s="25">
        <f>VLOOKUP(B62,'Data qoq'!$A:$AT,MATCH($H$1,'Data qoq'!$A$1:$AT$1,),)</f>
        <v>-0.12901143800000001</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-0.69824205299999997</v>
      </c>
      <c r="M62" s="25">
        <f>VLOOKUP(B62,'Data qoq'!$A:$AT,MATCH($M$1,'Data qoq'!$A$1:$AT$1,),)</f>
        <v>0.855035561</v>
      </c>
      <c r="N62" s="25">
        <f>VLOOKUP(B62,'Data qoq'!$A:$AT,MATCH($N$1,'Data qoq'!$A$1:$AT$1,),)</f>
        <v>6.7384631E-2</v>
      </c>
      <c r="O62" s="25">
        <f>VLOOKUP(B62,'Data qoq'!$A:$AT,MATCH($C$1,'Data qoq'!$J$1:$AT$1,),)</f>
        <v>1.5362992170000001</v>
      </c>
      <c r="P62" s="25">
        <f>VLOOKUP(B62,'Data qoq'!$A:$AT,MATCH($P$1,'Data qoq'!$A$1:$AT$1,),)</f>
        <v>0.20678147</v>
      </c>
      <c r="Q62" s="25">
        <f>VLOOKUP(B62,'Data qoq'!$A:$AT,MATCH($Q$1,'Data qoq'!$A$1:$AT$1,),)</f>
        <v>0.47957738900000002</v>
      </c>
      <c r="R62" s="25">
        <f>VLOOKUP(B62,'Data qoq'!$A:$AT,MATCH($E$1,'Data qoq'!$A$1:$AT$1,),)</f>
        <v>-0.44087700000000002</v>
      </c>
      <c r="S62" s="25">
        <f>VLOOKUP(B62,'Data qoq'!$A:$AT,MATCH($S$1,'Data qoq'!$A$1:$AT$1,),)</f>
        <v>0.50224872499999995</v>
      </c>
      <c r="T62" s="25">
        <f>VLOOKUP(B62,'Data qoq'!$A:$AT,MATCH($T$1,'Data qoq'!$A$1:$AT$1,),)</f>
        <v>1.962208E-2</v>
      </c>
      <c r="U62" s="25">
        <f>VLOOKUP(B62,'Data qoq'!$A:$AT,MATCH($U$1,'Data qoq'!$A$1:$AT$1,),)</f>
        <v>-0.80164576499999995</v>
      </c>
      <c r="V62" s="25">
        <f>VLOOKUP(B62,'Data qoq'!$A:$AT,MATCH($V$1,'Data qoq'!$A$1:$AT$1,),)</f>
        <v>0.60131012900000003</v>
      </c>
      <c r="W62" s="25">
        <f>VLOOKUP(B62,'Data qoq'!$A:$AT,MATCH($W$1,'Data qoq'!$A$1:$AT$1,),)</f>
        <v>1.602891829</v>
      </c>
      <c r="X62" s="25">
        <f>VLOOKUP(B62,'Data qoq'!$A:$AT,MATCH($X$1,'Data qoq'!$A$1:$AT$1,),)</f>
        <v>-0.122513632</v>
      </c>
      <c r="Y62" s="25">
        <f>VLOOKUP(B62,'Data qoq'!$A:$AT,MATCH($Y$1,'Data qoq'!$A$1:$AT$1,),)</f>
        <v>-0.52639492799999998</v>
      </c>
      <c r="Z62" s="25">
        <f>VLOOKUP(B62,'Data qoq'!$A:$AU,MATCH($Z$1,'Data qoq'!$A$1:$AU$1,),)</f>
        <v>1.7036962739999999</v>
      </c>
      <c r="AA62" s="25">
        <f>VLOOKUP(B62,'Data qoq'!$A:$AU,MATCH($AA$1,'Data qoq'!$A$1:$AU$1,),)</f>
        <v>1.5362992170000001</v>
      </c>
      <c r="AC62" s="26" t="str">
        <f t="shared" si="8"/>
        <v>2012-Q4</v>
      </c>
      <c r="AD62" s="27">
        <f t="shared" si="9"/>
        <v>0.55631252900000006</v>
      </c>
      <c r="AE62" s="27"/>
    </row>
    <row r="63" spans="2:31" hidden="1" x14ac:dyDescent="0.2">
      <c r="B63" s="24" t="s">
        <v>329</v>
      </c>
      <c r="C63" s="25">
        <f>VLOOKUP(B63,'Data qoq'!$A:$AT,MATCH($C$1,'Data qoq'!$A$1:$AT$1,),)</f>
        <v>0.86778954799999997</v>
      </c>
      <c r="D63" s="25">
        <f>VLOOKUP(B63,'Data qoq'!$A:$AT,MATCH($D$1,'Data qoq'!$A$1:$AT$1,),)</f>
        <v>1.9</v>
      </c>
      <c r="E63" s="25">
        <f>VLOOKUP(B63,'Data qoq'!$A:$AT,MATCH($E$1,'Data qoq'!$A$1:$AT$1,),)</f>
        <v>-0.34721999999999997</v>
      </c>
      <c r="F63" s="25">
        <f>VLOOKUP(B63,'Data qoq'!$A:$AT,MATCH($F$1,'Data qoq'!$A$1:$AT$1,),)</f>
        <v>1.4027292149999999</v>
      </c>
      <c r="G63" s="25">
        <f>VLOOKUP(B63,'Data qoq'!$A:$AT,MATCH($G$1,'Data qoq'!$A$1:$AT$1,),)</f>
        <v>-0.46675698900000001</v>
      </c>
      <c r="H63" s="25">
        <f>VLOOKUP(B63,'Data qoq'!$A:$AT,MATCH($H$1,'Data qoq'!$A$1:$AT$1,),)</f>
        <v>8.1407142000000002E-2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1.385827701</v>
      </c>
      <c r="M63" s="25">
        <f>VLOOKUP(B63,'Data qoq'!$A:$AT,MATCH($M$1,'Data qoq'!$A$1:$AT$1,),)</f>
        <v>0.246599285</v>
      </c>
      <c r="N63" s="25">
        <f>VLOOKUP(B63,'Data qoq'!$A:$AT,MATCH($N$1,'Data qoq'!$A$1:$AT$1,),)</f>
        <v>0.74066342200000002</v>
      </c>
      <c r="O63" s="25">
        <f>VLOOKUP(B63,'Data qoq'!$A:$AT,MATCH($C$1,'Data qoq'!$J$1:$AT$1,),)</f>
        <v>-0.31337716799999998</v>
      </c>
      <c r="P63" s="25">
        <f>VLOOKUP(B63,'Data qoq'!$A:$AT,MATCH($P$1,'Data qoq'!$A$1:$AT$1,),)</f>
        <v>0.89700485500000005</v>
      </c>
      <c r="Q63" s="25">
        <f>VLOOKUP(B63,'Data qoq'!$A:$AT,MATCH($Q$1,'Data qoq'!$A$1:$AT$1,),)</f>
        <v>0.42462049800000001</v>
      </c>
      <c r="R63" s="25">
        <f>VLOOKUP(B63,'Data qoq'!$A:$AT,MATCH($E$1,'Data qoq'!$A$1:$AT$1,),)</f>
        <v>-0.34721999999999997</v>
      </c>
      <c r="S63" s="25">
        <f>VLOOKUP(B63,'Data qoq'!$A:$AT,MATCH($S$1,'Data qoq'!$A$1:$AT$1,),)</f>
        <v>0.85942490599999999</v>
      </c>
      <c r="T63" s="25">
        <f>VLOOKUP(B63,'Data qoq'!$A:$AT,MATCH($T$1,'Data qoq'!$A$1:$AT$1,),)</f>
        <v>0.42786871599999998</v>
      </c>
      <c r="U63" s="25">
        <f>VLOOKUP(B63,'Data qoq'!$A:$AT,MATCH($U$1,'Data qoq'!$A$1:$AT$1,),)</f>
        <v>-0.99169270300000001</v>
      </c>
      <c r="V63" s="25">
        <f>VLOOKUP(B63,'Data qoq'!$A:$AT,MATCH($V$1,'Data qoq'!$A$1:$AT$1,),)</f>
        <v>-1.526745335</v>
      </c>
      <c r="W63" s="25">
        <f>VLOOKUP(B63,'Data qoq'!$A:$AT,MATCH($W$1,'Data qoq'!$A$1:$AT$1,),)</f>
        <v>2.9298856400000002</v>
      </c>
      <c r="X63" s="25">
        <f>VLOOKUP(B63,'Data qoq'!$A:$AT,MATCH($X$1,'Data qoq'!$A$1:$AT$1,),)</f>
        <v>-0.42478578299999997</v>
      </c>
      <c r="Y63" s="25">
        <f>VLOOKUP(B63,'Data qoq'!$A:$AT,MATCH($Y$1,'Data qoq'!$A$1:$AT$1,),)</f>
        <v>6.3739439999999994E-2</v>
      </c>
      <c r="Z63" s="25">
        <f>VLOOKUP(B63,'Data qoq'!$A:$AU,MATCH($Z$1,'Data qoq'!$A$1:$AU$1,),)</f>
        <v>-1.7216333E-2</v>
      </c>
      <c r="AA63" s="25">
        <f>VLOOKUP(B63,'Data qoq'!$A:$AU,MATCH($AA$1,'Data qoq'!$A$1:$AU$1,),)</f>
        <v>-0.31337716799999998</v>
      </c>
      <c r="AC63" s="26" t="str">
        <f t="shared" si="8"/>
        <v>2013-Q1</v>
      </c>
      <c r="AD63" s="27">
        <f t="shared" si="9"/>
        <v>1.334546537</v>
      </c>
      <c r="AE63" s="27"/>
    </row>
    <row r="64" spans="2:31" hidden="1" x14ac:dyDescent="0.2">
      <c r="B64" s="24" t="s">
        <v>330</v>
      </c>
      <c r="C64" s="25">
        <f>VLOOKUP(B64,'Data qoq'!$A:$AT,MATCH($C$1,'Data qoq'!$A$1:$AT$1,),)</f>
        <v>0.13938522</v>
      </c>
      <c r="D64" s="25">
        <f>VLOOKUP(B64,'Data qoq'!$A:$AT,MATCH($D$1,'Data qoq'!$A$1:$AT$1,),)</f>
        <v>1.8</v>
      </c>
      <c r="E64" s="25">
        <f>VLOOKUP(B64,'Data qoq'!$A:$AT,MATCH($E$1,'Data qoq'!$A$1:$AT$1,),)</f>
        <v>0.53981400000000002</v>
      </c>
      <c r="F64" s="25">
        <f>VLOOKUP(B64,'Data qoq'!$A:$AT,MATCH($F$1,'Data qoq'!$A$1:$AT$1,),)</f>
        <v>0.89251088700000003</v>
      </c>
      <c r="G64" s="25">
        <f>VLOOKUP(B64,'Data qoq'!$A:$AT,MATCH($G$1,'Data qoq'!$A$1:$AT$1,),)</f>
        <v>1.068846451</v>
      </c>
      <c r="H64" s="25">
        <f>VLOOKUP(B64,'Data qoq'!$A:$AT,MATCH($H$1,'Data qoq'!$A$1:$AT$1,),)</f>
        <v>0.67025072799999996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-0.106359336</v>
      </c>
      <c r="M64" s="25">
        <f>VLOOKUP(B64,'Data qoq'!$A:$AT,MATCH($M$1,'Data qoq'!$A$1:$AT$1,),)</f>
        <v>-0.55472738300000002</v>
      </c>
      <c r="N64" s="25">
        <f>VLOOKUP(B64,'Data qoq'!$A:$AT,MATCH($N$1,'Data qoq'!$A$1:$AT$1,),)</f>
        <v>0.34051066600000002</v>
      </c>
      <c r="O64" s="25">
        <f>VLOOKUP(B64,'Data qoq'!$A:$AT,MATCH($C$1,'Data qoq'!$J$1:$AT$1,),)</f>
        <v>1.1745192959999999</v>
      </c>
      <c r="P64" s="25">
        <f>VLOOKUP(B64,'Data qoq'!$A:$AT,MATCH($P$1,'Data qoq'!$A$1:$AT$1,),)</f>
        <v>0.58035719100000005</v>
      </c>
      <c r="Q64" s="25">
        <f>VLOOKUP(B64,'Data qoq'!$A:$AT,MATCH($Q$1,'Data qoq'!$A$1:$AT$1,),)</f>
        <v>0.43121633300000001</v>
      </c>
      <c r="R64" s="25">
        <f>VLOOKUP(B64,'Data qoq'!$A:$AT,MATCH($E$1,'Data qoq'!$A$1:$AT$1,),)</f>
        <v>0.53981400000000002</v>
      </c>
      <c r="S64" s="25">
        <f>VLOOKUP(B64,'Data qoq'!$A:$AT,MATCH($S$1,'Data qoq'!$A$1:$AT$1,),)</f>
        <v>1.1661529509999999</v>
      </c>
      <c r="T64" s="25">
        <f>VLOOKUP(B64,'Data qoq'!$A:$AT,MATCH($T$1,'Data qoq'!$A$1:$AT$1,),)</f>
        <v>1.687729464</v>
      </c>
      <c r="U64" s="25">
        <f>VLOOKUP(B64,'Data qoq'!$A:$AT,MATCH($U$1,'Data qoq'!$A$1:$AT$1,),)</f>
        <v>0.15845451799999999</v>
      </c>
      <c r="V64" s="25">
        <f>VLOOKUP(B64,'Data qoq'!$A:$AT,MATCH($V$1,'Data qoq'!$A$1:$AT$1,),)</f>
        <v>2.9709859550000002</v>
      </c>
      <c r="W64" s="25">
        <f>VLOOKUP(B64,'Data qoq'!$A:$AT,MATCH($W$1,'Data qoq'!$A$1:$AT$1,),)</f>
        <v>2.9357761130000002</v>
      </c>
      <c r="X64" s="25">
        <f>VLOOKUP(B64,'Data qoq'!$A:$AT,MATCH($X$1,'Data qoq'!$A$1:$AT$1,),)</f>
        <v>0.36711851000000001</v>
      </c>
      <c r="Y64" s="25">
        <f>VLOOKUP(B64,'Data qoq'!$A:$AT,MATCH($Y$1,'Data qoq'!$A$1:$AT$1,),)</f>
        <v>1.0770850519999999</v>
      </c>
      <c r="Z64" s="25">
        <f>VLOOKUP(B64,'Data qoq'!$A:$AU,MATCH($Z$1,'Data qoq'!$A$1:$AU$1,),)</f>
        <v>0.51272985699999996</v>
      </c>
      <c r="AA64" s="25">
        <f>VLOOKUP(B64,'Data qoq'!$A:$AU,MATCH($AA$1,'Data qoq'!$A$1:$AU$1,),)</f>
        <v>1.1745192959999999</v>
      </c>
      <c r="AC64" s="26" t="str">
        <f t="shared" si="8"/>
        <v>2013-Q2</v>
      </c>
      <c r="AD64" s="27">
        <f t="shared" si="9"/>
        <v>-0.929461231</v>
      </c>
      <c r="AE64" s="27"/>
    </row>
    <row r="65" spans="2:31" hidden="1" x14ac:dyDescent="0.2">
      <c r="B65" s="24" t="s">
        <v>331</v>
      </c>
      <c r="C65" s="25">
        <f>VLOOKUP(B65,'Data qoq'!$A:$AT,MATCH($C$1,'Data qoq'!$A$1:$AT$1,),)</f>
        <v>0.79165341099999997</v>
      </c>
      <c r="D65" s="25">
        <f>VLOOKUP(B65,'Data qoq'!$A:$AT,MATCH($D$1,'Data qoq'!$A$1:$AT$1,),)</f>
        <v>2.1</v>
      </c>
      <c r="E65" s="25">
        <f>VLOOKUP(B65,'Data qoq'!$A:$AT,MATCH($E$1,'Data qoq'!$A$1:$AT$1,),)</f>
        <v>0.290163</v>
      </c>
      <c r="F65" s="25">
        <f>VLOOKUP(B65,'Data qoq'!$A:$AT,MATCH($F$1,'Data qoq'!$A$1:$AT$1,),)</f>
        <v>0.94973392300000004</v>
      </c>
      <c r="G65" s="25">
        <f>VLOOKUP(B65,'Data qoq'!$A:$AT,MATCH($G$1,'Data qoq'!$A$1:$AT$1,),)</f>
        <v>0.58060600600000001</v>
      </c>
      <c r="H65" s="25">
        <f>VLOOKUP(B65,'Data qoq'!$A:$AT,MATCH($H$1,'Data qoq'!$A$1:$AT$1,),)</f>
        <v>-0.10647585900000001</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0.452905748</v>
      </c>
      <c r="M65" s="25">
        <f>VLOOKUP(B65,'Data qoq'!$A:$AT,MATCH($M$1,'Data qoq'!$A$1:$AT$1,),)</f>
        <v>0.93555374899999999</v>
      </c>
      <c r="N65" s="25">
        <f>VLOOKUP(B65,'Data qoq'!$A:$AT,MATCH($N$1,'Data qoq'!$A$1:$AT$1,),)</f>
        <v>4.0528552000000002E-2</v>
      </c>
      <c r="O65" s="25">
        <f>VLOOKUP(B65,'Data qoq'!$A:$AT,MATCH($C$1,'Data qoq'!$J$1:$AT$1,),)</f>
        <v>0.57377049199999997</v>
      </c>
      <c r="P65" s="25">
        <f>VLOOKUP(B65,'Data qoq'!$A:$AT,MATCH($P$1,'Data qoq'!$A$1:$AT$1,),)</f>
        <v>0.81497340200000001</v>
      </c>
      <c r="Q65" s="25">
        <f>VLOOKUP(B65,'Data qoq'!$A:$AT,MATCH($Q$1,'Data qoq'!$A$1:$AT$1,),)</f>
        <v>0.78724623999999999</v>
      </c>
      <c r="R65" s="25">
        <f>VLOOKUP(B65,'Data qoq'!$A:$AT,MATCH($E$1,'Data qoq'!$A$1:$AT$1,),)</f>
        <v>0.290163</v>
      </c>
      <c r="S65" s="25">
        <f>VLOOKUP(B65,'Data qoq'!$A:$AT,MATCH($S$1,'Data qoq'!$A$1:$AT$1,),)</f>
        <v>0.85615175899999996</v>
      </c>
      <c r="T65" s="25">
        <f>VLOOKUP(B65,'Data qoq'!$A:$AT,MATCH($T$1,'Data qoq'!$A$1:$AT$1,),)</f>
        <v>0.33388657500000002</v>
      </c>
      <c r="U65" s="25">
        <f>VLOOKUP(B65,'Data qoq'!$A:$AT,MATCH($U$1,'Data qoq'!$A$1:$AT$1,),)</f>
        <v>8.9806169999999998E-3</v>
      </c>
      <c r="V65" s="25">
        <f>VLOOKUP(B65,'Data qoq'!$A:$AT,MATCH($V$1,'Data qoq'!$A$1:$AT$1,),)</f>
        <v>2.0739252220000002</v>
      </c>
      <c r="W65" s="25">
        <f>VLOOKUP(B65,'Data qoq'!$A:$AT,MATCH($W$1,'Data qoq'!$A$1:$AT$1,),)</f>
        <v>1.4659761549999999</v>
      </c>
      <c r="X65" s="25">
        <f>VLOOKUP(B65,'Data qoq'!$A:$AT,MATCH($X$1,'Data qoq'!$A$1:$AT$1,),)</f>
        <v>0.42962492800000002</v>
      </c>
      <c r="Y65" s="25">
        <f>VLOOKUP(B65,'Data qoq'!$A:$AT,MATCH($Y$1,'Data qoq'!$A$1:$AT$1,),)</f>
        <v>0.75561699000000004</v>
      </c>
      <c r="Z65" s="25">
        <f>VLOOKUP(B65,'Data qoq'!$A:$AU,MATCH($Z$1,'Data qoq'!$A$1:$AU$1,),)</f>
        <v>0.64536938899999996</v>
      </c>
      <c r="AA65" s="25">
        <f>VLOOKUP(B65,'Data qoq'!$A:$AU,MATCH($AA$1,'Data qoq'!$A$1:$AU$1,),)</f>
        <v>0.57377049199999997</v>
      </c>
      <c r="AC65" s="26" t="str">
        <f t="shared" si="8"/>
        <v>2013-Q3</v>
      </c>
      <c r="AD65" s="27">
        <f t="shared" si="9"/>
        <v>0.21104740499999997</v>
      </c>
      <c r="AE65" s="27"/>
    </row>
    <row r="66" spans="2:31" hidden="1" x14ac:dyDescent="0.2">
      <c r="B66" s="24" t="s">
        <v>332</v>
      </c>
      <c r="C66" s="25">
        <f>VLOOKUP(B66,'Data qoq'!$A:$AT,MATCH($C$1,'Data qoq'!$A$1:$AT$1,),)</f>
        <v>0.71117100200000005</v>
      </c>
      <c r="D66" s="25">
        <f>VLOOKUP(B66,'Data qoq'!$A:$AT,MATCH($D$1,'Data qoq'!$A$1:$AT$1,),)</f>
        <v>1.5</v>
      </c>
      <c r="E66" s="25">
        <f>VLOOKUP(B66,'Data qoq'!$A:$AT,MATCH($E$1,'Data qoq'!$A$1:$AT$1,),)</f>
        <v>0.29294599999999998</v>
      </c>
      <c r="F66" s="25">
        <f>VLOOKUP(B66,'Data qoq'!$A:$AT,MATCH($F$1,'Data qoq'!$A$1:$AT$1,),)</f>
        <v>-0.124390422</v>
      </c>
      <c r="G66" s="25">
        <f>VLOOKUP(B66,'Data qoq'!$A:$AT,MATCH($G$1,'Data qoq'!$A$1:$AT$1,),)</f>
        <v>0.29894409</v>
      </c>
      <c r="H66" s="25">
        <f>VLOOKUP(B66,'Data qoq'!$A:$AT,MATCH($H$1,'Data qoq'!$A$1:$AT$1,),)</f>
        <v>0.66283668500000004</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0.71382367599999996</v>
      </c>
      <c r="M66" s="25">
        <f>VLOOKUP(B66,'Data qoq'!$A:$AT,MATCH($M$1,'Data qoq'!$A$1:$AT$1,),)</f>
        <v>0.55860150399999997</v>
      </c>
      <c r="N66" s="25">
        <f>VLOOKUP(B66,'Data qoq'!$A:$AT,MATCH($N$1,'Data qoq'!$A$1:$AT$1,),)</f>
        <v>0.57735481700000002</v>
      </c>
      <c r="O66" s="25">
        <f>VLOOKUP(B66,'Data qoq'!$A:$AT,MATCH($C$1,'Data qoq'!$J$1:$AT$1,),)</f>
        <v>0.24070809900000001</v>
      </c>
      <c r="P66" s="25">
        <f>VLOOKUP(B66,'Data qoq'!$A:$AT,MATCH($P$1,'Data qoq'!$A$1:$AT$1,),)</f>
        <v>1.050559545</v>
      </c>
      <c r="Q66" s="25">
        <f>VLOOKUP(B66,'Data qoq'!$A:$AT,MATCH($Q$1,'Data qoq'!$A$1:$AT$1,),)</f>
        <v>0.80320360300000004</v>
      </c>
      <c r="R66" s="25">
        <f>VLOOKUP(B66,'Data qoq'!$A:$AT,MATCH($E$1,'Data qoq'!$A$1:$AT$1,),)</f>
        <v>0.29294599999999998</v>
      </c>
      <c r="S66" s="25">
        <f>VLOOKUP(B66,'Data qoq'!$A:$AT,MATCH($S$1,'Data qoq'!$A$1:$AT$1,),)</f>
        <v>0.87491575300000002</v>
      </c>
      <c r="T66" s="25">
        <f>VLOOKUP(B66,'Data qoq'!$A:$AT,MATCH($T$1,'Data qoq'!$A$1:$AT$1,),)</f>
        <v>0.122013733</v>
      </c>
      <c r="U66" s="25">
        <f>VLOOKUP(B66,'Data qoq'!$A:$AT,MATCH($U$1,'Data qoq'!$A$1:$AT$1,),)</f>
        <v>0.63443493900000003</v>
      </c>
      <c r="V66" s="25">
        <f>VLOOKUP(B66,'Data qoq'!$A:$AT,MATCH($V$1,'Data qoq'!$A$1:$AT$1,),)</f>
        <v>-0.81645287899999996</v>
      </c>
      <c r="W66" s="25">
        <f>VLOOKUP(B66,'Data qoq'!$A:$AT,MATCH($W$1,'Data qoq'!$A$1:$AT$1,),)</f>
        <v>0.19382951800000001</v>
      </c>
      <c r="X66" s="25">
        <f>VLOOKUP(B66,'Data qoq'!$A:$AT,MATCH($X$1,'Data qoq'!$A$1:$AT$1,),)</f>
        <v>1.2076664210000001</v>
      </c>
      <c r="Y66" s="25">
        <f>VLOOKUP(B66,'Data qoq'!$A:$AT,MATCH($Y$1,'Data qoq'!$A$1:$AT$1,),)</f>
        <v>0.26459448200000002</v>
      </c>
      <c r="Z66" s="25">
        <f>VLOOKUP(B66,'Data qoq'!$A:$AU,MATCH($Z$1,'Data qoq'!$A$1:$AU$1,),)</f>
        <v>-0.993665829</v>
      </c>
      <c r="AA66" s="25">
        <f>VLOOKUP(B66,'Data qoq'!$A:$AU,MATCH($AA$1,'Data qoq'!$A$1:$AU$1,),)</f>
        <v>0.24070809900000001</v>
      </c>
      <c r="AC66" s="26" t="str">
        <f t="shared" si="8"/>
        <v>2013-Q4</v>
      </c>
      <c r="AD66" s="27">
        <f t="shared" si="9"/>
        <v>0.41222691200000006</v>
      </c>
      <c r="AE66" s="27"/>
    </row>
    <row r="67" spans="2:31" hidden="1" x14ac:dyDescent="0.2">
      <c r="B67" s="24" t="s">
        <v>333</v>
      </c>
      <c r="C67" s="25">
        <f>VLOOKUP(B67,'Data qoq'!$A:$AT,MATCH($C$1,'Data qoq'!$A$1:$AT$1,),)</f>
        <v>-0.35010973699999998</v>
      </c>
      <c r="D67" s="25">
        <f>VLOOKUP(B67,'Data qoq'!$A:$AT,MATCH($D$1,'Data qoq'!$A$1:$AT$1,),)</f>
        <v>1.9</v>
      </c>
      <c r="E67" s="25">
        <f>VLOOKUP(B67,'Data qoq'!$A:$AT,MATCH($E$1,'Data qoq'!$A$1:$AT$1,),)</f>
        <v>0.404084</v>
      </c>
      <c r="F67" s="25">
        <f>VLOOKUP(B67,'Data qoq'!$A:$AT,MATCH($F$1,'Data qoq'!$A$1:$AT$1,),)</f>
        <v>0.84700990600000003</v>
      </c>
      <c r="G67" s="25">
        <f>VLOOKUP(B67,'Data qoq'!$A:$AT,MATCH($G$1,'Data qoq'!$A$1:$AT$1,),)</f>
        <v>0.93519777199999998</v>
      </c>
      <c r="H67" s="25">
        <f>VLOOKUP(B67,'Data qoq'!$A:$AT,MATCH($H$1,'Data qoq'!$A$1:$AT$1,),)</f>
        <v>1.3373494999999999E-2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0.82273211999999996</v>
      </c>
      <c r="M67" s="25">
        <f>VLOOKUP(B67,'Data qoq'!$A:$AT,MATCH($M$1,'Data qoq'!$A$1:$AT$1,),)</f>
        <v>0.68876702099999998</v>
      </c>
      <c r="N67" s="25">
        <f>VLOOKUP(B67,'Data qoq'!$A:$AT,MATCH($N$1,'Data qoq'!$A$1:$AT$1,),)</f>
        <v>-7.460833E-3</v>
      </c>
      <c r="O67" s="25">
        <f>VLOOKUP(B67,'Data qoq'!$A:$AT,MATCH($C$1,'Data qoq'!$J$1:$AT$1,),)</f>
        <v>1.4993949479999999</v>
      </c>
      <c r="P67" s="25">
        <f>VLOOKUP(B67,'Data qoq'!$A:$AT,MATCH($P$1,'Data qoq'!$A$1:$AT$1,),)</f>
        <v>0.163447761</v>
      </c>
      <c r="Q67" s="25">
        <f>VLOOKUP(B67,'Data qoq'!$A:$AT,MATCH($Q$1,'Data qoq'!$A$1:$AT$1,),)</f>
        <v>0.75362822100000004</v>
      </c>
      <c r="R67" s="25">
        <f>VLOOKUP(B67,'Data qoq'!$A:$AT,MATCH($E$1,'Data qoq'!$A$1:$AT$1,),)</f>
        <v>0.404084</v>
      </c>
      <c r="S67" s="25">
        <f>VLOOKUP(B67,'Data qoq'!$A:$AT,MATCH($S$1,'Data qoq'!$A$1:$AT$1,),)</f>
        <v>0.85697468899999996</v>
      </c>
      <c r="T67" s="25">
        <f>VLOOKUP(B67,'Data qoq'!$A:$AT,MATCH($T$1,'Data qoq'!$A$1:$AT$1,),)</f>
        <v>0.87330702000000004</v>
      </c>
      <c r="U67" s="25">
        <f>VLOOKUP(B67,'Data qoq'!$A:$AT,MATCH($U$1,'Data qoq'!$A$1:$AT$1,),)</f>
        <v>-3.0488116999999999E-2</v>
      </c>
      <c r="V67" s="25">
        <f>VLOOKUP(B67,'Data qoq'!$A:$AT,MATCH($V$1,'Data qoq'!$A$1:$AT$1,),)</f>
        <v>3.9065079219999999</v>
      </c>
      <c r="W67" s="25">
        <f>VLOOKUP(B67,'Data qoq'!$A:$AT,MATCH($W$1,'Data qoq'!$A$1:$AT$1,),)</f>
        <v>2.901075638</v>
      </c>
      <c r="X67" s="25">
        <f>VLOOKUP(B67,'Data qoq'!$A:$AT,MATCH($X$1,'Data qoq'!$A$1:$AT$1,),)</f>
        <v>-0.54767266699999995</v>
      </c>
      <c r="Y67" s="25">
        <f>VLOOKUP(B67,'Data qoq'!$A:$AT,MATCH($Y$1,'Data qoq'!$A$1:$AT$1,),)</f>
        <v>1.032811897</v>
      </c>
      <c r="Z67" s="25">
        <f>VLOOKUP(B67,'Data qoq'!$A:$AU,MATCH($Z$1,'Data qoq'!$A$1:$AU$1,),)</f>
        <v>-1.51891686</v>
      </c>
      <c r="AA67" s="25">
        <f>VLOOKUP(B67,'Data qoq'!$A:$AU,MATCH($AA$1,'Data qoq'!$A$1:$AU$1,),)</f>
        <v>1.4993949479999999</v>
      </c>
      <c r="AC67" s="26" t="str">
        <f t="shared" si="8"/>
        <v>2014-Q1</v>
      </c>
      <c r="AD67" s="27">
        <f t="shared" si="9"/>
        <v>-1.2853075089999999</v>
      </c>
      <c r="AE67" s="27"/>
    </row>
    <row r="68" spans="2:31" hidden="1" x14ac:dyDescent="0.2">
      <c r="B68" s="24" t="s">
        <v>334</v>
      </c>
      <c r="C68" s="25">
        <f>VLOOKUP(B68,'Data qoq'!$A:$AT,MATCH($C$1,'Data qoq'!$A$1:$AT$1,),)</f>
        <v>1.2841289069999999</v>
      </c>
      <c r="D68" s="25">
        <f>VLOOKUP(B68,'Data qoq'!$A:$AT,MATCH($D$1,'Data qoq'!$A$1:$AT$1,),)</f>
        <v>1.8</v>
      </c>
      <c r="E68" s="25">
        <f>VLOOKUP(B68,'Data qoq'!$A:$AT,MATCH($E$1,'Data qoq'!$A$1:$AT$1,),)</f>
        <v>0.21812400000000001</v>
      </c>
      <c r="F68" s="25">
        <f>VLOOKUP(B68,'Data qoq'!$A:$AT,MATCH($F$1,'Data qoq'!$A$1:$AT$1,),)</f>
        <v>-1.8286548949999999</v>
      </c>
      <c r="G68" s="25">
        <f>VLOOKUP(B68,'Data qoq'!$A:$AT,MATCH($G$1,'Data qoq'!$A$1:$AT$1,),)</f>
        <v>0</v>
      </c>
      <c r="H68" s="25">
        <f>VLOOKUP(B68,'Data qoq'!$A:$AT,MATCH($H$1,'Data qoq'!$A$1:$AT$1,),)</f>
        <v>8.4500980000000003E-2</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0.82441408199999999</v>
      </c>
      <c r="M68" s="25">
        <f>VLOOKUP(B68,'Data qoq'!$A:$AT,MATCH($M$1,'Data qoq'!$A$1:$AT$1,),)</f>
        <v>1.2627086620000001</v>
      </c>
      <c r="N68" s="25">
        <f>VLOOKUP(B68,'Data qoq'!$A:$AT,MATCH($N$1,'Data qoq'!$A$1:$AT$1,),)</f>
        <v>0.48161520000000002</v>
      </c>
      <c r="O68" s="25">
        <f>VLOOKUP(B68,'Data qoq'!$A:$AT,MATCH($C$1,'Data qoq'!$J$1:$AT$1,),)</f>
        <v>0.51601125199999998</v>
      </c>
      <c r="P68" s="25">
        <f>VLOOKUP(B68,'Data qoq'!$A:$AT,MATCH($P$1,'Data qoq'!$A$1:$AT$1,),)</f>
        <v>0.913329104</v>
      </c>
      <c r="Q68" s="25">
        <f>VLOOKUP(B68,'Data qoq'!$A:$AT,MATCH($Q$1,'Data qoq'!$A$1:$AT$1,),)</f>
        <v>0.46162775900000003</v>
      </c>
      <c r="R68" s="25">
        <f>VLOOKUP(B68,'Data qoq'!$A:$AT,MATCH($E$1,'Data qoq'!$A$1:$AT$1,),)</f>
        <v>0.21812400000000001</v>
      </c>
      <c r="S68" s="25">
        <f>VLOOKUP(B68,'Data qoq'!$A:$AT,MATCH($S$1,'Data qoq'!$A$1:$AT$1,),)</f>
        <v>0.87785840999999998</v>
      </c>
      <c r="T68" s="25">
        <f>VLOOKUP(B68,'Data qoq'!$A:$AT,MATCH($T$1,'Data qoq'!$A$1:$AT$1,),)</f>
        <v>-1.5037028990000001</v>
      </c>
      <c r="U68" s="25">
        <f>VLOOKUP(B68,'Data qoq'!$A:$AT,MATCH($U$1,'Data qoq'!$A$1:$AT$1,),)</f>
        <v>-0.25496340499999998</v>
      </c>
      <c r="V68" s="25">
        <f>VLOOKUP(B68,'Data qoq'!$A:$AT,MATCH($V$1,'Data qoq'!$A$1:$AT$1,),)</f>
        <v>4.1411182230000003</v>
      </c>
      <c r="W68" s="25">
        <f>VLOOKUP(B68,'Data qoq'!$A:$AT,MATCH($W$1,'Data qoq'!$A$1:$AT$1,),)</f>
        <v>-1.62240622</v>
      </c>
      <c r="X68" s="25">
        <f>VLOOKUP(B68,'Data qoq'!$A:$AT,MATCH($X$1,'Data qoq'!$A$1:$AT$1,),)</f>
        <v>0.93476293799999999</v>
      </c>
      <c r="Y68" s="25">
        <f>VLOOKUP(B68,'Data qoq'!$A:$AT,MATCH($Y$1,'Data qoq'!$A$1:$AT$1,),)</f>
        <v>1.139115192</v>
      </c>
      <c r="Z68" s="25">
        <f>VLOOKUP(B68,'Data qoq'!$A:$AU,MATCH($Z$1,'Data qoq'!$A$1:$AU$1,),)</f>
        <v>-0.57540696999999996</v>
      </c>
      <c r="AA68" s="25">
        <f>VLOOKUP(B68,'Data qoq'!$A:$AU,MATCH($AA$1,'Data qoq'!$A$1:$AU$1,),)</f>
        <v>0.51601125199999998</v>
      </c>
      <c r="AC68" s="26" t="str">
        <f t="shared" si="8"/>
        <v>2014-Q2</v>
      </c>
      <c r="AD68" s="27">
        <f t="shared" si="9"/>
        <v>1.2841289069999999</v>
      </c>
      <c r="AE68" s="27"/>
    </row>
    <row r="69" spans="2:31" hidden="1" x14ac:dyDescent="0.2">
      <c r="B69" s="24" t="s">
        <v>335</v>
      </c>
      <c r="C69" s="25">
        <f>VLOOKUP(B69,'Data qoq'!$A:$AT,MATCH($C$1,'Data qoq'!$A$1:$AT$1,),)</f>
        <v>1.1649616439999999</v>
      </c>
      <c r="D69" s="25">
        <f>VLOOKUP(B69,'Data qoq'!$A:$AT,MATCH($D$1,'Data qoq'!$A$1:$AT$1,),)</f>
        <v>1.8</v>
      </c>
      <c r="E69" s="25">
        <f>VLOOKUP(B69,'Data qoq'!$A:$AT,MATCH($E$1,'Data qoq'!$A$1:$AT$1,),)</f>
        <v>0.46706599999999998</v>
      </c>
      <c r="F69" s="25">
        <f>VLOOKUP(B69,'Data qoq'!$A:$AT,MATCH($F$1,'Data qoq'!$A$1:$AT$1,),)</f>
        <v>7.8705574E-2</v>
      </c>
      <c r="G69" s="25">
        <f>VLOOKUP(B69,'Data qoq'!$A:$AT,MATCH($G$1,'Data qoq'!$A$1:$AT$1,),)</f>
        <v>0.53965720100000003</v>
      </c>
      <c r="H69" s="25">
        <f>VLOOKUP(B69,'Data qoq'!$A:$AT,MATCH($H$1,'Data qoq'!$A$1:$AT$1,),)</f>
        <v>0.56171515699999996</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0.70907921900000004</v>
      </c>
      <c r="M69" s="25">
        <f>VLOOKUP(B69,'Data qoq'!$A:$AT,MATCH($M$1,'Data qoq'!$A$1:$AT$1,),)</f>
        <v>0.36532226699999998</v>
      </c>
      <c r="N69" s="25">
        <f>VLOOKUP(B69,'Data qoq'!$A:$AT,MATCH($N$1,'Data qoq'!$A$1:$AT$1,),)</f>
        <v>-0.318118911</v>
      </c>
      <c r="O69" s="25">
        <f>VLOOKUP(B69,'Data qoq'!$A:$AT,MATCH($C$1,'Data qoq'!$J$1:$AT$1,),)</f>
        <v>1.2695059120000001</v>
      </c>
      <c r="P69" s="25">
        <f>VLOOKUP(B69,'Data qoq'!$A:$AT,MATCH($P$1,'Data qoq'!$A$1:$AT$1,),)</f>
        <v>0.95905130800000005</v>
      </c>
      <c r="Q69" s="25">
        <f>VLOOKUP(B69,'Data qoq'!$A:$AT,MATCH($Q$1,'Data qoq'!$A$1:$AT$1,),)</f>
        <v>0.47959303399999997</v>
      </c>
      <c r="R69" s="25">
        <f>VLOOKUP(B69,'Data qoq'!$A:$AT,MATCH($E$1,'Data qoq'!$A$1:$AT$1,),)</f>
        <v>0.46706599999999998</v>
      </c>
      <c r="S69" s="25">
        <f>VLOOKUP(B69,'Data qoq'!$A:$AT,MATCH($S$1,'Data qoq'!$A$1:$AT$1,),)</f>
        <v>0.31131726599999998</v>
      </c>
      <c r="T69" s="25">
        <f>VLOOKUP(B69,'Data qoq'!$A:$AT,MATCH($T$1,'Data qoq'!$A$1:$AT$1,),)</f>
        <v>-2.2699487000000001E-2</v>
      </c>
      <c r="U69" s="25">
        <f>VLOOKUP(B69,'Data qoq'!$A:$AT,MATCH($U$1,'Data qoq'!$A$1:$AT$1,),)</f>
        <v>1.068739922</v>
      </c>
      <c r="V69" s="25">
        <f>VLOOKUP(B69,'Data qoq'!$A:$AT,MATCH($V$1,'Data qoq'!$A$1:$AT$1,),)</f>
        <v>0.41841331900000001</v>
      </c>
      <c r="W69" s="25">
        <f>VLOOKUP(B69,'Data qoq'!$A:$AT,MATCH($W$1,'Data qoq'!$A$1:$AT$1,),)</f>
        <v>2.4581843989999999</v>
      </c>
      <c r="X69" s="25">
        <f>VLOOKUP(B69,'Data qoq'!$A:$AT,MATCH($X$1,'Data qoq'!$A$1:$AT$1,),)</f>
        <v>1.1888070820000001</v>
      </c>
      <c r="Y69" s="25">
        <f>VLOOKUP(B69,'Data qoq'!$A:$AT,MATCH($Y$1,'Data qoq'!$A$1:$AT$1,),)</f>
        <v>0.83409964400000003</v>
      </c>
      <c r="Z69" s="25">
        <f>VLOOKUP(B69,'Data qoq'!$A:$AU,MATCH($Z$1,'Data qoq'!$A$1:$AU$1,),)</f>
        <v>-0.81817607199999998</v>
      </c>
      <c r="AA69" s="25">
        <f>VLOOKUP(B69,'Data qoq'!$A:$AU,MATCH($AA$1,'Data qoq'!$A$1:$AU$1,),)</f>
        <v>1.2695059120000001</v>
      </c>
      <c r="AC69" s="26" t="str">
        <f t="shared" si="8"/>
        <v>2014-Q3</v>
      </c>
      <c r="AD69" s="27">
        <f t="shared" si="9"/>
        <v>0.62530444299999988</v>
      </c>
      <c r="AE69" s="27"/>
    </row>
    <row r="70" spans="2:31" hidden="1" x14ac:dyDescent="0.2">
      <c r="B70" s="24" t="s">
        <v>336</v>
      </c>
      <c r="C70" s="25">
        <f>VLOOKUP(B70,'Data qoq'!$A:$AT,MATCH($C$1,'Data qoq'!$A$1:$AT$1,),)</f>
        <v>0.44899340199999999</v>
      </c>
      <c r="D70" s="25">
        <f>VLOOKUP(B70,'Data qoq'!$A:$AT,MATCH($D$1,'Data qoq'!$A$1:$AT$1,),)</f>
        <v>1.7</v>
      </c>
      <c r="E70" s="25">
        <f>VLOOKUP(B70,'Data qoq'!$A:$AT,MATCH($E$1,'Data qoq'!$A$1:$AT$1,),)</f>
        <v>0.36938100000000001</v>
      </c>
      <c r="F70" s="25">
        <f>VLOOKUP(B70,'Data qoq'!$A:$AT,MATCH($F$1,'Data qoq'!$A$1:$AT$1,),)</f>
        <v>0.46221905000000002</v>
      </c>
      <c r="G70" s="25">
        <f>VLOOKUP(B70,'Data qoq'!$A:$AT,MATCH($G$1,'Data qoq'!$A$1:$AT$1,),)</f>
        <v>0.81021354599999995</v>
      </c>
      <c r="H70" s="25">
        <f>VLOOKUP(B70,'Data qoq'!$A:$AT,MATCH($H$1,'Data qoq'!$A$1:$AT$1,),)</f>
        <v>-3.0036628999999999E-2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0.77773449500000003</v>
      </c>
      <c r="M70" s="25">
        <f>VLOOKUP(B70,'Data qoq'!$A:$AT,MATCH($M$1,'Data qoq'!$A$1:$AT$1,),)</f>
        <v>1.043513176</v>
      </c>
      <c r="N70" s="25">
        <f>VLOOKUP(B70,'Data qoq'!$A:$AT,MATCH($N$1,'Data qoq'!$A$1:$AT$1,),)</f>
        <v>-0.23528992500000001</v>
      </c>
      <c r="O70" s="25">
        <f>VLOOKUP(B70,'Data qoq'!$A:$AT,MATCH($C$1,'Data qoq'!$J$1:$AT$1,),)</f>
        <v>1.621433669</v>
      </c>
      <c r="P70" s="25">
        <f>VLOOKUP(B70,'Data qoq'!$A:$AT,MATCH($P$1,'Data qoq'!$A$1:$AT$1,),)</f>
        <v>0.69197566799999999</v>
      </c>
      <c r="Q70" s="25">
        <f>VLOOKUP(B70,'Data qoq'!$A:$AT,MATCH($Q$1,'Data qoq'!$A$1:$AT$1,),)</f>
        <v>0.36342481799999998</v>
      </c>
      <c r="R70" s="25">
        <f>VLOOKUP(B70,'Data qoq'!$A:$AT,MATCH($E$1,'Data qoq'!$A$1:$AT$1,),)</f>
        <v>0.36938100000000001</v>
      </c>
      <c r="S70" s="25">
        <f>VLOOKUP(B70,'Data qoq'!$A:$AT,MATCH($S$1,'Data qoq'!$A$1:$AT$1,),)</f>
        <v>0.49063874800000001</v>
      </c>
      <c r="T70" s="25">
        <f>VLOOKUP(B70,'Data qoq'!$A:$AT,MATCH($T$1,'Data qoq'!$A$1:$AT$1,),)</f>
        <v>0.50639816199999999</v>
      </c>
      <c r="U70" s="25">
        <f>VLOOKUP(B70,'Data qoq'!$A:$AT,MATCH($U$1,'Data qoq'!$A$1:$AT$1,),)</f>
        <v>-1.052650021</v>
      </c>
      <c r="V70" s="25">
        <f>VLOOKUP(B70,'Data qoq'!$A:$AT,MATCH($V$1,'Data qoq'!$A$1:$AT$1,),)</f>
        <v>-0.28660447</v>
      </c>
      <c r="W70" s="25">
        <f>VLOOKUP(B70,'Data qoq'!$A:$AT,MATCH($W$1,'Data qoq'!$A$1:$AT$1,),)</f>
        <v>1.3475593850000001</v>
      </c>
      <c r="X70" s="25">
        <f>VLOOKUP(B70,'Data qoq'!$A:$AT,MATCH($X$1,'Data qoq'!$A$1:$AT$1,),)</f>
        <v>1.146457887</v>
      </c>
      <c r="Y70" s="25">
        <f>VLOOKUP(B70,'Data qoq'!$A:$AT,MATCH($Y$1,'Data qoq'!$A$1:$AT$1,),)</f>
        <v>0.65556957599999999</v>
      </c>
      <c r="Z70" s="25">
        <f>VLOOKUP(B70,'Data qoq'!$A:$AU,MATCH($Z$1,'Data qoq'!$A$1:$AU$1,),)</f>
        <v>0.51572844399999995</v>
      </c>
      <c r="AA70" s="25">
        <f>VLOOKUP(B70,'Data qoq'!$A:$AU,MATCH($AA$1,'Data qoq'!$A$1:$AU$1,),)</f>
        <v>1.621433669</v>
      </c>
      <c r="AC70" s="26" t="str">
        <f t="shared" si="8"/>
        <v>2014-Q4</v>
      </c>
      <c r="AD70" s="27">
        <f t="shared" si="9"/>
        <v>-0.36122014399999997</v>
      </c>
      <c r="AE70" s="27"/>
    </row>
    <row r="71" spans="2:31" x14ac:dyDescent="0.2">
      <c r="B71" s="24" t="s">
        <v>337</v>
      </c>
      <c r="C71" s="25">
        <f>IF(VLOOKUP(B71,'Data qoq'!$A:$AT,MATCH($C$1,'Data qoq'!$A$1:$AT$1,),)=0,#N/A,VLOOKUP(B71,'Data qoq'!$A:$AT,MATCH($C$1,'Data qoq'!$A$1:$AT$1,),))</f>
        <v>0.81331362600000001</v>
      </c>
      <c r="D71" s="25">
        <f>IF(VLOOKUP(B71,'Data qoq'!$A:$AT,MATCH($D$1,'Data qoq'!$A$1:$AT$1,),)=0,#N/A,VLOOKUP(B71,'Data qoq'!$A:$AT,MATCH($D$1,'Data qoq'!$A$1:$AT$1,),))</f>
        <v>1.9</v>
      </c>
      <c r="E71" s="25">
        <f>IF(VLOOKUP(B71,'Data qoq'!$A:$AT,MATCH($E$1,'Data qoq'!$A$1:$AT$1,),)=0,#N/A,VLOOKUP(B71,'Data qoq'!$A:$AT,MATCH($E$1,'Data qoq'!$A$1:$AT$1,),))</f>
        <v>0.67512300000000003</v>
      </c>
      <c r="F71" s="25">
        <f>IF(VLOOKUP(B71,'Data qoq'!$A:$AT,MATCH($F$1,'Data qoq'!$A$1:$AT$1,),)=0,#N/A,VLOOKUP(B71,'Data qoq'!$A:$AT,MATCH($F$1,'Data qoq'!$A$1:$AT$1,),))</f>
        <v>1.5748387079999999</v>
      </c>
      <c r="G71" s="25">
        <f>IF(VLOOKUP(B71,'Data qoq'!$A:$AT,MATCH($G$1,'Data qoq'!$A$1:$AT$1,),)=0,#N/A,VLOOKUP(B71,'Data qoq'!$A:$AT,MATCH($G$1,'Data qoq'!$A$1:$AT$1,),))</f>
        <v>-0.52742190799999999</v>
      </c>
      <c r="H71" s="25">
        <f>IF(VLOOKUP(B71,'Data qoq'!$A:$AT,MATCH($H$1,'Data qoq'!$A$1:$AT$1,),)=0,#N/A,VLOOKUP(B71,'Data qoq'!$A:$AT,MATCH($H$1,'Data qoq'!$A$1:$AT$1,),))</f>
        <v>0.53687376499999995</v>
      </c>
      <c r="I71" s="25">
        <f>IF(VLOOKUP(B71,'Data qoq'!$A:$AT,MATCH($I$1,'Data qoq'!$A$1:$AT$1,),)=0,#N/A,VLOOKUP(B71,'Data qoq'!$A:$AT,MATCH($I$1,'Data qoq'!$A$1:$AT$1,),))</f>
        <v>0.644738174</v>
      </c>
      <c r="J71" s="25">
        <f>IF(VLOOKUP(B71,'Data qoq'!$A:$AT,MATCH($J$1,'Data qoq'!$A$1:$AT$1,),)=0,#N/A,VLOOKUP(B71,'Data qoq'!$A:$AT,MATCH($J$1,'Data qoq'!$A$1:$AT$1,),))</f>
        <v>0.264507832</v>
      </c>
      <c r="K71" s="25">
        <f>IF(VLOOKUP(B71,'Data qoq'!$A:$AT,MATCH($K$1,'Data qoq'!$A$1:$AT$1,),)=0,#N/A,VLOOKUP(B71,'Data qoq'!$A:$AT,MATCH($K$1,'Data qoq'!$A$1:$AT$1,),))</f>
        <v>1.1475940920000001</v>
      </c>
      <c r="L71" s="25">
        <f>IF(VLOOKUP(B71,'Data qoq'!$A:$AT,MATCH($L$1,'Data qoq'!$A$1:$AT$1,),)=0,#N/A,VLOOKUP(B71,'Data qoq'!$A:$AT,MATCH($L$1,'Data qoq'!$A$1:$AT$1,),))</f>
        <v>1.410923854</v>
      </c>
      <c r="M71" s="25">
        <f>IF(VLOOKUP(B71,'Data qoq'!$A:$AT,MATCH($M$1,'Data qoq'!$A$1:$AT$1,),)=0,#N/A,VLOOKUP(B71,'Data qoq'!$A:$AT,MATCH($M$1,'Data qoq'!$A$1:$AT$1,),))</f>
        <v>0.54457861500000004</v>
      </c>
      <c r="N71" s="25">
        <f>IF(VLOOKUP(B71,'Data qoq'!$A:$AT,MATCH($N$1,'Data qoq'!$A$1:$AT$1,),)=0,#N/A,VLOOKUP(B71,'Data qoq'!$A:$AT,MATCH($N$1,'Data qoq'!$A$1:$AT$1,),))</f>
        <v>-1.0172225079999999</v>
      </c>
      <c r="O71" s="25">
        <f>IF(VLOOKUP(B71,'Data qoq'!$A:$AT,MATCH($O$1,'Data qoq'!$J$1:$AT$1,),)=0,#N/A,VLOOKUP(B71,'Data qoq'!$A:$AT,MATCH($O$1,'Data qoq'!$J$1:$AT$1,),))</f>
        <v>1.1475940920000001</v>
      </c>
      <c r="P71" s="25">
        <f>IF(VLOOKUP(B71,'Data qoq'!$A:$AT,MATCH($P$1,'Data qoq'!$A$1:$AT$1,),)=0,#N/A,VLOOKUP(B71,'Data qoq'!$A:$AT,MATCH($P$1,'Data qoq'!$A$1:$AT$1,),))</f>
        <v>-0.54951940799999999</v>
      </c>
      <c r="Q71" s="25">
        <f>IF(VLOOKUP(B71,'Data qoq'!$A:$AT,MATCH($Q$1,'Data qoq'!$A$1:$AT$1,),)=0,#N/A,VLOOKUP(B71,'Data qoq'!$A:$AT,MATCH($Q$1,'Data qoq'!$A$1:$AT$1,),))</f>
        <v>0.90795766600000005</v>
      </c>
      <c r="R71" s="25">
        <f>IF(VLOOKUP(B71,'Data qoq'!$A:$AT,MATCH($R$1,'Data qoq'!$A$1:$AT$1,),)=0,#N/A,VLOOKUP(B71,'Data qoq'!$A:$AT,MATCH($R$1,'Data qoq'!$A$1:$AT$1,),))</f>
        <v>-0.16998713500000001</v>
      </c>
      <c r="S71" s="25">
        <f>IF(VLOOKUP(B71,'Data qoq'!$A:$AT,MATCH($S$1,'Data qoq'!$A$1:$AT$1,),)=0,#N/A,VLOOKUP(B71,'Data qoq'!$A:$AT,MATCH($S$1,'Data qoq'!$A$1:$AT$1,),))</f>
        <v>0.77536404000000003</v>
      </c>
      <c r="T71" s="25">
        <f>IF(VLOOKUP(B71,'Data qoq'!$A:$AT,MATCH($T$1,'Data qoq'!$A$1:$AT$1,),)=0,#N/A,VLOOKUP(B71,'Data qoq'!$A:$AT,MATCH($T$1,'Data qoq'!$A$1:$AT$1,),))</f>
        <v>-0.68513705400000002</v>
      </c>
      <c r="U71" s="25">
        <f>IF(VLOOKUP(B71,'Data qoq'!$A:$AT,MATCH($U$1,'Data qoq'!$A$1:$AT$1,),)=0,#N/A,VLOOKUP(B71,'Data qoq'!$A:$AT,MATCH($U$1,'Data qoq'!$A$1:$AT$1,),))</f>
        <v>0.56772132200000003</v>
      </c>
      <c r="V71" s="25">
        <f>IF(VLOOKUP(B71,'Data qoq'!$A:$AT,MATCH($V$1,'Data qoq'!$A$1:$AT$1,),)=0,#N/A,VLOOKUP(B71,'Data qoq'!$A:$AT,MATCH($V$1,'Data qoq'!$A$1:$AT$1,),))</f>
        <v>23.884504614000001</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1.4163281750000001</v>
      </c>
      <c r="Z71" s="25">
        <f>IF(VLOOKUP(B71,'Data qoq'!$A:$AU,MATCH($Z$1,'Data qoq'!$A$1:$AU$1,),)=0,#N/A,VLOOKUP(B71,'Data qoq'!$A:$AU,MATCH($Z$1,'Data qoq'!$A$1:$AU$1,),))</f>
        <v>1.447545874</v>
      </c>
      <c r="AA71" s="25">
        <f>IF(VLOOKUP(B71,'Data qoq'!$A:$AU,MATCH($AA$1,'Data qoq'!$A$1:$AU$1,),)=0,#N/A,VLOOKUP(B71,'Data qoq'!$A:$AU,MATCH($AA$1,'Data qoq'!$A$1:$AU$1,),))</f>
        <v>0.32055322400000003</v>
      </c>
      <c r="AC71" s="26" t="str">
        <f t="shared" si="8"/>
        <v>2015-Q1</v>
      </c>
      <c r="AD71" s="27">
        <f t="shared" si="9"/>
        <v>1.340735534</v>
      </c>
      <c r="AE71" s="27"/>
    </row>
    <row r="72" spans="2:31" x14ac:dyDescent="0.2">
      <c r="B72" s="24" t="s">
        <v>338</v>
      </c>
      <c r="C72" s="25">
        <f>IF(VLOOKUP(B72,'Data qoq'!$A:$AT,MATCH($C$1,'Data qoq'!$A$1:$AT$1,),)=0,#N/A,VLOOKUP(B72,'Data qoq'!$A:$AT,MATCH($C$1,'Data qoq'!$A$1:$AT$1,),))</f>
        <v>0.58000143199999998</v>
      </c>
      <c r="D72" s="25">
        <f>IF(VLOOKUP(B72,'Data qoq'!$A:$AT,MATCH($D$1,'Data qoq'!$A$1:$AT$1,),)=0,#N/A,VLOOKUP(B72,'Data qoq'!$A:$AT,MATCH($D$1,'Data qoq'!$A$1:$AT$1,),))</f>
        <v>1.8</v>
      </c>
      <c r="E72" s="25">
        <f>IF(VLOOKUP(B72,'Data qoq'!$A:$AT,MATCH($E$1,'Data qoq'!$A$1:$AT$1,),)=0,#N/A,VLOOKUP(B72,'Data qoq'!$A:$AT,MATCH($E$1,'Data qoq'!$A$1:$AT$1,),))</f>
        <v>0.46868199999999999</v>
      </c>
      <c r="F72" s="25">
        <f>IF(VLOOKUP(B72,'Data qoq'!$A:$AT,MATCH($F$1,'Data qoq'!$A$1:$AT$1,),)=0,#N/A,VLOOKUP(B72,'Data qoq'!$A:$AT,MATCH($F$1,'Data qoq'!$A$1:$AT$1,),))</f>
        <v>0.13298579799999999</v>
      </c>
      <c r="G72" s="25">
        <f>IF(VLOOKUP(B72,'Data qoq'!$A:$AT,MATCH($G$1,'Data qoq'!$A$1:$AT$1,),)=0,#N/A,VLOOKUP(B72,'Data qoq'!$A:$AT,MATCH($G$1,'Data qoq'!$A$1:$AT$1,),))</f>
        <v>0.70693694699999998</v>
      </c>
      <c r="H72" s="25">
        <f>IF(VLOOKUP(B72,'Data qoq'!$A:$AT,MATCH($H$1,'Data qoq'!$A$1:$AT$1,),)=0,#N/A,VLOOKUP(B72,'Data qoq'!$A:$AT,MATCH($H$1,'Data qoq'!$A$1:$AT$1,),))</f>
        <v>0.105658315</v>
      </c>
      <c r="I72" s="25">
        <f>IF(VLOOKUP(B72,'Data qoq'!$A:$AT,MATCH($I$1,'Data qoq'!$A$1:$AT$1,),)=0,#N/A,VLOOKUP(B72,'Data qoq'!$A:$AT,MATCH($I$1,'Data qoq'!$A$1:$AT$1,),))</f>
        <v>0.738449044</v>
      </c>
      <c r="J72" s="25">
        <f>IF(VLOOKUP(B72,'Data qoq'!$A:$AT,MATCH($J$1,'Data qoq'!$A$1:$AT$1,),)=0,#N/A,VLOOKUP(B72,'Data qoq'!$A:$AT,MATCH($J$1,'Data qoq'!$A$1:$AT$1,),))</f>
        <v>0.39626207099999999</v>
      </c>
      <c r="K72" s="25">
        <f>IF(VLOOKUP(B72,'Data qoq'!$A:$AT,MATCH($K$1,'Data qoq'!$A$1:$AT$1,),)=0,#N/A,VLOOKUP(B72,'Data qoq'!$A:$AT,MATCH($K$1,'Data qoq'!$A$1:$AT$1,),))</f>
        <v>1.072777012</v>
      </c>
      <c r="L72" s="25">
        <f>IF(VLOOKUP(B72,'Data qoq'!$A:$AT,MATCH($L$1,'Data qoq'!$A$1:$AT$1,),)=0,#N/A,VLOOKUP(B72,'Data qoq'!$A:$AT,MATCH($L$1,'Data qoq'!$A$1:$AT$1,),))</f>
        <v>0.99444850399999996</v>
      </c>
      <c r="M72" s="25">
        <f>IF(VLOOKUP(B72,'Data qoq'!$A:$AT,MATCH($M$1,'Data qoq'!$A$1:$AT$1,),)=0,#N/A,VLOOKUP(B72,'Data qoq'!$A:$AT,MATCH($M$1,'Data qoq'!$A$1:$AT$1,),))</f>
        <v>1.162651195</v>
      </c>
      <c r="N72" s="25">
        <f>IF(VLOOKUP(B72,'Data qoq'!$A:$AT,MATCH($N$1,'Data qoq'!$A$1:$AT$1,),)=0,#N/A,VLOOKUP(B72,'Data qoq'!$A:$AT,MATCH($N$1,'Data qoq'!$A$1:$AT$1,),))</f>
        <v>-0.66980761700000002</v>
      </c>
      <c r="O72" s="25">
        <f>IF(VLOOKUP(B72,'Data qoq'!$A:$AT,MATCH($O$1,'Data qoq'!$J$1:$AT$1,),)=0,#N/A,VLOOKUP(B72,'Data qoq'!$A:$AT,MATCH($O$1,'Data qoq'!$J$1:$AT$1,),))</f>
        <v>1.072777012</v>
      </c>
      <c r="P72" s="25">
        <f>IF(VLOOKUP(B72,'Data qoq'!$A:$AT,MATCH($P$1,'Data qoq'!$A$1:$AT$1,),)=0,#N/A,VLOOKUP(B72,'Data qoq'!$A:$AT,MATCH($P$1,'Data qoq'!$A$1:$AT$1,),))</f>
        <v>-0.27217208300000001</v>
      </c>
      <c r="Q72" s="25">
        <f>IF(VLOOKUP(B72,'Data qoq'!$A:$AT,MATCH($Q$1,'Data qoq'!$A$1:$AT$1,),)=0,#N/A,VLOOKUP(B72,'Data qoq'!$A:$AT,MATCH($Q$1,'Data qoq'!$A$1:$AT$1,),))</f>
        <v>0.107788256</v>
      </c>
      <c r="R72" s="25">
        <f>IF(VLOOKUP(B72,'Data qoq'!$A:$AT,MATCH($R$1,'Data qoq'!$A$1:$AT$1,),)=0,#N/A,VLOOKUP(B72,'Data qoq'!$A:$AT,MATCH($R$1,'Data qoq'!$A$1:$AT$1,),))</f>
        <v>0.71732595600000004</v>
      </c>
      <c r="S72" s="25">
        <f>IF(VLOOKUP(B72,'Data qoq'!$A:$AT,MATCH($S$1,'Data qoq'!$A$1:$AT$1,),)=0,#N/A,VLOOKUP(B72,'Data qoq'!$A:$AT,MATCH($S$1,'Data qoq'!$A$1:$AT$1,),))</f>
        <v>0.483265163</v>
      </c>
      <c r="T72" s="25">
        <f>IF(VLOOKUP(B72,'Data qoq'!$A:$AT,MATCH($T$1,'Data qoq'!$A$1:$AT$1,),)=0,#N/A,VLOOKUP(B72,'Data qoq'!$A:$AT,MATCH($T$1,'Data qoq'!$A$1:$AT$1,),))</f>
        <v>-2.5977343290000001</v>
      </c>
      <c r="U72" s="25">
        <f>IF(VLOOKUP(B72,'Data qoq'!$A:$AT,MATCH($U$1,'Data qoq'!$A$1:$AT$1,),)=0,#N/A,VLOOKUP(B72,'Data qoq'!$A:$AT,MATCH($U$1,'Data qoq'!$A$1:$AT$1,),))</f>
        <v>-5.9916233999999999E-2</v>
      </c>
      <c r="V72" s="25">
        <f>IF(VLOOKUP(B72,'Data qoq'!$A:$AT,MATCH($V$1,'Data qoq'!$A$1:$AT$1,),)=0,#N/A,VLOOKUP(B72,'Data qoq'!$A:$AT,MATCH($V$1,'Data qoq'!$A$1:$AT$1,),))</f>
        <v>-1.9495871229999999</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0.78802928800000005</v>
      </c>
      <c r="Z72" s="25">
        <f>IF(VLOOKUP(B72,'Data qoq'!$A:$AU,MATCH($Z$1,'Data qoq'!$A$1:$AU$1,),)=0,#N/A,VLOOKUP(B72,'Data qoq'!$A:$AU,MATCH($Z$1,'Data qoq'!$A$1:$AU$1,),))</f>
        <v>2.3313064460000001</v>
      </c>
      <c r="AA72" s="25">
        <f>IF(VLOOKUP(B72,'Data qoq'!$A:$AU,MATCH($AA$1,'Data qoq'!$A$1:$AU$1,),)=0,#N/A,VLOOKUP(B72,'Data qoq'!$A:$AU,MATCH($AA$1,'Data qoq'!$A$1:$AU$1,),))</f>
        <v>0.73060836200000001</v>
      </c>
      <c r="AC72" s="26" t="str">
        <f t="shared" si="8"/>
        <v>2015-Q2</v>
      </c>
      <c r="AD72" s="27">
        <f t="shared" si="9"/>
        <v>-0.126935515</v>
      </c>
      <c r="AE72" s="27"/>
    </row>
    <row r="73" spans="2:31" x14ac:dyDescent="0.2">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0.42550700000000002</v>
      </c>
      <c r="F73" s="25">
        <f>IF(VLOOKUP(B73,'Data qoq'!$A:$AT,MATCH($F$1,'Data qoq'!$A$1:$AT$1,),)=0,#N/A,VLOOKUP(B73,'Data qoq'!$A:$AT,MATCH($F$1,'Data qoq'!$A$1:$AT$1,),))</f>
        <v>7.8359089000000007E-2</v>
      </c>
      <c r="G73" s="25">
        <f>IF(VLOOKUP(B73,'Data qoq'!$A:$AT,MATCH($G$1,'Data qoq'!$A$1:$AT$1,),)=0,#N/A,VLOOKUP(B73,'Data qoq'!$A:$AT,MATCH($G$1,'Data qoq'!$A$1:$AT$1,),))</f>
        <v>0.501395916</v>
      </c>
      <c r="H73" s="25">
        <f>IF(VLOOKUP(B73,'Data qoq'!$A:$AT,MATCH($H$1,'Data qoq'!$A$1:$AT$1,),)=0,#N/A,VLOOKUP(B73,'Data qoq'!$A:$AT,MATCH($H$1,'Data qoq'!$A$1:$AT$1,),))</f>
        <v>0.21976791500000001</v>
      </c>
      <c r="I73" s="25">
        <f>IF(VLOOKUP(B73,'Data qoq'!$A:$AT,MATCH($I$1,'Data qoq'!$A$1:$AT$1,),)=0,#N/A,VLOOKUP(B73,'Data qoq'!$A:$AT,MATCH($I$1,'Data qoq'!$A$1:$AT$1,),))</f>
        <v>0.53725258399999998</v>
      </c>
      <c r="J73" s="25">
        <f>IF(VLOOKUP(B73,'Data qoq'!$A:$AT,MATCH($J$1,'Data qoq'!$A$1:$AT$1,),)=0,#N/A,VLOOKUP(B73,'Data qoq'!$A:$AT,MATCH($J$1,'Data qoq'!$A$1:$AT$1,),))</f>
        <v>0.24007830499999999</v>
      </c>
      <c r="K73" s="25">
        <f>IF(VLOOKUP(B73,'Data qoq'!$A:$AT,MATCH($K$1,'Data qoq'!$A$1:$AT$1,),)=0,#N/A,VLOOKUP(B73,'Data qoq'!$A:$AT,MATCH($K$1,'Data qoq'!$A$1:$AT$1,),))</f>
        <v>0.91002971300000002</v>
      </c>
      <c r="L73" s="25">
        <f>IF(VLOOKUP(B73,'Data qoq'!$A:$AT,MATCH($L$1,'Data qoq'!$A$1:$AT$1,),)=0,#N/A,VLOOKUP(B73,'Data qoq'!$A:$AT,MATCH($L$1,'Data qoq'!$A$1:$AT$1,),))</f>
        <v>1.377098785</v>
      </c>
      <c r="M73" s="25">
        <f>IF(VLOOKUP(B73,'Data qoq'!$A:$AT,MATCH($M$1,'Data qoq'!$A$1:$AT$1,),)=0,#N/A,VLOOKUP(B73,'Data qoq'!$A:$AT,MATCH($M$1,'Data qoq'!$A$1:$AT$1,),))</f>
        <v>1.327388097</v>
      </c>
      <c r="N73" s="25">
        <f>IF(VLOOKUP(B73,'Data qoq'!$A:$AT,MATCH($N$1,'Data qoq'!$A$1:$AT$1,),)=0,#N/A,VLOOKUP(B73,'Data qoq'!$A:$AT,MATCH($N$1,'Data qoq'!$A$1:$AT$1,),))</f>
        <v>0.19352587500000001</v>
      </c>
      <c r="O73" s="25">
        <f>IF(VLOOKUP(B73,'Data qoq'!$A:$AT,MATCH($O$1,'Data qoq'!$J$1:$AT$1,),)=0,#N/A,VLOOKUP(B73,'Data qoq'!$A:$AT,MATCH($O$1,'Data qoq'!$J$1:$AT$1,),))</f>
        <v>0.91002971300000002</v>
      </c>
      <c r="P73" s="25">
        <f>IF(VLOOKUP(B73,'Data qoq'!$A:$AT,MATCH($P$1,'Data qoq'!$A$1:$AT$1,),)=0,#N/A,VLOOKUP(B73,'Data qoq'!$A:$AT,MATCH($P$1,'Data qoq'!$A$1:$AT$1,),))</f>
        <v>0.35370182900000002</v>
      </c>
      <c r="Q73" s="25">
        <f>IF(VLOOKUP(B73,'Data qoq'!$A:$AT,MATCH($Q$1,'Data qoq'!$A$1:$AT$1,),)=0,#N/A,VLOOKUP(B73,'Data qoq'!$A:$AT,MATCH($Q$1,'Data qoq'!$A$1:$AT$1,),))</f>
        <v>1.044376011</v>
      </c>
      <c r="R73" s="25">
        <f>IF(VLOOKUP(B73,'Data qoq'!$A:$AT,MATCH($R$1,'Data qoq'!$A$1:$AT$1,),)=0,#N/A,VLOOKUP(B73,'Data qoq'!$A:$AT,MATCH($R$1,'Data qoq'!$A$1:$AT$1,),))</f>
        <v>0.633315191</v>
      </c>
      <c r="S73" s="25">
        <f>IF(VLOOKUP(B73,'Data qoq'!$A:$AT,MATCH($S$1,'Data qoq'!$A$1:$AT$1,),)=0,#N/A,VLOOKUP(B73,'Data qoq'!$A:$AT,MATCH($S$1,'Data qoq'!$A$1:$AT$1,),))</f>
        <v>1.4429687099999999</v>
      </c>
      <c r="T73" s="25">
        <f>IF(VLOOKUP(B73,'Data qoq'!$A:$AT,MATCH($T$1,'Data qoq'!$A$1:$AT$1,),)=0,#N/A,VLOOKUP(B73,'Data qoq'!$A:$AT,MATCH($T$1,'Data qoq'!$A$1:$AT$1,),))</f>
        <v>-1.4792195800000001</v>
      </c>
      <c r="U73" s="25">
        <f>IF(VLOOKUP(B73,'Data qoq'!$A:$AT,MATCH($U$1,'Data qoq'!$A$1:$AT$1,),)=0,#N/A,VLOOKUP(B73,'Data qoq'!$A:$AT,MATCH($U$1,'Data qoq'!$A$1:$AT$1,),))</f>
        <v>-1.880381606</v>
      </c>
      <c r="V73" s="25">
        <f>IF(VLOOKUP(B73,'Data qoq'!$A:$AT,MATCH($V$1,'Data qoq'!$A$1:$AT$1,),)=0,#N/A,VLOOKUP(B73,'Data qoq'!$A:$AT,MATCH($V$1,'Data qoq'!$A$1:$AT$1,),))</f>
        <v>2.9072956790000002</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1.2619336000000001</v>
      </c>
      <c r="Z73" s="25">
        <f>IF(VLOOKUP(B73,'Data qoq'!$A:$AU,MATCH($Z$1,'Data qoq'!$A$1:$AU$1,),)=0,#N/A,VLOOKUP(B73,'Data qoq'!$A:$AU,MATCH($Z$1,'Data qoq'!$A$1:$AU$1,),))</f>
        <v>-4.9245411000000003E-2</v>
      </c>
      <c r="AA73" s="25">
        <f>IF(VLOOKUP(B73,'Data qoq'!$A:$AU,MATCH($AA$1,'Data qoq'!$A$1:$AU$1,),)=0,#N/A,VLOOKUP(B73,'Data qoq'!$A:$AU,MATCH($AA$1,'Data qoq'!$A$1:$AU$1,),))</f>
        <v>1.060341448</v>
      </c>
      <c r="AC73" s="26" t="str">
        <f t="shared" si="8"/>
        <v>2015-Q3</v>
      </c>
      <c r="AD73" s="27">
        <f t="shared" si="9"/>
        <v>-0.178023243</v>
      </c>
      <c r="AE73" s="27"/>
    </row>
    <row r="74" spans="2:31" x14ac:dyDescent="0.2">
      <c r="B74" s="24" t="s">
        <v>340</v>
      </c>
      <c r="C74" s="25">
        <f>IF(VLOOKUP(B74,'Data qoq'!$A:$AT,MATCH($C$1,'Data qoq'!$A$1:$AT$1,),)=0,#N/A,VLOOKUP(B74,'Data qoq'!$A:$AT,MATCH($C$1,'Data qoq'!$A$1:$AT$1,),))</f>
        <v>0.14623434699999999</v>
      </c>
      <c r="D74" s="25">
        <f>IF(VLOOKUP(B74,'Data qoq'!$A:$AT,MATCH($D$1,'Data qoq'!$A$1:$AT$1,),)=0,#N/A,VLOOKUP(B74,'Data qoq'!$A:$AT,MATCH($D$1,'Data qoq'!$A$1:$AT$1,),))</f>
        <v>1.7</v>
      </c>
      <c r="E74" s="25">
        <f>IF(VLOOKUP(B74,'Data qoq'!$A:$AT,MATCH($E$1,'Data qoq'!$A$1:$AT$1,),)=0,#N/A,VLOOKUP(B74,'Data qoq'!$A:$AT,MATCH($E$1,'Data qoq'!$A$1:$AT$1,),))</f>
        <v>0.45696500000000001</v>
      </c>
      <c r="F74" s="25">
        <f>IF(VLOOKUP(B74,'Data qoq'!$A:$AT,MATCH($F$1,'Data qoq'!$A$1:$AT$1,),)=0,#N/A,VLOOKUP(B74,'Data qoq'!$A:$AT,MATCH($F$1,'Data qoq'!$A$1:$AT$1,),))</f>
        <v>-0.16539422000000001</v>
      </c>
      <c r="G74" s="25">
        <f>IF(VLOOKUP(B74,'Data qoq'!$A:$AT,MATCH($G$1,'Data qoq'!$A$1:$AT$1,),)=0,#N/A,VLOOKUP(B74,'Data qoq'!$A:$AT,MATCH($G$1,'Data qoq'!$A$1:$AT$1,),))</f>
        <v>0.42905977699999998</v>
      </c>
      <c r="H74" s="25">
        <f>IF(VLOOKUP(B74,'Data qoq'!$A:$AT,MATCH($H$1,'Data qoq'!$A$1:$AT$1,),)=0,#N/A,VLOOKUP(B74,'Data qoq'!$A:$AT,MATCH($H$1,'Data qoq'!$A$1:$AT$1,),))</f>
        <v>0.20792935800000001</v>
      </c>
      <c r="I74" s="25">
        <f>IF(VLOOKUP(B74,'Data qoq'!$A:$AT,MATCH($I$1,'Data qoq'!$A$1:$AT$1,),)=0,#N/A,VLOOKUP(B74,'Data qoq'!$A:$AT,MATCH($I$1,'Data qoq'!$A$1:$AT$1,),))</f>
        <v>0.67986169799999996</v>
      </c>
      <c r="J74" s="25">
        <f>IF(VLOOKUP(B74,'Data qoq'!$A:$AT,MATCH($J$1,'Data qoq'!$A$1:$AT$1,),)=0,#N/A,VLOOKUP(B74,'Data qoq'!$A:$AT,MATCH($J$1,'Data qoq'!$A$1:$AT$1,),))</f>
        <v>0.528458231</v>
      </c>
      <c r="K74" s="25">
        <f>IF(VLOOKUP(B74,'Data qoq'!$A:$AT,MATCH($K$1,'Data qoq'!$A$1:$AT$1,),)=0,#N/A,VLOOKUP(B74,'Data qoq'!$A:$AT,MATCH($K$1,'Data qoq'!$A$1:$AT$1,),))</f>
        <v>0.96906241500000001</v>
      </c>
      <c r="L74" s="25">
        <f>IF(VLOOKUP(B74,'Data qoq'!$A:$AT,MATCH($L$1,'Data qoq'!$A$1:$AT$1,),)=0,#N/A,VLOOKUP(B74,'Data qoq'!$A:$AT,MATCH($L$1,'Data qoq'!$A$1:$AT$1,),))</f>
        <v>0.73927501399999995</v>
      </c>
      <c r="M74" s="25">
        <f>IF(VLOOKUP(B74,'Data qoq'!$A:$AT,MATCH($M$1,'Data qoq'!$A$1:$AT$1,),)=0,#N/A,VLOOKUP(B74,'Data qoq'!$A:$AT,MATCH($M$1,'Data qoq'!$A$1:$AT$1,),))</f>
        <v>-0.343766077</v>
      </c>
      <c r="N74" s="25">
        <f>IF(VLOOKUP(B74,'Data qoq'!$A:$AT,MATCH($N$1,'Data qoq'!$A$1:$AT$1,),)=0,#N/A,VLOOKUP(B74,'Data qoq'!$A:$AT,MATCH($N$1,'Data qoq'!$A$1:$AT$1,),))</f>
        <v>-0.25779131700000002</v>
      </c>
      <c r="O74" s="25">
        <f>IF(VLOOKUP(B74,'Data qoq'!$A:$AT,MATCH($O$1,'Data qoq'!$J$1:$AT$1,),)=0,#N/A,VLOOKUP(B74,'Data qoq'!$A:$AT,MATCH($O$1,'Data qoq'!$J$1:$AT$1,),))</f>
        <v>0.96906241500000001</v>
      </c>
      <c r="P74" s="25">
        <f>IF(VLOOKUP(B74,'Data qoq'!$A:$AT,MATCH($P$1,'Data qoq'!$A$1:$AT$1,),)=0,#N/A,VLOOKUP(B74,'Data qoq'!$A:$AT,MATCH($P$1,'Data qoq'!$A$1:$AT$1,),))</f>
        <v>7.4877375999999995E-2</v>
      </c>
      <c r="Q74" s="25">
        <f>IF(VLOOKUP(B74,'Data qoq'!$A:$AT,MATCH($Q$1,'Data qoq'!$A$1:$AT$1,),)=0,#N/A,VLOOKUP(B74,'Data qoq'!$A:$AT,MATCH($Q$1,'Data qoq'!$A$1:$AT$1,),))</f>
        <v>0.60098578300000005</v>
      </c>
      <c r="R74" s="25">
        <f>IF(VLOOKUP(B74,'Data qoq'!$A:$AT,MATCH($R$1,'Data qoq'!$A$1:$AT$1,),)=0,#N/A,VLOOKUP(B74,'Data qoq'!$A:$AT,MATCH($R$1,'Data qoq'!$A$1:$AT$1,),))</f>
        <v>0.41110833899999999</v>
      </c>
      <c r="S74" s="25">
        <f>IF(VLOOKUP(B74,'Data qoq'!$A:$AT,MATCH($S$1,'Data qoq'!$A$1:$AT$1,),)=0,#N/A,VLOOKUP(B74,'Data qoq'!$A:$AT,MATCH($S$1,'Data qoq'!$A$1:$AT$1,),))</f>
        <v>0.70394753200000004</v>
      </c>
      <c r="T74" s="25">
        <f>IF(VLOOKUP(B74,'Data qoq'!$A:$AT,MATCH($T$1,'Data qoq'!$A$1:$AT$1,),)=0,#N/A,VLOOKUP(B74,'Data qoq'!$A:$AT,MATCH($T$1,'Data qoq'!$A$1:$AT$1,),))</f>
        <v>-0.78777719000000002</v>
      </c>
      <c r="U74" s="25">
        <f>IF(VLOOKUP(B74,'Data qoq'!$A:$AT,MATCH($U$1,'Data qoq'!$A$1:$AT$1,),)=0,#N/A,VLOOKUP(B74,'Data qoq'!$A:$AT,MATCH($U$1,'Data qoq'!$A$1:$AT$1,),))</f>
        <v>1.796907604</v>
      </c>
      <c r="V74" s="25">
        <f>IF(VLOOKUP(B74,'Data qoq'!$A:$AT,MATCH($V$1,'Data qoq'!$A$1:$AT$1,),)=0,#N/A,VLOOKUP(B74,'Data qoq'!$A:$AT,MATCH($V$1,'Data qoq'!$A$1:$AT$1,),))</f>
        <v>0.89530197</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1.2467160829999999</v>
      </c>
      <c r="Z74" s="25">
        <f>IF(VLOOKUP(B74,'Data qoq'!$A:$AU,MATCH($Z$1,'Data qoq'!$A$1:$AU$1,),)=0,#N/A,VLOOKUP(B74,'Data qoq'!$A:$AU,MATCH($Z$1,'Data qoq'!$A$1:$AU$1,),))</f>
        <v>-1.1152089519999999</v>
      </c>
      <c r="AA74" s="25">
        <f>IF(VLOOKUP(B74,'Data qoq'!$A:$AU,MATCH($AA$1,'Data qoq'!$A$1:$AU$1,),)=0,#N/A,VLOOKUP(B74,'Data qoq'!$A:$AU,MATCH($AA$1,'Data qoq'!$A$1:$AU$1,),))</f>
        <v>1.0492161739999999</v>
      </c>
      <c r="AC74" s="26" t="str">
        <f t="shared" si="8"/>
        <v>2015-Q4</v>
      </c>
      <c r="AD74" s="27">
        <f t="shared" si="9"/>
        <v>-0.28282542999999999</v>
      </c>
      <c r="AE74" s="27"/>
    </row>
    <row r="75" spans="2:31" x14ac:dyDescent="0.2">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0.55643100000000001</v>
      </c>
      <c r="F75" s="25">
        <f>IF(VLOOKUP(B75,'Data qoq'!$A:$AT,MATCH($F$1,'Data qoq'!$A$1:$AT$1,),)=0,#N/A,VLOOKUP(B75,'Data qoq'!$A:$AT,MATCH($F$1,'Data qoq'!$A$1:$AT$1,),))</f>
        <v>0.76051198399999997</v>
      </c>
      <c r="G75" s="25">
        <f>IF(VLOOKUP(B75,'Data qoq'!$A:$AT,MATCH($G$1,'Data qoq'!$A$1:$AT$1,),)=0,#N/A,VLOOKUP(B75,'Data qoq'!$A:$AT,MATCH($G$1,'Data qoq'!$A$1:$AT$1,),))</f>
        <v>0.81722940200000005</v>
      </c>
      <c r="H75" s="25">
        <f>IF(VLOOKUP(B75,'Data qoq'!$A:$AT,MATCH($H$1,'Data qoq'!$A$1:$AT$1,),)=0,#N/A,VLOOKUP(B75,'Data qoq'!$A:$AT,MATCH($H$1,'Data qoq'!$A$1:$AT$1,),))</f>
        <v>0.62331895100000001</v>
      </c>
      <c r="I75" s="25">
        <f>IF(VLOOKUP(B75,'Data qoq'!$A:$AT,MATCH($I$1,'Data qoq'!$A$1:$AT$1,),)=0,#N/A,VLOOKUP(B75,'Data qoq'!$A:$AT,MATCH($I$1,'Data qoq'!$A$1:$AT$1,),))</f>
        <v>0.44164719800000002</v>
      </c>
      <c r="J75" s="25">
        <f>IF(VLOOKUP(B75,'Data qoq'!$A:$AT,MATCH($J$1,'Data qoq'!$A$1:$AT$1,),)=0,#N/A,VLOOKUP(B75,'Data qoq'!$A:$AT,MATCH($J$1,'Data qoq'!$A$1:$AT$1,),))</f>
        <v>0.27258472500000003</v>
      </c>
      <c r="K75" s="25">
        <f>IF(VLOOKUP(B75,'Data qoq'!$A:$AT,MATCH($K$1,'Data qoq'!$A$1:$AT$1,),)=0,#N/A,VLOOKUP(B75,'Data qoq'!$A:$AT,MATCH($K$1,'Data qoq'!$A$1:$AT$1,),))</f>
        <v>0.67765105400000003</v>
      </c>
      <c r="L75" s="25">
        <f>IF(VLOOKUP(B75,'Data qoq'!$A:$AT,MATCH($L$1,'Data qoq'!$A$1:$AT$1,),)=0,#N/A,VLOOKUP(B75,'Data qoq'!$A:$AT,MATCH($L$1,'Data qoq'!$A$1:$AT$1,),))</f>
        <v>-5.2723977999999998E-2</v>
      </c>
      <c r="M75" s="25">
        <f>IF(VLOOKUP(B75,'Data qoq'!$A:$AT,MATCH($M$1,'Data qoq'!$A$1:$AT$1,),)=0,#N/A,VLOOKUP(B75,'Data qoq'!$A:$AT,MATCH($M$1,'Data qoq'!$A$1:$AT$1,),))</f>
        <v>0.58153025199999997</v>
      </c>
      <c r="N75" s="25">
        <f>IF(VLOOKUP(B75,'Data qoq'!$A:$AT,MATCH($N$1,'Data qoq'!$A$1:$AT$1,),)=0,#N/A,VLOOKUP(B75,'Data qoq'!$A:$AT,MATCH($N$1,'Data qoq'!$A$1:$AT$1,),))</f>
        <v>0.19005752400000001</v>
      </c>
      <c r="O75" s="25">
        <f>IF(VLOOKUP(B75,'Data qoq'!$A:$AT,MATCH($O$1,'Data qoq'!$J$1:$AT$1,),)=0,#N/A,VLOOKUP(B75,'Data qoq'!$A:$AT,MATCH($O$1,'Data qoq'!$J$1:$AT$1,),))</f>
        <v>0.67765105400000003</v>
      </c>
      <c r="P75" s="25">
        <f>IF(VLOOKUP(B75,'Data qoq'!$A:$AT,MATCH($P$1,'Data qoq'!$A$1:$AT$1,),)=0,#N/A,VLOOKUP(B75,'Data qoq'!$A:$AT,MATCH($P$1,'Data qoq'!$A$1:$AT$1,),))</f>
        <v>0.54850083999999999</v>
      </c>
      <c r="Q75" s="25">
        <f>IF(VLOOKUP(B75,'Data qoq'!$A:$AT,MATCH($Q$1,'Data qoq'!$A$1:$AT$1,),)=0,#N/A,VLOOKUP(B75,'Data qoq'!$A:$AT,MATCH($Q$1,'Data qoq'!$A$1:$AT$1,),))</f>
        <v>0.86045878099999995</v>
      </c>
      <c r="R75" s="25">
        <f>IF(VLOOKUP(B75,'Data qoq'!$A:$AT,MATCH($R$1,'Data qoq'!$A$1:$AT$1,),)=0,#N/A,VLOOKUP(B75,'Data qoq'!$A:$AT,MATCH($R$1,'Data qoq'!$A$1:$AT$1,),))</f>
        <v>0.41995072300000003</v>
      </c>
      <c r="S75" s="25">
        <f>IF(VLOOKUP(B75,'Data qoq'!$A:$AT,MATCH($S$1,'Data qoq'!$A$1:$AT$1,),)=0,#N/A,VLOOKUP(B75,'Data qoq'!$A:$AT,MATCH($S$1,'Data qoq'!$A$1:$AT$1,),))</f>
        <v>0.28595575299999998</v>
      </c>
      <c r="T75" s="25">
        <f>IF(VLOOKUP(B75,'Data qoq'!$A:$AT,MATCH($T$1,'Data qoq'!$A$1:$AT$1,),)=0,#N/A,VLOOKUP(B75,'Data qoq'!$A:$AT,MATCH($T$1,'Data qoq'!$A$1:$AT$1,),))</f>
        <v>-1.6046300790000001</v>
      </c>
      <c r="U75" s="25">
        <f>IF(VLOOKUP(B75,'Data qoq'!$A:$AT,MATCH($U$1,'Data qoq'!$A$1:$AT$1,),)=0,#N/A,VLOOKUP(B75,'Data qoq'!$A:$AT,MATCH($U$1,'Data qoq'!$A$1:$AT$1,),))</f>
        <v>-0.95716801699999998</v>
      </c>
      <c r="V75" s="25">
        <f>IF(VLOOKUP(B75,'Data qoq'!$A:$AT,MATCH($V$1,'Data qoq'!$A$1:$AT$1,),)=0,#N/A,VLOOKUP(B75,'Data qoq'!$A:$AT,MATCH($V$1,'Data qoq'!$A$1:$AT$1,),))</f>
        <v>-2.8525450929999998</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-0.30011750399999998</v>
      </c>
      <c r="Z75" s="25">
        <f>IF(VLOOKUP(B75,'Data qoq'!$A:$AU,MATCH($Z$1,'Data qoq'!$A$1:$AU$1,),)=0,#N/A,VLOOKUP(B75,'Data qoq'!$A:$AU,MATCH($Z$1,'Data qoq'!$A$1:$AU$1,),))</f>
        <v>-0.93534377300000004</v>
      </c>
      <c r="AA75" s="25">
        <f>IF(VLOOKUP(B75,'Data qoq'!$A:$AU,MATCH($AA$1,'Data qoq'!$A$1:$AU$1,),)=0,#N/A,VLOOKUP(B75,'Data qoq'!$A:$AU,MATCH($AA$1,'Data qoq'!$A$1:$AU$1,),))</f>
        <v>1.1622225319999999</v>
      </c>
      <c r="AC75" s="26" t="str">
        <f t="shared" ref="AC75:AC98" si="10">B75</f>
        <v>2016-Q1</v>
      </c>
      <c r="AD75" s="27">
        <f t="shared" ref="AD75:AD106" si="11">(VLOOKUP(AC75,B:Y,MATCH($AE$6,$B$1:$Y$1,),))-(VLOOKUP(AC75,B:Y,MATCH($AE$7,$B$1:$Y$1,),))</f>
        <v>-0.22804953300000008</v>
      </c>
      <c r="AE75" s="27"/>
    </row>
    <row r="76" spans="2:31" x14ac:dyDescent="0.2">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0.23014100000000001</v>
      </c>
      <c r="F76" s="25">
        <f>IF(VLOOKUP(B76,'Data qoq'!$A:$AT,MATCH($F$1,'Data qoq'!$A$1:$AT$1,),)=0,#N/A,VLOOKUP(B76,'Data qoq'!$A:$AT,MATCH($F$1,'Data qoq'!$A$1:$AT$1,),))</f>
        <v>-0.14386096900000001</v>
      </c>
      <c r="G76" s="25">
        <f>IF(VLOOKUP(B76,'Data qoq'!$A:$AT,MATCH($G$1,'Data qoq'!$A$1:$AT$1,),)=0,#N/A,VLOOKUP(B76,'Data qoq'!$A:$AT,MATCH($G$1,'Data qoq'!$A$1:$AT$1,),))</f>
        <v>0.41391166099999999</v>
      </c>
      <c r="H76" s="25">
        <f>IF(VLOOKUP(B76,'Data qoq'!$A:$AT,MATCH($H$1,'Data qoq'!$A$1:$AT$1,),)=0,#N/A,VLOOKUP(B76,'Data qoq'!$A:$AT,MATCH($H$1,'Data qoq'!$A$1:$AT$1,),))</f>
        <v>-0.29624259400000003</v>
      </c>
      <c r="I76" s="25">
        <f>IF(VLOOKUP(B76,'Data qoq'!$A:$AT,MATCH($I$1,'Data qoq'!$A$1:$AT$1,),)=0,#N/A,VLOOKUP(B76,'Data qoq'!$A:$AT,MATCH($I$1,'Data qoq'!$A$1:$AT$1,),))</f>
        <v>0.57733733799999998</v>
      </c>
      <c r="J76" s="25">
        <f>IF(VLOOKUP(B76,'Data qoq'!$A:$AT,MATCH($J$1,'Data qoq'!$A$1:$AT$1,),)=0,#N/A,VLOOKUP(B76,'Data qoq'!$A:$AT,MATCH($J$1,'Data qoq'!$A$1:$AT$1,),))</f>
        <v>0.20562630000000001</v>
      </c>
      <c r="K76" s="25">
        <f>IF(VLOOKUP(B76,'Data qoq'!$A:$AT,MATCH($K$1,'Data qoq'!$A$1:$AT$1,),)=0,#N/A,VLOOKUP(B76,'Data qoq'!$A:$AT,MATCH($K$1,'Data qoq'!$A$1:$AT$1,),))</f>
        <v>0.41940912000000002</v>
      </c>
      <c r="L76" s="25">
        <f>IF(VLOOKUP(B76,'Data qoq'!$A:$AT,MATCH($L$1,'Data qoq'!$A$1:$AT$1,),)=0,#N/A,VLOOKUP(B76,'Data qoq'!$A:$AT,MATCH($L$1,'Data qoq'!$A$1:$AT$1,),))</f>
        <v>4.6036454999999997E-2</v>
      </c>
      <c r="M76" s="25">
        <f>IF(VLOOKUP(B76,'Data qoq'!$A:$AT,MATCH($M$1,'Data qoq'!$A$1:$AT$1,),)=0,#N/A,VLOOKUP(B76,'Data qoq'!$A:$AT,MATCH($M$1,'Data qoq'!$A$1:$AT$1,),))</f>
        <v>0.41485984100000001</v>
      </c>
      <c r="N76" s="25">
        <f>IF(VLOOKUP(B76,'Data qoq'!$A:$AT,MATCH($N$1,'Data qoq'!$A$1:$AT$1,),)=0,#N/A,VLOOKUP(B76,'Data qoq'!$A:$AT,MATCH($N$1,'Data qoq'!$A$1:$AT$1,),))</f>
        <v>5.3848740999999999E-2</v>
      </c>
      <c r="O76" s="25">
        <f>IF(VLOOKUP(B76,'Data qoq'!$A:$AT,MATCH($O$1,'Data qoq'!$J$1:$AT$1,),)=0,#N/A,VLOOKUP(B76,'Data qoq'!$A:$AT,MATCH($O$1,'Data qoq'!$J$1:$AT$1,),))</f>
        <v>0.41940912000000002</v>
      </c>
      <c r="P76" s="25">
        <f>IF(VLOOKUP(B76,'Data qoq'!$A:$AT,MATCH($P$1,'Data qoq'!$A$1:$AT$1,),)=0,#N/A,VLOOKUP(B76,'Data qoq'!$A:$AT,MATCH($P$1,'Data qoq'!$A$1:$AT$1,),))</f>
        <v>-0.49171172400000002</v>
      </c>
      <c r="Q76" s="25">
        <f>IF(VLOOKUP(B76,'Data qoq'!$A:$AT,MATCH($Q$1,'Data qoq'!$A$1:$AT$1,),)=0,#N/A,VLOOKUP(B76,'Data qoq'!$A:$AT,MATCH($Q$1,'Data qoq'!$A$1:$AT$1,),))</f>
        <v>0.65410038999999998</v>
      </c>
      <c r="R76" s="25">
        <f>IF(VLOOKUP(B76,'Data qoq'!$A:$AT,MATCH($R$1,'Data qoq'!$A$1:$AT$1,),)=0,#N/A,VLOOKUP(B76,'Data qoq'!$A:$AT,MATCH($R$1,'Data qoq'!$A$1:$AT$1,),))</f>
        <v>0.52119987899999998</v>
      </c>
      <c r="S76" s="25">
        <f>IF(VLOOKUP(B76,'Data qoq'!$A:$AT,MATCH($S$1,'Data qoq'!$A$1:$AT$1,),)=0,#N/A,VLOOKUP(B76,'Data qoq'!$A:$AT,MATCH($S$1,'Data qoq'!$A$1:$AT$1,),))</f>
        <v>1.2064653649999999</v>
      </c>
      <c r="T76" s="25">
        <f>IF(VLOOKUP(B76,'Data qoq'!$A:$AT,MATCH($T$1,'Data qoq'!$A$1:$AT$1,),)=0,#N/A,VLOOKUP(B76,'Data qoq'!$A:$AT,MATCH($T$1,'Data qoq'!$A$1:$AT$1,),))</f>
        <v>0.55589272499999998</v>
      </c>
      <c r="U76" s="25">
        <f>IF(VLOOKUP(B76,'Data qoq'!$A:$AT,MATCH($U$1,'Data qoq'!$A$1:$AT$1,),)=0,#N/A,VLOOKUP(B76,'Data qoq'!$A:$AT,MATCH($U$1,'Data qoq'!$A$1:$AT$1,),))</f>
        <v>-0.24327795999999999</v>
      </c>
      <c r="V76" s="25">
        <f>IF(VLOOKUP(B76,'Data qoq'!$A:$AT,MATCH($V$1,'Data qoq'!$A$1:$AT$1,),)=0,#N/A,VLOOKUP(B76,'Data qoq'!$A:$AT,MATCH($V$1,'Data qoq'!$A$1:$AT$1,),))</f>
        <v>1.813413275</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1.3159584479999999</v>
      </c>
      <c r="Z76" s="25">
        <f>IF(VLOOKUP(B76,'Data qoq'!$A:$AU,MATCH($Z$1,'Data qoq'!$A$1:$AU$1,),)=0,#N/A,VLOOKUP(B76,'Data qoq'!$A:$AU,MATCH($Z$1,'Data qoq'!$A$1:$AU$1,),))</f>
        <v>-1.581312981</v>
      </c>
      <c r="AA76" s="25">
        <f>IF(VLOOKUP(B76,'Data qoq'!$A:$AU,MATCH($AA$1,'Data qoq'!$A$1:$AU$1,),)=0,#N/A,VLOOKUP(B76,'Data qoq'!$A:$AU,MATCH($AA$1,'Data qoq'!$A$1:$AU$1,),))</f>
        <v>0.95739175399999998</v>
      </c>
      <c r="AC76" s="26" t="str">
        <f t="shared" si="10"/>
        <v>2016-Q2</v>
      </c>
      <c r="AD76" s="27">
        <f t="shared" si="11"/>
        <v>-0.111522854</v>
      </c>
      <c r="AE76" s="27"/>
    </row>
    <row r="77" spans="2:31" x14ac:dyDescent="0.2">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0.473269</v>
      </c>
      <c r="F77" s="25">
        <f>IF(VLOOKUP(B77,'Data qoq'!$A:$AT,MATCH($F$1,'Data qoq'!$A$1:$AT$1,),)=0,#N/A,VLOOKUP(B77,'Data qoq'!$A:$AT,MATCH($F$1,'Data qoq'!$A$1:$AT$1,),))</f>
        <v>0.168960467</v>
      </c>
      <c r="G77" s="25">
        <f>IF(VLOOKUP(B77,'Data qoq'!$A:$AT,MATCH($G$1,'Data qoq'!$A$1:$AT$1,),)=0,#N/A,VLOOKUP(B77,'Data qoq'!$A:$AT,MATCH($G$1,'Data qoq'!$A$1:$AT$1,),))</f>
        <v>0.34351193000000002</v>
      </c>
      <c r="H77" s="25">
        <f>IF(VLOOKUP(B77,'Data qoq'!$A:$AT,MATCH($H$1,'Data qoq'!$A$1:$AT$1,),)=0,#N/A,VLOOKUP(B77,'Data qoq'!$A:$AT,MATCH($H$1,'Data qoq'!$A$1:$AT$1,),))</f>
        <v>0.27250118000000001</v>
      </c>
      <c r="I77" s="25">
        <f>IF(VLOOKUP(B77,'Data qoq'!$A:$AT,MATCH($I$1,'Data qoq'!$A$1:$AT$1,),)=0,#N/A,VLOOKUP(B77,'Data qoq'!$A:$AT,MATCH($I$1,'Data qoq'!$A$1:$AT$1,),))</f>
        <v>0.445252857</v>
      </c>
      <c r="J77" s="25">
        <f>IF(VLOOKUP(B77,'Data qoq'!$A:$AT,MATCH($J$1,'Data qoq'!$A$1:$AT$1,),)=0,#N/A,VLOOKUP(B77,'Data qoq'!$A:$AT,MATCH($J$1,'Data qoq'!$A$1:$AT$1,),))</f>
        <v>0.56670361000000002</v>
      </c>
      <c r="K77" s="25">
        <f>IF(VLOOKUP(B77,'Data qoq'!$A:$AT,MATCH($K$1,'Data qoq'!$A$1:$AT$1,),)=0,#N/A,VLOOKUP(B77,'Data qoq'!$A:$AT,MATCH($K$1,'Data qoq'!$A$1:$AT$1,),))</f>
        <v>0.88706963000000005</v>
      </c>
      <c r="L77" s="25">
        <f>IF(VLOOKUP(B77,'Data qoq'!$A:$AT,MATCH($L$1,'Data qoq'!$A$1:$AT$1,),)=0,#N/A,VLOOKUP(B77,'Data qoq'!$A:$AT,MATCH($L$1,'Data qoq'!$A$1:$AT$1,),))</f>
        <v>0.30698413200000002</v>
      </c>
      <c r="M77" s="25">
        <f>IF(VLOOKUP(B77,'Data qoq'!$A:$AT,MATCH($M$1,'Data qoq'!$A$1:$AT$1,),)=0,#N/A,VLOOKUP(B77,'Data qoq'!$A:$AT,MATCH($M$1,'Data qoq'!$A$1:$AT$1,),))</f>
        <v>1.071492463</v>
      </c>
      <c r="N77" s="25">
        <f>IF(VLOOKUP(B77,'Data qoq'!$A:$AT,MATCH($N$1,'Data qoq'!$A$1:$AT$1,),)=0,#N/A,VLOOKUP(B77,'Data qoq'!$A:$AT,MATCH($N$1,'Data qoq'!$A$1:$AT$1,),))</f>
        <v>0.10071646400000001</v>
      </c>
      <c r="O77" s="25">
        <f>IF(VLOOKUP(B77,'Data qoq'!$A:$AT,MATCH($O$1,'Data qoq'!$J$1:$AT$1,),)=0,#N/A,VLOOKUP(B77,'Data qoq'!$A:$AT,MATCH($O$1,'Data qoq'!$J$1:$AT$1,),))</f>
        <v>0.88706963000000005</v>
      </c>
      <c r="P77" s="25">
        <f>IF(VLOOKUP(B77,'Data qoq'!$A:$AT,MATCH($P$1,'Data qoq'!$A$1:$AT$1,),)=0,#N/A,VLOOKUP(B77,'Data qoq'!$A:$AT,MATCH($P$1,'Data qoq'!$A$1:$AT$1,),))</f>
        <v>1.031213682</v>
      </c>
      <c r="Q77" s="25">
        <f>IF(VLOOKUP(B77,'Data qoq'!$A:$AT,MATCH($Q$1,'Data qoq'!$A$1:$AT$1,),)=0,#N/A,VLOOKUP(B77,'Data qoq'!$A:$AT,MATCH($Q$1,'Data qoq'!$A$1:$AT$1,),))</f>
        <v>0.136753972</v>
      </c>
      <c r="R77" s="25">
        <f>IF(VLOOKUP(B77,'Data qoq'!$A:$AT,MATCH($R$1,'Data qoq'!$A$1:$AT$1,),)=0,#N/A,VLOOKUP(B77,'Data qoq'!$A:$AT,MATCH($R$1,'Data qoq'!$A$1:$AT$1,),))</f>
        <v>0.54234905099999997</v>
      </c>
      <c r="S77" s="25">
        <f>IF(VLOOKUP(B77,'Data qoq'!$A:$AT,MATCH($S$1,'Data qoq'!$A$1:$AT$1,),)=0,#N/A,VLOOKUP(B77,'Data qoq'!$A:$AT,MATCH($S$1,'Data qoq'!$A$1:$AT$1,),))</f>
        <v>0.41594062300000001</v>
      </c>
      <c r="T77" s="25">
        <f>IF(VLOOKUP(B77,'Data qoq'!$A:$AT,MATCH($T$1,'Data qoq'!$A$1:$AT$1,),)=0,#N/A,VLOOKUP(B77,'Data qoq'!$A:$AT,MATCH($T$1,'Data qoq'!$A$1:$AT$1,),))</f>
        <v>-0.604232883</v>
      </c>
      <c r="U77" s="25">
        <f>IF(VLOOKUP(B77,'Data qoq'!$A:$AT,MATCH($U$1,'Data qoq'!$A$1:$AT$1,),)=0,#N/A,VLOOKUP(B77,'Data qoq'!$A:$AT,MATCH($U$1,'Data qoq'!$A$1:$AT$1,),))</f>
        <v>0.29098067399999999</v>
      </c>
      <c r="V77" s="25">
        <f>IF(VLOOKUP(B77,'Data qoq'!$A:$AT,MATCH($V$1,'Data qoq'!$A$1:$AT$1,),)=0,#N/A,VLOOKUP(B77,'Data qoq'!$A:$AT,MATCH($V$1,'Data qoq'!$A$1:$AT$1,),))</f>
        <v>-1.1097649810000001</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0.24325211199999999</v>
      </c>
      <c r="Z77" s="25">
        <f>IF(VLOOKUP(B77,'Data qoq'!$A:$AU,MATCH($Z$1,'Data qoq'!$A$1:$AU$1,),)=0,#N/A,VLOOKUP(B77,'Data qoq'!$A:$AU,MATCH($Z$1,'Data qoq'!$A$1:$AU$1,),))</f>
        <v>0.33553271099999998</v>
      </c>
      <c r="AA77" s="25">
        <f>IF(VLOOKUP(B77,'Data qoq'!$A:$AU,MATCH($AA$1,'Data qoq'!$A$1:$AU$1,),)=0,#N/A,VLOOKUP(B77,'Data qoq'!$A:$AU,MATCH($AA$1,'Data qoq'!$A$1:$AU$1,),))</f>
        <v>0.88338317</v>
      </c>
      <c r="AC77" s="26" t="str">
        <f t="shared" si="10"/>
        <v>2016-Q3</v>
      </c>
      <c r="AD77" s="27">
        <f t="shared" si="11"/>
        <v>0.25760344899999998</v>
      </c>
      <c r="AE77" s="27"/>
    </row>
    <row r="78" spans="2:31" x14ac:dyDescent="0.2">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0.75078100000000003</v>
      </c>
      <c r="F78" s="25">
        <f>IF(VLOOKUP(B78,'Data qoq'!$A:$AT,MATCH($F$1,'Data qoq'!$A$1:$AT$1,),)=0,#N/A,VLOOKUP(B78,'Data qoq'!$A:$AT,MATCH($F$1,'Data qoq'!$A$1:$AT$1,),))</f>
        <v>0.132866756</v>
      </c>
      <c r="G78" s="25">
        <f>IF(VLOOKUP(B78,'Data qoq'!$A:$AT,MATCH($G$1,'Data qoq'!$A$1:$AT$1,),)=0,#N/A,VLOOKUP(B78,'Data qoq'!$A:$AT,MATCH($G$1,'Data qoq'!$A$1:$AT$1,),))</f>
        <v>0.31298723099999998</v>
      </c>
      <c r="H78" s="25">
        <f>IF(VLOOKUP(B78,'Data qoq'!$A:$AT,MATCH($H$1,'Data qoq'!$A$1:$AT$1,),)=0,#N/A,VLOOKUP(B78,'Data qoq'!$A:$AT,MATCH($H$1,'Data qoq'!$A$1:$AT$1,),))</f>
        <v>0.59505515200000003</v>
      </c>
      <c r="I78" s="25">
        <f>IF(VLOOKUP(B78,'Data qoq'!$A:$AT,MATCH($I$1,'Data qoq'!$A$1:$AT$1,),)=0,#N/A,VLOOKUP(B78,'Data qoq'!$A:$AT,MATCH($I$1,'Data qoq'!$A$1:$AT$1,),))</f>
        <v>0.73929692000000002</v>
      </c>
      <c r="J78" s="25">
        <f>IF(VLOOKUP(B78,'Data qoq'!$A:$AT,MATCH($J$1,'Data qoq'!$A$1:$AT$1,),)=0,#N/A,VLOOKUP(B78,'Data qoq'!$A:$AT,MATCH($J$1,'Data qoq'!$A$1:$AT$1,),))</f>
        <v>0.28654712500000001</v>
      </c>
      <c r="K78" s="25">
        <f>IF(VLOOKUP(B78,'Data qoq'!$A:$AT,MATCH($K$1,'Data qoq'!$A$1:$AT$1,),)=0,#N/A,VLOOKUP(B78,'Data qoq'!$A:$AT,MATCH($K$1,'Data qoq'!$A$1:$AT$1,),))</f>
        <v>0.46456732499999998</v>
      </c>
      <c r="L78" s="25">
        <f>IF(VLOOKUP(B78,'Data qoq'!$A:$AT,MATCH($L$1,'Data qoq'!$A$1:$AT$1,),)=0,#N/A,VLOOKUP(B78,'Data qoq'!$A:$AT,MATCH($L$1,'Data qoq'!$A$1:$AT$1,),))</f>
        <v>0.866373952</v>
      </c>
      <c r="M78" s="25">
        <f>IF(VLOOKUP(B78,'Data qoq'!$A:$AT,MATCH($M$1,'Data qoq'!$A$1:$AT$1,),)=0,#N/A,VLOOKUP(B78,'Data qoq'!$A:$AT,MATCH($M$1,'Data qoq'!$A$1:$AT$1,),))</f>
        <v>1.026387546</v>
      </c>
      <c r="N78" s="25">
        <f>IF(VLOOKUP(B78,'Data qoq'!$A:$AT,MATCH($N$1,'Data qoq'!$A$1:$AT$1,),)=0,#N/A,VLOOKUP(B78,'Data qoq'!$A:$AT,MATCH($N$1,'Data qoq'!$A$1:$AT$1,),))</f>
        <v>0.82510593799999998</v>
      </c>
      <c r="O78" s="25">
        <f>IF(VLOOKUP(B78,'Data qoq'!$A:$AT,MATCH($O$1,'Data qoq'!$J$1:$AT$1,),)=0,#N/A,VLOOKUP(B78,'Data qoq'!$A:$AT,MATCH($O$1,'Data qoq'!$J$1:$AT$1,),))</f>
        <v>0.46456732499999998</v>
      </c>
      <c r="P78" s="25">
        <f>IF(VLOOKUP(B78,'Data qoq'!$A:$AT,MATCH($P$1,'Data qoq'!$A$1:$AT$1,),)=0,#N/A,VLOOKUP(B78,'Data qoq'!$A:$AT,MATCH($P$1,'Data qoq'!$A$1:$AT$1,),))</f>
        <v>0.56148308700000005</v>
      </c>
      <c r="Q78" s="25">
        <f>IF(VLOOKUP(B78,'Data qoq'!$A:$AT,MATCH($Q$1,'Data qoq'!$A$1:$AT$1,),)=0,#N/A,VLOOKUP(B78,'Data qoq'!$A:$AT,MATCH($Q$1,'Data qoq'!$A$1:$AT$1,),))</f>
        <v>1.0466579620000001</v>
      </c>
      <c r="R78" s="25">
        <f>IF(VLOOKUP(B78,'Data qoq'!$A:$AT,MATCH($R$1,'Data qoq'!$A$1:$AT$1,),)=0,#N/A,VLOOKUP(B78,'Data qoq'!$A:$AT,MATCH($R$1,'Data qoq'!$A$1:$AT$1,),))</f>
        <v>0.347020832</v>
      </c>
      <c r="S78" s="25">
        <f>IF(VLOOKUP(B78,'Data qoq'!$A:$AT,MATCH($S$1,'Data qoq'!$A$1:$AT$1,),)=0,#N/A,VLOOKUP(B78,'Data qoq'!$A:$AT,MATCH($S$1,'Data qoq'!$A$1:$AT$1,),))</f>
        <v>0.606194491</v>
      </c>
      <c r="T78" s="25">
        <f>IF(VLOOKUP(B78,'Data qoq'!$A:$AT,MATCH($T$1,'Data qoq'!$A$1:$AT$1,),)=0,#N/A,VLOOKUP(B78,'Data qoq'!$A:$AT,MATCH($T$1,'Data qoq'!$A$1:$AT$1,),))</f>
        <v>-0.211963452</v>
      </c>
      <c r="U78" s="25">
        <f>IF(VLOOKUP(B78,'Data qoq'!$A:$AT,MATCH($U$1,'Data qoq'!$A$1:$AT$1,),)=0,#N/A,VLOOKUP(B78,'Data qoq'!$A:$AT,MATCH($U$1,'Data qoq'!$A$1:$AT$1,),))</f>
        <v>0.62727889599999997</v>
      </c>
      <c r="V78" s="25">
        <f>IF(VLOOKUP(B78,'Data qoq'!$A:$AT,MATCH($V$1,'Data qoq'!$A$1:$AT$1,),)=0,#N/A,VLOOKUP(B78,'Data qoq'!$A:$AT,MATCH($V$1,'Data qoq'!$A$1:$AT$1,),))</f>
        <v>11.508588025</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2.303194371</v>
      </c>
      <c r="Z78" s="25">
        <f>IF(VLOOKUP(B78,'Data qoq'!$A:$AU,MATCH($Z$1,'Data qoq'!$A$1:$AU$1,),)=0,#N/A,VLOOKUP(B78,'Data qoq'!$A:$AU,MATCH($Z$1,'Data qoq'!$A$1:$AU$1,),))</f>
        <v>0.63259140999999997</v>
      </c>
      <c r="AA78" s="25">
        <f>IF(VLOOKUP(B78,'Data qoq'!$A:$AU,MATCH($AA$1,'Data qoq'!$A$1:$AU$1,),)=0,#N/A,VLOOKUP(B78,'Data qoq'!$A:$AU,MATCH($AA$1,'Data qoq'!$A$1:$AU$1,),))</f>
        <v>0.37600352300000001</v>
      </c>
      <c r="AC78" s="26" t="str">
        <f t="shared" si="10"/>
        <v>2016-Q4</v>
      </c>
      <c r="AD78" s="27">
        <f t="shared" si="11"/>
        <v>0.18390156500000004</v>
      </c>
      <c r="AE78" s="27"/>
    </row>
    <row r="79" spans="2:31" x14ac:dyDescent="0.2">
      <c r="B79" s="24" t="s">
        <v>345</v>
      </c>
      <c r="C79" s="25">
        <f>IF(VLOOKUP(B79,'Data qoq'!$A:$AT,MATCH($C$1,'Data qoq'!$A$1:$AT$1,),)=0,#N/A,VLOOKUP(B79,'Data qoq'!$A:$AT,MATCH($C$1,'Data qoq'!$A$1:$AT$1,),))</f>
        <v>0.47193104200000002</v>
      </c>
      <c r="D79" s="25">
        <f>IF(VLOOKUP(B79,'Data qoq'!$A:$AT,MATCH($D$1,'Data qoq'!$A$1:$AT$1,),)=0,#N/A,VLOOKUP(B79,'Data qoq'!$A:$AT,MATCH($D$1,'Data qoq'!$A$1:$AT$1,),))</f>
        <v>1.7</v>
      </c>
      <c r="E79" s="25">
        <f>IF(VLOOKUP(B79,'Data qoq'!$A:$AT,MATCH($E$1,'Data qoq'!$A$1:$AT$1,),)=0,#N/A,VLOOKUP(B79,'Data qoq'!$A:$AT,MATCH($E$1,'Data qoq'!$A$1:$AT$1,),))</f>
        <v>0.69208000000000003</v>
      </c>
      <c r="F79" s="25">
        <f>IF(VLOOKUP(B79,'Data qoq'!$A:$AT,MATCH($F$1,'Data qoq'!$A$1:$AT$1,),)=0,#N/A,VLOOKUP(B79,'Data qoq'!$A:$AT,MATCH($F$1,'Data qoq'!$A$1:$AT$1,),))</f>
        <v>0.83953151199999998</v>
      </c>
      <c r="G79" s="25">
        <f>IF(VLOOKUP(B79,'Data qoq'!$A:$AT,MATCH($G$1,'Data qoq'!$A$1:$AT$1,),)=0,#N/A,VLOOKUP(B79,'Data qoq'!$A:$AT,MATCH($G$1,'Data qoq'!$A$1:$AT$1,),))</f>
        <v>1.218802299</v>
      </c>
      <c r="H79" s="25">
        <f>IF(VLOOKUP(B79,'Data qoq'!$A:$AT,MATCH($H$1,'Data qoq'!$A$1:$AT$1,),)=0,#N/A,VLOOKUP(B79,'Data qoq'!$A:$AT,MATCH($H$1,'Data qoq'!$A$1:$AT$1,),))</f>
        <v>0.75140173200000004</v>
      </c>
      <c r="I79" s="25">
        <f>IF(VLOOKUP(B79,'Data qoq'!$A:$AT,MATCH($I$1,'Data qoq'!$A$1:$AT$1,),)=0,#N/A,VLOOKUP(B79,'Data qoq'!$A:$AT,MATCH($I$1,'Data qoq'!$A$1:$AT$1,),))</f>
        <v>0.64983610300000005</v>
      </c>
      <c r="J79" s="25">
        <f>IF(VLOOKUP(B79,'Data qoq'!$A:$AT,MATCH($J$1,'Data qoq'!$A$1:$AT$1,),)=0,#N/A,VLOOKUP(B79,'Data qoq'!$A:$AT,MATCH($J$1,'Data qoq'!$A$1:$AT$1,),))</f>
        <v>0.54926057800000005</v>
      </c>
      <c r="K79" s="25">
        <f>IF(VLOOKUP(B79,'Data qoq'!$A:$AT,MATCH($K$1,'Data qoq'!$A$1:$AT$1,),)=0,#N/A,VLOOKUP(B79,'Data qoq'!$A:$AT,MATCH($K$1,'Data qoq'!$A$1:$AT$1,),))</f>
        <v>0.79378965800000001</v>
      </c>
      <c r="L79" s="25">
        <f>IF(VLOOKUP(B79,'Data qoq'!$A:$AT,MATCH($L$1,'Data qoq'!$A$1:$AT$1,),)=0,#N/A,VLOOKUP(B79,'Data qoq'!$A:$AT,MATCH($L$1,'Data qoq'!$A$1:$AT$1,),))</f>
        <v>0.481740693</v>
      </c>
      <c r="M79" s="25">
        <f>IF(VLOOKUP(B79,'Data qoq'!$A:$AT,MATCH($M$1,'Data qoq'!$A$1:$AT$1,),)=0,#N/A,VLOOKUP(B79,'Data qoq'!$A:$AT,MATCH($M$1,'Data qoq'!$A$1:$AT$1,),))</f>
        <v>0.47503931900000002</v>
      </c>
      <c r="N79" s="25">
        <f>IF(VLOOKUP(B79,'Data qoq'!$A:$AT,MATCH($N$1,'Data qoq'!$A$1:$AT$1,),)=0,#N/A,VLOOKUP(B79,'Data qoq'!$A:$AT,MATCH($N$1,'Data qoq'!$A$1:$AT$1,),))</f>
        <v>0.20168498200000001</v>
      </c>
      <c r="O79" s="25">
        <f>IF(VLOOKUP(B79,'Data qoq'!$A:$AT,MATCH($O$1,'Data qoq'!$J$1:$AT$1,),)=0,#N/A,VLOOKUP(B79,'Data qoq'!$A:$AT,MATCH($O$1,'Data qoq'!$J$1:$AT$1,),))</f>
        <v>0.79378965800000001</v>
      </c>
      <c r="P79" s="25">
        <f>IF(VLOOKUP(B79,'Data qoq'!$A:$AT,MATCH($P$1,'Data qoq'!$A$1:$AT$1,),)=0,#N/A,VLOOKUP(B79,'Data qoq'!$A:$AT,MATCH($P$1,'Data qoq'!$A$1:$AT$1,),))</f>
        <v>1.08691958</v>
      </c>
      <c r="Q79" s="25">
        <f>IF(VLOOKUP(B79,'Data qoq'!$A:$AT,MATCH($Q$1,'Data qoq'!$A$1:$AT$1,),)=0,#N/A,VLOOKUP(B79,'Data qoq'!$A:$AT,MATCH($Q$1,'Data qoq'!$A$1:$AT$1,),))</f>
        <v>0.23423626</v>
      </c>
      <c r="R79" s="25">
        <f>IF(VLOOKUP(B79,'Data qoq'!$A:$AT,MATCH($R$1,'Data qoq'!$A$1:$AT$1,),)=0,#N/A,VLOOKUP(B79,'Data qoq'!$A:$AT,MATCH($R$1,'Data qoq'!$A$1:$AT$1,),))</f>
        <v>0.164988265</v>
      </c>
      <c r="S79" s="25">
        <f>IF(VLOOKUP(B79,'Data qoq'!$A:$AT,MATCH($S$1,'Data qoq'!$A$1:$AT$1,),)=0,#N/A,VLOOKUP(B79,'Data qoq'!$A:$AT,MATCH($S$1,'Data qoq'!$A$1:$AT$1,),))</f>
        <v>0.98478546300000003</v>
      </c>
      <c r="T79" s="25">
        <f>IF(VLOOKUP(B79,'Data qoq'!$A:$AT,MATCH($T$1,'Data qoq'!$A$1:$AT$1,),)=0,#N/A,VLOOKUP(B79,'Data qoq'!$A:$AT,MATCH($T$1,'Data qoq'!$A$1:$AT$1,),))</f>
        <v>1.1263231819999999</v>
      </c>
      <c r="U79" s="25">
        <f>IF(VLOOKUP(B79,'Data qoq'!$A:$AT,MATCH($U$1,'Data qoq'!$A$1:$AT$1,),)=0,#N/A,VLOOKUP(B79,'Data qoq'!$A:$AT,MATCH($U$1,'Data qoq'!$A$1:$AT$1,),))</f>
        <v>-0.19699203300000001</v>
      </c>
      <c r="V79" s="25">
        <f>IF(VLOOKUP(B79,'Data qoq'!$A:$AT,MATCH($V$1,'Data qoq'!$A$1:$AT$1,),)=0,#N/A,VLOOKUP(B79,'Data qoq'!$A:$AT,MATCH($V$1,'Data qoq'!$A$1:$AT$1,),))</f>
        <v>-4.4482667349999998</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0.93337661400000005</v>
      </c>
      <c r="Z79" s="25">
        <f>IF(VLOOKUP(B79,'Data qoq'!$A:$AU,MATCH($Z$1,'Data qoq'!$A$1:$AU$1,),)=0,#N/A,VLOOKUP(B79,'Data qoq'!$A:$AU,MATCH($Z$1,'Data qoq'!$A$1:$AU$1,),))</f>
        <v>0.85539559700000001</v>
      </c>
      <c r="AA79" s="25">
        <f>IF(VLOOKUP(B79,'Data qoq'!$A:$AU,MATCH($AA$1,'Data qoq'!$A$1:$AU$1,),)=0,#N/A,VLOOKUP(B79,'Data qoq'!$A:$AU,MATCH($AA$1,'Data qoq'!$A$1:$AU$1,),))</f>
        <v>1.036042117</v>
      </c>
      <c r="AC79" s="26" t="str">
        <f t="shared" si="10"/>
        <v>2017-Q1</v>
      </c>
      <c r="AD79" s="27">
        <f t="shared" si="11"/>
        <v>-0.74687125700000001</v>
      </c>
      <c r="AE79" s="27"/>
    </row>
    <row r="80" spans="2:31" x14ac:dyDescent="0.2">
      <c r="B80" s="24" t="s">
        <v>346</v>
      </c>
      <c r="C80" s="25">
        <f>IF(VLOOKUP(B80,'Data qoq'!$A:$AT,MATCH($C$1,'Data qoq'!$A$1:$AT$1,),)=0,#N/A,VLOOKUP(B80,'Data qoq'!$A:$AT,MATCH($C$1,'Data qoq'!$A$1:$AT$1,),))</f>
        <v>0.55976482299999997</v>
      </c>
      <c r="D80" s="25">
        <f>IF(VLOOKUP(B80,'Data qoq'!$A:$AT,MATCH($D$1,'Data qoq'!$A$1:$AT$1,),)=0,#N/A,VLOOKUP(B80,'Data qoq'!$A:$AT,MATCH($D$1,'Data qoq'!$A$1:$AT$1,),))</f>
        <v>1.7</v>
      </c>
      <c r="E80" s="25">
        <f>IF(VLOOKUP(B80,'Data qoq'!$A:$AT,MATCH($E$1,'Data qoq'!$A$1:$AT$1,),)=0,#N/A,VLOOKUP(B80,'Data qoq'!$A:$AT,MATCH($E$1,'Data qoq'!$A$1:$AT$1,),))</f>
        <v>0.80287900000000001</v>
      </c>
      <c r="F80" s="25">
        <f>IF(VLOOKUP(B80,'Data qoq'!$A:$AT,MATCH($F$1,'Data qoq'!$A$1:$AT$1,),)=0,#N/A,VLOOKUP(B80,'Data qoq'!$A:$AT,MATCH($F$1,'Data qoq'!$A$1:$AT$1,),))</f>
        <v>0.41534835799999997</v>
      </c>
      <c r="G80" s="25">
        <f>IF(VLOOKUP(B80,'Data qoq'!$A:$AT,MATCH($G$1,'Data qoq'!$A$1:$AT$1,),)=0,#N/A,VLOOKUP(B80,'Data qoq'!$A:$AT,MATCH($G$1,'Data qoq'!$A$1:$AT$1,),))</f>
        <v>0.780268505</v>
      </c>
      <c r="H80" s="25">
        <f>IF(VLOOKUP(B80,'Data qoq'!$A:$AT,MATCH($H$1,'Data qoq'!$A$1:$AT$1,),)=0,#N/A,VLOOKUP(B80,'Data qoq'!$A:$AT,MATCH($H$1,'Data qoq'!$A$1:$AT$1,),))</f>
        <v>0.77400015600000005</v>
      </c>
      <c r="I80" s="25">
        <f>IF(VLOOKUP(B80,'Data qoq'!$A:$AT,MATCH($I$1,'Data qoq'!$A$1:$AT$1,),)=0,#N/A,VLOOKUP(B80,'Data qoq'!$A:$AT,MATCH($I$1,'Data qoq'!$A$1:$AT$1,),))</f>
        <v>0.31074789600000002</v>
      </c>
      <c r="J80" s="25">
        <f>IF(VLOOKUP(B80,'Data qoq'!$A:$AT,MATCH($J$1,'Data qoq'!$A$1:$AT$1,),)=0,#N/A,VLOOKUP(B80,'Data qoq'!$A:$AT,MATCH($J$1,'Data qoq'!$A$1:$AT$1,),))</f>
        <v>0.399895852</v>
      </c>
      <c r="K80" s="25">
        <f>IF(VLOOKUP(B80,'Data qoq'!$A:$AT,MATCH($K$1,'Data qoq'!$A$1:$AT$1,),)=0,#N/A,VLOOKUP(B80,'Data qoq'!$A:$AT,MATCH($K$1,'Data qoq'!$A$1:$AT$1,),))</f>
        <v>1.073786986</v>
      </c>
      <c r="L80" s="25">
        <f>IF(VLOOKUP(B80,'Data qoq'!$A:$AT,MATCH($L$1,'Data qoq'!$A$1:$AT$1,),)=0,#N/A,VLOOKUP(B80,'Data qoq'!$A:$AT,MATCH($L$1,'Data qoq'!$A$1:$AT$1,),))</f>
        <v>1.3026652299999999</v>
      </c>
      <c r="M80" s="25">
        <f>IF(VLOOKUP(B80,'Data qoq'!$A:$AT,MATCH($M$1,'Data qoq'!$A$1:$AT$1,),)=0,#N/A,VLOOKUP(B80,'Data qoq'!$A:$AT,MATCH($M$1,'Data qoq'!$A$1:$AT$1,),))</f>
        <v>0.31791119200000001</v>
      </c>
      <c r="N80" s="25">
        <f>IF(VLOOKUP(B80,'Data qoq'!$A:$AT,MATCH($N$1,'Data qoq'!$A$1:$AT$1,),)=0,#N/A,VLOOKUP(B80,'Data qoq'!$A:$AT,MATCH($N$1,'Data qoq'!$A$1:$AT$1,),))</f>
        <v>0.690456285</v>
      </c>
      <c r="O80" s="25">
        <f>IF(VLOOKUP(B80,'Data qoq'!$A:$AT,MATCH($O$1,'Data qoq'!$J$1:$AT$1,),)=0,#N/A,VLOOKUP(B80,'Data qoq'!$A:$AT,MATCH($O$1,'Data qoq'!$J$1:$AT$1,),))</f>
        <v>1.073786986</v>
      </c>
      <c r="P80" s="25">
        <f>IF(VLOOKUP(B80,'Data qoq'!$A:$AT,MATCH($P$1,'Data qoq'!$A$1:$AT$1,),)=0,#N/A,VLOOKUP(B80,'Data qoq'!$A:$AT,MATCH($P$1,'Data qoq'!$A$1:$AT$1,),))</f>
        <v>1.0230442129999999</v>
      </c>
      <c r="Q80" s="25">
        <f>IF(VLOOKUP(B80,'Data qoq'!$A:$AT,MATCH($Q$1,'Data qoq'!$A$1:$AT$1,),)=0,#N/A,VLOOKUP(B80,'Data qoq'!$A:$AT,MATCH($Q$1,'Data qoq'!$A$1:$AT$1,),))</f>
        <v>0.67820576099999996</v>
      </c>
      <c r="R80" s="25">
        <f>IF(VLOOKUP(B80,'Data qoq'!$A:$AT,MATCH($R$1,'Data qoq'!$A$1:$AT$1,),)=0,#N/A,VLOOKUP(B80,'Data qoq'!$A:$AT,MATCH($R$1,'Data qoq'!$A$1:$AT$1,),))</f>
        <v>0.30419026399999999</v>
      </c>
      <c r="S80" s="25">
        <f>IF(VLOOKUP(B80,'Data qoq'!$A:$AT,MATCH($S$1,'Data qoq'!$A$1:$AT$1,),)=0,#N/A,VLOOKUP(B80,'Data qoq'!$A:$AT,MATCH($S$1,'Data qoq'!$A$1:$AT$1,),))</f>
        <v>0.71464772700000001</v>
      </c>
      <c r="T80" s="25">
        <f>IF(VLOOKUP(B80,'Data qoq'!$A:$AT,MATCH($T$1,'Data qoq'!$A$1:$AT$1,),)=0,#N/A,VLOOKUP(B80,'Data qoq'!$A:$AT,MATCH($T$1,'Data qoq'!$A$1:$AT$1,),))</f>
        <v>0.74318662800000002</v>
      </c>
      <c r="U80" s="25">
        <f>IF(VLOOKUP(B80,'Data qoq'!$A:$AT,MATCH($U$1,'Data qoq'!$A$1:$AT$1,),)=0,#N/A,VLOOKUP(B80,'Data qoq'!$A:$AT,MATCH($U$1,'Data qoq'!$A$1:$AT$1,),))</f>
        <v>0.527728156</v>
      </c>
      <c r="V80" s="25">
        <f>IF(VLOOKUP(B80,'Data qoq'!$A:$AT,MATCH($V$1,'Data qoq'!$A$1:$AT$1,),)=0,#N/A,VLOOKUP(B80,'Data qoq'!$A:$AT,MATCH($V$1,'Data qoq'!$A$1:$AT$1,),))</f>
        <v>3.4013696430000002</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0.89193731099999995</v>
      </c>
      <c r="Z80" s="25">
        <f>IF(VLOOKUP(B80,'Data qoq'!$A:$AU,MATCH($Z$1,'Data qoq'!$A$1:$AU$1,),)=0,#N/A,VLOOKUP(B80,'Data qoq'!$A:$AU,MATCH($Z$1,'Data qoq'!$A$1:$AU$1,),))</f>
        <v>1.1000421300000001</v>
      </c>
      <c r="AA80" s="25">
        <f>IF(VLOOKUP(B80,'Data qoq'!$A:$AU,MATCH($AA$1,'Data qoq'!$A$1:$AU$1,),)=0,#N/A,VLOOKUP(B80,'Data qoq'!$A:$AU,MATCH($AA$1,'Data qoq'!$A$1:$AU$1,),))</f>
        <v>1.088880724</v>
      </c>
      <c r="AC80" s="26" t="str">
        <f t="shared" si="10"/>
        <v>2017-Q2</v>
      </c>
      <c r="AD80" s="27">
        <f t="shared" si="11"/>
        <v>-0.22050368200000003</v>
      </c>
      <c r="AE80" s="27"/>
    </row>
    <row r="81" spans="2:31" x14ac:dyDescent="0.2">
      <c r="B81" s="24" t="s">
        <v>347</v>
      </c>
      <c r="C81" s="25">
        <f>IF(VLOOKUP(B81,'Data qoq'!$A:$AT,MATCH($C$1,'Data qoq'!$A$1:$AT$1,),)=0,#N/A,VLOOKUP(B81,'Data qoq'!$A:$AT,MATCH($C$1,'Data qoq'!$A$1:$AT$1,),))</f>
        <v>0.71914999099999999</v>
      </c>
      <c r="D81" s="25">
        <f>IF(VLOOKUP(B81,'Data qoq'!$A:$AT,MATCH($D$1,'Data qoq'!$A$1:$AT$1,),)=0,#N/A,VLOOKUP(B81,'Data qoq'!$A:$AT,MATCH($D$1,'Data qoq'!$A$1:$AT$1,),))</f>
        <v>1.6</v>
      </c>
      <c r="E81" s="25">
        <f>IF(VLOOKUP(B81,'Data qoq'!$A:$AT,MATCH($E$1,'Data qoq'!$A$1:$AT$1,),)=0,#N/A,VLOOKUP(B81,'Data qoq'!$A:$AT,MATCH($E$1,'Data qoq'!$A$1:$AT$1,),))</f>
        <v>0.75357700000000005</v>
      </c>
      <c r="F81" s="25">
        <f>IF(VLOOKUP(B81,'Data qoq'!$A:$AT,MATCH($F$1,'Data qoq'!$A$1:$AT$1,),)=0,#N/A,VLOOKUP(B81,'Data qoq'!$A:$AT,MATCH($F$1,'Data qoq'!$A$1:$AT$1,),))</f>
        <v>0.75491678399999995</v>
      </c>
      <c r="G81" s="25">
        <f>IF(VLOOKUP(B81,'Data qoq'!$A:$AT,MATCH($G$1,'Data qoq'!$A$1:$AT$1,),)=0,#N/A,VLOOKUP(B81,'Data qoq'!$A:$AT,MATCH($G$1,'Data qoq'!$A$1:$AT$1,),))</f>
        <v>0.87937751600000003</v>
      </c>
      <c r="H81" s="25">
        <f>IF(VLOOKUP(B81,'Data qoq'!$A:$AT,MATCH($H$1,'Data qoq'!$A$1:$AT$1,),)=0,#N/A,VLOOKUP(B81,'Data qoq'!$A:$AT,MATCH($H$1,'Data qoq'!$A$1:$AT$1,),))</f>
        <v>0.86796882500000005</v>
      </c>
      <c r="I81" s="25">
        <f>IF(VLOOKUP(B81,'Data qoq'!$A:$AT,MATCH($I$1,'Data qoq'!$A$1:$AT$1,),)=0,#N/A,VLOOKUP(B81,'Data qoq'!$A:$AT,MATCH($I$1,'Data qoq'!$A$1:$AT$1,),))</f>
        <v>0.428297394</v>
      </c>
      <c r="J81" s="25">
        <f>IF(VLOOKUP(B81,'Data qoq'!$A:$AT,MATCH($J$1,'Data qoq'!$A$1:$AT$1,),)=0,#N/A,VLOOKUP(B81,'Data qoq'!$A:$AT,MATCH($J$1,'Data qoq'!$A$1:$AT$1,),))</f>
        <v>0.38181280000000001</v>
      </c>
      <c r="K81" s="25">
        <f>IF(VLOOKUP(B81,'Data qoq'!$A:$AT,MATCH($K$1,'Data qoq'!$A$1:$AT$1,),)=0,#N/A,VLOOKUP(B81,'Data qoq'!$A:$AT,MATCH($K$1,'Data qoq'!$A$1:$AT$1,),))</f>
        <v>0.57728099600000005</v>
      </c>
      <c r="L81" s="25">
        <f>IF(VLOOKUP(B81,'Data qoq'!$A:$AT,MATCH($L$1,'Data qoq'!$A$1:$AT$1,),)=0,#N/A,VLOOKUP(B81,'Data qoq'!$A:$AT,MATCH($L$1,'Data qoq'!$A$1:$AT$1,),))</f>
        <v>0.93812991199999995</v>
      </c>
      <c r="M81" s="25">
        <f>IF(VLOOKUP(B81,'Data qoq'!$A:$AT,MATCH($M$1,'Data qoq'!$A$1:$AT$1,),)=0,#N/A,VLOOKUP(B81,'Data qoq'!$A:$AT,MATCH($M$1,'Data qoq'!$A$1:$AT$1,),))</f>
        <v>-0.23516599099999999</v>
      </c>
      <c r="N81" s="25">
        <f>IF(VLOOKUP(B81,'Data qoq'!$A:$AT,MATCH($N$1,'Data qoq'!$A$1:$AT$1,),)=0,#N/A,VLOOKUP(B81,'Data qoq'!$A:$AT,MATCH($N$1,'Data qoq'!$A$1:$AT$1,),))</f>
        <v>0.67948449200000005</v>
      </c>
      <c r="O81" s="25">
        <f>IF(VLOOKUP(B81,'Data qoq'!$A:$AT,MATCH($O$1,'Data qoq'!$J$1:$AT$1,),)=0,#N/A,VLOOKUP(B81,'Data qoq'!$A:$AT,MATCH($O$1,'Data qoq'!$J$1:$AT$1,),))</f>
        <v>0.57728099600000005</v>
      </c>
      <c r="P81" s="25">
        <f>IF(VLOOKUP(B81,'Data qoq'!$A:$AT,MATCH($P$1,'Data qoq'!$A$1:$AT$1,),)=0,#N/A,VLOOKUP(B81,'Data qoq'!$A:$AT,MATCH($P$1,'Data qoq'!$A$1:$AT$1,),))</f>
        <v>0.42187302100000001</v>
      </c>
      <c r="Q81" s="25">
        <f>IF(VLOOKUP(B81,'Data qoq'!$A:$AT,MATCH($Q$1,'Data qoq'!$A$1:$AT$1,),)=0,#N/A,VLOOKUP(B81,'Data qoq'!$A:$AT,MATCH($Q$1,'Data qoq'!$A$1:$AT$1,),))</f>
        <v>0.97660561700000004</v>
      </c>
      <c r="R81" s="25">
        <f>IF(VLOOKUP(B81,'Data qoq'!$A:$AT,MATCH($R$1,'Data qoq'!$A$1:$AT$1,),)=0,#N/A,VLOOKUP(B81,'Data qoq'!$A:$AT,MATCH($R$1,'Data qoq'!$A$1:$AT$1,),))</f>
        <v>0.62713759000000002</v>
      </c>
      <c r="S81" s="25">
        <f>IF(VLOOKUP(B81,'Data qoq'!$A:$AT,MATCH($S$1,'Data qoq'!$A$1:$AT$1,),)=0,#N/A,VLOOKUP(B81,'Data qoq'!$A:$AT,MATCH($S$1,'Data qoq'!$A$1:$AT$1,),))</f>
        <v>1.4418384179999999</v>
      </c>
      <c r="T81" s="25">
        <f>IF(VLOOKUP(B81,'Data qoq'!$A:$AT,MATCH($T$1,'Data qoq'!$A$1:$AT$1,),)=0,#N/A,VLOOKUP(B81,'Data qoq'!$A:$AT,MATCH($T$1,'Data qoq'!$A$1:$AT$1,),))</f>
        <v>0.304409549</v>
      </c>
      <c r="U81" s="25">
        <f>IF(VLOOKUP(B81,'Data qoq'!$A:$AT,MATCH($U$1,'Data qoq'!$A$1:$AT$1,),)=0,#N/A,VLOOKUP(B81,'Data qoq'!$A:$AT,MATCH($U$1,'Data qoq'!$A$1:$AT$1,),))</f>
        <v>1.056959188</v>
      </c>
      <c r="V81" s="25">
        <f>IF(VLOOKUP(B81,'Data qoq'!$A:$AT,MATCH($V$1,'Data qoq'!$A$1:$AT$1,),)=0,#N/A,VLOOKUP(B81,'Data qoq'!$A:$AT,MATCH($V$1,'Data qoq'!$A$1:$AT$1,),))</f>
        <v>3.0389089540000001</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1.099167397</v>
      </c>
      <c r="Z81" s="25">
        <f>IF(VLOOKUP(B81,'Data qoq'!$A:$AU,MATCH($Z$1,'Data qoq'!$A$1:$AU$1,),)=0,#N/A,VLOOKUP(B81,'Data qoq'!$A:$AU,MATCH($Z$1,'Data qoq'!$A$1:$AU$1,),))</f>
        <v>1.189884886</v>
      </c>
      <c r="AA81" s="25">
        <f>IF(VLOOKUP(B81,'Data qoq'!$A:$AU,MATCH($AA$1,'Data qoq'!$A$1:$AU$1,),)=0,#N/A,VLOOKUP(B81,'Data qoq'!$A:$AU,MATCH($AA$1,'Data qoq'!$A$1:$AU$1,),))</f>
        <v>0.85246984999999997</v>
      </c>
      <c r="AC81" s="26" t="str">
        <f t="shared" si="10"/>
        <v>2017-Q3</v>
      </c>
      <c r="AD81" s="27">
        <f t="shared" si="11"/>
        <v>-0.16022752500000004</v>
      </c>
      <c r="AE81" s="27"/>
    </row>
    <row r="82" spans="2:31" x14ac:dyDescent="0.2">
      <c r="B82" s="24" t="s">
        <v>348</v>
      </c>
      <c r="C82" s="25">
        <f>IF(VLOOKUP(B82,'Data qoq'!$A:$AT,MATCH($C$1,'Data qoq'!$A$1:$AT$1,),)=0,#N/A,VLOOKUP(B82,'Data qoq'!$A:$AT,MATCH($C$1,'Data qoq'!$A$1:$AT$1,),))</f>
        <v>0.94039983800000004</v>
      </c>
      <c r="D82" s="25">
        <f>IF(VLOOKUP(B82,'Data qoq'!$A:$AT,MATCH($D$1,'Data qoq'!$A$1:$AT$1,),)=0,#N/A,VLOOKUP(B82,'Data qoq'!$A:$AT,MATCH($D$1,'Data qoq'!$A$1:$AT$1,),))</f>
        <v>1.6</v>
      </c>
      <c r="E82" s="25">
        <f>IF(VLOOKUP(B82,'Data qoq'!$A:$AT,MATCH($E$1,'Data qoq'!$A$1:$AT$1,),)=0,#N/A,VLOOKUP(B82,'Data qoq'!$A:$AT,MATCH($E$1,'Data qoq'!$A$1:$AT$1,),))</f>
        <v>0.79764400000000002</v>
      </c>
      <c r="F82" s="25">
        <f>IF(VLOOKUP(B82,'Data qoq'!$A:$AT,MATCH($F$1,'Data qoq'!$A$1:$AT$1,),)=0,#N/A,VLOOKUP(B82,'Data qoq'!$A:$AT,MATCH($F$1,'Data qoq'!$A$1:$AT$1,),))</f>
        <v>6.7630284999999998E-2</v>
      </c>
      <c r="G82" s="25">
        <f>IF(VLOOKUP(B82,'Data qoq'!$A:$AT,MATCH($G$1,'Data qoq'!$A$1:$AT$1,),)=0,#N/A,VLOOKUP(B82,'Data qoq'!$A:$AT,MATCH($G$1,'Data qoq'!$A$1:$AT$1,),))</f>
        <v>0.80537773800000001</v>
      </c>
      <c r="H82" s="25">
        <f>IF(VLOOKUP(B82,'Data qoq'!$A:$AT,MATCH($H$1,'Data qoq'!$A$1:$AT$1,),)=0,#N/A,VLOOKUP(B82,'Data qoq'!$A:$AT,MATCH($H$1,'Data qoq'!$A$1:$AT$1,),))</f>
        <v>0.60470864099999999</v>
      </c>
      <c r="I82" s="25">
        <f>IF(VLOOKUP(B82,'Data qoq'!$A:$AT,MATCH($I$1,'Data qoq'!$A$1:$AT$1,),)=0,#N/A,VLOOKUP(B82,'Data qoq'!$A:$AT,MATCH($I$1,'Data qoq'!$A$1:$AT$1,),))</f>
        <v>0.40286948500000003</v>
      </c>
      <c r="J82" s="25">
        <f>IF(VLOOKUP(B82,'Data qoq'!$A:$AT,MATCH($J$1,'Data qoq'!$A$1:$AT$1,),)=0,#N/A,VLOOKUP(B82,'Data qoq'!$A:$AT,MATCH($J$1,'Data qoq'!$A$1:$AT$1,),))</f>
        <v>0.53646888599999998</v>
      </c>
      <c r="K82" s="25">
        <f>IF(VLOOKUP(B82,'Data qoq'!$A:$AT,MATCH($K$1,'Data qoq'!$A$1:$AT$1,),)=0,#N/A,VLOOKUP(B82,'Data qoq'!$A:$AT,MATCH($K$1,'Data qoq'!$A$1:$AT$1,),))</f>
        <v>0.62554452000000005</v>
      </c>
      <c r="L82" s="25">
        <f>IF(VLOOKUP(B82,'Data qoq'!$A:$AT,MATCH($L$1,'Data qoq'!$A$1:$AT$1,),)=0,#N/A,VLOOKUP(B82,'Data qoq'!$A:$AT,MATCH($L$1,'Data qoq'!$A$1:$AT$1,),))</f>
        <v>0.14889866299999999</v>
      </c>
      <c r="M82" s="25">
        <f>IF(VLOOKUP(B82,'Data qoq'!$A:$AT,MATCH($M$1,'Data qoq'!$A$1:$AT$1,),)=0,#N/A,VLOOKUP(B82,'Data qoq'!$A:$AT,MATCH($M$1,'Data qoq'!$A$1:$AT$1,),))</f>
        <v>1.2669265030000001</v>
      </c>
      <c r="N82" s="25">
        <f>IF(VLOOKUP(B82,'Data qoq'!$A:$AT,MATCH($N$1,'Data qoq'!$A$1:$AT$1,),)=0,#N/A,VLOOKUP(B82,'Data qoq'!$A:$AT,MATCH($N$1,'Data qoq'!$A$1:$AT$1,),))</f>
        <v>2.0994643E-2</v>
      </c>
      <c r="O82" s="25">
        <f>IF(VLOOKUP(B82,'Data qoq'!$A:$AT,MATCH($O$1,'Data qoq'!$J$1:$AT$1,),)=0,#N/A,VLOOKUP(B82,'Data qoq'!$A:$AT,MATCH($O$1,'Data qoq'!$J$1:$AT$1,),))</f>
        <v>0.62554452000000005</v>
      </c>
      <c r="P82" s="25">
        <f>IF(VLOOKUP(B82,'Data qoq'!$A:$AT,MATCH($P$1,'Data qoq'!$A$1:$AT$1,),)=0,#N/A,VLOOKUP(B82,'Data qoq'!$A:$AT,MATCH($P$1,'Data qoq'!$A$1:$AT$1,),))</f>
        <v>0.51799067899999995</v>
      </c>
      <c r="Q82" s="25">
        <f>IF(VLOOKUP(B82,'Data qoq'!$A:$AT,MATCH($Q$1,'Data qoq'!$A$1:$AT$1,),)=0,#N/A,VLOOKUP(B82,'Data qoq'!$A:$AT,MATCH($Q$1,'Data qoq'!$A$1:$AT$1,),))</f>
        <v>0.43517007000000002</v>
      </c>
      <c r="R82" s="25">
        <f>IF(VLOOKUP(B82,'Data qoq'!$A:$AT,MATCH($R$1,'Data qoq'!$A$1:$AT$1,),)=0,#N/A,VLOOKUP(B82,'Data qoq'!$A:$AT,MATCH($R$1,'Data qoq'!$A$1:$AT$1,),))</f>
        <v>1.0954310819999999</v>
      </c>
      <c r="S82" s="25">
        <f>IF(VLOOKUP(B82,'Data qoq'!$A:$AT,MATCH($S$1,'Data qoq'!$A$1:$AT$1,),)=0,#N/A,VLOOKUP(B82,'Data qoq'!$A:$AT,MATCH($S$1,'Data qoq'!$A$1:$AT$1,),))</f>
        <v>-0.319868975</v>
      </c>
      <c r="T82" s="25">
        <f>IF(VLOOKUP(B82,'Data qoq'!$A:$AT,MATCH($T$1,'Data qoq'!$A$1:$AT$1,),)=0,#N/A,VLOOKUP(B82,'Data qoq'!$A:$AT,MATCH($T$1,'Data qoq'!$A$1:$AT$1,),))</f>
        <v>0.41731664600000001</v>
      </c>
      <c r="U82" s="25">
        <f>IF(VLOOKUP(B82,'Data qoq'!$A:$AT,MATCH($U$1,'Data qoq'!$A$1:$AT$1,),)=0,#N/A,VLOOKUP(B82,'Data qoq'!$A:$AT,MATCH($U$1,'Data qoq'!$A$1:$AT$1,),))</f>
        <v>-0.90066924199999998</v>
      </c>
      <c r="V82" s="25">
        <f>IF(VLOOKUP(B82,'Data qoq'!$A:$AT,MATCH($V$1,'Data qoq'!$A$1:$AT$1,),)=0,#N/A,VLOOKUP(B82,'Data qoq'!$A:$AT,MATCH($V$1,'Data qoq'!$A$1:$AT$1,),))</f>
        <v>5.235186476</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1.7908586820000001</v>
      </c>
      <c r="Z82" s="25">
        <f>IF(VLOOKUP(B82,'Data qoq'!$A:$AU,MATCH($Z$1,'Data qoq'!$A$1:$AU$1,),)=0,#N/A,VLOOKUP(B82,'Data qoq'!$A:$AU,MATCH($Z$1,'Data qoq'!$A$1:$AU$1,),))</f>
        <v>1.0770987990000001</v>
      </c>
      <c r="AA82" s="25">
        <f>IF(VLOOKUP(B82,'Data qoq'!$A:$AU,MATCH($AA$1,'Data qoq'!$A$1:$AU$1,),)=0,#N/A,VLOOKUP(B82,'Data qoq'!$A:$AU,MATCH($AA$1,'Data qoq'!$A$1:$AU$1,),))</f>
        <v>0.84526422700000003</v>
      </c>
      <c r="AC82" s="26" t="str">
        <f t="shared" si="10"/>
        <v>2017-Q4</v>
      </c>
      <c r="AD82" s="27">
        <f t="shared" si="11"/>
        <v>0.13502210000000003</v>
      </c>
      <c r="AE82" s="27"/>
    </row>
    <row r="83" spans="2:31" x14ac:dyDescent="0.2">
      <c r="B83" s="24" t="s">
        <v>349</v>
      </c>
      <c r="C83" s="25">
        <f>IF(VLOOKUP(B83,'Data qoq'!$A:$AT,MATCH($C$1,'Data qoq'!$A$1:$AT$1,),)=0,#N/A,VLOOKUP(B83,'Data qoq'!$A:$AT,MATCH($C$1,'Data qoq'!$A$1:$AT$1,),))</f>
        <v>0.76285403600000001</v>
      </c>
      <c r="D83" s="25">
        <f>IF(VLOOKUP(B83,'Data qoq'!$A:$AT,MATCH($D$1,'Data qoq'!$A$1:$AT$1,),)=0,#N/A,VLOOKUP(B83,'Data qoq'!$A:$AT,MATCH($D$1,'Data qoq'!$A$1:$AT$1,),))</f>
        <v>1.8</v>
      </c>
      <c r="E83" s="25">
        <f>IF(VLOOKUP(B83,'Data qoq'!$A:$AT,MATCH($E$1,'Data qoq'!$A$1:$AT$1,),)=0,#N/A,VLOOKUP(B83,'Data qoq'!$A:$AT,MATCH($E$1,'Data qoq'!$A$1:$AT$1,),))</f>
        <v>7.0171999999999998E-2</v>
      </c>
      <c r="F83" s="25">
        <f>IF(VLOOKUP(B83,'Data qoq'!$A:$AT,MATCH($F$1,'Data qoq'!$A$1:$AT$1,),)=0,#N/A,VLOOKUP(B83,'Data qoq'!$A:$AT,MATCH($F$1,'Data qoq'!$A$1:$AT$1,),))</f>
        <v>0.188388627</v>
      </c>
      <c r="G83" s="25">
        <f>IF(VLOOKUP(B83,'Data qoq'!$A:$AT,MATCH($G$1,'Data qoq'!$A$1:$AT$1,),)=0,#N/A,VLOOKUP(B83,'Data qoq'!$A:$AT,MATCH($G$1,'Data qoq'!$A$1:$AT$1,),))</f>
        <v>-0.43237680299999998</v>
      </c>
      <c r="H83" s="25">
        <f>IF(VLOOKUP(B83,'Data qoq'!$A:$AT,MATCH($H$1,'Data qoq'!$A$1:$AT$1,),)=0,#N/A,VLOOKUP(B83,'Data qoq'!$A:$AT,MATCH($H$1,'Data qoq'!$A$1:$AT$1,),))</f>
        <v>5.3749285000000001E-2</v>
      </c>
      <c r="I83" s="25">
        <f>IF(VLOOKUP(B83,'Data qoq'!$A:$AT,MATCH($I$1,'Data qoq'!$A$1:$AT$1,),)=0,#N/A,VLOOKUP(B83,'Data qoq'!$A:$AT,MATCH($I$1,'Data qoq'!$A$1:$AT$1,),))</f>
        <v>0.23670644599999999</v>
      </c>
      <c r="J83" s="25">
        <f>IF(VLOOKUP(B83,'Data qoq'!$A:$AT,MATCH($J$1,'Data qoq'!$A$1:$AT$1,),)=0,#N/A,VLOOKUP(B83,'Data qoq'!$A:$AT,MATCH($J$1,'Data qoq'!$A$1:$AT$1,),))</f>
        <v>-4.3945414000000002E-2</v>
      </c>
      <c r="K83" s="25">
        <f>IF(VLOOKUP(B83,'Data qoq'!$A:$AT,MATCH($K$1,'Data qoq'!$A$1:$AT$1,),)=0,#N/A,VLOOKUP(B83,'Data qoq'!$A:$AT,MATCH($K$1,'Data qoq'!$A$1:$AT$1,),))</f>
        <v>0.37784204100000002</v>
      </c>
      <c r="L83" s="25">
        <f>IF(VLOOKUP(B83,'Data qoq'!$A:$AT,MATCH($L$1,'Data qoq'!$A$1:$AT$1,),)=0,#N/A,VLOOKUP(B83,'Data qoq'!$A:$AT,MATCH($L$1,'Data qoq'!$A$1:$AT$1,),))</f>
        <v>0.40587189800000001</v>
      </c>
      <c r="M83" s="25">
        <f>IF(VLOOKUP(B83,'Data qoq'!$A:$AT,MATCH($M$1,'Data qoq'!$A$1:$AT$1,),)=0,#N/A,VLOOKUP(B83,'Data qoq'!$A:$AT,MATCH($M$1,'Data qoq'!$A$1:$AT$1,),))</f>
        <v>1.1161967719999999</v>
      </c>
      <c r="N83" s="25">
        <f>IF(VLOOKUP(B83,'Data qoq'!$A:$AT,MATCH($N$1,'Data qoq'!$A$1:$AT$1,),)=0,#N/A,VLOOKUP(B83,'Data qoq'!$A:$AT,MATCH($N$1,'Data qoq'!$A$1:$AT$1,),))</f>
        <v>1.3560321909999999</v>
      </c>
      <c r="O83" s="25">
        <f>IF(VLOOKUP(B83,'Data qoq'!$A:$AT,MATCH($O$1,'Data qoq'!$J$1:$AT$1,),)=0,#N/A,VLOOKUP(B83,'Data qoq'!$A:$AT,MATCH($O$1,'Data qoq'!$J$1:$AT$1,),))</f>
        <v>0.37784204100000002</v>
      </c>
      <c r="P83" s="25">
        <f>IF(VLOOKUP(B83,'Data qoq'!$A:$AT,MATCH($P$1,'Data qoq'!$A$1:$AT$1,),)=0,#N/A,VLOOKUP(B83,'Data qoq'!$A:$AT,MATCH($P$1,'Data qoq'!$A$1:$AT$1,),))</f>
        <v>0.87523928100000004</v>
      </c>
      <c r="Q83" s="25">
        <f>IF(VLOOKUP(B83,'Data qoq'!$A:$AT,MATCH($Q$1,'Data qoq'!$A$1:$AT$1,),)=0,#N/A,VLOOKUP(B83,'Data qoq'!$A:$AT,MATCH($Q$1,'Data qoq'!$A$1:$AT$1,),))</f>
        <v>0.85869119000000005</v>
      </c>
      <c r="R83" s="25">
        <f>IF(VLOOKUP(B83,'Data qoq'!$A:$AT,MATCH($R$1,'Data qoq'!$A$1:$AT$1,),)=0,#N/A,VLOOKUP(B83,'Data qoq'!$A:$AT,MATCH($R$1,'Data qoq'!$A$1:$AT$1,),))</f>
        <v>1.065668904</v>
      </c>
      <c r="S83" s="25">
        <f>IF(VLOOKUP(B83,'Data qoq'!$A:$AT,MATCH($S$1,'Data qoq'!$A$1:$AT$1,),)=0,#N/A,VLOOKUP(B83,'Data qoq'!$A:$AT,MATCH($S$1,'Data qoq'!$A$1:$AT$1,),))</f>
        <v>1.2058517710000001</v>
      </c>
      <c r="T83" s="25">
        <f>IF(VLOOKUP(B83,'Data qoq'!$A:$AT,MATCH($T$1,'Data qoq'!$A$1:$AT$1,),)=0,#N/A,VLOOKUP(B83,'Data qoq'!$A:$AT,MATCH($T$1,'Data qoq'!$A$1:$AT$1,),))</f>
        <v>0.53770878300000002</v>
      </c>
      <c r="U83" s="25">
        <f>IF(VLOOKUP(B83,'Data qoq'!$A:$AT,MATCH($U$1,'Data qoq'!$A$1:$AT$1,),)=0,#N/A,VLOOKUP(B83,'Data qoq'!$A:$AT,MATCH($U$1,'Data qoq'!$A$1:$AT$1,),))</f>
        <v>1.421705561</v>
      </c>
      <c r="V83" s="25">
        <f>IF(VLOOKUP(B83,'Data qoq'!$A:$AT,MATCH($V$1,'Data qoq'!$A$1:$AT$1,),)=0,#N/A,VLOOKUP(B83,'Data qoq'!$A:$AT,MATCH($V$1,'Data qoq'!$A$1:$AT$1,),))</f>
        <v>0.56939098399999999</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1.240069372</v>
      </c>
      <c r="Z83" s="25">
        <f>IF(VLOOKUP(B83,'Data qoq'!$A:$AU,MATCH($Z$1,'Data qoq'!$A$1:$AU$1,),)=0,#N/A,VLOOKUP(B83,'Data qoq'!$A:$AU,MATCH($Z$1,'Data qoq'!$A$1:$AU$1,),))</f>
        <v>-0.37492515399999998</v>
      </c>
      <c r="AA83" s="25">
        <f>IF(VLOOKUP(B83,'Data qoq'!$A:$AU,MATCH($AA$1,'Data qoq'!$A$1:$AU$1,),)=0,#N/A,VLOOKUP(B83,'Data qoq'!$A:$AU,MATCH($AA$1,'Data qoq'!$A$1:$AU$1,),))</f>
        <v>0.76670673499999997</v>
      </c>
      <c r="AC83" s="26" t="str">
        <f t="shared" si="10"/>
        <v>2018-Q1</v>
      </c>
      <c r="AD83" s="27">
        <f t="shared" si="11"/>
        <v>1.1952308389999999</v>
      </c>
      <c r="AE83" s="27"/>
    </row>
    <row r="84" spans="2:31" s="70" customFormat="1" x14ac:dyDescent="0.2">
      <c r="B84" s="24" t="s">
        <v>350</v>
      </c>
      <c r="C84" s="25">
        <f>IF(VLOOKUP(B84,'Data qoq'!$A:$AT,MATCH($C$1,'Data qoq'!$A$1:$AT$1,),)=0,#N/A,VLOOKUP(B84,'Data qoq'!$A:$AT,MATCH($C$1,'Data qoq'!$A$1:$AT$1,),))</f>
        <v>0.83391090899999998</v>
      </c>
      <c r="D84" s="25">
        <f>IF(VLOOKUP(B84,'Data qoq'!$A:$AT,MATCH($D$1,'Data qoq'!$A$1:$AT$1,),)=0,#N/A,VLOOKUP(B84,'Data qoq'!$A:$AT,MATCH($D$1,'Data qoq'!$A$1:$AT$1,),))</f>
        <v>1.6</v>
      </c>
      <c r="E84" s="25">
        <f>IF(VLOOKUP(B84,'Data qoq'!$A:$AT,MATCH($E$1,'Data qoq'!$A$1:$AT$1,),)=0,#N/A,VLOOKUP(B84,'Data qoq'!$A:$AT,MATCH($E$1,'Data qoq'!$A$1:$AT$1,),))</f>
        <v>0.51837200000000005</v>
      </c>
      <c r="F84" s="25">
        <f>IF(VLOOKUP(B84,'Data qoq'!$A:$AT,MATCH($F$1,'Data qoq'!$A$1:$AT$1,),)=0,#N/A,VLOOKUP(B84,'Data qoq'!$A:$AT,MATCH($F$1,'Data qoq'!$A$1:$AT$1,),))</f>
        <v>0.37752781000000002</v>
      </c>
      <c r="G84" s="25">
        <f>IF(VLOOKUP(B84,'Data qoq'!$A:$AT,MATCH($G$1,'Data qoq'!$A$1:$AT$1,),)=0,#N/A,VLOOKUP(B84,'Data qoq'!$A:$AT,MATCH($G$1,'Data qoq'!$A$1:$AT$1,),))</f>
        <v>0.55697716399999997</v>
      </c>
      <c r="H84" s="25">
        <f>IF(VLOOKUP(B84,'Data qoq'!$A:$AT,MATCH($H$1,'Data qoq'!$A$1:$AT$1,),)=0,#N/A,VLOOKUP(B84,'Data qoq'!$A:$AT,MATCH($H$1,'Data qoq'!$A$1:$AT$1,),))</f>
        <v>0.44500399299999999</v>
      </c>
      <c r="I84" s="25">
        <f>IF(VLOOKUP(B84,'Data qoq'!$A:$AT,MATCH($I$1,'Data qoq'!$A$1:$AT$1,),)=0,#N/A,VLOOKUP(B84,'Data qoq'!$A:$AT,MATCH($I$1,'Data qoq'!$A$1:$AT$1,),))</f>
        <v>0.54664776000000004</v>
      </c>
      <c r="J84" s="25">
        <f>IF(VLOOKUP(B84,'Data qoq'!$A:$AT,MATCH($J$1,'Data qoq'!$A$1:$AT$1,),)=0,#N/A,VLOOKUP(B84,'Data qoq'!$A:$AT,MATCH($J$1,'Data qoq'!$A$1:$AT$1,),))</f>
        <v>4.7224831000000002E-2</v>
      </c>
      <c r="K84" s="25">
        <f>IF(VLOOKUP(B84,'Data qoq'!$A:$AT,MATCH($K$1,'Data qoq'!$A$1:$AT$1,),)=0,#N/A,VLOOKUP(B84,'Data qoq'!$A:$AT,MATCH($K$1,'Data qoq'!$A$1:$AT$1,),))</f>
        <v>0.586193572</v>
      </c>
      <c r="L84" s="25">
        <f>IF(VLOOKUP(B84,'Data qoq'!$A:$AT,MATCH($L$1,'Data qoq'!$A$1:$AT$1,),)=0,#N/A,VLOOKUP(B84,'Data qoq'!$A:$AT,MATCH($L$1,'Data qoq'!$A$1:$AT$1,),))</f>
        <v>1.0510785819999999</v>
      </c>
      <c r="M84" s="25">
        <f>IF(VLOOKUP(B84,'Data qoq'!$A:$AT,MATCH($M$1,'Data qoq'!$A$1:$AT$1,),)=0,#N/A,VLOOKUP(B84,'Data qoq'!$A:$AT,MATCH($M$1,'Data qoq'!$A$1:$AT$1,),))</f>
        <v>-1.170218E-2</v>
      </c>
      <c r="N84" s="25">
        <f>IF(VLOOKUP(B84,'Data qoq'!$A:$AT,MATCH($N$1,'Data qoq'!$A$1:$AT$1,),)=0,#N/A,VLOOKUP(B84,'Data qoq'!$A:$AT,MATCH($N$1,'Data qoq'!$A$1:$AT$1,),))</f>
        <v>0.55794653999999999</v>
      </c>
      <c r="O84" s="25">
        <f>IF(VLOOKUP(B84,'Data qoq'!$A:$AT,MATCH($O$1,'Data qoq'!$J$1:$AT$1,),)=0,#N/A,VLOOKUP(B84,'Data qoq'!$A:$AT,MATCH($O$1,'Data qoq'!$J$1:$AT$1,),))</f>
        <v>0.586193572</v>
      </c>
      <c r="P84" s="25">
        <f>IF(VLOOKUP(B84,'Data qoq'!$A:$AT,MATCH($P$1,'Data qoq'!$A$1:$AT$1,),)=0,#N/A,VLOOKUP(B84,'Data qoq'!$A:$AT,MATCH($P$1,'Data qoq'!$A$1:$AT$1,),))</f>
        <v>0.78510534099999996</v>
      </c>
      <c r="Q84" s="25">
        <f>IF(VLOOKUP(B84,'Data qoq'!$A:$AT,MATCH($Q$1,'Data qoq'!$A$1:$AT$1,),)=0,#N/A,VLOOKUP(B84,'Data qoq'!$A:$AT,MATCH($Q$1,'Data qoq'!$A$1:$AT$1,),))</f>
        <v>0.88488481100000005</v>
      </c>
      <c r="R84" s="25">
        <f>IF(VLOOKUP(B84,'Data qoq'!$A:$AT,MATCH($R$1,'Data qoq'!$A$1:$AT$1,),)=0,#N/A,VLOOKUP(B84,'Data qoq'!$A:$AT,MATCH($R$1,'Data qoq'!$A$1:$AT$1,),))</f>
        <v>0.92495815999999997</v>
      </c>
      <c r="S84" s="25">
        <f>IF(VLOOKUP(B84,'Data qoq'!$A:$AT,MATCH($S$1,'Data qoq'!$A$1:$AT$1,),)=0,#N/A,VLOOKUP(B84,'Data qoq'!$A:$AT,MATCH($S$1,'Data qoq'!$A$1:$AT$1,),))</f>
        <v>0.63659708500000001</v>
      </c>
      <c r="T84" s="25">
        <f>IF(VLOOKUP(B84,'Data qoq'!$A:$AT,MATCH($T$1,'Data qoq'!$A$1:$AT$1,),)=0,#N/A,VLOOKUP(B84,'Data qoq'!$A:$AT,MATCH($T$1,'Data qoq'!$A$1:$AT$1,),))</f>
        <v>0.16501124</v>
      </c>
      <c r="U84" s="25">
        <f>IF(VLOOKUP(B84,'Data qoq'!$A:$AT,MATCH($U$1,'Data qoq'!$A$1:$AT$1,),)=0,#N/A,VLOOKUP(B84,'Data qoq'!$A:$AT,MATCH($U$1,'Data qoq'!$A$1:$AT$1,),))</f>
        <v>0.14050528100000001</v>
      </c>
      <c r="V84" s="25">
        <f>IF(VLOOKUP(B84,'Data qoq'!$A:$AT,MATCH($V$1,'Data qoq'!$A$1:$AT$1,),)=0,#N/A,VLOOKUP(B84,'Data qoq'!$A:$AT,MATCH($V$1,'Data qoq'!$A$1:$AT$1,),))</f>
        <v>3.0405790619999999</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1.3509185610000001</v>
      </c>
      <c r="Z84" s="25">
        <f>IF(VLOOKUP(B84,'Data qoq'!$A:$AU,MATCH($Z$1,'Data qoq'!$A$1:$AU$1,),)=0,#N/A,VLOOKUP(B84,'Data qoq'!$A:$AU,MATCH($Z$1,'Data qoq'!$A$1:$AU$1,),))</f>
        <v>-4.5703771580000003</v>
      </c>
      <c r="AA84" s="25">
        <f>IF(VLOOKUP(B84,'Data qoq'!$A:$AU,MATCH($AA$1,'Data qoq'!$A$1:$AU$1,),)=0,#N/A,VLOOKUP(B84,'Data qoq'!$A:$AU,MATCH($AA$1,'Data qoq'!$A$1:$AU$1,),))</f>
        <v>1.1139052780000001</v>
      </c>
      <c r="AC84" s="26" t="str">
        <f t="shared" si="10"/>
        <v>2018-Q2</v>
      </c>
      <c r="AD84" s="27">
        <f t="shared" si="11"/>
        <v>0.27693374500000001</v>
      </c>
      <c r="AE84" s="27"/>
    </row>
    <row r="85" spans="2:31" s="70" customFormat="1" x14ac:dyDescent="0.2">
      <c r="B85" s="24" t="s">
        <v>351</v>
      </c>
      <c r="C85" s="25">
        <f>IF(VLOOKUP(B85,'Data qoq'!$A:$AT,MATCH($C$1,'Data qoq'!$A$1:$AT$1,),)=0,#N/A,VLOOKUP(B85,'Data qoq'!$A:$AT,MATCH($C$1,'Data qoq'!$A$1:$AT$1,),))</f>
        <v>0.481952559</v>
      </c>
      <c r="D85" s="25">
        <f>IF(VLOOKUP(B85,'Data qoq'!$A:$AT,MATCH($D$1,'Data qoq'!$A$1:$AT$1,),)=0,#N/A,VLOOKUP(B85,'Data qoq'!$A:$AT,MATCH($D$1,'Data qoq'!$A$1:$AT$1,),))</f>
        <v>1.4</v>
      </c>
      <c r="E85" s="25">
        <f>IF(VLOOKUP(B85,'Data qoq'!$A:$AT,MATCH($E$1,'Data qoq'!$A$1:$AT$1,),)=0,#N/A,VLOOKUP(B85,'Data qoq'!$A:$AT,MATCH($E$1,'Data qoq'!$A$1:$AT$1,),))</f>
        <v>7.6605999999999994E-2</v>
      </c>
      <c r="F85" s="25">
        <f>IF(VLOOKUP(B85,'Data qoq'!$A:$AT,MATCH($F$1,'Data qoq'!$A$1:$AT$1,),)=0,#N/A,VLOOKUP(B85,'Data qoq'!$A:$AT,MATCH($F$1,'Data qoq'!$A$1:$AT$1,),))</f>
        <v>-0.73769834300000003</v>
      </c>
      <c r="G85" s="25">
        <f>IF(VLOOKUP(B85,'Data qoq'!$A:$AT,MATCH($G$1,'Data qoq'!$A$1:$AT$1,),)=0,#N/A,VLOOKUP(B85,'Data qoq'!$A:$AT,MATCH($G$1,'Data qoq'!$A$1:$AT$1,),))</f>
        <v>-0.42245680400000002</v>
      </c>
      <c r="H85" s="25">
        <f>IF(VLOOKUP(B85,'Data qoq'!$A:$AT,MATCH($H$1,'Data qoq'!$A$1:$AT$1,),)=0,#N/A,VLOOKUP(B85,'Data qoq'!$A:$AT,MATCH($H$1,'Data qoq'!$A$1:$AT$1,),))</f>
        <v>0.40190562600000002</v>
      </c>
      <c r="I85" s="25">
        <f>IF(VLOOKUP(B85,'Data qoq'!$A:$AT,MATCH($I$1,'Data qoq'!$A$1:$AT$1,),)=0,#N/A,VLOOKUP(B85,'Data qoq'!$A:$AT,MATCH($I$1,'Data qoq'!$A$1:$AT$1,),))</f>
        <v>0.63172701600000003</v>
      </c>
      <c r="J85" s="25">
        <f>IF(VLOOKUP(B85,'Data qoq'!$A:$AT,MATCH($J$1,'Data qoq'!$A$1:$AT$1,),)=0,#N/A,VLOOKUP(B85,'Data qoq'!$A:$AT,MATCH($J$1,'Data qoq'!$A$1:$AT$1,),))</f>
        <v>0.102085966</v>
      </c>
      <c r="K85" s="25">
        <f>IF(VLOOKUP(B85,'Data qoq'!$A:$AT,MATCH($K$1,'Data qoq'!$A$1:$AT$1,),)=0,#N/A,VLOOKUP(B85,'Data qoq'!$A:$AT,MATCH($K$1,'Data qoq'!$A$1:$AT$1,),))</f>
        <v>0.51760508999999999</v>
      </c>
      <c r="L85" s="25">
        <f>IF(VLOOKUP(B85,'Data qoq'!$A:$AT,MATCH($L$1,'Data qoq'!$A$1:$AT$1,),)=0,#N/A,VLOOKUP(B85,'Data qoq'!$A:$AT,MATCH($L$1,'Data qoq'!$A$1:$AT$1,),))</f>
        <v>-0.78887550799999995</v>
      </c>
      <c r="M85" s="25">
        <f>IF(VLOOKUP(B85,'Data qoq'!$A:$AT,MATCH($M$1,'Data qoq'!$A$1:$AT$1,),)=0,#N/A,VLOOKUP(B85,'Data qoq'!$A:$AT,MATCH($M$1,'Data qoq'!$A$1:$AT$1,),))</f>
        <v>0.46712645800000002</v>
      </c>
      <c r="N85" s="25">
        <f>IF(VLOOKUP(B85,'Data qoq'!$A:$AT,MATCH($N$1,'Data qoq'!$A$1:$AT$1,),)=0,#N/A,VLOOKUP(B85,'Data qoq'!$A:$AT,MATCH($N$1,'Data qoq'!$A$1:$AT$1,),))</f>
        <v>0.24136882100000001</v>
      </c>
      <c r="O85" s="25">
        <f>IF(VLOOKUP(B85,'Data qoq'!$A:$AT,MATCH($O$1,'Data qoq'!$J$1:$AT$1,),)=0,#N/A,VLOOKUP(B85,'Data qoq'!$A:$AT,MATCH($O$1,'Data qoq'!$J$1:$AT$1,),))</f>
        <v>0.51760508999999999</v>
      </c>
      <c r="P85" s="25">
        <f>IF(VLOOKUP(B85,'Data qoq'!$A:$AT,MATCH($P$1,'Data qoq'!$A$1:$AT$1,),)=0,#N/A,VLOOKUP(B85,'Data qoq'!$A:$AT,MATCH($P$1,'Data qoq'!$A$1:$AT$1,),))</f>
        <v>0.690122507</v>
      </c>
      <c r="Q85" s="25">
        <f>IF(VLOOKUP(B85,'Data qoq'!$A:$AT,MATCH($Q$1,'Data qoq'!$A$1:$AT$1,),)=0,#N/A,VLOOKUP(B85,'Data qoq'!$A:$AT,MATCH($Q$1,'Data qoq'!$A$1:$AT$1,),))</f>
        <v>0.42480883600000002</v>
      </c>
      <c r="R85" s="25">
        <f>IF(VLOOKUP(B85,'Data qoq'!$A:$AT,MATCH($R$1,'Data qoq'!$A$1:$AT$1,),)=0,#N/A,VLOOKUP(B85,'Data qoq'!$A:$AT,MATCH($R$1,'Data qoq'!$A$1:$AT$1,),))</f>
        <v>-0.22981963499999999</v>
      </c>
      <c r="S85" s="25">
        <f>IF(VLOOKUP(B85,'Data qoq'!$A:$AT,MATCH($S$1,'Data qoq'!$A$1:$AT$1,),)=0,#N/A,VLOOKUP(B85,'Data qoq'!$A:$AT,MATCH($S$1,'Data qoq'!$A$1:$AT$1,),))</f>
        <v>0.73084833199999999</v>
      </c>
      <c r="T85" s="25">
        <f>IF(VLOOKUP(B85,'Data qoq'!$A:$AT,MATCH($T$1,'Data qoq'!$A$1:$AT$1,),)=0,#N/A,VLOOKUP(B85,'Data qoq'!$A:$AT,MATCH($T$1,'Data qoq'!$A$1:$AT$1,),))</f>
        <v>0.90548108299999996</v>
      </c>
      <c r="U85" s="25">
        <f>IF(VLOOKUP(B85,'Data qoq'!$A:$AT,MATCH($U$1,'Data qoq'!$A$1:$AT$1,),)=0,#N/A,VLOOKUP(B85,'Data qoq'!$A:$AT,MATCH($U$1,'Data qoq'!$A$1:$AT$1,),))</f>
        <v>-0.27159699100000001</v>
      </c>
      <c r="V85" s="25">
        <f>IF(VLOOKUP(B85,'Data qoq'!$A:$AT,MATCH($V$1,'Data qoq'!$A$1:$AT$1,),)=0,#N/A,VLOOKUP(B85,'Data qoq'!$A:$AT,MATCH($V$1,'Data qoq'!$A$1:$AT$1,),))</f>
        <v>-0.84431091300000005</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1.321005751</v>
      </c>
      <c r="Z85" s="25">
        <f>IF(VLOOKUP(B85,'Data qoq'!$A:$AU,MATCH($Z$1,'Data qoq'!$A$1:$AU$1,),)=0,#N/A,VLOOKUP(B85,'Data qoq'!$A:$AU,MATCH($Z$1,'Data qoq'!$A$1:$AU$1,),))</f>
        <v>-0.232955567</v>
      </c>
      <c r="AA85" s="25">
        <f>IF(VLOOKUP(B85,'Data qoq'!$A:$AU,MATCH($AA$1,'Data qoq'!$A$1:$AU$1,),)=0,#N/A,VLOOKUP(B85,'Data qoq'!$A:$AU,MATCH($AA$1,'Data qoq'!$A$1:$AU$1,),))</f>
        <v>0.28377839799999999</v>
      </c>
      <c r="AC85" s="26" t="str">
        <f t="shared" si="10"/>
        <v>2018-Q3</v>
      </c>
      <c r="AD85" s="27">
        <f t="shared" si="11"/>
        <v>0.90440936300000008</v>
      </c>
      <c r="AE85" s="27"/>
    </row>
    <row r="86" spans="2:31" s="70" customFormat="1" x14ac:dyDescent="0.2">
      <c r="B86" s="24" t="s">
        <v>352</v>
      </c>
      <c r="C86" s="25">
        <f>IF(VLOOKUP(B86,'Data qoq'!$A:$AT,MATCH($C$1,'Data qoq'!$A$1:$AT$1,),)=0,#N/A,VLOOKUP(B86,'Data qoq'!$A:$AT,MATCH($C$1,'Data qoq'!$A$1:$AT$1,),))</f>
        <v>0.22314183500000001</v>
      </c>
      <c r="D86" s="25">
        <f>IF(VLOOKUP(B86,'Data qoq'!$A:$AT,MATCH($D$1,'Data qoq'!$A$1:$AT$1,),)=0,#N/A,VLOOKUP(B86,'Data qoq'!$A:$AT,MATCH($D$1,'Data qoq'!$A$1:$AT$1,),))</f>
        <v>1.5</v>
      </c>
      <c r="E86" s="25">
        <f>IF(VLOOKUP(B86,'Data qoq'!$A:$AT,MATCH($E$1,'Data qoq'!$A$1:$AT$1,),)=0,#N/A,VLOOKUP(B86,'Data qoq'!$A:$AT,MATCH($E$1,'Data qoq'!$A$1:$AT$1,),))</f>
        <v>0.53432299999999999</v>
      </c>
      <c r="F86" s="25">
        <f>IF(VLOOKUP(B86,'Data qoq'!$A:$AT,MATCH($F$1,'Data qoq'!$A$1:$AT$1,),)=0,#N/A,VLOOKUP(B86,'Data qoq'!$A:$AT,MATCH($F$1,'Data qoq'!$A$1:$AT$1,),))</f>
        <v>-0.25707340499999998</v>
      </c>
      <c r="G86" s="25">
        <f>IF(VLOOKUP(B86,'Data qoq'!$A:$AT,MATCH($G$1,'Data qoq'!$A$1:$AT$1,),)=0,#N/A,VLOOKUP(B86,'Data qoq'!$A:$AT,MATCH($G$1,'Data qoq'!$A$1:$AT$1,),))</f>
        <v>0.38653663199999999</v>
      </c>
      <c r="H86" s="25">
        <f>IF(VLOOKUP(B86,'Data qoq'!$A:$AT,MATCH($H$1,'Data qoq'!$A$1:$AT$1,),)=0,#N/A,VLOOKUP(B86,'Data qoq'!$A:$AT,MATCH($H$1,'Data qoq'!$A$1:$AT$1,),))</f>
        <v>0.57941503500000002</v>
      </c>
      <c r="I86" s="25">
        <f>IF(VLOOKUP(B86,'Data qoq'!$A:$AT,MATCH($I$1,'Data qoq'!$A$1:$AT$1,),)=0,#N/A,VLOOKUP(B86,'Data qoq'!$A:$AT,MATCH($I$1,'Data qoq'!$A$1:$AT$1,),))</f>
        <v>0.33544084299999999</v>
      </c>
      <c r="J86" s="25">
        <f>IF(VLOOKUP(B86,'Data qoq'!$A:$AT,MATCH($J$1,'Data qoq'!$A$1:$AT$1,),)=0,#N/A,VLOOKUP(B86,'Data qoq'!$A:$AT,MATCH($J$1,'Data qoq'!$A$1:$AT$1,),))</f>
        <v>0.29448249300000001</v>
      </c>
      <c r="K86" s="25">
        <f>IF(VLOOKUP(B86,'Data qoq'!$A:$AT,MATCH($K$1,'Data qoq'!$A$1:$AT$1,),)=0,#N/A,VLOOKUP(B86,'Data qoq'!$A:$AT,MATCH($K$1,'Data qoq'!$A$1:$AT$1,),))</f>
        <v>0.67498396100000002</v>
      </c>
      <c r="L86" s="25">
        <f>IF(VLOOKUP(B86,'Data qoq'!$A:$AT,MATCH($L$1,'Data qoq'!$A$1:$AT$1,),)=0,#N/A,VLOOKUP(B86,'Data qoq'!$A:$AT,MATCH($L$1,'Data qoq'!$A$1:$AT$1,),))</f>
        <v>1.2659556329999999</v>
      </c>
      <c r="M86" s="25">
        <f>IF(VLOOKUP(B86,'Data qoq'!$A:$AT,MATCH($M$1,'Data qoq'!$A$1:$AT$1,),)=0,#N/A,VLOOKUP(B86,'Data qoq'!$A:$AT,MATCH($M$1,'Data qoq'!$A$1:$AT$1,),))</f>
        <v>-0.30347709</v>
      </c>
      <c r="N86" s="25">
        <f>IF(VLOOKUP(B86,'Data qoq'!$A:$AT,MATCH($N$1,'Data qoq'!$A$1:$AT$1,),)=0,#N/A,VLOOKUP(B86,'Data qoq'!$A:$AT,MATCH($N$1,'Data qoq'!$A$1:$AT$1,),))</f>
        <v>0.66396654799999999</v>
      </c>
      <c r="O86" s="25">
        <f>IF(VLOOKUP(B86,'Data qoq'!$A:$AT,MATCH($O$1,'Data qoq'!$J$1:$AT$1,),)=0,#N/A,VLOOKUP(B86,'Data qoq'!$A:$AT,MATCH($O$1,'Data qoq'!$J$1:$AT$1,),))</f>
        <v>0.67498396100000002</v>
      </c>
      <c r="P86" s="25">
        <f>IF(VLOOKUP(B86,'Data qoq'!$A:$AT,MATCH($P$1,'Data qoq'!$A$1:$AT$1,),)=0,#N/A,VLOOKUP(B86,'Data qoq'!$A:$AT,MATCH($P$1,'Data qoq'!$A$1:$AT$1,),))</f>
        <v>0.34086954200000003</v>
      </c>
      <c r="Q86" s="25">
        <f>IF(VLOOKUP(B86,'Data qoq'!$A:$AT,MATCH($Q$1,'Data qoq'!$A$1:$AT$1,),)=0,#N/A,VLOOKUP(B86,'Data qoq'!$A:$AT,MATCH($Q$1,'Data qoq'!$A$1:$AT$1,),))</f>
        <v>0.12781652900000001</v>
      </c>
      <c r="R86" s="25">
        <f>IF(VLOOKUP(B86,'Data qoq'!$A:$AT,MATCH($R$1,'Data qoq'!$A$1:$AT$1,),)=0,#N/A,VLOOKUP(B86,'Data qoq'!$A:$AT,MATCH($R$1,'Data qoq'!$A$1:$AT$1,),))</f>
        <v>0.234257242</v>
      </c>
      <c r="S86" s="25">
        <f>IF(VLOOKUP(B86,'Data qoq'!$A:$AT,MATCH($S$1,'Data qoq'!$A$1:$AT$1,),)=0,#N/A,VLOOKUP(B86,'Data qoq'!$A:$AT,MATCH($S$1,'Data qoq'!$A$1:$AT$1,),))</f>
        <v>0.70031295599999999</v>
      </c>
      <c r="T86" s="25">
        <f>IF(VLOOKUP(B86,'Data qoq'!$A:$AT,MATCH($T$1,'Data qoq'!$A$1:$AT$1,),)=0,#N/A,VLOOKUP(B86,'Data qoq'!$A:$AT,MATCH($T$1,'Data qoq'!$A$1:$AT$1,),))</f>
        <v>-0.33840257400000001</v>
      </c>
      <c r="U86" s="25">
        <f>IF(VLOOKUP(B86,'Data qoq'!$A:$AT,MATCH($U$1,'Data qoq'!$A$1:$AT$1,),)=0,#N/A,VLOOKUP(B86,'Data qoq'!$A:$AT,MATCH($U$1,'Data qoq'!$A$1:$AT$1,),))</f>
        <v>0.66972307499999995</v>
      </c>
      <c r="V86" s="25">
        <f>IF(VLOOKUP(B86,'Data qoq'!$A:$AT,MATCH($V$1,'Data qoq'!$A$1:$AT$1,),)=0,#N/A,VLOOKUP(B86,'Data qoq'!$A:$AT,MATCH($V$1,'Data qoq'!$A$1:$AT$1,),))</f>
        <v>1.2298149380000001</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0.94567659199999998</v>
      </c>
      <c r="Z86" s="25">
        <f>IF(VLOOKUP(B86,'Data qoq'!$A:$AU,MATCH($Z$1,'Data qoq'!$A$1:$AU$1,),)=0,#N/A,VLOOKUP(B86,'Data qoq'!$A:$AU,MATCH($Z$1,'Data qoq'!$A$1:$AU$1,),))</f>
        <v>-1.351812936</v>
      </c>
      <c r="AA86" s="25">
        <f>IF(VLOOKUP(B86,'Data qoq'!$A:$AU,MATCH($AA$1,'Data qoq'!$A$1:$AU$1,),)=0,#N/A,VLOOKUP(B86,'Data qoq'!$A:$AU,MATCH($AA$1,'Data qoq'!$A$1:$AU$1,),))</f>
        <v>1.2686199389999999</v>
      </c>
      <c r="AC86" s="26" t="str">
        <f t="shared" si="10"/>
        <v>2018-Q4</v>
      </c>
      <c r="AD86" s="27">
        <f t="shared" si="11"/>
        <v>-0.16339479699999998</v>
      </c>
      <c r="AE86" s="27"/>
    </row>
    <row r="87" spans="2:31" s="70" customFormat="1" x14ac:dyDescent="0.2">
      <c r="B87" s="24" t="s">
        <v>353</v>
      </c>
      <c r="C87" s="25">
        <f>IF(VLOOKUP(B87,'Data qoq'!$A:$AT,MATCH($C$1,'Data qoq'!$A$1:$AT$1,),)=0,#N/A,VLOOKUP(B87,'Data qoq'!$A:$AT,MATCH($C$1,'Data qoq'!$A$1:$AT$1,),))</f>
        <v>0.59779028999999995</v>
      </c>
      <c r="D87" s="25">
        <f>IF(VLOOKUP(B87,'Data qoq'!$A:$AT,MATCH($D$1,'Data qoq'!$A$1:$AT$1,),)=0,#N/A,VLOOKUP(B87,'Data qoq'!$A:$AT,MATCH($D$1,'Data qoq'!$A$1:$AT$1,),))</f>
        <v>1.7</v>
      </c>
      <c r="E87" s="25">
        <f>IF(VLOOKUP(B87,'Data qoq'!$A:$AT,MATCH($E$1,'Data qoq'!$A$1:$AT$1,),)=0,#N/A,VLOOKUP(B87,'Data qoq'!$A:$AT,MATCH($E$1,'Data qoq'!$A$1:$AT$1,),))</f>
        <v>0.73657600000000001</v>
      </c>
      <c r="F87" s="25">
        <f>IF(VLOOKUP(B87,'Data qoq'!$A:$AT,MATCH($F$1,'Data qoq'!$A$1:$AT$1,),)=0,#N/A,VLOOKUP(B87,'Data qoq'!$A:$AT,MATCH($F$1,'Data qoq'!$A$1:$AT$1,),))</f>
        <v>0.58336780099999996</v>
      </c>
      <c r="G87" s="25">
        <f>IF(VLOOKUP(B87,'Data qoq'!$A:$AT,MATCH($G$1,'Data qoq'!$A$1:$AT$1,),)=0,#N/A,VLOOKUP(B87,'Data qoq'!$A:$AT,MATCH($G$1,'Data qoq'!$A$1:$AT$1,),))</f>
        <v>1.054195089</v>
      </c>
      <c r="H87" s="25">
        <f>IF(VLOOKUP(B87,'Data qoq'!$A:$AT,MATCH($H$1,'Data qoq'!$A$1:$AT$1,),)=0,#N/A,VLOOKUP(B87,'Data qoq'!$A:$AT,MATCH($H$1,'Data qoq'!$A$1:$AT$1,),))</f>
        <v>0.67664500299999997</v>
      </c>
      <c r="I87" s="25">
        <f>IF(VLOOKUP(B87,'Data qoq'!$A:$AT,MATCH($I$1,'Data qoq'!$A$1:$AT$1,),)=0,#N/A,VLOOKUP(B87,'Data qoq'!$A:$AT,MATCH($I$1,'Data qoq'!$A$1:$AT$1,),))</f>
        <v>0.64195771099999999</v>
      </c>
      <c r="J87" s="25">
        <f>IF(VLOOKUP(B87,'Data qoq'!$A:$AT,MATCH($J$1,'Data qoq'!$A$1:$AT$1,),)=0,#N/A,VLOOKUP(B87,'Data qoq'!$A:$AT,MATCH($J$1,'Data qoq'!$A$1:$AT$1,),))</f>
        <v>0.19086898399999999</v>
      </c>
      <c r="K87" s="25">
        <f>IF(VLOOKUP(B87,'Data qoq'!$A:$AT,MATCH($K$1,'Data qoq'!$A$1:$AT$1,),)=0,#N/A,VLOOKUP(B87,'Data qoq'!$A:$AT,MATCH($K$1,'Data qoq'!$A$1:$AT$1,),))</f>
        <v>0.60131108899999997</v>
      </c>
      <c r="L87" s="25">
        <f>IF(VLOOKUP(B87,'Data qoq'!$A:$AT,MATCH($L$1,'Data qoq'!$A$1:$AT$1,),)=0,#N/A,VLOOKUP(B87,'Data qoq'!$A:$AT,MATCH($L$1,'Data qoq'!$A$1:$AT$1,),))</f>
        <v>0.56086275299999999</v>
      </c>
      <c r="M87" s="25">
        <f>IF(VLOOKUP(B87,'Data qoq'!$A:$AT,MATCH($M$1,'Data qoq'!$A$1:$AT$1,),)=0,#N/A,VLOOKUP(B87,'Data qoq'!$A:$AT,MATCH($M$1,'Data qoq'!$A$1:$AT$1,),))</f>
        <v>2.0687811E-2</v>
      </c>
      <c r="N87" s="25">
        <f>IF(VLOOKUP(B87,'Data qoq'!$A:$AT,MATCH($N$1,'Data qoq'!$A$1:$AT$1,),)=0,#N/A,VLOOKUP(B87,'Data qoq'!$A:$AT,MATCH($N$1,'Data qoq'!$A$1:$AT$1,),))</f>
        <v>-3.8077851000000003E-2</v>
      </c>
      <c r="O87" s="25">
        <f>IF(VLOOKUP(B87,'Data qoq'!$A:$AT,MATCH($O$1,'Data qoq'!$J$1:$AT$1,),)=0,#N/A,VLOOKUP(B87,'Data qoq'!$A:$AT,MATCH($O$1,'Data qoq'!$J$1:$AT$1,),))</f>
        <v>0.60131108899999997</v>
      </c>
      <c r="P87" s="25">
        <f>IF(VLOOKUP(B87,'Data qoq'!$A:$AT,MATCH($P$1,'Data qoq'!$A$1:$AT$1,),)=0,#N/A,VLOOKUP(B87,'Data qoq'!$A:$AT,MATCH($P$1,'Data qoq'!$A$1:$AT$1,),))</f>
        <v>9.0640852999999993E-2</v>
      </c>
      <c r="Q87" s="25">
        <f>IF(VLOOKUP(B87,'Data qoq'!$A:$AT,MATCH($Q$1,'Data qoq'!$A$1:$AT$1,),)=0,#N/A,VLOOKUP(B87,'Data qoq'!$A:$AT,MATCH($Q$1,'Data qoq'!$A$1:$AT$1,),))</f>
        <v>0.41071964100000002</v>
      </c>
      <c r="R87" s="25">
        <f>IF(VLOOKUP(B87,'Data qoq'!$A:$AT,MATCH($R$1,'Data qoq'!$A$1:$AT$1,),)=0,#N/A,VLOOKUP(B87,'Data qoq'!$A:$AT,MATCH($R$1,'Data qoq'!$A$1:$AT$1,),))</f>
        <v>0.25691793000000002</v>
      </c>
      <c r="S87" s="25">
        <f>IF(VLOOKUP(B87,'Data qoq'!$A:$AT,MATCH($S$1,'Data qoq'!$A$1:$AT$1,),)=0,#N/A,VLOOKUP(B87,'Data qoq'!$A:$AT,MATCH($S$1,'Data qoq'!$A$1:$AT$1,),))</f>
        <v>-0.19857931700000001</v>
      </c>
      <c r="T87" s="25">
        <f>IF(VLOOKUP(B87,'Data qoq'!$A:$AT,MATCH($T$1,'Data qoq'!$A$1:$AT$1,),)=0,#N/A,VLOOKUP(B87,'Data qoq'!$A:$AT,MATCH($T$1,'Data qoq'!$A$1:$AT$1,),))</f>
        <v>0.372339743</v>
      </c>
      <c r="U87" s="25">
        <f>IF(VLOOKUP(B87,'Data qoq'!$A:$AT,MATCH($U$1,'Data qoq'!$A$1:$AT$1,),)=0,#N/A,VLOOKUP(B87,'Data qoq'!$A:$AT,MATCH($U$1,'Data qoq'!$A$1:$AT$1,),))</f>
        <v>0.64576718799999999</v>
      </c>
      <c r="V87" s="25">
        <f>IF(VLOOKUP(B87,'Data qoq'!$A:$AT,MATCH($V$1,'Data qoq'!$A$1:$AT$1,),)=0,#N/A,VLOOKUP(B87,'Data qoq'!$A:$AT,MATCH($V$1,'Data qoq'!$A$1:$AT$1,),))</f>
        <v>1.5695858540000001</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1.79920554</v>
      </c>
      <c r="Z87" s="25">
        <f>IF(VLOOKUP(B87,'Data qoq'!$A:$AU,MATCH($Z$1,'Data qoq'!$A$1:$AU$1,),)=0,#N/A,VLOOKUP(B87,'Data qoq'!$A:$AU,MATCH($Z$1,'Data qoq'!$A$1:$AU$1,),))</f>
        <v>1.9902155000000001E-2</v>
      </c>
      <c r="AA87" s="25">
        <f>IF(VLOOKUP(B87,'Data qoq'!$A:$AU,MATCH($AA$1,'Data qoq'!$A$1:$AU$1,),)=0,#N/A,VLOOKUP(B87,'Data qoq'!$A:$AU,MATCH($AA$1,'Data qoq'!$A$1:$AU$1,),))</f>
        <v>0.57612910299999998</v>
      </c>
      <c r="AC87" s="26" t="str">
        <f t="shared" si="10"/>
        <v>2019-Q1</v>
      </c>
      <c r="AD87" s="27">
        <f t="shared" si="11"/>
        <v>-0.45640479900000008</v>
      </c>
      <c r="AE87" s="27"/>
    </row>
    <row r="88" spans="2:31" s="70" customFormat="1" x14ac:dyDescent="0.2">
      <c r="B88" s="24" t="s">
        <v>354</v>
      </c>
      <c r="C88" s="25">
        <f>IF(VLOOKUP(B88,'Data qoq'!$A:$AT,MATCH($C$1,'Data qoq'!$A$1:$AT$1,),)=0,#N/A,VLOOKUP(B88,'Data qoq'!$A:$AT,MATCH($C$1,'Data qoq'!$A$1:$AT$1,),))</f>
        <v>0.79292440799999997</v>
      </c>
      <c r="D88" s="25">
        <f>IF(VLOOKUP(B88,'Data qoq'!$A:$AT,MATCH($D$1,'Data qoq'!$A$1:$AT$1,),)=0,#N/A,VLOOKUP(B88,'Data qoq'!$A:$AT,MATCH($D$1,'Data qoq'!$A$1:$AT$1,),))</f>
        <v>1.2</v>
      </c>
      <c r="E88" s="25">
        <f>IF(VLOOKUP(B88,'Data qoq'!$A:$AT,MATCH($E$1,'Data qoq'!$A$1:$AT$1,),)=0,#N/A,VLOOKUP(B88,'Data qoq'!$A:$AT,MATCH($E$1,'Data qoq'!$A$1:$AT$1,),))</f>
        <v>0.25371199999999999</v>
      </c>
      <c r="F88" s="25">
        <f>IF(VLOOKUP(B88,'Data qoq'!$A:$AT,MATCH($F$1,'Data qoq'!$A$1:$AT$1,),)=0,#N/A,VLOOKUP(B88,'Data qoq'!$A:$AT,MATCH($F$1,'Data qoq'!$A$1:$AT$1,),))</f>
        <v>0.49042609599999998</v>
      </c>
      <c r="G88" s="25">
        <f>IF(VLOOKUP(B88,'Data qoq'!$A:$AT,MATCH($G$1,'Data qoq'!$A$1:$AT$1,),)=0,#N/A,VLOOKUP(B88,'Data qoq'!$A:$AT,MATCH($G$1,'Data qoq'!$A$1:$AT$1,),))</f>
        <v>-0.49256605199999998</v>
      </c>
      <c r="H88" s="25">
        <f>IF(VLOOKUP(B88,'Data qoq'!$A:$AT,MATCH($H$1,'Data qoq'!$A$1:$AT$1,),)=0,#N/A,VLOOKUP(B88,'Data qoq'!$A:$AT,MATCH($H$1,'Data qoq'!$A$1:$AT$1,),))</f>
        <v>0.719005012</v>
      </c>
      <c r="I88" s="25">
        <f>IF(VLOOKUP(B88,'Data qoq'!$A:$AT,MATCH($I$1,'Data qoq'!$A$1:$AT$1,),)=0,#N/A,VLOOKUP(B88,'Data qoq'!$A:$AT,MATCH($I$1,'Data qoq'!$A$1:$AT$1,),))</f>
        <v>0.13273241999999999</v>
      </c>
      <c r="J88" s="25">
        <f>IF(VLOOKUP(B88,'Data qoq'!$A:$AT,MATCH($J$1,'Data qoq'!$A$1:$AT$1,),)=0,#N/A,VLOOKUP(B88,'Data qoq'!$A:$AT,MATCH($J$1,'Data qoq'!$A$1:$AT$1,),))</f>
        <v>0.31080627999999999</v>
      </c>
      <c r="K88" s="25">
        <f>IF(VLOOKUP(B88,'Data qoq'!$A:$AT,MATCH($K$1,'Data qoq'!$A$1:$AT$1,),)=0,#N/A,VLOOKUP(B88,'Data qoq'!$A:$AT,MATCH($K$1,'Data qoq'!$A$1:$AT$1,),))</f>
        <v>0.36557096500000003</v>
      </c>
      <c r="L88" s="25">
        <f>IF(VLOOKUP(B88,'Data qoq'!$A:$AT,MATCH($L$1,'Data qoq'!$A$1:$AT$1,),)=0,#N/A,VLOOKUP(B88,'Data qoq'!$A:$AT,MATCH($L$1,'Data qoq'!$A$1:$AT$1,),))</f>
        <v>0.60320212399999995</v>
      </c>
      <c r="M88" s="25">
        <f>IF(VLOOKUP(B88,'Data qoq'!$A:$AT,MATCH($M$1,'Data qoq'!$A$1:$AT$1,),)=0,#N/A,VLOOKUP(B88,'Data qoq'!$A:$AT,MATCH($M$1,'Data qoq'!$A$1:$AT$1,),))</f>
        <v>-0.39240422600000002</v>
      </c>
      <c r="N88" s="25">
        <f>IF(VLOOKUP(B88,'Data qoq'!$A:$AT,MATCH($N$1,'Data qoq'!$A$1:$AT$1,),)=0,#N/A,VLOOKUP(B88,'Data qoq'!$A:$AT,MATCH($N$1,'Data qoq'!$A$1:$AT$1,),))</f>
        <v>2.2617195539999999</v>
      </c>
      <c r="O88" s="25">
        <f>IF(VLOOKUP(B88,'Data qoq'!$A:$AT,MATCH($O$1,'Data qoq'!$J$1:$AT$1,),)=0,#N/A,VLOOKUP(B88,'Data qoq'!$A:$AT,MATCH($O$1,'Data qoq'!$J$1:$AT$1,),))</f>
        <v>0.36557096500000003</v>
      </c>
      <c r="P88" s="25">
        <f>IF(VLOOKUP(B88,'Data qoq'!$A:$AT,MATCH($P$1,'Data qoq'!$A$1:$AT$1,),)=0,#N/A,VLOOKUP(B88,'Data qoq'!$A:$AT,MATCH($P$1,'Data qoq'!$A$1:$AT$1,),))</f>
        <v>0.99073782899999996</v>
      </c>
      <c r="Q88" s="25">
        <f>IF(VLOOKUP(B88,'Data qoq'!$A:$AT,MATCH($Q$1,'Data qoq'!$A$1:$AT$1,),)=0,#N/A,VLOOKUP(B88,'Data qoq'!$A:$AT,MATCH($Q$1,'Data qoq'!$A$1:$AT$1,),))</f>
        <v>0.690544465</v>
      </c>
      <c r="R88" s="25">
        <f>IF(VLOOKUP(B88,'Data qoq'!$A:$AT,MATCH($R$1,'Data qoq'!$A$1:$AT$1,),)=0,#N/A,VLOOKUP(B88,'Data qoq'!$A:$AT,MATCH($R$1,'Data qoq'!$A$1:$AT$1,),))</f>
        <v>0.41229168300000002</v>
      </c>
      <c r="S88" s="25">
        <f>IF(VLOOKUP(B88,'Data qoq'!$A:$AT,MATCH($S$1,'Data qoq'!$A$1:$AT$1,),)=0,#N/A,VLOOKUP(B88,'Data qoq'!$A:$AT,MATCH($S$1,'Data qoq'!$A$1:$AT$1,),))</f>
        <v>1.0599055340000001</v>
      </c>
      <c r="T88" s="25">
        <f>IF(VLOOKUP(B88,'Data qoq'!$A:$AT,MATCH($T$1,'Data qoq'!$A$1:$AT$1,),)=0,#N/A,VLOOKUP(B88,'Data qoq'!$A:$AT,MATCH($T$1,'Data qoq'!$A$1:$AT$1,),))</f>
        <v>0.65628439900000002</v>
      </c>
      <c r="U88" s="25">
        <f>IF(VLOOKUP(B88,'Data qoq'!$A:$AT,MATCH($U$1,'Data qoq'!$A$1:$AT$1,),)=0,#N/A,VLOOKUP(B88,'Data qoq'!$A:$AT,MATCH($U$1,'Data qoq'!$A$1:$AT$1,),))</f>
        <v>1.091805506</v>
      </c>
      <c r="V88" s="25">
        <f>IF(VLOOKUP(B88,'Data qoq'!$A:$AT,MATCH($V$1,'Data qoq'!$A$1:$AT$1,),)=0,#N/A,VLOOKUP(B88,'Data qoq'!$A:$AT,MATCH($V$1,'Data qoq'!$A$1:$AT$1,),))</f>
        <v>2.5106586009999998</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0.80119830299999995</v>
      </c>
      <c r="Z88" s="25">
        <f>IF(VLOOKUP(B88,'Data qoq'!$A:$AU,MATCH($Z$1,'Data qoq'!$A$1:$AU$1,),)=0,#N/A,VLOOKUP(B88,'Data qoq'!$A:$AU,MATCH($Z$1,'Data qoq'!$A$1:$AU$1,),))</f>
        <v>0.71252464900000001</v>
      </c>
      <c r="AA88" s="25">
        <f>IF(VLOOKUP(B88,'Data qoq'!$A:$AU,MATCH($AA$1,'Data qoq'!$A$1:$AU$1,),)=0,#N/A,VLOOKUP(B88,'Data qoq'!$A:$AU,MATCH($AA$1,'Data qoq'!$A$1:$AU$1,),))</f>
        <v>0.538490354</v>
      </c>
      <c r="AC88" s="26" t="str">
        <f t="shared" si="10"/>
        <v>2019-Q2</v>
      </c>
      <c r="AD88" s="27">
        <f t="shared" si="11"/>
        <v>1.2854904599999999</v>
      </c>
      <c r="AE88" s="27"/>
    </row>
    <row r="89" spans="2:31" s="70" customFormat="1" x14ac:dyDescent="0.2">
      <c r="B89" s="24" t="s">
        <v>355</v>
      </c>
      <c r="C89" s="25">
        <f>IF(VLOOKUP(B89,'Data qoq'!$A:$AT,MATCH($C$1,'Data qoq'!$A$1:$AT$1,),)=0,#N/A,VLOOKUP(B89,'Data qoq'!$A:$AT,MATCH($C$1,'Data qoq'!$A$1:$AT$1,),))</f>
        <v>0.685498791</v>
      </c>
      <c r="D89" s="25">
        <f>IF(VLOOKUP(B89,'Data qoq'!$A:$AT,MATCH($D$1,'Data qoq'!$A$1:$AT$1,),)=0,#N/A,VLOOKUP(B89,'Data qoq'!$A:$AT,MATCH($D$1,'Data qoq'!$A$1:$AT$1,),))</f>
        <v>1.4</v>
      </c>
      <c r="E89" s="25">
        <f>IF(VLOOKUP(B89,'Data qoq'!$A:$AT,MATCH($E$1,'Data qoq'!$A$1:$AT$1,),)=0,#N/A,VLOOKUP(B89,'Data qoq'!$A:$AT,MATCH($E$1,'Data qoq'!$A$1:$AT$1,),))</f>
        <v>0.23025899999999999</v>
      </c>
      <c r="F89" s="25">
        <f>IF(VLOOKUP(B89,'Data qoq'!$A:$AT,MATCH($F$1,'Data qoq'!$A$1:$AT$1,),)=0,#N/A,VLOOKUP(B89,'Data qoq'!$A:$AT,MATCH($F$1,'Data qoq'!$A$1:$AT$1,),))</f>
        <v>-1.4937213E-2</v>
      </c>
      <c r="G89" s="25">
        <f>IF(VLOOKUP(B89,'Data qoq'!$A:$AT,MATCH($G$1,'Data qoq'!$A$1:$AT$1,),)=0,#N/A,VLOOKUP(B89,'Data qoq'!$A:$AT,MATCH($G$1,'Data qoq'!$A$1:$AT$1,),))</f>
        <v>0.41094913500000002</v>
      </c>
      <c r="H89" s="25">
        <f>IF(VLOOKUP(B89,'Data qoq'!$A:$AT,MATCH($H$1,'Data qoq'!$A$1:$AT$1,),)=0,#N/A,VLOOKUP(B89,'Data qoq'!$A:$AT,MATCH($H$1,'Data qoq'!$A$1:$AT$1,),))</f>
        <v>-4.5803770000000001E-3</v>
      </c>
      <c r="I89" s="25">
        <f>IF(VLOOKUP(B89,'Data qoq'!$A:$AT,MATCH($I$1,'Data qoq'!$A$1:$AT$1,),)=0,#N/A,VLOOKUP(B89,'Data qoq'!$A:$AT,MATCH($I$1,'Data qoq'!$A$1:$AT$1,),))</f>
        <v>0.45897234999999997</v>
      </c>
      <c r="J89" s="25">
        <f>IF(VLOOKUP(B89,'Data qoq'!$A:$AT,MATCH($J$1,'Data qoq'!$A$1:$AT$1,),)=0,#N/A,VLOOKUP(B89,'Data qoq'!$A:$AT,MATCH($J$1,'Data qoq'!$A$1:$AT$1,),))</f>
        <v>-1.5201512E-2</v>
      </c>
      <c r="K89" s="25">
        <f>IF(VLOOKUP(B89,'Data qoq'!$A:$AT,MATCH($K$1,'Data qoq'!$A$1:$AT$1,),)=0,#N/A,VLOOKUP(B89,'Data qoq'!$A:$AT,MATCH($K$1,'Data qoq'!$A$1:$AT$1,),))</f>
        <v>0.37901041000000002</v>
      </c>
      <c r="L89" s="25">
        <f>IF(VLOOKUP(B89,'Data qoq'!$A:$AT,MATCH($L$1,'Data qoq'!$A$1:$AT$1,),)=0,#N/A,VLOOKUP(B89,'Data qoq'!$A:$AT,MATCH($L$1,'Data qoq'!$A$1:$AT$1,),))</f>
        <v>0.18499771000000001</v>
      </c>
      <c r="M89" s="25">
        <f>IF(VLOOKUP(B89,'Data qoq'!$A:$AT,MATCH($M$1,'Data qoq'!$A$1:$AT$1,),)=0,#N/A,VLOOKUP(B89,'Data qoq'!$A:$AT,MATCH($M$1,'Data qoq'!$A$1:$AT$1,),))</f>
        <v>0.57296394699999997</v>
      </c>
      <c r="N89" s="25">
        <f>IF(VLOOKUP(B89,'Data qoq'!$A:$AT,MATCH($N$1,'Data qoq'!$A$1:$AT$1,),)=0,#N/A,VLOOKUP(B89,'Data qoq'!$A:$AT,MATCH($N$1,'Data qoq'!$A$1:$AT$1,),))</f>
        <v>-0.97835560099999996</v>
      </c>
      <c r="O89" s="25">
        <f>IF(VLOOKUP(B89,'Data qoq'!$A:$AT,MATCH($O$1,'Data qoq'!$J$1:$AT$1,),)=0,#N/A,VLOOKUP(B89,'Data qoq'!$A:$AT,MATCH($O$1,'Data qoq'!$J$1:$AT$1,),))</f>
        <v>0.37901041000000002</v>
      </c>
      <c r="P89" s="25">
        <f>IF(VLOOKUP(B89,'Data qoq'!$A:$AT,MATCH($P$1,'Data qoq'!$A$1:$AT$1,),)=0,#N/A,VLOOKUP(B89,'Data qoq'!$A:$AT,MATCH($P$1,'Data qoq'!$A$1:$AT$1,),))</f>
        <v>0.32664281099999998</v>
      </c>
      <c r="Q89" s="25">
        <f>IF(VLOOKUP(B89,'Data qoq'!$A:$AT,MATCH($Q$1,'Data qoq'!$A$1:$AT$1,),)=0,#N/A,VLOOKUP(B89,'Data qoq'!$A:$AT,MATCH($Q$1,'Data qoq'!$A$1:$AT$1,),))</f>
        <v>0.81908239500000002</v>
      </c>
      <c r="R89" s="25">
        <f>IF(VLOOKUP(B89,'Data qoq'!$A:$AT,MATCH($R$1,'Data qoq'!$A$1:$AT$1,),)=0,#N/A,VLOOKUP(B89,'Data qoq'!$A:$AT,MATCH($R$1,'Data qoq'!$A$1:$AT$1,),))</f>
        <v>0.51488875999999995</v>
      </c>
      <c r="S89" s="25">
        <f>IF(VLOOKUP(B89,'Data qoq'!$A:$AT,MATCH($S$1,'Data qoq'!$A$1:$AT$1,),)=0,#N/A,VLOOKUP(B89,'Data qoq'!$A:$AT,MATCH($S$1,'Data qoq'!$A$1:$AT$1,),))</f>
        <v>0.527437881</v>
      </c>
      <c r="T89" s="25">
        <f>IF(VLOOKUP(B89,'Data qoq'!$A:$AT,MATCH($T$1,'Data qoq'!$A$1:$AT$1,),)=0,#N/A,VLOOKUP(B89,'Data qoq'!$A:$AT,MATCH($T$1,'Data qoq'!$A$1:$AT$1,),))</f>
        <v>5.7063719999999998E-2</v>
      </c>
      <c r="U89" s="25">
        <f>IF(VLOOKUP(B89,'Data qoq'!$A:$AT,MATCH($U$1,'Data qoq'!$A$1:$AT$1,),)=0,#N/A,VLOOKUP(B89,'Data qoq'!$A:$AT,MATCH($U$1,'Data qoq'!$A$1:$AT$1,),))</f>
        <v>-9.4839677999999997E-2</v>
      </c>
      <c r="V89" s="25">
        <f>IF(VLOOKUP(B89,'Data qoq'!$A:$AT,MATCH($V$1,'Data qoq'!$A$1:$AT$1,),)=0,#N/A,VLOOKUP(B89,'Data qoq'!$A:$AT,MATCH($V$1,'Data qoq'!$A$1:$AT$1,),))</f>
        <v>0.15119933699999999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0.89971355200000003</v>
      </c>
      <c r="Z89" s="25">
        <f>IF(VLOOKUP(B89,'Data qoq'!$A:$AU,MATCH($Z$1,'Data qoq'!$A$1:$AU$1,),)=0,#N/A,VLOOKUP(B89,'Data qoq'!$A:$AU,MATCH($Z$1,'Data qoq'!$A$1:$AU$1,),))</f>
        <v>0.30928383100000001</v>
      </c>
      <c r="AA89" s="25">
        <f>IF(VLOOKUP(B89,'Data qoq'!$A:$AU,MATCH($AA$1,'Data qoq'!$A$1:$AU$1,),)=0,#N/A,VLOOKUP(B89,'Data qoq'!$A:$AU,MATCH($AA$1,'Data qoq'!$A$1:$AU$1,),))</f>
        <v>0.83989256800000001</v>
      </c>
      <c r="AC89" s="26" t="str">
        <f t="shared" si="10"/>
        <v>2019-Q3</v>
      </c>
      <c r="AD89" s="27">
        <f t="shared" si="11"/>
        <v>0.27454965599999998</v>
      </c>
      <c r="AE89" s="27"/>
    </row>
    <row r="90" spans="2:31" s="70" customFormat="1" x14ac:dyDescent="0.2">
      <c r="B90" s="24" t="s">
        <v>356</v>
      </c>
      <c r="C90" s="25">
        <f>IF(VLOOKUP(B90,'Data qoq'!$A:$AT,MATCH($C$1,'Data qoq'!$A$1:$AT$1,),)=0,#N/A,VLOOKUP(B90,'Data qoq'!$A:$AT,MATCH($C$1,'Data qoq'!$A$1:$AT$1,),))</f>
        <v>0.46909761799999999</v>
      </c>
      <c r="D90" s="25">
        <f>IF(VLOOKUP(B90,'Data qoq'!$A:$AT,MATCH($D$1,'Data qoq'!$A$1:$AT$1,),)=0,#N/A,VLOOKUP(B90,'Data qoq'!$A:$AT,MATCH($D$1,'Data qoq'!$A$1:$AT$1,),))</f>
        <v>1.2</v>
      </c>
      <c r="E90" s="25">
        <f>IF(VLOOKUP(B90,'Data qoq'!$A:$AT,MATCH($E$1,'Data qoq'!$A$1:$AT$1,),)=0,#N/A,VLOOKUP(B90,'Data qoq'!$A:$AT,MATCH($E$1,'Data qoq'!$A$1:$AT$1,),))</f>
        <v>-7.1895000000000001E-2</v>
      </c>
      <c r="F90" s="25">
        <f>IF(VLOOKUP(B90,'Data qoq'!$A:$AT,MATCH($F$1,'Data qoq'!$A$1:$AT$1,),)=0,#N/A,VLOOKUP(B90,'Data qoq'!$A:$AT,MATCH($F$1,'Data qoq'!$A$1:$AT$1,),))</f>
        <v>-2.83198433</v>
      </c>
      <c r="G90" s="25">
        <f>IF(VLOOKUP(B90,'Data qoq'!$A:$AT,MATCH($G$1,'Data qoq'!$A$1:$AT$1,),)=0,#N/A,VLOOKUP(B90,'Data qoq'!$A:$AT,MATCH($G$1,'Data qoq'!$A$1:$AT$1,),))</f>
        <v>-7.4416587000000006E-2</v>
      </c>
      <c r="H90" s="25">
        <f>IF(VLOOKUP(B90,'Data qoq'!$A:$AT,MATCH($H$1,'Data qoq'!$A$1:$AT$1,),)=0,#N/A,VLOOKUP(B90,'Data qoq'!$A:$AT,MATCH($H$1,'Data qoq'!$A$1:$AT$1,),))</f>
        <v>-0.34586847300000001</v>
      </c>
      <c r="I90" s="25">
        <f>IF(VLOOKUP(B90,'Data qoq'!$A:$AT,MATCH($I$1,'Data qoq'!$A$1:$AT$1,),)=0,#N/A,VLOOKUP(B90,'Data qoq'!$A:$AT,MATCH($I$1,'Data qoq'!$A$1:$AT$1,),))</f>
        <v>-4.4750089E-2</v>
      </c>
      <c r="J90" s="25">
        <f>IF(VLOOKUP(B90,'Data qoq'!$A:$AT,MATCH($J$1,'Data qoq'!$A$1:$AT$1,),)=0,#N/A,VLOOKUP(B90,'Data qoq'!$A:$AT,MATCH($J$1,'Data qoq'!$A$1:$AT$1,),))</f>
        <v>-0.81092441999999998</v>
      </c>
      <c r="K90" s="25">
        <f>IF(VLOOKUP(B90,'Data qoq'!$A:$AT,MATCH($K$1,'Data qoq'!$A$1:$AT$1,),)=0,#N/A,VLOOKUP(B90,'Data qoq'!$A:$AT,MATCH($K$1,'Data qoq'!$A$1:$AT$1,),))</f>
        <v>0.376576034</v>
      </c>
      <c r="L90" s="25">
        <f>IF(VLOOKUP(B90,'Data qoq'!$A:$AT,MATCH($L$1,'Data qoq'!$A$1:$AT$1,),)=0,#N/A,VLOOKUP(B90,'Data qoq'!$A:$AT,MATCH($L$1,'Data qoq'!$A$1:$AT$1,),))</f>
        <v>0.33517788900000001</v>
      </c>
      <c r="M90" s="25">
        <f>IF(VLOOKUP(B90,'Data qoq'!$A:$AT,MATCH($M$1,'Data qoq'!$A$1:$AT$1,),)=0,#N/A,VLOOKUP(B90,'Data qoq'!$A:$AT,MATCH($M$1,'Data qoq'!$A$1:$AT$1,),))</f>
        <v>-0.79554069000000005</v>
      </c>
      <c r="N90" s="25">
        <f>IF(VLOOKUP(B90,'Data qoq'!$A:$AT,MATCH($N$1,'Data qoq'!$A$1:$AT$1,),)=0,#N/A,VLOOKUP(B90,'Data qoq'!$A:$AT,MATCH($N$1,'Data qoq'!$A$1:$AT$1,),))</f>
        <v>-0.45248773399999997</v>
      </c>
      <c r="O90" s="25">
        <f>IF(VLOOKUP(B90,'Data qoq'!$A:$AT,MATCH($O$1,'Data qoq'!$J$1:$AT$1,),)=0,#N/A,VLOOKUP(B90,'Data qoq'!$A:$AT,MATCH($O$1,'Data qoq'!$J$1:$AT$1,),))</f>
        <v>0.376576034</v>
      </c>
      <c r="P90" s="25">
        <f>IF(VLOOKUP(B90,'Data qoq'!$A:$AT,MATCH($P$1,'Data qoq'!$A$1:$AT$1,),)=0,#N/A,VLOOKUP(B90,'Data qoq'!$A:$AT,MATCH($P$1,'Data qoq'!$A$1:$AT$1,),))</f>
        <v>0.30068375400000003</v>
      </c>
      <c r="Q90" s="25">
        <f>IF(VLOOKUP(B90,'Data qoq'!$A:$AT,MATCH($Q$1,'Data qoq'!$A$1:$AT$1,),)=0,#N/A,VLOOKUP(B90,'Data qoq'!$A:$AT,MATCH($Q$1,'Data qoq'!$A$1:$AT$1,),))</f>
        <v>0.39279608799999999</v>
      </c>
      <c r="R90" s="25">
        <f>IF(VLOOKUP(B90,'Data qoq'!$A:$AT,MATCH($R$1,'Data qoq'!$A$1:$AT$1,),)=0,#N/A,VLOOKUP(B90,'Data qoq'!$A:$AT,MATCH($R$1,'Data qoq'!$A$1:$AT$1,),))</f>
        <v>0.48663562799999999</v>
      </c>
      <c r="S90" s="25">
        <f>IF(VLOOKUP(B90,'Data qoq'!$A:$AT,MATCH($S$1,'Data qoq'!$A$1:$AT$1,),)=0,#N/A,VLOOKUP(B90,'Data qoq'!$A:$AT,MATCH($S$1,'Data qoq'!$A$1:$AT$1,),))</f>
        <v>1.2711157769999999</v>
      </c>
      <c r="T90" s="25">
        <f>IF(VLOOKUP(B90,'Data qoq'!$A:$AT,MATCH($T$1,'Data qoq'!$A$1:$AT$1,),)=0,#N/A,VLOOKUP(B90,'Data qoq'!$A:$AT,MATCH($T$1,'Data qoq'!$A$1:$AT$1,),))</f>
        <v>0.33103270400000001</v>
      </c>
      <c r="U90" s="25">
        <f>IF(VLOOKUP(B90,'Data qoq'!$A:$AT,MATCH($U$1,'Data qoq'!$A$1:$AT$1,),)=0,#N/A,VLOOKUP(B90,'Data qoq'!$A:$AT,MATCH($U$1,'Data qoq'!$A$1:$AT$1,),))</f>
        <v>-0.27244444600000001</v>
      </c>
      <c r="V90" s="25">
        <f>IF(VLOOKUP(B90,'Data qoq'!$A:$AT,MATCH($V$1,'Data qoq'!$A$1:$AT$1,),)=0,#N/A,VLOOKUP(B90,'Data qoq'!$A:$AT,MATCH($V$1,'Data qoq'!$A$1:$AT$1,),))</f>
        <v>1.07985609</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0.49142001499999999</v>
      </c>
      <c r="Z90" s="25">
        <f>IF(VLOOKUP(B90,'Data qoq'!$A:$AU,MATCH($Z$1,'Data qoq'!$A$1:$AU$1,),)=0,#N/A,VLOOKUP(B90,'Data qoq'!$A:$AU,MATCH($Z$1,'Data qoq'!$A$1:$AU$1,),))</f>
        <v>-1.5662514139999999</v>
      </c>
      <c r="AA90" s="25">
        <f>IF(VLOOKUP(B90,'Data qoq'!$A:$AU,MATCH($AA$1,'Data qoq'!$A$1:$AU$1,),)=0,#N/A,VLOOKUP(B90,'Data qoq'!$A:$AU,MATCH($AA$1,'Data qoq'!$A$1:$AU$1,),))</f>
        <v>0.32792437699999999</v>
      </c>
      <c r="AC90" s="26" t="str">
        <f t="shared" si="10"/>
        <v>2019-Q4</v>
      </c>
      <c r="AD90" s="27">
        <f t="shared" si="11"/>
        <v>0.54351420500000003</v>
      </c>
      <c r="AE90" s="27"/>
    </row>
    <row r="91" spans="2:31" s="70" customFormat="1" x14ac:dyDescent="0.2">
      <c r="B91" s="24" t="s">
        <v>357</v>
      </c>
      <c r="C91" s="25">
        <f>IF(VLOOKUP(B91,'Data qoq'!$A:$AT,MATCH($C$1,'Data qoq'!$A$1:$AT$1,),)=0,#N/A,VLOOKUP(B91,'Data qoq'!$A:$AT,MATCH($C$1,'Data qoq'!$A$1:$AT$1,),))</f>
        <v>-1.303582746</v>
      </c>
      <c r="D91" s="25">
        <f>IF(VLOOKUP(B91,'Data qoq'!$A:$AT,MATCH($D$1,'Data qoq'!$A$1:$AT$1,),)=0,#N/A,VLOOKUP(B91,'Data qoq'!$A:$AT,MATCH($D$1,'Data qoq'!$A$1:$AT$1,),))</f>
        <v>-10.3</v>
      </c>
      <c r="E91" s="25">
        <f>IF(VLOOKUP(B91,'Data qoq'!$A:$AT,MATCH($E$1,'Data qoq'!$A$1:$AT$1,),)=0,#N/A,VLOOKUP(B91,'Data qoq'!$A:$AT,MATCH($E$1,'Data qoq'!$A$1:$AT$1,),))</f>
        <v>-3.5312380000000001</v>
      </c>
      <c r="F91" s="25">
        <f>IF(VLOOKUP(B91,'Data qoq'!$A:$AT,MATCH($F$1,'Data qoq'!$A$1:$AT$1,),)=0,#N/A,VLOOKUP(B91,'Data qoq'!$A:$AT,MATCH($F$1,'Data qoq'!$A$1:$AT$1,),))</f>
        <v>0.49214313300000001</v>
      </c>
      <c r="G91" s="25">
        <f>IF(VLOOKUP(B91,'Data qoq'!$A:$AT,MATCH($G$1,'Data qoq'!$A$1:$AT$1,),)=0,#N/A,VLOOKUP(B91,'Data qoq'!$A:$AT,MATCH($G$1,'Data qoq'!$A$1:$AT$1,),))</f>
        <v>-1.7639736049999999</v>
      </c>
      <c r="H91" s="25">
        <f>IF(VLOOKUP(B91,'Data qoq'!$A:$AT,MATCH($H$1,'Data qoq'!$A$1:$AT$1,),)=0,#N/A,VLOOKUP(B91,'Data qoq'!$A:$AT,MATCH($H$1,'Data qoq'!$A$1:$AT$1,),))</f>
        <v>-5.6683399809999999</v>
      </c>
      <c r="I91" s="25">
        <f>IF(VLOOKUP(B91,'Data qoq'!$A:$AT,MATCH($I$1,'Data qoq'!$A$1:$AT$1,),)=0,#N/A,VLOOKUP(B91,'Data qoq'!$A:$AT,MATCH($I$1,'Data qoq'!$A$1:$AT$1,),))</f>
        <v>-2.5258843870000001</v>
      </c>
      <c r="J91" s="25">
        <f>IF(VLOOKUP(B91,'Data qoq'!$A:$AT,MATCH($J$1,'Data qoq'!$A$1:$AT$1,),)=0,#N/A,VLOOKUP(B91,'Data qoq'!$A:$AT,MATCH($J$1,'Data qoq'!$A$1:$AT$1,),))</f>
        <v>-5.913654985</v>
      </c>
      <c r="K91" s="25">
        <f>IF(VLOOKUP(B91,'Data qoq'!$A:$AT,MATCH($K$1,'Data qoq'!$A$1:$AT$1,),)=0,#N/A,VLOOKUP(B91,'Data qoq'!$A:$AT,MATCH($K$1,'Data qoq'!$A$1:$AT$1,),))</f>
        <v>-5.3912226460000001</v>
      </c>
      <c r="L91" s="25">
        <f>IF(VLOOKUP(B91,'Data qoq'!$A:$AT,MATCH($L$1,'Data qoq'!$A$1:$AT$1,),)=0,#N/A,VLOOKUP(B91,'Data qoq'!$A:$AT,MATCH($L$1,'Data qoq'!$A$1:$AT$1,),))</f>
        <v>-0.14574768900000001</v>
      </c>
      <c r="M91" s="25">
        <f>IF(VLOOKUP(B91,'Data qoq'!$A:$AT,MATCH($M$1,'Data qoq'!$A$1:$AT$1,),)=0,#N/A,VLOOKUP(B91,'Data qoq'!$A:$AT,MATCH($M$1,'Data qoq'!$A$1:$AT$1,),))</f>
        <v>-0.99920219700000001</v>
      </c>
      <c r="N91" s="25">
        <f>IF(VLOOKUP(B91,'Data qoq'!$A:$AT,MATCH($N$1,'Data qoq'!$A$1:$AT$1,),)=0,#N/A,VLOOKUP(B91,'Data qoq'!$A:$AT,MATCH($N$1,'Data qoq'!$A$1:$AT$1,),))</f>
        <v>-0.196323318</v>
      </c>
      <c r="O91" s="25">
        <f>IF(VLOOKUP(B91,'Data qoq'!$A:$AT,MATCH($O$1,'Data qoq'!$J$1:$AT$1,),)=0,#N/A,VLOOKUP(B91,'Data qoq'!$A:$AT,MATCH($O$1,'Data qoq'!$J$1:$AT$1,),))</f>
        <v>-5.3912226460000001</v>
      </c>
      <c r="P91" s="25">
        <f>IF(VLOOKUP(B91,'Data qoq'!$A:$AT,MATCH($P$1,'Data qoq'!$A$1:$AT$1,),)=0,#N/A,VLOOKUP(B91,'Data qoq'!$A:$AT,MATCH($P$1,'Data qoq'!$A$1:$AT$1,),))</f>
        <v>-2.1573026089999998</v>
      </c>
      <c r="Q91" s="25">
        <f>IF(VLOOKUP(B91,'Data qoq'!$A:$AT,MATCH($Q$1,'Data qoq'!$A$1:$AT$1,),)=0,#N/A,VLOOKUP(B91,'Data qoq'!$A:$AT,MATCH($Q$1,'Data qoq'!$A$1:$AT$1,),))</f>
        <v>-0.30492875800000002</v>
      </c>
      <c r="R91" s="25">
        <f>IF(VLOOKUP(B91,'Data qoq'!$A:$AT,MATCH($R$1,'Data qoq'!$A$1:$AT$1,),)=0,#N/A,VLOOKUP(B91,'Data qoq'!$A:$AT,MATCH($R$1,'Data qoq'!$A$1:$AT$1,),))</f>
        <v>-1.58684834</v>
      </c>
      <c r="S91" s="25">
        <f>IF(VLOOKUP(B91,'Data qoq'!$A:$AT,MATCH($S$1,'Data qoq'!$A$1:$AT$1,),)=0,#N/A,VLOOKUP(B91,'Data qoq'!$A:$AT,MATCH($S$1,'Data qoq'!$A$1:$AT$1,),))</f>
        <v>-1.3374557170000001</v>
      </c>
      <c r="T91" s="25">
        <f>IF(VLOOKUP(B91,'Data qoq'!$A:$AT,MATCH($T$1,'Data qoq'!$A$1:$AT$1,),)=0,#N/A,VLOOKUP(B91,'Data qoq'!$A:$AT,MATCH($T$1,'Data qoq'!$A$1:$AT$1,),))</f>
        <v>-2.4426274889999999</v>
      </c>
      <c r="U91" s="25">
        <f>IF(VLOOKUP(B91,'Data qoq'!$A:$AT,MATCH($U$1,'Data qoq'!$A$1:$AT$1,),)=0,#N/A,VLOOKUP(B91,'Data qoq'!$A:$AT,MATCH($U$1,'Data qoq'!$A$1:$AT$1,),))</f>
        <v>-2.0925871200000001</v>
      </c>
      <c r="V91" s="25">
        <f>IF(VLOOKUP(B91,'Data qoq'!$A:$AT,MATCH($V$1,'Data qoq'!$A$1:$AT$1,),)=0,#N/A,VLOOKUP(B91,'Data qoq'!$A:$AT,MATCH($V$1,'Data qoq'!$A$1:$AT$1,),))</f>
        <v>2.610536524</v>
      </c>
      <c r="W91" s="25">
        <f>IF(VLOOKUP(B91,'Data qoq'!$A:$AT,MATCH($W$1,'Data qoq'!$A$1:$AT$1,),)=0,#N/A,VLOOKUP(B91,'Data qoq'!$A:$AT,MATCH($W$1,'Data qoq'!$A$1:$AT$1,),))</f>
        <v>0.44624292300000001</v>
      </c>
      <c r="X91" s="25">
        <f>IF(VLOOKUP(B91,'Data qoq'!$A:$AT,MATCH($X$1,'Data qoq'!$A$1:$AT$1,),)=0,#N/A,VLOOKUP(B91,'Data qoq'!$A:$AT,MATCH($X$1,'Data qoq'!$A$1:$AT$1,),))</f>
        <v>-3.2425949730000001</v>
      </c>
      <c r="Y91" s="25">
        <f>IF(VLOOKUP(B91,'Data qoq'!$A:$AT,MATCH($Y$1,'Data qoq'!$A$1:$AT$1,),)=0,#N/A,VLOOKUP(B91,'Data qoq'!$A:$AT,MATCH($Y$1,'Data qoq'!$A$1:$AT$1,),))</f>
        <v>0.389982259</v>
      </c>
      <c r="Z91" s="25">
        <f>IF(VLOOKUP(B91,'Data qoq'!$A:$AU,MATCH($Z$1,'Data qoq'!$A$1:$AU$1,),)=0,#N/A,VLOOKUP(B91,'Data qoq'!$A:$AU,MATCH($Z$1,'Data qoq'!$A$1:$AU$1,),))</f>
        <v>-4.3090434460000004</v>
      </c>
      <c r="AA91" s="25">
        <f>IF(VLOOKUP(B91,'Data qoq'!$A:$AU,MATCH($AA$1,'Data qoq'!$A$1:$AU$1,),)=0,#N/A,VLOOKUP(B91,'Data qoq'!$A:$AU,MATCH($AA$1,'Data qoq'!$A$1:$AU$1,),))</f>
        <v>-1.1907867480000001</v>
      </c>
      <c r="AC91" s="26" t="str">
        <f t="shared" si="10"/>
        <v>2020-Q1</v>
      </c>
      <c r="AD91" s="27">
        <f t="shared" si="11"/>
        <v>0.46039085899999987</v>
      </c>
      <c r="AE91" s="27"/>
    </row>
    <row r="92" spans="2:31" s="70" customFormat="1" x14ac:dyDescent="0.2">
      <c r="B92" s="24" t="s">
        <v>358</v>
      </c>
      <c r="C92" s="25">
        <f>IF(VLOOKUP(B92,'Data qoq'!$A:$AT,MATCH($C$1,'Data qoq'!$A$1:$AT$1,),)=0,#N/A,VLOOKUP(B92,'Data qoq'!$A:$AT,MATCH($C$1,'Data qoq'!$A$1:$AT$1,),))</f>
        <v>-8.9372505009999994</v>
      </c>
      <c r="D92" s="25">
        <f>IF(VLOOKUP(B92,'Data qoq'!$A:$AT,MATCH($D$1,'Data qoq'!$A$1:$AT$1,),)=0,#N/A,VLOOKUP(B92,'Data qoq'!$A:$AT,MATCH($D$1,'Data qoq'!$A$1:$AT$1,),))</f>
        <v>11.6</v>
      </c>
      <c r="E92" s="25">
        <f>IF(VLOOKUP(B92,'Data qoq'!$A:$AT,MATCH($E$1,'Data qoq'!$A$1:$AT$1,),)=0,#N/A,VLOOKUP(B92,'Data qoq'!$A:$AT,MATCH($E$1,'Data qoq'!$A$1:$AT$1,),))</f>
        <v>-11.665675</v>
      </c>
      <c r="F92" s="25">
        <f>IF(VLOOKUP(B92,'Data qoq'!$A:$AT,MATCH($F$1,'Data qoq'!$A$1:$AT$1,),)=0,#N/A,VLOOKUP(B92,'Data qoq'!$A:$AT,MATCH($F$1,'Data qoq'!$A$1:$AT$1,),))</f>
        <v>-7.9018844359999996</v>
      </c>
      <c r="G92" s="25">
        <f>IF(VLOOKUP(B92,'Data qoq'!$A:$AT,MATCH($G$1,'Data qoq'!$A$1:$AT$1,),)=0,#N/A,VLOOKUP(B92,'Data qoq'!$A:$AT,MATCH($G$1,'Data qoq'!$A$1:$AT$1,),))</f>
        <v>-9.9962156110000002</v>
      </c>
      <c r="H92" s="25">
        <f>IF(VLOOKUP(B92,'Data qoq'!$A:$AT,MATCH($H$1,'Data qoq'!$A$1:$AT$1,),)=0,#N/A,VLOOKUP(B92,'Data qoq'!$A:$AT,MATCH($H$1,'Data qoq'!$A$1:$AT$1,),))</f>
        <v>-13.721498431000001</v>
      </c>
      <c r="I92" s="25">
        <f>IF(VLOOKUP(B92,'Data qoq'!$A:$AT,MATCH($I$1,'Data qoq'!$A$1:$AT$1,),)=0,#N/A,VLOOKUP(B92,'Data qoq'!$A:$AT,MATCH($I$1,'Data qoq'!$A$1:$AT$1,),))</f>
        <v>-19.428322456</v>
      </c>
      <c r="J92" s="25">
        <f>IF(VLOOKUP(B92,'Data qoq'!$A:$AT,MATCH($J$1,'Data qoq'!$A$1:$AT$1,),)=0,#N/A,VLOOKUP(B92,'Data qoq'!$A:$AT,MATCH($J$1,'Data qoq'!$A$1:$AT$1,),))</f>
        <v>-12.606197908</v>
      </c>
      <c r="K92" s="25">
        <f>IF(VLOOKUP(B92,'Data qoq'!$A:$AT,MATCH($K$1,'Data qoq'!$A$1:$AT$1,),)=0,#N/A,VLOOKUP(B92,'Data qoq'!$A:$AT,MATCH($K$1,'Data qoq'!$A$1:$AT$1,),))</f>
        <v>-17.652092760999999</v>
      </c>
      <c r="L92" s="25">
        <f>IF(VLOOKUP(B92,'Data qoq'!$A:$AT,MATCH($L$1,'Data qoq'!$A$1:$AT$1,),)=0,#N/A,VLOOKUP(B92,'Data qoq'!$A:$AT,MATCH($L$1,'Data qoq'!$A$1:$AT$1,),))</f>
        <v>-8.0628687939999999</v>
      </c>
      <c r="M92" s="25">
        <f>IF(VLOOKUP(B92,'Data qoq'!$A:$AT,MATCH($M$1,'Data qoq'!$A$1:$AT$1,),)=0,#N/A,VLOOKUP(B92,'Data qoq'!$A:$AT,MATCH($M$1,'Data qoq'!$A$1:$AT$1,),))</f>
        <v>-17.839348944000001</v>
      </c>
      <c r="N92" s="25">
        <f>IF(VLOOKUP(B92,'Data qoq'!$A:$AT,MATCH($N$1,'Data qoq'!$A$1:$AT$1,),)=0,#N/A,VLOOKUP(B92,'Data qoq'!$A:$AT,MATCH($N$1,'Data qoq'!$A$1:$AT$1,),))</f>
        <v>-4.4850020739999996</v>
      </c>
      <c r="O92" s="25">
        <f>IF(VLOOKUP(B92,'Data qoq'!$A:$AT,MATCH($O$1,'Data qoq'!$J$1:$AT$1,),)=0,#N/A,VLOOKUP(B92,'Data qoq'!$A:$AT,MATCH($O$1,'Data qoq'!$J$1:$AT$1,),))</f>
        <v>-17.652092760999999</v>
      </c>
      <c r="P92" s="25">
        <f>IF(VLOOKUP(B92,'Data qoq'!$A:$AT,MATCH($P$1,'Data qoq'!$A$1:$AT$1,),)=0,#N/A,VLOOKUP(B92,'Data qoq'!$A:$AT,MATCH($P$1,'Data qoq'!$A$1:$AT$1,),))</f>
        <v>-11.042537245</v>
      </c>
      <c r="Q92" s="25">
        <f>IF(VLOOKUP(B92,'Data qoq'!$A:$AT,MATCH($Q$1,'Data qoq'!$A$1:$AT$1,),)=0,#N/A,VLOOKUP(B92,'Data qoq'!$A:$AT,MATCH($Q$1,'Data qoq'!$A$1:$AT$1,),))</f>
        <v>-6.7966776299999996</v>
      </c>
      <c r="R92" s="25">
        <f>IF(VLOOKUP(B92,'Data qoq'!$A:$AT,MATCH($R$1,'Data qoq'!$A$1:$AT$1,),)=0,#N/A,VLOOKUP(B92,'Data qoq'!$A:$AT,MATCH($R$1,'Data qoq'!$A$1:$AT$1,),))</f>
        <v>-6.1367257290000001</v>
      </c>
      <c r="S92" s="25">
        <f>IF(VLOOKUP(B92,'Data qoq'!$A:$AT,MATCH($S$1,'Data qoq'!$A$1:$AT$1,),)=0,#N/A,VLOOKUP(B92,'Data qoq'!$A:$AT,MATCH($S$1,'Data qoq'!$A$1:$AT$1,),))</f>
        <v>-3.026935758</v>
      </c>
      <c r="T92" s="25">
        <f>IF(VLOOKUP(B92,'Data qoq'!$A:$AT,MATCH($T$1,'Data qoq'!$A$1:$AT$1,),)=0,#N/A,VLOOKUP(B92,'Data qoq'!$A:$AT,MATCH($T$1,'Data qoq'!$A$1:$AT$1,),))</f>
        <v>-8.7694941350000004</v>
      </c>
      <c r="U92" s="25">
        <f>IF(VLOOKUP(B92,'Data qoq'!$A:$AT,MATCH($U$1,'Data qoq'!$A$1:$AT$1,),)=0,#N/A,VLOOKUP(B92,'Data qoq'!$A:$AT,MATCH($U$1,'Data qoq'!$A$1:$AT$1,),))</f>
        <v>-13.360691096</v>
      </c>
      <c r="V92" s="25">
        <f>IF(VLOOKUP(B92,'Data qoq'!$A:$AT,MATCH($V$1,'Data qoq'!$A$1:$AT$1,),)=0,#N/A,VLOOKUP(B92,'Data qoq'!$A:$AT,MATCH($V$1,'Data qoq'!$A$1:$AT$1,),))</f>
        <v>-2.8058950970000001</v>
      </c>
      <c r="W92" s="25">
        <f>IF(VLOOKUP(B92,'Data qoq'!$A:$AT,MATCH($W$1,'Data qoq'!$A$1:$AT$1,),)=0,#N/A,VLOOKUP(B92,'Data qoq'!$A:$AT,MATCH($W$1,'Data qoq'!$A$1:$AT$1,),))</f>
        <v>-10.769850757</v>
      </c>
      <c r="X92" s="25">
        <f>IF(VLOOKUP(B92,'Data qoq'!$A:$AT,MATCH($X$1,'Data qoq'!$A$1:$AT$1,),)=0,#N/A,VLOOKUP(B92,'Data qoq'!$A:$AT,MATCH($X$1,'Data qoq'!$A$1:$AT$1,),))</f>
        <v>-8.8487394629999994</v>
      </c>
      <c r="Y92" s="25">
        <f>IF(VLOOKUP(B92,'Data qoq'!$A:$AT,MATCH($Y$1,'Data qoq'!$A$1:$AT$1,),)=0,#N/A,VLOOKUP(B92,'Data qoq'!$A:$AT,MATCH($Y$1,'Data qoq'!$A$1:$AT$1,),))</f>
        <v>-9.0947213579999993</v>
      </c>
      <c r="Z92" s="25">
        <f>IF(VLOOKUP(B92,'Data qoq'!$A:$AU,MATCH($Z$1,'Data qoq'!$A$1:$AU$1,),)=0,#N/A,VLOOKUP(B92,'Data qoq'!$A:$AU,MATCH($Z$1,'Data qoq'!$A$1:$AU$1,),))</f>
        <v>-15.080425188</v>
      </c>
      <c r="AA92" s="25">
        <f>IF(VLOOKUP(B92,'Data qoq'!$A:$AU,MATCH($AA$1,'Data qoq'!$A$1:$AU$1,),)=0,#N/A,VLOOKUP(B92,'Data qoq'!$A:$AU,MATCH($AA$1,'Data qoq'!$A$1:$AU$1,),))</f>
        <v>-10.34616639</v>
      </c>
      <c r="AC92" s="26" t="str">
        <f t="shared" si="10"/>
        <v>2020-Q2</v>
      </c>
      <c r="AD92" s="27">
        <f t="shared" si="11"/>
        <v>1.0589651100000008</v>
      </c>
      <c r="AE92" s="27"/>
    </row>
    <row r="93" spans="2:31" s="70" customFormat="1" x14ac:dyDescent="0.2">
      <c r="B93" s="24" t="s">
        <v>359</v>
      </c>
      <c r="C93" s="25">
        <f>IF(VLOOKUP(B93,'Data qoq'!$A:$AT,MATCH($C$1,'Data qoq'!$A$1:$AT$1,),)=0,#N/A,VLOOKUP(B93,'Data qoq'!$A:$AT,MATCH($C$1,'Data qoq'!$A$1:$AT$1,),))</f>
        <v>7.547534636</v>
      </c>
      <c r="D93" s="25">
        <f>IF(VLOOKUP(B93,'Data qoq'!$A:$AT,MATCH($D$1,'Data qoq'!$A$1:$AT$1,),)=0,#N/A,VLOOKUP(B93,'Data qoq'!$A:$AT,MATCH($D$1,'Data qoq'!$A$1:$AT$1,),))</f>
        <v>3.4</v>
      </c>
      <c r="E93" s="25">
        <f>IF(VLOOKUP(B93,'Data qoq'!$A:$AT,MATCH($E$1,'Data qoq'!$A$1:$AT$1,),)=0,#N/A,VLOOKUP(B93,'Data qoq'!$A:$AT,MATCH($E$1,'Data qoq'!$A$1:$AT$1,),))</f>
        <v>12.817738</v>
      </c>
      <c r="F93" s="25">
        <f>IF(VLOOKUP(B93,'Data qoq'!$A:$AT,MATCH($F$1,'Data qoq'!$A$1:$AT$1,),)=0,#N/A,VLOOKUP(B93,'Data qoq'!$A:$AT,MATCH($F$1,'Data qoq'!$A$1:$AT$1,),))</f>
        <v>5.2840494150000001</v>
      </c>
      <c r="G93" s="25">
        <f>IF(VLOOKUP(B93,'Data qoq'!$A:$AT,MATCH($G$1,'Data qoq'!$A$1:$AT$1,),)=0,#N/A,VLOOKUP(B93,'Data qoq'!$A:$AT,MATCH($G$1,'Data qoq'!$A$1:$AT$1,),))</f>
        <v>9.043062505</v>
      </c>
      <c r="H93" s="25">
        <f>IF(VLOOKUP(B93,'Data qoq'!$A:$AT,MATCH($H$1,'Data qoq'!$A$1:$AT$1,),)=0,#N/A,VLOOKUP(B93,'Data qoq'!$A:$AT,MATCH($H$1,'Data qoq'!$A$1:$AT$1,),))</f>
        <v>19.394170178</v>
      </c>
      <c r="I93" s="25">
        <f>IF(VLOOKUP(B93,'Data qoq'!$A:$AT,MATCH($I$1,'Data qoq'!$A$1:$AT$1,),)=0,#N/A,VLOOKUP(B93,'Data qoq'!$A:$AT,MATCH($I$1,'Data qoq'!$A$1:$AT$1,),))</f>
        <v>17.595765822000001</v>
      </c>
      <c r="J93" s="25">
        <f>IF(VLOOKUP(B93,'Data qoq'!$A:$AT,MATCH($J$1,'Data qoq'!$A$1:$AT$1,),)=0,#N/A,VLOOKUP(B93,'Data qoq'!$A:$AT,MATCH($J$1,'Data qoq'!$A$1:$AT$1,),))</f>
        <v>16.023038565</v>
      </c>
      <c r="K93" s="25">
        <f>IF(VLOOKUP(B93,'Data qoq'!$A:$AT,MATCH($K$1,'Data qoq'!$A$1:$AT$1,),)=0,#N/A,VLOOKUP(B93,'Data qoq'!$A:$AT,MATCH($K$1,'Data qoq'!$A$1:$AT$1,),))</f>
        <v>16.798457004999999</v>
      </c>
      <c r="L93" s="25">
        <f>IF(VLOOKUP(B93,'Data qoq'!$A:$AT,MATCH($L$1,'Data qoq'!$A$1:$AT$1,),)=0,#N/A,VLOOKUP(B93,'Data qoq'!$A:$AT,MATCH($L$1,'Data qoq'!$A$1:$AT$1,),))</f>
        <v>7.386759241</v>
      </c>
      <c r="M93" s="25">
        <f>IF(VLOOKUP(B93,'Data qoq'!$A:$AT,MATCH($M$1,'Data qoq'!$A$1:$AT$1,),)=0,#N/A,VLOOKUP(B93,'Data qoq'!$A:$AT,MATCH($M$1,'Data qoq'!$A$1:$AT$1,),))</f>
        <v>13.615062976000001</v>
      </c>
      <c r="N93" s="25">
        <f>IF(VLOOKUP(B93,'Data qoq'!$A:$AT,MATCH($N$1,'Data qoq'!$A$1:$AT$1,),)=0,#N/A,VLOOKUP(B93,'Data qoq'!$A:$AT,MATCH($N$1,'Data qoq'!$A$1:$AT$1,),))</f>
        <v>2.7780786000000002</v>
      </c>
      <c r="O93" s="25">
        <f>IF(VLOOKUP(B93,'Data qoq'!$A:$AT,MATCH($O$1,'Data qoq'!$J$1:$AT$1,),)=0,#N/A,VLOOKUP(B93,'Data qoq'!$A:$AT,MATCH($O$1,'Data qoq'!$J$1:$AT$1,),))</f>
        <v>16.798457004999999</v>
      </c>
      <c r="P93" s="25">
        <f>IF(VLOOKUP(B93,'Data qoq'!$A:$AT,MATCH($P$1,'Data qoq'!$A$1:$AT$1,),)=0,#N/A,VLOOKUP(B93,'Data qoq'!$A:$AT,MATCH($P$1,'Data qoq'!$A$1:$AT$1,),))</f>
        <v>8.9839583770000004</v>
      </c>
      <c r="Q93" s="25">
        <f>IF(VLOOKUP(B93,'Data qoq'!$A:$AT,MATCH($Q$1,'Data qoq'!$A$1:$AT$1,),)=0,#N/A,VLOOKUP(B93,'Data qoq'!$A:$AT,MATCH($Q$1,'Data qoq'!$A$1:$AT$1,),))</f>
        <v>3.505833467</v>
      </c>
      <c r="R93" s="25">
        <f>IF(VLOOKUP(B93,'Data qoq'!$A:$AT,MATCH($R$1,'Data qoq'!$A$1:$AT$1,),)=0,#N/A,VLOOKUP(B93,'Data qoq'!$A:$AT,MATCH($R$1,'Data qoq'!$A$1:$AT$1,),))</f>
        <v>6.2963233150000004</v>
      </c>
      <c r="S93" s="25">
        <f>IF(VLOOKUP(B93,'Data qoq'!$A:$AT,MATCH($S$1,'Data qoq'!$A$1:$AT$1,),)=0,#N/A,VLOOKUP(B93,'Data qoq'!$A:$AT,MATCH($S$1,'Data qoq'!$A$1:$AT$1,),))</f>
        <v>2.3477855380000001</v>
      </c>
      <c r="T93" s="25">
        <f>IF(VLOOKUP(B93,'Data qoq'!$A:$AT,MATCH($T$1,'Data qoq'!$A$1:$AT$1,),)=0,#N/A,VLOOKUP(B93,'Data qoq'!$A:$AT,MATCH($T$1,'Data qoq'!$A$1:$AT$1,),))</f>
        <v>7.8920703210000003</v>
      </c>
      <c r="U93" s="25">
        <f>IF(VLOOKUP(B93,'Data qoq'!$A:$AT,MATCH($U$1,'Data qoq'!$A$1:$AT$1,),)=0,#N/A,VLOOKUP(B93,'Data qoq'!$A:$AT,MATCH($U$1,'Data qoq'!$A$1:$AT$1,),))</f>
        <v>5.4227869750000002</v>
      </c>
      <c r="V93" s="25">
        <f>IF(VLOOKUP(B93,'Data qoq'!$A:$AT,MATCH($V$1,'Data qoq'!$A$1:$AT$1,),)=0,#N/A,VLOOKUP(B93,'Data qoq'!$A:$AT,MATCH($V$1,'Data qoq'!$A$1:$AT$1,),))</f>
        <v>10.346691912000001</v>
      </c>
      <c r="W93" s="25">
        <f>IF(VLOOKUP(B93,'Data qoq'!$A:$AT,MATCH($W$1,'Data qoq'!$A$1:$AT$1,),)=0,#N/A,VLOOKUP(B93,'Data qoq'!$A:$AT,MATCH($W$1,'Data qoq'!$A$1:$AT$1,),))</f>
        <v>16.400501818999999</v>
      </c>
      <c r="X93" s="25">
        <f>IF(VLOOKUP(B93,'Data qoq'!$A:$AT,MATCH($X$1,'Data qoq'!$A$1:$AT$1,),)=0,#N/A,VLOOKUP(B93,'Data qoq'!$A:$AT,MATCH($X$1,'Data qoq'!$A$1:$AT$1,),))</f>
        <v>6.953208665</v>
      </c>
      <c r="Y93" s="25">
        <f>IF(VLOOKUP(B93,'Data qoq'!$A:$AT,MATCH($Y$1,'Data qoq'!$A$1:$AT$1,),)=0,#N/A,VLOOKUP(B93,'Data qoq'!$A:$AT,MATCH($Y$1,'Data qoq'!$A$1:$AT$1,),))</f>
        <v>7.3365250270000004</v>
      </c>
      <c r="Z93" s="25">
        <f>IF(VLOOKUP(B93,'Data qoq'!$A:$AU,MATCH($Z$1,'Data qoq'!$A$1:$AU$1,),)=0,#N/A,VLOOKUP(B93,'Data qoq'!$A:$AU,MATCH($Z$1,'Data qoq'!$A$1:$AU$1,),))</f>
        <v>12.185239948</v>
      </c>
      <c r="AA93" s="25">
        <f>IF(VLOOKUP(B93,'Data qoq'!$A:$AU,MATCH($AA$1,'Data qoq'!$A$1:$AU$1,),)=0,#N/A,VLOOKUP(B93,'Data qoq'!$A:$AU,MATCH($AA$1,'Data qoq'!$A$1:$AU$1,),))</f>
        <v>13.691558835</v>
      </c>
      <c r="AC93" s="26" t="str">
        <f t="shared" si="10"/>
        <v>2020-Q3</v>
      </c>
      <c r="AD93" s="27">
        <f t="shared" si="11"/>
        <v>-1.495527869</v>
      </c>
      <c r="AE93" s="27"/>
    </row>
    <row r="94" spans="2:31" s="70" customFormat="1" x14ac:dyDescent="0.2">
      <c r="B94" s="24" t="s">
        <v>361</v>
      </c>
      <c r="C94" s="25">
        <f>IF(VLOOKUP(B94,'Data qoq'!$A:$AT,MATCH($C$1,'Data qoq'!$A$1:$AT$1,),)=0,#N/A,VLOOKUP(B94,'Data qoq'!$A:$AT,MATCH($C$1,'Data qoq'!$A$1:$AT$1,),))</f>
        <v>1.533889627</v>
      </c>
      <c r="D94" s="25">
        <f>IF(VLOOKUP(B94,'Data qoq'!$A:$AT,MATCH($D$1,'Data qoq'!$A$1:$AT$1,),)=0,#N/A,VLOOKUP(B94,'Data qoq'!$A:$AT,MATCH($D$1,'Data qoq'!$A$1:$AT$1,),))</f>
        <v>0.5</v>
      </c>
      <c r="E94" s="25">
        <f>IF(VLOOKUP(B94,'Data qoq'!$A:$AT,MATCH($E$1,'Data qoq'!$A$1:$AT$1,),)=0,#N/A,VLOOKUP(B94,'Data qoq'!$A:$AT,MATCH($E$1,'Data qoq'!$A$1:$AT$1,),))</f>
        <v>-0.121101</v>
      </c>
      <c r="F94" s="25">
        <f>IF(VLOOKUP(B94,'Data qoq'!$A:$AT,MATCH($F$1,'Data qoq'!$A$1:$AT$1,),)=0,#N/A,VLOOKUP(B94,'Data qoq'!$A:$AT,MATCH($F$1,'Data qoq'!$A$1:$AT$1,),))</f>
        <v>-0.39858213199999998</v>
      </c>
      <c r="G94" s="25">
        <f>IF(VLOOKUP(B94,'Data qoq'!$A:$AT,MATCH($G$1,'Data qoq'!$A$1:$AT$1,),)=0,#N/A,VLOOKUP(B94,'Data qoq'!$A:$AT,MATCH($G$1,'Data qoq'!$A$1:$AT$1,),))</f>
        <v>-1.6842265160000001</v>
      </c>
      <c r="H94" s="25">
        <f>IF(VLOOKUP(B94,'Data qoq'!$A:$AT,MATCH($H$1,'Data qoq'!$A$1:$AT$1,),)=0,#N/A,VLOOKUP(B94,'Data qoq'!$A:$AT,MATCH($H$1,'Data qoq'!$A$1:$AT$1,),))</f>
        <v>0.23141998899999999</v>
      </c>
      <c r="I94" s="25">
        <f>IF(VLOOKUP(B94,'Data qoq'!$A:$AT,MATCH($I$1,'Data qoq'!$A$1:$AT$1,),)=0,#N/A,VLOOKUP(B94,'Data qoq'!$A:$AT,MATCH($I$1,'Data qoq'!$A$1:$AT$1,),))</f>
        <v>-1.1719126129999999</v>
      </c>
      <c r="J94" s="25">
        <f>IF(VLOOKUP(B94,'Data qoq'!$A:$AT,MATCH($J$1,'Data qoq'!$A$1:$AT$1,),)=0,#N/A,VLOOKUP(B94,'Data qoq'!$A:$AT,MATCH($J$1,'Data qoq'!$A$1:$AT$1,),))</f>
        <v>0.236212963</v>
      </c>
      <c r="K94" s="25">
        <f>IF(VLOOKUP(B94,'Data qoq'!$A:$AT,MATCH($K$1,'Data qoq'!$A$1:$AT$1,),)=0,#N/A,VLOOKUP(B94,'Data qoq'!$A:$AT,MATCH($K$1,'Data qoq'!$A$1:$AT$1,),))</f>
        <v>-0.50270532899999998</v>
      </c>
      <c r="L94" s="25">
        <f>IF(VLOOKUP(B94,'Data qoq'!$A:$AT,MATCH($L$1,'Data qoq'!$A$1:$AT$1,),)=0,#N/A,VLOOKUP(B94,'Data qoq'!$A:$AT,MATCH($L$1,'Data qoq'!$A$1:$AT$1,),))</f>
        <v>1.6030922270000001</v>
      </c>
      <c r="M94" s="25">
        <f>IF(VLOOKUP(B94,'Data qoq'!$A:$AT,MATCH($M$1,'Data qoq'!$A$1:$AT$1,),)=0,#N/A,VLOOKUP(B94,'Data qoq'!$A:$AT,MATCH($M$1,'Data qoq'!$A$1:$AT$1,),))</f>
        <v>0.38052982299999999</v>
      </c>
      <c r="N94" s="25">
        <f>IF(VLOOKUP(B94,'Data qoq'!$A:$AT,MATCH($N$1,'Data qoq'!$A$1:$AT$1,),)=0,#N/A,VLOOKUP(B94,'Data qoq'!$A:$AT,MATCH($N$1,'Data qoq'!$A$1:$AT$1,),))</f>
        <v>0.68078932599999997</v>
      </c>
      <c r="O94" s="25">
        <f>IF(VLOOKUP(B94,'Data qoq'!$A:$AT,MATCH($O$1,'Data qoq'!$J$1:$AT$1,),)=0,#N/A,VLOOKUP(B94,'Data qoq'!$A:$AT,MATCH($O$1,'Data qoq'!$J$1:$AT$1,),))</f>
        <v>-0.50270532899999998</v>
      </c>
      <c r="P94" s="25">
        <f>IF(VLOOKUP(B94,'Data qoq'!$A:$AT,MATCH($P$1,'Data qoq'!$A$1:$AT$1,),)=0,#N/A,VLOOKUP(B94,'Data qoq'!$A:$AT,MATCH($P$1,'Data qoq'!$A$1:$AT$1,),))</f>
        <v>1.092953257</v>
      </c>
      <c r="Q94" s="25">
        <f>IF(VLOOKUP(B94,'Data qoq'!$A:$AT,MATCH($Q$1,'Data qoq'!$A$1:$AT$1,),)=0,#N/A,VLOOKUP(B94,'Data qoq'!$A:$AT,MATCH($Q$1,'Data qoq'!$A$1:$AT$1,),))</f>
        <v>1.7833363900000001</v>
      </c>
      <c r="R94" s="25">
        <f>IF(VLOOKUP(B94,'Data qoq'!$A:$AT,MATCH($R$1,'Data qoq'!$A$1:$AT$1,),)=0,#N/A,VLOOKUP(B94,'Data qoq'!$A:$AT,MATCH($R$1,'Data qoq'!$A$1:$AT$1,),))</f>
        <v>-0.23740064899999999</v>
      </c>
      <c r="S94" s="25">
        <f>IF(VLOOKUP(B94,'Data qoq'!$A:$AT,MATCH($S$1,'Data qoq'!$A$1:$AT$1,),)=0,#N/A,VLOOKUP(B94,'Data qoq'!$A:$AT,MATCH($S$1,'Data qoq'!$A$1:$AT$1,),))</f>
        <v>1.724067239</v>
      </c>
      <c r="T94" s="25">
        <f>IF(VLOOKUP(B94,'Data qoq'!$A:$AT,MATCH($T$1,'Data qoq'!$A$1:$AT$1,),)=0,#N/A,VLOOKUP(B94,'Data qoq'!$A:$AT,MATCH($T$1,'Data qoq'!$A$1:$AT$1,),))</f>
        <v>1.0856776319999999</v>
      </c>
      <c r="U94" s="25">
        <f>IF(VLOOKUP(B94,'Data qoq'!$A:$AT,MATCH($U$1,'Data qoq'!$A$1:$AT$1,),)=0,#N/A,VLOOKUP(B94,'Data qoq'!$A:$AT,MATCH($U$1,'Data qoq'!$A$1:$AT$1,),))</f>
        <v>3.4384263239999999</v>
      </c>
      <c r="V94" s="25">
        <f>IF(VLOOKUP(B94,'Data qoq'!$A:$AT,MATCH($V$1,'Data qoq'!$A$1:$AT$1,),)=0,#N/A,VLOOKUP(B94,'Data qoq'!$A:$AT,MATCH($V$1,'Data qoq'!$A$1:$AT$1,),))</f>
        <v>9.465318946</v>
      </c>
      <c r="W94" s="25">
        <f>IF(VLOOKUP(B94,'Data qoq'!$A:$AT,MATCH($W$1,'Data qoq'!$A$1:$AT$1,),)=0,#N/A,VLOOKUP(B94,'Data qoq'!$A:$AT,MATCH($W$1,'Data qoq'!$A$1:$AT$1,),))</f>
        <v>2.204118947</v>
      </c>
      <c r="X94" s="25">
        <f>IF(VLOOKUP(B94,'Data qoq'!$A:$AT,MATCH($X$1,'Data qoq'!$A$1:$AT$1,),)=0,#N/A,VLOOKUP(B94,'Data qoq'!$A:$AT,MATCH($X$1,'Data qoq'!$A$1:$AT$1,),))</f>
        <v>-0.51575419600000005</v>
      </c>
      <c r="Y94" s="25">
        <f>IF(VLOOKUP(B94,'Data qoq'!$A:$AT,MATCH($Y$1,'Data qoq'!$A$1:$AT$1,),)=0,#N/A,VLOOKUP(B94,'Data qoq'!$A:$AT,MATCH($Y$1,'Data qoq'!$A$1:$AT$1,),))</f>
        <v>1.354336803</v>
      </c>
      <c r="Z94" s="25">
        <f>IF(VLOOKUP(B94,'Data qoq'!$A:$AU,MATCH($Z$1,'Data qoq'!$A$1:$AU$1,),)=0,#N/A,VLOOKUP(B94,'Data qoq'!$A:$AU,MATCH($Z$1,'Data qoq'!$A$1:$AU$1,),))</f>
        <v>3.3585589179999999</v>
      </c>
      <c r="AA94" s="25">
        <f>IF(VLOOKUP(B94,'Data qoq'!$A:$AU,MATCH($AA$1,'Data qoq'!$A$1:$AU$1,),)=0,#N/A,VLOOKUP(B94,'Data qoq'!$A:$AU,MATCH($AA$1,'Data qoq'!$A$1:$AU$1,),))</f>
        <v>1.711166162</v>
      </c>
      <c r="AC94" s="26" t="str">
        <f t="shared" si="10"/>
        <v>2021-Q1</v>
      </c>
      <c r="AD94" s="27">
        <f t="shared" si="11"/>
        <v>3.218116143</v>
      </c>
      <c r="AE94" s="27"/>
    </row>
    <row r="95" spans="2:31" s="70" customFormat="1" x14ac:dyDescent="0.2">
      <c r="B95" s="24" t="s">
        <v>362</v>
      </c>
      <c r="C95" s="25">
        <f>IF(VLOOKUP(B95,'Data qoq'!$A:$AT,MATCH($C$1,'Data qoq'!$A$1:$AT$1,),)=0,#N/A,VLOOKUP(B95,'Data qoq'!$A:$AT,MATCH($C$1,'Data qoq'!$A$1:$AT$1,),))</f>
        <v>1.6407465400000001</v>
      </c>
      <c r="D95" s="25">
        <f>IF(VLOOKUP(B95,'Data qoq'!$A:$AT,MATCH($D$1,'Data qoq'!$A$1:$AT$1,),)=0,#N/A,VLOOKUP(B95,'Data qoq'!$A:$AT,MATCH($D$1,'Data qoq'!$A$1:$AT$1,),))</f>
        <v>1.2</v>
      </c>
      <c r="E95" s="25">
        <f>IF(VLOOKUP(B95,'Data qoq'!$A:$AT,MATCH($E$1,'Data qoq'!$A$1:$AT$1,),)=0,#N/A,VLOOKUP(B95,'Data qoq'!$A:$AT,MATCH($E$1,'Data qoq'!$A$1:$AT$1,),))</f>
        <v>2.1617489999999999</v>
      </c>
      <c r="F95" s="25">
        <f>IF(VLOOKUP(B95,'Data qoq'!$A:$AT,MATCH($F$1,'Data qoq'!$A$1:$AT$1,),)=0,#N/A,VLOOKUP(B95,'Data qoq'!$A:$AT,MATCH($F$1,'Data qoq'!$A$1:$AT$1,),))</f>
        <v>0.63537212600000004</v>
      </c>
      <c r="G95" s="25">
        <f>IF(VLOOKUP(B95,'Data qoq'!$A:$AT,MATCH($G$1,'Data qoq'!$A$1:$AT$1,),)=0,#N/A,VLOOKUP(B95,'Data qoq'!$A:$AT,MATCH($G$1,'Data qoq'!$A$1:$AT$1,),))</f>
        <v>2.173700733</v>
      </c>
      <c r="H95" s="25">
        <f>IF(VLOOKUP(B95,'Data qoq'!$A:$AT,MATCH($H$1,'Data qoq'!$A$1:$AT$1,),)=0,#N/A,VLOOKUP(B95,'Data qoq'!$A:$AT,MATCH($H$1,'Data qoq'!$A$1:$AT$1,),))</f>
        <v>0.98428234299999995</v>
      </c>
      <c r="I95" s="25">
        <f>IF(VLOOKUP(B95,'Data qoq'!$A:$AT,MATCH($I$1,'Data qoq'!$A$1:$AT$1,),)=0,#N/A,VLOOKUP(B95,'Data qoq'!$A:$AT,MATCH($I$1,'Data qoq'!$A$1:$AT$1,),))</f>
        <v>5.5557465989999999</v>
      </c>
      <c r="J95" s="25">
        <f>IF(VLOOKUP(B95,'Data qoq'!$A:$AT,MATCH($J$1,'Data qoq'!$A$1:$AT$1,),)=0,#N/A,VLOOKUP(B95,'Data qoq'!$A:$AT,MATCH($J$1,'Data qoq'!$A$1:$AT$1,),))</f>
        <v>2.6884984840000001</v>
      </c>
      <c r="K95" s="25">
        <f>IF(VLOOKUP(B95,'Data qoq'!$A:$AT,MATCH($K$1,'Data qoq'!$A$1:$AT$1,),)=0,#N/A,VLOOKUP(B95,'Data qoq'!$A:$AT,MATCH($K$1,'Data qoq'!$A$1:$AT$1,),))</f>
        <v>1.1283565209999999</v>
      </c>
      <c r="L95" s="25">
        <f>IF(VLOOKUP(B95,'Data qoq'!$A:$AT,MATCH($L$1,'Data qoq'!$A$1:$AT$1,),)=0,#N/A,VLOOKUP(B95,'Data qoq'!$A:$AT,MATCH($L$1,'Data qoq'!$A$1:$AT$1,),))</f>
        <v>0.76070964600000002</v>
      </c>
      <c r="M95" s="25">
        <f>IF(VLOOKUP(B95,'Data qoq'!$A:$AT,MATCH($M$1,'Data qoq'!$A$1:$AT$1,),)=0,#N/A,VLOOKUP(B95,'Data qoq'!$A:$AT,MATCH($M$1,'Data qoq'!$A$1:$AT$1,),))</f>
        <v>1.2004538890000001</v>
      </c>
      <c r="N95" s="25">
        <f>IF(VLOOKUP(B95,'Data qoq'!$A:$AT,MATCH($N$1,'Data qoq'!$A$1:$AT$1,),)=0,#N/A,VLOOKUP(B95,'Data qoq'!$A:$AT,MATCH($N$1,'Data qoq'!$A$1:$AT$1,),))</f>
        <v>3.1909337409999998</v>
      </c>
      <c r="O95" s="25">
        <f>IF(VLOOKUP(B95,'Data qoq'!$A:$AT,MATCH($O$1,'Data qoq'!$J$1:$AT$1,),)=0,#N/A,VLOOKUP(B95,'Data qoq'!$A:$AT,MATCH($O$1,'Data qoq'!$J$1:$AT$1,),))</f>
        <v>1.1283565209999999</v>
      </c>
      <c r="P95" s="25">
        <f>IF(VLOOKUP(B95,'Data qoq'!$A:$AT,MATCH($P$1,'Data qoq'!$A$1:$AT$1,),)=0,#N/A,VLOOKUP(B95,'Data qoq'!$A:$AT,MATCH($P$1,'Data qoq'!$A$1:$AT$1,),))</f>
        <v>-0.79204875299999999</v>
      </c>
      <c r="Q95" s="25">
        <f>IF(VLOOKUP(B95,'Data qoq'!$A:$AT,MATCH($Q$1,'Data qoq'!$A$1:$AT$1,),)=0,#N/A,VLOOKUP(B95,'Data qoq'!$A:$AT,MATCH($Q$1,'Data qoq'!$A$1:$AT$1,),))</f>
        <v>0.82140269099999996</v>
      </c>
      <c r="R95" s="25">
        <f>IF(VLOOKUP(B95,'Data qoq'!$A:$AT,MATCH($R$1,'Data qoq'!$A$1:$AT$1,),)=0,#N/A,VLOOKUP(B95,'Data qoq'!$A:$AT,MATCH($R$1,'Data qoq'!$A$1:$AT$1,),))</f>
        <v>1.973963036</v>
      </c>
      <c r="S95" s="25">
        <f>IF(VLOOKUP(B95,'Data qoq'!$A:$AT,MATCH($S$1,'Data qoq'!$A$1:$AT$1,),)=0,#N/A,VLOOKUP(B95,'Data qoq'!$A:$AT,MATCH($S$1,'Data qoq'!$A$1:$AT$1,),))</f>
        <v>0.83334792899999999</v>
      </c>
      <c r="T95" s="25">
        <f>IF(VLOOKUP(B95,'Data qoq'!$A:$AT,MATCH($T$1,'Data qoq'!$A$1:$AT$1,),)=0,#N/A,VLOOKUP(B95,'Data qoq'!$A:$AT,MATCH($T$1,'Data qoq'!$A$1:$AT$1,),))</f>
        <v>-0.21653682899999999</v>
      </c>
      <c r="U95" s="25">
        <f>IF(VLOOKUP(B95,'Data qoq'!$A:$AT,MATCH($U$1,'Data qoq'!$A$1:$AT$1,),)=0,#N/A,VLOOKUP(B95,'Data qoq'!$A:$AT,MATCH($U$1,'Data qoq'!$A$1:$AT$1,),))</f>
        <v>1.3453579760000001</v>
      </c>
      <c r="V95" s="25">
        <f>IF(VLOOKUP(B95,'Data qoq'!$A:$AT,MATCH($V$1,'Data qoq'!$A$1:$AT$1,),)=0,#N/A,VLOOKUP(B95,'Data qoq'!$A:$AT,MATCH($V$1,'Data qoq'!$A$1:$AT$1,),))</f>
        <v>4.9649303429999998</v>
      </c>
      <c r="W95" s="25">
        <f>IF(VLOOKUP(B95,'Data qoq'!$A:$AT,MATCH($W$1,'Data qoq'!$A$1:$AT$1,),)=0,#N/A,VLOOKUP(B95,'Data qoq'!$A:$AT,MATCH($W$1,'Data qoq'!$A$1:$AT$1,),))</f>
        <v>1.688076645</v>
      </c>
      <c r="X95" s="25">
        <f>IF(VLOOKUP(B95,'Data qoq'!$A:$AT,MATCH($X$1,'Data qoq'!$A$1:$AT$1,),)=0,#N/A,VLOOKUP(B95,'Data qoq'!$A:$AT,MATCH($X$1,'Data qoq'!$A$1:$AT$1,),))</f>
        <v>1.407038024</v>
      </c>
      <c r="Y95" s="25">
        <f>IF(VLOOKUP(B95,'Data qoq'!$A:$AT,MATCH($Y$1,'Data qoq'!$A$1:$AT$1,),)=0,#N/A,VLOOKUP(B95,'Data qoq'!$A:$AT,MATCH($Y$1,'Data qoq'!$A$1:$AT$1,),))</f>
        <v>2.0157983719999999</v>
      </c>
      <c r="Z95" s="25">
        <f>IF(VLOOKUP(B95,'Data qoq'!$A:$AU,MATCH($Z$1,'Data qoq'!$A$1:$AU$1,),)=0,#N/A,VLOOKUP(B95,'Data qoq'!$A:$AU,MATCH($Z$1,'Data qoq'!$A$1:$AU$1,),))</f>
        <v>-0.79996701999999997</v>
      </c>
      <c r="AA95" s="25">
        <f>IF(VLOOKUP(B95,'Data qoq'!$A:$AU,MATCH($AA$1,'Data qoq'!$A$1:$AU$1,),)=0,#N/A,VLOOKUP(B95,'Data qoq'!$A:$AU,MATCH($AA$1,'Data qoq'!$A$1:$AU$1,),))</f>
        <v>2.3709650739999999</v>
      </c>
      <c r="AC95" s="26" t="str">
        <f t="shared" si="10"/>
        <v>2021-Q2</v>
      </c>
      <c r="AD95" s="27">
        <f t="shared" si="11"/>
        <v>-0.53295419299999991</v>
      </c>
      <c r="AE95" s="27"/>
    </row>
    <row r="96" spans="2:31" s="70" customFormat="1" x14ac:dyDescent="0.2">
      <c r="B96" s="24" t="s">
        <v>363</v>
      </c>
      <c r="C96" s="25">
        <f>IF(VLOOKUP(B96,'Data qoq'!$A:$AT,MATCH($C$1,'Data qoq'!$A$1:$AT$1,),)=0,#N/A,VLOOKUP(B96,'Data qoq'!$A:$AT,MATCH($C$1,'Data qoq'!$A$1:$AT$1,),))</f>
        <v>0.57094811099999998</v>
      </c>
      <c r="D96" s="25">
        <f>IF(VLOOKUP(B96,'Data qoq'!$A:$AT,MATCH($D$1,'Data qoq'!$A$1:$AT$1,),)=0,#N/A,VLOOKUP(B96,'Data qoq'!$A:$AT,MATCH($D$1,'Data qoq'!$A$1:$AT$1,),))</f>
        <v>0.7</v>
      </c>
      <c r="E96" s="25">
        <f>IF(VLOOKUP(B96,'Data qoq'!$A:$AT,MATCH($E$1,'Data qoq'!$A$1:$AT$1,),)=0,#N/A,VLOOKUP(B96,'Data qoq'!$A:$AT,MATCH($E$1,'Data qoq'!$A$1:$AT$1,),))</f>
        <v>2.3169780000000002</v>
      </c>
      <c r="F96" s="25">
        <f>IF(VLOOKUP(B96,'Data qoq'!$A:$AT,MATCH($F$1,'Data qoq'!$A$1:$AT$1,),)=0,#N/A,VLOOKUP(B96,'Data qoq'!$A:$AT,MATCH($F$1,'Data qoq'!$A$1:$AT$1,),))</f>
        <v>-0.79739968100000003</v>
      </c>
      <c r="G96" s="25">
        <f>IF(VLOOKUP(B96,'Data qoq'!$A:$AT,MATCH($G$1,'Data qoq'!$A$1:$AT$1,),)=0,#N/A,VLOOKUP(B96,'Data qoq'!$A:$AT,MATCH($G$1,'Data qoq'!$A$1:$AT$1,),))</f>
        <v>1.6695303319999999</v>
      </c>
      <c r="H96" s="25">
        <f>IF(VLOOKUP(B96,'Data qoq'!$A:$AT,MATCH($H$1,'Data qoq'!$A$1:$AT$1,),)=0,#N/A,VLOOKUP(B96,'Data qoq'!$A:$AT,MATCH($H$1,'Data qoq'!$A$1:$AT$1,),))</f>
        <v>3.2119469</v>
      </c>
      <c r="I96" s="25">
        <f>IF(VLOOKUP(B96,'Data qoq'!$A:$AT,MATCH($I$1,'Data qoq'!$A$1:$AT$1,),)=0,#N/A,VLOOKUP(B96,'Data qoq'!$A:$AT,MATCH($I$1,'Data qoq'!$A$1:$AT$1,),))</f>
        <v>0.93733993800000004</v>
      </c>
      <c r="J96" s="25">
        <f>IF(VLOOKUP(B96,'Data qoq'!$A:$AT,MATCH($J$1,'Data qoq'!$A$1:$AT$1,),)=0,#N/A,VLOOKUP(B96,'Data qoq'!$A:$AT,MATCH($J$1,'Data qoq'!$A$1:$AT$1,),))</f>
        <v>2.6225867630000002</v>
      </c>
      <c r="K96" s="25">
        <f>IF(VLOOKUP(B96,'Data qoq'!$A:$AT,MATCH($K$1,'Data qoq'!$A$1:$AT$1,),)=0,#N/A,VLOOKUP(B96,'Data qoq'!$A:$AT,MATCH($K$1,'Data qoq'!$A$1:$AT$1,),))</f>
        <v>2.6058762020000001</v>
      </c>
      <c r="L96" s="25">
        <f>IF(VLOOKUP(B96,'Data qoq'!$A:$AT,MATCH($L$1,'Data qoq'!$A$1:$AT$1,),)=0,#N/A,VLOOKUP(B96,'Data qoq'!$A:$AT,MATCH($L$1,'Data qoq'!$A$1:$AT$1,),))</f>
        <v>2.0040051870000002</v>
      </c>
      <c r="M96" s="25">
        <f>IF(VLOOKUP(B96,'Data qoq'!$A:$AT,MATCH($M$1,'Data qoq'!$A$1:$AT$1,),)=0,#N/A,VLOOKUP(B96,'Data qoq'!$A:$AT,MATCH($M$1,'Data qoq'!$A$1:$AT$1,),))</f>
        <v>-0.61882371999999997</v>
      </c>
      <c r="N96" s="25">
        <f>IF(VLOOKUP(B96,'Data qoq'!$A:$AT,MATCH($N$1,'Data qoq'!$A$1:$AT$1,),)=0,#N/A,VLOOKUP(B96,'Data qoq'!$A:$AT,MATCH($N$1,'Data qoq'!$A$1:$AT$1,),))</f>
        <v>-0.79450589500000002</v>
      </c>
      <c r="O96" s="25">
        <f>IF(VLOOKUP(B96,'Data qoq'!$A:$AT,MATCH($O$1,'Data qoq'!$J$1:$AT$1,),)=0,#N/A,VLOOKUP(B96,'Data qoq'!$A:$AT,MATCH($O$1,'Data qoq'!$J$1:$AT$1,),))</f>
        <v>2.6058762020000001</v>
      </c>
      <c r="P96" s="25">
        <f>IF(VLOOKUP(B96,'Data qoq'!$A:$AT,MATCH($P$1,'Data qoq'!$A$1:$AT$1,),)=0,#N/A,VLOOKUP(B96,'Data qoq'!$A:$AT,MATCH($P$1,'Data qoq'!$A$1:$AT$1,),))</f>
        <v>1.30781901</v>
      </c>
      <c r="Q96" s="25">
        <f>IF(VLOOKUP(B96,'Data qoq'!$A:$AT,MATCH($Q$1,'Data qoq'!$A$1:$AT$1,),)=0,#N/A,VLOOKUP(B96,'Data qoq'!$A:$AT,MATCH($Q$1,'Data qoq'!$A$1:$AT$1,),))</f>
        <v>-1.8203751480000001</v>
      </c>
      <c r="R96" s="25">
        <f>IF(VLOOKUP(B96,'Data qoq'!$A:$AT,MATCH($R$1,'Data qoq'!$A$1:$AT$1,),)=0,#N/A,VLOOKUP(B96,'Data qoq'!$A:$AT,MATCH($R$1,'Data qoq'!$A$1:$AT$1,),))</f>
        <v>1.870791305</v>
      </c>
      <c r="S96" s="25">
        <f>IF(VLOOKUP(B96,'Data qoq'!$A:$AT,MATCH($S$1,'Data qoq'!$A$1:$AT$1,),)=0,#N/A,VLOOKUP(B96,'Data qoq'!$A:$AT,MATCH($S$1,'Data qoq'!$A$1:$AT$1,),))</f>
        <v>0.21323898299999999</v>
      </c>
      <c r="T96" s="25">
        <f>IF(VLOOKUP(B96,'Data qoq'!$A:$AT,MATCH($T$1,'Data qoq'!$A$1:$AT$1,),)=0,#N/A,VLOOKUP(B96,'Data qoq'!$A:$AT,MATCH($T$1,'Data qoq'!$A$1:$AT$1,),))</f>
        <v>6.3533838999999995E-2</v>
      </c>
      <c r="U96" s="25">
        <f>IF(VLOOKUP(B96,'Data qoq'!$A:$AT,MATCH($U$1,'Data qoq'!$A$1:$AT$1,),)=0,#N/A,VLOOKUP(B96,'Data qoq'!$A:$AT,MATCH($U$1,'Data qoq'!$A$1:$AT$1,),))</f>
        <v>2.3289369510000002</v>
      </c>
      <c r="V96" s="25">
        <f>IF(VLOOKUP(B96,'Data qoq'!$A:$AT,MATCH($V$1,'Data qoq'!$A$1:$AT$1,),)=0,#N/A,VLOOKUP(B96,'Data qoq'!$A:$AT,MATCH($V$1,'Data qoq'!$A$1:$AT$1,),))</f>
        <v>1.9306443520000001</v>
      </c>
      <c r="W96" s="25">
        <f>IF(VLOOKUP(B96,'Data qoq'!$A:$AT,MATCH($W$1,'Data qoq'!$A$1:$AT$1,),)=0,#N/A,VLOOKUP(B96,'Data qoq'!$A:$AT,MATCH($W$1,'Data qoq'!$A$1:$AT$1,),))</f>
        <v>2.7739530750000001</v>
      </c>
      <c r="X96" s="25">
        <f>IF(VLOOKUP(B96,'Data qoq'!$A:$AT,MATCH($X$1,'Data qoq'!$A$1:$AT$1,),)=0,#N/A,VLOOKUP(B96,'Data qoq'!$A:$AT,MATCH($X$1,'Data qoq'!$A$1:$AT$1,),))</f>
        <v>1.6988365430000001</v>
      </c>
      <c r="Y96" s="25">
        <f>IF(VLOOKUP(B96,'Data qoq'!$A:$AT,MATCH($Y$1,'Data qoq'!$A$1:$AT$1,),)=0,#N/A,VLOOKUP(B96,'Data qoq'!$A:$AT,MATCH($Y$1,'Data qoq'!$A$1:$AT$1,),))</f>
        <v>2.6022336639999999</v>
      </c>
      <c r="Z96" s="25">
        <f>IF(VLOOKUP(B96,'Data qoq'!$A:$AU,MATCH($Z$1,'Data qoq'!$A$1:$AU$1,),)=0,#N/A,VLOOKUP(B96,'Data qoq'!$A:$AU,MATCH($Z$1,'Data qoq'!$A$1:$AU$1,),))</f>
        <v>4.0837459330000003</v>
      </c>
      <c r="AA96" s="25">
        <f>IF(VLOOKUP(B96,'Data qoq'!$A:$AU,MATCH($AA$1,'Data qoq'!$A$1:$AU$1,),)=0,#N/A,VLOOKUP(B96,'Data qoq'!$A:$AU,MATCH($AA$1,'Data qoq'!$A$1:$AU$1,),))</f>
        <v>-3.8331619909999999</v>
      </c>
      <c r="AC96" s="26" t="str">
        <f t="shared" si="10"/>
        <v>2021-Q3</v>
      </c>
      <c r="AD96" s="27">
        <f t="shared" si="11"/>
        <v>-1.098582221</v>
      </c>
      <c r="AE96" s="27"/>
    </row>
    <row r="97" spans="2:31" s="70" customFormat="1" x14ac:dyDescent="0.2">
      <c r="B97" s="24" t="s">
        <v>364</v>
      </c>
      <c r="C97" s="25">
        <f>IF(VLOOKUP(B97,'Data qoq'!$A:$AT,MATCH($C$1,'Data qoq'!$A$1:$AT$1,),)=0,#N/A,VLOOKUP(B97,'Data qoq'!$A:$AT,MATCH($C$1,'Data qoq'!$A$1:$AT$1,),))</f>
        <v>1.6807782659999999</v>
      </c>
      <c r="D97" s="25">
        <f>IF(VLOOKUP(B97,'Data qoq'!$A:$AT,MATCH($D$1,'Data qoq'!$A$1:$AT$1,),)=0,#N/A,VLOOKUP(B97,'Data qoq'!$A:$AT,MATCH($D$1,'Data qoq'!$A$1:$AT$1,),))</f>
        <v>1.5</v>
      </c>
      <c r="E97" s="25">
        <f>IF(VLOOKUP(B97,'Data qoq'!$A:$AT,MATCH($E$1,'Data qoq'!$A$1:$AT$1,),)=0,#N/A,VLOOKUP(B97,'Data qoq'!$A:$AT,MATCH($E$1,'Data qoq'!$A$1:$AT$1,),))</f>
        <v>0.24948000000000001</v>
      </c>
      <c r="F97" s="25">
        <f>IF(VLOOKUP(B97,'Data qoq'!$A:$AT,MATCH($F$1,'Data qoq'!$A$1:$AT$1,),)=0,#N/A,VLOOKUP(B97,'Data qoq'!$A:$AT,MATCH($F$1,'Data qoq'!$A$1:$AT$1,),))</f>
        <v>0.98273304900000003</v>
      </c>
      <c r="G97" s="25">
        <f>IF(VLOOKUP(B97,'Data qoq'!$A:$AT,MATCH($G$1,'Data qoq'!$A$1:$AT$1,),)=0,#N/A,VLOOKUP(B97,'Data qoq'!$A:$AT,MATCH($G$1,'Data qoq'!$A$1:$AT$1,),))</f>
        <v>-0.34718883699999997</v>
      </c>
      <c r="H97" s="25">
        <f>IF(VLOOKUP(B97,'Data qoq'!$A:$AT,MATCH($H$1,'Data qoq'!$A$1:$AT$1,),)=0,#N/A,VLOOKUP(B97,'Data qoq'!$A:$AT,MATCH($H$1,'Data qoq'!$A$1:$AT$1,),))</f>
        <v>0.44331445400000002</v>
      </c>
      <c r="I97" s="25">
        <f>IF(VLOOKUP(B97,'Data qoq'!$A:$AT,MATCH($I$1,'Data qoq'!$A$1:$AT$1,),)=0,#N/A,VLOOKUP(B97,'Data qoq'!$A:$AT,MATCH($I$1,'Data qoq'!$A$1:$AT$1,),))</f>
        <v>1.275237583</v>
      </c>
      <c r="J97" s="25">
        <f>IF(VLOOKUP(B97,'Data qoq'!$A:$AT,MATCH($J$1,'Data qoq'!$A$1:$AT$1,),)=0,#N/A,VLOOKUP(B97,'Data qoq'!$A:$AT,MATCH($J$1,'Data qoq'!$A$1:$AT$1,),))</f>
        <v>0.68854718699999995</v>
      </c>
      <c r="K97" s="25">
        <f>IF(VLOOKUP(B97,'Data qoq'!$A:$AT,MATCH($K$1,'Data qoq'!$A$1:$AT$1,),)=0,#N/A,VLOOKUP(B97,'Data qoq'!$A:$AT,MATCH($K$1,'Data qoq'!$A$1:$AT$1,),))</f>
        <v>2.222277268</v>
      </c>
      <c r="L97" s="25">
        <f>IF(VLOOKUP(B97,'Data qoq'!$A:$AT,MATCH($L$1,'Data qoq'!$A$1:$AT$1,),)=0,#N/A,VLOOKUP(B97,'Data qoq'!$A:$AT,MATCH($L$1,'Data qoq'!$A$1:$AT$1,),))</f>
        <v>1.154055732</v>
      </c>
      <c r="M97" s="25">
        <f>IF(VLOOKUP(B97,'Data qoq'!$A:$AT,MATCH($M$1,'Data qoq'!$A$1:$AT$1,),)=0,#N/A,VLOOKUP(B97,'Data qoq'!$A:$AT,MATCH($M$1,'Data qoq'!$A$1:$AT$1,),))</f>
        <v>0.24135129299999999</v>
      </c>
      <c r="N97" s="25" t="e">
        <f>IF(VLOOKUP(B97,'Data qoq'!$A:$AT,MATCH($N$1,'Data qoq'!$A$1:$AT$1,),)=0,#N/A,VLOOKUP(B97,'Data qoq'!$A:$AT,MATCH($N$1,'Data qoq'!$A$1:$AT$1,),))</f>
        <v>#N/A</v>
      </c>
      <c r="O97" s="25">
        <f>IF(VLOOKUP(B97,'Data qoq'!$A:$AT,MATCH($O$1,'Data qoq'!$J$1:$AT$1,),)=0,#N/A,VLOOKUP(B97,'Data qoq'!$A:$AT,MATCH($O$1,'Data qoq'!$J$1:$AT$1,),))</f>
        <v>2.222277268</v>
      </c>
      <c r="P97" s="25">
        <f>IF(VLOOKUP(B97,'Data qoq'!$A:$AT,MATCH($P$1,'Data qoq'!$A$1:$AT$1,),)=0,#N/A,VLOOKUP(B97,'Data qoq'!$A:$AT,MATCH($P$1,'Data qoq'!$A$1:$AT$1,),))</f>
        <v>1.602575751</v>
      </c>
      <c r="Q97" s="25">
        <f>IF(VLOOKUP(B97,'Data qoq'!$A:$AT,MATCH($Q$1,'Data qoq'!$A$1:$AT$1,),)=0,#N/A,VLOOKUP(B97,'Data qoq'!$A:$AT,MATCH($Q$1,'Data qoq'!$A$1:$AT$1,),))</f>
        <v>3.623175502</v>
      </c>
      <c r="R97" s="25">
        <f>IF(VLOOKUP(B97,'Data qoq'!$A:$AT,MATCH($R$1,'Data qoq'!$A$1:$AT$1,),)=0,#N/A,VLOOKUP(B97,'Data qoq'!$A:$AT,MATCH($R$1,'Data qoq'!$A$1:$AT$1,),))</f>
        <v>0.157669803</v>
      </c>
      <c r="S97" s="25">
        <f>IF(VLOOKUP(B97,'Data qoq'!$A:$AT,MATCH($S$1,'Data qoq'!$A$1:$AT$1,),)=0,#N/A,VLOOKUP(B97,'Data qoq'!$A:$AT,MATCH($S$1,'Data qoq'!$A$1:$AT$1,),))</f>
        <v>1.3377757400000001</v>
      </c>
      <c r="T97" s="25">
        <f>IF(VLOOKUP(B97,'Data qoq'!$A:$AT,MATCH($T$1,'Data qoq'!$A$1:$AT$1,),)=0,#N/A,VLOOKUP(B97,'Data qoq'!$A:$AT,MATCH($T$1,'Data qoq'!$A$1:$AT$1,),))</f>
        <v>0.66221359000000002</v>
      </c>
      <c r="U97" s="25">
        <f>IF(VLOOKUP(B97,'Data qoq'!$A:$AT,MATCH($U$1,'Data qoq'!$A$1:$AT$1,),)=0,#N/A,VLOOKUP(B97,'Data qoq'!$A:$AT,MATCH($U$1,'Data qoq'!$A$1:$AT$1,),))</f>
        <v>0.80913632300000005</v>
      </c>
      <c r="V97" s="25">
        <f>IF(VLOOKUP(B97,'Data qoq'!$A:$AT,MATCH($V$1,'Data qoq'!$A$1:$AT$1,),)=0,#N/A,VLOOKUP(B97,'Data qoq'!$A:$AT,MATCH($V$1,'Data qoq'!$A$1:$AT$1,),))</f>
        <v>-6.1602560840000002</v>
      </c>
      <c r="W97" s="25">
        <f>IF(VLOOKUP(B97,'Data qoq'!$A:$AT,MATCH($W$1,'Data qoq'!$A$1:$AT$1,),)=0,#N/A,VLOOKUP(B97,'Data qoq'!$A:$AT,MATCH($W$1,'Data qoq'!$A$1:$AT$1,),))</f>
        <v>1.5109707020000001</v>
      </c>
      <c r="X97" s="25">
        <f>IF(VLOOKUP(B97,'Data qoq'!$A:$AT,MATCH($X$1,'Data qoq'!$A$1:$AT$1,),)=0,#N/A,VLOOKUP(B97,'Data qoq'!$A:$AT,MATCH($X$1,'Data qoq'!$A$1:$AT$1,),))</f>
        <v>0.84683267900000003</v>
      </c>
      <c r="Y97" s="25">
        <f>IF(VLOOKUP(B97,'Data qoq'!$A:$AT,MATCH($Y$1,'Data qoq'!$A$1:$AT$1,),)=0,#N/A,VLOOKUP(B97,'Data qoq'!$A:$AT,MATCH($Y$1,'Data qoq'!$A$1:$AT$1,),))</f>
        <v>1.7831243990000001</v>
      </c>
      <c r="Z97" s="25">
        <f>IF(VLOOKUP(B97,'Data qoq'!$A:$AU,MATCH($Z$1,'Data qoq'!$A$1:$AU$1,),)=0,#N/A,VLOOKUP(B97,'Data qoq'!$A:$AU,MATCH($Z$1,'Data qoq'!$A$1:$AU$1,),))</f>
        <v>1.852375439</v>
      </c>
      <c r="AA97" s="25">
        <f>IF(VLOOKUP(B97,'Data qoq'!$A:$AU,MATCH($AA$1,'Data qoq'!$A$1:$AU$1,),)=0,#N/A,VLOOKUP(B97,'Data qoq'!$A:$AU,MATCH($AA$1,'Data qoq'!$A$1:$AU$1,),))</f>
        <v>2.9718998170000002</v>
      </c>
      <c r="AC97" s="26" t="str">
        <f t="shared" si="10"/>
        <v>2021-Q4</v>
      </c>
      <c r="AD97" s="27">
        <f t="shared" si="11"/>
        <v>2.0279671029999999</v>
      </c>
      <c r="AE97" s="27"/>
    </row>
    <row r="98" spans="2:31" s="70" customFormat="1" x14ac:dyDescent="0.2">
      <c r="B98" s="24" t="s">
        <v>365</v>
      </c>
      <c r="C98" s="25">
        <f>IF(VLOOKUP(B98,'Data qoq'!$A:$AT,MATCH($C$1,'Data qoq'!$A$1:$AT$1,),)=0,#N/A,VLOOKUP(B98,'Data qoq'!$A:$AT,MATCH($C$1,'Data qoq'!$A$1:$AT$1,),))</f>
        <v>-0.39569248000000001</v>
      </c>
      <c r="D98" s="25">
        <f>IF(VLOOKUP(B98,'Data qoq'!$A:$AT,MATCH($D$1,'Data qoq'!$A$1:$AT$1,),)=0,#N/A,VLOOKUP(B98,'Data qoq'!$A:$AT,MATCH($D$1,'Data qoq'!$A$1:$AT$1,),))</f>
        <v>1.3</v>
      </c>
      <c r="E98" s="25">
        <f>IF(VLOOKUP(B98,'Data qoq'!$A:$AT,MATCH($E$1,'Data qoq'!$A$1:$AT$1,),)=0,#N/A,VLOOKUP(B98,'Data qoq'!$A:$AT,MATCH($E$1,'Data qoq'!$A$1:$AT$1,),))</f>
        <v>0.62434999999999996</v>
      </c>
      <c r="F98" s="25">
        <f>IF(VLOOKUP(B98,'Data qoq'!$A:$AT,MATCH($F$1,'Data qoq'!$A$1:$AT$1,),)=0,#N/A,VLOOKUP(B98,'Data qoq'!$A:$AT,MATCH($F$1,'Data qoq'!$A$1:$AT$1,),))</f>
        <v>-0.12638948699999999</v>
      </c>
      <c r="G98" s="25">
        <f>IF(VLOOKUP(B98,'Data qoq'!$A:$AT,MATCH($G$1,'Data qoq'!$A$1:$AT$1,),)=0,#N/A,VLOOKUP(B98,'Data qoq'!$A:$AT,MATCH($G$1,'Data qoq'!$A$1:$AT$1,),))</f>
        <v>0.23540209600000001</v>
      </c>
      <c r="H98" s="25">
        <f>IF(VLOOKUP(B98,'Data qoq'!$A:$AT,MATCH($H$1,'Data qoq'!$A$1:$AT$1,),)=0,#N/A,VLOOKUP(B98,'Data qoq'!$A:$AT,MATCH($H$1,'Data qoq'!$A$1:$AT$1,),))</f>
        <v>-0.20981216</v>
      </c>
      <c r="I98" s="25">
        <f>IF(VLOOKUP(B98,'Data qoq'!$A:$AT,MATCH($I$1,'Data qoq'!$A$1:$AT$1,),)=0,#N/A,VLOOKUP(B98,'Data qoq'!$A:$AT,MATCH($I$1,'Data qoq'!$A$1:$AT$1,),))</f>
        <v>0.77370877400000004</v>
      </c>
      <c r="J98" s="25">
        <f>IF(VLOOKUP(B98,'Data qoq'!$A:$AT,MATCH($J$1,'Data qoq'!$A$1:$AT$1,),)=0,#N/A,VLOOKUP(B98,'Data qoq'!$A:$AT,MATCH($J$1,'Data qoq'!$A$1:$AT$1,),))</f>
        <v>0.13067974199999999</v>
      </c>
      <c r="K98" s="25">
        <f>IF(VLOOKUP(B98,'Data qoq'!$A:$AT,MATCH($K$1,'Data qoq'!$A$1:$AT$1,),)=0,#N/A,VLOOKUP(B98,'Data qoq'!$A:$AT,MATCH($K$1,'Data qoq'!$A$1:$AT$1,),))</f>
        <v>0.19870323600000001</v>
      </c>
      <c r="L98" s="25">
        <f>IF(VLOOKUP(B98,'Data qoq'!$A:$AT,MATCH($L$1,'Data qoq'!$A$1:$AT$1,),)=0,#N/A,VLOOKUP(B98,'Data qoq'!$A:$AT,MATCH($L$1,'Data qoq'!$A$1:$AT$1,),))</f>
        <v>-0.80773978300000004</v>
      </c>
      <c r="M98" s="25">
        <f>IF(VLOOKUP(B98,'Data qoq'!$A:$AT,MATCH($M$1,'Data qoq'!$A$1:$AT$1,),)=0,#N/A,VLOOKUP(B98,'Data qoq'!$A:$AT,MATCH($M$1,'Data qoq'!$A$1:$AT$1,),))</f>
        <v>1.0089033009999999</v>
      </c>
      <c r="N98" s="25" t="e">
        <f>IF(VLOOKUP(B98,'Data qoq'!$A:$AT,MATCH($N$1,'Data qoq'!$A$1:$AT$1,),)=0,#N/A,VLOOKUP(B98,'Data qoq'!$A:$AT,MATCH($N$1,'Data qoq'!$A$1:$AT$1,),))</f>
        <v>#N/A</v>
      </c>
      <c r="O98" s="25">
        <f>IF(VLOOKUP(B98,'Data qoq'!$A:$AT,MATCH($O$1,'Data qoq'!$J$1:$AT$1,),)=0,#N/A,VLOOKUP(B98,'Data qoq'!$A:$AT,MATCH($O$1,'Data qoq'!$J$1:$AT$1,),))</f>
        <v>0.19870323600000001</v>
      </c>
      <c r="P98" s="25">
        <f>IF(VLOOKUP(B98,'Data qoq'!$A:$AT,MATCH($P$1,'Data qoq'!$A$1:$AT$1,),)=0,#N/A,VLOOKUP(B98,'Data qoq'!$A:$AT,MATCH($P$1,'Data qoq'!$A$1:$AT$1,),))</f>
        <v>0.755021041</v>
      </c>
      <c r="Q98" s="25">
        <f>IF(VLOOKUP(B98,'Data qoq'!$A:$AT,MATCH($Q$1,'Data qoq'!$A$1:$AT$1,),)=0,#N/A,VLOOKUP(B98,'Data qoq'!$A:$AT,MATCH($Q$1,'Data qoq'!$A$1:$AT$1,),))</f>
        <v>0.75440355100000001</v>
      </c>
      <c r="R98" s="25">
        <f>IF(VLOOKUP(B98,'Data qoq'!$A:$AT,MATCH($R$1,'Data qoq'!$A$1:$AT$1,),)=0,#N/A,VLOOKUP(B98,'Data qoq'!$A:$AT,MATCH($R$1,'Data qoq'!$A$1:$AT$1,),))</f>
        <v>0.47661228100000003</v>
      </c>
      <c r="S98" s="25">
        <f>IF(VLOOKUP(B98,'Data qoq'!$A:$AT,MATCH($S$1,'Data qoq'!$A$1:$AT$1,),)=0,#N/A,VLOOKUP(B98,'Data qoq'!$A:$AT,MATCH($S$1,'Data qoq'!$A$1:$AT$1,),))</f>
        <v>0.63396788500000001</v>
      </c>
      <c r="T98" s="25">
        <f>IF(VLOOKUP(B98,'Data qoq'!$A:$AT,MATCH($T$1,'Data qoq'!$A$1:$AT$1,),)=0,#N/A,VLOOKUP(B98,'Data qoq'!$A:$AT,MATCH($T$1,'Data qoq'!$A$1:$AT$1,),))</f>
        <v>0.99607839399999998</v>
      </c>
      <c r="U98" s="25">
        <f>IF(VLOOKUP(B98,'Data qoq'!$A:$AT,MATCH($U$1,'Data qoq'!$A$1:$AT$1,),)=0,#N/A,VLOOKUP(B98,'Data qoq'!$A:$AT,MATCH($U$1,'Data qoq'!$A$1:$AT$1,),))</f>
        <v>2.3496691969999999</v>
      </c>
      <c r="V98" s="25">
        <f>IF(VLOOKUP(B98,'Data qoq'!$A:$AT,MATCH($V$1,'Data qoq'!$A$1:$AT$1,),)=0,#N/A,VLOOKUP(B98,'Data qoq'!$A:$AT,MATCH($V$1,'Data qoq'!$A$1:$AT$1,),))</f>
        <v>10.849862417000001</v>
      </c>
      <c r="W98" s="25">
        <f>IF(VLOOKUP(B98,'Data qoq'!$A:$AT,MATCH($W$1,'Data qoq'!$A$1:$AT$1,),)=0,#N/A,VLOOKUP(B98,'Data qoq'!$A:$AT,MATCH($W$1,'Data qoq'!$A$1:$AT$1,),))</f>
        <v>1.2006183340000001</v>
      </c>
      <c r="X98" s="25">
        <f>IF(VLOOKUP(B98,'Data qoq'!$A:$AT,MATCH($X$1,'Data qoq'!$A$1:$AT$1,),)=0,#N/A,VLOOKUP(B98,'Data qoq'!$A:$AT,MATCH($X$1,'Data qoq'!$A$1:$AT$1,),))</f>
        <v>0.87272611700000002</v>
      </c>
      <c r="Y98" s="25">
        <f>IF(VLOOKUP(B98,'Data qoq'!$A:$AT,MATCH($Y$1,'Data qoq'!$A$1:$AT$1,),)=0,#N/A,VLOOKUP(B98,'Data qoq'!$A:$AT,MATCH($Y$1,'Data qoq'!$A$1:$AT$1,),))</f>
        <v>2.4657446379999999</v>
      </c>
      <c r="Z98" s="25">
        <f>IF(VLOOKUP(B98,'Data qoq'!$A:$AU,MATCH($Z$1,'Data qoq'!$A$1:$AU$1,),)=0,#N/A,VLOOKUP(B98,'Data qoq'!$A:$AU,MATCH($Z$1,'Data qoq'!$A$1:$AU$1,),))</f>
        <v>0.87384602499999997</v>
      </c>
      <c r="AA98" s="25">
        <f>IF(VLOOKUP(B98,'Data qoq'!$A:$AU,MATCH($AA$1,'Data qoq'!$A$1:$AU$1,),)=0,#N/A,VLOOKUP(B98,'Data qoq'!$A:$AU,MATCH($AA$1,'Data qoq'!$A$1:$AU$1,),))</f>
        <v>-0.15720938500000001</v>
      </c>
      <c r="AC98" s="26" t="str">
        <f t="shared" si="10"/>
        <v>2022-Q1</v>
      </c>
      <c r="AD98" s="27">
        <f t="shared" si="11"/>
        <v>-0.63109457599999996</v>
      </c>
      <c r="AE98" s="27"/>
    </row>
    <row r="99" spans="2:31" s="70" customFormat="1" x14ac:dyDescent="0.2"/>
    <row r="100" spans="2:31" s="70" customFormat="1" x14ac:dyDescent="0.2"/>
    <row r="101" spans="2:31" s="70" customFormat="1" x14ac:dyDescent="0.2"/>
    <row r="102" spans="2:31" s="70" customFormat="1" x14ac:dyDescent="0.2"/>
    <row r="103" spans="2:31" s="70" customFormat="1" x14ac:dyDescent="0.2"/>
    <row r="104" spans="2:31" s="70" customFormat="1" x14ac:dyDescent="0.2">
      <c r="C104" s="27"/>
    </row>
    <row r="105" spans="2:31" s="70" customFormat="1" x14ac:dyDescent="0.2"/>
    <row r="106" spans="2:31" s="70" customFormat="1" x14ac:dyDescent="0.2"/>
    <row r="107" spans="2:31" s="70" customFormat="1" x14ac:dyDescent="0.2"/>
    <row r="108" spans="2:31" s="70" customFormat="1" x14ac:dyDescent="0.2"/>
    <row r="109" spans="2:31" s="70" customFormat="1" x14ac:dyDescent="0.2"/>
    <row r="110" spans="2:31" s="70" customFormat="1" x14ac:dyDescent="0.2"/>
    <row r="111" spans="2:31" s="70" customFormat="1" x14ac:dyDescent="0.2"/>
    <row r="112" spans="2:31" s="70" customFormat="1" x14ac:dyDescent="0.2"/>
    <row r="113" s="70" customFormat="1" x14ac:dyDescent="0.2"/>
    <row r="114" s="70" customFormat="1" x14ac:dyDescent="0.2"/>
    <row r="115" s="70" customFormat="1" x14ac:dyDescent="0.2"/>
    <row r="116" s="70" customFormat="1" x14ac:dyDescent="0.2"/>
    <row r="117" s="70" customFormat="1" x14ac:dyDescent="0.2"/>
    <row r="118" s="70" customFormat="1" x14ac:dyDescent="0.2"/>
    <row r="119" s="70" customFormat="1" x14ac:dyDescent="0.2"/>
    <row r="120" s="70" customFormat="1" x14ac:dyDescent="0.2"/>
    <row r="121" s="70" customFormat="1" x14ac:dyDescent="0.2"/>
    <row r="122" s="70" customFormat="1" x14ac:dyDescent="0.2"/>
    <row r="123" s="70" customFormat="1" x14ac:dyDescent="0.2"/>
    <row r="124" s="70" customFormat="1" x14ac:dyDescent="0.2"/>
    <row r="125" s="70" customFormat="1" x14ac:dyDescent="0.2"/>
    <row r="126" s="70" customFormat="1" x14ac:dyDescent="0.2"/>
    <row r="127" s="70" customFormat="1" x14ac:dyDescent="0.2"/>
    <row r="128" s="70" customFormat="1" x14ac:dyDescent="0.2"/>
    <row r="129" s="70" customFormat="1" x14ac:dyDescent="0.2"/>
    <row r="130" s="70" customFormat="1" x14ac:dyDescent="0.2"/>
    <row r="131" s="70" customFormat="1" x14ac:dyDescent="0.2"/>
    <row r="132" s="70" customFormat="1" x14ac:dyDescent="0.2"/>
    <row r="133" s="70" customFormat="1" x14ac:dyDescent="0.2"/>
    <row r="134" s="70" customFormat="1" x14ac:dyDescent="0.2"/>
    <row r="135" s="70" customFormat="1" x14ac:dyDescent="0.2"/>
    <row r="136" s="70" customFormat="1" x14ac:dyDescent="0.2"/>
    <row r="137" s="70" customFormat="1" x14ac:dyDescent="0.2"/>
    <row r="138" s="70" customFormat="1" x14ac:dyDescent="0.2"/>
    <row r="139" s="70" customFormat="1" x14ac:dyDescent="0.2"/>
    <row r="140" s="70" customFormat="1" x14ac:dyDescent="0.2"/>
    <row r="141" s="70" customFormat="1" x14ac:dyDescent="0.2"/>
    <row r="142" s="70" customFormat="1" x14ac:dyDescent="0.2"/>
    <row r="143" s="70" customFormat="1" x14ac:dyDescent="0.2"/>
    <row r="144" s="70" customFormat="1" x14ac:dyDescent="0.2"/>
    <row r="145" s="70" customFormat="1" x14ac:dyDescent="0.2"/>
    <row r="146" s="70" customFormat="1" x14ac:dyDescent="0.2"/>
    <row r="147" s="70" customFormat="1" x14ac:dyDescent="0.2"/>
    <row r="148" s="70" customFormat="1" x14ac:dyDescent="0.2"/>
    <row r="149" s="70" customFormat="1" x14ac:dyDescent="0.2"/>
    <row r="150" s="70" customFormat="1" x14ac:dyDescent="0.2"/>
    <row r="151" s="70" customFormat="1" x14ac:dyDescent="0.2"/>
    <row r="152" s="70" customFormat="1" x14ac:dyDescent="0.2"/>
    <row r="153" s="70" customFormat="1" x14ac:dyDescent="0.2"/>
    <row r="154" s="70" customFormat="1" x14ac:dyDescent="0.2"/>
    <row r="155" s="70" customFormat="1" x14ac:dyDescent="0.2"/>
    <row r="156" s="70" customFormat="1" x14ac:dyDescent="0.2"/>
    <row r="157" s="70" customFormat="1" x14ac:dyDescent="0.2"/>
    <row r="158" s="70" customFormat="1" x14ac:dyDescent="0.2"/>
    <row r="159" s="70" customFormat="1" x14ac:dyDescent="0.2"/>
    <row r="160" s="70" customFormat="1" x14ac:dyDescent="0.2"/>
    <row r="161" s="70" customFormat="1" x14ac:dyDescent="0.2"/>
    <row r="162" s="70" customFormat="1" x14ac:dyDescent="0.2"/>
    <row r="163" s="70" customFormat="1" x14ac:dyDescent="0.2"/>
    <row r="164" s="70" customFormat="1" x14ac:dyDescent="0.2"/>
    <row r="165" s="70" customFormat="1" x14ac:dyDescent="0.2"/>
    <row r="166" s="70" customFormat="1" x14ac:dyDescent="0.2"/>
    <row r="167" s="70" customFormat="1" x14ac:dyDescent="0.2"/>
    <row r="168" s="70" customFormat="1" x14ac:dyDescent="0.2"/>
    <row r="169" s="70" customFormat="1" x14ac:dyDescent="0.2"/>
    <row r="170" s="70" customFormat="1" x14ac:dyDescent="0.2"/>
    <row r="171" s="70" customFormat="1" x14ac:dyDescent="0.2"/>
    <row r="172" s="70" customFormat="1" x14ac:dyDescent="0.2"/>
    <row r="173" s="70" customFormat="1" x14ac:dyDescent="0.2"/>
    <row r="174" s="70" customFormat="1" x14ac:dyDescent="0.2"/>
    <row r="175" s="70" customFormat="1" x14ac:dyDescent="0.2"/>
    <row r="176" s="70" customFormat="1" x14ac:dyDescent="0.2"/>
    <row r="177" s="70" customFormat="1" x14ac:dyDescent="0.2"/>
    <row r="178" s="70" customFormat="1" x14ac:dyDescent="0.2"/>
    <row r="179" s="70" customFormat="1" x14ac:dyDescent="0.2"/>
    <row r="180" s="70" customFormat="1" x14ac:dyDescent="0.2"/>
    <row r="181" s="70" customFormat="1" x14ac:dyDescent="0.2"/>
    <row r="182" s="70" customFormat="1" x14ac:dyDescent="0.2"/>
    <row r="183" s="70" customFormat="1" x14ac:dyDescent="0.2"/>
    <row r="184" s="70" customFormat="1" x14ac:dyDescent="0.2"/>
    <row r="185" s="70" customFormat="1" x14ac:dyDescent="0.2"/>
    <row r="186" s="70" customFormat="1" x14ac:dyDescent="0.2"/>
    <row r="187" s="70" customFormat="1" x14ac:dyDescent="0.2"/>
    <row r="188" s="70" customFormat="1" x14ac:dyDescent="0.2"/>
    <row r="189" s="70" customFormat="1" x14ac:dyDescent="0.2"/>
    <row r="190" s="70" customFormat="1" x14ac:dyDescent="0.2"/>
    <row r="191" s="70" customFormat="1" x14ac:dyDescent="0.2"/>
    <row r="192" s="70" customFormat="1" x14ac:dyDescent="0.2"/>
    <row r="193" s="70" customFormat="1" x14ac:dyDescent="0.2"/>
    <row r="194" s="70" customFormat="1" x14ac:dyDescent="0.2"/>
    <row r="195" s="70" customFormat="1" x14ac:dyDescent="0.2"/>
    <row r="196" s="70" customFormat="1" x14ac:dyDescent="0.2"/>
    <row r="197" s="70" customFormat="1" x14ac:dyDescent="0.2"/>
    <row r="198" s="70" customFormat="1" x14ac:dyDescent="0.2"/>
    <row r="199" s="70" customFormat="1" x14ac:dyDescent="0.2"/>
    <row r="200" s="70" customFormat="1" x14ac:dyDescent="0.2"/>
    <row r="201" s="70" customFormat="1" x14ac:dyDescent="0.2"/>
    <row r="202" s="70" customFormat="1" x14ac:dyDescent="0.2"/>
    <row r="203" s="70" customFormat="1" x14ac:dyDescent="0.2"/>
    <row r="204" s="70" customFormat="1" x14ac:dyDescent="0.2"/>
    <row r="205" s="70" customFormat="1" x14ac:dyDescent="0.2"/>
    <row r="206" s="70" customFormat="1" x14ac:dyDescent="0.2"/>
    <row r="207" s="70" customFormat="1" x14ac:dyDescent="0.2"/>
    <row r="208" s="70" customFormat="1" x14ac:dyDescent="0.2"/>
    <row r="209" s="70" customFormat="1" x14ac:dyDescent="0.2"/>
    <row r="210" s="70" customFormat="1" x14ac:dyDescent="0.2"/>
    <row r="211" s="70" customFormat="1" x14ac:dyDescent="0.2"/>
    <row r="212" s="70" customFormat="1" x14ac:dyDescent="0.2"/>
    <row r="213" s="70" customFormat="1" x14ac:dyDescent="0.2"/>
    <row r="214" s="70" customFormat="1" x14ac:dyDescent="0.2"/>
    <row r="215" s="70" customFormat="1" x14ac:dyDescent="0.2"/>
    <row r="216" s="70" customFormat="1" x14ac:dyDescent="0.2"/>
    <row r="217" s="70" customFormat="1" x14ac:dyDescent="0.2"/>
    <row r="218" s="70" customFormat="1" x14ac:dyDescent="0.2"/>
    <row r="219" s="70" customFormat="1" x14ac:dyDescent="0.2"/>
    <row r="220" s="70" customFormat="1" x14ac:dyDescent="0.2"/>
    <row r="221" s="70" customFormat="1" x14ac:dyDescent="0.2"/>
    <row r="222" s="70" customFormat="1" x14ac:dyDescent="0.2"/>
    <row r="223" s="70" customFormat="1" x14ac:dyDescent="0.2"/>
    <row r="224" s="70" customFormat="1" x14ac:dyDescent="0.2"/>
    <row r="225" s="70" customFormat="1" x14ac:dyDescent="0.2"/>
    <row r="226" s="70" customFormat="1" x14ac:dyDescent="0.2"/>
    <row r="227" s="70" customFormat="1" x14ac:dyDescent="0.2"/>
    <row r="228" s="70" customFormat="1" x14ac:dyDescent="0.2"/>
    <row r="229" s="70" customFormat="1" x14ac:dyDescent="0.2"/>
    <row r="230" s="70" customFormat="1" x14ac:dyDescent="0.2"/>
    <row r="231" s="70" customFormat="1" x14ac:dyDescent="0.2"/>
    <row r="232" s="70" customFormat="1" x14ac:dyDescent="0.2"/>
    <row r="233" s="70" customFormat="1" x14ac:dyDescent="0.2"/>
    <row r="234" s="70" customFormat="1" x14ac:dyDescent="0.2"/>
    <row r="235" s="70" customFormat="1" x14ac:dyDescent="0.2"/>
    <row r="236" s="70" customFormat="1" x14ac:dyDescent="0.2"/>
    <row r="237" s="70" customFormat="1" x14ac:dyDescent="0.2"/>
    <row r="238" s="70" customFormat="1" x14ac:dyDescent="0.2"/>
    <row r="239" s="70" customFormat="1" x14ac:dyDescent="0.2"/>
    <row r="240" s="70" customFormat="1" x14ac:dyDescent="0.2"/>
    <row r="241" s="70" customFormat="1" x14ac:dyDescent="0.2"/>
    <row r="242" s="70" customFormat="1" x14ac:dyDescent="0.2"/>
    <row r="243" s="70" customFormat="1" x14ac:dyDescent="0.2"/>
    <row r="244" s="70" customFormat="1" x14ac:dyDescent="0.2"/>
    <row r="245" s="70" customFormat="1" x14ac:dyDescent="0.2"/>
    <row r="246" s="70" customFormat="1" x14ac:dyDescent="0.2"/>
    <row r="247" s="70" customFormat="1" x14ac:dyDescent="0.2"/>
    <row r="248" s="70" customFormat="1" x14ac:dyDescent="0.2"/>
    <row r="249" s="70" customFormat="1" x14ac:dyDescent="0.2"/>
    <row r="250" s="70" customFormat="1" x14ac:dyDescent="0.2"/>
    <row r="251" s="70" customFormat="1" x14ac:dyDescent="0.2"/>
    <row r="252" s="70" customFormat="1" x14ac:dyDescent="0.2"/>
    <row r="253" s="70" customFormat="1" x14ac:dyDescent="0.2"/>
    <row r="254" s="70" customFormat="1" x14ac:dyDescent="0.2"/>
    <row r="255" s="70" customFormat="1" x14ac:dyDescent="0.2"/>
    <row r="256" s="70" customFormat="1" x14ac:dyDescent="0.2"/>
    <row r="257" s="70" customFormat="1" x14ac:dyDescent="0.2"/>
    <row r="258" s="70" customFormat="1" x14ac:dyDescent="0.2"/>
    <row r="259" s="70" customFormat="1" x14ac:dyDescent="0.2"/>
    <row r="260" s="70" customFormat="1" x14ac:dyDescent="0.2"/>
    <row r="261" s="70" customFormat="1" x14ac:dyDescent="0.2"/>
    <row r="262" s="70" customFormat="1" x14ac:dyDescent="0.2"/>
    <row r="263" s="70" customFormat="1" x14ac:dyDescent="0.2"/>
    <row r="264" s="70" customFormat="1" x14ac:dyDescent="0.2"/>
    <row r="265" s="70" customFormat="1" x14ac:dyDescent="0.2"/>
    <row r="266" s="70" customFormat="1" x14ac:dyDescent="0.2"/>
    <row r="267" s="70" customFormat="1" x14ac:dyDescent="0.2"/>
    <row r="268" s="70" customFormat="1" x14ac:dyDescent="0.2"/>
    <row r="269" s="70" customFormat="1" x14ac:dyDescent="0.2"/>
    <row r="270" s="70" customFormat="1" x14ac:dyDescent="0.2"/>
    <row r="271" s="70" customFormat="1" x14ac:dyDescent="0.2"/>
    <row r="272" s="70" customFormat="1" x14ac:dyDescent="0.2"/>
    <row r="273" s="70" customFormat="1" x14ac:dyDescent="0.2"/>
    <row r="274" s="70" customFormat="1" x14ac:dyDescent="0.2"/>
    <row r="275" s="70" customFormat="1" x14ac:dyDescent="0.2"/>
    <row r="276" s="70" customFormat="1" x14ac:dyDescent="0.2"/>
    <row r="277" s="70" customFormat="1" x14ac:dyDescent="0.2"/>
    <row r="278" s="70" customFormat="1" x14ac:dyDescent="0.2"/>
    <row r="279" s="70" customFormat="1" x14ac:dyDescent="0.2"/>
    <row r="280" s="70" customFormat="1" x14ac:dyDescent="0.2"/>
    <row r="281" s="70" customFormat="1" x14ac:dyDescent="0.2"/>
    <row r="282" s="70" customFormat="1" x14ac:dyDescent="0.2"/>
    <row r="283" s="70" customFormat="1" x14ac:dyDescent="0.2"/>
    <row r="284" s="70" customFormat="1" x14ac:dyDescent="0.2"/>
    <row r="285" s="70" customFormat="1" x14ac:dyDescent="0.2"/>
    <row r="286" s="70" customFormat="1" x14ac:dyDescent="0.2"/>
    <row r="287" s="70" customFormat="1" x14ac:dyDescent="0.2"/>
    <row r="288" s="70" customFormat="1" x14ac:dyDescent="0.2"/>
    <row r="289" s="70" customFormat="1" x14ac:dyDescent="0.2"/>
    <row r="290" s="70" customFormat="1" x14ac:dyDescent="0.2"/>
    <row r="291" s="70" customFormat="1" x14ac:dyDescent="0.2"/>
    <row r="292" s="70" customFormat="1" x14ac:dyDescent="0.2"/>
    <row r="293" s="70" customFormat="1" x14ac:dyDescent="0.2"/>
    <row r="294" s="70" customFormat="1" x14ac:dyDescent="0.2"/>
    <row r="295" s="70" customFormat="1" x14ac:dyDescent="0.2"/>
    <row r="296" s="70" customFormat="1" x14ac:dyDescent="0.2"/>
    <row r="297" s="70" customFormat="1" x14ac:dyDescent="0.2"/>
    <row r="298" s="70" customFormat="1" x14ac:dyDescent="0.2"/>
    <row r="299" s="70" customFormat="1" x14ac:dyDescent="0.2"/>
    <row r="300" s="70" customFormat="1" x14ac:dyDescent="0.2"/>
    <row r="301" s="70" customFormat="1" x14ac:dyDescent="0.2"/>
    <row r="302" s="70" customFormat="1" x14ac:dyDescent="0.2"/>
    <row r="303" s="70" customFormat="1" x14ac:dyDescent="0.2"/>
    <row r="304" s="70" customFormat="1" x14ac:dyDescent="0.2"/>
    <row r="305" s="70" customFormat="1" x14ac:dyDescent="0.2"/>
    <row r="306" s="70" customFormat="1" x14ac:dyDescent="0.2"/>
    <row r="307" s="70" customFormat="1" x14ac:dyDescent="0.2"/>
    <row r="308" s="70" customFormat="1" x14ac:dyDescent="0.2"/>
    <row r="309" s="70" customFormat="1" x14ac:dyDescent="0.2"/>
    <row r="310" s="70" customFormat="1" x14ac:dyDescent="0.2"/>
    <row r="311" s="70" customFormat="1" x14ac:dyDescent="0.2"/>
    <row r="312" s="70" customFormat="1" x14ac:dyDescent="0.2"/>
    <row r="313" s="70" customFormat="1" x14ac:dyDescent="0.2"/>
    <row r="314" s="70" customFormat="1" x14ac:dyDescent="0.2"/>
    <row r="315" s="70" customFormat="1" x14ac:dyDescent="0.2"/>
    <row r="316" s="70" customFormat="1" x14ac:dyDescent="0.2"/>
    <row r="317" s="70" customFormat="1" x14ac:dyDescent="0.2"/>
    <row r="318" s="70" customFormat="1" x14ac:dyDescent="0.2"/>
    <row r="319" s="70" customFormat="1" x14ac:dyDescent="0.2"/>
    <row r="320" s="70" customFormat="1" x14ac:dyDescent="0.2"/>
    <row r="321" s="70" customFormat="1" x14ac:dyDescent="0.2"/>
    <row r="322" s="70" customFormat="1" x14ac:dyDescent="0.2"/>
    <row r="323" s="70" customFormat="1" x14ac:dyDescent="0.2"/>
    <row r="324" s="70" customFormat="1" x14ac:dyDescent="0.2"/>
    <row r="325" s="70" customFormat="1" x14ac:dyDescent="0.2"/>
    <row r="326" s="70" customFormat="1" x14ac:dyDescent="0.2"/>
    <row r="327" s="70" customFormat="1" x14ac:dyDescent="0.2"/>
    <row r="328" s="70" customFormat="1" x14ac:dyDescent="0.2"/>
    <row r="329" s="70" customFormat="1" x14ac:dyDescent="0.2"/>
    <row r="330" s="70" customFormat="1" x14ac:dyDescent="0.2"/>
    <row r="331" s="70" customFormat="1" x14ac:dyDescent="0.2"/>
    <row r="332" s="70" customFormat="1" x14ac:dyDescent="0.2"/>
    <row r="333" s="70" customFormat="1" x14ac:dyDescent="0.2"/>
    <row r="334" s="70" customFormat="1" x14ac:dyDescent="0.2"/>
    <row r="335" s="70" customFormat="1" x14ac:dyDescent="0.2"/>
    <row r="336" s="70" customFormat="1" x14ac:dyDescent="0.2"/>
    <row r="337" s="70" customFormat="1" x14ac:dyDescent="0.2"/>
    <row r="338" s="70" customFormat="1" x14ac:dyDescent="0.2"/>
    <row r="339" s="70" customFormat="1" x14ac:dyDescent="0.2"/>
    <row r="340" s="70" customFormat="1" x14ac:dyDescent="0.2"/>
    <row r="341" s="70" customFormat="1" x14ac:dyDescent="0.2"/>
    <row r="342" s="70" customFormat="1" x14ac:dyDescent="0.2"/>
    <row r="343" s="70" customFormat="1" x14ac:dyDescent="0.2"/>
    <row r="344" s="70" customFormat="1" x14ac:dyDescent="0.2"/>
    <row r="345" s="70" customFormat="1" x14ac:dyDescent="0.2"/>
    <row r="346" s="70" customFormat="1" x14ac:dyDescent="0.2"/>
    <row r="347" s="70" customFormat="1" x14ac:dyDescent="0.2"/>
    <row r="348" s="70" customFormat="1" x14ac:dyDescent="0.2"/>
    <row r="349" s="70" customFormat="1" x14ac:dyDescent="0.2"/>
    <row r="350" s="70" customFormat="1" x14ac:dyDescent="0.2"/>
    <row r="351" s="70" customFormat="1" x14ac:dyDescent="0.2"/>
    <row r="352" s="70" customFormat="1" x14ac:dyDescent="0.2"/>
    <row r="353" s="70" customFormat="1" x14ac:dyDescent="0.2"/>
    <row r="354" s="70" customFormat="1" x14ac:dyDescent="0.2"/>
    <row r="355" s="70" customFormat="1" x14ac:dyDescent="0.2"/>
    <row r="356" s="70" customFormat="1" x14ac:dyDescent="0.2"/>
    <row r="357" s="70" customFormat="1" x14ac:dyDescent="0.2"/>
    <row r="358" s="70" customFormat="1" x14ac:dyDescent="0.2"/>
    <row r="359" s="70" customFormat="1" x14ac:dyDescent="0.2"/>
    <row r="360" s="70" customFormat="1" x14ac:dyDescent="0.2"/>
    <row r="361" s="70" customFormat="1" x14ac:dyDescent="0.2"/>
    <row r="362" s="70" customFormat="1" x14ac:dyDescent="0.2"/>
    <row r="363" s="70" customFormat="1" x14ac:dyDescent="0.2"/>
    <row r="364" s="70" customFormat="1" x14ac:dyDescent="0.2"/>
    <row r="365" s="70" customFormat="1" x14ac:dyDescent="0.2"/>
    <row r="366" s="70" customFormat="1" x14ac:dyDescent="0.2"/>
    <row r="367" s="70" customFormat="1" x14ac:dyDescent="0.2"/>
    <row r="368" s="70" customFormat="1" x14ac:dyDescent="0.2"/>
    <row r="369" s="70" customFormat="1" x14ac:dyDescent="0.2"/>
    <row r="370" s="70" customFormat="1" x14ac:dyDescent="0.2"/>
    <row r="371" s="70" customFormat="1" x14ac:dyDescent="0.2"/>
    <row r="372" s="70" customFormat="1" x14ac:dyDescent="0.2"/>
    <row r="373" s="70" customFormat="1" x14ac:dyDescent="0.2"/>
    <row r="374" s="70" customFormat="1" x14ac:dyDescent="0.2"/>
    <row r="375" s="70" customFormat="1" x14ac:dyDescent="0.2"/>
    <row r="376" s="70" customFormat="1" x14ac:dyDescent="0.2"/>
    <row r="377" s="70" customFormat="1" x14ac:dyDescent="0.2"/>
    <row r="378" s="70" customFormat="1" x14ac:dyDescent="0.2"/>
  </sheetData>
  <conditionalFormatting sqref="C11:C98">
    <cfRule type="colorScale" priority="3">
      <colorScale>
        <cfvo type="min"/>
        <cfvo type="percentile" val="50"/>
        <cfvo type="max"/>
        <color rgb="FFF8696B"/>
        <color rgb="FFFFEB84"/>
        <color rgb="FF63BE7B"/>
      </colorScale>
    </cfRule>
  </conditionalFormatting>
  <conditionalFormatting sqref="D11:D98">
    <cfRule type="colorScale" priority="4">
      <colorScale>
        <cfvo type="min"/>
        <cfvo type="percentile" val="50"/>
        <cfvo type="max"/>
        <color rgb="FFF8696B"/>
        <color rgb="FFFFEB84"/>
        <color rgb="FF63BE7B"/>
      </colorScale>
    </cfRule>
  </conditionalFormatting>
  <conditionalFormatting sqref="E11:E98">
    <cfRule type="colorScale" priority="5">
      <colorScale>
        <cfvo type="min"/>
        <cfvo type="percentile" val="50"/>
        <cfvo type="max"/>
        <color rgb="FFF8696B"/>
        <color rgb="FFFFEB84"/>
        <color rgb="FF63BE7B"/>
      </colorScale>
    </cfRule>
  </conditionalFormatting>
  <conditionalFormatting sqref="F11:F98">
    <cfRule type="colorScale" priority="6">
      <colorScale>
        <cfvo type="min"/>
        <cfvo type="percentile" val="50"/>
        <cfvo type="max"/>
        <color rgb="FFF8696B"/>
        <color rgb="FFFFEB84"/>
        <color rgb="FF63BE7B"/>
      </colorScale>
    </cfRule>
  </conditionalFormatting>
  <conditionalFormatting sqref="G11:G98">
    <cfRule type="colorScale" priority="7">
      <colorScale>
        <cfvo type="min"/>
        <cfvo type="percentile" val="50"/>
        <cfvo type="max"/>
        <color rgb="FFF8696B"/>
        <color rgb="FFFFEB84"/>
        <color rgb="FF63BE7B"/>
      </colorScale>
    </cfRule>
  </conditionalFormatting>
  <conditionalFormatting sqref="H11:H98">
    <cfRule type="colorScale" priority="8">
      <colorScale>
        <cfvo type="min"/>
        <cfvo type="percentile" val="50"/>
        <cfvo type="max"/>
        <color rgb="FFF8696B"/>
        <color rgb="FFFFEB84"/>
        <color rgb="FF63BE7B"/>
      </colorScale>
    </cfRule>
  </conditionalFormatting>
  <conditionalFormatting sqref="I11:I98">
    <cfRule type="colorScale" priority="9">
      <colorScale>
        <cfvo type="min"/>
        <cfvo type="percentile" val="50"/>
        <cfvo type="max"/>
        <color rgb="FFF8696B"/>
        <color rgb="FFFFEB84"/>
        <color rgb="FF63BE7B"/>
      </colorScale>
    </cfRule>
  </conditionalFormatting>
  <conditionalFormatting sqref="J11:J98">
    <cfRule type="colorScale" priority="10">
      <colorScale>
        <cfvo type="min"/>
        <cfvo type="percentile" val="50"/>
        <cfvo type="max"/>
        <color rgb="FFF8696B"/>
        <color rgb="FFFFEB84"/>
        <color rgb="FF63BE7B"/>
      </colorScale>
    </cfRule>
  </conditionalFormatting>
  <conditionalFormatting sqref="K11:K98">
    <cfRule type="colorScale" priority="11">
      <colorScale>
        <cfvo type="min"/>
        <cfvo type="percentile" val="50"/>
        <cfvo type="max"/>
        <color rgb="FFF8696B"/>
        <color rgb="FFFFEB84"/>
        <color rgb="FF63BE7B"/>
      </colorScale>
    </cfRule>
  </conditionalFormatting>
  <conditionalFormatting sqref="L11:L98">
    <cfRule type="colorScale" priority="12">
      <colorScale>
        <cfvo type="min"/>
        <cfvo type="percentile" val="50"/>
        <cfvo type="max"/>
        <color rgb="FFF8696B"/>
        <color rgb="FFFFEB84"/>
        <color rgb="FF63BE7B"/>
      </colorScale>
    </cfRule>
  </conditionalFormatting>
  <conditionalFormatting sqref="M11:M98">
    <cfRule type="colorScale" priority="13">
      <colorScale>
        <cfvo type="min"/>
        <cfvo type="percentile" val="50"/>
        <cfvo type="max"/>
        <color rgb="FFF8696B"/>
        <color rgb="FFFFEB84"/>
        <color rgb="FF63BE7B"/>
      </colorScale>
    </cfRule>
  </conditionalFormatting>
  <conditionalFormatting sqref="N11:N98">
    <cfRule type="colorScale" priority="14">
      <colorScale>
        <cfvo type="min"/>
        <cfvo type="percentile" val="50"/>
        <cfvo type="max"/>
        <color rgb="FFF8696B"/>
        <color rgb="FFFFEB84"/>
        <color rgb="FF63BE7B"/>
      </colorScale>
    </cfRule>
  </conditionalFormatting>
  <conditionalFormatting sqref="O11:O98">
    <cfRule type="colorScale" priority="15">
      <colorScale>
        <cfvo type="min"/>
        <cfvo type="percentile" val="50"/>
        <cfvo type="max"/>
        <color rgb="FFF8696B"/>
        <color rgb="FFFFEB84"/>
        <color rgb="FF63BE7B"/>
      </colorScale>
    </cfRule>
  </conditionalFormatting>
  <conditionalFormatting sqref="P11:P98">
    <cfRule type="colorScale" priority="16">
      <colorScale>
        <cfvo type="min"/>
        <cfvo type="percentile" val="50"/>
        <cfvo type="max"/>
        <color rgb="FFF8696B"/>
        <color rgb="FFFFEB84"/>
        <color rgb="FF63BE7B"/>
      </colorScale>
    </cfRule>
  </conditionalFormatting>
  <conditionalFormatting sqref="Q11:Q98">
    <cfRule type="colorScale" priority="17">
      <colorScale>
        <cfvo type="min"/>
        <cfvo type="percentile" val="50"/>
        <cfvo type="max"/>
        <color rgb="FFF8696B"/>
        <color rgb="FFFFEB84"/>
        <color rgb="FF63BE7B"/>
      </colorScale>
    </cfRule>
  </conditionalFormatting>
  <conditionalFormatting sqref="R11:R98">
    <cfRule type="colorScale" priority="18">
      <colorScale>
        <cfvo type="min"/>
        <cfvo type="percentile" val="50"/>
        <cfvo type="max"/>
        <color rgb="FFF8696B"/>
        <color rgb="FFFFEB84"/>
        <color rgb="FF63BE7B"/>
      </colorScale>
    </cfRule>
  </conditionalFormatting>
  <conditionalFormatting sqref="S11:S98">
    <cfRule type="colorScale" priority="19">
      <colorScale>
        <cfvo type="min"/>
        <cfvo type="percentile" val="50"/>
        <cfvo type="max"/>
        <color rgb="FFF8696B"/>
        <color rgb="FFFFEB84"/>
        <color rgb="FF63BE7B"/>
      </colorScale>
    </cfRule>
  </conditionalFormatting>
  <conditionalFormatting sqref="T11:T98">
    <cfRule type="colorScale" priority="20">
      <colorScale>
        <cfvo type="min"/>
        <cfvo type="percentile" val="50"/>
        <cfvo type="max"/>
        <color rgb="FFF8696B"/>
        <color rgb="FFFFEB84"/>
        <color rgb="FF63BE7B"/>
      </colorScale>
    </cfRule>
  </conditionalFormatting>
  <conditionalFormatting sqref="U11:U98">
    <cfRule type="colorScale" priority="21">
      <colorScale>
        <cfvo type="min"/>
        <cfvo type="percentile" val="50"/>
        <cfvo type="max"/>
        <color rgb="FFF8696B"/>
        <color rgb="FFFFEB84"/>
        <color rgb="FF63BE7B"/>
      </colorScale>
    </cfRule>
  </conditionalFormatting>
  <conditionalFormatting sqref="V11:V98">
    <cfRule type="colorScale" priority="22">
      <colorScale>
        <cfvo type="min"/>
        <cfvo type="percentile" val="50"/>
        <cfvo type="max"/>
        <color rgb="FFF8696B"/>
        <color rgb="FFFFEB84"/>
        <color rgb="FF63BE7B"/>
      </colorScale>
    </cfRule>
  </conditionalFormatting>
  <conditionalFormatting sqref="W11:W98">
    <cfRule type="colorScale" priority="23">
      <colorScale>
        <cfvo type="min"/>
        <cfvo type="percentile" val="50"/>
        <cfvo type="max"/>
        <color rgb="FFF8696B"/>
        <color rgb="FFFFEB84"/>
        <color rgb="FF63BE7B"/>
      </colorScale>
    </cfRule>
  </conditionalFormatting>
  <conditionalFormatting sqref="X11:X98">
    <cfRule type="colorScale" priority="24">
      <colorScale>
        <cfvo type="min"/>
        <cfvo type="percentile" val="50"/>
        <cfvo type="max"/>
        <color rgb="FFF8696B"/>
        <color rgb="FFFFEB84"/>
        <color rgb="FF63BE7B"/>
      </colorScale>
    </cfRule>
  </conditionalFormatting>
  <conditionalFormatting sqref="Y11:Y98">
    <cfRule type="colorScale" priority="25">
      <colorScale>
        <cfvo type="min"/>
        <cfvo type="percentile" val="50"/>
        <cfvo type="max"/>
        <color rgb="FFF8696B"/>
        <color rgb="FFFFEB84"/>
        <color rgb="FF63BE7B"/>
      </colorScale>
    </cfRule>
  </conditionalFormatting>
  <conditionalFormatting sqref="Z11:Z98">
    <cfRule type="colorScale" priority="26">
      <colorScale>
        <cfvo type="min"/>
        <cfvo type="percentile" val="50"/>
        <cfvo type="max"/>
        <color rgb="FFF8696B"/>
        <color rgb="FFFFEB84"/>
        <color rgb="FF63BE7B"/>
      </colorScale>
    </cfRule>
  </conditionalFormatting>
  <conditionalFormatting sqref="AA11:AA98">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4" activePane="bottomLeft" state="frozen"/>
      <selection activeCell="L191" sqref="L191"/>
      <selection pane="bottomLeft" activeCell="F103" sqref="F103"/>
    </sheetView>
  </sheetViews>
  <sheetFormatPr baseColWidth="10" defaultColWidth="8.83203125" defaultRowHeight="15" x14ac:dyDescent="0.2"/>
  <cols>
    <col min="1" max="1" width="8.33203125" style="70" bestFit="1" customWidth="1"/>
    <col min="2" max="2" width="13.1640625" style="67" bestFit="1" customWidth="1"/>
    <col min="3" max="3" width="8.1640625" style="67" bestFit="1" customWidth="1"/>
    <col min="4" max="4" width="8.33203125" style="67" bestFit="1" customWidth="1"/>
    <col min="5" max="6" width="8.1640625" style="67" bestFit="1" customWidth="1"/>
    <col min="7" max="13" width="8.33203125" style="67" bestFit="1" customWidth="1"/>
    <col min="14" max="14" width="8.1640625" style="67" bestFit="1" customWidth="1"/>
    <col min="15" max="16" width="8.33203125" style="67" bestFit="1" customWidth="1"/>
    <col min="17" max="17" width="8.1640625" style="67" bestFit="1" customWidth="1"/>
    <col min="18" max="18" width="8.33203125" style="67" bestFit="1" customWidth="1"/>
    <col min="19" max="20" width="8.1640625" style="67" bestFit="1" customWidth="1"/>
    <col min="21" max="21" width="8.33203125" style="67" bestFit="1" customWidth="1"/>
    <col min="22" max="25" width="8.1640625" style="67" bestFit="1" customWidth="1"/>
    <col min="26" max="26" width="8.33203125" style="67" bestFit="1" customWidth="1"/>
    <col min="27" max="27" width="8.1640625" style="67" bestFit="1" customWidth="1"/>
    <col min="28" max="28" width="6.1640625" style="70" customWidth="1"/>
    <col min="29" max="29" width="8" style="70" bestFit="1" customWidth="1"/>
    <col min="30" max="30" width="15" style="70" bestFit="1" customWidth="1"/>
    <col min="31" max="31" width="8" style="70" bestFit="1" customWidth="1"/>
    <col min="32" max="33" width="9.1640625" style="70" customWidth="1"/>
    <col min="34" max="34" width="18.1640625" style="70" bestFit="1" customWidth="1"/>
    <col min="35" max="72" width="9.1640625" style="70"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0" customFormat="1" x14ac:dyDescent="0.2">
      <c r="AD2" s="70" t="s">
        <v>590</v>
      </c>
      <c r="AE2" s="3" t="str">
        <f>'Table yoy'!AE2</f>
        <v>2022-Q1</v>
      </c>
      <c r="AH2" s="70" t="s">
        <v>589</v>
      </c>
    </row>
    <row r="3" spans="1:34" ht="75.75" customHeight="1" x14ac:dyDescent="0.2">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2021-Q4</v>
      </c>
    </row>
    <row r="4" spans="1:34" ht="16" customHeight="1" thickBot="1" x14ac:dyDescent="0.25">
      <c r="B4" s="4" t="s">
        <v>579</v>
      </c>
      <c r="C4" s="29">
        <f t="shared" ref="C4:AA4" si="0">MAX(C90:C93)</f>
        <v>0.33783279298685187</v>
      </c>
      <c r="D4" s="29">
        <f t="shared" si="0"/>
        <v>0.55116064793600095</v>
      </c>
      <c r="E4" s="29">
        <f t="shared" si="0"/>
        <v>0.61997962166268827</v>
      </c>
      <c r="F4" s="29">
        <f t="shared" si="0"/>
        <v>0.22871262699579087</v>
      </c>
      <c r="G4" s="29">
        <f t="shared" si="0"/>
        <v>0.41381361997255861</v>
      </c>
      <c r="H4" s="29">
        <f t="shared" si="0"/>
        <v>1.0320410904581401</v>
      </c>
      <c r="I4" s="29">
        <f t="shared" si="0"/>
        <v>0.91234717619357042</v>
      </c>
      <c r="J4" s="29">
        <f t="shared" si="0"/>
        <v>0.81207822074180114</v>
      </c>
      <c r="K4" s="29">
        <f t="shared" si="0"/>
        <v>0.86100877895409256</v>
      </c>
      <c r="L4" s="29">
        <f t="shared" si="0"/>
        <v>0.32985088021447573</v>
      </c>
      <c r="M4" s="29">
        <f t="shared" si="0"/>
        <v>0.6662633967093714</v>
      </c>
      <c r="N4" s="29">
        <f t="shared" si="0"/>
        <v>0.11584013379575286</v>
      </c>
      <c r="O4" s="29">
        <f t="shared" si="0"/>
        <v>1.4276455873070164</v>
      </c>
      <c r="P4" s="29">
        <f t="shared" si="0"/>
        <v>0.41075081874519803</v>
      </c>
      <c r="Q4" s="29">
        <f t="shared" si="0"/>
        <v>0.1477817292631125</v>
      </c>
      <c r="R4" s="29">
        <f t="shared" si="0"/>
        <v>0.27665329908185599</v>
      </c>
      <c r="S4" s="29">
        <f t="shared" si="0"/>
        <v>9.72707483974391E-2</v>
      </c>
      <c r="T4" s="29">
        <f t="shared" si="0"/>
        <v>0.35505869440544258</v>
      </c>
      <c r="U4" s="29">
        <f t="shared" si="0"/>
        <v>0.23520196095067458</v>
      </c>
      <c r="V4" s="29">
        <f t="shared" si="0"/>
        <v>0.48264532266518989</v>
      </c>
      <c r="W4" s="29">
        <f t="shared" si="0"/>
        <v>0.83577482774931511</v>
      </c>
      <c r="X4" s="29">
        <f t="shared" si="0"/>
        <v>0.30850465767186019</v>
      </c>
      <c r="Y4" s="29">
        <f t="shared" si="0"/>
        <v>0.32736427372253352</v>
      </c>
      <c r="Z4" s="29">
        <f t="shared" si="0"/>
        <v>0.58395516604180453</v>
      </c>
      <c r="AA4" s="29">
        <f t="shared" si="0"/>
        <v>0.67075544319836866</v>
      </c>
      <c r="AD4" s="14" t="s">
        <v>580</v>
      </c>
      <c r="AE4" s="15" t="str">
        <f>'Table yoy'!AE4</f>
        <v>2021-Q1</v>
      </c>
    </row>
    <row r="5" spans="1:34" x14ac:dyDescent="0.2">
      <c r="B5" s="4" t="s">
        <v>581</v>
      </c>
      <c r="C5" s="29">
        <f t="shared" ref="C5:AA5" si="1">MIN(C90:C93)</f>
        <v>-0.31235698460598726</v>
      </c>
      <c r="D5" s="29">
        <f t="shared" si="1"/>
        <v>-0.35260435711899996</v>
      </c>
      <c r="E5" s="29">
        <f t="shared" si="1"/>
        <v>-0.39113924897941488</v>
      </c>
      <c r="F5" s="29">
        <f t="shared" si="1"/>
        <v>-0.28054609122622332</v>
      </c>
      <c r="G5" s="29">
        <f t="shared" si="1"/>
        <v>-0.34378964025626724</v>
      </c>
      <c r="H5" s="29">
        <f t="shared" si="1"/>
        <v>-0.4458716424600937</v>
      </c>
      <c r="I5" s="29">
        <f t="shared" si="1"/>
        <v>-0.57856594792316063</v>
      </c>
      <c r="J5" s="29">
        <f t="shared" si="1"/>
        <v>-0.41665895480235593</v>
      </c>
      <c r="K5" s="29">
        <f t="shared" si="1"/>
        <v>-0.54015627283445999</v>
      </c>
      <c r="L5" s="29">
        <f t="shared" si="1"/>
        <v>-0.28556324070265637</v>
      </c>
      <c r="M5" s="29">
        <f t="shared" si="1"/>
        <v>-0.54432470004914479</v>
      </c>
      <c r="N5" s="29">
        <f t="shared" si="1"/>
        <v>-0.16768775820460491</v>
      </c>
      <c r="O5" s="29">
        <f t="shared" si="1"/>
        <v>-0.66911164555351743</v>
      </c>
      <c r="P5" s="29">
        <f t="shared" si="1"/>
        <v>-0.37377622789316389</v>
      </c>
      <c r="Q5" s="29">
        <f t="shared" si="1"/>
        <v>-0.24538475487997824</v>
      </c>
      <c r="R5" s="29">
        <f t="shared" si="1"/>
        <v>-0.22378362695140885</v>
      </c>
      <c r="S5" s="29">
        <f t="shared" si="1"/>
        <v>-0.1156901220447043</v>
      </c>
      <c r="T5" s="29">
        <f t="shared" si="1"/>
        <v>-0.30727584434384225</v>
      </c>
      <c r="U5" s="29">
        <f t="shared" si="1"/>
        <v>-0.43654411714603569</v>
      </c>
      <c r="V5" s="29">
        <f t="shared" si="1"/>
        <v>-0.10759971943325985</v>
      </c>
      <c r="W5" s="29">
        <f t="shared" si="1"/>
        <v>-0.36606244941348087</v>
      </c>
      <c r="X5" s="29">
        <f t="shared" si="1"/>
        <v>-0.30967958719972466</v>
      </c>
      <c r="Y5" s="29">
        <f t="shared" si="1"/>
        <v>-0.31710110593611163</v>
      </c>
      <c r="Z5" s="29">
        <f t="shared" si="1"/>
        <v>-0.47996659254209573</v>
      </c>
      <c r="AA5" s="29">
        <f t="shared" si="1"/>
        <v>-0.35393612317388023</v>
      </c>
      <c r="AC5" s="16" t="s">
        <v>582</v>
      </c>
      <c r="AE5" s="17"/>
    </row>
    <row r="6" spans="1:34" x14ac:dyDescent="0.2">
      <c r="B6" s="4" t="s">
        <v>583</v>
      </c>
      <c r="C6" s="29">
        <f t="shared" ref="C6:AA6" si="2">AVERAGE(C90:C93)</f>
        <v>-1.690096750294745E-3</v>
      </c>
      <c r="D6" s="29">
        <f t="shared" si="2"/>
        <v>9.7630443972250208E-2</v>
      </c>
      <c r="E6" s="29">
        <f t="shared" si="2"/>
        <v>2.3006339861720182E-2</v>
      </c>
      <c r="F6" s="29">
        <f t="shared" si="2"/>
        <v>-3.5139859756097236E-2</v>
      </c>
      <c r="G6" s="29">
        <f t="shared" si="2"/>
        <v>-4.1580087699008561E-4</v>
      </c>
      <c r="H6" s="29">
        <f t="shared" si="2"/>
        <v>9.105814824018188E-2</v>
      </c>
      <c r="I6" s="29">
        <f t="shared" si="2"/>
        <v>5.8680262783363385E-2</v>
      </c>
      <c r="J6" s="29">
        <f t="shared" si="2"/>
        <v>3.6749076497106542E-2</v>
      </c>
      <c r="K6" s="29">
        <f t="shared" si="2"/>
        <v>3.4293192103478282E-2</v>
      </c>
      <c r="L6" s="29">
        <f t="shared" si="2"/>
        <v>1.2986284460822922E-2</v>
      </c>
      <c r="M6" s="29">
        <f t="shared" si="2"/>
        <v>1.2780441197175835E-2</v>
      </c>
      <c r="N6" s="29">
        <f t="shared" si="2"/>
        <v>-1.9413623526033957E-2</v>
      </c>
      <c r="O6" s="29">
        <f t="shared" si="2"/>
        <v>0.19001343969247242</v>
      </c>
      <c r="P6" s="29">
        <f t="shared" si="2"/>
        <v>-8.6208446815674578E-3</v>
      </c>
      <c r="Q6" s="29">
        <f t="shared" si="2"/>
        <v>-2.3484960224683216E-2</v>
      </c>
      <c r="R6" s="29">
        <f t="shared" si="2"/>
        <v>2.6246616070475237E-3</v>
      </c>
      <c r="S6" s="29">
        <f t="shared" si="2"/>
        <v>-4.757888456697057E-3</v>
      </c>
      <c r="T6" s="29">
        <f t="shared" si="2"/>
        <v>-8.2732820418871811E-3</v>
      </c>
      <c r="U6" s="29">
        <f t="shared" si="2"/>
        <v>-7.3327018228890151E-2</v>
      </c>
      <c r="V6" s="29">
        <f t="shared" si="2"/>
        <v>0.13188164472863367</v>
      </c>
      <c r="W6" s="29">
        <f t="shared" si="2"/>
        <v>0.13584866446091889</v>
      </c>
      <c r="X6" s="29">
        <f t="shared" si="2"/>
        <v>-2.6307266627887294E-2</v>
      </c>
      <c r="Y6" s="29">
        <f t="shared" si="2"/>
        <v>1.1439029844959564E-2</v>
      </c>
      <c r="Z6" s="29">
        <f t="shared" si="2"/>
        <v>-2.9685630365611837E-2</v>
      </c>
      <c r="AA6" s="29">
        <f t="shared" si="2"/>
        <v>7.0803384232685312E-2</v>
      </c>
      <c r="AC6" s="18"/>
      <c r="AD6" s="70" t="s">
        <v>584</v>
      </c>
      <c r="AE6" s="17" t="s">
        <v>33</v>
      </c>
    </row>
    <row r="7" spans="1:34" ht="16" customHeight="1" thickBot="1" x14ac:dyDescent="0.25">
      <c r="B7" s="4" t="s">
        <v>585</v>
      </c>
      <c r="C7" s="13" t="str">
        <f t="shared" ref="C7:AA7" si="3">IF((VLOOKUP($AE$2,$B:$AA,MATCH(C3,$B$3:$AA$3,),))&gt;C6,"above","below")</f>
        <v>below</v>
      </c>
      <c r="D7" s="13" t="str">
        <f t="shared" si="3"/>
        <v>below</v>
      </c>
      <c r="E7" s="13" t="str">
        <f t="shared" si="3"/>
        <v>above</v>
      </c>
      <c r="F7" s="13" t="str">
        <f t="shared" si="3"/>
        <v>above</v>
      </c>
      <c r="G7" s="13" t="str">
        <f t="shared" si="3"/>
        <v>above</v>
      </c>
      <c r="H7" s="13" t="str">
        <f t="shared" si="3"/>
        <v>below</v>
      </c>
      <c r="I7" s="13" t="str">
        <f t="shared" si="3"/>
        <v>below</v>
      </c>
      <c r="J7" s="13" t="str">
        <f t="shared" si="3"/>
        <v>below</v>
      </c>
      <c r="K7" s="13" t="str">
        <f t="shared" si="3"/>
        <v>below</v>
      </c>
      <c r="L7" s="13" t="str">
        <f t="shared" si="3"/>
        <v>below</v>
      </c>
      <c r="M7" s="13" t="str">
        <f t="shared" si="3"/>
        <v>above</v>
      </c>
      <c r="N7" s="13" t="e">
        <f t="shared" si="3"/>
        <v>#N/A</v>
      </c>
      <c r="O7" s="13" t="str">
        <f t="shared" si="3"/>
        <v>below</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 t="shared" si="3"/>
        <v>above</v>
      </c>
      <c r="AA7" s="13" t="str">
        <f t="shared" si="3"/>
        <v>below</v>
      </c>
      <c r="AC7" s="19"/>
      <c r="AD7" s="20" t="s">
        <v>586</v>
      </c>
      <c r="AE7" s="21" t="s">
        <v>40</v>
      </c>
    </row>
    <row r="8" spans="1:34" x14ac:dyDescent="0.2">
      <c r="B8" s="4" t="s">
        <v>587</v>
      </c>
      <c r="C8" s="28">
        <f t="shared" ref="C8:AA8" si="4">VLOOKUP($AE$2,$B:$AA,MATCH(C3,$B$3:$AA$3,),)-VLOOKUP($AE$4,$B:$AA,MATCH(C3,$B$3:$AA$3,),)</f>
        <v>-7.8515769968847238E-2</v>
      </c>
      <c r="D8" s="28">
        <f t="shared" si="4"/>
        <v>3.2872315936000485E-2</v>
      </c>
      <c r="E8" s="28">
        <f t="shared" si="4"/>
        <v>3.0044110622366671E-2</v>
      </c>
      <c r="F8" s="28">
        <f t="shared" si="4"/>
        <v>1.0802214713443337E-2</v>
      </c>
      <c r="G8" s="28">
        <f t="shared" si="4"/>
        <v>7.5135503374277213E-2</v>
      </c>
      <c r="H8" s="28">
        <f t="shared" si="4"/>
        <v>-1.7655092930267569E-2</v>
      </c>
      <c r="I8" s="28">
        <f t="shared" si="4"/>
        <v>7.7368278426476866E-2</v>
      </c>
      <c r="J8" s="28">
        <f t="shared" si="4"/>
        <v>-4.2446042824810792E-3</v>
      </c>
      <c r="K8" s="28">
        <f t="shared" si="4"/>
        <v>2.7928943715426646E-2</v>
      </c>
      <c r="L8" s="28">
        <f t="shared" si="4"/>
        <v>-9.7602406061399472E-2</v>
      </c>
      <c r="M8" s="28">
        <f t="shared" si="4"/>
        <v>2.5662686412285751E-2</v>
      </c>
      <c r="N8" s="28" t="e">
        <f t="shared" si="4"/>
        <v>#N/A</v>
      </c>
      <c r="O8" s="28">
        <f t="shared" si="4"/>
        <v>-2.4134527569787734E-2</v>
      </c>
      <c r="P8" s="28">
        <f t="shared" si="4"/>
        <v>-1.3895494405482767E-2</v>
      </c>
      <c r="Q8" s="28">
        <f t="shared" si="4"/>
        <v>-4.2745078539915049E-2</v>
      </c>
      <c r="R8" s="28">
        <f t="shared" si="4"/>
        <v>2.8663484389503946E-2</v>
      </c>
      <c r="S8" s="28">
        <f t="shared" si="4"/>
        <v>-4.5165835754379158E-2</v>
      </c>
      <c r="T8" s="28">
        <f t="shared" si="4"/>
        <v>-3.6970534315128312E-3</v>
      </c>
      <c r="U8" s="28">
        <f t="shared" si="4"/>
        <v>-4.7443193592412891E-2</v>
      </c>
      <c r="V8" s="28">
        <f t="shared" si="4"/>
        <v>7.4033285751429645E-2</v>
      </c>
      <c r="W8" s="28">
        <f t="shared" si="4"/>
        <v>-4.2226142311952541E-2</v>
      </c>
      <c r="X8" s="28">
        <f t="shared" si="4"/>
        <v>5.5839814322149239E-2</v>
      </c>
      <c r="Y8" s="28">
        <f t="shared" si="4"/>
        <v>4.7054079712883334E-2</v>
      </c>
      <c r="Z8" s="28">
        <f t="shared" si="4"/>
        <v>-0.10584843691022727</v>
      </c>
      <c r="AA8" s="28">
        <f t="shared" si="4"/>
        <v>-7.6497189850117997E-2</v>
      </c>
    </row>
    <row r="9" spans="1:34" x14ac:dyDescent="0.2">
      <c r="B9" s="4" t="s">
        <v>588</v>
      </c>
      <c r="C9" s="29">
        <f t="shared" ref="C9:AA9" si="5">VLOOKUP($AE$2,$B:$AA,MATCH(C3,$B$3:$AA$3,),)-VLOOKUP($AE$3,$B:$AA,MATCH(C3,$B$3:$AA$3,),)</f>
        <v>-8.4679215943870734E-2</v>
      </c>
      <c r="D9" s="29">
        <f t="shared" si="5"/>
        <v>-8.3407340639995997E-3</v>
      </c>
      <c r="E9" s="29">
        <f t="shared" si="5"/>
        <v>1.5192256480045074E-2</v>
      </c>
      <c r="F9" s="29">
        <f t="shared" si="5"/>
        <v>-4.4938589160060216E-2</v>
      </c>
      <c r="G9" s="29">
        <f t="shared" si="5"/>
        <v>2.3264781219483832E-2</v>
      </c>
      <c r="H9" s="29">
        <f t="shared" si="5"/>
        <v>-2.6216954303411311E-2</v>
      </c>
      <c r="I9" s="29">
        <f t="shared" si="5"/>
        <v>-2.0684181274954305E-2</v>
      </c>
      <c r="J9" s="29">
        <f t="shared" si="5"/>
        <v>-2.2590208891698271E-2</v>
      </c>
      <c r="K9" s="29">
        <f t="shared" si="5"/>
        <v>-8.3926492749834436E-2</v>
      </c>
      <c r="L9" s="29">
        <f t="shared" si="5"/>
        <v>-7.8887730836786241E-2</v>
      </c>
      <c r="M9" s="29">
        <f t="shared" si="5"/>
        <v>3.1281923459844929E-2</v>
      </c>
      <c r="N9" s="29" t="e">
        <f t="shared" si="5"/>
        <v>#N/A</v>
      </c>
      <c r="O9" s="29">
        <f t="shared" si="5"/>
        <v>-3.9723389891663796E-2</v>
      </c>
      <c r="P9" s="29">
        <f t="shared" si="5"/>
        <v>-3.5115908103678706E-2</v>
      </c>
      <c r="Q9" s="29">
        <f t="shared" si="5"/>
        <v>-0.12247609779570312</v>
      </c>
      <c r="R9" s="29">
        <f t="shared" si="5"/>
        <v>1.2879496718652295E-2</v>
      </c>
      <c r="S9" s="29">
        <f t="shared" si="5"/>
        <v>-2.8993539167103455E-2</v>
      </c>
      <c r="T9" s="29">
        <f t="shared" si="5"/>
        <v>1.3689578809231717E-2</v>
      </c>
      <c r="U9" s="29">
        <f t="shared" si="5"/>
        <v>6.4591132339136825E-2</v>
      </c>
      <c r="V9" s="29">
        <f t="shared" si="5"/>
        <v>0.73443543180827986</v>
      </c>
      <c r="W9" s="29">
        <f t="shared" si="5"/>
        <v>-1.2925930600949487E-2</v>
      </c>
      <c r="X9" s="29">
        <f t="shared" si="5"/>
        <v>1.0626830607902704E-3</v>
      </c>
      <c r="Y9" s="29">
        <f t="shared" si="5"/>
        <v>2.9082584396837419E-2</v>
      </c>
      <c r="Z9" s="29">
        <f t="shared" si="5"/>
        <v>-4.0764656287115342E-2</v>
      </c>
      <c r="AA9" s="29">
        <f t="shared" si="5"/>
        <v>-0.13055464144776463</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5.0633108599060783E-2</v>
      </c>
      <c r="F11" s="32">
        <f>(((VLOOKUP(B11,'Data qoq'!$A:$AT,MATCH($F$1,'Data qoq'!$A$1:$AT$1,),))/100+1)^4)-1</f>
        <v>6.9677951467347787E-2</v>
      </c>
      <c r="G11" s="32">
        <f>(((VLOOKUP(B11,'Data qoq'!$A:$AT,MATCH($G$1,'Data qoq'!$A$1:$AT$1,),))/100+1)^4)-1</f>
        <v>5.8475284588756171E-2</v>
      </c>
      <c r="H11" s="32">
        <f>(((VLOOKUP(B11,'Data qoq'!$A:$AT,MATCH($H$1,'Data qoq'!$A$1:$AT$1,),))/100+1)^4)-1</f>
        <v>4.2218525363234782E-2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2.7212287933255697E-2</v>
      </c>
      <c r="M11" s="32">
        <f>(((VLOOKUP(B11,'Data qoq'!$A:$AT,MATCH($M$1,'Data qoq'!$A$1:$AT$1,),))/100+1)^4)-1</f>
        <v>7.7473329655467049E-2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1.6220708664333117E-2</v>
      </c>
      <c r="R11" s="32">
        <f>(((VLOOKUP(B11,'Data qoq'!$A:$AT,MATCH($R$1,'Data qoq'!$A$1:$AT$1,),))/100+1)^4)-1</f>
        <v>3.2020787814043494E-2</v>
      </c>
      <c r="S11" s="32">
        <f>(((VLOOKUP(B11,'Data qoq'!$A:$AT,MATCH($S$1,'Data qoq'!$A$1:$AT$1,),))/100+1)^4)-1</f>
        <v>7.7984153341577267E-2</v>
      </c>
      <c r="T11" s="32">
        <f>(((VLOOKUP(B11,'Data qoq'!$A:$AT,MATCH($T$1,'Data qoq'!$A$1:$AT$1,),))/100+1)^4)-1</f>
        <v>4.224945757677534E-2</v>
      </c>
      <c r="U11" s="32">
        <f>(((VLOOKUP(B11,'Data qoq'!$A:$AT,MATCH($U$1,'Data qoq'!$A$1:$AT$1,),))/100+1)^4)-1</f>
        <v>1.5273207707256375E-2</v>
      </c>
      <c r="V11" s="32">
        <f>(((VLOOKUP(B11,'Data qoq'!$A:$AT,MATCH($V$1,'Data qoq'!$A$1:$AT$1,),))/100+1)^4)-1</f>
        <v>7.6548015919439827E-2</v>
      </c>
      <c r="W11" s="32">
        <f>(((VLOOKUP(B11,'Data qoq'!$A:$AT,MATCH($W$1,'Data qoq'!$A$1:$AT$1,),))/100+1)^4)-1</f>
        <v>6.4497834305185409E-2</v>
      </c>
      <c r="X11" s="32">
        <f>(((VLOOKUP(B11,'Data qoq'!$A:$AT,MATCH($X$1,'Data qoq'!$A$1:$AT$1,),))/100+1)^4)-1</f>
        <v>5.4105030321449421E-2</v>
      </c>
      <c r="Y11" s="32">
        <f>(((VLOOKUP(B11,'Data qoq'!$A:$AT,MATCH($Y$1,'Data qoq'!$A$1:$AT$1,),))/100+1)^4)-1</f>
        <v>-1.356967954833066E-2</v>
      </c>
      <c r="Z11" s="32">
        <f>(((VLOOKUP(B11,'Data qoq'!$A:$AU,MATCH($Z$1,'Data qoq'!$A$1:$AU$1,),))/100+1)^4)-1</f>
        <v>-1.3530892383642024E-2</v>
      </c>
      <c r="AA11" s="32">
        <f>(((VLOOKUP(B11,'Data qoq'!$A:$AU,MATCH($AA$1,'Data qoq'!$A$1:$AU$1,),))/100+1)^4)-1</f>
        <v>5.9484720484479503E-2</v>
      </c>
      <c r="AC11" s="26" t="str">
        <f t="shared" ref="AC11:AC42" si="6">B11</f>
        <v>2000-Q1</v>
      </c>
      <c r="AD11" s="31">
        <f t="shared" ref="AD11:AD42" si="7">(VLOOKUP(AC11,B:Y,MATCH($AE$6,$B$1:$Y$1,),))-(VLOOKUP(AC11,B:Y,MATCH($AE$7,$B$1:$Y$1,),))</f>
        <v>1.0589193837758248E-2</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3.7812728229174919E-2</v>
      </c>
      <c r="F12" s="32">
        <f>(((VLOOKUP(B12,'Data qoq'!$A:$AT,MATCH($F$1,'Data qoq'!$A$1:$AT$1,),))/100+1)^4)-1</f>
        <v>1.9066182111330265E-2</v>
      </c>
      <c r="G12" s="32">
        <f>(((VLOOKUP(B12,'Data qoq'!$A:$AT,MATCH($G$1,'Data qoq'!$A$1:$AT$1,),))/100+1)^4)-1</f>
        <v>3.3264373070788888E-2</v>
      </c>
      <c r="H12" s="32">
        <f>(((VLOOKUP(B12,'Data qoq'!$A:$AT,MATCH($H$1,'Data qoq'!$A$1:$AT$1,),))/100+1)^4)-1</f>
        <v>4.3102579214100878E-2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0.10444988659776056</v>
      </c>
      <c r="M12" s="32">
        <f>(((VLOOKUP(B12,'Data qoq'!$A:$AT,MATCH($M$1,'Data qoq'!$A$1:$AT$1,),))/100+1)^4)-1</f>
        <v>6.1577105763144679E-2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3.8064978566660468E-2</v>
      </c>
      <c r="R12" s="32">
        <f>(((VLOOKUP(B12,'Data qoq'!$A:$AT,MATCH($R$1,'Data qoq'!$A$1:$AT$1,),))/100+1)^4)-1</f>
        <v>1.6296884134582301E-2</v>
      </c>
      <c r="S12" s="32">
        <f>(((VLOOKUP(B12,'Data qoq'!$A:$AT,MATCH($S$1,'Data qoq'!$A$1:$AT$1,),))/100+1)^4)-1</f>
        <v>5.4375254143276486E-2</v>
      </c>
      <c r="T12" s="32">
        <f>(((VLOOKUP(B12,'Data qoq'!$A:$AT,MATCH($T$1,'Data qoq'!$A$1:$AT$1,),))/100+1)^4)-1</f>
        <v>5.7800675319023664E-2</v>
      </c>
      <c r="U12" s="32">
        <f>(((VLOOKUP(B12,'Data qoq'!$A:$AT,MATCH($U$1,'Data qoq'!$A$1:$AT$1,),))/100+1)^4)-1</f>
        <v>3.7392949243544749E-2</v>
      </c>
      <c r="V12" s="32">
        <f>(((VLOOKUP(B12,'Data qoq'!$A:$AT,MATCH($V$1,'Data qoq'!$A$1:$AT$1,),))/100+1)^4)-1</f>
        <v>0.13933875952809149</v>
      </c>
      <c r="W12" s="32">
        <f>(((VLOOKUP(B12,'Data qoq'!$A:$AT,MATCH($W$1,'Data qoq'!$A$1:$AT$1,),))/100+1)^4)-1</f>
        <v>0.16506817968592857</v>
      </c>
      <c r="X12" s="32">
        <f>(((VLOOKUP(B12,'Data qoq'!$A:$AT,MATCH($X$1,'Data qoq'!$A$1:$AT$1,),))/100+1)^4)-1</f>
        <v>3.8721761276254041E-2</v>
      </c>
      <c r="Y12" s="32">
        <f>(((VLOOKUP(B12,'Data qoq'!$A:$AT,MATCH($Y$1,'Data qoq'!$A$1:$AT$1,),))/100+1)^4)-1</f>
        <v>4.905981393749248E-2</v>
      </c>
      <c r="Z12" s="32">
        <f>(((VLOOKUP(B12,'Data qoq'!$A:$AU,MATCH($Z$1,'Data qoq'!$A$1:$AU$1,),))/100+1)^4)-1</f>
        <v>-6.2819169123601415E-2</v>
      </c>
      <c r="AA12" s="32">
        <f>(((VLOOKUP(B12,'Data qoq'!$A:$AU,MATCH($AA$1,'Data qoq'!$A$1:$AU$1,),))/100+1)^4)-1</f>
        <v>1.8995351503197089E-3</v>
      </c>
      <c r="AC12" s="26" t="str">
        <f t="shared" si="6"/>
        <v>2000-Q2</v>
      </c>
      <c r="AD12" s="31">
        <f t="shared" si="7"/>
        <v>1.1681098817848845E-2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2.2149879869990174E-2</v>
      </c>
      <c r="F13" s="32">
        <f>(((VLOOKUP(B13,'Data qoq'!$A:$AT,MATCH($F$1,'Data qoq'!$A$1:$AT$1,),))/100+1)^4)-1</f>
        <v>1.0250115578478436E-3</v>
      </c>
      <c r="G13" s="32">
        <f>(((VLOOKUP(B13,'Data qoq'!$A:$AT,MATCH($G$1,'Data qoq'!$A$1:$AT$1,),))/100+1)^4)-1</f>
        <v>-9.441405002967862E-4</v>
      </c>
      <c r="H13" s="32">
        <f>(((VLOOKUP(B13,'Data qoq'!$A:$AT,MATCH($H$1,'Data qoq'!$A$1:$AT$1,),))/100+1)^4)-1</f>
        <v>2.7114651677837998E-2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3.2328278649804698E-2</v>
      </c>
      <c r="M13" s="32">
        <f>(((VLOOKUP(B13,'Data qoq'!$A:$AT,MATCH($M$1,'Data qoq'!$A$1:$AT$1,),))/100+1)^4)-1</f>
        <v>4.1442792145259144E-2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9.980235538478599E-3</v>
      </c>
      <c r="R13" s="32">
        <f>(((VLOOKUP(B13,'Data qoq'!$A:$AT,MATCH($R$1,'Data qoq'!$A$1:$AT$1,),))/100+1)^4)-1</f>
        <v>3.0587121048833099E-2</v>
      </c>
      <c r="S13" s="32">
        <f>(((VLOOKUP(B13,'Data qoq'!$A:$AT,MATCH($S$1,'Data qoq'!$A$1:$AT$1,),))/100+1)^4)-1</f>
        <v>0.11482049098268376</v>
      </c>
      <c r="T13" s="32">
        <f>(((VLOOKUP(B13,'Data qoq'!$A:$AT,MATCH($T$1,'Data qoq'!$A$1:$AT$1,),))/100+1)^4)-1</f>
        <v>4.7223715516282683E-2</v>
      </c>
      <c r="U13" s="32">
        <f>(((VLOOKUP(B13,'Data qoq'!$A:$AT,MATCH($U$1,'Data qoq'!$A$1:$AT$1,),))/100+1)^4)-1</f>
        <v>7.6857171491801601E-2</v>
      </c>
      <c r="V13" s="32">
        <f>(((VLOOKUP(B13,'Data qoq'!$A:$AT,MATCH($V$1,'Data qoq'!$A$1:$AT$1,),))/100+1)^4)-1</f>
        <v>6.8461072902015641E-2</v>
      </c>
      <c r="W13" s="32">
        <f>(((VLOOKUP(B13,'Data qoq'!$A:$AT,MATCH($W$1,'Data qoq'!$A$1:$AT$1,),))/100+1)^4)-1</f>
        <v>6.0916757713971981E-2</v>
      </c>
      <c r="X13" s="32">
        <f>(((VLOOKUP(B13,'Data qoq'!$A:$AT,MATCH($X$1,'Data qoq'!$A$1:$AT$1,),))/100+1)^4)-1</f>
        <v>5.2965533454685909E-2</v>
      </c>
      <c r="Y13" s="32">
        <f>(((VLOOKUP(B13,'Data qoq'!$A:$AT,MATCH($Y$1,'Data qoq'!$A$1:$AT$1,),))/100+1)^4)-1</f>
        <v>1.5580955528500251E-2</v>
      </c>
      <c r="Z13" s="32">
        <f>(((VLOOKUP(B13,'Data qoq'!$A:$AU,MATCH($Z$1,'Data qoq'!$A$1:$AU$1,),))/100+1)^4)-1</f>
        <v>-1.016839805197356E-2</v>
      </c>
      <c r="AA13" s="32">
        <f>(((VLOOKUP(B13,'Data qoq'!$A:$AU,MATCH($AA$1,'Data qoq'!$A$1:$AU$1,),))/100+1)^4)-1</f>
        <v>1.5798027065170528E-2</v>
      </c>
      <c r="AC13" s="26" t="str">
        <f t="shared" si="6"/>
        <v>2000-Q3</v>
      </c>
      <c r="AD13" s="31">
        <f t="shared" si="7"/>
        <v>6.7675390601871221E-3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2.6936615169815603E-2</v>
      </c>
      <c r="F14" s="32">
        <f>(((VLOOKUP(B14,'Data qoq'!$A:$AT,MATCH($F$1,'Data qoq'!$A$1:$AT$1,),))/100+1)^4)-1</f>
        <v>3.9447873746496942E-2</v>
      </c>
      <c r="G14" s="32">
        <f>(((VLOOKUP(B14,'Data qoq'!$A:$AT,MATCH($G$1,'Data qoq'!$A$1:$AT$1,),))/100+1)^4)-1</f>
        <v>-1.2226734287392071E-2</v>
      </c>
      <c r="H14" s="32">
        <f>(((VLOOKUP(B14,'Data qoq'!$A:$AT,MATCH($H$1,'Data qoq'!$A$1:$AT$1,),))/100+1)^4)-1</f>
        <v>3.3512126192260849E-2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-1.2154648954714298E-2</v>
      </c>
      <c r="M14" s="32">
        <f>(((VLOOKUP(B14,'Data qoq'!$A:$AT,MATCH($M$1,'Data qoq'!$A$1:$AT$1,),))/100+1)^4)-1</f>
        <v>-3.4090765845461224E-2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-1.4432049608295028E-2</v>
      </c>
      <c r="R14" s="32">
        <f>(((VLOOKUP(B14,'Data qoq'!$A:$AT,MATCH($R$1,'Data qoq'!$A$1:$AT$1,),))/100+1)^4)-1</f>
        <v>4.3551624645605802E-2</v>
      </c>
      <c r="S14" s="32">
        <f>(((VLOOKUP(B14,'Data qoq'!$A:$AT,MATCH($S$1,'Data qoq'!$A$1:$AT$1,),))/100+1)^4)-1</f>
        <v>-1.2915291610444135E-2</v>
      </c>
      <c r="T14" s="32">
        <f>(((VLOOKUP(B14,'Data qoq'!$A:$AT,MATCH($T$1,'Data qoq'!$A$1:$AT$1,),))/100+1)^4)-1</f>
        <v>4.9977589832431057E-2</v>
      </c>
      <c r="U14" s="32">
        <f>(((VLOOKUP(B14,'Data qoq'!$A:$AT,MATCH($U$1,'Data qoq'!$A$1:$AT$1,),))/100+1)^4)-1</f>
        <v>5.797650154194689E-2</v>
      </c>
      <c r="V14" s="32">
        <f>(((VLOOKUP(B14,'Data qoq'!$A:$AT,MATCH($V$1,'Data qoq'!$A$1:$AT$1,),))/100+1)^4)-1</f>
        <v>6.7180875411954055E-3</v>
      </c>
      <c r="W14" s="32">
        <f>(((VLOOKUP(B14,'Data qoq'!$A:$AT,MATCH($W$1,'Data qoq'!$A$1:$AT$1,),))/100+1)^4)-1</f>
        <v>5.8715588481732306E-2</v>
      </c>
      <c r="X14" s="32">
        <f>(((VLOOKUP(B14,'Data qoq'!$A:$AT,MATCH($X$1,'Data qoq'!$A$1:$AT$1,),))/100+1)^4)-1</f>
        <v>1.9162068830212986E-2</v>
      </c>
      <c r="Y14" s="32">
        <f>(((VLOOKUP(B14,'Data qoq'!$A:$AT,MATCH($Y$1,'Data qoq'!$A$1:$AT$1,),))/100+1)^4)-1</f>
        <v>0.12254280374813065</v>
      </c>
      <c r="Z14" s="32">
        <f>(((VLOOKUP(B14,'Data qoq'!$A:$AU,MATCH($Z$1,'Data qoq'!$A$1:$AU$1,),))/100+1)^4)-1</f>
        <v>1.2330938215072695E-2</v>
      </c>
      <c r="AA14" s="32">
        <f>(((VLOOKUP(B14,'Data qoq'!$A:$AU,MATCH($AA$1,'Data qoq'!$A$1:$AU$1,),))/100+1)^4)-1</f>
        <v>7.897712139433688E-3</v>
      </c>
      <c r="AC14" s="26" t="str">
        <f t="shared" si="6"/>
        <v>2000-Q4</v>
      </c>
      <c r="AD14" s="31">
        <f t="shared" si="7"/>
        <v>1.5453056558930367E-2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4.1377404539011398E-2</v>
      </c>
      <c r="F15" s="32">
        <f>(((VLOOKUP(B15,'Data qoq'!$A:$AT,MATCH($F$1,'Data qoq'!$A$1:$AT$1,),))/100+1)^4)-1</f>
        <v>3.0017792382868835E-2</v>
      </c>
      <c r="G15" s="32">
        <f>(((VLOOKUP(B15,'Data qoq'!$A:$AT,MATCH($G$1,'Data qoq'!$A$1:$AT$1,),))/100+1)^4)-1</f>
        <v>8.2897379534458304E-2</v>
      </c>
      <c r="H15" s="32">
        <f>(((VLOOKUP(B15,'Data qoq'!$A:$AT,MATCH($H$1,'Data qoq'!$A$1:$AT$1,),))/100+1)^4)-1</f>
        <v>2.0230818298085929E-2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1.4832406211208404E-2</v>
      </c>
      <c r="M15" s="32">
        <f>(((VLOOKUP(B15,'Data qoq'!$A:$AT,MATCH($M$1,'Data qoq'!$A$1:$AT$1,),))/100+1)^4)-1</f>
        <v>1.1016316448726471E-3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4.2384811365778763E-2</v>
      </c>
      <c r="R15" s="32">
        <f>(((VLOOKUP(B15,'Data qoq'!$A:$AT,MATCH($R$1,'Data qoq'!$A$1:$AT$1,),))/100+1)^4)-1</f>
        <v>2.8929710346443649E-3</v>
      </c>
      <c r="S15" s="32">
        <f>(((VLOOKUP(B15,'Data qoq'!$A:$AT,MATCH($S$1,'Data qoq'!$A$1:$AT$1,),))/100+1)^4)-1</f>
        <v>4.9930768399333081E-2</v>
      </c>
      <c r="T15" s="32">
        <f>(((VLOOKUP(B15,'Data qoq'!$A:$AT,MATCH($T$1,'Data qoq'!$A$1:$AT$1,),))/100+1)^4)-1</f>
        <v>1.6418213270068982E-2</v>
      </c>
      <c r="U15" s="32">
        <f>(((VLOOKUP(B15,'Data qoq'!$A:$AT,MATCH($U$1,'Data qoq'!$A$1:$AT$1,),))/100+1)^4)-1</f>
        <v>5.0442140289366666E-2</v>
      </c>
      <c r="V15" s="32">
        <f>(((VLOOKUP(B15,'Data qoq'!$A:$AT,MATCH($V$1,'Data qoq'!$A$1:$AT$1,),))/100+1)^4)-1</f>
        <v>0.11159228626072659</v>
      </c>
      <c r="W15" s="32">
        <f>(((VLOOKUP(B15,'Data qoq'!$A:$AT,MATCH($W$1,'Data qoq'!$A$1:$AT$1,),))/100+1)^4)-1</f>
        <v>-0.18977659885661469</v>
      </c>
      <c r="X15" s="32">
        <f>(((VLOOKUP(B15,'Data qoq'!$A:$AT,MATCH($X$1,'Data qoq'!$A$1:$AT$1,),))/100+1)^4)-1</f>
        <v>4.8297224481070877E-2</v>
      </c>
      <c r="Y15" s="32">
        <f>(((VLOOKUP(B15,'Data qoq'!$A:$AT,MATCH($Y$1,'Data qoq'!$A$1:$AT$1,),))/100+1)^4)-1</f>
        <v>-5.2851352936301943E-2</v>
      </c>
      <c r="Z15" s="32">
        <f>(((VLOOKUP(B15,'Data qoq'!$A:$AU,MATCH($Z$1,'Data qoq'!$A$1:$AU$1,),))/100+1)^4)-1</f>
        <v>6.5619319362044681E-3</v>
      </c>
      <c r="AA15" s="32">
        <f>(((VLOOKUP(B15,'Data qoq'!$A:$AU,MATCH($AA$1,'Data qoq'!$A$1:$AU$1,),))/100+1)^4)-1</f>
        <v>1.4009556631816134E-2</v>
      </c>
      <c r="AC15" s="26" t="str">
        <f t="shared" si="6"/>
        <v>2001-Q1</v>
      </c>
      <c r="AD15" s="31">
        <f t="shared" si="7"/>
        <v>6.7306156130602091E-3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3.2396884213987676E-3</v>
      </c>
      <c r="F16" s="32">
        <f>(((VLOOKUP(B16,'Data qoq'!$A:$AT,MATCH($F$1,'Data qoq'!$A$1:$AT$1,),))/100+1)^4)-1</f>
        <v>-2.9684383040562312E-2</v>
      </c>
      <c r="G16" s="32">
        <f>(((VLOOKUP(B16,'Data qoq'!$A:$AT,MATCH($G$1,'Data qoq'!$A$1:$AT$1,),))/100+1)^4)-1</f>
        <v>-2.3207570239505149E-3</v>
      </c>
      <c r="H16" s="32">
        <f>(((VLOOKUP(B16,'Data qoq'!$A:$AT,MATCH($H$1,'Data qoq'!$A$1:$AT$1,),))/100+1)^4)-1</f>
        <v>4.9645107931679533E-3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5.0330460544190103E-4</v>
      </c>
      <c r="M16" s="32">
        <f>(((VLOOKUP(B16,'Data qoq'!$A:$AT,MATCH($M$1,'Data qoq'!$A$1:$AT$1,),))/100+1)^4)-1</f>
        <v>-2.132158401911155E-2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3.2923227905393038E-2</v>
      </c>
      <c r="R16" s="32">
        <f>(((VLOOKUP(B16,'Data qoq'!$A:$AT,MATCH($R$1,'Data qoq'!$A$1:$AT$1,),))/100+1)^4)-1</f>
        <v>2.1795026451674193E-2</v>
      </c>
      <c r="S16" s="32">
        <f>(((VLOOKUP(B16,'Data qoq'!$A:$AT,MATCH($S$1,'Data qoq'!$A$1:$AT$1,),))/100+1)^4)-1</f>
        <v>5.2976289981347291E-2</v>
      </c>
      <c r="T16" s="32">
        <f>(((VLOOKUP(B16,'Data qoq'!$A:$AT,MATCH($T$1,'Data qoq'!$A$1:$AT$1,),))/100+1)^4)-1</f>
        <v>-2.030299711808381E-2</v>
      </c>
      <c r="U16" s="32">
        <f>(((VLOOKUP(B16,'Data qoq'!$A:$AT,MATCH($U$1,'Data qoq'!$A$1:$AT$1,),))/100+1)^4)-1</f>
        <v>-1.0501345164872222E-2</v>
      </c>
      <c r="V16" s="32">
        <f>(((VLOOKUP(B16,'Data qoq'!$A:$AT,MATCH($V$1,'Data qoq'!$A$1:$AT$1,),))/100+1)^4)-1</f>
        <v>6.7240008196806977E-2</v>
      </c>
      <c r="W16" s="32">
        <f>(((VLOOKUP(B16,'Data qoq'!$A:$AT,MATCH($W$1,'Data qoq'!$A$1:$AT$1,),))/100+1)^4)-1</f>
        <v>-0.18013187197430425</v>
      </c>
      <c r="X16" s="32">
        <f>(((VLOOKUP(B16,'Data qoq'!$A:$AT,MATCH($X$1,'Data qoq'!$A$1:$AT$1,),))/100+1)^4)-1</f>
        <v>9.2987214286424091E-3</v>
      </c>
      <c r="Y16" s="32">
        <f>(((VLOOKUP(B16,'Data qoq'!$A:$AT,MATCH($Y$1,'Data qoq'!$A$1:$AT$1,),))/100+1)^4)-1</f>
        <v>-1.8000975860915092E-2</v>
      </c>
      <c r="Z16" s="32">
        <f>(((VLOOKUP(B16,'Data qoq'!$A:$AU,MATCH($Z$1,'Data qoq'!$A$1:$AU$1,),))/100+1)^4)-1</f>
        <v>-3.2781833337411137E-2</v>
      </c>
      <c r="AA16" s="32">
        <f>(((VLOOKUP(B16,'Data qoq'!$A:$AU,MATCH($AA$1,'Data qoq'!$A$1:$AU$1,),))/100+1)^4)-1</f>
        <v>5.8136242236071389E-2</v>
      </c>
      <c r="AC16" s="26" t="str">
        <f t="shared" si="6"/>
        <v>2001-Q2</v>
      </c>
      <c r="AD16" s="31">
        <f t="shared" si="7"/>
        <v>-1.528509467574013E-2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3.8557625830928366E-3</v>
      </c>
      <c r="F17" s="32">
        <f>(((VLOOKUP(B17,'Data qoq'!$A:$AT,MATCH($F$1,'Data qoq'!$A$1:$AT$1,),))/100+1)^4)-1</f>
        <v>-4.2866671784077659E-2</v>
      </c>
      <c r="G17" s="32">
        <f>(((VLOOKUP(B17,'Data qoq'!$A:$AT,MATCH($G$1,'Data qoq'!$A$1:$AT$1,),))/100+1)^4)-1</f>
        <v>-6.490903314694707E-3</v>
      </c>
      <c r="H17" s="32">
        <f>(((VLOOKUP(B17,'Data qoq'!$A:$AT,MATCH($H$1,'Data qoq'!$A$1:$AT$1,),))/100+1)^4)-1</f>
        <v>1.0304449347284361E-2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1.544359030130682E-2</v>
      </c>
      <c r="M17" s="32">
        <f>(((VLOOKUP(B17,'Data qoq'!$A:$AT,MATCH($M$1,'Data qoq'!$A$1:$AT$1,),))/100+1)^4)-1</f>
        <v>8.8007146649224932E-3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4.8654008270309079E-2</v>
      </c>
      <c r="R17" s="32">
        <f>(((VLOOKUP(B17,'Data qoq'!$A:$AT,MATCH($R$1,'Data qoq'!$A$1:$AT$1,),))/100+1)^4)-1</f>
        <v>-7.1801721855672129E-3</v>
      </c>
      <c r="S17" s="32">
        <f>(((VLOOKUP(B17,'Data qoq'!$A:$AT,MATCH($S$1,'Data qoq'!$A$1:$AT$1,),))/100+1)^4)-1</f>
        <v>5.5111437622660242E-2</v>
      </c>
      <c r="T17" s="32">
        <f>(((VLOOKUP(B17,'Data qoq'!$A:$AT,MATCH($T$1,'Data qoq'!$A$1:$AT$1,),))/100+1)^4)-1</f>
        <v>-2.126700288459793E-2</v>
      </c>
      <c r="U17" s="32">
        <f>(((VLOOKUP(B17,'Data qoq'!$A:$AT,MATCH($U$1,'Data qoq'!$A$1:$AT$1,),))/100+1)^4)-1</f>
        <v>6.6459561701394776E-2</v>
      </c>
      <c r="V17" s="32">
        <f>(((VLOOKUP(B17,'Data qoq'!$A:$AT,MATCH($V$1,'Data qoq'!$A$1:$AT$1,),))/100+1)^4)-1</f>
        <v>-3.1390729384384586E-2</v>
      </c>
      <c r="W17" s="32">
        <f>(((VLOOKUP(B17,'Data qoq'!$A:$AT,MATCH($W$1,'Data qoq'!$A$1:$AT$1,),))/100+1)^4)-1</f>
        <v>5.1019482036346986E-2</v>
      </c>
      <c r="X17" s="32">
        <f>(((VLOOKUP(B17,'Data qoq'!$A:$AT,MATCH($X$1,'Data qoq'!$A$1:$AT$1,),))/100+1)^4)-1</f>
        <v>1.7389076049889374E-2</v>
      </c>
      <c r="Y17" s="32">
        <f>(((VLOOKUP(B17,'Data qoq'!$A:$AT,MATCH($Y$1,'Data qoq'!$A$1:$AT$1,),))/100+1)^4)-1</f>
        <v>3.1686772749585312E-2</v>
      </c>
      <c r="Z17" s="32">
        <f>(((VLOOKUP(B17,'Data qoq'!$A:$AU,MATCH($Z$1,'Data qoq'!$A$1:$AU$1,),))/100+1)^4)-1</f>
        <v>-0.1732810920882778</v>
      </c>
      <c r="AA17" s="32">
        <f>(((VLOOKUP(B17,'Data qoq'!$A:$AU,MATCH($AA$1,'Data qoq'!$A$1:$AU$1,),))/100+1)^4)-1</f>
        <v>3.0825459802226618E-2</v>
      </c>
      <c r="AC17" s="26" t="str">
        <f t="shared" si="6"/>
        <v>2001-Q3</v>
      </c>
      <c r="AD17" s="31">
        <f t="shared" si="7"/>
        <v>-1.5002984532315411E-2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3.8754594960741517E-3</v>
      </c>
      <c r="F18" s="32">
        <f>(((VLOOKUP(B18,'Data qoq'!$A:$AT,MATCH($F$1,'Data qoq'!$A$1:$AT$1,),))/100+1)^4)-1</f>
        <v>-1.3560901924938307E-2</v>
      </c>
      <c r="G18" s="32">
        <f>(((VLOOKUP(B18,'Data qoq'!$A:$AT,MATCH($G$1,'Data qoq'!$A$1:$AT$1,),))/100+1)^4)-1</f>
        <v>-4.6474027103144966E-3</v>
      </c>
      <c r="H18" s="32">
        <f>(((VLOOKUP(B18,'Data qoq'!$A:$AT,MATCH($H$1,'Data qoq'!$A$1:$AT$1,),))/100+1)^4)-1</f>
        <v>-2.5413459685935669E-3</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3.4778313533115668E-2</v>
      </c>
      <c r="M18" s="32">
        <f>(((VLOOKUP(B18,'Data qoq'!$A:$AT,MATCH($M$1,'Data qoq'!$A$1:$AT$1,),))/100+1)^4)-1</f>
        <v>-2.5201742525198023E-2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4.9234641690891978E-2</v>
      </c>
      <c r="R18" s="32">
        <f>(((VLOOKUP(B18,'Data qoq'!$A:$AT,MATCH($R$1,'Data qoq'!$A$1:$AT$1,),))/100+1)^4)-1</f>
        <v>-4.8025841830480198E-3</v>
      </c>
      <c r="S18" s="32">
        <f>(((VLOOKUP(B18,'Data qoq'!$A:$AT,MATCH($S$1,'Data qoq'!$A$1:$AT$1,),))/100+1)^4)-1</f>
        <v>7.2389445171193945E-2</v>
      </c>
      <c r="T18" s="32">
        <f>(((VLOOKUP(B18,'Data qoq'!$A:$AT,MATCH($T$1,'Data qoq'!$A$1:$AT$1,),))/100+1)^4)-1</f>
        <v>-1.0090724947135921E-2</v>
      </c>
      <c r="U18" s="32">
        <f>(((VLOOKUP(B18,'Data qoq'!$A:$AT,MATCH($U$1,'Data qoq'!$A$1:$AT$1,),))/100+1)^4)-1</f>
        <v>1.0638122816360118E-2</v>
      </c>
      <c r="V18" s="32">
        <f>(((VLOOKUP(B18,'Data qoq'!$A:$AT,MATCH($V$1,'Data qoq'!$A$1:$AT$1,),))/100+1)^4)-1</f>
        <v>5.9076465448964388E-2</v>
      </c>
      <c r="W18" s="32">
        <f>(((VLOOKUP(B18,'Data qoq'!$A:$AT,MATCH($W$1,'Data qoq'!$A$1:$AT$1,),))/100+1)^4)-1</f>
        <v>-6.563555150490108E-2</v>
      </c>
      <c r="X18" s="32">
        <f>(((VLOOKUP(B18,'Data qoq'!$A:$AT,MATCH($X$1,'Data qoq'!$A$1:$AT$1,),))/100+1)^4)-1</f>
        <v>2.9963576612421328E-2</v>
      </c>
      <c r="Y18" s="32">
        <f>(((VLOOKUP(B18,'Data qoq'!$A:$AT,MATCH($Y$1,'Data qoq'!$A$1:$AT$1,),))/100+1)^4)-1</f>
        <v>1.1880361221591196E-2</v>
      </c>
      <c r="Z18" s="32">
        <f>(((VLOOKUP(B18,'Data qoq'!$A:$AU,MATCH($Z$1,'Data qoq'!$A$1:$AU$1,),))/100+1)^4)-1</f>
        <v>-0.20906422740335551</v>
      </c>
      <c r="AA18" s="32">
        <f>(((VLOOKUP(B18,'Data qoq'!$A:$AU,MATCH($AA$1,'Data qoq'!$A$1:$AU$1,),))/100+1)^4)-1</f>
        <v>6.0700724403042416E-2</v>
      </c>
      <c r="AC18" s="26" t="str">
        <f t="shared" si="6"/>
        <v>2001-Q4</v>
      </c>
      <c r="AD18" s="31">
        <f t="shared" si="7"/>
        <v>-5.1829387837731833E-3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5.634265380303205E-3</v>
      </c>
      <c r="F19" s="32">
        <f>(((VLOOKUP(B19,'Data qoq'!$A:$AT,MATCH($F$1,'Data qoq'!$A$1:$AT$1,),))/100+1)^4)-1</f>
        <v>6.7480031640856364E-3</v>
      </c>
      <c r="G19" s="32">
        <f>(((VLOOKUP(B19,'Data qoq'!$A:$AT,MATCH($G$1,'Data qoq'!$A$1:$AT$1,),))/100+1)^4)-1</f>
        <v>-2.0809845770284441E-2</v>
      </c>
      <c r="H19" s="32">
        <f>(((VLOOKUP(B19,'Data qoq'!$A:$AT,MATCH($H$1,'Data qoq'!$A$1:$AT$1,),))/100+1)^4)-1</f>
        <v>2.2962800170479136E-2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-5.9324881142653885E-3</v>
      </c>
      <c r="M19" s="32">
        <f>(((VLOOKUP(B19,'Data qoq'!$A:$AT,MATCH($M$1,'Data qoq'!$A$1:$AT$1,),))/100+1)^4)-1</f>
        <v>-2.6811321695567325E-2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3.1018268452971176E-2</v>
      </c>
      <c r="R19" s="32">
        <f>(((VLOOKUP(B19,'Data qoq'!$A:$AT,MATCH($R$1,'Data qoq'!$A$1:$AT$1,),))/100+1)^4)-1</f>
        <v>-2.8098997113452651E-3</v>
      </c>
      <c r="S19" s="32">
        <f>(((VLOOKUP(B19,'Data qoq'!$A:$AT,MATCH($S$1,'Data qoq'!$A$1:$AT$1,),))/100+1)^4)-1</f>
        <v>0.10573021062983901</v>
      </c>
      <c r="T19" s="32">
        <f>(((VLOOKUP(B19,'Data qoq'!$A:$AT,MATCH($T$1,'Data qoq'!$A$1:$AT$1,),))/100+1)^4)-1</f>
        <v>9.5119398664572197E-2</v>
      </c>
      <c r="U19" s="32">
        <f>(((VLOOKUP(B19,'Data qoq'!$A:$AT,MATCH($U$1,'Data qoq'!$A$1:$AT$1,),))/100+1)^4)-1</f>
        <v>3.3084633047414158E-2</v>
      </c>
      <c r="V19" s="32">
        <f>(((VLOOKUP(B19,'Data qoq'!$A:$AT,MATCH($V$1,'Data qoq'!$A$1:$AT$1,),))/100+1)^4)-1</f>
        <v>0.12449731794383356</v>
      </c>
      <c r="W19" s="32">
        <f>(((VLOOKUP(B19,'Data qoq'!$A:$AT,MATCH($W$1,'Data qoq'!$A$1:$AT$1,),))/100+1)^4)-1</f>
        <v>0.15988304287326405</v>
      </c>
      <c r="X19" s="32">
        <f>(((VLOOKUP(B19,'Data qoq'!$A:$AT,MATCH($X$1,'Data qoq'!$A$1:$AT$1,),))/100+1)^4)-1</f>
        <v>-7.8310722028246404E-3</v>
      </c>
      <c r="Y19" s="32">
        <f>(((VLOOKUP(B19,'Data qoq'!$A:$AT,MATCH($Y$1,'Data qoq'!$A$1:$AT$1,),))/100+1)^4)-1</f>
        <v>8.4867933637111648E-3</v>
      </c>
      <c r="Z19" s="32">
        <f>(((VLOOKUP(B19,'Data qoq'!$A:$AU,MATCH($Z$1,'Data qoq'!$A$1:$AU$1,),))/100+1)^4)-1</f>
        <v>-0.18312545274801861</v>
      </c>
      <c r="AA19" s="32">
        <f>(((VLOOKUP(B19,'Data qoq'!$A:$AU,MATCH($AA$1,'Data qoq'!$A$1:$AU$1,),))/100+1)^4)-1</f>
        <v>3.612159628201983E-2</v>
      </c>
      <c r="AC19" s="26" t="str">
        <f t="shared" si="6"/>
        <v>2002-Q1</v>
      </c>
      <c r="AD19" s="31">
        <f t="shared" si="7"/>
        <v>-1.5691693889004155E-2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2.1368526706533775E-2</v>
      </c>
      <c r="F20" s="32">
        <f>(((VLOOKUP(B20,'Data qoq'!$A:$AT,MATCH($F$1,'Data qoq'!$A$1:$AT$1,),))/100+1)^4)-1</f>
        <v>3.2807150848735978E-2</v>
      </c>
      <c r="G20" s="32">
        <f>(((VLOOKUP(B20,'Data qoq'!$A:$AT,MATCH($G$1,'Data qoq'!$A$1:$AT$1,),))/100+1)^4)-1</f>
        <v>1.7923888021986301E-2</v>
      </c>
      <c r="H20" s="32">
        <f>(((VLOOKUP(B20,'Data qoq'!$A:$AT,MATCH($H$1,'Data qoq'!$A$1:$AT$1,),))/100+1)^4)-1</f>
        <v>1.6584290031254056E-2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6.4348923541370118E-2</v>
      </c>
      <c r="M20" s="32">
        <f>(((VLOOKUP(B20,'Data qoq'!$A:$AT,MATCH($M$1,'Data qoq'!$A$1:$AT$1,),))/100+1)^4)-1</f>
        <v>3.7237337862347841E-2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7.0130935786199444E-2</v>
      </c>
      <c r="R20" s="32">
        <f>(((VLOOKUP(B20,'Data qoq'!$A:$AT,MATCH($R$1,'Data qoq'!$A$1:$AT$1,),))/100+1)^4)-1</f>
        <v>7.8637684468925162E-3</v>
      </c>
      <c r="S20" s="32">
        <f>(((VLOOKUP(B20,'Data qoq'!$A:$AT,MATCH($S$1,'Data qoq'!$A$1:$AT$1,),))/100+1)^4)-1</f>
        <v>7.447962834837929E-2</v>
      </c>
      <c r="T20" s="32">
        <f>(((VLOOKUP(B20,'Data qoq'!$A:$AT,MATCH($T$1,'Data qoq'!$A$1:$AT$1,),))/100+1)^4)-1</f>
        <v>2.2158794946304905E-2</v>
      </c>
      <c r="U20" s="32">
        <f>(((VLOOKUP(B20,'Data qoq'!$A:$AT,MATCH($U$1,'Data qoq'!$A$1:$AT$1,),))/100+1)^4)-1</f>
        <v>9.2583388669027489E-2</v>
      </c>
      <c r="V20" s="32">
        <f>(((VLOOKUP(B20,'Data qoq'!$A:$AT,MATCH($V$1,'Data qoq'!$A$1:$AT$1,),))/100+1)^4)-1</f>
        <v>2.7678711091579711E-2</v>
      </c>
      <c r="W20" s="32">
        <f>(((VLOOKUP(B20,'Data qoq'!$A:$AT,MATCH($W$1,'Data qoq'!$A$1:$AT$1,),))/100+1)^4)-1</f>
        <v>0.18416063870924626</v>
      </c>
      <c r="X20" s="32">
        <f>(((VLOOKUP(B20,'Data qoq'!$A:$AT,MATCH($X$1,'Data qoq'!$A$1:$AT$1,),))/100+1)^4)-1</f>
        <v>2.0210250111782457E-2</v>
      </c>
      <c r="Y20" s="32">
        <f>(((VLOOKUP(B20,'Data qoq'!$A:$AT,MATCH($Y$1,'Data qoq'!$A$1:$AT$1,),))/100+1)^4)-1</f>
        <v>3.6671507881824716E-2</v>
      </c>
      <c r="Z20" s="32">
        <f>(((VLOOKUP(B20,'Data qoq'!$A:$AU,MATCH($Z$1,'Data qoq'!$A$1:$AU$1,),))/100+1)^4)-1</f>
        <v>1.7067609665583738E-2</v>
      </c>
      <c r="AA20" s="32">
        <f>(((VLOOKUP(B20,'Data qoq'!$A:$AU,MATCH($AA$1,'Data qoq'!$A$1:$AU$1,),))/100+1)^4)-1</f>
        <v>5.3742321916399716E-2</v>
      </c>
      <c r="AC20" s="26" t="str">
        <f t="shared" si="6"/>
        <v>2002-Q2</v>
      </c>
      <c r="AD20" s="31">
        <f t="shared" si="7"/>
        <v>-4.8437999649004748E-3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1.518640686780004E-2</v>
      </c>
      <c r="F21" s="32">
        <f>(((VLOOKUP(B21,'Data qoq'!$A:$AT,MATCH($F$1,'Data qoq'!$A$1:$AT$1,),))/100+1)^4)-1</f>
        <v>1.2633074885223472E-2</v>
      </c>
      <c r="G21" s="32">
        <f>(((VLOOKUP(B21,'Data qoq'!$A:$AT,MATCH($G$1,'Data qoq'!$A$1:$AT$1,),))/100+1)^4)-1</f>
        <v>1.9736317306799922E-2</v>
      </c>
      <c r="H21" s="32">
        <f>(((VLOOKUP(B21,'Data qoq'!$A:$AT,MATCH($H$1,'Data qoq'!$A$1:$AT$1,),))/100+1)^4)-1</f>
        <v>9.6613821934241617E-3</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2.368359709103407E-2</v>
      </c>
      <c r="M21" s="32">
        <f>(((VLOOKUP(B21,'Data qoq'!$A:$AT,MATCH($M$1,'Data qoq'!$A$1:$AT$1,),))/100+1)^4)-1</f>
        <v>3.160076167120196E-2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1.2170804115525735E-2</v>
      </c>
      <c r="R21" s="32">
        <f>(((VLOOKUP(B21,'Data qoq'!$A:$AT,MATCH($R$1,'Data qoq'!$A$1:$AT$1,),))/100+1)^4)-1</f>
        <v>9.4385047474407902E-3</v>
      </c>
      <c r="S21" s="32">
        <f>(((VLOOKUP(B21,'Data qoq'!$A:$AT,MATCH($S$1,'Data qoq'!$A$1:$AT$1,),))/100+1)^4)-1</f>
        <v>8.335838039532506E-2</v>
      </c>
      <c r="T21" s="32">
        <f>(((VLOOKUP(B21,'Data qoq'!$A:$AT,MATCH($T$1,'Data qoq'!$A$1:$AT$1,),))/100+1)^4)-1</f>
        <v>5.1228824132941497E-2</v>
      </c>
      <c r="U21" s="32">
        <f>(((VLOOKUP(B21,'Data qoq'!$A:$AT,MATCH($U$1,'Data qoq'!$A$1:$AT$1,),))/100+1)^4)-1</f>
        <v>2.3282354422438312E-2</v>
      </c>
      <c r="V21" s="32">
        <f>(((VLOOKUP(B21,'Data qoq'!$A:$AT,MATCH($V$1,'Data qoq'!$A$1:$AT$1,),))/100+1)^4)-1</f>
        <v>8.0382631113058656E-2</v>
      </c>
      <c r="W21" s="32">
        <f>(((VLOOKUP(B21,'Data qoq'!$A:$AT,MATCH($W$1,'Data qoq'!$A$1:$AT$1,),))/100+1)^4)-1</f>
        <v>5.5789303142248503E-2</v>
      </c>
      <c r="X21" s="32">
        <f>(((VLOOKUP(B21,'Data qoq'!$A:$AT,MATCH($X$1,'Data qoq'!$A$1:$AT$1,),))/100+1)^4)-1</f>
        <v>2.5726553716828082E-2</v>
      </c>
      <c r="Y21" s="32">
        <f>(((VLOOKUP(B21,'Data qoq'!$A:$AT,MATCH($Y$1,'Data qoq'!$A$1:$AT$1,),))/100+1)^4)-1</f>
        <v>5.0225372101304622E-2</v>
      </c>
      <c r="Z21" s="32">
        <f>(((VLOOKUP(B21,'Data qoq'!$A:$AU,MATCH($Z$1,'Data qoq'!$A$1:$AU$1,),))/100+1)^4)-1</f>
        <v>2.983223923532341E-3</v>
      </c>
      <c r="AA21" s="32">
        <f>(((VLOOKUP(B21,'Data qoq'!$A:$AU,MATCH($AA$1,'Data qoq'!$A$1:$AU$1,),))/100+1)^4)-1</f>
        <v>4.7715790318068718E-2</v>
      </c>
      <c r="AC21" s="26" t="str">
        <f t="shared" si="6"/>
        <v>2002-Q3</v>
      </c>
      <c r="AD21" s="31">
        <f t="shared" si="7"/>
        <v>-1.3167030710393712E-2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8.6373966039561267E-3</v>
      </c>
      <c r="F22" s="32">
        <f>(((VLOOKUP(B22,'Data qoq'!$A:$AT,MATCH($F$1,'Data qoq'!$A$1:$AT$1,),))/100+1)^4)-1</f>
        <v>1.1192076530298412E-2</v>
      </c>
      <c r="G22" s="32">
        <f>(((VLOOKUP(B22,'Data qoq'!$A:$AT,MATCH($G$1,'Data qoq'!$A$1:$AT$1,),))/100+1)^4)-1</f>
        <v>-5.5584903422046805E-3</v>
      </c>
      <c r="H22" s="32">
        <f>(((VLOOKUP(B22,'Data qoq'!$A:$AT,MATCH($H$1,'Data qoq'!$A$1:$AT$1,),))/100+1)^4)-1</f>
        <v>9.4202262992073571E-3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6.5314091626669235E-3</v>
      </c>
      <c r="M22" s="32">
        <f>(((VLOOKUP(B22,'Data qoq'!$A:$AT,MATCH($M$1,'Data qoq'!$A$1:$AT$1,),))/100+1)^4)-1</f>
        <v>9.4492013294682486E-3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3.3053586050870498E-2</v>
      </c>
      <c r="R22" s="32">
        <f>(((VLOOKUP(B22,'Data qoq'!$A:$AT,MATCH($R$1,'Data qoq'!$A$1:$AT$1,),))/100+1)^4)-1</f>
        <v>-1.8653941489810921E-2</v>
      </c>
      <c r="S22" s="32">
        <f>(((VLOOKUP(B22,'Data qoq'!$A:$AT,MATCH($S$1,'Data qoq'!$A$1:$AT$1,),))/100+1)^4)-1</f>
        <v>4.4621971323196563E-2</v>
      </c>
      <c r="T22" s="32">
        <f>(((VLOOKUP(B22,'Data qoq'!$A:$AT,MATCH($T$1,'Data qoq'!$A$1:$AT$1,),))/100+1)^4)-1</f>
        <v>4.0932739228090487E-2</v>
      </c>
      <c r="U22" s="32">
        <f>(((VLOOKUP(B22,'Data qoq'!$A:$AT,MATCH($U$1,'Data qoq'!$A$1:$AT$1,),))/100+1)^4)-1</f>
        <v>3.1199339111408264E-2</v>
      </c>
      <c r="V22" s="32">
        <f>(((VLOOKUP(B22,'Data qoq'!$A:$AT,MATCH($V$1,'Data qoq'!$A$1:$AT$1,),))/100+1)^4)-1</f>
        <v>3.3811404827871483E-2</v>
      </c>
      <c r="W22" s="32">
        <f>(((VLOOKUP(B22,'Data qoq'!$A:$AT,MATCH($W$1,'Data qoq'!$A$1:$AT$1,),))/100+1)^4)-1</f>
        <v>8.8115911215198572E-2</v>
      </c>
      <c r="X22" s="32">
        <f>(((VLOOKUP(B22,'Data qoq'!$A:$AT,MATCH($X$1,'Data qoq'!$A$1:$AT$1,),))/100+1)^4)-1</f>
        <v>2.6783391807472245E-2</v>
      </c>
      <c r="Y22" s="32">
        <f>(((VLOOKUP(B22,'Data qoq'!$A:$AT,MATCH($Y$1,'Data qoq'!$A$1:$AT$1,),))/100+1)^4)-1</f>
        <v>3.7765391913044954E-3</v>
      </c>
      <c r="Z22" s="32">
        <f>(((VLOOKUP(B22,'Data qoq'!$A:$AU,MATCH($Z$1,'Data qoq'!$A$1:$AU$1,),))/100+1)^4)-1</f>
        <v>4.1389607763960612E-2</v>
      </c>
      <c r="AA22" s="32">
        <f>(((VLOOKUP(B22,'Data qoq'!$A:$AU,MATCH($AA$1,'Data qoq'!$A$1:$AU$1,),))/100+1)^4)-1</f>
        <v>5.4327122248808868E-2</v>
      </c>
      <c r="AC22" s="26" t="str">
        <f t="shared" si="6"/>
        <v>2002-Q4</v>
      </c>
      <c r="AD22" s="31">
        <f t="shared" si="7"/>
        <v>-2.7031800060765665E-2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-1.2749744127205975E-2</v>
      </c>
      <c r="F23" s="32">
        <f>(((VLOOKUP(B23,'Data qoq'!$A:$AT,MATCH($F$1,'Data qoq'!$A$1:$AT$1,),))/100+1)^4)-1</f>
        <v>2.471981130290013E-3</v>
      </c>
      <c r="G23" s="32">
        <f>(((VLOOKUP(B23,'Data qoq'!$A:$AT,MATCH($G$1,'Data qoq'!$A$1:$AT$1,),))/100+1)^4)-1</f>
        <v>-5.8296311057331796E-2</v>
      </c>
      <c r="H23" s="32">
        <f>(((VLOOKUP(B23,'Data qoq'!$A:$AT,MATCH($H$1,'Data qoq'!$A$1:$AT$1,),))/100+1)^4)-1</f>
        <v>4.4653210227443285E-3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4.7791839360877608E-2</v>
      </c>
      <c r="M23" s="32">
        <f>(((VLOOKUP(B23,'Data qoq'!$A:$AT,MATCH($M$1,'Data qoq'!$A$1:$AT$1,),))/100+1)^4)-1</f>
        <v>9.5050371789962007E-3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8.1341148004323571E-3</v>
      </c>
      <c r="R23" s="32">
        <f>(((VLOOKUP(B23,'Data qoq'!$A:$AT,MATCH($R$1,'Data qoq'!$A$1:$AT$1,),))/100+1)^4)-1</f>
        <v>-2.9529538283766699E-2</v>
      </c>
      <c r="S23" s="32">
        <f>(((VLOOKUP(B23,'Data qoq'!$A:$AT,MATCH($S$1,'Data qoq'!$A$1:$AT$1,),))/100+1)^4)-1</f>
        <v>-2.6106842097201155E-2</v>
      </c>
      <c r="T23" s="32">
        <f>(((VLOOKUP(B23,'Data qoq'!$A:$AT,MATCH($T$1,'Data qoq'!$A$1:$AT$1,),))/100+1)^4)-1</f>
        <v>-1.7433066712138956E-2</v>
      </c>
      <c r="U23" s="32">
        <f>(((VLOOKUP(B23,'Data qoq'!$A:$AT,MATCH($U$1,'Data qoq'!$A$1:$AT$1,),))/100+1)^4)-1</f>
        <v>8.5915104250973595E-2</v>
      </c>
      <c r="V23" s="32">
        <f>(((VLOOKUP(B23,'Data qoq'!$A:$AT,MATCH($V$1,'Data qoq'!$A$1:$AT$1,),))/100+1)^4)-1</f>
        <v>-1.4026161266135206E-2</v>
      </c>
      <c r="W23" s="32">
        <f>(((VLOOKUP(B23,'Data qoq'!$A:$AT,MATCH($W$1,'Data qoq'!$A$1:$AT$1,),))/100+1)^4)-1</f>
        <v>3.3482237437791884E-3</v>
      </c>
      <c r="X23" s="32">
        <f>(((VLOOKUP(B23,'Data qoq'!$A:$AT,MATCH($X$1,'Data qoq'!$A$1:$AT$1,),))/100+1)^4)-1</f>
        <v>4.290062732524369E-2</v>
      </c>
      <c r="Y23" s="32">
        <f>(((VLOOKUP(B23,'Data qoq'!$A:$AT,MATCH($Y$1,'Data qoq'!$A$1:$AT$1,),))/100+1)^4)-1</f>
        <v>1.4053965194409601E-2</v>
      </c>
      <c r="Z23" s="32">
        <f>(((VLOOKUP(B23,'Data qoq'!$A:$AU,MATCH($Z$1,'Data qoq'!$A$1:$AU$1,),))/100+1)^4)-1</f>
        <v>0.15619623685230266</v>
      </c>
      <c r="AA23" s="32">
        <f>(((VLOOKUP(B23,'Data qoq'!$A:$AU,MATCH($AA$1,'Data qoq'!$A$1:$AU$1,),))/100+1)^4)-1</f>
        <v>2.2281648631034878E-2</v>
      </c>
      <c r="AC23" s="26" t="str">
        <f t="shared" si="6"/>
        <v>2003-Q1</v>
      </c>
      <c r="AD23" s="31">
        <f t="shared" si="7"/>
        <v>-3.5381578623558951E-2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3.1838743511931611E-3</v>
      </c>
      <c r="F24" s="32">
        <f>(((VLOOKUP(B24,'Data qoq'!$A:$AT,MATCH($F$1,'Data qoq'!$A$1:$AT$1,),))/100+1)^4)-1</f>
        <v>2.7782379518420219E-2</v>
      </c>
      <c r="G24" s="32">
        <f>(((VLOOKUP(B24,'Data qoq'!$A:$AT,MATCH($G$1,'Data qoq'!$A$1:$AT$1,),))/100+1)^4)-1</f>
        <v>4.726926388360253E-3</v>
      </c>
      <c r="H24" s="32">
        <f>(((VLOOKUP(B24,'Data qoq'!$A:$AT,MATCH($H$1,'Data qoq'!$A$1:$AT$1,),))/100+1)^4)-1</f>
        <v>-9.4042313220987772E-3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-2.3148997013721528E-2</v>
      </c>
      <c r="M24" s="32">
        <f>(((VLOOKUP(B24,'Data qoq'!$A:$AT,MATCH($M$1,'Data qoq'!$A$1:$AT$1,),))/100+1)^4)-1</f>
        <v>9.282842232942734E-3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1.6743245093251646E-2</v>
      </c>
      <c r="R24" s="32">
        <f>(((VLOOKUP(B24,'Data qoq'!$A:$AT,MATCH($R$1,'Data qoq'!$A$1:$AT$1,),))/100+1)^4)-1</f>
        <v>3.2492842253972753E-3</v>
      </c>
      <c r="S24" s="32">
        <f>(((VLOOKUP(B24,'Data qoq'!$A:$AT,MATCH($S$1,'Data qoq'!$A$1:$AT$1,),))/100+1)^4)-1</f>
        <v>-6.1516324120223231E-3</v>
      </c>
      <c r="T24" s="32">
        <f>(((VLOOKUP(B24,'Data qoq'!$A:$AT,MATCH($T$1,'Data qoq'!$A$1:$AT$1,),))/100+1)^4)-1</f>
        <v>-3.4031419185640233E-2</v>
      </c>
      <c r="U24" s="32">
        <f>(((VLOOKUP(B24,'Data qoq'!$A:$AT,MATCH($U$1,'Data qoq'!$A$1:$AT$1,),))/100+1)^4)-1</f>
        <v>7.2751502943865898E-2</v>
      </c>
      <c r="V24" s="32">
        <f>(((VLOOKUP(B24,'Data qoq'!$A:$AT,MATCH($V$1,'Data qoq'!$A$1:$AT$1,),))/100+1)^4)-1</f>
        <v>2.1358758502784347E-2</v>
      </c>
      <c r="W24" s="32">
        <f>(((VLOOKUP(B24,'Data qoq'!$A:$AT,MATCH($W$1,'Data qoq'!$A$1:$AT$1,),))/100+1)^4)-1</f>
        <v>1.3521101086878762E-2</v>
      </c>
      <c r="X24" s="32">
        <f>(((VLOOKUP(B24,'Data qoq'!$A:$AT,MATCH($X$1,'Data qoq'!$A$1:$AT$1,),))/100+1)^4)-1</f>
        <v>4.2744201196727394E-2</v>
      </c>
      <c r="Y24" s="32">
        <f>(((VLOOKUP(B24,'Data qoq'!$A:$AT,MATCH($Y$1,'Data qoq'!$A$1:$AT$1,),))/100+1)^4)-1</f>
        <v>8.6545236665364955E-2</v>
      </c>
      <c r="Z24" s="32">
        <f>(((VLOOKUP(B24,'Data qoq'!$A:$AU,MATCH($Z$1,'Data qoq'!$A$1:$AU$1,),))/100+1)^4)-1</f>
        <v>0.13270851331388633</v>
      </c>
      <c r="AA24" s="32">
        <f>(((VLOOKUP(B24,'Data qoq'!$A:$AU,MATCH($AA$1,'Data qoq'!$A$1:$AU$1,),))/100+1)^4)-1</f>
        <v>1.7600597230400528E-2</v>
      </c>
      <c r="AC24" s="26" t="str">
        <f t="shared" si="6"/>
        <v>2003-Q2</v>
      </c>
      <c r="AD24" s="31">
        <f t="shared" si="7"/>
        <v>-2.769979654159771E-2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2.181994222071193E-2</v>
      </c>
      <c r="F25" s="32">
        <f>(((VLOOKUP(B25,'Data qoq'!$A:$AT,MATCH($F$1,'Data qoq'!$A$1:$AT$1,),))/100+1)^4)-1</f>
        <v>1.1850387140891039E-2</v>
      </c>
      <c r="G25" s="32">
        <f>(((VLOOKUP(B25,'Data qoq'!$A:$AT,MATCH($G$1,'Data qoq'!$A$1:$AT$1,),))/100+1)^4)-1</f>
        <v>3.0988777356257824E-2</v>
      </c>
      <c r="H25" s="32">
        <f>(((VLOOKUP(B25,'Data qoq'!$A:$AT,MATCH($H$1,'Data qoq'!$A$1:$AT$1,),))/100+1)^4)-1</f>
        <v>2.7185621755347888E-2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5.9185137584855108E-2</v>
      </c>
      <c r="M25" s="32">
        <f>(((VLOOKUP(B25,'Data qoq'!$A:$AT,MATCH($M$1,'Data qoq'!$A$1:$AT$1,),))/100+1)^4)-1</f>
        <v>-1.5681802794696997E-3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7.1295042298187949E-2</v>
      </c>
      <c r="R25" s="32">
        <f>(((VLOOKUP(B25,'Data qoq'!$A:$AT,MATCH($R$1,'Data qoq'!$A$1:$AT$1,),))/100+1)^4)-1</f>
        <v>4.0210513413675875E-2</v>
      </c>
      <c r="S25" s="32">
        <f>(((VLOOKUP(B25,'Data qoq'!$A:$AT,MATCH($S$1,'Data qoq'!$A$1:$AT$1,),))/100+1)^4)-1</f>
        <v>7.9576922453624466E-2</v>
      </c>
      <c r="T25" s="32">
        <f>(((VLOOKUP(B25,'Data qoq'!$A:$AT,MATCH($T$1,'Data qoq'!$A$1:$AT$1,),))/100+1)^4)-1</f>
        <v>3.9028738820064968E-2</v>
      </c>
      <c r="U25" s="32">
        <f>(((VLOOKUP(B25,'Data qoq'!$A:$AT,MATCH($U$1,'Data qoq'!$A$1:$AT$1,),))/100+1)^4)-1</f>
        <v>2.5329849950953109E-2</v>
      </c>
      <c r="V25" s="32">
        <f>(((VLOOKUP(B25,'Data qoq'!$A:$AT,MATCH($V$1,'Data qoq'!$A$1:$AT$1,),))/100+1)^4)-1</f>
        <v>3.5455403593892099E-2</v>
      </c>
      <c r="W25" s="32">
        <f>(((VLOOKUP(B25,'Data qoq'!$A:$AT,MATCH($W$1,'Data qoq'!$A$1:$AT$1,),))/100+1)^4)-1</f>
        <v>0.11901951901683305</v>
      </c>
      <c r="X25" s="32">
        <f>(((VLOOKUP(B25,'Data qoq'!$A:$AT,MATCH($X$1,'Data qoq'!$A$1:$AT$1,),))/100+1)^4)-1</f>
        <v>4.3716725061037742E-2</v>
      </c>
      <c r="Y25" s="32">
        <f>(((VLOOKUP(B25,'Data qoq'!$A:$AT,MATCH($Y$1,'Data qoq'!$A$1:$AT$1,),))/100+1)^4)-1</f>
        <v>4.5293529458575899E-2</v>
      </c>
      <c r="Z25" s="32">
        <f>(((VLOOKUP(B25,'Data qoq'!$A:$AU,MATCH($Z$1,'Data qoq'!$A$1:$AU$1,),))/100+1)^4)-1</f>
        <v>0.10138706964490507</v>
      </c>
      <c r="AA25" s="32">
        <f>(((VLOOKUP(B25,'Data qoq'!$A:$AU,MATCH($AA$1,'Data qoq'!$A$1:$AU$1,),))/100+1)^4)-1</f>
        <v>8.6990475911964182E-2</v>
      </c>
      <c r="AC25" s="26" t="str">
        <f t="shared" si="6"/>
        <v>2003-Q3</v>
      </c>
      <c r="AD25" s="31">
        <f t="shared" si="7"/>
        <v>-1.8041866298702303E-2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2.9246228733039947E-2</v>
      </c>
      <c r="F26" s="32">
        <f>(((VLOOKUP(B26,'Data qoq'!$A:$AT,MATCH($F$1,'Data qoq'!$A$1:$AT$1,),))/100+1)^4)-1</f>
        <v>4.4277934897345883E-2</v>
      </c>
      <c r="G26" s="32">
        <f>(((VLOOKUP(B26,'Data qoq'!$A:$AT,MATCH($G$1,'Data qoq'!$A$1:$AT$1,),))/100+1)^4)-1</f>
        <v>1.080117832323424E-2</v>
      </c>
      <c r="H26" s="32">
        <f>(((VLOOKUP(B26,'Data qoq'!$A:$AT,MATCH($H$1,'Data qoq'!$A$1:$AT$1,),))/100+1)^4)-1</f>
        <v>2.7626575584042579E-2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2.547972823400646E-2</v>
      </c>
      <c r="M26" s="32">
        <f>(((VLOOKUP(B26,'Data qoq'!$A:$AT,MATCH($M$1,'Data qoq'!$A$1:$AT$1,),))/100+1)^4)-1</f>
        <v>4.4742124278289497E-2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6.7249954586160232E-2</v>
      </c>
      <c r="R26" s="32">
        <f>(((VLOOKUP(B26,'Data qoq'!$A:$AT,MATCH($R$1,'Data qoq'!$A$1:$AT$1,),))/100+1)^4)-1</f>
        <v>4.9138459544220137E-2</v>
      </c>
      <c r="S26" s="32">
        <f>(((VLOOKUP(B26,'Data qoq'!$A:$AT,MATCH($S$1,'Data qoq'!$A$1:$AT$1,),))/100+1)^4)-1</f>
        <v>0.10983333576093202</v>
      </c>
      <c r="T26" s="32">
        <f>(((VLOOKUP(B26,'Data qoq'!$A:$AT,MATCH($T$1,'Data qoq'!$A$1:$AT$1,),))/100+1)^4)-1</f>
        <v>4.1967597603937756E-2</v>
      </c>
      <c r="U26" s="32">
        <f>(((VLOOKUP(B26,'Data qoq'!$A:$AT,MATCH($U$1,'Data qoq'!$A$1:$AT$1,),))/100+1)^4)-1</f>
        <v>8.8266958977812449E-2</v>
      </c>
      <c r="V26" s="32">
        <f>(((VLOOKUP(B26,'Data qoq'!$A:$AT,MATCH($V$1,'Data qoq'!$A$1:$AT$1,),))/100+1)^4)-1</f>
        <v>0.21666244948467583</v>
      </c>
      <c r="W26" s="32">
        <f>(((VLOOKUP(B26,'Data qoq'!$A:$AT,MATCH($W$1,'Data qoq'!$A$1:$AT$1,),))/100+1)^4)-1</f>
        <v>0.12651502758652944</v>
      </c>
      <c r="X26" s="32">
        <f>(((VLOOKUP(B26,'Data qoq'!$A:$AT,MATCH($X$1,'Data qoq'!$A$1:$AT$1,),))/100+1)^4)-1</f>
        <v>3.2918832289045019E-2</v>
      </c>
      <c r="Y26" s="32">
        <f>(((VLOOKUP(B26,'Data qoq'!$A:$AT,MATCH($Y$1,'Data qoq'!$A$1:$AT$1,),))/100+1)^4)-1</f>
        <v>1.1249589594926501E-2</v>
      </c>
      <c r="Z26" s="32">
        <f>(((VLOOKUP(B26,'Data qoq'!$A:$AU,MATCH($Z$1,'Data qoq'!$A$1:$AU$1,),))/100+1)^4)-1</f>
        <v>7.719925891486823E-2</v>
      </c>
      <c r="AA26" s="32">
        <f>(((VLOOKUP(B26,'Data qoq'!$A:$AU,MATCH($AA$1,'Data qoq'!$A$1:$AU$1,),))/100+1)^4)-1</f>
        <v>5.3205297001882812E-2</v>
      </c>
      <c r="AC26" s="26" t="str">
        <f t="shared" si="6"/>
        <v>2003-Q4</v>
      </c>
      <c r="AD26" s="31">
        <f t="shared" si="7"/>
        <v>-2.7722756168084839E-3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2.0490146555858679E-2</v>
      </c>
      <c r="F27" s="32">
        <f>(((VLOOKUP(B27,'Data qoq'!$A:$AT,MATCH($F$1,'Data qoq'!$A$1:$AT$1,),))/100+1)^4)-1</f>
        <v>2.9695043752549166E-2</v>
      </c>
      <c r="G27" s="32">
        <f>(((VLOOKUP(B27,'Data qoq'!$A:$AT,MATCH($G$1,'Data qoq'!$A$1:$AT$1,),))/100+1)^4)-1</f>
        <v>-6.8620523118830823E-3</v>
      </c>
      <c r="H27" s="32">
        <f>(((VLOOKUP(B27,'Data qoq'!$A:$AT,MATCH($H$1,'Data qoq'!$A$1:$AT$1,),))/100+1)^4)-1</f>
        <v>3.9988443954530384E-2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7.5361259642826139E-2</v>
      </c>
      <c r="M27" s="32">
        <f>(((VLOOKUP(B27,'Data qoq'!$A:$AT,MATCH($M$1,'Data qoq'!$A$1:$AT$1,),))/100+1)^4)-1</f>
        <v>5.7562493334735176E-2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3.1778365385755514E-2</v>
      </c>
      <c r="R27" s="32">
        <f>(((VLOOKUP(B27,'Data qoq'!$A:$AT,MATCH($R$1,'Data qoq'!$A$1:$AT$1,),))/100+1)^4)-1</f>
        <v>2.3063181560450952E-2</v>
      </c>
      <c r="S27" s="32">
        <f>(((VLOOKUP(B27,'Data qoq'!$A:$AT,MATCH($S$1,'Data qoq'!$A$1:$AT$1,),))/100+1)^4)-1</f>
        <v>5.1144666002388206E-2</v>
      </c>
      <c r="T27" s="32">
        <f>(((VLOOKUP(B27,'Data qoq'!$A:$AT,MATCH($T$1,'Data qoq'!$A$1:$AT$1,),))/100+1)^4)-1</f>
        <v>5.7150950203898931E-2</v>
      </c>
      <c r="U27" s="32">
        <f>(((VLOOKUP(B27,'Data qoq'!$A:$AT,MATCH($U$1,'Data qoq'!$A$1:$AT$1,),))/100+1)^4)-1</f>
        <v>7.5173338545995172E-2</v>
      </c>
      <c r="V27" s="32">
        <f>(((VLOOKUP(B27,'Data qoq'!$A:$AT,MATCH($V$1,'Data qoq'!$A$1:$AT$1,),))/100+1)^4)-1</f>
        <v>3.0586831702650308E-4</v>
      </c>
      <c r="W27" s="32">
        <f>(((VLOOKUP(B27,'Data qoq'!$A:$AT,MATCH($W$1,'Data qoq'!$A$1:$AT$1,),))/100+1)^4)-1</f>
        <v>0.11480711696270296</v>
      </c>
      <c r="X27" s="32">
        <f>(((VLOOKUP(B27,'Data qoq'!$A:$AT,MATCH($X$1,'Data qoq'!$A$1:$AT$1,),))/100+1)^4)-1</f>
        <v>4.3315599168184171E-2</v>
      </c>
      <c r="Y27" s="32">
        <f>(((VLOOKUP(B27,'Data qoq'!$A:$AT,MATCH($Y$1,'Data qoq'!$A$1:$AT$1,),))/100+1)^4)-1</f>
        <v>0.12494830715810412</v>
      </c>
      <c r="Z27" s="32">
        <f>(((VLOOKUP(B27,'Data qoq'!$A:$AU,MATCH($Z$1,'Data qoq'!$A$1:$AU$1,),))/100+1)^4)-1</f>
        <v>0.13576075006719668</v>
      </c>
      <c r="AA27" s="32">
        <f>(((VLOOKUP(B27,'Data qoq'!$A:$AU,MATCH($AA$1,'Data qoq'!$A$1:$AU$1,),))/100+1)^4)-1</f>
        <v>7.0008769306229235E-2</v>
      </c>
      <c r="AC27" s="26" t="str">
        <f t="shared" si="6"/>
        <v>2004-Q1</v>
      </c>
      <c r="AD27" s="31">
        <f t="shared" si="7"/>
        <v>2.4930109153078472E-3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2.4859401960078742E-2</v>
      </c>
      <c r="F28" s="32">
        <f>(((VLOOKUP(B28,'Data qoq'!$A:$AT,MATCH($F$1,'Data qoq'!$A$1:$AT$1,),))/100+1)^4)-1</f>
        <v>6.1253909129876938E-4</v>
      </c>
      <c r="G28" s="32">
        <f>(((VLOOKUP(B28,'Data qoq'!$A:$AT,MATCH($G$1,'Data qoq'!$A$1:$AT$1,),))/100+1)^4)-1</f>
        <v>2.0245097384639754E-2</v>
      </c>
      <c r="H28" s="32">
        <f>(((VLOOKUP(B28,'Data qoq'!$A:$AT,MATCH($H$1,'Data qoq'!$A$1:$AT$1,),))/100+1)^4)-1</f>
        <v>2.2861291900111436E-2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1.6609734588237002E-2</v>
      </c>
      <c r="M28" s="32">
        <f>(((VLOOKUP(B28,'Data qoq'!$A:$AT,MATCH($M$1,'Data qoq'!$A$1:$AT$1,),))/100+1)^4)-1</f>
        <v>6.3184253935183898E-2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2.6796622645808732E-2</v>
      </c>
      <c r="R28" s="32">
        <f>(((VLOOKUP(B28,'Data qoq'!$A:$AT,MATCH($R$1,'Data qoq'!$A$1:$AT$1,),))/100+1)^4)-1</f>
        <v>3.0149311262394063E-2</v>
      </c>
      <c r="S28" s="32">
        <f>(((VLOOKUP(B28,'Data qoq'!$A:$AT,MATCH($S$1,'Data qoq'!$A$1:$AT$1,),))/100+1)^4)-1</f>
        <v>3.0891517200644314E-2</v>
      </c>
      <c r="T28" s="32">
        <f>(((VLOOKUP(B28,'Data qoq'!$A:$AT,MATCH($T$1,'Data qoq'!$A$1:$AT$1,),))/100+1)^4)-1</f>
        <v>0.11411397085298902</v>
      </c>
      <c r="U28" s="32">
        <f>(((VLOOKUP(B28,'Data qoq'!$A:$AT,MATCH($U$1,'Data qoq'!$A$1:$AT$1,),))/100+1)^4)-1</f>
        <v>-7.4348014403313734E-4</v>
      </c>
      <c r="V28" s="32">
        <f>(((VLOOKUP(B28,'Data qoq'!$A:$AT,MATCH($V$1,'Data qoq'!$A$1:$AT$1,),))/100+1)^4)-1</f>
        <v>9.3459267855729777E-2</v>
      </c>
      <c r="W28" s="32">
        <f>(((VLOOKUP(B28,'Data qoq'!$A:$AT,MATCH($W$1,'Data qoq'!$A$1:$AT$1,),))/100+1)^4)-1</f>
        <v>9.6435407014235475E-2</v>
      </c>
      <c r="X28" s="32">
        <f>(((VLOOKUP(B28,'Data qoq'!$A:$AT,MATCH($X$1,'Data qoq'!$A$1:$AT$1,),))/100+1)^4)-1</f>
        <v>5.0303275853843532E-2</v>
      </c>
      <c r="Y28" s="32">
        <f>(((VLOOKUP(B28,'Data qoq'!$A:$AT,MATCH($Y$1,'Data qoq'!$A$1:$AT$1,),))/100+1)^4)-1</f>
        <v>3.276898144659679E-2</v>
      </c>
      <c r="Z28" s="32">
        <f>(((VLOOKUP(B28,'Data qoq'!$A:$AU,MATCH($Z$1,'Data qoq'!$A$1:$AU$1,),))/100+1)^4)-1</f>
        <v>-4.3430757050190616E-2</v>
      </c>
      <c r="AA28" s="32">
        <f>(((VLOOKUP(B28,'Data qoq'!$A:$AU,MATCH($AA$1,'Data qoq'!$A$1:$AU$1,),))/100+1)^4)-1</f>
        <v>3.4993617206984684E-2</v>
      </c>
      <c r="AC28" s="26" t="str">
        <f t="shared" si="6"/>
        <v>2004-Q2</v>
      </c>
      <c r="AD28" s="31">
        <f t="shared" si="7"/>
        <v>2.9552907422147889E-3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1.0042197133359299E-2</v>
      </c>
      <c r="F29" s="32">
        <f>(((VLOOKUP(B29,'Data qoq'!$A:$AT,MATCH($F$1,'Data qoq'!$A$1:$AT$1,),))/100+1)^4)-1</f>
        <v>2.4680705820217641E-2</v>
      </c>
      <c r="G29" s="32">
        <f>(((VLOOKUP(B29,'Data qoq'!$A:$AT,MATCH($G$1,'Data qoq'!$A$1:$AT$1,),))/100+1)^4)-1</f>
        <v>-7.4182811748310096E-3</v>
      </c>
      <c r="H29" s="32">
        <f>(((VLOOKUP(B29,'Data qoq'!$A:$AT,MATCH($H$1,'Data qoq'!$A$1:$AT$1,),))/100+1)^4)-1</f>
        <v>1.175289184355921E-2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3.1782605847590739E-2</v>
      </c>
      <c r="M29" s="32">
        <f>(((VLOOKUP(B29,'Data qoq'!$A:$AT,MATCH($M$1,'Data qoq'!$A$1:$AT$1,),))/100+1)^4)-1</f>
        <v>-8.572766262335163E-3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3.1256622095716446E-2</v>
      </c>
      <c r="R29" s="32">
        <f>(((VLOOKUP(B29,'Data qoq'!$A:$AT,MATCH($R$1,'Data qoq'!$A$1:$AT$1,),))/100+1)^4)-1</f>
        <v>1.8415525389785525E-3</v>
      </c>
      <c r="S29" s="32">
        <f>(((VLOOKUP(B29,'Data qoq'!$A:$AT,MATCH($S$1,'Data qoq'!$A$1:$AT$1,),))/100+1)^4)-1</f>
        <v>1.6322412371273076E-2</v>
      </c>
      <c r="T29" s="32">
        <f>(((VLOOKUP(B29,'Data qoq'!$A:$AT,MATCH($T$1,'Data qoq'!$A$1:$AT$1,),))/100+1)^4)-1</f>
        <v>5.1759638886878401E-2</v>
      </c>
      <c r="U29" s="32">
        <f>(((VLOOKUP(B29,'Data qoq'!$A:$AT,MATCH($U$1,'Data qoq'!$A$1:$AT$1,),))/100+1)^4)-1</f>
        <v>5.4456381787802322E-2</v>
      </c>
      <c r="V29" s="32">
        <f>(((VLOOKUP(B29,'Data qoq'!$A:$AT,MATCH($V$1,'Data qoq'!$A$1:$AT$1,),))/100+1)^4)-1</f>
        <v>-1.9184873316268503E-2</v>
      </c>
      <c r="W29" s="32">
        <f>(((VLOOKUP(B29,'Data qoq'!$A:$AT,MATCH($W$1,'Data qoq'!$A$1:$AT$1,),))/100+1)^4)-1</f>
        <v>4.5878040194492486E-2</v>
      </c>
      <c r="X29" s="32">
        <f>(((VLOOKUP(B29,'Data qoq'!$A:$AT,MATCH($X$1,'Data qoq'!$A$1:$AT$1,),))/100+1)^4)-1</f>
        <v>5.9350152947663437E-2</v>
      </c>
      <c r="Y29" s="32">
        <f>(((VLOOKUP(B29,'Data qoq'!$A:$AT,MATCH($Y$1,'Data qoq'!$A$1:$AT$1,),))/100+1)^4)-1</f>
        <v>-1.9994409983653316E-2</v>
      </c>
      <c r="Z29" s="32">
        <f>(((VLOOKUP(B29,'Data qoq'!$A:$AU,MATCH($Z$1,'Data qoq'!$A$1:$AU$1,),))/100+1)^4)-1</f>
        <v>0.21668546838893055</v>
      </c>
      <c r="AA29" s="32">
        <f>(((VLOOKUP(B29,'Data qoq'!$A:$AU,MATCH($AA$1,'Data qoq'!$A$1:$AU$1,),))/100+1)^4)-1</f>
        <v>1.1525182737874617E-2</v>
      </c>
      <c r="AC29" s="26" t="str">
        <f t="shared" si="6"/>
        <v>2004-Q3</v>
      </c>
      <c r="AD29" s="31">
        <f t="shared" si="7"/>
        <v>1.3789113787887608E-4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1.4409211491436258E-2</v>
      </c>
      <c r="F30" s="32">
        <f>(((VLOOKUP(B30,'Data qoq'!$A:$AT,MATCH($F$1,'Data qoq'!$A$1:$AT$1,),))/100+1)^4)-1</f>
        <v>-7.6659892766546278E-3</v>
      </c>
      <c r="G30" s="32">
        <f>(((VLOOKUP(B30,'Data qoq'!$A:$AT,MATCH($G$1,'Data qoq'!$A$1:$AT$1,),))/100+1)^4)-1</f>
        <v>-4.1859783631346126E-3</v>
      </c>
      <c r="H30" s="32">
        <f>(((VLOOKUP(B30,'Data qoq'!$A:$AT,MATCH($H$1,'Data qoq'!$A$1:$AT$1,),))/100+1)^4)-1</f>
        <v>2.99982041151301E-2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3.4088143346853395E-2</v>
      </c>
      <c r="M30" s="32">
        <f>(((VLOOKUP(B30,'Data qoq'!$A:$AT,MATCH($M$1,'Data qoq'!$A$1:$AT$1,),))/100+1)^4)-1</f>
        <v>5.4114877725547572E-2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3.0432131200424317E-2</v>
      </c>
      <c r="R30" s="32">
        <f>(((VLOOKUP(B30,'Data qoq'!$A:$AT,MATCH($R$1,'Data qoq'!$A$1:$AT$1,),))/100+1)^4)-1</f>
        <v>6.8388034633608541E-3</v>
      </c>
      <c r="S30" s="32">
        <f>(((VLOOKUP(B30,'Data qoq'!$A:$AT,MATCH($S$1,'Data qoq'!$A$1:$AT$1,),))/100+1)^4)-1</f>
        <v>3.0663774045021075E-2</v>
      </c>
      <c r="T30" s="32">
        <f>(((VLOOKUP(B30,'Data qoq'!$A:$AT,MATCH($T$1,'Data qoq'!$A$1:$AT$1,),))/100+1)^4)-1</f>
        <v>3.0944710139275022E-2</v>
      </c>
      <c r="U30" s="32">
        <f>(((VLOOKUP(B30,'Data qoq'!$A:$AT,MATCH($U$1,'Data qoq'!$A$1:$AT$1,),))/100+1)^4)-1</f>
        <v>-1.516646224562157E-2</v>
      </c>
      <c r="V30" s="32">
        <f>(((VLOOKUP(B30,'Data qoq'!$A:$AT,MATCH($V$1,'Data qoq'!$A$1:$AT$1,),))/100+1)^4)-1</f>
        <v>9.1567476880073162E-2</v>
      </c>
      <c r="W30" s="32">
        <f>(((VLOOKUP(B30,'Data qoq'!$A:$AT,MATCH($W$1,'Data qoq'!$A$1:$AT$1,),))/100+1)^4)-1</f>
        <v>6.6496014398236936E-2</v>
      </c>
      <c r="X30" s="32">
        <f>(((VLOOKUP(B30,'Data qoq'!$A:$AT,MATCH($X$1,'Data qoq'!$A$1:$AT$1,),))/100+1)^4)-1</f>
        <v>7.6863693174696213E-2</v>
      </c>
      <c r="Y30" s="32">
        <f>(((VLOOKUP(B30,'Data qoq'!$A:$AT,MATCH($Y$1,'Data qoq'!$A$1:$AT$1,),))/100+1)^4)-1</f>
        <v>4.3085731271605088E-2</v>
      </c>
      <c r="Z30" s="32">
        <f>(((VLOOKUP(B30,'Data qoq'!$A:$AU,MATCH($Z$1,'Data qoq'!$A$1:$AU$1,),))/100+1)^4)-1</f>
        <v>5.9007467298169747E-2</v>
      </c>
      <c r="AA30" s="32">
        <f>(((VLOOKUP(B30,'Data qoq'!$A:$AU,MATCH($AA$1,'Data qoq'!$A$1:$AU$1,),))/100+1)^4)-1</f>
        <v>1.4109446540552462E-2</v>
      </c>
      <c r="AC30" s="26" t="str">
        <f t="shared" si="6"/>
        <v>2004-Q4</v>
      </c>
      <c r="AD30" s="31">
        <f t="shared" si="7"/>
        <v>3.8973554108956421E-4</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9.3399760871344384E-3</v>
      </c>
      <c r="F31" s="32">
        <f>(((VLOOKUP(B31,'Data qoq'!$A:$AT,MATCH($F$1,'Data qoq'!$A$1:$AT$1,),))/100+1)^4)-1</f>
        <v>2.0754745789109075E-2</v>
      </c>
      <c r="G31" s="32">
        <f>(((VLOOKUP(B31,'Data qoq'!$A:$AT,MATCH($G$1,'Data qoq'!$A$1:$AT$1,),))/100+1)^4)-1</f>
        <v>1.1557376864845814E-4</v>
      </c>
      <c r="H31" s="32">
        <f>(((VLOOKUP(B31,'Data qoq'!$A:$AT,MATCH($H$1,'Data qoq'!$A$1:$AT$1,),))/100+1)^4)-1</f>
        <v>9.5171142980319257E-3</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1.7423233882411404E-2</v>
      </c>
      <c r="M31" s="32">
        <f>(((VLOOKUP(B31,'Data qoq'!$A:$AT,MATCH($M$1,'Data qoq'!$A$1:$AT$1,),))/100+1)^4)-1</f>
        <v>6.4674723796260825E-3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3.0912507531233979E-2</v>
      </c>
      <c r="R31" s="32">
        <f>(((VLOOKUP(B31,'Data qoq'!$A:$AT,MATCH($R$1,'Data qoq'!$A$1:$AT$1,),))/100+1)^4)-1</f>
        <v>3.1121829292052317E-2</v>
      </c>
      <c r="S31" s="32">
        <f>(((VLOOKUP(B31,'Data qoq'!$A:$AT,MATCH($S$1,'Data qoq'!$A$1:$AT$1,),))/100+1)^4)-1</f>
        <v>3.4473026268850626E-2</v>
      </c>
      <c r="T31" s="32">
        <f>(((VLOOKUP(B31,'Data qoq'!$A:$AT,MATCH($T$1,'Data qoq'!$A$1:$AT$1,),))/100+1)^4)-1</f>
        <v>2.965610807982566E-2</v>
      </c>
      <c r="U31" s="32">
        <f>(((VLOOKUP(B31,'Data qoq'!$A:$AT,MATCH($U$1,'Data qoq'!$A$1:$AT$1,),))/100+1)^4)-1</f>
        <v>-2.3316921439511029E-2</v>
      </c>
      <c r="V31" s="32">
        <f>(((VLOOKUP(B31,'Data qoq'!$A:$AT,MATCH($V$1,'Data qoq'!$A$1:$AT$1,),))/100+1)^4)-1</f>
        <v>8.5311549600468384E-2</v>
      </c>
      <c r="W31" s="32">
        <f>(((VLOOKUP(B31,'Data qoq'!$A:$AT,MATCH($W$1,'Data qoq'!$A$1:$AT$1,),))/100+1)^4)-1</f>
        <v>0.19754544946508767</v>
      </c>
      <c r="X31" s="32">
        <f>(((VLOOKUP(B31,'Data qoq'!$A:$AT,MATCH($X$1,'Data qoq'!$A$1:$AT$1,),))/100+1)^4)-1</f>
        <v>7.0518185738786876E-2</v>
      </c>
      <c r="Y31" s="32">
        <f>(((VLOOKUP(B31,'Data qoq'!$A:$AT,MATCH($Y$1,'Data qoq'!$A$1:$AT$1,),))/100+1)^4)-1</f>
        <v>4.4808571125289909E-2</v>
      </c>
      <c r="Z31" s="32">
        <f>(((VLOOKUP(B31,'Data qoq'!$A:$AU,MATCH($Z$1,'Data qoq'!$A$1:$AU$1,),))/100+1)^4)-1</f>
        <v>0.12080136909962258</v>
      </c>
      <c r="AA31" s="32">
        <f>(((VLOOKUP(B31,'Data qoq'!$A:$AU,MATCH($AA$1,'Data qoq'!$A$1:$AU$1,),))/100+1)^4)-1</f>
        <v>4.7504000904261323E-2</v>
      </c>
      <c r="AC31" s="26" t="str">
        <f t="shared" si="6"/>
        <v>2005-Q1</v>
      </c>
      <c r="AD31" s="31">
        <f t="shared" si="7"/>
        <v>-1.5192803550218903E-2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2.367008778210189E-2</v>
      </c>
      <c r="F32" s="32">
        <f>(((VLOOKUP(B32,'Data qoq'!$A:$AT,MATCH($F$1,'Data qoq'!$A$1:$AT$1,),))/100+1)^4)-1</f>
        <v>3.1522982424654344E-2</v>
      </c>
      <c r="G32" s="32">
        <f>(((VLOOKUP(B32,'Data qoq'!$A:$AT,MATCH($G$1,'Data qoq'!$A$1:$AT$1,),))/100+1)^4)-1</f>
        <v>2.1149607238259316E-2</v>
      </c>
      <c r="H32" s="32">
        <f>(((VLOOKUP(B32,'Data qoq'!$A:$AT,MATCH($H$1,'Data qoq'!$A$1:$AT$1,),))/100+1)^4)-1</f>
        <v>1.1024619990049223E-2</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2.6601446264010731E-2</v>
      </c>
      <c r="M32" s="32">
        <f>(((VLOOKUP(B32,'Data qoq'!$A:$AT,MATCH($M$1,'Data qoq'!$A$1:$AT$1,),))/100+1)^4)-1</f>
        <v>1.1651254978851222E-2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1.7668492207558284E-2</v>
      </c>
      <c r="R32" s="32">
        <f>(((VLOOKUP(B32,'Data qoq'!$A:$AT,MATCH($R$1,'Data qoq'!$A$1:$AT$1,),))/100+1)^4)-1</f>
        <v>4.9132593670753844E-2</v>
      </c>
      <c r="S32" s="32">
        <f>(((VLOOKUP(B32,'Data qoq'!$A:$AT,MATCH($S$1,'Data qoq'!$A$1:$AT$1,),))/100+1)^4)-1</f>
        <v>7.7646124405284622E-2</v>
      </c>
      <c r="T32" s="32">
        <f>(((VLOOKUP(B32,'Data qoq'!$A:$AT,MATCH($T$1,'Data qoq'!$A$1:$AT$1,),))/100+1)^4)-1</f>
        <v>5.5929418205748371E-2</v>
      </c>
      <c r="U32" s="32">
        <f>(((VLOOKUP(B32,'Data qoq'!$A:$AT,MATCH($U$1,'Data qoq'!$A$1:$AT$1,),))/100+1)^4)-1</f>
        <v>9.5465961983169922E-3</v>
      </c>
      <c r="V32" s="32">
        <f>(((VLOOKUP(B32,'Data qoq'!$A:$AT,MATCH($V$1,'Data qoq'!$A$1:$AT$1,),))/100+1)^4)-1</f>
        <v>7.8408148609675488E-2</v>
      </c>
      <c r="W32" s="32">
        <f>(((VLOOKUP(B32,'Data qoq'!$A:$AT,MATCH($W$1,'Data qoq'!$A$1:$AT$1,),))/100+1)^4)-1</f>
        <v>1.6993611478246962E-2</v>
      </c>
      <c r="X32" s="32">
        <f>(((VLOOKUP(B32,'Data qoq'!$A:$AT,MATCH($X$1,'Data qoq'!$A$1:$AT$1,),))/100+1)^4)-1</f>
        <v>6.2504415582531836E-2</v>
      </c>
      <c r="Y32" s="32">
        <f>(((VLOOKUP(B32,'Data qoq'!$A:$AT,MATCH($Y$1,'Data qoq'!$A$1:$AT$1,),))/100+1)^4)-1</f>
        <v>5.907202933351785E-3</v>
      </c>
      <c r="Z32" s="32">
        <f>(((VLOOKUP(B32,'Data qoq'!$A:$AU,MATCH($Z$1,'Data qoq'!$A$1:$AU$1,),))/100+1)^4)-1</f>
        <v>8.6217964405387981E-2</v>
      </c>
      <c r="AA32" s="32">
        <f>(((VLOOKUP(B32,'Data qoq'!$A:$AU,MATCH($AA$1,'Data qoq'!$A$1:$AU$1,),))/100+1)^4)-1</f>
        <v>6.5478569867663872E-2</v>
      </c>
      <c r="AC32" s="26" t="str">
        <f t="shared" si="6"/>
        <v>2005-Q2</v>
      </c>
      <c r="AD32" s="31">
        <f t="shared" si="7"/>
        <v>-1.5423027066688633E-2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3.04616300731817E-2</v>
      </c>
      <c r="F33" s="32">
        <f>(((VLOOKUP(B33,'Data qoq'!$A:$AT,MATCH($F$1,'Data qoq'!$A$1:$AT$1,),))/100+1)^4)-1</f>
        <v>4.1126039211191845E-2</v>
      </c>
      <c r="G33" s="32">
        <f>(((VLOOKUP(B33,'Data qoq'!$A:$AT,MATCH($G$1,'Data qoq'!$A$1:$AT$1,),))/100+1)^4)-1</f>
        <v>3.477130386430427E-2</v>
      </c>
      <c r="H33" s="32">
        <f>(((VLOOKUP(B33,'Data qoq'!$A:$AT,MATCH($H$1,'Data qoq'!$A$1:$AT$1,),))/100+1)^4)-1</f>
        <v>2.147187399694217E-2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4.8712911970711037E-2</v>
      </c>
      <c r="M33" s="32">
        <f>(((VLOOKUP(B33,'Data qoq'!$A:$AT,MATCH($M$1,'Data qoq'!$A$1:$AT$1,),))/100+1)^4)-1</f>
        <v>3.4072433901466415E-2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4.5762921978560467E-2</v>
      </c>
      <c r="R33" s="32">
        <f>(((VLOOKUP(B33,'Data qoq'!$A:$AT,MATCH($R$1,'Data qoq'!$A$1:$AT$1,),))/100+1)^4)-1</f>
        <v>4.6191214936728731E-2</v>
      </c>
      <c r="S33" s="32">
        <f>(((VLOOKUP(B33,'Data qoq'!$A:$AT,MATCH($S$1,'Data qoq'!$A$1:$AT$1,),))/100+1)^4)-1</f>
        <v>6.1586544215050276E-2</v>
      </c>
      <c r="T33" s="32">
        <f>(((VLOOKUP(B33,'Data qoq'!$A:$AT,MATCH($T$1,'Data qoq'!$A$1:$AT$1,),))/100+1)^4)-1</f>
        <v>-2.9258357686794523E-2</v>
      </c>
      <c r="U33" s="32">
        <f>(((VLOOKUP(B33,'Data qoq'!$A:$AT,MATCH($U$1,'Data qoq'!$A$1:$AT$1,),))/100+1)^4)-1</f>
        <v>5.6805192883349731E-2</v>
      </c>
      <c r="V33" s="32">
        <f>(((VLOOKUP(B33,'Data qoq'!$A:$AT,MATCH($V$1,'Data qoq'!$A$1:$AT$1,),))/100+1)^4)-1</f>
        <v>-3.6156710736123143E-2</v>
      </c>
      <c r="W33" s="32">
        <f>(((VLOOKUP(B33,'Data qoq'!$A:$AT,MATCH($W$1,'Data qoq'!$A$1:$AT$1,),))/100+1)^4)-1</f>
        <v>5.7686347828877826E-2</v>
      </c>
      <c r="X33" s="32">
        <f>(((VLOOKUP(B33,'Data qoq'!$A:$AT,MATCH($X$1,'Data qoq'!$A$1:$AT$1,),))/100+1)^4)-1</f>
        <v>6.1085261783183187E-2</v>
      </c>
      <c r="Y33" s="32">
        <f>(((VLOOKUP(B33,'Data qoq'!$A:$AT,MATCH($Y$1,'Data qoq'!$A$1:$AT$1,),))/100+1)^4)-1</f>
        <v>7.9573975679638753E-2</v>
      </c>
      <c r="Z33" s="32">
        <f>(((VLOOKUP(B33,'Data qoq'!$A:$AU,MATCH($Z$1,'Data qoq'!$A$1:$AU$1,),))/100+1)^4)-1</f>
        <v>2.9764389130350066E-2</v>
      </c>
      <c r="AA33" s="32">
        <f>(((VLOOKUP(B33,'Data qoq'!$A:$AU,MATCH($AA$1,'Data qoq'!$A$1:$AU$1,),))/100+1)^4)-1</f>
        <v>1.9644277978358105E-2</v>
      </c>
      <c r="AC33" s="26" t="str">
        <f t="shared" si="6"/>
        <v>2005-Q3</v>
      </c>
      <c r="AD33" s="31">
        <f t="shared" si="7"/>
        <v>-5.2916910803868511E-3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2.5282670110803984E-2</v>
      </c>
      <c r="F34" s="32">
        <f>(((VLOOKUP(B34,'Data qoq'!$A:$AT,MATCH($F$1,'Data qoq'!$A$1:$AT$1,),))/100+1)^4)-1</f>
        <v>7.0835213706030853E-3</v>
      </c>
      <c r="G34" s="32">
        <f>(((VLOOKUP(B34,'Data qoq'!$A:$AT,MATCH($G$1,'Data qoq'!$A$1:$AT$1,),))/100+1)^4)-1</f>
        <v>1.8990878895981833E-2</v>
      </c>
      <c r="H34" s="32">
        <f>(((VLOOKUP(B34,'Data qoq'!$A:$AT,MATCH($H$1,'Data qoq'!$A$1:$AT$1,),))/100+1)^4)-1</f>
        <v>2.7272554001453342E-2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2.747357052408872E-2</v>
      </c>
      <c r="M34" s="32">
        <f>(((VLOOKUP(B34,'Data qoq'!$A:$AT,MATCH($M$1,'Data qoq'!$A$1:$AT$1,),))/100+1)^4)-1</f>
        <v>6.850226302814777E-2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3.0866727083467937E-2</v>
      </c>
      <c r="R34" s="32">
        <f>(((VLOOKUP(B34,'Data qoq'!$A:$AT,MATCH($R$1,'Data qoq'!$A$1:$AT$1,),))/100+1)^4)-1</f>
        <v>3.8443188382101257E-2</v>
      </c>
      <c r="S34" s="32">
        <f>(((VLOOKUP(B34,'Data qoq'!$A:$AT,MATCH($S$1,'Data qoq'!$A$1:$AT$1,),))/100+1)^4)-1</f>
        <v>4.1117799416078959E-2</v>
      </c>
      <c r="T34" s="32">
        <f>(((VLOOKUP(B34,'Data qoq'!$A:$AT,MATCH($T$1,'Data qoq'!$A$1:$AT$1,),))/100+1)^4)-1</f>
        <v>5.007315262838774E-2</v>
      </c>
      <c r="U34" s="32">
        <f>(((VLOOKUP(B34,'Data qoq'!$A:$AT,MATCH($U$1,'Data qoq'!$A$1:$AT$1,),))/100+1)^4)-1</f>
        <v>2.0191734251196136E-2</v>
      </c>
      <c r="V34" s="32">
        <f>(((VLOOKUP(B34,'Data qoq'!$A:$AT,MATCH($V$1,'Data qoq'!$A$1:$AT$1,),))/100+1)^4)-1</f>
        <v>0.12744074746774126</v>
      </c>
      <c r="W34" s="32">
        <f>(((VLOOKUP(B34,'Data qoq'!$A:$AT,MATCH($W$1,'Data qoq'!$A$1:$AT$1,),))/100+1)^4)-1</f>
        <v>0.13897897254800995</v>
      </c>
      <c r="X34" s="32">
        <f>(((VLOOKUP(B34,'Data qoq'!$A:$AT,MATCH($X$1,'Data qoq'!$A$1:$AT$1,),))/100+1)^4)-1</f>
        <v>7.6049896834123443E-2</v>
      </c>
      <c r="Y34" s="32">
        <f>(((VLOOKUP(B34,'Data qoq'!$A:$AT,MATCH($Y$1,'Data qoq'!$A$1:$AT$1,),))/100+1)^4)-1</f>
        <v>7.5631653853676983E-2</v>
      </c>
      <c r="Z34" s="32">
        <f>(((VLOOKUP(B34,'Data qoq'!$A:$AU,MATCH($Z$1,'Data qoq'!$A$1:$AU$1,),))/100+1)^4)-1</f>
        <v>8.0496710199285948E-2</v>
      </c>
      <c r="AA34" s="32">
        <f>(((VLOOKUP(B34,'Data qoq'!$A:$AU,MATCH($AA$1,'Data qoq'!$A$1:$AU$1,),))/100+1)^4)-1</f>
        <v>-1.6031739588896476E-2</v>
      </c>
      <c r="AC34" s="26" t="str">
        <f t="shared" si="6"/>
        <v>2005-Q4</v>
      </c>
      <c r="AD34" s="31">
        <f t="shared" si="7"/>
        <v>-1.9120324552513335E-2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3.5805276115162377E-2</v>
      </c>
      <c r="F35" s="32">
        <f>(((VLOOKUP(B35,'Data qoq'!$A:$AT,MATCH($F$1,'Data qoq'!$A$1:$AT$1,),))/100+1)^4)-1</f>
        <v>6.3680541190380691E-3</v>
      </c>
      <c r="G35" s="32">
        <f>(((VLOOKUP(B35,'Data qoq'!$A:$AT,MATCH($G$1,'Data qoq'!$A$1:$AT$1,),))/100+1)^4)-1</f>
        <v>3.9246409061111764E-2</v>
      </c>
      <c r="H35" s="32">
        <f>(((VLOOKUP(B35,'Data qoq'!$A:$AT,MATCH($H$1,'Data qoq'!$A$1:$AT$1,),))/100+1)^4)-1</f>
        <v>3.1933162280705529E-2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6.3207440919449409E-2</v>
      </c>
      <c r="M35" s="32">
        <f>(((VLOOKUP(B35,'Data qoq'!$A:$AT,MATCH($M$1,'Data qoq'!$A$1:$AT$1,),))/100+1)^4)-1</f>
        <v>7.2113340084550837E-2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4.5035062295641914E-3</v>
      </c>
      <c r="R35" s="32">
        <f>(((VLOOKUP(B35,'Data qoq'!$A:$AT,MATCH($R$1,'Data qoq'!$A$1:$AT$1,),))/100+1)^4)-1</f>
        <v>4.543706444775486E-2</v>
      </c>
      <c r="S35" s="32">
        <f>(((VLOOKUP(B35,'Data qoq'!$A:$AT,MATCH($S$1,'Data qoq'!$A$1:$AT$1,),))/100+1)^4)-1</f>
        <v>6.7194395995877398E-2</v>
      </c>
      <c r="T35" s="32">
        <f>(((VLOOKUP(B35,'Data qoq'!$A:$AT,MATCH($T$1,'Data qoq'!$A$1:$AT$1,),))/100+1)^4)-1</f>
        <v>7.112498752735319E-2</v>
      </c>
      <c r="U35" s="32">
        <f>(((VLOOKUP(B35,'Data qoq'!$A:$AT,MATCH($U$1,'Data qoq'!$A$1:$AT$1,),))/100+1)^4)-1</f>
        <v>0.1368379209151287</v>
      </c>
      <c r="V35" s="32">
        <f>(((VLOOKUP(B35,'Data qoq'!$A:$AT,MATCH($V$1,'Data qoq'!$A$1:$AT$1,),))/100+1)^4)-1</f>
        <v>7.7377247900500157E-2</v>
      </c>
      <c r="W35" s="32">
        <f>(((VLOOKUP(B35,'Data qoq'!$A:$AT,MATCH($W$1,'Data qoq'!$A$1:$AT$1,),))/100+1)^4)-1</f>
        <v>4.6598152710893848E-2</v>
      </c>
      <c r="X35" s="32">
        <f>(((VLOOKUP(B35,'Data qoq'!$A:$AT,MATCH($X$1,'Data qoq'!$A$1:$AT$1,),))/100+1)^4)-1</f>
        <v>7.5644197932791313E-2</v>
      </c>
      <c r="Y35" s="32">
        <f>(((VLOOKUP(B35,'Data qoq'!$A:$AT,MATCH($Y$1,'Data qoq'!$A$1:$AT$1,),))/100+1)^4)-1</f>
        <v>6.1501765228616057E-2</v>
      </c>
      <c r="Z35" s="32">
        <f>(((VLOOKUP(B35,'Data qoq'!$A:$AU,MATCH($Z$1,'Data qoq'!$A$1:$AU$1,),))/100+1)^4)-1</f>
        <v>0.10737285572373767</v>
      </c>
      <c r="AA35" s="32">
        <f>(((VLOOKUP(B35,'Data qoq'!$A:$AU,MATCH($AA$1,'Data qoq'!$A$1:$AU$1,),))/100+1)^4)-1</f>
        <v>6.7458859945483285E-2</v>
      </c>
      <c r="AC35" s="26" t="str">
        <f t="shared" si="6"/>
        <v>2006-Q1</v>
      </c>
      <c r="AD35" s="31">
        <f t="shared" si="7"/>
        <v>1.4437669889789673E-2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4.4863946263438148E-2</v>
      </c>
      <c r="F36" s="32">
        <f>(((VLOOKUP(B36,'Data qoq'!$A:$AT,MATCH($F$1,'Data qoq'!$A$1:$AT$1,),))/100+1)^4)-1</f>
        <v>6.2134158006659224E-3</v>
      </c>
      <c r="G36" s="32">
        <f>(((VLOOKUP(B36,'Data qoq'!$A:$AT,MATCH($G$1,'Data qoq'!$A$1:$AT$1,),))/100+1)^4)-1</f>
        <v>7.0712009757274874E-2</v>
      </c>
      <c r="H36" s="32">
        <f>(((VLOOKUP(B36,'Data qoq'!$A:$AT,MATCH($H$1,'Data qoq'!$A$1:$AT$1,),))/100+1)^4)-1</f>
        <v>4.1829814448757219E-2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6.7677694220700912E-2</v>
      </c>
      <c r="M36" s="32">
        <f>(((VLOOKUP(B36,'Data qoq'!$A:$AT,MATCH($M$1,'Data qoq'!$A$1:$AT$1,),))/100+1)^4)-1</f>
        <v>3.9556589759199623E-2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8.2319619277038125E-3</v>
      </c>
      <c r="R36" s="32">
        <f>(((VLOOKUP(B36,'Data qoq'!$A:$AT,MATCH($R$1,'Data qoq'!$A$1:$AT$1,),))/100+1)^4)-1</f>
        <v>3.4334593880251729E-2</v>
      </c>
      <c r="S36" s="32">
        <f>(((VLOOKUP(B36,'Data qoq'!$A:$AT,MATCH($S$1,'Data qoq'!$A$1:$AT$1,),))/100+1)^4)-1</f>
        <v>2.9545911484218479E-2</v>
      </c>
      <c r="T36" s="32">
        <f>(((VLOOKUP(B36,'Data qoq'!$A:$AT,MATCH($T$1,'Data qoq'!$A$1:$AT$1,),))/100+1)^4)-1</f>
        <v>9.6207105245165181E-3</v>
      </c>
      <c r="U36" s="32">
        <f>(((VLOOKUP(B36,'Data qoq'!$A:$AT,MATCH($U$1,'Data qoq'!$A$1:$AT$1,),))/100+1)^4)-1</f>
        <v>1.2338704333578976E-2</v>
      </c>
      <c r="V36" s="32">
        <f>(((VLOOKUP(B36,'Data qoq'!$A:$AT,MATCH($V$1,'Data qoq'!$A$1:$AT$1,),))/100+1)^4)-1</f>
        <v>8.9892117423486795E-3</v>
      </c>
      <c r="W36" s="32">
        <f>(((VLOOKUP(B36,'Data qoq'!$A:$AT,MATCH($W$1,'Data qoq'!$A$1:$AT$1,),))/100+1)^4)-1</f>
        <v>0.1275261189976824</v>
      </c>
      <c r="X36" s="32">
        <f>(((VLOOKUP(B36,'Data qoq'!$A:$AT,MATCH($X$1,'Data qoq'!$A$1:$AT$1,),))/100+1)^4)-1</f>
        <v>8.0081701127330929E-2</v>
      </c>
      <c r="Y36" s="32">
        <f>(((VLOOKUP(B36,'Data qoq'!$A:$AT,MATCH($Y$1,'Data qoq'!$A$1:$AT$1,),))/100+1)^4)-1</f>
        <v>9.5213013314058736E-2</v>
      </c>
      <c r="Z36" s="32">
        <f>(((VLOOKUP(B36,'Data qoq'!$A:$AU,MATCH($Z$1,'Data qoq'!$A$1:$AU$1,),))/100+1)^4)-1</f>
        <v>5.004176590370113E-2</v>
      </c>
      <c r="AA36" s="32">
        <f>(((VLOOKUP(B36,'Data qoq'!$A:$AU,MATCH($AA$1,'Data qoq'!$A$1:$AU$1,),))/100+1)^4)-1</f>
        <v>1.835758914994523E-2</v>
      </c>
      <c r="AC36" s="26" t="str">
        <f t="shared" si="6"/>
        <v>2006-Q2</v>
      </c>
      <c r="AD36" s="31">
        <f t="shared" si="7"/>
        <v>3.095271963824886E-2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2.3803698049599031E-2</v>
      </c>
      <c r="F37" s="32">
        <f>(((VLOOKUP(B37,'Data qoq'!$A:$AT,MATCH($F$1,'Data qoq'!$A$1:$AT$1,),))/100+1)^4)-1</f>
        <v>-8.1771480608577862E-3</v>
      </c>
      <c r="G37" s="32">
        <f>(((VLOOKUP(B37,'Data qoq'!$A:$AT,MATCH($G$1,'Data qoq'!$A$1:$AT$1,),))/100+1)^4)-1</f>
        <v>3.1108691907771213E-2</v>
      </c>
      <c r="H37" s="32">
        <f>(((VLOOKUP(B37,'Data qoq'!$A:$AT,MATCH($H$1,'Data qoq'!$A$1:$AT$1,),))/100+1)^4)-1</f>
        <v>2.283000295008053E-3</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4.7705910736288049E-2</v>
      </c>
      <c r="M37" s="32">
        <f>(((VLOOKUP(B37,'Data qoq'!$A:$AT,MATCH($M$1,'Data qoq'!$A$1:$AT$1,),))/100+1)^4)-1</f>
        <v>1.1193933729889194E-2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6.1175512628284023E-2</v>
      </c>
      <c r="R37" s="32">
        <f>(((VLOOKUP(B37,'Data qoq'!$A:$AT,MATCH($R$1,'Data qoq'!$A$1:$AT$1,),))/100+1)^4)-1</f>
        <v>3.4146136183102582E-2</v>
      </c>
      <c r="S37" s="32">
        <f>(((VLOOKUP(B37,'Data qoq'!$A:$AT,MATCH($S$1,'Data qoq'!$A$1:$AT$1,),))/100+1)^4)-1</f>
        <v>6.613799268876619E-2</v>
      </c>
      <c r="T37" s="32">
        <f>(((VLOOKUP(B37,'Data qoq'!$A:$AT,MATCH($T$1,'Data qoq'!$A$1:$AT$1,),))/100+1)^4)-1</f>
        <v>6.6245937121518716E-2</v>
      </c>
      <c r="U37" s="32">
        <f>(((VLOOKUP(B37,'Data qoq'!$A:$AT,MATCH($U$1,'Data qoq'!$A$1:$AT$1,),))/100+1)^4)-1</f>
        <v>1.9234763142594646E-2</v>
      </c>
      <c r="V37" s="32">
        <f>(((VLOOKUP(B37,'Data qoq'!$A:$AT,MATCH($V$1,'Data qoq'!$A$1:$AT$1,),))/100+1)^4)-1</f>
        <v>5.0605618487558734E-2</v>
      </c>
      <c r="W37" s="32">
        <f>(((VLOOKUP(B37,'Data qoq'!$A:$AT,MATCH($W$1,'Data qoq'!$A$1:$AT$1,),))/100+1)^4)-1</f>
        <v>-2.9800507487606209E-2</v>
      </c>
      <c r="X37" s="32">
        <f>(((VLOOKUP(B37,'Data qoq'!$A:$AT,MATCH($X$1,'Data qoq'!$A$1:$AT$1,),))/100+1)^4)-1</f>
        <v>4.9361851296258363E-2</v>
      </c>
      <c r="Y37" s="32">
        <f>(((VLOOKUP(B37,'Data qoq'!$A:$AT,MATCH($Y$1,'Data qoq'!$A$1:$AT$1,),))/100+1)^4)-1</f>
        <v>6.7694902851994199E-2</v>
      </c>
      <c r="Z37" s="32">
        <f>(((VLOOKUP(B37,'Data qoq'!$A:$AU,MATCH($Z$1,'Data qoq'!$A$1:$AU$1,),))/100+1)^4)-1</f>
        <v>0.11784167883682728</v>
      </c>
      <c r="AA37" s="32">
        <f>(((VLOOKUP(B37,'Data qoq'!$A:$AU,MATCH($AA$1,'Data qoq'!$A$1:$AU$1,),))/100+1)^4)-1</f>
        <v>2.5860365850857603E-2</v>
      </c>
      <c r="AC37" s="26" t="str">
        <f t="shared" si="6"/>
        <v>2006-Q3</v>
      </c>
      <c r="AD37" s="31">
        <f t="shared" si="7"/>
        <v>1.4469349169855539E-2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4.7261159124255991E-2</v>
      </c>
      <c r="F38" s="32">
        <f>(((VLOOKUP(B38,'Data qoq'!$A:$AT,MATCH($F$1,'Data qoq'!$A$1:$AT$1,),))/100+1)^4)-1</f>
        <v>5.5145302056028633E-2</v>
      </c>
      <c r="G38" s="32">
        <f>(((VLOOKUP(B38,'Data qoq'!$A:$AT,MATCH($G$1,'Data qoq'!$A$1:$AT$1,),))/100+1)^4)-1</f>
        <v>6.1983238648990691E-2</v>
      </c>
      <c r="H38" s="32">
        <f>(((VLOOKUP(B38,'Data qoq'!$A:$AT,MATCH($H$1,'Data qoq'!$A$1:$AT$1,),))/100+1)^4)-1</f>
        <v>2.9894596945238217E-2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2.6514842981554265E-2</v>
      </c>
      <c r="M38" s="32">
        <f>(((VLOOKUP(B38,'Data qoq'!$A:$AT,MATCH($M$1,'Data qoq'!$A$1:$AT$1,),))/100+1)^4)-1</f>
        <v>9.9556033815526579E-3</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5.2418672694207524E-2</v>
      </c>
      <c r="R38" s="32">
        <f>(((VLOOKUP(B38,'Data qoq'!$A:$AT,MATCH($R$1,'Data qoq'!$A$1:$AT$1,),))/100+1)^4)-1</f>
        <v>5.3153778373753013E-2</v>
      </c>
      <c r="S38" s="32">
        <f>(((VLOOKUP(B38,'Data qoq'!$A:$AT,MATCH($S$1,'Data qoq'!$A$1:$AT$1,),))/100+1)^4)-1</f>
        <v>3.1540640786499319E-2</v>
      </c>
      <c r="T38" s="32">
        <f>(((VLOOKUP(B38,'Data qoq'!$A:$AT,MATCH($T$1,'Data qoq'!$A$1:$AT$1,),))/100+1)^4)-1</f>
        <v>4.822554049717076E-2</v>
      </c>
      <c r="U38" s="32">
        <f>(((VLOOKUP(B38,'Data qoq'!$A:$AT,MATCH($U$1,'Data qoq'!$A$1:$AT$1,),))/100+1)^4)-1</f>
        <v>0.10566373897334769</v>
      </c>
      <c r="V38" s="32">
        <f>(((VLOOKUP(B38,'Data qoq'!$A:$AT,MATCH($V$1,'Data qoq'!$A$1:$AT$1,),))/100+1)^4)-1</f>
        <v>7.1968359789149616E-3</v>
      </c>
      <c r="W38" s="32">
        <f>(((VLOOKUP(B38,'Data qoq'!$A:$AT,MATCH($W$1,'Data qoq'!$A$1:$AT$1,),))/100+1)^4)-1</f>
        <v>9.3455946723747685E-2</v>
      </c>
      <c r="X38" s="32">
        <f>(((VLOOKUP(B38,'Data qoq'!$A:$AT,MATCH($X$1,'Data qoq'!$A$1:$AT$1,),))/100+1)^4)-1</f>
        <v>5.5064149360519288E-2</v>
      </c>
      <c r="Y38" s="32">
        <f>(((VLOOKUP(B38,'Data qoq'!$A:$AT,MATCH($Y$1,'Data qoq'!$A$1:$AT$1,),))/100+1)^4)-1</f>
        <v>-5.8611569936256713E-2</v>
      </c>
      <c r="Z38" s="32">
        <f>(((VLOOKUP(B38,'Data qoq'!$A:$AU,MATCH($Z$1,'Data qoq'!$A$1:$AU$1,),))/100+1)^4)-1</f>
        <v>8.8928532510981206E-2</v>
      </c>
      <c r="AA38" s="32">
        <f>(((VLOOKUP(B38,'Data qoq'!$A:$AU,MATCH($AA$1,'Data qoq'!$A$1:$AU$1,),))/100+1)^4)-1</f>
        <v>3.5780540840428587E-2</v>
      </c>
      <c r="AC38" s="26" t="str">
        <f t="shared" si="6"/>
        <v>2006-Q4</v>
      </c>
      <c r="AD38" s="31">
        <f t="shared" si="7"/>
        <v>2.1495132818130092E-2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2.5435106452743828E-2</v>
      </c>
      <c r="F39" s="32">
        <f>(((VLOOKUP(B39,'Data qoq'!$A:$AT,MATCH($F$1,'Data qoq'!$A$1:$AT$1,),))/100+1)^4)-1</f>
        <v>2.7140687772795324E-2</v>
      </c>
      <c r="G39" s="32">
        <f>(((VLOOKUP(B39,'Data qoq'!$A:$AT,MATCH($G$1,'Data qoq'!$A$1:$AT$1,),))/100+1)^4)-1</f>
        <v>3.056690524514627E-3</v>
      </c>
      <c r="H39" s="32">
        <f>(((VLOOKUP(B39,'Data qoq'!$A:$AT,MATCH($H$1,'Data qoq'!$A$1:$AT$1,),))/100+1)^4)-1</f>
        <v>3.0173068265679781E-2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3.9347834377680746E-2</v>
      </c>
      <c r="M39" s="32">
        <f>(((VLOOKUP(B39,'Data qoq'!$A:$AT,MATCH($M$1,'Data qoq'!$A$1:$AT$1,),))/100+1)^4)-1</f>
        <v>2.8256644667376651E-2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5.718685289785097E-2</v>
      </c>
      <c r="R39" s="32">
        <f>(((VLOOKUP(B39,'Data qoq'!$A:$AT,MATCH($R$1,'Data qoq'!$A$1:$AT$1,),))/100+1)^4)-1</f>
        <v>2.3107905560918907E-2</v>
      </c>
      <c r="S39" s="32">
        <f>(((VLOOKUP(B39,'Data qoq'!$A:$AT,MATCH($S$1,'Data qoq'!$A$1:$AT$1,),))/100+1)^4)-1</f>
        <v>6.8662041058624279E-2</v>
      </c>
      <c r="T39" s="32">
        <f>(((VLOOKUP(B39,'Data qoq'!$A:$AT,MATCH($T$1,'Data qoq'!$A$1:$AT$1,),))/100+1)^4)-1</f>
        <v>8.3048946221738751E-2</v>
      </c>
      <c r="U39" s="32">
        <f>(((VLOOKUP(B39,'Data qoq'!$A:$AT,MATCH($U$1,'Data qoq'!$A$1:$AT$1,),))/100+1)^4)-1</f>
        <v>-3.1043355594225108E-2</v>
      </c>
      <c r="V39" s="32">
        <f>(((VLOOKUP(B39,'Data qoq'!$A:$AT,MATCH($V$1,'Data qoq'!$A$1:$AT$1,),))/100+1)^4)-1</f>
        <v>0.26230714707333891</v>
      </c>
      <c r="W39" s="32">
        <f>(((VLOOKUP(B39,'Data qoq'!$A:$AT,MATCH($W$1,'Data qoq'!$A$1:$AT$1,),))/100+1)^4)-1</f>
        <v>7.4941738531141278E-2</v>
      </c>
      <c r="X39" s="32">
        <f>(((VLOOKUP(B39,'Data qoq'!$A:$AT,MATCH($X$1,'Data qoq'!$A$1:$AT$1,),))/100+1)^4)-1</f>
        <v>7.0221802107105491E-2</v>
      </c>
      <c r="Y39" s="32">
        <f>(((VLOOKUP(B39,'Data qoq'!$A:$AT,MATCH($Y$1,'Data qoq'!$A$1:$AT$1,),))/100+1)^4)-1</f>
        <v>0.19663123229630486</v>
      </c>
      <c r="Z39" s="32">
        <f>(((VLOOKUP(B39,'Data qoq'!$A:$AU,MATCH($Z$1,'Data qoq'!$A$1:$AU$1,),))/100+1)^4)-1</f>
        <v>9.4736208012056622E-2</v>
      </c>
      <c r="AA39" s="32">
        <f>(((VLOOKUP(B39,'Data qoq'!$A:$AU,MATCH($AA$1,'Data qoq'!$A$1:$AU$1,),))/100+1)^4)-1</f>
        <v>5.0117528749106688E-2</v>
      </c>
      <c r="AC39" s="26" t="str">
        <f t="shared" si="6"/>
        <v>2007-Q1</v>
      </c>
      <c r="AD39" s="31">
        <f t="shared" si="7"/>
        <v>-6.2848885861266357E-3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2.8096020088604678E-2</v>
      </c>
      <c r="F40" s="32">
        <f>(((VLOOKUP(B40,'Data qoq'!$A:$AT,MATCH($F$1,'Data qoq'!$A$1:$AT$1,),))/100+1)^4)-1</f>
        <v>1.1349141317615885E-3</v>
      </c>
      <c r="G40" s="32">
        <f>(((VLOOKUP(B40,'Data qoq'!$A:$AT,MATCH($G$1,'Data qoq'!$A$1:$AT$1,),))/100+1)^4)-1</f>
        <v>3.3945860871504197E-2</v>
      </c>
      <c r="H40" s="32">
        <f>(((VLOOKUP(B40,'Data qoq'!$A:$AT,MATCH($H$1,'Data qoq'!$A$1:$AT$1,),))/100+1)^4)-1</f>
        <v>2.6315557434204884E-2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2.0978779354357879E-2</v>
      </c>
      <c r="M40" s="32">
        <f>(((VLOOKUP(B40,'Data qoq'!$A:$AT,MATCH($M$1,'Data qoq'!$A$1:$AT$1,),))/100+1)^4)-1</f>
        <v>3.140314190430904E-2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2.5023986717031432E-2</v>
      </c>
      <c r="R40" s="32">
        <f>(((VLOOKUP(B40,'Data qoq'!$A:$AT,MATCH($R$1,'Data qoq'!$A$1:$AT$1,),))/100+1)^4)-1</f>
        <v>5.897568532967945E-2</v>
      </c>
      <c r="S40" s="32">
        <f>(((VLOOKUP(B40,'Data qoq'!$A:$AT,MATCH($S$1,'Data qoq'!$A$1:$AT$1,),))/100+1)^4)-1</f>
        <v>7.1028789100476386E-2</v>
      </c>
      <c r="T40" s="32">
        <f>(((VLOOKUP(B40,'Data qoq'!$A:$AT,MATCH($T$1,'Data qoq'!$A$1:$AT$1,),))/100+1)^4)-1</f>
        <v>6.3597849145456742E-2</v>
      </c>
      <c r="U40" s="32">
        <f>(((VLOOKUP(B40,'Data qoq'!$A:$AT,MATCH($U$1,'Data qoq'!$A$1:$AT$1,),))/100+1)^4)-1</f>
        <v>0.12165520988855727</v>
      </c>
      <c r="V40" s="32">
        <f>(((VLOOKUP(B40,'Data qoq'!$A:$AT,MATCH($V$1,'Data qoq'!$A$1:$AT$1,),))/100+1)^4)-1</f>
        <v>-6.0820638553713224E-2</v>
      </c>
      <c r="W40" s="32">
        <f>(((VLOOKUP(B40,'Data qoq'!$A:$AT,MATCH($W$1,'Data qoq'!$A$1:$AT$1,),))/100+1)^4)-1</f>
        <v>1.2219798041721575E-3</v>
      </c>
      <c r="X40" s="32">
        <f>(((VLOOKUP(B40,'Data qoq'!$A:$AT,MATCH($X$1,'Data qoq'!$A$1:$AT$1,),))/100+1)^4)-1</f>
        <v>3.2859617036772315E-2</v>
      </c>
      <c r="Y40" s="32">
        <f>(((VLOOKUP(B40,'Data qoq'!$A:$AT,MATCH($Y$1,'Data qoq'!$A$1:$AT$1,),))/100+1)^4)-1</f>
        <v>4.6375227081107306E-2</v>
      </c>
      <c r="Z40" s="32">
        <f>(((VLOOKUP(B40,'Data qoq'!$A:$AU,MATCH($Z$1,'Data qoq'!$A$1:$AU$1,),))/100+1)^4)-1</f>
        <v>9.1027346124588515E-2</v>
      </c>
      <c r="AA40" s="32">
        <f>(((VLOOKUP(B40,'Data qoq'!$A:$AU,MATCH($AA$1,'Data qoq'!$A$1:$AU$1,),))/100+1)^4)-1</f>
        <v>3.6891037218367728E-2</v>
      </c>
      <c r="AC40" s="26" t="str">
        <f t="shared" si="6"/>
        <v>2007-Q2</v>
      </c>
      <c r="AD40" s="31">
        <f t="shared" si="7"/>
        <v>9.4166816956153809E-3</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1.8370331679032681E-2</v>
      </c>
      <c r="F41" s="32">
        <f>(((VLOOKUP(B41,'Data qoq'!$A:$AT,MATCH($F$1,'Data qoq'!$A$1:$AT$1,),))/100+1)^4)-1</f>
        <v>-2.188245611965578E-2</v>
      </c>
      <c r="G41" s="32">
        <f>(((VLOOKUP(B41,'Data qoq'!$A:$AT,MATCH($G$1,'Data qoq'!$A$1:$AT$1,),))/100+1)^4)-1</f>
        <v>2.0008060155331631E-2</v>
      </c>
      <c r="H41" s="32">
        <f>(((VLOOKUP(B41,'Data qoq'!$A:$AT,MATCH($H$1,'Data qoq'!$A$1:$AT$1,),))/100+1)^4)-1</f>
        <v>1.9239307097353109E-2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3.1236152300818887E-2</v>
      </c>
      <c r="M41" s="32">
        <f>(((VLOOKUP(B41,'Data qoq'!$A:$AT,MATCH($M$1,'Data qoq'!$A$1:$AT$1,),))/100+1)^4)-1</f>
        <v>2.5344831191137951E-2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4.7006228921022686E-2</v>
      </c>
      <c r="R41" s="32">
        <f>(((VLOOKUP(B41,'Data qoq'!$A:$AT,MATCH($R$1,'Data qoq'!$A$1:$AT$1,),))/100+1)^4)-1</f>
        <v>3.7771565683715647E-2</v>
      </c>
      <c r="S41" s="32">
        <f>(((VLOOKUP(B41,'Data qoq'!$A:$AT,MATCH($S$1,'Data qoq'!$A$1:$AT$1,),))/100+1)^4)-1</f>
        <v>4.7786474870416873E-2</v>
      </c>
      <c r="T41" s="32">
        <f>(((VLOOKUP(B41,'Data qoq'!$A:$AT,MATCH($T$1,'Data qoq'!$A$1:$AT$1,),))/100+1)^4)-1</f>
        <v>4.1154529757193359E-2</v>
      </c>
      <c r="U41" s="32">
        <f>(((VLOOKUP(B41,'Data qoq'!$A:$AT,MATCH($U$1,'Data qoq'!$A$1:$AT$1,),))/100+1)^4)-1</f>
        <v>-2.4692542329537104E-2</v>
      </c>
      <c r="V41" s="32">
        <f>(((VLOOKUP(B41,'Data qoq'!$A:$AT,MATCH($V$1,'Data qoq'!$A$1:$AT$1,),))/100+1)^4)-1</f>
        <v>-9.7392670026647754E-2</v>
      </c>
      <c r="W41" s="32">
        <f>(((VLOOKUP(B41,'Data qoq'!$A:$AT,MATCH($W$1,'Data qoq'!$A$1:$AT$1,),))/100+1)^4)-1</f>
        <v>2.3662906865193234E-2</v>
      </c>
      <c r="X41" s="32">
        <f>(((VLOOKUP(B41,'Data qoq'!$A:$AT,MATCH($X$1,'Data qoq'!$A$1:$AT$1,),))/100+1)^4)-1</f>
        <v>5.743181433263711E-2</v>
      </c>
      <c r="Y41" s="32">
        <f>(((VLOOKUP(B41,'Data qoq'!$A:$AT,MATCH($Y$1,'Data qoq'!$A$1:$AT$1,),))/100+1)^4)-1</f>
        <v>6.9634194277985895E-2</v>
      </c>
      <c r="Z41" s="32">
        <f>(((VLOOKUP(B41,'Data qoq'!$A:$AU,MATCH($Z$1,'Data qoq'!$A$1:$AU$1,),))/100+1)^4)-1</f>
        <v>5.6307407714973889E-2</v>
      </c>
      <c r="AA41" s="32">
        <f>(((VLOOKUP(B41,'Data qoq'!$A:$AU,MATCH($AA$1,'Data qoq'!$A$1:$AU$1,),))/100+1)^4)-1</f>
        <v>3.0100447817561049E-2</v>
      </c>
      <c r="AC41" s="26" t="str">
        <f t="shared" si="6"/>
        <v>2007-Q3</v>
      </c>
      <c r="AD41" s="31">
        <f t="shared" si="7"/>
        <v>-9.2079184878242071E-3</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2.1179973137443131E-2</v>
      </c>
      <c r="F42" s="32">
        <f>(((VLOOKUP(B42,'Data qoq'!$A:$AT,MATCH($F$1,'Data qoq'!$A$1:$AT$1,),))/100+1)^4)-1</f>
        <v>1.791036425475756E-2</v>
      </c>
      <c r="G42" s="32">
        <f>(((VLOOKUP(B42,'Data qoq'!$A:$AT,MATCH($G$1,'Data qoq'!$A$1:$AT$1,),))/100+1)^4)-1</f>
        <v>2.6902540058866276E-2</v>
      </c>
      <c r="H42" s="32">
        <f>(((VLOOKUP(B42,'Data qoq'!$A:$AT,MATCH($H$1,'Data qoq'!$A$1:$AT$1,),))/100+1)^4)-1</f>
        <v>7.721114816260366E-3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4.6241532180482547E-2</v>
      </c>
      <c r="M42" s="32">
        <f>(((VLOOKUP(B42,'Data qoq'!$A:$AT,MATCH($M$1,'Data qoq'!$A$1:$AT$1,),))/100+1)^4)-1</f>
        <v>1.5762992056340908E-2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1.6157279877943687E-2</v>
      </c>
      <c r="R42" s="32">
        <f>(((VLOOKUP(B42,'Data qoq'!$A:$AT,MATCH($R$1,'Data qoq'!$A$1:$AT$1,),))/100+1)^4)-1</f>
        <v>4.377222404112513E-2</v>
      </c>
      <c r="S42" s="32">
        <f>(((VLOOKUP(B42,'Data qoq'!$A:$AT,MATCH($S$1,'Data qoq'!$A$1:$AT$1,),))/100+1)^4)-1</f>
        <v>8.9109755075500008E-2</v>
      </c>
      <c r="T42" s="32">
        <f>(((VLOOKUP(B42,'Data qoq'!$A:$AT,MATCH($T$1,'Data qoq'!$A$1:$AT$1,),))/100+1)^4)-1</f>
        <v>6.4503752755984856E-2</v>
      </c>
      <c r="U42" s="32">
        <f>(((VLOOKUP(B42,'Data qoq'!$A:$AT,MATCH($U$1,'Data qoq'!$A$1:$AT$1,),))/100+1)^4)-1</f>
        <v>-1.968802174359896E-2</v>
      </c>
      <c r="V42" s="32">
        <f>(((VLOOKUP(B42,'Data qoq'!$A:$AT,MATCH($V$1,'Data qoq'!$A$1:$AT$1,),))/100+1)^4)-1</f>
        <v>0.17208548995023243</v>
      </c>
      <c r="W42" s="32">
        <f>(((VLOOKUP(B42,'Data qoq'!$A:$AT,MATCH($W$1,'Data qoq'!$A$1:$AT$1,),))/100+1)^4)-1</f>
        <v>0.14453677760350536</v>
      </c>
      <c r="X42" s="32">
        <f>(((VLOOKUP(B42,'Data qoq'!$A:$AT,MATCH($X$1,'Data qoq'!$A$1:$AT$1,),))/100+1)^4)-1</f>
        <v>5.3184562489079656E-2</v>
      </c>
      <c r="Y42" s="32">
        <f>(((VLOOKUP(B42,'Data qoq'!$A:$AT,MATCH($Y$1,'Data qoq'!$A$1:$AT$1,),))/100+1)^4)-1</f>
        <v>5.4832260075991179E-2</v>
      </c>
      <c r="Z42" s="32">
        <f>(((VLOOKUP(B42,'Data qoq'!$A:$AU,MATCH($Z$1,'Data qoq'!$A$1:$AU$1,),))/100+1)^4)-1</f>
        <v>0.12733787797864315</v>
      </c>
      <c r="AA42" s="32">
        <f>(((VLOOKUP(B42,'Data qoq'!$A:$AU,MATCH($AA$1,'Data qoq'!$A$1:$AU$1,),))/100+1)^4)-1</f>
        <v>6.5911711310691068E-3</v>
      </c>
      <c r="AC42" s="26" t="str">
        <f t="shared" si="6"/>
        <v>2007-Q4</v>
      </c>
      <c r="AD42" s="31">
        <f t="shared" si="7"/>
        <v>5.6815500093252425E-3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2.0018831453137542E-2</v>
      </c>
      <c r="F43" s="32">
        <f>(((VLOOKUP(B43,'Data qoq'!$A:$AT,MATCH($F$1,'Data qoq'!$A$1:$AT$1,),))/100+1)^4)-1</f>
        <v>1.4825335135882911E-2</v>
      </c>
      <c r="G43" s="32">
        <f>(((VLOOKUP(B43,'Data qoq'!$A:$AT,MATCH($G$1,'Data qoq'!$A$1:$AT$1,),))/100+1)^4)-1</f>
        <v>2.5417811898791109E-2</v>
      </c>
      <c r="H43" s="32">
        <f>(((VLOOKUP(B43,'Data qoq'!$A:$AT,MATCH($H$1,'Data qoq'!$A$1:$AT$1,),))/100+1)^4)-1</f>
        <v>1.9788006857661466E-2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-3.096174408200969E-2</v>
      </c>
      <c r="M43" s="32">
        <f>(((VLOOKUP(B43,'Data qoq'!$A:$AT,MATCH($M$1,'Data qoq'!$A$1:$AT$1,),))/100+1)^4)-1</f>
        <v>-7.9240007150233049E-3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4.1936753301434759E-2</v>
      </c>
      <c r="R43" s="32">
        <f>(((VLOOKUP(B43,'Data qoq'!$A:$AT,MATCH($R$1,'Data qoq'!$A$1:$AT$1,),))/100+1)^4)-1</f>
        <v>3.4671522604063698E-2</v>
      </c>
      <c r="S43" s="32">
        <f>(((VLOOKUP(B43,'Data qoq'!$A:$AT,MATCH($S$1,'Data qoq'!$A$1:$AT$1,),))/100+1)^4)-1</f>
        <v>1.6193208180944829E-2</v>
      </c>
      <c r="T43" s="32">
        <f>(((VLOOKUP(B43,'Data qoq'!$A:$AT,MATCH($T$1,'Data qoq'!$A$1:$AT$1,),))/100+1)^4)-1</f>
        <v>4.5643083225317627E-2</v>
      </c>
      <c r="U43" s="32">
        <f>(((VLOOKUP(B43,'Data qoq'!$A:$AT,MATCH($U$1,'Data qoq'!$A$1:$AT$1,),))/100+1)^4)-1</f>
        <v>2.4689251694475001E-2</v>
      </c>
      <c r="V43" s="32">
        <f>(((VLOOKUP(B43,'Data qoq'!$A:$AT,MATCH($V$1,'Data qoq'!$A$1:$AT$1,),))/100+1)^4)-1</f>
        <v>-9.9250320841471451E-2</v>
      </c>
      <c r="W43" s="32">
        <f>(((VLOOKUP(B43,'Data qoq'!$A:$AT,MATCH($W$1,'Data qoq'!$A$1:$AT$1,),))/100+1)^4)-1</f>
        <v>8.6959655243317613E-2</v>
      </c>
      <c r="X43" s="32">
        <f>(((VLOOKUP(B43,'Data qoq'!$A:$AT,MATCH($X$1,'Data qoq'!$A$1:$AT$1,),))/100+1)^4)-1</f>
        <v>1.8950318135264155E-2</v>
      </c>
      <c r="Y43" s="32">
        <f>(((VLOOKUP(B43,'Data qoq'!$A:$AT,MATCH($Y$1,'Data qoq'!$A$1:$AT$1,),))/100+1)^4)-1</f>
        <v>7.894290862764608E-2</v>
      </c>
      <c r="Z43" s="32">
        <f>(((VLOOKUP(B43,'Data qoq'!$A:$AU,MATCH($Z$1,'Data qoq'!$A$1:$AU$1,),))/100+1)^4)-1</f>
        <v>3.5611316848641161E-2</v>
      </c>
      <c r="AA43" s="32">
        <f>(((VLOOKUP(B43,'Data qoq'!$A:$AU,MATCH($AA$1,'Data qoq'!$A$1:$AU$1,),))/100+1)^4)-1</f>
        <v>-1.2501988883888426E-2</v>
      </c>
      <c r="AC43" s="26" t="str">
        <f t="shared" ref="AC43:AC74" si="8">B43</f>
        <v>2008-Q1</v>
      </c>
      <c r="AD43" s="31">
        <f t="shared" ref="AD43:AD74" si="9">(VLOOKUP(AC43,B:Y,MATCH($AE$6,$B$1:$Y$1,),))-(VLOOKUP(AC43,B:Y,MATCH($AE$7,$B$1:$Y$1,),))</f>
        <v>-4.3312674171842591E-3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-1.3971199747694896E-2</v>
      </c>
      <c r="F44" s="32">
        <f>(((VLOOKUP(B44,'Data qoq'!$A:$AT,MATCH($F$1,'Data qoq'!$A$1:$AT$1,),))/100+1)^4)-1</f>
        <v>-2.3669548360699011E-2</v>
      </c>
      <c r="G44" s="32">
        <f>(((VLOOKUP(B44,'Data qoq'!$A:$AT,MATCH($G$1,'Data qoq'!$A$1:$AT$1,),))/100+1)^4)-1</f>
        <v>-9.2971010668124743E-3</v>
      </c>
      <c r="H44" s="32">
        <f>(((VLOOKUP(B44,'Data qoq'!$A:$AT,MATCH($H$1,'Data qoq'!$A$1:$AT$1,),))/100+1)^4)-1</f>
        <v>-2.1594778437405315E-2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-2.3124782771877239E-3</v>
      </c>
      <c r="M44" s="32">
        <f>(((VLOOKUP(B44,'Data qoq'!$A:$AT,MATCH($M$1,'Data qoq'!$A$1:$AT$1,),))/100+1)^4)-1</f>
        <v>3.1088646007417786E-2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1.283949525587702E-2</v>
      </c>
      <c r="R44" s="32">
        <f>(((VLOOKUP(B44,'Data qoq'!$A:$AT,MATCH($R$1,'Data qoq'!$A$1:$AT$1,),))/100+1)^4)-1</f>
        <v>3.6372393206430376E-2</v>
      </c>
      <c r="S44" s="32">
        <f>(((VLOOKUP(B44,'Data qoq'!$A:$AT,MATCH($S$1,'Data qoq'!$A$1:$AT$1,),))/100+1)^4)-1</f>
        <v>2.1103909038446167E-2</v>
      </c>
      <c r="T44" s="32">
        <f>(((VLOOKUP(B44,'Data qoq'!$A:$AT,MATCH($T$1,'Data qoq'!$A$1:$AT$1,),))/100+1)^4)-1</f>
        <v>9.6047948111903425E-2</v>
      </c>
      <c r="U44" s="32">
        <f>(((VLOOKUP(B44,'Data qoq'!$A:$AT,MATCH($U$1,'Data qoq'!$A$1:$AT$1,),))/100+1)^4)-1</f>
        <v>-2.5344947265725559E-2</v>
      </c>
      <c r="V44" s="32">
        <f>(((VLOOKUP(B44,'Data qoq'!$A:$AT,MATCH($V$1,'Data qoq'!$A$1:$AT$1,),))/100+1)^4)-1</f>
        <v>-9.7300381718358309E-2</v>
      </c>
      <c r="W44" s="32">
        <f>(((VLOOKUP(B44,'Data qoq'!$A:$AT,MATCH($W$1,'Data qoq'!$A$1:$AT$1,),))/100+1)^4)-1</f>
        <v>-0.13456556967107314</v>
      </c>
      <c r="X44" s="32">
        <f>(((VLOOKUP(B44,'Data qoq'!$A:$AT,MATCH($X$1,'Data qoq'!$A$1:$AT$1,),))/100+1)^4)-1</f>
        <v>2.9143497684481989E-2</v>
      </c>
      <c r="Y44" s="32">
        <f>(((VLOOKUP(B44,'Data qoq'!$A:$AT,MATCH($Y$1,'Data qoq'!$A$1:$AT$1,),))/100+1)^4)-1</f>
        <v>9.7586968420084741E-3</v>
      </c>
      <c r="Z44" s="32">
        <f>(((VLOOKUP(B44,'Data qoq'!$A:$AU,MATCH($Z$1,'Data qoq'!$A$1:$AU$1,),))/100+1)^4)-1</f>
        <v>2.3924083673122043E-2</v>
      </c>
      <c r="AA44" s="32">
        <f>(((VLOOKUP(B44,'Data qoq'!$A:$AU,MATCH($AA$1,'Data qoq'!$A$1:$AU$1,),))/100+1)^4)-1</f>
        <v>-1.197736667949334E-2</v>
      </c>
      <c r="AC44" s="26" t="str">
        <f t="shared" si="8"/>
        <v>2008-Q2</v>
      </c>
      <c r="AD44" s="31">
        <f t="shared" si="9"/>
        <v>3.9276554602128977E-3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-2.0469531373869976E-2</v>
      </c>
      <c r="F45" s="32">
        <f>(((VLOOKUP(B45,'Data qoq'!$A:$AT,MATCH($F$1,'Data qoq'!$A$1:$AT$1,),))/100+1)^4)-1</f>
        <v>-4.9443254006592219E-2</v>
      </c>
      <c r="G45" s="32">
        <f>(((VLOOKUP(B45,'Data qoq'!$A:$AT,MATCH($G$1,'Data qoq'!$A$1:$AT$1,),))/100+1)^4)-1</f>
        <v>-2.5678918960155728E-2</v>
      </c>
      <c r="H45" s="32">
        <f>(((VLOOKUP(B45,'Data qoq'!$A:$AT,MATCH($H$1,'Data qoq'!$A$1:$AT$1,),))/100+1)^4)-1</f>
        <v>-7.4517625706985724E-3</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-1.9980095349188876E-2</v>
      </c>
      <c r="M45" s="32">
        <f>(((VLOOKUP(B45,'Data qoq'!$A:$AT,MATCH($M$1,'Data qoq'!$A$1:$AT$1,),))/100+1)^4)-1</f>
        <v>1.2758250366306845E-2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2.8772309041480648E-2</v>
      </c>
      <c r="R45" s="32">
        <f>(((VLOOKUP(B45,'Data qoq'!$A:$AT,MATCH($R$1,'Data qoq'!$A$1:$AT$1,),))/100+1)^4)-1</f>
        <v>1.5109462009025965E-2</v>
      </c>
      <c r="S45" s="32">
        <f>(((VLOOKUP(B45,'Data qoq'!$A:$AT,MATCH($S$1,'Data qoq'!$A$1:$AT$1,),))/100+1)^4)-1</f>
        <v>3.3036815680477671E-2</v>
      </c>
      <c r="T45" s="32">
        <f>(((VLOOKUP(B45,'Data qoq'!$A:$AT,MATCH($T$1,'Data qoq'!$A$1:$AT$1,),))/100+1)^4)-1</f>
        <v>6.0252714556332965E-2</v>
      </c>
      <c r="U45" s="32">
        <f>(((VLOOKUP(B45,'Data qoq'!$A:$AT,MATCH($U$1,'Data qoq'!$A$1:$AT$1,),))/100+1)^4)-1</f>
        <v>-3.8936275669441134E-3</v>
      </c>
      <c r="V45" s="32">
        <f>(((VLOOKUP(B45,'Data qoq'!$A:$AT,MATCH($V$1,'Data qoq'!$A$1:$AT$1,),))/100+1)^4)-1</f>
        <v>-3.0747713271987553E-2</v>
      </c>
      <c r="W45" s="32">
        <f>(((VLOOKUP(B45,'Data qoq'!$A:$AT,MATCH($W$1,'Data qoq'!$A$1:$AT$1,),))/100+1)^4)-1</f>
        <v>-7.0718070162514635E-2</v>
      </c>
      <c r="X45" s="32">
        <f>(((VLOOKUP(B45,'Data qoq'!$A:$AT,MATCH($X$1,'Data qoq'!$A$1:$AT$1,),))/100+1)^4)-1</f>
        <v>9.9451814760644908E-3</v>
      </c>
      <c r="Y45" s="32">
        <f>(((VLOOKUP(B45,'Data qoq'!$A:$AT,MATCH($Y$1,'Data qoq'!$A$1:$AT$1,),))/100+1)^4)-1</f>
        <v>-1.339510058108706E-2</v>
      </c>
      <c r="Z45" s="32">
        <f>(((VLOOKUP(B45,'Data qoq'!$A:$AU,MATCH($Z$1,'Data qoq'!$A$1:$AU$1,),))/100+1)^4)-1</f>
        <v>3.3784510862280515E-2</v>
      </c>
      <c r="AA45" s="32">
        <f>(((VLOOKUP(B45,'Data qoq'!$A:$AU,MATCH($AA$1,'Data qoq'!$A$1:$AU$1,),))/100+1)^4)-1</f>
        <v>-1.3547713920672999E-2</v>
      </c>
      <c r="AC45" s="26" t="str">
        <f t="shared" si="8"/>
        <v>2008-Q3</v>
      </c>
      <c r="AD45" s="31">
        <f t="shared" si="9"/>
        <v>3.7819944422884832E-2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-6.9845830718398783E-2</v>
      </c>
      <c r="F46" s="32">
        <f>(((VLOOKUP(B46,'Data qoq'!$A:$AT,MATCH($F$1,'Data qoq'!$A$1:$AT$1,),))/100+1)^4)-1</f>
        <v>-9.4194899550967381E-2</v>
      </c>
      <c r="G46" s="32">
        <f>(((VLOOKUP(B46,'Data qoq'!$A:$AT,MATCH($G$1,'Data qoq'!$A$1:$AT$1,),))/100+1)^4)-1</f>
        <v>-6.2242344783301706E-2</v>
      </c>
      <c r="H46" s="32">
        <f>(((VLOOKUP(B46,'Data qoq'!$A:$AT,MATCH($H$1,'Data qoq'!$A$1:$AT$1,),))/100+1)^4)-1</f>
        <v>-5.8482380541729828E-2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-0.13417155233977862</v>
      </c>
      <c r="M46" s="32">
        <f>(((VLOOKUP(B46,'Data qoq'!$A:$AT,MATCH($M$1,'Data qoq'!$A$1:$AT$1,),))/100+1)^4)-1</f>
        <v>-6.3747128494272109E-2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-1.8883022932193017E-2</v>
      </c>
      <c r="R46" s="32">
        <f>(((VLOOKUP(B46,'Data qoq'!$A:$AT,MATCH($R$1,'Data qoq'!$A$1:$AT$1,),))/100+1)^4)-1</f>
        <v>-0.1078511675613647</v>
      </c>
      <c r="S46" s="32">
        <f>(((VLOOKUP(B46,'Data qoq'!$A:$AT,MATCH($S$1,'Data qoq'!$A$1:$AT$1,),))/100+1)^4)-1</f>
        <v>-0.1250257063241409</v>
      </c>
      <c r="T46" s="32">
        <f>(((VLOOKUP(B46,'Data qoq'!$A:$AT,MATCH($T$1,'Data qoq'!$A$1:$AT$1,),))/100+1)^4)-1</f>
        <v>-0.14267060889180638</v>
      </c>
      <c r="U46" s="32">
        <f>(((VLOOKUP(B46,'Data qoq'!$A:$AT,MATCH($U$1,'Data qoq'!$A$1:$AT$1,),))/100+1)^4)-1</f>
        <v>-5.4720484055890917E-2</v>
      </c>
      <c r="V46" s="32">
        <f>(((VLOOKUP(B46,'Data qoq'!$A:$AT,MATCH($V$1,'Data qoq'!$A$1:$AT$1,),))/100+1)^4)-1</f>
        <v>-0.16054801413701314</v>
      </c>
      <c r="W46" s="32">
        <f>(((VLOOKUP(B46,'Data qoq'!$A:$AT,MATCH($W$1,'Data qoq'!$A$1:$AT$1,),))/100+1)^4)-1</f>
        <v>-9.779534031853121E-2</v>
      </c>
      <c r="X46" s="32">
        <f>(((VLOOKUP(B46,'Data qoq'!$A:$AT,MATCH($X$1,'Data qoq'!$A$1:$AT$1,),))/100+1)^4)-1</f>
        <v>-7.6718963151459652E-2</v>
      </c>
      <c r="Y46" s="32">
        <f>(((VLOOKUP(B46,'Data qoq'!$A:$AT,MATCH($Y$1,'Data qoq'!$A$1:$AT$1,),))/100+1)^4)-1</f>
        <v>1.6293957104252188E-2</v>
      </c>
      <c r="Z46" s="32">
        <f>(((VLOOKUP(B46,'Data qoq'!$A:$AU,MATCH($Z$1,'Data qoq'!$A$1:$AU$1,),))/100+1)^4)-1</f>
        <v>-0.17758720388348215</v>
      </c>
      <c r="AA46" s="32">
        <f>(((VLOOKUP(B46,'Data qoq'!$A:$AU,MATCH($AA$1,'Data qoq'!$A$1:$AU$1,),))/100+1)^4)-1</f>
        <v>-2.6567438384179409E-2</v>
      </c>
      <c r="AC46" s="26" t="str">
        <f t="shared" si="8"/>
        <v>2008-Q4</v>
      </c>
      <c r="AD46" s="31">
        <f t="shared" si="9"/>
        <v>7.9847486514583732E-3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-0.11896077470308219</v>
      </c>
      <c r="F47" s="32">
        <f>(((VLOOKUP(B47,'Data qoq'!$A:$AT,MATCH($F$1,'Data qoq'!$A$1:$AT$1,),))/100+1)^4)-1</f>
        <v>-0.17850394286753879</v>
      </c>
      <c r="G47" s="32">
        <f>(((VLOOKUP(B47,'Data qoq'!$A:$AT,MATCH($G$1,'Data qoq'!$A$1:$AT$1,),))/100+1)^4)-1</f>
        <v>-0.17454092433504287</v>
      </c>
      <c r="H47" s="32">
        <f>(((VLOOKUP(B47,'Data qoq'!$A:$AT,MATCH($H$1,'Data qoq'!$A$1:$AT$1,),))/100+1)^4)-1</f>
        <v>-6.5862650662255717E-2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-5.7811093417170945E-2</v>
      </c>
      <c r="M47" s="32">
        <f>(((VLOOKUP(B47,'Data qoq'!$A:$AT,MATCH($M$1,'Data qoq'!$A$1:$AT$1,),))/100+1)^4)-1</f>
        <v>-0.18982173188099372</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3.7256096819302975E-2</v>
      </c>
      <c r="R47" s="32">
        <f>(((VLOOKUP(B47,'Data qoq'!$A:$AT,MATCH($R$1,'Data qoq'!$A$1:$AT$1,),))/100+1)^4)-1</f>
        <v>-6.1070190586738682E-2</v>
      </c>
      <c r="S47" s="32">
        <f>(((VLOOKUP(B47,'Data qoq'!$A:$AT,MATCH($S$1,'Data qoq'!$A$1:$AT$1,),))/100+1)^4)-1</f>
        <v>3.6043303614470279E-3</v>
      </c>
      <c r="T47" s="32">
        <f>(((VLOOKUP(B47,'Data qoq'!$A:$AT,MATCH($T$1,'Data qoq'!$A$1:$AT$1,),))/100+1)^4)-1</f>
        <v>-5.5384728836033625E-2</v>
      </c>
      <c r="U47" s="32">
        <f>(((VLOOKUP(B47,'Data qoq'!$A:$AT,MATCH($U$1,'Data qoq'!$A$1:$AT$1,),))/100+1)^4)-1</f>
        <v>-0.17680937793396401</v>
      </c>
      <c r="V47" s="32">
        <f>(((VLOOKUP(B47,'Data qoq'!$A:$AT,MATCH($V$1,'Data qoq'!$A$1:$AT$1,),))/100+1)^4)-1</f>
        <v>2.1884121702824499E-2</v>
      </c>
      <c r="W47" s="32">
        <f>(((VLOOKUP(B47,'Data qoq'!$A:$AT,MATCH($W$1,'Data qoq'!$A$1:$AT$1,),))/100+1)^4)-1</f>
        <v>-0.20802865238462842</v>
      </c>
      <c r="X47" s="32">
        <f>(((VLOOKUP(B47,'Data qoq'!$A:$AT,MATCH($X$1,'Data qoq'!$A$1:$AT$1,),))/100+1)^4)-1</f>
        <v>-0.12737648646137412</v>
      </c>
      <c r="Y47" s="32">
        <f>(((VLOOKUP(B47,'Data qoq'!$A:$AT,MATCH($Y$1,'Data qoq'!$A$1:$AT$1,),))/100+1)^4)-1</f>
        <v>6.4662163202645395E-2</v>
      </c>
      <c r="Z47" s="32">
        <f>(((VLOOKUP(B47,'Data qoq'!$A:$AU,MATCH($Z$1,'Data qoq'!$A$1:$AU$1,),))/100+1)^4)-1</f>
        <v>-0.14020527704838992</v>
      </c>
      <c r="AA47" s="32">
        <f>(((VLOOKUP(B47,'Data qoq'!$A:$AU,MATCH($AA$1,'Data qoq'!$A$1:$AU$1,),))/100+1)^4)-1</f>
        <v>-3.9674904181845161E-2</v>
      </c>
      <c r="AC47" s="26" t="str">
        <f t="shared" si="8"/>
        <v>2009-Q1</v>
      </c>
      <c r="AD47" s="31">
        <f t="shared" si="9"/>
        <v>-4.8796545516070822E-2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-2.386986306358585E-4</v>
      </c>
      <c r="F48" s="32">
        <f>(((VLOOKUP(B48,'Data qoq'!$A:$AT,MATCH($F$1,'Data qoq'!$A$1:$AT$1,),))/100+1)^4)-1</f>
        <v>7.9594444567926637E-2</v>
      </c>
      <c r="G48" s="32">
        <f>(((VLOOKUP(B48,'Data qoq'!$A:$AT,MATCH($G$1,'Data qoq'!$A$1:$AT$1,),))/100+1)^4)-1</f>
        <v>6.4014243064696164E-3</v>
      </c>
      <c r="H48" s="32">
        <f>(((VLOOKUP(B48,'Data qoq'!$A:$AT,MATCH($H$1,'Data qoq'!$A$1:$AT$1,),))/100+1)^4)-1</f>
        <v>-1.1571501770947235E-3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2.5095757274335995E-3</v>
      </c>
      <c r="M48" s="32">
        <f>(((VLOOKUP(B48,'Data qoq'!$A:$AT,MATCH($M$1,'Data qoq'!$A$1:$AT$1,),))/100+1)^4)-1</f>
        <v>-5.7492806225582949E-2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3.0612321572739853E-2</v>
      </c>
      <c r="R48" s="32">
        <f>(((VLOOKUP(B48,'Data qoq'!$A:$AT,MATCH($R$1,'Data qoq'!$A$1:$AT$1,),))/100+1)^4)-1</f>
        <v>2.4542658503392545E-2</v>
      </c>
      <c r="S48" s="32">
        <f>(((VLOOKUP(B48,'Data qoq'!$A:$AT,MATCH($S$1,'Data qoq'!$A$1:$AT$1,),))/100+1)^4)-1</f>
        <v>5.4386384443282143E-2</v>
      </c>
      <c r="T48" s="32">
        <f>(((VLOOKUP(B48,'Data qoq'!$A:$AT,MATCH($T$1,'Data qoq'!$A$1:$AT$1,),))/100+1)^4)-1</f>
        <v>7.5078667941067767E-2</v>
      </c>
      <c r="U48" s="32">
        <f>(((VLOOKUP(B48,'Data qoq'!$A:$AT,MATCH($U$1,'Data qoq'!$A$1:$AT$1,),))/100+1)^4)-1</f>
        <v>0.11578642852092891</v>
      </c>
      <c r="V48" s="32">
        <f>(((VLOOKUP(B48,'Data qoq'!$A:$AT,MATCH($V$1,'Data qoq'!$A$1:$AT$1,),))/100+1)^4)-1</f>
        <v>-2.1560425919285198E-2</v>
      </c>
      <c r="W48" s="32">
        <f>(((VLOOKUP(B48,'Data qoq'!$A:$AT,MATCH($W$1,'Data qoq'!$A$1:$AT$1,),))/100+1)^4)-1</f>
        <v>0.17017346987867699</v>
      </c>
      <c r="X48" s="32">
        <f>(((VLOOKUP(B48,'Data qoq'!$A:$AT,MATCH($X$1,'Data qoq'!$A$1:$AT$1,),))/100+1)^4)-1</f>
        <v>-1.5178275647827366E-2</v>
      </c>
      <c r="Y48" s="32">
        <f>(((VLOOKUP(B48,'Data qoq'!$A:$AT,MATCH($Y$1,'Data qoq'!$A$1:$AT$1,),))/100+1)^4)-1</f>
        <v>1.8470598245465819E-3</v>
      </c>
      <c r="Z48" s="32">
        <f>(((VLOOKUP(B48,'Data qoq'!$A:$AU,MATCH($Z$1,'Data qoq'!$A$1:$AU$1,),))/100+1)^4)-1</f>
        <v>-8.2219279157093705E-2</v>
      </c>
      <c r="AA48" s="32">
        <f>(((VLOOKUP(B48,'Data qoq'!$A:$AU,MATCH($AA$1,'Data qoq'!$A$1:$AU$1,),))/100+1)^4)-1</f>
        <v>-2.1616670055161213E-3</v>
      </c>
      <c r="AC48" s="26" t="str">
        <f t="shared" si="8"/>
        <v>2009-Q2</v>
      </c>
      <c r="AD48" s="31">
        <f t="shared" si="9"/>
        <v>1.2259639458599758E-2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1.5721931159634606E-2</v>
      </c>
      <c r="F49" s="32">
        <f>(((VLOOKUP(B49,'Data qoq'!$A:$AT,MATCH($F$1,'Data qoq'!$A$1:$AT$1,),))/100+1)^4)-1</f>
        <v>-2.3634224852744357E-3</v>
      </c>
      <c r="G49" s="32">
        <f>(((VLOOKUP(B49,'Data qoq'!$A:$AT,MATCH($G$1,'Data qoq'!$A$1:$AT$1,),))/100+1)^4)-1</f>
        <v>2.2503094084157294E-2</v>
      </c>
      <c r="H49" s="32">
        <f>(((VLOOKUP(B49,'Data qoq'!$A:$AT,MATCH($H$1,'Data qoq'!$A$1:$AT$1,),))/100+1)^4)-1</f>
        <v>6.6064655906621361E-3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-2.0857602537988074E-3</v>
      </c>
      <c r="M49" s="32">
        <f>(((VLOOKUP(B49,'Data qoq'!$A:$AT,MATCH($M$1,'Data qoq'!$A$1:$AT$1,),))/100+1)^4)-1</f>
        <v>0.13834597503746271</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1.2055547479002726E-2</v>
      </c>
      <c r="R49" s="32">
        <f>(((VLOOKUP(B49,'Data qoq'!$A:$AT,MATCH($R$1,'Data qoq'!$A$1:$AT$1,),))/100+1)^4)-1</f>
        <v>4.6558843153905904E-2</v>
      </c>
      <c r="S49" s="32">
        <f>(((VLOOKUP(B49,'Data qoq'!$A:$AT,MATCH($S$1,'Data qoq'!$A$1:$AT$1,),))/100+1)^4)-1</f>
        <v>0.12518866574588539</v>
      </c>
      <c r="T49" s="32">
        <f>(((VLOOKUP(B49,'Data qoq'!$A:$AT,MATCH($T$1,'Data qoq'!$A$1:$AT$1,),))/100+1)^4)-1</f>
        <v>9.711752114956429E-2</v>
      </c>
      <c r="U49" s="32">
        <f>(((VLOOKUP(B49,'Data qoq'!$A:$AT,MATCH($U$1,'Data qoq'!$A$1:$AT$1,),))/100+1)^4)-1</f>
        <v>-2.8703244730674538E-2</v>
      </c>
      <c r="V49" s="32">
        <f>(((VLOOKUP(B49,'Data qoq'!$A:$AT,MATCH($V$1,'Data qoq'!$A$1:$AT$1,),))/100+1)^4)-1</f>
        <v>-5.1742475311555736E-2</v>
      </c>
      <c r="W49" s="32">
        <f>(((VLOOKUP(B49,'Data qoq'!$A:$AT,MATCH($W$1,'Data qoq'!$A$1:$AT$1,),))/100+1)^4)-1</f>
        <v>9.9329578595084955E-2</v>
      </c>
      <c r="X49" s="32">
        <f>(((VLOOKUP(B49,'Data qoq'!$A:$AT,MATCH($X$1,'Data qoq'!$A$1:$AT$1,),))/100+1)^4)-1</f>
        <v>1.9281169918929919E-2</v>
      </c>
      <c r="Y49" s="32">
        <f>(((VLOOKUP(B49,'Data qoq'!$A:$AT,MATCH($Y$1,'Data qoq'!$A$1:$AT$1,),))/100+1)^4)-1</f>
        <v>2.3332516658357338E-2</v>
      </c>
      <c r="Z49" s="32">
        <f>(((VLOOKUP(B49,'Data qoq'!$A:$AU,MATCH($Z$1,'Data qoq'!$A$1:$AU$1,),))/100+1)^4)-1</f>
        <v>0.16676832216138537</v>
      </c>
      <c r="AA49" s="32">
        <f>(((VLOOKUP(B49,'Data qoq'!$A:$AU,MATCH($AA$1,'Data qoq'!$A$1:$AU$1,),))/100+1)^4)-1</f>
        <v>1.9962059501287266E-2</v>
      </c>
      <c r="AC49" s="26" t="str">
        <f t="shared" si="8"/>
        <v>2009-Q3</v>
      </c>
      <c r="AD49" s="31">
        <f t="shared" si="9"/>
        <v>1.3191467400362589E-2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1.8532419119093424E-2</v>
      </c>
      <c r="F50" s="32">
        <f>(((VLOOKUP(B50,'Data qoq'!$A:$AT,MATCH($F$1,'Data qoq'!$A$1:$AT$1,),))/100+1)^4)-1</f>
        <v>5.1548107697274803E-2</v>
      </c>
      <c r="G50" s="32">
        <f>(((VLOOKUP(B50,'Data qoq'!$A:$AT,MATCH($G$1,'Data qoq'!$A$1:$AT$1,),))/100+1)^4)-1</f>
        <v>2.9765092882296562E-2</v>
      </c>
      <c r="H50" s="32">
        <f>(((VLOOKUP(B50,'Data qoq'!$A:$AT,MATCH($H$1,'Data qoq'!$A$1:$AT$1,),))/100+1)^4)-1</f>
        <v>2.9223296853493563E-2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1.8646352619587026E-2</v>
      </c>
      <c r="M50" s="32">
        <f>(((VLOOKUP(B50,'Data qoq'!$A:$AT,MATCH($M$1,'Data qoq'!$A$1:$AT$1,),))/100+1)^4)-1</f>
        <v>6.7984165106333316E-2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3.0361719800673592E-2</v>
      </c>
      <c r="R50" s="32">
        <f>(((VLOOKUP(B50,'Data qoq'!$A:$AT,MATCH($R$1,'Data qoq'!$A$1:$AT$1,),))/100+1)^4)-1</f>
        <v>3.4056909664630375E-2</v>
      </c>
      <c r="S50" s="32">
        <f>(((VLOOKUP(B50,'Data qoq'!$A:$AT,MATCH($S$1,'Data qoq'!$A$1:$AT$1,),))/100+1)^4)-1</f>
        <v>3.0211058033513094E-2</v>
      </c>
      <c r="T50" s="32">
        <f>(((VLOOKUP(B50,'Data qoq'!$A:$AT,MATCH($T$1,'Data qoq'!$A$1:$AT$1,),))/100+1)^4)-1</f>
        <v>0.1057888326033003</v>
      </c>
      <c r="U50" s="32">
        <f>(((VLOOKUP(B50,'Data qoq'!$A:$AT,MATCH($U$1,'Data qoq'!$A$1:$AT$1,),))/100+1)^4)-1</f>
        <v>5.1385538398160957E-3</v>
      </c>
      <c r="V50" s="32">
        <f>(((VLOOKUP(B50,'Data qoq'!$A:$AT,MATCH($V$1,'Data qoq'!$A$1:$AT$1,),))/100+1)^4)-1</f>
        <v>-5.4188448018161028E-2</v>
      </c>
      <c r="W50" s="32">
        <f>(((VLOOKUP(B50,'Data qoq'!$A:$AT,MATCH($W$1,'Data qoq'!$A$1:$AT$1,),))/100+1)^4)-1</f>
        <v>8.0411219025574798E-2</v>
      </c>
      <c r="X50" s="32">
        <f>(((VLOOKUP(B50,'Data qoq'!$A:$AT,MATCH($X$1,'Data qoq'!$A$1:$AT$1,),))/100+1)^4)-1</f>
        <v>2.7498459999126812E-3</v>
      </c>
      <c r="Y50" s="32">
        <f>(((VLOOKUP(B50,'Data qoq'!$A:$AT,MATCH($Y$1,'Data qoq'!$A$1:$AT$1,),))/100+1)^4)-1</f>
        <v>9.9368472167375321E-2</v>
      </c>
      <c r="Z50" s="32">
        <f>(((VLOOKUP(B50,'Data qoq'!$A:$AU,MATCH($Z$1,'Data qoq'!$A$1:$AU$1,),))/100+1)^4)-1</f>
        <v>7.540946942652238E-2</v>
      </c>
      <c r="AA50" s="32">
        <f>(((VLOOKUP(B50,'Data qoq'!$A:$AU,MATCH($AA$1,'Data qoq'!$A$1:$AU$1,),))/100+1)^4)-1</f>
        <v>5.1758166646930892E-2</v>
      </c>
      <c r="AC50" s="26" t="str">
        <f t="shared" si="8"/>
        <v>2009-Q4</v>
      </c>
      <c r="AD50" s="31">
        <f t="shared" si="9"/>
        <v>6.0592010802187346E-3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1.612151721117705E-2</v>
      </c>
      <c r="F51" s="32">
        <f>(((VLOOKUP(B51,'Data qoq'!$A:$AT,MATCH($F$1,'Data qoq'!$A$1:$AT$1,),))/100+1)^4)-1</f>
        <v>4.3205698127672498E-2</v>
      </c>
      <c r="G51" s="32">
        <f>(((VLOOKUP(B51,'Data qoq'!$A:$AT,MATCH($G$1,'Data qoq'!$A$1:$AT$1,),))/100+1)^4)-1</f>
        <v>3.2652999956630735E-2</v>
      </c>
      <c r="H51" s="32">
        <f>(((VLOOKUP(B51,'Data qoq'!$A:$AT,MATCH($H$1,'Data qoq'!$A$1:$AT$1,),))/100+1)^4)-1</f>
        <v>1.3967629067098031E-2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0.11130110185594289</v>
      </c>
      <c r="M51" s="32">
        <f>(((VLOOKUP(B51,'Data qoq'!$A:$AT,MATCH($M$1,'Data qoq'!$A$1:$AT$1,),))/100+1)^4)-1</f>
        <v>4.2464803081410096E-2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1.7379437745379755E-2</v>
      </c>
      <c r="R51" s="32">
        <f>(((VLOOKUP(B51,'Data qoq'!$A:$AT,MATCH($R$1,'Data qoq'!$A$1:$AT$1,),))/100+1)^4)-1</f>
        <v>2.8617652061821097E-2</v>
      </c>
      <c r="S51" s="32">
        <f>(((VLOOKUP(B51,'Data qoq'!$A:$AT,MATCH($S$1,'Data qoq'!$A$1:$AT$1,),))/100+1)^4)-1</f>
        <v>8.0696081465059244E-2</v>
      </c>
      <c r="T51" s="32">
        <f>(((VLOOKUP(B51,'Data qoq'!$A:$AT,MATCH($T$1,'Data qoq'!$A$1:$AT$1,),))/100+1)^4)-1</f>
        <v>9.3147263160603622E-2</v>
      </c>
      <c r="U51" s="32">
        <f>(((VLOOKUP(B51,'Data qoq'!$A:$AT,MATCH($U$1,'Data qoq'!$A$1:$AT$1,),))/100+1)^4)-1</f>
        <v>-0.2061119904923886</v>
      </c>
      <c r="V51" s="32">
        <f>(((VLOOKUP(B51,'Data qoq'!$A:$AT,MATCH($V$1,'Data qoq'!$A$1:$AT$1,),))/100+1)^4)-1</f>
        <v>0.12594746774593601</v>
      </c>
      <c r="W51" s="32">
        <f>(((VLOOKUP(B51,'Data qoq'!$A:$AT,MATCH($W$1,'Data qoq'!$A$1:$AT$1,),))/100+1)^4)-1</f>
        <v>-1.1747688664888067E-2</v>
      </c>
      <c r="X51" s="32">
        <f>(((VLOOKUP(B51,'Data qoq'!$A:$AT,MATCH($X$1,'Data qoq'!$A$1:$AT$1,),))/100+1)^4)-1</f>
        <v>2.7790125270331201E-2</v>
      </c>
      <c r="Y51" s="32">
        <f>(((VLOOKUP(B51,'Data qoq'!$A:$AT,MATCH($Y$1,'Data qoq'!$A$1:$AT$1,),))/100+1)^4)-1</f>
        <v>-1.679270928892751E-2</v>
      </c>
      <c r="Z51" s="32">
        <f>(((VLOOKUP(B51,'Data qoq'!$A:$AU,MATCH($Z$1,'Data qoq'!$A$1:$AU$1,),))/100+1)^4)-1</f>
        <v>0.12491894089045585</v>
      </c>
      <c r="AA51" s="32">
        <f>(((VLOOKUP(B51,'Data qoq'!$A:$AU,MATCH($AA$1,'Data qoq'!$A$1:$AU$1,),))/100+1)^4)-1</f>
        <v>1.3235733758091506E-2</v>
      </c>
      <c r="AC51" s="26" t="str">
        <f t="shared" si="8"/>
        <v>2010-Q1</v>
      </c>
      <c r="AD51" s="31">
        <f t="shared" si="9"/>
        <v>-1.2111425621894378E-2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3.9115529598493959E-2</v>
      </c>
      <c r="F52" s="32">
        <f>(((VLOOKUP(B52,'Data qoq'!$A:$AT,MATCH($F$1,'Data qoq'!$A$1:$AT$1,),))/100+1)^4)-1</f>
        <v>4.7909261360071564E-2</v>
      </c>
      <c r="G52" s="32">
        <f>(((VLOOKUP(B52,'Data qoq'!$A:$AT,MATCH($G$1,'Data qoq'!$A$1:$AT$1,),))/100+1)^4)-1</f>
        <v>9.2700508158469086E-2</v>
      </c>
      <c r="H52" s="32">
        <f>(((VLOOKUP(B52,'Data qoq'!$A:$AT,MATCH($H$1,'Data qoq'!$A$1:$AT$1,),))/100+1)^4)-1</f>
        <v>1.9315819064796846E-2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8.460373946093358E-2</v>
      </c>
      <c r="M52" s="32">
        <f>(((VLOOKUP(B52,'Data qoq'!$A:$AT,MATCH($M$1,'Data qoq'!$A$1:$AT$1,),))/100+1)^4)-1</f>
        <v>4.5253488745807813E-2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2.7484221524121111E-2</v>
      </c>
      <c r="R52" s="32">
        <f>(((VLOOKUP(B52,'Data qoq'!$A:$AT,MATCH($R$1,'Data qoq'!$A$1:$AT$1,),))/100+1)^4)-1</f>
        <v>3.3497649315062938E-2</v>
      </c>
      <c r="S52" s="32">
        <f>(((VLOOKUP(B52,'Data qoq'!$A:$AT,MATCH($S$1,'Data qoq'!$A$1:$AT$1,),))/100+1)^4)-1</f>
        <v>7.8185159694679873E-2</v>
      </c>
      <c r="T52" s="32">
        <f>(((VLOOKUP(B52,'Data qoq'!$A:$AT,MATCH($T$1,'Data qoq'!$A$1:$AT$1,),))/100+1)^4)-1</f>
        <v>3.9883928257272716E-2</v>
      </c>
      <c r="U52" s="32">
        <f>(((VLOOKUP(B52,'Data qoq'!$A:$AT,MATCH($U$1,'Data qoq'!$A$1:$AT$1,),))/100+1)^4)-1</f>
        <v>-0.14008141412094866</v>
      </c>
      <c r="V52" s="32">
        <f>(((VLOOKUP(B52,'Data qoq'!$A:$AT,MATCH($V$1,'Data qoq'!$A$1:$AT$1,),))/100+1)^4)-1</f>
        <v>3.1036259394858767E-3</v>
      </c>
      <c r="W52" s="32">
        <f>(((VLOOKUP(B52,'Data qoq'!$A:$AT,MATCH($W$1,'Data qoq'!$A$1:$AT$1,),))/100+1)^4)-1</f>
        <v>0.16091730554145811</v>
      </c>
      <c r="X52" s="32">
        <f>(((VLOOKUP(B52,'Data qoq'!$A:$AT,MATCH($X$1,'Data qoq'!$A$1:$AT$1,),))/100+1)^4)-1</f>
        <v>4.9720076228775945E-2</v>
      </c>
      <c r="Y52" s="32">
        <f>(((VLOOKUP(B52,'Data qoq'!$A:$AT,MATCH($Y$1,'Data qoq'!$A$1:$AT$1,),))/100+1)^4)-1</f>
        <v>6.2454387516801324E-2</v>
      </c>
      <c r="Z52" s="32">
        <f>(((VLOOKUP(B52,'Data qoq'!$A:$AU,MATCH($Z$1,'Data qoq'!$A$1:$AU$1,),))/100+1)^4)-1</f>
        <v>0.19496769939935965</v>
      </c>
      <c r="AA52" s="32">
        <f>(((VLOOKUP(B52,'Data qoq'!$A:$AU,MATCH($AA$1,'Data qoq'!$A$1:$AU$1,),))/100+1)^4)-1</f>
        <v>2.8594644973356731E-2</v>
      </c>
      <c r="AC52" s="26" t="str">
        <f t="shared" si="8"/>
        <v>2010-Q2</v>
      </c>
      <c r="AD52" s="31">
        <f t="shared" si="9"/>
        <v>-7.0004739560045603E-3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1.7544420256236704E-2</v>
      </c>
      <c r="F53" s="32">
        <f>(((VLOOKUP(B53,'Data qoq'!$A:$AT,MATCH($F$1,'Data qoq'!$A$1:$AT$1,),))/100+1)^4)-1</f>
        <v>7.4034642717777821E-2</v>
      </c>
      <c r="G53" s="32">
        <f>(((VLOOKUP(B53,'Data qoq'!$A:$AT,MATCH($G$1,'Data qoq'!$A$1:$AT$1,),))/100+1)^4)-1</f>
        <v>3.4013403380532825E-2</v>
      </c>
      <c r="H53" s="32">
        <f>(((VLOOKUP(B53,'Data qoq'!$A:$AT,MATCH($H$1,'Data qoq'!$A$1:$AT$1,),))/100+1)^4)-1</f>
        <v>2.5270518201399694E-2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4.9572745502296067E-2</v>
      </c>
      <c r="M53" s="32">
        <f>(((VLOOKUP(B53,'Data qoq'!$A:$AT,MATCH($M$1,'Data qoq'!$A$1:$AT$1,),))/100+1)^4)-1</f>
        <v>3.7936559308599627E-2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2.8505008856337E-2</v>
      </c>
      <c r="R53" s="32">
        <f>(((VLOOKUP(B53,'Data qoq'!$A:$AT,MATCH($R$1,'Data qoq'!$A$1:$AT$1,),))/100+1)^4)-1</f>
        <v>2.370633672168565E-2</v>
      </c>
      <c r="S53" s="32">
        <f>(((VLOOKUP(B53,'Data qoq'!$A:$AT,MATCH($S$1,'Data qoq'!$A$1:$AT$1,),))/100+1)^4)-1</f>
        <v>4.7015500777328967E-2</v>
      </c>
      <c r="T53" s="32">
        <f>(((VLOOKUP(B53,'Data qoq'!$A:$AT,MATCH($T$1,'Data qoq'!$A$1:$AT$1,),))/100+1)^4)-1</f>
        <v>4.1681084232480403E-2</v>
      </c>
      <c r="U53" s="32">
        <f>(((VLOOKUP(B53,'Data qoq'!$A:$AT,MATCH($U$1,'Data qoq'!$A$1:$AT$1,),))/100+1)^4)-1</f>
        <v>-0.1257474813089573</v>
      </c>
      <c r="V53" s="32">
        <f>(((VLOOKUP(B53,'Data qoq'!$A:$AT,MATCH($V$1,'Data qoq'!$A$1:$AT$1,),))/100+1)^4)-1</f>
        <v>2.0791754132134743E-2</v>
      </c>
      <c r="W53" s="32">
        <f>(((VLOOKUP(B53,'Data qoq'!$A:$AT,MATCH($W$1,'Data qoq'!$A$1:$AT$1,),))/100+1)^4)-1</f>
        <v>0.11551981408130807</v>
      </c>
      <c r="X53" s="32">
        <f>(((VLOOKUP(B53,'Data qoq'!$A:$AT,MATCH($X$1,'Data qoq'!$A$1:$AT$1,),))/100+1)^4)-1</f>
        <v>2.9647048332064108E-2</v>
      </c>
      <c r="Y53" s="32">
        <f>(((VLOOKUP(B53,'Data qoq'!$A:$AT,MATCH($Y$1,'Data qoq'!$A$1:$AT$1,),))/100+1)^4)-1</f>
        <v>5.3794998070099576E-2</v>
      </c>
      <c r="Z53" s="32">
        <f>(((VLOOKUP(B53,'Data qoq'!$A:$AU,MATCH($Z$1,'Data qoq'!$A$1:$AU$1,),))/100+1)^4)-1</f>
        <v>2.1690030023092E-2</v>
      </c>
      <c r="AA53" s="32">
        <f>(((VLOOKUP(B53,'Data qoq'!$A:$AU,MATCH($AA$1,'Data qoq'!$A$1:$AU$1,),))/100+1)^4)-1</f>
        <v>-9.9213784843479313E-3</v>
      </c>
      <c r="AC53" s="26" t="str">
        <f t="shared" si="8"/>
        <v>2010-Q3</v>
      </c>
      <c r="AD53" s="31">
        <f t="shared" si="9"/>
        <v>-1.0789270334139012E-2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2.4996714414024179E-2</v>
      </c>
      <c r="F54" s="32">
        <f>(((VLOOKUP(B54,'Data qoq'!$A:$AT,MATCH($F$1,'Data qoq'!$A$1:$AT$1,),))/100+1)^4)-1</f>
        <v>-3.1433848540932785E-2</v>
      </c>
      <c r="G54" s="32">
        <f>(((VLOOKUP(B54,'Data qoq'!$A:$AT,MATCH($G$1,'Data qoq'!$A$1:$AT$1,),))/100+1)^4)-1</f>
        <v>3.2839897230533932E-2</v>
      </c>
      <c r="H54" s="32">
        <f>(((VLOOKUP(B54,'Data qoq'!$A:$AT,MATCH($H$1,'Data qoq'!$A$1:$AT$1,),))/100+1)^4)-1</f>
        <v>2.7799257975729352E-2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6.6371306943712627E-2</v>
      </c>
      <c r="M54" s="32">
        <f>(((VLOOKUP(B54,'Data qoq'!$A:$AT,MATCH($M$1,'Data qoq'!$A$1:$AT$1,),))/100+1)^4)-1</f>
        <v>3.1283929861317006E-2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3.5502986311848339E-2</v>
      </c>
      <c r="R54" s="32">
        <f>(((VLOOKUP(B54,'Data qoq'!$A:$AT,MATCH($R$1,'Data qoq'!$A$1:$AT$1,),))/100+1)^4)-1</f>
        <v>3.0909321941593015E-2</v>
      </c>
      <c r="S54" s="32">
        <f>(((VLOOKUP(B54,'Data qoq'!$A:$AT,MATCH($S$1,'Data qoq'!$A$1:$AT$1,),))/100+1)^4)-1</f>
        <v>4.967206464572671E-2</v>
      </c>
      <c r="T54" s="32">
        <f>(((VLOOKUP(B54,'Data qoq'!$A:$AT,MATCH($T$1,'Data qoq'!$A$1:$AT$1,),))/100+1)^4)-1</f>
        <v>5.6208264396161445E-2</v>
      </c>
      <c r="U54" s="32">
        <f>(((VLOOKUP(B54,'Data qoq'!$A:$AT,MATCH($U$1,'Data qoq'!$A$1:$AT$1,),))/100+1)^4)-1</f>
        <v>-3.0251399549727553E-2</v>
      </c>
      <c r="V54" s="32">
        <f>(((VLOOKUP(B54,'Data qoq'!$A:$AT,MATCH($V$1,'Data qoq'!$A$1:$AT$1,),))/100+1)^4)-1</f>
        <v>-2.3475012741529078E-2</v>
      </c>
      <c r="W54" s="32">
        <f>(((VLOOKUP(B54,'Data qoq'!$A:$AT,MATCH($W$1,'Data qoq'!$A$1:$AT$1,),))/100+1)^4)-1</f>
        <v>0.12652273982063234</v>
      </c>
      <c r="X54" s="32">
        <f>(((VLOOKUP(B54,'Data qoq'!$A:$AT,MATCH($X$1,'Data qoq'!$A$1:$AT$1,),))/100+1)^4)-1</f>
        <v>1.8051835095031166E-2</v>
      </c>
      <c r="Y54" s="32">
        <f>(((VLOOKUP(B54,'Data qoq'!$A:$AT,MATCH($Y$1,'Data qoq'!$A$1:$AT$1,),))/100+1)^4)-1</f>
        <v>3.9681633452309351E-2</v>
      </c>
      <c r="Z54" s="32">
        <f>(((VLOOKUP(B54,'Data qoq'!$A:$AU,MATCH($Z$1,'Data qoq'!$A$1:$AU$1,),))/100+1)^4)-1</f>
        <v>5.4771180744068726E-2</v>
      </c>
      <c r="AA54" s="32">
        <f>(((VLOOKUP(B54,'Data qoq'!$A:$AU,MATCH($AA$1,'Data qoq'!$A$1:$AU$1,),))/100+1)^4)-1</f>
        <v>-2.0617034607044893E-2</v>
      </c>
      <c r="AC54" s="26" t="str">
        <f t="shared" si="8"/>
        <v>2010-Q4</v>
      </c>
      <c r="AD54" s="31">
        <f t="shared" si="9"/>
        <v>2.0160495475716633E-2</v>
      </c>
      <c r="AE54" s="27"/>
    </row>
    <row r="55" spans="1:31" hidden="1" x14ac:dyDescent="0.2">
      <c r="A55" s="30">
        <v>40603</v>
      </c>
      <c r="B55" s="24" t="s">
        <v>321</v>
      </c>
      <c r="C55" s="32">
        <f>(((VLOOKUP(B55,'Data qoq'!$A:$AT,MATCH($C$1,'Data qoq'!$A$1:$AT$1,),))/100+1)^4)-1</f>
        <v>-9.6018742868266838E-3</v>
      </c>
      <c r="D55" s="32">
        <f>(((VLOOKUP(B55,'Data qoq'!$A:$AT,MATCH($D$1,'Data qoq'!$A$1:$AT$1,),))/100+1)^4)-1</f>
        <v>0.10381289062499977</v>
      </c>
      <c r="E55" s="32">
        <f>(((VLOOKUP(B55,'Data qoq'!$A:$AT,MATCH($E$1,'Data qoq'!$A$1:$AT$1,),))/100+1)^4)-1</f>
        <v>3.4653882330465624E-2</v>
      </c>
      <c r="F55" s="32">
        <f>(((VLOOKUP(B55,'Data qoq'!$A:$AT,MATCH($F$1,'Data qoq'!$A$1:$AT$1,),))/100+1)^4)-1</f>
        <v>-4.1137042260290246E-2</v>
      </c>
      <c r="G55" s="32">
        <f>(((VLOOKUP(B55,'Data qoq'!$A:$AT,MATCH($G$1,'Data qoq'!$A$1:$AT$1,),))/100+1)^4)-1</f>
        <v>7.9506971010742333E-2</v>
      </c>
      <c r="H55" s="32">
        <f>(((VLOOKUP(B55,'Data qoq'!$A:$AT,MATCH($H$1,'Data qoq'!$A$1:$AT$1,),))/100+1)^4)-1</f>
        <v>4.1984637315931606E-2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1.4464346386479976E-2</v>
      </c>
      <c r="M55" s="32">
        <f>(((VLOOKUP(B55,'Data qoq'!$A:$AT,MATCH($M$1,'Data qoq'!$A$1:$AT$1,),))/100+1)^4)-1</f>
        <v>3.0664850597672322E-2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-1.192647786724077E-2</v>
      </c>
      <c r="R55" s="32">
        <f>(((VLOOKUP(B55,'Data qoq'!$A:$AT,MATCH($R$1,'Data qoq'!$A$1:$AT$1,),))/100+1)^4)-1</f>
        <v>2.5938381359180251E-2</v>
      </c>
      <c r="S55" s="32">
        <f>(((VLOOKUP(B55,'Data qoq'!$A:$AT,MATCH($S$1,'Data qoq'!$A$1:$AT$1,),))/100+1)^4)-1</f>
        <v>3.785092613561658E-2</v>
      </c>
      <c r="T55" s="32">
        <f>(((VLOOKUP(B55,'Data qoq'!$A:$AT,MATCH($T$1,'Data qoq'!$A$1:$AT$1,),))/100+1)^4)-1</f>
        <v>5.772485790240478E-2</v>
      </c>
      <c r="U55" s="32">
        <f>(((VLOOKUP(B55,'Data qoq'!$A:$AT,MATCH($U$1,'Data qoq'!$A$1:$AT$1,),))/100+1)^4)-1</f>
        <v>-0.14625630592278205</v>
      </c>
      <c r="V55" s="32">
        <f>(((VLOOKUP(B55,'Data qoq'!$A:$AT,MATCH($V$1,'Data qoq'!$A$1:$AT$1,),))/100+1)^4)-1</f>
        <v>3.2653520347421194E-2</v>
      </c>
      <c r="W55" s="32">
        <f>(((VLOOKUP(B55,'Data qoq'!$A:$AT,MATCH($W$1,'Data qoq'!$A$1:$AT$1,),))/100+1)^4)-1</f>
        <v>9.3248308427080318E-2</v>
      </c>
      <c r="X55" s="32">
        <f>(((VLOOKUP(B55,'Data qoq'!$A:$AT,MATCH($X$1,'Data qoq'!$A$1:$AT$1,),))/100+1)^4)-1</f>
        <v>2.3119085121795502E-2</v>
      </c>
      <c r="Y55" s="32">
        <f>(((VLOOKUP(B55,'Data qoq'!$A:$AT,MATCH($Y$1,'Data qoq'!$A$1:$AT$1,),))/100+1)^4)-1</f>
        <v>4.5890076066925189E-2</v>
      </c>
      <c r="Z55" s="32">
        <f>(((VLOOKUP(B55,'Data qoq'!$A:$AU,MATCH($Z$1,'Data qoq'!$A$1:$AU$1,),))/100+1)^4)-1</f>
        <v>9.7997810177663069E-2</v>
      </c>
      <c r="AA55" s="32">
        <f>(((VLOOKUP(B55,'Data qoq'!$A:$AU,MATCH($AA$1,'Data qoq'!$A$1:$AU$1,),))/100+1)^4)-1</f>
        <v>4.437002626974329E-2</v>
      </c>
      <c r="AC55" s="26" t="str">
        <f t="shared" si="8"/>
        <v>2011-Q1</v>
      </c>
      <c r="AD55" s="31">
        <f t="shared" si="9"/>
        <v>1.60309778070995E-2</v>
      </c>
      <c r="AE55" s="27"/>
    </row>
    <row r="56" spans="1:31" hidden="1" x14ac:dyDescent="0.2">
      <c r="A56" s="30">
        <v>40695</v>
      </c>
      <c r="B56" s="24" t="s">
        <v>322</v>
      </c>
      <c r="C56" s="32">
        <f>(((VLOOKUP(B56,'Data qoq'!$A:$AT,MATCH($C$1,'Data qoq'!$A$1:$AT$1,),))/100+1)^4)-1</f>
        <v>2.7399130789267812E-2</v>
      </c>
      <c r="D56" s="32">
        <f>(((VLOOKUP(B56,'Data qoq'!$A:$AT,MATCH($D$1,'Data qoq'!$A$1:$AT$1,),))/100+1)^4)-1</f>
        <v>9.0946826256000035E-2</v>
      </c>
      <c r="E56" s="32">
        <f>(((VLOOKUP(B56,'Data qoq'!$A:$AT,MATCH($E$1,'Data qoq'!$A$1:$AT$1,),))/100+1)^4)-1</f>
        <v>-1.0056605199548763E-3</v>
      </c>
      <c r="F56" s="32">
        <f>(((VLOOKUP(B56,'Data qoq'!$A:$AT,MATCH($F$1,'Data qoq'!$A$1:$AT$1,),))/100+1)^4)-1</f>
        <v>-3.4717863221168876E-2</v>
      </c>
      <c r="G56" s="32">
        <f>(((VLOOKUP(B56,'Data qoq'!$A:$AT,MATCH($G$1,'Data qoq'!$A$1:$AT$1,),))/100+1)^4)-1</f>
        <v>3.3720225030580142E-3</v>
      </c>
      <c r="H56" s="32">
        <f>(((VLOOKUP(B56,'Data qoq'!$A:$AT,MATCH($H$1,'Data qoq'!$A$1:$AT$1,),))/100+1)^4)-1</f>
        <v>-3.9520734586929729E-3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1.2816427544235065E-2</v>
      </c>
      <c r="M56" s="32">
        <f>(((VLOOKUP(B56,'Data qoq'!$A:$AT,MATCH($M$1,'Data qoq'!$A$1:$AT$1,),))/100+1)^4)-1</f>
        <v>2.1820782758861235E-2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5.2919196536367563E-2</v>
      </c>
      <c r="R56" s="32">
        <f>(((VLOOKUP(B56,'Data qoq'!$A:$AT,MATCH($R$1,'Data qoq'!$A$1:$AT$1,),))/100+1)^4)-1</f>
        <v>1.8883322572956995E-2</v>
      </c>
      <c r="S56" s="32">
        <f>(((VLOOKUP(B56,'Data qoq'!$A:$AT,MATCH($S$1,'Data qoq'!$A$1:$AT$1,),))/100+1)^4)-1</f>
        <v>1.9776641418433272E-2</v>
      </c>
      <c r="T56" s="32">
        <f>(((VLOOKUP(B56,'Data qoq'!$A:$AT,MATCH($T$1,'Data qoq'!$A$1:$AT$1,),))/100+1)^4)-1</f>
        <v>3.9900939358471943E-2</v>
      </c>
      <c r="U56" s="32">
        <f>(((VLOOKUP(B56,'Data qoq'!$A:$AT,MATCH($U$1,'Data qoq'!$A$1:$AT$1,),))/100+1)^4)-1</f>
        <v>-6.944426408293447E-2</v>
      </c>
      <c r="V56" s="32">
        <f>(((VLOOKUP(B56,'Data qoq'!$A:$AT,MATCH($V$1,'Data qoq'!$A$1:$AT$1,),))/100+1)^4)-1</f>
        <v>6.1886407279687861E-2</v>
      </c>
      <c r="W56" s="32">
        <f>(((VLOOKUP(B56,'Data qoq'!$A:$AT,MATCH($W$1,'Data qoq'!$A$1:$AT$1,),))/100+1)^4)-1</f>
        <v>0.11452106368858472</v>
      </c>
      <c r="X56" s="32">
        <f>(((VLOOKUP(B56,'Data qoq'!$A:$AT,MATCH($X$1,'Data qoq'!$A$1:$AT$1,),))/100+1)^4)-1</f>
        <v>1.2813234152307507E-2</v>
      </c>
      <c r="Y56" s="32">
        <f>(((VLOOKUP(B56,'Data qoq'!$A:$AT,MATCH($Y$1,'Data qoq'!$A$1:$AT$1,),))/100+1)^4)-1</f>
        <v>5.4481698968527281E-2</v>
      </c>
      <c r="Z56" s="32">
        <f>(((VLOOKUP(B56,'Data qoq'!$A:$AU,MATCH($Z$1,'Data qoq'!$A$1:$AU$1,),))/100+1)^4)-1</f>
        <v>3.8865443217297457E-2</v>
      </c>
      <c r="AA56" s="32">
        <f>(((VLOOKUP(B56,'Data qoq'!$A:$AU,MATCH($AA$1,'Data qoq'!$A$1:$AU$1,),))/100+1)^4)-1</f>
        <v>2.0412277183887495E-2</v>
      </c>
      <c r="AC56" s="26" t="str">
        <f t="shared" si="8"/>
        <v>2011-Q2</v>
      </c>
      <c r="AD56" s="31">
        <f t="shared" si="9"/>
        <v>-5.0561010195695477E-3</v>
      </c>
      <c r="AE56" s="27"/>
    </row>
    <row r="57" spans="1:31" hidden="1" x14ac:dyDescent="0.2">
      <c r="A57" s="30">
        <v>40787</v>
      </c>
      <c r="B57" s="24" t="s">
        <v>323</v>
      </c>
      <c r="C57" s="32">
        <f>(((VLOOKUP(B57,'Data qoq'!$A:$AT,MATCH($C$1,'Data qoq'!$A$1:$AT$1,),))/100+1)^4)-1</f>
        <v>-1.5497850172727645E-3</v>
      </c>
      <c r="D57" s="32">
        <f>(((VLOOKUP(B57,'Data qoq'!$A:$AT,MATCH($D$1,'Data qoq'!$A$1:$AT$1,),))/100+1)^4)-1</f>
        <v>7.819356632099983E-2</v>
      </c>
      <c r="E57" s="32">
        <f>(((VLOOKUP(B57,'Data qoq'!$A:$AT,MATCH($E$1,'Data qoq'!$A$1:$AT$1,),))/100+1)^4)-1</f>
        <v>5.8462132945023004E-3</v>
      </c>
      <c r="F57" s="32">
        <f>(((VLOOKUP(B57,'Data qoq'!$A:$AT,MATCH($F$1,'Data qoq'!$A$1:$AT$1,),))/100+1)^4)-1</f>
        <v>0.10028893851765064</v>
      </c>
      <c r="G57" s="32">
        <f>(((VLOOKUP(B57,'Data qoq'!$A:$AT,MATCH($G$1,'Data qoq'!$A$1:$AT$1,),))/100+1)^4)-1</f>
        <v>3.6233888012051851E-2</v>
      </c>
      <c r="H57" s="32">
        <f>(((VLOOKUP(B57,'Data qoq'!$A:$AT,MATCH($H$1,'Data qoq'!$A$1:$AT$1,),))/100+1)^4)-1</f>
        <v>1.9143271259532746E-2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5.3311042996769809E-2</v>
      </c>
      <c r="M57" s="32">
        <f>(((VLOOKUP(B57,'Data qoq'!$A:$AT,MATCH($M$1,'Data qoq'!$A$1:$AT$1,),))/100+1)^4)-1</f>
        <v>7.9869284593729439E-2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5.5346109364200036E-2</v>
      </c>
      <c r="R57" s="32">
        <f>(((VLOOKUP(B57,'Data qoq'!$A:$AT,MATCH($R$1,'Data qoq'!$A$1:$AT$1,),))/100+1)^4)-1</f>
        <v>-1.4991478256036861E-2</v>
      </c>
      <c r="S57" s="32">
        <f>(((VLOOKUP(B57,'Data qoq'!$A:$AT,MATCH($S$1,'Data qoq'!$A$1:$AT$1,),))/100+1)^4)-1</f>
        <v>2.1219739432011941E-2</v>
      </c>
      <c r="T57" s="32">
        <f>(((VLOOKUP(B57,'Data qoq'!$A:$AT,MATCH($T$1,'Data qoq'!$A$1:$AT$1,),))/100+1)^4)-1</f>
        <v>-8.4033985387191867E-3</v>
      </c>
      <c r="U57" s="32">
        <f>(((VLOOKUP(B57,'Data qoq'!$A:$AT,MATCH($U$1,'Data qoq'!$A$1:$AT$1,),))/100+1)^4)-1</f>
        <v>-7.8682891851530212E-2</v>
      </c>
      <c r="V57" s="32">
        <f>(((VLOOKUP(B57,'Data qoq'!$A:$AT,MATCH($V$1,'Data qoq'!$A$1:$AT$1,),))/100+1)^4)-1</f>
        <v>-6.7981044656404088E-2</v>
      </c>
      <c r="W57" s="32">
        <f>(((VLOOKUP(B57,'Data qoq'!$A:$AT,MATCH($W$1,'Data qoq'!$A$1:$AT$1,),))/100+1)^4)-1</f>
        <v>0.11067107889866001</v>
      </c>
      <c r="X57" s="32">
        <f>(((VLOOKUP(B57,'Data qoq'!$A:$AT,MATCH($X$1,'Data qoq'!$A$1:$AT$1,),))/100+1)^4)-1</f>
        <v>-7.3957304672230828E-3</v>
      </c>
      <c r="Y57" s="32">
        <f>(((VLOOKUP(B57,'Data qoq'!$A:$AT,MATCH($Y$1,'Data qoq'!$A$1:$AT$1,),))/100+1)^4)-1</f>
        <v>5.2528176257605974E-2</v>
      </c>
      <c r="Z57" s="32">
        <f>(((VLOOKUP(B57,'Data qoq'!$A:$AU,MATCH($Z$1,'Data qoq'!$A$1:$AU$1,),))/100+1)^4)-1</f>
        <v>3.2905989331980301E-2</v>
      </c>
      <c r="AA57" s="32">
        <f>(((VLOOKUP(B57,'Data qoq'!$A:$AU,MATCH($AA$1,'Data qoq'!$A$1:$AU$1,),))/100+1)^4)-1</f>
        <v>4.1835655529542715E-2</v>
      </c>
      <c r="AC57" s="26" t="str">
        <f t="shared" si="8"/>
        <v>2011-Q3</v>
      </c>
      <c r="AD57" s="31">
        <f t="shared" si="9"/>
        <v>-6.989576682164822E-3</v>
      </c>
      <c r="AE57" s="27"/>
    </row>
    <row r="58" spans="1:31" hidden="1" x14ac:dyDescent="0.2">
      <c r="A58" s="30">
        <v>40878</v>
      </c>
      <c r="B58" s="24" t="s">
        <v>324</v>
      </c>
      <c r="C58" s="32">
        <f>(((VLOOKUP(B58,'Data qoq'!$A:$AT,MATCH($C$1,'Data qoq'!$A$1:$AT$1,),))/100+1)^4)-1</f>
        <v>4.5627685328668566E-2</v>
      </c>
      <c r="D58" s="32">
        <f>(((VLOOKUP(B58,'Data qoq'!$A:$AT,MATCH($D$1,'Data qoq'!$A$1:$AT$1,),))/100+1)^4)-1</f>
        <v>6.136355062499943E-2</v>
      </c>
      <c r="E58" s="32">
        <f>(((VLOOKUP(B58,'Data qoq'!$A:$AT,MATCH($E$1,'Data qoq'!$A$1:$AT$1,),))/100+1)^4)-1</f>
        <v>-1.6320355541918463E-2</v>
      </c>
      <c r="F58" s="32">
        <f>(((VLOOKUP(B58,'Data qoq'!$A:$AT,MATCH($F$1,'Data qoq'!$A$1:$AT$1,),))/100+1)^4)-1</f>
        <v>-5.1419527557505784E-3</v>
      </c>
      <c r="G58" s="32">
        <f>(((VLOOKUP(B58,'Data qoq'!$A:$AT,MATCH($G$1,'Data qoq'!$A$1:$AT$1,),))/100+1)^4)-1</f>
        <v>-1.2447569101925682E-2</v>
      </c>
      <c r="H58" s="32">
        <f>(((VLOOKUP(B58,'Data qoq'!$A:$AT,MATCH($H$1,'Data qoq'!$A$1:$AT$1,),))/100+1)^4)-1</f>
        <v>8.021591111161408E-3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-5.4629046255278424E-2</v>
      </c>
      <c r="M58" s="32">
        <f>(((VLOOKUP(B58,'Data qoq'!$A:$AT,MATCH($M$1,'Data qoq'!$A$1:$AT$1,),))/100+1)^4)-1</f>
        <v>2.6480272100192659E-2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4.3699090893434489E-2</v>
      </c>
      <c r="R58" s="32">
        <f>(((VLOOKUP(B58,'Data qoq'!$A:$AT,MATCH($R$1,'Data qoq'!$A$1:$AT$1,),))/100+1)^4)-1</f>
        <v>4.5322009557189347E-3</v>
      </c>
      <c r="S58" s="32">
        <f>(((VLOOKUP(B58,'Data qoq'!$A:$AT,MATCH($S$1,'Data qoq'!$A$1:$AT$1,),))/100+1)^4)-1</f>
        <v>1.9026183910156647E-2</v>
      </c>
      <c r="T58" s="32">
        <f>(((VLOOKUP(B58,'Data qoq'!$A:$AT,MATCH($T$1,'Data qoq'!$A$1:$AT$1,),))/100+1)^4)-1</f>
        <v>3.2929199979216728E-2</v>
      </c>
      <c r="U58" s="32">
        <f>(((VLOOKUP(B58,'Data qoq'!$A:$AT,MATCH($U$1,'Data qoq'!$A$1:$AT$1,),))/100+1)^4)-1</f>
        <v>-0.16783227731001304</v>
      </c>
      <c r="V58" s="32">
        <f>(((VLOOKUP(B58,'Data qoq'!$A:$AT,MATCH($V$1,'Data qoq'!$A$1:$AT$1,),))/100+1)^4)-1</f>
        <v>2.043437479875454E-3</v>
      </c>
      <c r="W58" s="32">
        <f>(((VLOOKUP(B58,'Data qoq'!$A:$AT,MATCH($W$1,'Data qoq'!$A$1:$AT$1,),))/100+1)^4)-1</f>
        <v>5.5407892449708784E-2</v>
      </c>
      <c r="X58" s="32">
        <f>(((VLOOKUP(B58,'Data qoq'!$A:$AT,MATCH($X$1,'Data qoq'!$A$1:$AT$1,),))/100+1)^4)-1</f>
        <v>4.1416582834048477E-3</v>
      </c>
      <c r="Y58" s="32">
        <f>(((VLOOKUP(B58,'Data qoq'!$A:$AT,MATCH($Y$1,'Data qoq'!$A$1:$AT$1,),))/100+1)^4)-1</f>
        <v>2.55931586994258E-2</v>
      </c>
      <c r="Z58" s="32">
        <f>(((VLOOKUP(B58,'Data qoq'!$A:$AU,MATCH($Z$1,'Data qoq'!$A$1:$AU$1,),))/100+1)^4)-1</f>
        <v>2.8443994738838185E-3</v>
      </c>
      <c r="AA58" s="32">
        <f>(((VLOOKUP(B58,'Data qoq'!$A:$AU,MATCH($AA$1,'Data qoq'!$A$1:$AU$1,),))/100+1)^4)-1</f>
        <v>2.316931887524909E-2</v>
      </c>
      <c r="AC58" s="26" t="str">
        <f t="shared" si="8"/>
        <v>2011-Q4</v>
      </c>
      <c r="AD58" s="31">
        <f t="shared" si="9"/>
        <v>-2.1418579373370772E-2</v>
      </c>
      <c r="AE58" s="27"/>
    </row>
    <row r="59" spans="1:31" hidden="1" x14ac:dyDescent="0.2">
      <c r="A59" s="30">
        <v>40969</v>
      </c>
      <c r="B59" s="24" t="s">
        <v>325</v>
      </c>
      <c r="C59" s="32">
        <f>(((VLOOKUP(B59,'Data qoq'!$A:$AT,MATCH($C$1,'Data qoq'!$A$1:$AT$1,),))/100+1)^4)-1</f>
        <v>3.3120505698075231E-2</v>
      </c>
      <c r="D59" s="32">
        <f>(((VLOOKUP(B59,'Data qoq'!$A:$AT,MATCH($D$1,'Data qoq'!$A$1:$AT$1,),))/100+1)^4)-1</f>
        <v>6.9753735520999616E-2</v>
      </c>
      <c r="E59" s="32">
        <f>(((VLOOKUP(B59,'Data qoq'!$A:$AT,MATCH($E$1,'Data qoq'!$A$1:$AT$1,),))/100+1)^4)-1</f>
        <v>-8.6164579725562795E-3</v>
      </c>
      <c r="F59" s="32">
        <f>(((VLOOKUP(B59,'Data qoq'!$A:$AT,MATCH($F$1,'Data qoq'!$A$1:$AT$1,),))/100+1)^4)-1</f>
        <v>5.7049162594305036E-2</v>
      </c>
      <c r="G59" s="32">
        <f>(((VLOOKUP(B59,'Data qoq'!$A:$AT,MATCH($G$1,'Data qoq'!$A$1:$AT$1,),))/100+1)^4)-1</f>
        <v>8.4956184712206007E-3</v>
      </c>
      <c r="H59" s="32">
        <f>(((VLOOKUP(B59,'Data qoq'!$A:$AT,MATCH($H$1,'Data qoq'!$A$1:$AT$1,),))/100+1)^4)-1</f>
        <v>1.319459162635761E-3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7.0391328523706775E-3</v>
      </c>
      <c r="M59" s="32">
        <f>(((VLOOKUP(B59,'Data qoq'!$A:$AT,MATCH($M$1,'Data qoq'!$A$1:$AT$1,),))/100+1)^4)-1</f>
        <v>2.6417711706389735E-2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3.8297683808781846E-2</v>
      </c>
      <c r="R59" s="32">
        <f>(((VLOOKUP(B59,'Data qoq'!$A:$AT,MATCH($R$1,'Data qoq'!$A$1:$AT$1,),))/100+1)^4)-1</f>
        <v>4.2099910605038149E-2</v>
      </c>
      <c r="S59" s="32">
        <f>(((VLOOKUP(B59,'Data qoq'!$A:$AT,MATCH($S$1,'Data qoq'!$A$1:$AT$1,),))/100+1)^4)-1</f>
        <v>3.5078865103473689E-2</v>
      </c>
      <c r="T59" s="32">
        <f>(((VLOOKUP(B59,'Data qoq'!$A:$AT,MATCH($T$1,'Data qoq'!$A$1:$AT$1,),))/100+1)^4)-1</f>
        <v>-5.0447760660036201E-2</v>
      </c>
      <c r="U59" s="32">
        <f>(((VLOOKUP(B59,'Data qoq'!$A:$AT,MATCH($U$1,'Data qoq'!$A$1:$AT$1,),))/100+1)^4)-1</f>
        <v>-1.1502289872347693E-2</v>
      </c>
      <c r="V59" s="32">
        <f>(((VLOOKUP(B59,'Data qoq'!$A:$AT,MATCH($V$1,'Data qoq'!$A$1:$AT$1,),))/100+1)^4)-1</f>
        <v>-2.1152658942525604E-2</v>
      </c>
      <c r="W59" s="32">
        <f>(((VLOOKUP(B59,'Data qoq'!$A:$AT,MATCH($W$1,'Data qoq'!$A$1:$AT$1,),))/100+1)^4)-1</f>
        <v>-3.5118743335027403E-2</v>
      </c>
      <c r="X59" s="32">
        <f>(((VLOOKUP(B59,'Data qoq'!$A:$AT,MATCH($X$1,'Data qoq'!$A$1:$AT$1,),))/100+1)^4)-1</f>
        <v>-6.7690796101227413E-3</v>
      </c>
      <c r="Y59" s="32">
        <f>(((VLOOKUP(B59,'Data qoq'!$A:$AT,MATCH($Y$1,'Data qoq'!$A$1:$AT$1,),))/100+1)^4)-1</f>
        <v>2.7634096148219101E-3</v>
      </c>
      <c r="Z59" s="32">
        <f>(((VLOOKUP(B59,'Data qoq'!$A:$AU,MATCH($Z$1,'Data qoq'!$A$1:$AU$1,),))/100+1)^4)-1</f>
        <v>-4.3513013632327957E-2</v>
      </c>
      <c r="AA59" s="32">
        <f>(((VLOOKUP(B59,'Data qoq'!$A:$AU,MATCH($AA$1,'Data qoq'!$A$1:$AU$1,),))/100+1)^4)-1</f>
        <v>2.4886139606172586E-2</v>
      </c>
      <c r="AC59" s="26" t="str">
        <f t="shared" si="8"/>
        <v>2012-Q1</v>
      </c>
      <c r="AD59" s="31">
        <f t="shared" si="9"/>
        <v>-3.5997411362194587E-2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-1.0613811647486537E-2</v>
      </c>
      <c r="F60" s="32">
        <f>(((VLOOKUP(B60,'Data qoq'!$A:$AT,MATCH($F$1,'Data qoq'!$A$1:$AT$1,),))/100+1)^4)-1</f>
        <v>-3.6133969709162495E-2</v>
      </c>
      <c r="G60" s="32">
        <f>(((VLOOKUP(B60,'Data qoq'!$A:$AT,MATCH($G$1,'Data qoq'!$A$1:$AT$1,),))/100+1)^4)-1</f>
        <v>7.5327511595826291E-3</v>
      </c>
      <c r="H60" s="32">
        <f>(((VLOOKUP(B60,'Data qoq'!$A:$AT,MATCH($H$1,'Data qoq'!$A$1:$AT$1,),))/100+1)^4)-1</f>
        <v>-6.4598038903874722E-3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5.948812455131236E-3</v>
      </c>
      <c r="M60" s="32">
        <f>(((VLOOKUP(B60,'Data qoq'!$A:$AT,MATCH($M$1,'Data qoq'!$A$1:$AT$1,),))/100+1)^4)-1</f>
        <v>3.5264654858208067E-2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3.0229565598443475E-2</v>
      </c>
      <c r="R60" s="32">
        <f>(((VLOOKUP(B60,'Data qoq'!$A:$AT,MATCH($R$1,'Data qoq'!$A$1:$AT$1,),))/100+1)^4)-1</f>
        <v>-2.3351206145878489E-3</v>
      </c>
      <c r="S60" s="32">
        <f>(((VLOOKUP(B60,'Data qoq'!$A:$AT,MATCH($S$1,'Data qoq'!$A$1:$AT$1,),))/100+1)^4)-1</f>
        <v>2.2831907295441045E-2</v>
      </c>
      <c r="T60" s="32">
        <f>(((VLOOKUP(B60,'Data qoq'!$A:$AT,MATCH($T$1,'Data qoq'!$A$1:$AT$1,),))/100+1)^4)-1</f>
        <v>7.0632785422554134E-2</v>
      </c>
      <c r="U60" s="32">
        <f>(((VLOOKUP(B60,'Data qoq'!$A:$AT,MATCH($U$1,'Data qoq'!$A$1:$AT$1,),))/100+1)^4)-1</f>
        <v>-6.7904355484191825E-2</v>
      </c>
      <c r="V60" s="32">
        <f>(((VLOOKUP(B60,'Data qoq'!$A:$AT,MATCH($V$1,'Data qoq'!$A$1:$AT$1,),))/100+1)^4)-1</f>
        <v>8.8361883744249914E-2</v>
      </c>
      <c r="W60" s="32">
        <f>(((VLOOKUP(B60,'Data qoq'!$A:$AT,MATCH($W$1,'Data qoq'!$A$1:$AT$1,),))/100+1)^4)-1</f>
        <v>7.091239531984761E-2</v>
      </c>
      <c r="X60" s="32">
        <f>(((VLOOKUP(B60,'Data qoq'!$A:$AT,MATCH($X$1,'Data qoq'!$A$1:$AT$1,),))/100+1)^4)-1</f>
        <v>-2.1273831756991934E-2</v>
      </c>
      <c r="Y60" s="32">
        <f>(((VLOOKUP(B60,'Data qoq'!$A:$AT,MATCH($Y$1,'Data qoq'!$A$1:$AT$1,),))/100+1)^4)-1</f>
        <v>-9.7701558296878765E-3</v>
      </c>
      <c r="Z60" s="32">
        <f>(((VLOOKUP(B60,'Data qoq'!$A:$AU,MATCH($Z$1,'Data qoq'!$A$1:$AU$1,),))/100+1)^4)-1</f>
        <v>-0.12971594128406194</v>
      </c>
      <c r="AA60" s="32">
        <f>(((VLOOKUP(B60,'Data qoq'!$A:$AU,MATCH($AA$1,'Data qoq'!$A$1:$AU$1,),))/100+1)^4)-1</f>
        <v>1.3578395754657135E-2</v>
      </c>
      <c r="AC60" s="26" t="str">
        <f t="shared" si="8"/>
        <v>2012-Q2</v>
      </c>
      <c r="AD60" s="31">
        <f t="shared" si="9"/>
        <v>-8.2618896244289752E-3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-4.1454201816736314E-3</v>
      </c>
      <c r="F61" s="32">
        <f>(((VLOOKUP(B61,'Data qoq'!$A:$AT,MATCH($F$1,'Data qoq'!$A$1:$AT$1,),))/100+1)^4)-1</f>
        <v>-1.5445344312246423E-2</v>
      </c>
      <c r="G61" s="32">
        <f>(((VLOOKUP(B61,'Data qoq'!$A:$AT,MATCH($G$1,'Data qoq'!$A$1:$AT$1,),))/100+1)^4)-1</f>
        <v>1.1713986632237106E-2</v>
      </c>
      <c r="H61" s="32">
        <f>(((VLOOKUP(B61,'Data qoq'!$A:$AT,MATCH($H$1,'Data qoq'!$A$1:$AT$1,),))/100+1)^4)-1</f>
        <v>9.8114508279334434E-3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-5.3202739240347796E-3</v>
      </c>
      <c r="M61" s="32">
        <f>(((VLOOKUP(B61,'Data qoq'!$A:$AT,MATCH($M$1,'Data qoq'!$A$1:$AT$1,),))/100+1)^4)-1</f>
        <v>2.2733546174071417E-2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2.418021104144441E-2</v>
      </c>
      <c r="R61" s="32">
        <f>(((VLOOKUP(B61,'Data qoq'!$A:$AT,MATCH($R$1,'Data qoq'!$A$1:$AT$1,),))/100+1)^4)-1</f>
        <v>2.8288303178114482E-2</v>
      </c>
      <c r="S61" s="32">
        <f>(((VLOOKUP(B61,'Data qoq'!$A:$AT,MATCH($S$1,'Data qoq'!$A$1:$AT$1,),))/100+1)^4)-1</f>
        <v>1.8193908293724803E-2</v>
      </c>
      <c r="T61" s="32">
        <f>(((VLOOKUP(B61,'Data qoq'!$A:$AT,MATCH($T$1,'Data qoq'!$A$1:$AT$1,),))/100+1)^4)-1</f>
        <v>7.0549550390749394E-2</v>
      </c>
      <c r="U61" s="32">
        <f>(((VLOOKUP(B61,'Data qoq'!$A:$AT,MATCH($U$1,'Data qoq'!$A$1:$AT$1,),))/100+1)^4)-1</f>
        <v>-5.6869843454314561E-2</v>
      </c>
      <c r="V61" s="32">
        <f>(((VLOOKUP(B61,'Data qoq'!$A:$AT,MATCH($V$1,'Data qoq'!$A$1:$AT$1,),))/100+1)^4)-1</f>
        <v>-6.9021771296843837E-2</v>
      </c>
      <c r="W61" s="32">
        <f>(((VLOOKUP(B61,'Data qoq'!$A:$AT,MATCH($W$1,'Data qoq'!$A$1:$AT$1,),))/100+1)^4)-1</f>
        <v>7.2482536490507066E-2</v>
      </c>
      <c r="X61" s="32">
        <f>(((VLOOKUP(B61,'Data qoq'!$A:$AT,MATCH($X$1,'Data qoq'!$A$1:$AT$1,),))/100+1)^4)-1</f>
        <v>-1.4361985007209088E-2</v>
      </c>
      <c r="Y61" s="32">
        <f>(((VLOOKUP(B61,'Data qoq'!$A:$AT,MATCH($Y$1,'Data qoq'!$A$1:$AT$1,),))/100+1)^4)-1</f>
        <v>1.7621220414340222E-2</v>
      </c>
      <c r="Z61" s="32">
        <f>(((VLOOKUP(B61,'Data qoq'!$A:$AU,MATCH($Z$1,'Data qoq'!$A$1:$AU$1,),))/100+1)^4)-1</f>
        <v>0.13240236709989395</v>
      </c>
      <c r="AA61" s="32">
        <f>(((VLOOKUP(B61,'Data qoq'!$A:$AU,MATCH($AA$1,'Data qoq'!$A$1:$AU$1,),))/100+1)^4)-1</f>
        <v>1.0136547439677956E-2</v>
      </c>
      <c r="AC61" s="26" t="str">
        <f t="shared" si="8"/>
        <v>2012-Q3</v>
      </c>
      <c r="AD61" s="31">
        <f t="shared" si="9"/>
        <v>-5.403456659381678E-2</v>
      </c>
      <c r="AE61" s="27"/>
    </row>
    <row r="62" spans="1:31" hidden="1" x14ac:dyDescent="0.2">
      <c r="A62" s="30">
        <v>41244</v>
      </c>
      <c r="B62" s="24" t="s">
        <v>328</v>
      </c>
      <c r="C62" s="32">
        <f>(((VLOOKUP(B62,'Data qoq'!$A:$AT,MATCH($C$1,'Data qoq'!$A$1:$AT$1,),))/100+1)^4)-1</f>
        <v>4.4007666225549524E-3</v>
      </c>
      <c r="D62" s="32">
        <f>(((VLOOKUP(B62,'Data qoq'!$A:$AT,MATCH($D$1,'Data qoq'!$A$1:$AT$1,),))/100+1)^4)-1</f>
        <v>7.819356632099983E-2</v>
      </c>
      <c r="E62" s="32">
        <f>(((VLOOKUP(B62,'Data qoq'!$A:$AT,MATCH($E$1,'Data qoq'!$A$1:$AT$1,),))/100+1)^4)-1</f>
        <v>-1.7518798882225739E-2</v>
      </c>
      <c r="F62" s="32">
        <f>(((VLOOKUP(B62,'Data qoq'!$A:$AT,MATCH($F$1,'Data qoq'!$A$1:$AT$1,),))/100+1)^4)-1</f>
        <v>-2.8344160910498406E-3</v>
      </c>
      <c r="G62" s="32">
        <f>(((VLOOKUP(B62,'Data qoq'!$A:$AT,MATCH($G$1,'Data qoq'!$A$1:$AT$1,),))/100+1)^4)-1</f>
        <v>-1.7739730415393229E-2</v>
      </c>
      <c r="H62" s="32">
        <f>(((VLOOKUP(B62,'Data qoq'!$A:$AT,MATCH($H$1,'Data qoq'!$A$1:$AT$1,),))/100+1)^4)-1</f>
        <v>-5.1504797355892418E-3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-2.7638516253490675E-2</v>
      </c>
      <c r="M62" s="32">
        <f>(((VLOOKUP(B62,'Data qoq'!$A:$AT,MATCH($M$1,'Data qoq'!$A$1:$AT$1,),))/100+1)^4)-1</f>
        <v>3.4642579688674013E-2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1.9321533972792126E-2</v>
      </c>
      <c r="R62" s="32">
        <f>(((VLOOKUP(B62,'Data qoq'!$A:$AT,MATCH($R$1,'Data qoq'!$A$1:$AT$1,),))/100+1)^4)-1</f>
        <v>-3.6128375355881648E-3</v>
      </c>
      <c r="S62" s="32">
        <f>(((VLOOKUP(B62,'Data qoq'!$A:$AT,MATCH($S$1,'Data qoq'!$A$1:$AT$1,),))/100+1)^4)-1</f>
        <v>2.0241808681939366E-2</v>
      </c>
      <c r="T62" s="32">
        <f>(((VLOOKUP(B62,'Data qoq'!$A:$AT,MATCH($T$1,'Data qoq'!$A$1:$AT$1,),))/100+1)^4)-1</f>
        <v>7.8511424583549427E-4</v>
      </c>
      <c r="U62" s="32">
        <f>(((VLOOKUP(B62,'Data qoq'!$A:$AT,MATCH($U$1,'Data qoq'!$A$1:$AT$1,),))/100+1)^4)-1</f>
        <v>-3.1682305576160141E-2</v>
      </c>
      <c r="V62" s="32">
        <f>(((VLOOKUP(B62,'Data qoq'!$A:$AT,MATCH($V$1,'Data qoq'!$A$1:$AT$1,),))/100+1)^4)-1</f>
        <v>2.4270220462223824E-2</v>
      </c>
      <c r="W62" s="32">
        <f>(((VLOOKUP(B62,'Data qoq'!$A:$AT,MATCH($W$1,'Data qoq'!$A$1:$AT$1,),))/100+1)^4)-1</f>
        <v>6.5673769498015178E-2</v>
      </c>
      <c r="X62" s="32">
        <f>(((VLOOKUP(B62,'Data qoq'!$A:$AT,MATCH($X$1,'Data qoq'!$A$1:$AT$1,),))/100+1)^4)-1</f>
        <v>-4.8915468792491978E-3</v>
      </c>
      <c r="Y62" s="32">
        <f>(((VLOOKUP(B62,'Data qoq'!$A:$AT,MATCH($Y$1,'Data qoq'!$A$1:$AT$1,),))/100+1)^4)-1</f>
        <v>-2.0890124818561562E-2</v>
      </c>
      <c r="Z62" s="32">
        <f>(((VLOOKUP(B62,'Data qoq'!$A:$AU,MATCH($Z$1,'Data qoq'!$A$1:$AU$1,),))/100+1)^4)-1</f>
        <v>6.9909264271887261E-2</v>
      </c>
      <c r="AA62" s="32">
        <f>(((VLOOKUP(B62,'Data qoq'!$A:$AU,MATCH($AA$1,'Data qoq'!$A$1:$AU$1,),))/100+1)^4)-1</f>
        <v>6.2882657544226728E-2</v>
      </c>
      <c r="AC62" s="26" t="str">
        <f t="shared" si="8"/>
        <v>2012-Q4</v>
      </c>
      <c r="AD62" s="31">
        <f t="shared" si="9"/>
        <v>-7.6823898332074592E-3</v>
      </c>
      <c r="AE62" s="27"/>
    </row>
    <row r="63" spans="1:31" hidden="1" x14ac:dyDescent="0.2">
      <c r="A63" s="30">
        <v>41334</v>
      </c>
      <c r="B63" s="24" t="s">
        <v>329</v>
      </c>
      <c r="C63" s="32">
        <f>(((VLOOKUP(B63,'Data qoq'!$A:$AT,MATCH($C$1,'Data qoq'!$A$1:$AT$1,),))/100+1)^4)-1</f>
        <v>3.5166036796619116E-2</v>
      </c>
      <c r="D63" s="32">
        <f>(((VLOOKUP(B63,'Data qoq'!$A:$AT,MATCH($D$1,'Data qoq'!$A$1:$AT$1,),))/100+1)^4)-1</f>
        <v>7.819356632099983E-2</v>
      </c>
      <c r="E63" s="32">
        <f>(((VLOOKUP(B63,'Data qoq'!$A:$AT,MATCH($E$1,'Data qoq'!$A$1:$AT$1,),))/100+1)^4)-1</f>
        <v>-1.3816630263382312E-2</v>
      </c>
      <c r="F63" s="32">
        <f>(((VLOOKUP(B63,'Data qoq'!$A:$AT,MATCH($F$1,'Data qoq'!$A$1:$AT$1,),))/100+1)^4)-1</f>
        <v>5.7300837183159148E-2</v>
      </c>
      <c r="G63" s="32">
        <f>(((VLOOKUP(B63,'Data qoq'!$A:$AT,MATCH($G$1,'Data qoq'!$A$1:$AT$1,),))/100+1)^4)-1</f>
        <v>-1.8539968587899303E-2</v>
      </c>
      <c r="H63" s="32">
        <f>(((VLOOKUP(B63,'Data qoq'!$A:$AT,MATCH($H$1,'Data qoq'!$A$1:$AT$1,),))/100+1)^4)-1</f>
        <v>3.2602641120809128E-3</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5.6596102004514481E-2</v>
      </c>
      <c r="M63" s="32">
        <f>(((VLOOKUP(B63,'Data qoq'!$A:$AT,MATCH($M$1,'Data qoq'!$A$1:$AT$1,),))/100+1)^4)-1</f>
        <v>9.9005181453983848E-3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1.7093308026147058E-2</v>
      </c>
      <c r="R63" s="32">
        <f>(((VLOOKUP(B63,'Data qoq'!$A:$AT,MATCH($R$1,'Data qoq'!$A$1:$AT$1,),))/100+1)^4)-1</f>
        <v>1.7341466783026505E-2</v>
      </c>
      <c r="S63" s="32">
        <f>(((VLOOKUP(B63,'Data qoq'!$A:$AT,MATCH($S$1,'Data qoq'!$A$1:$AT$1,),))/100+1)^4)-1</f>
        <v>3.4822707520234308E-2</v>
      </c>
      <c r="T63" s="32">
        <f>(((VLOOKUP(B63,'Data qoq'!$A:$AT,MATCH($T$1,'Data qoq'!$A$1:$AT$1,),))/100+1)^4)-1</f>
        <v>1.7224905280538216E-2</v>
      </c>
      <c r="U63" s="32">
        <f>(((VLOOKUP(B63,'Data qoq'!$A:$AT,MATCH($U$1,'Data qoq'!$A$1:$AT$1,),))/100+1)^4)-1</f>
        <v>-3.9081526936141087E-2</v>
      </c>
      <c r="V63" s="32">
        <f>(((VLOOKUP(B63,'Data qoq'!$A:$AT,MATCH($V$1,'Data qoq'!$A$1:$AT$1,),))/100+1)^4)-1</f>
        <v>-5.9685423352096034E-2</v>
      </c>
      <c r="W63" s="32">
        <f>(((VLOOKUP(B63,'Data qoq'!$A:$AT,MATCH($W$1,'Data qoq'!$A$1:$AT$1,),))/100+1)^4)-1</f>
        <v>0.1224473036553404</v>
      </c>
      <c r="X63" s="32">
        <f>(((VLOOKUP(B63,'Data qoq'!$A:$AT,MATCH($X$1,'Data qoq'!$A$1:$AT$1,),))/100+1)^4)-1</f>
        <v>-1.6883471815958728E-2</v>
      </c>
      <c r="Y63" s="32">
        <f>(((VLOOKUP(B63,'Data qoq'!$A:$AT,MATCH($Y$1,'Data qoq'!$A$1:$AT$1,),))/100+1)^4)-1</f>
        <v>2.5520162657131085E-3</v>
      </c>
      <c r="Z63" s="32">
        <f>(((VLOOKUP(B63,'Data qoq'!$A:$AU,MATCH($Z$1,'Data qoq'!$A$1:$AU$1,),))/100+1)^4)-1</f>
        <v>-6.884754991379749E-4</v>
      </c>
      <c r="AA63" s="32">
        <f>(((VLOOKUP(B63,'Data qoq'!$A:$AU,MATCH($AA$1,'Data qoq'!$A$1:$AU$1,),))/100+1)^4)-1</f>
        <v>-1.2476286575034634E-2</v>
      </c>
      <c r="AC63" s="26" t="str">
        <f t="shared" si="8"/>
        <v>2013-Q1</v>
      </c>
      <c r="AD63" s="31">
        <f t="shared" si="9"/>
        <v>-3.2309005334786201E-2</v>
      </c>
      <c r="AE63" s="27"/>
    </row>
    <row r="64" spans="1:31" hidden="1" x14ac:dyDescent="0.2">
      <c r="A64" s="30">
        <v>41426</v>
      </c>
      <c r="B64" s="24" t="s">
        <v>330</v>
      </c>
      <c r="C64" s="32">
        <f>(((VLOOKUP(B64,'Data qoq'!$A:$AT,MATCH($C$1,'Data qoq'!$A$1:$AT$1,),))/100+1)^4)-1</f>
        <v>5.5870765795456023E-3</v>
      </c>
      <c r="D64" s="32">
        <f>(((VLOOKUP(B64,'Data qoq'!$A:$AT,MATCH($D$1,'Data qoq'!$A$1:$AT$1,),))/100+1)^4)-1</f>
        <v>7.3967432976000058E-2</v>
      </c>
      <c r="E64" s="32">
        <f>(((VLOOKUP(B64,'Data qoq'!$A:$AT,MATCH($E$1,'Data qoq'!$A$1:$AT$1,),))/100+1)^4)-1</f>
        <v>2.1768029547265311E-2</v>
      </c>
      <c r="F64" s="32">
        <f>(((VLOOKUP(B64,'Data qoq'!$A:$AT,MATCH($F$1,'Data qoq'!$A$1:$AT$1,),))/100+1)^4)-1</f>
        <v>3.6181231045255169E-2</v>
      </c>
      <c r="G64" s="32">
        <f>(((VLOOKUP(B64,'Data qoq'!$A:$AT,MATCH($G$1,'Data qoq'!$A$1:$AT$1,),))/100+1)^4)-1</f>
        <v>4.3444215073715542E-2</v>
      </c>
      <c r="H64" s="32">
        <f>(((VLOOKUP(B64,'Data qoq'!$A:$AT,MATCH($H$1,'Data qoq'!$A$1:$AT$1,),))/100+1)^4)-1</f>
        <v>2.7080777164288028E-2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-4.2475908663859308E-3</v>
      </c>
      <c r="M64" s="32">
        <f>(((VLOOKUP(B64,'Data qoq'!$A:$AT,MATCH($M$1,'Data qoq'!$A$1:$AT$1,),))/100+1)^4)-1</f>
        <v>-2.2005143699719287E-2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1.7360542915713539E-2</v>
      </c>
      <c r="R64" s="32">
        <f>(((VLOOKUP(B64,'Data qoq'!$A:$AT,MATCH($R$1,'Data qoq'!$A$1:$AT$1,),))/100+1)^4)-1</f>
        <v>3.6317607211366454E-2</v>
      </c>
      <c r="S64" s="32">
        <f>(((VLOOKUP(B64,'Data qoq'!$A:$AT,MATCH($S$1,'Data qoq'!$A$1:$AT$1,),))/100+1)^4)-1</f>
        <v>4.7468427621557785E-2</v>
      </c>
      <c r="T64" s="32">
        <f>(((VLOOKUP(B64,'Data qoq'!$A:$AT,MATCH($T$1,'Data qoq'!$A$1:$AT$1,),))/100+1)^4)-1</f>
        <v>6.923754766373813E-2</v>
      </c>
      <c r="U64" s="32">
        <f>(((VLOOKUP(B64,'Data qoq'!$A:$AT,MATCH($U$1,'Data qoq'!$A$1:$AT$1,),))/100+1)^4)-1</f>
        <v>6.3532613406680483E-3</v>
      </c>
      <c r="V64" s="32">
        <f>(((VLOOKUP(B64,'Data qoq'!$A:$AT,MATCH($V$1,'Data qoq'!$A$1:$AT$1,),))/100+1)^4)-1</f>
        <v>0.12424116853414713</v>
      </c>
      <c r="W64" s="32">
        <f>(((VLOOKUP(B64,'Data qoq'!$A:$AT,MATCH($W$1,'Data qoq'!$A$1:$AT$1,),))/100+1)^4)-1</f>
        <v>0.1227042674353831</v>
      </c>
      <c r="X64" s="32">
        <f>(((VLOOKUP(B64,'Data qoq'!$A:$AT,MATCH($X$1,'Data qoq'!$A$1:$AT$1,),))/100+1)^4)-1</f>
        <v>1.4765804096934065E-2</v>
      </c>
      <c r="Y64" s="32">
        <f>(((VLOOKUP(B64,'Data qoq'!$A:$AT,MATCH($Y$1,'Data qoq'!$A$1:$AT$1,),))/100+1)^4)-1</f>
        <v>4.3784481022224986E-2</v>
      </c>
      <c r="Z64" s="32">
        <f>(((VLOOKUP(B64,'Data qoq'!$A:$AU,MATCH($Z$1,'Data qoq'!$A$1:$AU$1,),))/100+1)^4)-1</f>
        <v>2.0667469284994855E-2</v>
      </c>
      <c r="AA64" s="32">
        <f>(((VLOOKUP(B64,'Data qoq'!$A:$AU,MATCH($AA$1,'Data qoq'!$A$1:$AU$1,),))/100+1)^4)-1</f>
        <v>4.7814969192780943E-2</v>
      </c>
      <c r="AC64" s="26" t="str">
        <f t="shared" si="8"/>
        <v>2013-Q2</v>
      </c>
      <c r="AD64" s="31">
        <f t="shared" si="9"/>
        <v>-4.7780952897615858E-3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1.1657134531420921E-2</v>
      </c>
      <c r="F65" s="32">
        <f>(((VLOOKUP(B65,'Data qoq'!$A:$AT,MATCH($F$1,'Data qoq'!$A$1:$AT$1,),))/100+1)^4)-1</f>
        <v>3.853398838983213E-2</v>
      </c>
      <c r="G65" s="32">
        <f>(((VLOOKUP(B65,'Data qoq'!$A:$AT,MATCH($G$1,'Data qoq'!$A$1:$AT$1,),))/100+1)^4)-1</f>
        <v>2.3427286273790537E-2</v>
      </c>
      <c r="H65" s="32">
        <f>(((VLOOKUP(B65,'Data qoq'!$A:$AT,MATCH($H$1,'Data qoq'!$A$1:$AT$1,),))/100+1)^4)-1</f>
        <v>-4.2522369220983069E-3</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1.8239676117360437E-2</v>
      </c>
      <c r="M65" s="32">
        <f>(((VLOOKUP(B65,'Data qoq'!$A:$AT,MATCH($M$1,'Data qoq'!$A$1:$AT$1,),))/100+1)^4)-1</f>
        <v>3.7950589525331813E-2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3.1863659030765046E-2</v>
      </c>
      <c r="R65" s="32">
        <f>(((VLOOKUP(B65,'Data qoq'!$A:$AT,MATCH($R$1,'Data qoq'!$A$1:$AT$1,),))/100+1)^4)-1</f>
        <v>3.1200799497514975E-2</v>
      </c>
      <c r="S65" s="32">
        <f>(((VLOOKUP(B65,'Data qoq'!$A:$AT,MATCH($S$1,'Data qoq'!$A$1:$AT$1,),))/100+1)^4)-1</f>
        <v>3.4688383456184191E-2</v>
      </c>
      <c r="T65" s="32">
        <f>(((VLOOKUP(B65,'Data qoq'!$A:$AT,MATCH($T$1,'Data qoq'!$A$1:$AT$1,),))/100+1)^4)-1</f>
        <v>1.3422500158285944E-2</v>
      </c>
      <c r="U65" s="32">
        <f>(((VLOOKUP(B65,'Data qoq'!$A:$AT,MATCH($U$1,'Data qoq'!$A$1:$AT$1,),))/100+1)^4)-1</f>
        <v>3.5927307378647022E-4</v>
      </c>
      <c r="V65" s="32">
        <f>(((VLOOKUP(B65,'Data qoq'!$A:$AT,MATCH($V$1,'Data qoq'!$A$1:$AT$1,),))/100+1)^4)-1</f>
        <v>8.557357456130954E-2</v>
      </c>
      <c r="W65" s="32">
        <f>(((VLOOKUP(B65,'Data qoq'!$A:$AT,MATCH($W$1,'Data qoq'!$A$1:$AT$1,),))/100+1)^4)-1</f>
        <v>5.9941146073761553E-2</v>
      </c>
      <c r="X65" s="32">
        <f>(((VLOOKUP(B65,'Data qoq'!$A:$AT,MATCH($X$1,'Data qoq'!$A$1:$AT$1,),))/100+1)^4)-1</f>
        <v>1.7296061204460367E-2</v>
      </c>
      <c r="Y65" s="32">
        <f>(((VLOOKUP(B65,'Data qoq'!$A:$AT,MATCH($Y$1,'Data qoq'!$A$1:$AT$1,),))/100+1)^4)-1</f>
        <v>3.0568982780611931E-2</v>
      </c>
      <c r="Z65" s="32">
        <f>(((VLOOKUP(B65,'Data qoq'!$A:$AU,MATCH($Z$1,'Data qoq'!$A$1:$AU$1,),))/100+1)^4)-1</f>
        <v>2.6065753473347719E-2</v>
      </c>
      <c r="AA65" s="32">
        <f>(((VLOOKUP(B65,'Data qoq'!$A:$AU,MATCH($AA$1,'Data qoq'!$A$1:$AU$1,),))/100+1)^4)-1</f>
        <v>2.3149103880153454E-2</v>
      </c>
      <c r="AC65" s="26" t="str">
        <f t="shared" si="8"/>
        <v>2013-Q3</v>
      </c>
      <c r="AD65" s="31">
        <f t="shared" si="9"/>
        <v>-1.9385134002064541E-2</v>
      </c>
      <c r="AE65" s="27"/>
    </row>
    <row r="66" spans="1:31" hidden="1" x14ac:dyDescent="0.2">
      <c r="A66" s="30">
        <v>41609</v>
      </c>
      <c r="B66" s="24" t="s">
        <v>332</v>
      </c>
      <c r="C66" s="32">
        <f>(((VLOOKUP(B66,'Data qoq'!$A:$AT,MATCH($C$1,'Data qoq'!$A$1:$AT$1,),))/100+1)^4)-1</f>
        <v>2.8751739893740247E-2</v>
      </c>
      <c r="D66" s="32">
        <f>(((VLOOKUP(B66,'Data qoq'!$A:$AT,MATCH($D$1,'Data qoq'!$A$1:$AT$1,),))/100+1)^4)-1</f>
        <v>6.136355062499943E-2</v>
      </c>
      <c r="E66" s="32">
        <f>(((VLOOKUP(B66,'Data qoq'!$A:$AT,MATCH($E$1,'Data qoq'!$A$1:$AT$1,),))/100+1)^4)-1</f>
        <v>1.1769431048404222E-2</v>
      </c>
      <c r="F66" s="32">
        <f>(((VLOOKUP(B66,'Data qoq'!$A:$AT,MATCH($F$1,'Data qoq'!$A$1:$AT$1,),))/100+1)^4)-1</f>
        <v>-4.9663407901152645E-3</v>
      </c>
      <c r="G66" s="32">
        <f>(((VLOOKUP(B66,'Data qoq'!$A:$AT,MATCH($G$1,'Data qoq'!$A$1:$AT$1,),))/100+1)^4)-1</f>
        <v>1.2011491084859216E-2</v>
      </c>
      <c r="H66" s="32">
        <f>(((VLOOKUP(B66,'Data qoq'!$A:$AT,MATCH($H$1,'Data qoq'!$A$1:$AT$1,),))/100+1)^4)-1</f>
        <v>2.6778245688636737E-2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2.886013107957508E-2</v>
      </c>
      <c r="M66" s="32">
        <f>(((VLOOKUP(B66,'Data qoq'!$A:$AT,MATCH($M$1,'Data qoq'!$A$1:$AT$1,),))/100+1)^4)-1</f>
        <v>2.2531979732136831E-2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3.2517302601056119E-2</v>
      </c>
      <c r="R66" s="32">
        <f>(((VLOOKUP(B66,'Data qoq'!$A:$AT,MATCH($R$1,'Data qoq'!$A$1:$AT$1,),))/100+1)^4)-1</f>
        <v>1.3453226513834959E-2</v>
      </c>
      <c r="S66" s="32">
        <f>(((VLOOKUP(B66,'Data qoq'!$A:$AT,MATCH($S$1,'Data qoq'!$A$1:$AT$1,),))/100+1)^4)-1</f>
        <v>3.545860143802293E-2</v>
      </c>
      <c r="T66" s="32">
        <f>(((VLOOKUP(B66,'Data qoq'!$A:$AT,MATCH($T$1,'Data qoq'!$A$1:$AT$1,),))/100+1)^4)-1</f>
        <v>4.8894889986859091E-3</v>
      </c>
      <c r="U66" s="32">
        <f>(((VLOOKUP(B66,'Data qoq'!$A:$AT,MATCH($U$1,'Data qoq'!$A$1:$AT$1,),))/100+1)^4)-1</f>
        <v>2.5619925254990017E-2</v>
      </c>
      <c r="V66" s="32">
        <f>(((VLOOKUP(B66,'Data qoq'!$A:$AT,MATCH($V$1,'Data qoq'!$A$1:$AT$1,),))/100+1)^4)-1</f>
        <v>-3.2260330508949386E-2</v>
      </c>
      <c r="W66" s="32">
        <f>(((VLOOKUP(B66,'Data qoq'!$A:$AT,MATCH($W$1,'Data qoq'!$A$1:$AT$1,),))/100+1)^4)-1</f>
        <v>7.7757517919521124E-3</v>
      </c>
      <c r="X66" s="32">
        <f>(((VLOOKUP(B66,'Data qoq'!$A:$AT,MATCH($X$1,'Data qoq'!$A$1:$AT$1,),))/100+1)^4)-1</f>
        <v>4.9188798345552787E-2</v>
      </c>
      <c r="Y66" s="32">
        <f>(((VLOOKUP(B66,'Data qoq'!$A:$AT,MATCH($Y$1,'Data qoq'!$A$1:$AT$1,),))/100+1)^4)-1</f>
        <v>1.0625859570250196E-2</v>
      </c>
      <c r="Z66" s="32">
        <f>(((VLOOKUP(B66,'Data qoq'!$A:$AU,MATCH($Z$1,'Data qoq'!$A$1:$AU$1,),))/100+1)^4)-1</f>
        <v>-3.9158124813528428E-2</v>
      </c>
      <c r="AA66" s="32">
        <f>(((VLOOKUP(B66,'Data qoq'!$A:$AU,MATCH($AA$1,'Data qoq'!$A$1:$AU$1,),))/100+1)^4)-1</f>
        <v>9.6631440138092994E-3</v>
      </c>
      <c r="AC66" s="26" t="str">
        <f t="shared" si="8"/>
        <v>2013-Q4</v>
      </c>
      <c r="AD66" s="31">
        <f t="shared" si="9"/>
        <v>-9.4358100844513793E-3</v>
      </c>
      <c r="AE66" s="27"/>
    </row>
    <row r="67" spans="1:31" hidden="1" x14ac:dyDescent="0.2">
      <c r="A67" s="30">
        <v>41699</v>
      </c>
      <c r="B67" s="24" t="s">
        <v>333</v>
      </c>
      <c r="C67" s="32">
        <f>(((VLOOKUP(B67,'Data qoq'!$A:$AT,MATCH($C$1,'Data qoq'!$A$1:$AT$1,),))/100+1)^4)-1</f>
        <v>-1.3931014894348004E-2</v>
      </c>
      <c r="D67" s="32">
        <f>(((VLOOKUP(B67,'Data qoq'!$A:$AT,MATCH($D$1,'Data qoq'!$A$1:$AT$1,),))/100+1)^4)-1</f>
        <v>7.819356632099983E-2</v>
      </c>
      <c r="E67" s="32">
        <f>(((VLOOKUP(B67,'Data qoq'!$A:$AT,MATCH($E$1,'Data qoq'!$A$1:$AT$1,),))/100+1)^4)-1</f>
        <v>1.6261594515661892E-2</v>
      </c>
      <c r="F67" s="32">
        <f>(((VLOOKUP(B67,'Data qoq'!$A:$AT,MATCH($F$1,'Data qoq'!$A$1:$AT$1,),))/100+1)^4)-1</f>
        <v>3.4313287522487634E-2</v>
      </c>
      <c r="G67" s="32">
        <f>(((VLOOKUP(B67,'Data qoq'!$A:$AT,MATCH($G$1,'Data qoq'!$A$1:$AT$1,),))/100+1)^4)-1</f>
        <v>3.7935947129519532E-2</v>
      </c>
      <c r="H67" s="32">
        <f>(((VLOOKUP(B67,'Data qoq'!$A:$AT,MATCH($H$1,'Data qoq'!$A$1:$AT$1,),))/100+1)^4)-1</f>
        <v>5.350471197882456E-4</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3.3317649857004916E-2</v>
      </c>
      <c r="M67" s="32">
        <f>(((VLOOKUP(B67,'Data qoq'!$A:$AT,MATCH($M$1,'Data qoq'!$A$1:$AT$1,),))/100+1)^4)-1</f>
        <v>2.783663010040871E-2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3.0487617472185757E-2</v>
      </c>
      <c r="R67" s="32">
        <f>(((VLOOKUP(B67,'Data qoq'!$A:$AT,MATCH($R$1,'Data qoq'!$A$1:$AT$1,),))/100+1)^4)-1</f>
        <v>2.5309298332515828E-2</v>
      </c>
      <c r="S67" s="32">
        <f>(((VLOOKUP(B67,'Data qoq'!$A:$AT,MATCH($S$1,'Data qoq'!$A$1:$AT$1,),))/100+1)^4)-1</f>
        <v>3.4722153792170474E-2</v>
      </c>
      <c r="T67" s="32">
        <f>(((VLOOKUP(B67,'Data qoq'!$A:$AT,MATCH($T$1,'Data qoq'!$A$1:$AT$1,),))/100+1)^4)-1</f>
        <v>3.5392549870611578E-2</v>
      </c>
      <c r="U67" s="32">
        <f>(((VLOOKUP(B67,'Data qoq'!$A:$AT,MATCH($U$1,'Data qoq'!$A$1:$AT$1,),))/100+1)^4)-1</f>
        <v>-1.2189670781825868E-3</v>
      </c>
      <c r="V67" s="32">
        <f>(((VLOOKUP(B67,'Data qoq'!$A:$AT,MATCH($V$1,'Data qoq'!$A$1:$AT$1,),))/100+1)^4)-1</f>
        <v>0.16565759409736924</v>
      </c>
      <c r="W67" s="32">
        <f>(((VLOOKUP(B67,'Data qoq'!$A:$AT,MATCH($W$1,'Data qoq'!$A$1:$AT$1,),))/100+1)^4)-1</f>
        <v>0.12119114235902662</v>
      </c>
      <c r="X67" s="32">
        <f>(((VLOOKUP(B67,'Data qoq'!$A:$AT,MATCH($X$1,'Data qoq'!$A$1:$AT$1,),))/100+1)^4)-1</f>
        <v>-2.1727595657700105E-2</v>
      </c>
      <c r="Y67" s="32">
        <f>(((VLOOKUP(B67,'Data qoq'!$A:$AT,MATCH($Y$1,'Data qoq'!$A$1:$AT$1,),))/100+1)^4)-1</f>
        <v>4.1956914310763427E-2</v>
      </c>
      <c r="Z67" s="32">
        <f>(((VLOOKUP(B67,'Data qoq'!$A:$AU,MATCH($Z$1,'Data qoq'!$A$1:$AU$1,),))/100+1)^4)-1</f>
        <v>-5.9386373339505583E-2</v>
      </c>
      <c r="AA67" s="32">
        <f>(((VLOOKUP(B67,'Data qoq'!$A:$AU,MATCH($AA$1,'Data qoq'!$A$1:$AU$1,),))/100+1)^4)-1</f>
        <v>6.1338243259604797E-2</v>
      </c>
      <c r="AC67" s="26" t="str">
        <f t="shared" si="8"/>
        <v>2014-Q1</v>
      </c>
      <c r="AD67" s="31">
        <f t="shared" si="9"/>
        <v>-2.1574325868615851E-2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8.7535483819467519E-3</v>
      </c>
      <c r="F68" s="32">
        <f>(((VLOOKUP(B68,'Data qoq'!$A:$AT,MATCH($F$1,'Data qoq'!$A$1:$AT$1,),))/100+1)^4)-1</f>
        <v>-7.1164156675315504E-2</v>
      </c>
      <c r="G68" s="32">
        <f>(((VLOOKUP(B68,'Data qoq'!$A:$AT,MATCH($G$1,'Data qoq'!$A$1:$AT$1,),))/100+1)^4)-1</f>
        <v>0</v>
      </c>
      <c r="H68" s="32">
        <f>(((VLOOKUP(B68,'Data qoq'!$A:$AT,MATCH($H$1,'Data qoq'!$A$1:$AT$1,),))/100+1)^4)-1</f>
        <v>3.3843258633705631E-3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3.3386604326930414E-2</v>
      </c>
      <c r="M68" s="32">
        <f>(((VLOOKUP(B68,'Data qoq'!$A:$AT,MATCH($M$1,'Data qoq'!$A$1:$AT$1,),))/100+1)^4)-1</f>
        <v>5.1473085019499543E-2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1.8593364418693525E-2</v>
      </c>
      <c r="R68" s="32">
        <f>(((VLOOKUP(B68,'Data qoq'!$A:$AT,MATCH($R$1,'Data qoq'!$A$1:$AT$1,),))/100+1)^4)-1</f>
        <v>2.7334756397535465E-2</v>
      </c>
      <c r="S68" s="32">
        <f>(((VLOOKUP(B68,'Data qoq'!$A:$AT,MATCH($S$1,'Data qoq'!$A$1:$AT$1,),))/100+1)^4)-1</f>
        <v>3.5579429606619639E-2</v>
      </c>
      <c r="T68" s="32">
        <f>(((VLOOKUP(B68,'Data qoq'!$A:$AT,MATCH($T$1,'Data qoq'!$A$1:$AT$1,),))/100+1)^4)-1</f>
        <v>-5.8804991613460422E-2</v>
      </c>
      <c r="U68" s="32">
        <f>(((VLOOKUP(B68,'Data qoq'!$A:$AT,MATCH($U$1,'Data qoq'!$A$1:$AT$1,),))/100+1)^4)-1</f>
        <v>-1.0159598651957147E-2</v>
      </c>
      <c r="V68" s="32">
        <f>(((VLOOKUP(B68,'Data qoq'!$A:$AT,MATCH($V$1,'Data qoq'!$A$1:$AT$1,),))/100+1)^4)-1</f>
        <v>0.17622104766502344</v>
      </c>
      <c r="W68" s="32">
        <f>(((VLOOKUP(B68,'Data qoq'!$A:$AT,MATCH($W$1,'Data qoq'!$A$1:$AT$1,),))/100+1)^4)-1</f>
        <v>-6.3333940352729212E-2</v>
      </c>
      <c r="X68" s="32">
        <f>(((VLOOKUP(B68,'Data qoq'!$A:$AT,MATCH($X$1,'Data qoq'!$A$1:$AT$1,),))/100+1)^4)-1</f>
        <v>3.791806132028519E-2</v>
      </c>
      <c r="Y68" s="32">
        <f>(((VLOOKUP(B68,'Data qoq'!$A:$AT,MATCH($Y$1,'Data qoq'!$A$1:$AT$1,),))/100+1)^4)-1</f>
        <v>4.6349086957564012E-2</v>
      </c>
      <c r="Z68" s="32">
        <f>(((VLOOKUP(B68,'Data qoq'!$A:$AU,MATCH($Z$1,'Data qoq'!$A$1:$AU$1,),))/100+1)^4)-1</f>
        <v>-2.2818383848394852E-2</v>
      </c>
      <c r="AA68" s="32">
        <f>(((VLOOKUP(B68,'Data qoq'!$A:$AU,MATCH($AA$1,'Data qoq'!$A$1:$AU$1,),))/100+1)^4)-1</f>
        <v>2.0800760944634566E-2</v>
      </c>
      <c r="AC68" s="26" t="str">
        <f t="shared" si="8"/>
        <v>2014-Q2</v>
      </c>
      <c r="AD68" s="31">
        <f t="shared" si="9"/>
        <v>-2.388528579338578E-2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1.8813938427913346E-2</v>
      </c>
      <c r="F69" s="32">
        <f>(((VLOOKUP(B69,'Data qoq'!$A:$AT,MATCH($F$1,'Data qoq'!$A$1:$AT$1,),))/100+1)^4)-1</f>
        <v>3.1519416509990794E-3</v>
      </c>
      <c r="G69" s="32">
        <f>(((VLOOKUP(B69,'Data qoq'!$A:$AT,MATCH($G$1,'Data qoq'!$A$1:$AT$1,),))/100+1)^4)-1</f>
        <v>2.1761655482142261E-2</v>
      </c>
      <c r="H69" s="32">
        <f>(((VLOOKUP(B69,'Data qoq'!$A:$AT,MATCH($H$1,'Data qoq'!$A$1:$AT$1,),))/100+1)^4)-1</f>
        <v>2.2658630564383664E-2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2.8666273372534246E-2</v>
      </c>
      <c r="M69" s="32">
        <f>(((VLOOKUP(B69,'Data qoq'!$A:$AT,MATCH($M$1,'Data qoq'!$A$1:$AT$1,),))/100+1)^4)-1</f>
        <v>1.4693162097539236E-2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1.9322168819774665E-2</v>
      </c>
      <c r="R69" s="32">
        <f>(((VLOOKUP(B69,'Data qoq'!$A:$AT,MATCH($R$1,'Data qoq'!$A$1:$AT$1,),))/100+1)^4)-1</f>
        <v>2.2218530438575357E-2</v>
      </c>
      <c r="S69" s="32">
        <f>(((VLOOKUP(B69,'Data qoq'!$A:$AT,MATCH($S$1,'Data qoq'!$A$1:$AT$1,),))/100+1)^4)-1</f>
        <v>1.2510962487532806E-2</v>
      </c>
      <c r="T69" s="32">
        <f>(((VLOOKUP(B69,'Data qoq'!$A:$AT,MATCH($T$1,'Data qoq'!$A$1:$AT$1,),))/100+1)^4)-1</f>
        <v>-9.0767036675643009E-4</v>
      </c>
      <c r="U69" s="32">
        <f>(((VLOOKUP(B69,'Data qoq'!$A:$AT,MATCH($U$1,'Data qoq'!$A$1:$AT$1,),))/100+1)^4)-1</f>
        <v>4.3439815819269034E-2</v>
      </c>
      <c r="V69" s="32">
        <f>(((VLOOKUP(B69,'Data qoq'!$A:$AT,MATCH($V$1,'Data qoq'!$A$1:$AT$1,),))/100+1)^4)-1</f>
        <v>1.6841867895790674E-2</v>
      </c>
      <c r="W69" s="32">
        <f>(((VLOOKUP(B69,'Data qoq'!$A:$AT,MATCH($W$1,'Data qoq'!$A$1:$AT$1,),))/100+1)^4)-1</f>
        <v>0.10201275941615906</v>
      </c>
      <c r="X69" s="32">
        <f>(((VLOOKUP(B69,'Data qoq'!$A:$AT,MATCH($X$1,'Data qoq'!$A$1:$AT$1,),))/100+1)^4)-1</f>
        <v>4.8406981004850858E-2</v>
      </c>
      <c r="Y69" s="32">
        <f>(((VLOOKUP(B69,'Data qoq'!$A:$AT,MATCH($Y$1,'Data qoq'!$A$1:$AT$1,),))/100+1)^4)-1</f>
        <v>3.3783745136578336E-2</v>
      </c>
      <c r="Z69" s="32">
        <f>(((VLOOKUP(B69,'Data qoq'!$A:$AU,MATCH($Z$1,'Data qoq'!$A$1:$AU$1,),))/100+1)^4)-1</f>
        <v>-3.2327581935798766E-2</v>
      </c>
      <c r="AA69" s="32">
        <f>(((VLOOKUP(B69,'Data qoq'!$A:$AU,MATCH($AA$1,'Data qoq'!$A$1:$AU$1,),))/100+1)^4)-1</f>
        <v>5.1755433583111188E-2</v>
      </c>
      <c r="AC69" s="26" t="str">
        <f t="shared" si="8"/>
        <v>2014-Q3</v>
      </c>
      <c r="AD69" s="31">
        <f t="shared" si="9"/>
        <v>-8.5493771330569235E-3</v>
      </c>
      <c r="AE69" s="27"/>
    </row>
    <row r="70" spans="1:31" hidden="1" x14ac:dyDescent="0.2">
      <c r="A70" s="30">
        <v>41974</v>
      </c>
      <c r="B70" s="24" t="s">
        <v>336</v>
      </c>
      <c r="C70" s="32">
        <f>(((VLOOKUP(B70,'Data qoq'!$A:$AT,MATCH($C$1,'Data qoq'!$A$1:$AT$1,),))/100+1)^4)-1</f>
        <v>1.8081055590863704E-2</v>
      </c>
      <c r="D70" s="32">
        <f>(((VLOOKUP(B70,'Data qoq'!$A:$AT,MATCH($D$1,'Data qoq'!$A$1:$AT$1,),))/100+1)^4)-1</f>
        <v>6.9753735520999616E-2</v>
      </c>
      <c r="E70" s="32">
        <f>(((VLOOKUP(B70,'Data qoq'!$A:$AT,MATCH($E$1,'Data qoq'!$A$1:$AT$1,),))/100+1)^4)-1</f>
        <v>1.4857307176868506E-2</v>
      </c>
      <c r="F70" s="32">
        <f>(((VLOOKUP(B70,'Data qoq'!$A:$AT,MATCH($F$1,'Data qoq'!$A$1:$AT$1,),))/100+1)^4)-1</f>
        <v>1.8617345332394342E-2</v>
      </c>
      <c r="G70" s="32">
        <f>(((VLOOKUP(B70,'Data qoq'!$A:$AT,MATCH($G$1,'Data qoq'!$A$1:$AT$1,),))/100+1)^4)-1</f>
        <v>3.2804541189019876E-2</v>
      </c>
      <c r="H70" s="32">
        <f>(((VLOOKUP(B70,'Data qoq'!$A:$AT,MATCH($H$1,'Data qoq'!$A$1:$AT$1,),))/100+1)^4)-1</f>
        <v>-1.2009239489386703E-3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3.1474187741511672E-2</v>
      </c>
      <c r="M70" s="32">
        <f>(((VLOOKUP(B70,'Data qoq'!$A:$AT,MATCH($M$1,'Data qoq'!$A$1:$AT$1,),))/100+1)^4)-1</f>
        <v>4.2398435954974278E-2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1.4616431454556489E-2</v>
      </c>
      <c r="R70" s="32">
        <f>(((VLOOKUP(B70,'Data qoq'!$A:$AT,MATCH($R$1,'Data qoq'!$A$1:$AT$1,),))/100+1)^4)-1</f>
        <v>2.1387827775150026E-2</v>
      </c>
      <c r="S70" s="32">
        <f>(((VLOOKUP(B70,'Data qoq'!$A:$AT,MATCH($S$1,'Data qoq'!$A$1:$AT$1,),))/100+1)^4)-1</f>
        <v>1.9770458766876109E-2</v>
      </c>
      <c r="T70" s="32">
        <f>(((VLOOKUP(B70,'Data qoq'!$A:$AT,MATCH($T$1,'Data qoq'!$A$1:$AT$1,),))/100+1)^4)-1</f>
        <v>2.0410310037848545E-2</v>
      </c>
      <c r="U70" s="32">
        <f>(((VLOOKUP(B70,'Data qoq'!$A:$AT,MATCH($U$1,'Data qoq'!$A$1:$AT$1,),))/100+1)^4)-1</f>
        <v>-4.1445810970073382E-2</v>
      </c>
      <c r="V70" s="32">
        <f>(((VLOOKUP(B70,'Data qoq'!$A:$AT,MATCH($V$1,'Data qoq'!$A$1:$AT$1,),))/100+1)^4)-1</f>
        <v>-1.1414987628389772E-2</v>
      </c>
      <c r="W70" s="32">
        <f>(((VLOOKUP(B70,'Data qoq'!$A:$AT,MATCH($W$1,'Data qoq'!$A$1:$AT$1,),))/100+1)^4)-1</f>
        <v>5.5001746373369631E-2</v>
      </c>
      <c r="X70" s="32">
        <f>(((VLOOKUP(B70,'Data qoq'!$A:$AT,MATCH($X$1,'Data qoq'!$A$1:$AT$1,),))/100+1)^4)-1</f>
        <v>4.6652979627202162E-2</v>
      </c>
      <c r="Y70" s="32">
        <f>(((VLOOKUP(B70,'Data qoq'!$A:$AT,MATCH($Y$1,'Data qoq'!$A$1:$AT$1,),))/100+1)^4)-1</f>
        <v>2.6481774748819742E-2</v>
      </c>
      <c r="Z70" s="32">
        <f>(((VLOOKUP(B70,'Data qoq'!$A:$AU,MATCH($Z$1,'Data qoq'!$A$1:$AU$1,),))/100+1)^4)-1</f>
        <v>2.0789272649401669E-2</v>
      </c>
      <c r="AA70" s="32">
        <f>(((VLOOKUP(B70,'Data qoq'!$A:$AU,MATCH($AA$1,'Data qoq'!$A$1:$AU$1,),))/100+1)^4)-1</f>
        <v>6.6451895466888899E-2</v>
      </c>
      <c r="AC70" s="26" t="str">
        <f t="shared" si="8"/>
        <v>2014-Q4</v>
      </c>
      <c r="AD70" s="31">
        <f t="shared" si="9"/>
        <v>-7.7511958534888237E-3</v>
      </c>
      <c r="AE70" s="27"/>
    </row>
    <row r="71" spans="1:31" x14ac:dyDescent="0.2">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7.819356632099983E-2</v>
      </c>
      <c r="E71" s="32">
        <f>IF((((VLOOKUP(B71,'Data qoq'!$A:$AT,MATCH($E$1,'Data qoq'!$A$1:$AT$1,),))/100+1)^4)-1=0,#N/A,(((VLOOKUP(B71,'Data qoq'!$A:$AT,MATCH($E$1,'Data qoq'!$A$1:$AT$1,),))/100+1)^4)-1)</f>
        <v>2.7279627576657584E-2</v>
      </c>
      <c r="F71" s="32">
        <f>IF((((VLOOKUP(B71,'Data qoq'!$A:$AT,MATCH($F$1,'Data qoq'!$A$1:$AT$1,),))/100+1)^4)-1=0,#N/A,(((VLOOKUP(B71,'Data qoq'!$A:$AT,MATCH($F$1,'Data qoq'!$A$1:$AT$1,),))/100+1)^4)-1)</f>
        <v>6.4497303140262252E-2</v>
      </c>
      <c r="G71" s="32">
        <f>IF((((VLOOKUP(B71,'Data qoq'!$A:$AT,MATCH($G$1,'Data qoq'!$A$1:$AT$1,),))/100+1)^4)-1=0,#N/A,(((VLOOKUP(B71,'Data qoq'!$A:$AT,MATCH($G$1,'Data qoq'!$A$1:$AT$1,),))/100+1)^4)-1)</f>
        <v>-2.0930558084741202E-2</v>
      </c>
      <c r="H71" s="32">
        <f>IF((((VLOOKUP(B71,'Data qoq'!$A:$AT,MATCH($H$1,'Data qoq'!$A$1:$AT$1,),))/100+1)^4)-1=0,#N/A,(((VLOOKUP(B71,'Data qoq'!$A:$AT,MATCH($H$1,'Data qoq'!$A$1:$AT$1,),))/100+1)^4)-1)</f>
        <v>2.1648510474399751E-2</v>
      </c>
      <c r="I71" s="32">
        <f>IF((((VLOOKUP(B71,'Data qoq'!$A:$AT,MATCH($I$1,'Data qoq'!$A$1:$AT$1,),))/100+1)^4)-1=0,#N/A,(((VLOOKUP(B71,'Data qoq'!$A:$AT,MATCH($I$1,'Data qoq'!$A$1:$AT$1,),))/100+1)^4)-1)</f>
        <v>2.6040013113683536E-2</v>
      </c>
      <c r="J71" s="32">
        <f>IF((((VLOOKUP(B71,'Data qoq'!$A:$AT,MATCH($J$1,'Data qoq'!$A$1:$AT$1,),))/100+1)^4)-1=0,#N/A,(((VLOOKUP(B71,'Data qoq'!$A:$AT,MATCH($J$1,'Data qoq'!$A$1:$AT$1,),))/100+1)^4)-1)</f>
        <v>1.0622365989384042E-2</v>
      </c>
      <c r="K71" s="32">
        <f>IF((((VLOOKUP(B71,'Data qoq'!$A:$AT,MATCH($K$1,'Data qoq'!$A$1:$AT$1,),))/100+1)^4)-1=0,#N/A,(((VLOOKUP(B71,'Data qoq'!$A:$AT,MATCH($K$1,'Data qoq'!$A$1:$AT$1,),))/100+1)^4)-1)</f>
        <v>4.6700009742218107E-2</v>
      </c>
      <c r="L71" s="32">
        <f>IF((((VLOOKUP(B71,'Data qoq'!$A:$AT,MATCH($L$1,'Data qoq'!$A$1:$AT$1,),))/100+1)^4)-1=0,#N/A,(((VLOOKUP(B71,'Data qoq'!$A:$AT,MATCH($L$1,'Data qoq'!$A$1:$AT$1,),))/100+1)^4)-1)</f>
        <v>5.764265240119415E-2</v>
      </c>
      <c r="M71" s="32">
        <f>IF((((VLOOKUP(B71,'Data qoq'!$A:$AT,MATCH($M$1,'Data qoq'!$A$1:$AT$1,),))/100+1)^4)-1=0,#N/A,(((VLOOKUP(B71,'Data qoq'!$A:$AT,MATCH($M$1,'Data qoq'!$A$1:$AT$1,),))/100+1)^4)-1)</f>
        <v>2.1961731013980135E-2</v>
      </c>
      <c r="N71" s="32">
        <f>IF((((VLOOKUP(B71,'Data qoq'!$A:$AT,MATCH($N$1,'Data qoq'!$A$1:$AT$1,),))/100+1)^4)-1=0,#N/A,(((VLOOKUP(B71,'Data qoq'!$A:$AT,MATCH($N$1,'Data qoq'!$A$1:$AT$1,),))/100+1)^4)-1)</f>
        <v>-4.0072254884535807E-2</v>
      </c>
      <c r="O71" s="32">
        <f>IF((((VLOOKUP(B71,'Data qoq'!$A:$AT,MATCH($O$1,'Data qoq'!$A$1:$AT$1,),))/100+1)^4)-1=0,#N/A,(((VLOOKUP(B71,'Data qoq'!$A:$AT,MATCH($O$1,'Data qoq'!$A$1:$AT$1,),))/100+1)^4)-1)</f>
        <v>6.9093733463028384E-2</v>
      </c>
      <c r="P71" s="32">
        <f>IF((((VLOOKUP(B71,'Data qoq'!$A:$AT,MATCH($P$1,'Data qoq'!$A$1:$AT$1,),))/100+1)^4)-1=0,#N/A,(((VLOOKUP(B71,'Data qoq'!$A:$AT,MATCH($P$1,'Data qoq'!$A$1:$AT$1,),))/100+1)^4)-1)</f>
        <v>-2.180025621724524E-2</v>
      </c>
      <c r="Q71" s="32">
        <f>IF((((VLOOKUP(B71,'Data qoq'!$A:$AT,MATCH($Q$1,'Data qoq'!$A$1:$AT$1,),))/100+1)^4)-1=0,#N/A,(((VLOOKUP(B71,'Data qoq'!$A:$AT,MATCH($Q$1,'Data qoq'!$A$1:$AT$1,),))/100+1)^4)-1)</f>
        <v>3.6815939744523574E-2</v>
      </c>
      <c r="R71" s="32">
        <f>IF((((VLOOKUP(B71,'Data qoq'!$A:$AT,MATCH($R$1,'Data qoq'!$A$1:$AT$1,),))/100+1)^4)-1=0,#N/A,(((VLOOKUP(B71,'Data qoq'!$A:$AT,MATCH($R$1,'Data qoq'!$A$1:$AT$1,),))/100+1)^4)-1)</f>
        <v>-6.7821676635501094E-3</v>
      </c>
      <c r="S71" s="32">
        <f>IF((((VLOOKUP(B71,'Data qoq'!$A:$AT,MATCH($S$1,'Data qoq'!$A$1:$AT$1,),))/100+1)^4)-1=0,#N/A,(((VLOOKUP(B71,'Data qoq'!$A:$AT,MATCH($S$1,'Data qoq'!$A$1:$AT$1,),))/100+1)^4)-1)</f>
        <v>3.1377143413553021E-2</v>
      </c>
      <c r="T71" s="32">
        <f>IF((((VLOOKUP(B71,'Data qoq'!$A:$AT,MATCH($T$1,'Data qoq'!$A$1:$AT$1,),))/100+1)^4)-1=0,#N/A,(((VLOOKUP(B71,'Data qoq'!$A:$AT,MATCH($T$1,'Data qoq'!$A$1:$AT$1,),))/100+1)^4)-1)</f>
        <v>-2.7125118735222276E-2</v>
      </c>
      <c r="U71" s="32">
        <f>IF((((VLOOKUP(B71,'Data qoq'!$A:$AT,MATCH($U$1,'Data qoq'!$A$1:$AT$1,),))/100+1)^4)-1=0,#N/A,(((VLOOKUP(B71,'Data qoq'!$A:$AT,MATCH($U$1,'Data qoq'!$A$1:$AT$1,),))/100+1)^4)-1)</f>
        <v>2.290297034185218E-2</v>
      </c>
      <c r="V71" s="32">
        <f>IF((((VLOOKUP(B71,'Data qoq'!$A:$AT,MATCH($V$1,'Data qoq'!$A$1:$AT$1,),))/100+1)^4)-1=0,#N/A,(((VLOOKUP(B71,'Data qoq'!$A:$AT,MATCH($V$1,'Data qoq'!$A$1:$AT$1,),))/100+1)^4)-1)</f>
        <v>1.3554178075646224</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5.7868123074482192E-2</v>
      </c>
      <c r="Z71" s="32">
        <f>IF((((VLOOKUP(B71,'Data qoq'!$A:$AU,MATCH($Z$1,'Data qoq'!$A$1:$AU$1,),))/100+1)^4)-1=0,#N/A,(((VLOOKUP(B71,'Data qoq'!$A:$AU,MATCH($Z$1,'Data qoq'!$A$1:$AU$1,),))/100+1)^4)-1)</f>
        <v>5.9171244988091232E-2</v>
      </c>
      <c r="AA71" s="32">
        <f>IF((((VLOOKUP(B71,'Data qoq'!$A:$AU,MATCH($AA$1,'Data qoq'!$A$1:$AU$1,),))/100+1)^4)-1=0,#N/A,(((VLOOKUP(B71,'Data qoq'!$A:$AU,MATCH($AA$1,'Data qoq'!$A$1:$AU$1,),))/100+1)^4)-1)</f>
        <v>1.2883913440212336E-2</v>
      </c>
      <c r="AC71" s="26" t="str">
        <f t="shared" si="8"/>
        <v>2015-Q1</v>
      </c>
      <c r="AD71" s="31">
        <f t="shared" si="9"/>
        <v>1.239614462974048E-3</v>
      </c>
      <c r="AE71" s="27"/>
    </row>
    <row r="72" spans="1:31" x14ac:dyDescent="0.2">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7.3967432976000058E-2</v>
      </c>
      <c r="E72" s="32">
        <f>IF((((VLOOKUP(B72,'Data qoq'!$A:$AT,MATCH($E$1,'Data qoq'!$A$1:$AT$1,),))/100+1)^4)-1=0,#N/A,(((VLOOKUP(B72,'Data qoq'!$A:$AT,MATCH($E$1,'Data qoq'!$A$1:$AT$1,),))/100+1)^4)-1)</f>
        <v>1.8879489980826225E-2</v>
      </c>
      <c r="F72" s="32">
        <f>IF((((VLOOKUP(B72,'Data qoq'!$A:$AT,MATCH($F$1,'Data qoq'!$A$1:$AT$1,),))/100+1)^4)-1=0,#N/A,(((VLOOKUP(B72,'Data qoq'!$A:$AT,MATCH($F$1,'Data qoq'!$A$1:$AT$1,),))/100+1)^4)-1)</f>
        <v>5.3300524641433089E-3</v>
      </c>
      <c r="G72" s="32">
        <f>IF((((VLOOKUP(B72,'Data qoq'!$A:$AT,MATCH($G$1,'Data qoq'!$A$1:$AT$1,),))/100+1)^4)-1=0,#N/A,(((VLOOKUP(B72,'Data qoq'!$A:$AT,MATCH($G$1,'Data qoq'!$A$1:$AT$1,),))/100+1)^4)-1)</f>
        <v>2.8578749480621113E-2</v>
      </c>
      <c r="H72" s="32">
        <f>IF((((VLOOKUP(B72,'Data qoq'!$A:$AT,MATCH($H$1,'Data qoq'!$A$1:$AT$1,),))/100+1)^4)-1=0,#N/A,(((VLOOKUP(B72,'Data qoq'!$A:$AT,MATCH($H$1,'Data qoq'!$A$1:$AT$1,),))/100+1)^4)-1)</f>
        <v>4.2330355271060771E-3</v>
      </c>
      <c r="I72" s="32">
        <f>IF((((VLOOKUP(B72,'Data qoq'!$A:$AT,MATCH($I$1,'Data qoq'!$A$1:$AT$1,),))/100+1)^4)-1=0,#N/A,(((VLOOKUP(B72,'Data qoq'!$A:$AT,MATCH($I$1,'Data qoq'!$A$1:$AT$1,),))/100+1)^4)-1)</f>
        <v>2.9866759653651487E-2</v>
      </c>
      <c r="J72" s="32">
        <f>IF((((VLOOKUP(B72,'Data qoq'!$A:$AT,MATCH($J$1,'Data qoq'!$A$1:$AT$1,),))/100+1)^4)-1=0,#N/A,(((VLOOKUP(B72,'Data qoq'!$A:$AT,MATCH($J$1,'Data qoq'!$A$1:$AT$1,),))/100+1)^4)-1)</f>
        <v>1.5944946153946038E-2</v>
      </c>
      <c r="K72" s="32">
        <f>IF((((VLOOKUP(B72,'Data qoq'!$A:$AT,MATCH($K$1,'Data qoq'!$A$1:$AT$1,),))/100+1)^4)-1=0,#N/A,(((VLOOKUP(B72,'Data qoq'!$A:$AT,MATCH($K$1,'Data qoq'!$A$1:$AT$1,),))/100+1)^4)-1)</f>
        <v>4.3606542458971775E-2</v>
      </c>
      <c r="L72" s="32">
        <f>IF((((VLOOKUP(B72,'Data qoq'!$A:$AT,MATCH($L$1,'Data qoq'!$A$1:$AT$1,),))/100+1)^4)-1=0,#N/A,(((VLOOKUP(B72,'Data qoq'!$A:$AT,MATCH($L$1,'Data qoq'!$A$1:$AT$1,),))/100+1)^4)-1)</f>
        <v>4.0375240387239719E-2</v>
      </c>
      <c r="M72" s="32">
        <f>IF((((VLOOKUP(B72,'Data qoq'!$A:$AT,MATCH($M$1,'Data qoq'!$A$1:$AT$1,),))/100+1)^4)-1=0,#N/A,(((VLOOKUP(B72,'Data qoq'!$A:$AT,MATCH($M$1,'Data qoq'!$A$1:$AT$1,),))/100+1)^4)-1)</f>
        <v>4.7323407244524773E-2</v>
      </c>
      <c r="N72" s="32">
        <f>IF((((VLOOKUP(B72,'Data qoq'!$A:$AT,MATCH($N$1,'Data qoq'!$A$1:$AT$1,),))/100+1)^4)-1=0,#N/A,(((VLOOKUP(B72,'Data qoq'!$A:$AT,MATCH($N$1,'Data qoq'!$A$1:$AT$1,),))/100+1)^4)-1)</f>
        <v>-2.6524319336895252E-2</v>
      </c>
      <c r="O72" s="32">
        <f>IF((((VLOOKUP(B72,'Data qoq'!$A:$AT,MATCH($O$1,'Data qoq'!$A$1:$AT$1,),))/100+1)^4)-1=0,#N/A,(((VLOOKUP(B72,'Data qoq'!$A:$AT,MATCH($O$1,'Data qoq'!$A$1:$AT$1,),))/100+1)^4)-1)</f>
        <v>8.8463042644700396E-2</v>
      </c>
      <c r="P72" s="32">
        <f>IF((((VLOOKUP(B72,'Data qoq'!$A:$AT,MATCH($P$1,'Data qoq'!$A$1:$AT$1,),))/100+1)^4)-1=0,#N/A,(((VLOOKUP(B72,'Data qoq'!$A:$AT,MATCH($P$1,'Data qoq'!$A$1:$AT$1,),))/100+1)^4)-1)</f>
        <v>-1.0842517326931644E-2</v>
      </c>
      <c r="Q72" s="32">
        <f>IF((((VLOOKUP(B72,'Data qoq'!$A:$AT,MATCH($Q$1,'Data qoq'!$A$1:$AT$1,),))/100+1)^4)-1=0,#N/A,(((VLOOKUP(B72,'Data qoq'!$A:$AT,MATCH($Q$1,'Data qoq'!$A$1:$AT$1,),))/100+1)^4)-1)</f>
        <v>4.3185062354971215E-3</v>
      </c>
      <c r="R72" s="32">
        <f>IF((((VLOOKUP(B72,'Data qoq'!$A:$AT,MATCH($R$1,'Data qoq'!$A$1:$AT$1,),))/100+1)^4)-1=0,#N/A,(((VLOOKUP(B72,'Data qoq'!$A:$AT,MATCH($R$1,'Data qoq'!$A$1:$AT$1,),))/100+1)^4)-1)</f>
        <v>2.9003251222986082E-2</v>
      </c>
      <c r="S72" s="32">
        <f>IF((((VLOOKUP(B72,'Data qoq'!$A:$AT,MATCH($S$1,'Data qoq'!$A$1:$AT$1,),))/100+1)^4)-1=0,#N/A,(((VLOOKUP(B72,'Data qoq'!$A:$AT,MATCH($S$1,'Data qoq'!$A$1:$AT$1,),))/100+1)^4)-1)</f>
        <v>1.9471185653165968E-2</v>
      </c>
      <c r="T72" s="32">
        <f>IF((((VLOOKUP(B72,'Data qoq'!$A:$AT,MATCH($T$1,'Data qoq'!$A$1:$AT$1,),))/100+1)^4)-1=0,#N/A,(((VLOOKUP(B72,'Data qoq'!$A:$AT,MATCH($T$1,'Data qoq'!$A$1:$AT$1,),))/100+1)^4)-1)</f>
        <v>-9.9930103957217242E-2</v>
      </c>
      <c r="U72" s="32">
        <f>IF((((VLOOKUP(B72,'Data qoq'!$A:$AT,MATCH($U$1,'Data qoq'!$A$1:$AT$1,),))/100+1)^4)-1=0,#N/A,(((VLOOKUP(B72,'Data qoq'!$A:$AT,MATCH($U$1,'Data qoq'!$A$1:$AT$1,),))/100+1)^4)-1)</f>
        <v>-2.3944962471995623E-3</v>
      </c>
      <c r="V72" s="32">
        <f>IF((((VLOOKUP(B72,'Data qoq'!$A:$AT,MATCH($V$1,'Data qoq'!$A$1:$AT$1,),))/100+1)^4)-1=0,#N/A,(((VLOOKUP(B72,'Data qoq'!$A:$AT,MATCH($V$1,'Data qoq'!$A$1:$AT$1,),))/100+1)^4)-1)</f>
        <v>-7.5732447146666382E-2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3.1895726905265542E-2</v>
      </c>
      <c r="Z72" s="32">
        <f>IF((((VLOOKUP(B72,'Data qoq'!$A:$AU,MATCH($Z$1,'Data qoq'!$A$1:$AU$1,),))/100+1)^4)-1=0,#N/A,(((VLOOKUP(B72,'Data qoq'!$A:$AU,MATCH($Z$1,'Data qoq'!$A$1:$AU$1,),))/100+1)^4)-1)</f>
        <v>9.6564229584739092E-2</v>
      </c>
      <c r="AA72" s="32">
        <f>IF((((VLOOKUP(B72,'Data qoq'!$A:$AU,MATCH($AA$1,'Data qoq'!$A$1:$AU$1,),))/100+1)^4)-1=0,#N/A,(((VLOOKUP(B72,'Data qoq'!$A:$AU,MATCH($AA$1,'Data qoq'!$A$1:$AU$1,),))/100+1)^4)-1)</f>
        <v>2.9546170438073727E-2</v>
      </c>
      <c r="AC72" s="26" t="str">
        <f t="shared" si="8"/>
        <v>2015-Q2</v>
      </c>
      <c r="AD72" s="31">
        <f t="shared" si="9"/>
        <v>-1.0987269672825262E-2</v>
      </c>
      <c r="AE72" s="27"/>
    </row>
    <row r="73" spans="1:31" x14ac:dyDescent="0.2">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1.7129222214776529E-2</v>
      </c>
      <c r="F73" s="32">
        <f>IF((((VLOOKUP(B73,'Data qoq'!$A:$AT,MATCH($F$1,'Data qoq'!$A$1:$AT$1,),))/100+1)^4)-1=0,#N/A,(((VLOOKUP(B73,'Data qoq'!$A:$AT,MATCH($F$1,'Data qoq'!$A$1:$AT$1,),))/100+1)^4)-1)</f>
        <v>3.1380495730195523E-3</v>
      </c>
      <c r="G73" s="32">
        <f>IF((((VLOOKUP(B73,'Data qoq'!$A:$AT,MATCH($G$1,'Data qoq'!$A$1:$AT$1,),))/100+1)^4)-1=0,#N/A,(((VLOOKUP(B73,'Data qoq'!$A:$AT,MATCH($G$1,'Data qoq'!$A$1:$AT$1,),))/100+1)^4)-1)</f>
        <v>2.0207180190208174E-2</v>
      </c>
      <c r="H73" s="32">
        <f>IF((((VLOOKUP(B73,'Data qoq'!$A:$AT,MATCH($H$1,'Data qoq'!$A$1:$AT$1,),))/100+1)^4)-1=0,#N/A,(((VLOOKUP(B73,'Data qoq'!$A:$AT,MATCH($H$1,'Data qoq'!$A$1:$AT$1,),))/100+1)^4)-1)</f>
        <v>8.8197378425522999E-3</v>
      </c>
      <c r="I73" s="32">
        <f>IF((((VLOOKUP(B73,'Data qoq'!$A:$AT,MATCH($I$1,'Data qoq'!$A$1:$AT$1,),))/100+1)^4)-1=0,#N/A,(((VLOOKUP(B73,'Data qoq'!$A:$AT,MATCH($I$1,'Data qoq'!$A$1:$AT$1,),))/100+1)^4)-1)</f>
        <v>2.1663908687612921E-2</v>
      </c>
      <c r="J73" s="32">
        <f>IF((((VLOOKUP(B73,'Data qoq'!$A:$AT,MATCH($J$1,'Data qoq'!$A$1:$AT$1,),))/100+1)^4)-1=0,#N/A,(((VLOOKUP(B73,'Data qoq'!$A:$AT,MATCH($J$1,'Data qoq'!$A$1:$AT$1,),))/100+1)^4)-1)</f>
        <v>9.6377701388816739E-3</v>
      </c>
      <c r="K73" s="32">
        <f>IF((((VLOOKUP(B73,'Data qoq'!$A:$AT,MATCH($K$1,'Data qoq'!$A$1:$AT$1,),))/100+1)^4)-1=0,#N/A,(((VLOOKUP(B73,'Data qoq'!$A:$AT,MATCH($K$1,'Data qoq'!$A$1:$AT$1,),))/100+1)^4)-1)</f>
        <v>3.6901102404791386E-2</v>
      </c>
      <c r="L73" s="32">
        <f>IF((((VLOOKUP(B73,'Data qoq'!$A:$AT,MATCH($L$1,'Data qoq'!$A$1:$AT$1,),))/100+1)^4)-1=0,#N/A,(((VLOOKUP(B73,'Data qoq'!$A:$AT,MATCH($L$1,'Data qoq'!$A$1:$AT$1,),))/100+1)^4)-1)</f>
        <v>5.6232274127961723E-2</v>
      </c>
      <c r="M73" s="32">
        <f>IF((((VLOOKUP(B73,'Data qoq'!$A:$AT,MATCH($M$1,'Data qoq'!$A$1:$AT$1,),))/100+1)^4)-1=0,#N/A,(((VLOOKUP(B73,'Data qoq'!$A:$AT,MATCH($M$1,'Data qoq'!$A$1:$AT$1,),))/100+1)^4)-1)</f>
        <v>5.4162085635500956E-2</v>
      </c>
      <c r="N73" s="32">
        <f>IF((((VLOOKUP(B73,'Data qoq'!$A:$AT,MATCH($N$1,'Data qoq'!$A$1:$AT$1,),))/100+1)^4)-1=0,#N/A,(((VLOOKUP(B73,'Data qoq'!$A:$AT,MATCH($N$1,'Data qoq'!$A$1:$AT$1,),))/100+1)^4)-1)</f>
        <v>7.7635353645317817E-3</v>
      </c>
      <c r="O73" s="32">
        <f>IF((((VLOOKUP(B73,'Data qoq'!$A:$AT,MATCH($O$1,'Data qoq'!$A$1:$AT$1,),))/100+1)^4)-1=0,#N/A,(((VLOOKUP(B73,'Data qoq'!$A:$AT,MATCH($O$1,'Data qoq'!$A$1:$AT$1,),))/100+1)^4)-1)</f>
        <v>7.5919204726077716E-2</v>
      </c>
      <c r="P73" s="32">
        <f>IF((((VLOOKUP(B73,'Data qoq'!$A:$AT,MATCH($P$1,'Data qoq'!$A$1:$AT$1,),))/100+1)^4)-1=0,#N/A,(((VLOOKUP(B73,'Data qoq'!$A:$AT,MATCH($P$1,'Data qoq'!$A$1:$AT$1,),))/100+1)^4)-1)</f>
        <v>1.422331330626192E-2</v>
      </c>
      <c r="Q73" s="32">
        <f>IF((((VLOOKUP(B73,'Data qoq'!$A:$AT,MATCH($Q$1,'Data qoq'!$A$1:$AT$1,),))/100+1)^4)-1=0,#N/A,(((VLOOKUP(B73,'Data qoq'!$A:$AT,MATCH($Q$1,'Data qoq'!$A$1:$AT$1,),))/100+1)^4)-1)</f>
        <v>4.2434041580582615E-2</v>
      </c>
      <c r="R73" s="32">
        <f>IF((((VLOOKUP(B73,'Data qoq'!$A:$AT,MATCH($R$1,'Data qoq'!$A$1:$AT$1,),))/100+1)^4)-1=0,#N/A,(((VLOOKUP(B73,'Data qoq'!$A:$AT,MATCH($R$1,'Data qoq'!$A$1:$AT$1,),))/100+1)^4)-1)</f>
        <v>2.5574278188233768E-2</v>
      </c>
      <c r="S73" s="32">
        <f>IF((((VLOOKUP(B73,'Data qoq'!$A:$AT,MATCH($S$1,'Data qoq'!$A$1:$AT$1,),))/100+1)^4)-1=0,#N/A,(((VLOOKUP(B73,'Data qoq'!$A:$AT,MATCH($S$1,'Data qoq'!$A$1:$AT$1,),))/100+1)^4)-1)</f>
        <v>5.8980104932074395E-2</v>
      </c>
      <c r="T73" s="32">
        <f>IF((((VLOOKUP(B73,'Data qoq'!$A:$AT,MATCH($T$1,'Data qoq'!$A$1:$AT$1,),))/100+1)^4)-1=0,#N/A,(((VLOOKUP(B73,'Data qoq'!$A:$AT,MATCH($T$1,'Data qoq'!$A$1:$AT$1,),))/100+1)^4)-1)</f>
        <v>-5.7868827648714927E-2</v>
      </c>
      <c r="U73" s="32">
        <f>IF((((VLOOKUP(B73,'Data qoq'!$A:$AT,MATCH($U$1,'Data qoq'!$A$1:$AT$1,),))/100+1)^4)-1=0,#N/A,(((VLOOKUP(B73,'Data qoq'!$A:$AT,MATCH($U$1,'Data qoq'!$A$1:$AT$1,),))/100+1)^4)-1)</f>
        <v>-7.3120233104464361E-2</v>
      </c>
      <c r="V73" s="32">
        <f>IF((((VLOOKUP(B73,'Data qoq'!$A:$AT,MATCH($V$1,'Data qoq'!$A$1:$AT$1,),))/100+1)^4)-1=0,#N/A,(((VLOOKUP(B73,'Data qoq'!$A:$AT,MATCH($V$1,'Data qoq'!$A$1:$AT$1,),))/100+1)^4)-1)</f>
        <v>0.12146225661813093</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5.1440893604256743E-2</v>
      </c>
      <c r="Z73" s="32">
        <f>IF((((VLOOKUP(B73,'Data qoq'!$A:$AU,MATCH($Z$1,'Data qoq'!$A$1:$AU$1,),))/100+1)^4)-1=0,#N/A,(((VLOOKUP(B73,'Data qoq'!$A:$AU,MATCH($Z$1,'Data qoq'!$A$1:$AU$1,),))/100+1)^4)-1)</f>
        <v>-1.9683618513406387E-3</v>
      </c>
      <c r="AA73" s="32">
        <f>IF((((VLOOKUP(B73,'Data qoq'!$A:$AU,MATCH($AA$1,'Data qoq'!$A$1:$AU$1,),))/100+1)^4)-1=0,#N/A,(((VLOOKUP(B73,'Data qoq'!$A:$AU,MATCH($AA$1,'Data qoq'!$A$1:$AU$1,),))/100+1)^4)-1)</f>
        <v>4.3093033622146892E-2</v>
      </c>
      <c r="AC73" s="26" t="str">
        <f t="shared" si="8"/>
        <v>2015-Q3</v>
      </c>
      <c r="AD73" s="31">
        <f t="shared" si="9"/>
        <v>-4.5346864728363911E-3</v>
      </c>
      <c r="AE73" s="27"/>
    </row>
    <row r="74" spans="1:31" x14ac:dyDescent="0.2">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6.9753735520999616E-2</v>
      </c>
      <c r="E74" s="32">
        <f>IF((((VLOOKUP(B74,'Data qoq'!$A:$AT,MATCH($E$1,'Data qoq'!$A$1:$AT$1,),))/100+1)^4)-1=0,#N/A,(((VLOOKUP(B74,'Data qoq'!$A:$AT,MATCH($E$1,'Data qoq'!$A$1:$AT$1,),))/100+1)^4)-1)</f>
        <v>1.8404272331042915E-2</v>
      </c>
      <c r="F74" s="32">
        <f>IF((((VLOOKUP(B74,'Data qoq'!$A:$AT,MATCH($F$1,'Data qoq'!$A$1:$AT$1,),))/100+1)^4)-1=0,#N/A,(((VLOOKUP(B74,'Data qoq'!$A:$AT,MATCH($F$1,'Data qoq'!$A$1:$AT$1,),))/100+1)^4)-1)</f>
        <v>-6.5993737413111431E-3</v>
      </c>
      <c r="G74" s="32">
        <f>IF((((VLOOKUP(B74,'Data qoq'!$A:$AT,MATCH($G$1,'Data qoq'!$A$1:$AT$1,),))/100+1)^4)-1=0,#N/A,(((VLOOKUP(B74,'Data qoq'!$A:$AT,MATCH($G$1,'Data qoq'!$A$1:$AT$1,),))/100+1)^4)-1)</f>
        <v>1.7273162740635062E-2</v>
      </c>
      <c r="H74" s="32">
        <f>IF((((VLOOKUP(B74,'Data qoq'!$A:$AT,MATCH($H$1,'Data qoq'!$A$1:$AT$1,),))/100+1)^4)-1=0,#N/A,(((VLOOKUP(B74,'Data qoq'!$A:$AT,MATCH($H$1,'Data qoq'!$A$1:$AT$1,),))/100+1)^4)-1)</f>
        <v>8.3431510684288668E-3</v>
      </c>
      <c r="I74" s="32">
        <f>IF((((VLOOKUP(B74,'Data qoq'!$A:$AT,MATCH($I$1,'Data qoq'!$A$1:$AT$1,),))/100+1)^4)-1=0,#N/A,(((VLOOKUP(B74,'Data qoq'!$A:$AT,MATCH($I$1,'Data qoq'!$A$1:$AT$1,),))/100+1)^4)-1)</f>
        <v>2.7473054174189215E-2</v>
      </c>
      <c r="J74" s="32">
        <f>IF((((VLOOKUP(B74,'Data qoq'!$A:$AT,MATCH($J$1,'Data qoq'!$A$1:$AT$1,),))/100+1)^4)-1=0,#N/A,(((VLOOKUP(B74,'Data qoq'!$A:$AT,MATCH($J$1,'Data qoq'!$A$1:$AT$1,),))/100+1)^4)-1)</f>
        <v>2.1306481207162609E-2</v>
      </c>
      <c r="K74" s="32">
        <f>IF((((VLOOKUP(B74,'Data qoq'!$A:$AT,MATCH($K$1,'Data qoq'!$A$1:$AT$1,),))/100+1)^4)-1=0,#N/A,(((VLOOKUP(B74,'Data qoq'!$A:$AT,MATCH($K$1,'Data qoq'!$A$1:$AT$1,),))/100+1)^4)-1)</f>
        <v>3.932959471339359E-2</v>
      </c>
      <c r="L74" s="32">
        <f>IF((((VLOOKUP(B74,'Data qoq'!$A:$AT,MATCH($L$1,'Data qoq'!$A$1:$AT$1,),))/100+1)^4)-1=0,#N/A,(((VLOOKUP(B74,'Data qoq'!$A:$AT,MATCH($L$1,'Data qoq'!$A$1:$AT$1,),))/100+1)^4)-1)</f>
        <v>2.9900536211356243E-2</v>
      </c>
      <c r="M74" s="32">
        <f>IF((((VLOOKUP(B74,'Data qoq'!$A:$AT,MATCH($M$1,'Data qoq'!$A$1:$AT$1,),))/100+1)^4)-1=0,#N/A,(((VLOOKUP(B74,'Data qoq'!$A:$AT,MATCH($M$1,'Data qoq'!$A$1:$AT$1,),))/100+1)^4)-1)</f>
        <v>-1.3679900369312326E-2</v>
      </c>
      <c r="N74" s="32">
        <f>IF((((VLOOKUP(B74,'Data qoq'!$A:$AT,MATCH($N$1,'Data qoq'!$A$1:$AT$1,),))/100+1)^4)-1=0,#N/A,(((VLOOKUP(B74,'Data qoq'!$A:$AT,MATCH($N$1,'Data qoq'!$A$1:$AT$1,),))/100+1)^4)-1)</f>
        <v>-1.0271847345456719E-2</v>
      </c>
      <c r="O74" s="32">
        <f>IF((((VLOOKUP(B74,'Data qoq'!$A:$AT,MATCH($O$1,'Data qoq'!$A$1:$AT$1,),))/100+1)^4)-1=0,#N/A,(((VLOOKUP(B74,'Data qoq'!$A:$AT,MATCH($O$1,'Data qoq'!$A$1:$AT$1,),))/100+1)^4)-1)</f>
        <v>8.3811965004547462E-2</v>
      </c>
      <c r="P74" s="32">
        <f>IF((((VLOOKUP(B74,'Data qoq'!$A:$AT,MATCH($P$1,'Data qoq'!$A$1:$AT$1,),))/100+1)^4)-1=0,#N/A,(((VLOOKUP(B74,'Data qoq'!$A:$AT,MATCH($P$1,'Data qoq'!$A$1:$AT$1,),))/100+1)^4)-1)</f>
        <v>2.9984606924127188E-3</v>
      </c>
      <c r="Q74" s="32">
        <f>IF((((VLOOKUP(B74,'Data qoq'!$A:$AT,MATCH($Q$1,'Data qoq'!$A$1:$AT$1,),))/100+1)^4)-1=0,#N/A,(((VLOOKUP(B74,'Data qoq'!$A:$AT,MATCH($Q$1,'Data qoq'!$A$1:$AT$1,),))/100+1)^4)-1)</f>
        <v>2.4257011236942461E-2</v>
      </c>
      <c r="R74" s="32">
        <f>IF((((VLOOKUP(B74,'Data qoq'!$A:$AT,MATCH($R$1,'Data qoq'!$A$1:$AT$1,),))/100+1)^4)-1=0,#N/A,(((VLOOKUP(B74,'Data qoq'!$A:$AT,MATCH($R$1,'Data qoq'!$A$1:$AT$1,),))/100+1)^4)-1)</f>
        <v>1.6546017811271962E-2</v>
      </c>
      <c r="S74" s="32">
        <f>IF((((VLOOKUP(B74,'Data qoq'!$A:$AT,MATCH($S$1,'Data qoq'!$A$1:$AT$1,),))/100+1)^4)-1=0,#N/A,(((VLOOKUP(B74,'Data qoq'!$A:$AT,MATCH($S$1,'Data qoq'!$A$1:$AT$1,),))/100+1)^4)-1)</f>
        <v>2.8456624354937121E-2</v>
      </c>
      <c r="T74" s="32">
        <f>IF((((VLOOKUP(B74,'Data qoq'!$A:$AT,MATCH($T$1,'Data qoq'!$A$1:$AT$1,),))/100+1)^4)-1=0,#N/A,(((VLOOKUP(B74,'Data qoq'!$A:$AT,MATCH($T$1,'Data qoq'!$A$1:$AT$1,),))/100+1)^4)-1)</f>
        <v>-3.1140683563721239E-2</v>
      </c>
      <c r="U74" s="32">
        <f>IF((((VLOOKUP(B74,'Data qoq'!$A:$AT,MATCH($U$1,'Data qoq'!$A$1:$AT$1,),))/100+1)^4)-1=0,#N/A,(((VLOOKUP(B74,'Data qoq'!$A:$AT,MATCH($U$1,'Data qoq'!$A$1:$AT$1,),))/100+1)^4)-1)</f>
        <v>7.3836942552934826E-2</v>
      </c>
      <c r="V74" s="32">
        <f>IF((((VLOOKUP(B74,'Data qoq'!$A:$AT,MATCH($V$1,'Data qoq'!$A$1:$AT$1,),))/100+1)^4)-1=0,#N/A,(((VLOOKUP(B74,'Data qoq'!$A:$AT,MATCH($V$1,'Data qoq'!$A$1:$AT$1,),))/100+1)^4)-1)</f>
        <v>3.6295895168671821E-2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5.0808999161658486E-2</v>
      </c>
      <c r="Z74" s="32">
        <f>IF((((VLOOKUP(B74,'Data qoq'!$A:$AU,MATCH($Z$1,'Data qoq'!$A$1:$AU$1,),))/100+1)^4)-1=0,#N/A,(((VLOOKUP(B74,'Data qoq'!$A:$AU,MATCH($Z$1,'Data qoq'!$A$1:$AU$1,),))/100+1)^4)-1)</f>
        <v>-4.3867675909730841E-2</v>
      </c>
      <c r="AA74" s="32">
        <f>IF((((VLOOKUP(B74,'Data qoq'!$A:$AU,MATCH($AA$1,'Data qoq'!$A$1:$AU$1,),))/100+1)^4)-1=0,#N/A,(((VLOOKUP(B74,'Data qoq'!$A:$AU,MATCH($AA$1,'Data qoq'!$A$1:$AU$1,),))/100+1)^4)-1)</f>
        <v>4.2633791964399315E-2</v>
      </c>
      <c r="AC74" s="26" t="str">
        <f t="shared" si="8"/>
        <v>2015-Q4</v>
      </c>
      <c r="AD74" s="31">
        <f t="shared" si="9"/>
        <v>-9.0687818431463008E-3</v>
      </c>
      <c r="AE74" s="27"/>
    </row>
    <row r="75" spans="1:31" x14ac:dyDescent="0.2">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2.2443699351829105E-2</v>
      </c>
      <c r="F75" s="32">
        <f>IF((((VLOOKUP(B75,'Data qoq'!$A:$AT,MATCH($F$1,'Data qoq'!$A$1:$AT$1,),))/100+1)^4)-1=0,#N/A,(((VLOOKUP(B75,'Data qoq'!$A:$AT,MATCH($F$1,'Data qoq'!$A$1:$AT$1,),))/100+1)^4)-1)</f>
        <v>3.0769269246955666E-2</v>
      </c>
      <c r="G75" s="32">
        <f>IF((((VLOOKUP(B75,'Data qoq'!$A:$AT,MATCH($G$1,'Data qoq'!$A$1:$AT$1,),))/100+1)^4)-1=0,#N/A,(((VLOOKUP(B75,'Data qoq'!$A:$AT,MATCH($G$1,'Data qoq'!$A$1:$AT$1,),))/100+1)^4)-1)</f>
        <v>3.3092082069765549E-2</v>
      </c>
      <c r="H75" s="32">
        <f>IF((((VLOOKUP(B75,'Data qoq'!$A:$AT,MATCH($H$1,'Data qoq'!$A$1:$AT$1,),))/100+1)^4)-1=0,#N/A,(((VLOOKUP(B75,'Data qoq'!$A:$AT,MATCH($H$1,'Data qoq'!$A$1:$AT$1,),))/100+1)^4)-1)</f>
        <v>2.5166844162092694E-2</v>
      </c>
      <c r="I75" s="32">
        <f>IF((((VLOOKUP(B75,'Data qoq'!$A:$AT,MATCH($I$1,'Data qoq'!$A$1:$AT$1,),))/100+1)^4)-1=0,#N/A,(((VLOOKUP(B75,'Data qoq'!$A:$AT,MATCH($I$1,'Data qoq'!$A$1:$AT$1,),))/100+1)^4)-1)</f>
        <v>1.7783264226068463E-2</v>
      </c>
      <c r="J75" s="32">
        <f>IF((((VLOOKUP(B75,'Data qoq'!$A:$AT,MATCH($J$1,'Data qoq'!$A$1:$AT$1,),))/100+1)^4)-1=0,#N/A,(((VLOOKUP(B75,'Data qoq'!$A:$AT,MATCH($J$1,'Data qoq'!$A$1:$AT$1,),))/100+1)^4)-1)</f>
        <v>1.0948051529422687E-2</v>
      </c>
      <c r="K75" s="32">
        <f>IF((((VLOOKUP(B75,'Data qoq'!$A:$AT,MATCH($K$1,'Data qoq'!$A$1:$AT$1,),))/100+1)^4)-1=0,#N/A,(((VLOOKUP(B75,'Data qoq'!$A:$AT,MATCH($K$1,'Data qoq'!$A$1:$AT$1,),))/100+1)^4)-1)</f>
        <v>2.7382815578478992E-2</v>
      </c>
      <c r="L75" s="32">
        <f>IF((((VLOOKUP(B75,'Data qoq'!$A:$AT,MATCH($L$1,'Data qoq'!$A$1:$AT$1,),))/100+1)^4)-1=0,#N/A,(((VLOOKUP(B75,'Data qoq'!$A:$AT,MATCH($L$1,'Data qoq'!$A$1:$AT$1,),))/100+1)^4)-1)</f>
        <v>-2.1072918154614317E-3</v>
      </c>
      <c r="M75" s="32">
        <f>IF((((VLOOKUP(B75,'Data qoq'!$A:$AT,MATCH($M$1,'Data qoq'!$A$1:$AT$1,),))/100+1)^4)-1=0,#N/A,(((VLOOKUP(B75,'Data qoq'!$A:$AT,MATCH($M$1,'Data qoq'!$A$1:$AT$1,),))/100+1)^4)-1)</f>
        <v>2.3464904325668501E-2</v>
      </c>
      <c r="N75" s="32">
        <f>IF((((VLOOKUP(B75,'Data qoq'!$A:$AT,MATCH($N$1,'Data qoq'!$A$1:$AT$1,),))/100+1)^4)-1=0,#N/A,(((VLOOKUP(B75,'Data qoq'!$A:$AT,MATCH($N$1,'Data qoq'!$A$1:$AT$1,),))/100+1)^4)-1)</f>
        <v>7.6240015514328352E-3</v>
      </c>
      <c r="O75" s="32">
        <f>IF((((VLOOKUP(B75,'Data qoq'!$A:$AT,MATCH($O$1,'Data qoq'!$A$1:$AT$1,),))/100+1)^4)-1=0,#N/A,(((VLOOKUP(B75,'Data qoq'!$A:$AT,MATCH($O$1,'Data qoq'!$A$1:$AT$1,),))/100+1)^4)-1)</f>
        <v>0.12124624839533715</v>
      </c>
      <c r="P75" s="32">
        <f>IF((((VLOOKUP(B75,'Data qoq'!$A:$AT,MATCH($P$1,'Data qoq'!$A$1:$AT$1,),))/100+1)^4)-1=0,#N/A,(((VLOOKUP(B75,'Data qoq'!$A:$AT,MATCH($P$1,'Data qoq'!$A$1:$AT$1,),))/100+1)^4)-1)</f>
        <v>2.212120648088356E-2</v>
      </c>
      <c r="Q75" s="32">
        <f>IF((((VLOOKUP(B75,'Data qoq'!$A:$AT,MATCH($Q$1,'Data qoq'!$A$1:$AT$1,),))/100+1)^4)-1=0,#N/A,(((VLOOKUP(B75,'Data qoq'!$A:$AT,MATCH($Q$1,'Data qoq'!$A$1:$AT$1,),))/100+1)^4)-1)</f>
        <v>3.4865138607989454E-2</v>
      </c>
      <c r="R75" s="32">
        <f>IF((((VLOOKUP(B75,'Data qoq'!$A:$AT,MATCH($R$1,'Data qoq'!$A$1:$AT$1,),))/100+1)^4)-1=0,#N/A,(((VLOOKUP(B75,'Data qoq'!$A:$AT,MATCH($R$1,'Data qoq'!$A$1:$AT$1,),))/100+1)^4)-1)</f>
        <v>1.6904140644575572E-2</v>
      </c>
      <c r="S75" s="32">
        <f>IF((((VLOOKUP(B75,'Data qoq'!$A:$AT,MATCH($S$1,'Data qoq'!$A$1:$AT$1,),))/100+1)^4)-1=0,#N/A,(((VLOOKUP(B75,'Data qoq'!$A:$AT,MATCH($S$1,'Data qoq'!$A$1:$AT$1,),))/100+1)^4)-1)</f>
        <v>1.1487386133668398E-2</v>
      </c>
      <c r="T75" s="32">
        <f>IF((((VLOOKUP(B75,'Data qoq'!$A:$AT,MATCH($T$1,'Data qoq'!$A$1:$AT$1,),))/100+1)^4)-1=0,#N/A,(((VLOOKUP(B75,'Data qoq'!$A:$AT,MATCH($T$1,'Data qoq'!$A$1:$AT$1,),))/100+1)^4)-1)</f>
        <v>-6.2656760895876351E-2</v>
      </c>
      <c r="U75" s="32">
        <f>IF((((VLOOKUP(B75,'Data qoq'!$A:$AT,MATCH($U$1,'Data qoq'!$A$1:$AT$1,),))/100+1)^4)-1=0,#N/A,(((VLOOKUP(B75,'Data qoq'!$A:$AT,MATCH($U$1,'Data qoq'!$A$1:$AT$1,),))/100+1)^4)-1)</f>
        <v>-3.7740517635487913E-2</v>
      </c>
      <c r="V75" s="32">
        <f>IF((((VLOOKUP(B75,'Data qoq'!$A:$AT,MATCH($V$1,'Data qoq'!$A$1:$AT$1,),))/100+1)^4)-1=0,#N/A,(((VLOOKUP(B75,'Data qoq'!$A:$AT,MATCH($V$1,'Data qoq'!$A$1:$AT$1,),))/100+1)^4)-1)</f>
        <v>-0.10931177829736394</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-1.1950765896102555E-2</v>
      </c>
      <c r="Z75" s="32">
        <f>IF((((VLOOKUP(B75,'Data qoq'!$A:$AU,MATCH($Z$1,'Data qoq'!$A$1:$AU$1,),))/100+1)^4)-1=0,#N/A,(((VLOOKUP(B75,'Data qoq'!$A:$AU,MATCH($Z$1,'Data qoq'!$A$1:$AU$1,),))/100+1)^4)-1)</f>
        <v>-3.6892095691091753E-2</v>
      </c>
      <c r="AA75" s="32">
        <f>IF((((VLOOKUP(B75,'Data qoq'!$A:$AU,MATCH($AA$1,'Data qoq'!$A$1:$AU$1,),))/100+1)^4)-1=0,#N/A,(((VLOOKUP(B75,'Data qoq'!$A:$AU,MATCH($AA$1,'Data qoq'!$A$1:$AU$1,),))/100+1)^4)-1)</f>
        <v>4.7305655794364077E-2</v>
      </c>
      <c r="AC75" s="26" t="str">
        <f t="shared" ref="AC75:AC99" si="10">B75</f>
        <v>2016-Q1</v>
      </c>
      <c r="AD75" s="31">
        <f t="shared" ref="AD75:AD106" si="11">(VLOOKUP(AC75,B:Y,MATCH($AE$6,$B$1:$Y$1,),))-(VLOOKUP(AC75,B:Y,MATCH($AE$7,$B$1:$Y$1,),))</f>
        <v>4.6604351257606424E-3</v>
      </c>
      <c r="AE75" s="27"/>
    </row>
    <row r="76" spans="1:31" x14ac:dyDescent="0.2">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9.2374677135433902E-3</v>
      </c>
      <c r="F76" s="32">
        <f>IF((((VLOOKUP(B76,'Data qoq'!$A:$AT,MATCH($F$1,'Data qoq'!$A$1:$AT$1,),))/100+1)^4)-1=0,#N/A,(((VLOOKUP(B76,'Data qoq'!$A:$AT,MATCH($F$1,'Data qoq'!$A$1:$AT$1,),))/100+1)^4)-1)</f>
        <v>-5.7420330780496576E-3</v>
      </c>
      <c r="G76" s="32">
        <f>IF((((VLOOKUP(B76,'Data qoq'!$A:$AT,MATCH($G$1,'Data qoq'!$A$1:$AT$1,),))/100+1)^4)-1=0,#N/A,(((VLOOKUP(B76,'Data qoq'!$A:$AT,MATCH($G$1,'Data qoq'!$A$1:$AT$1,),))/100+1)^4)-1)</f>
        <v>1.6659544101505608E-2</v>
      </c>
      <c r="H76" s="32">
        <f>IF((((VLOOKUP(B76,'Data qoq'!$A:$AT,MATCH($H$1,'Data qoq'!$A$1:$AT$1,),))/100+1)^4)-1=0,#N/A,(((VLOOKUP(B76,'Data qoq'!$A:$AT,MATCH($H$1,'Data qoq'!$A$1:$AT$1,),))/100+1)^4)-1)</f>
        <v>-1.1797151870896805E-2</v>
      </c>
      <c r="I76" s="32">
        <f>IF((((VLOOKUP(B76,'Data qoq'!$A:$AT,MATCH($I$1,'Data qoq'!$A$1:$AT$1,),))/100+1)^4)-1=0,#N/A,(((VLOOKUP(B76,'Data qoq'!$A:$AT,MATCH($I$1,'Data qoq'!$A$1:$AT$1,),))/100+1)^4)-1)</f>
        <v>2.3294255420756471E-2</v>
      </c>
      <c r="J76" s="32">
        <f>IF((((VLOOKUP(B76,'Data qoq'!$A:$AT,MATCH($J$1,'Data qoq'!$A$1:$AT$1,),))/100+1)^4)-1=0,#N/A,(((VLOOKUP(B76,'Data qoq'!$A:$AT,MATCH($J$1,'Data qoq'!$A$1:$AT$1,),))/100+1)^4)-1)</f>
        <v>8.2504561003382548E-3</v>
      </c>
      <c r="K76" s="32">
        <f>IF((((VLOOKUP(B76,'Data qoq'!$A:$AT,MATCH($K$1,'Data qoq'!$A$1:$AT$1,),))/100+1)^4)-1=0,#N/A,(((VLOOKUP(B76,'Data qoq'!$A:$AT,MATCH($K$1,'Data qoq'!$A$1:$AT$1,),))/100+1)^4)-1)</f>
        <v>1.6882202618370146E-2</v>
      </c>
      <c r="L76" s="32">
        <f>IF((((VLOOKUP(B76,'Data qoq'!$A:$AT,MATCH($L$1,'Data qoq'!$A$1:$AT$1,),))/100+1)^4)-1=0,#N/A,(((VLOOKUP(B76,'Data qoq'!$A:$AT,MATCH($L$1,'Data qoq'!$A$1:$AT$1,),))/100+1)^4)-1)</f>
        <v>1.842730203429177E-3</v>
      </c>
      <c r="M76" s="32">
        <f>IF((((VLOOKUP(B76,'Data qoq'!$A:$AT,MATCH($M$1,'Data qoq'!$A$1:$AT$1,),))/100+1)^4)-1=0,#N/A,(((VLOOKUP(B76,'Data qoq'!$A:$AT,MATCH($M$1,'Data qoq'!$A$1:$AT$1,),))/100+1)^4)-1)</f>
        <v>1.6697944752750216E-2</v>
      </c>
      <c r="N76" s="32">
        <f>IF((((VLOOKUP(B76,'Data qoq'!$A:$AT,MATCH($N$1,'Data qoq'!$A$1:$AT$1,),))/100+1)^4)-1=0,#N/A,(((VLOOKUP(B76,'Data qoq'!$A:$AT,MATCH($N$1,'Data qoq'!$A$1:$AT$1,),))/100+1)^4)-1)</f>
        <v>2.1556900768069376E-3</v>
      </c>
      <c r="O76" s="32">
        <f>IF((((VLOOKUP(B76,'Data qoq'!$A:$AT,MATCH($O$1,'Data qoq'!$A$1:$AT$1,),))/100+1)^4)-1=0,#N/A,(((VLOOKUP(B76,'Data qoq'!$A:$AT,MATCH($O$1,'Data qoq'!$A$1:$AT$1,),))/100+1)^4)-1)</f>
        <v>7.3157439190491891E-2</v>
      </c>
      <c r="P76" s="32">
        <f>IF((((VLOOKUP(B76,'Data qoq'!$A:$AT,MATCH($P$1,'Data qoq'!$A$1:$AT$1,),))/100+1)^4)-1=0,#N/A,(((VLOOKUP(B76,'Data qoq'!$A:$AT,MATCH($P$1,'Data qoq'!$A$1:$AT$1,),))/100+1)^4)-1)</f>
        <v>-1.9523875668778556E-2</v>
      </c>
      <c r="Q76" s="32">
        <f>IF((((VLOOKUP(B76,'Data qoq'!$A:$AT,MATCH($Q$1,'Data qoq'!$A$1:$AT$1,),))/100+1)^4)-1=0,#N/A,(((VLOOKUP(B76,'Data qoq'!$A:$AT,MATCH($Q$1,'Data qoq'!$A$1:$AT$1,),))/100+1)^4)-1)</f>
        <v>2.642184524304847E-2</v>
      </c>
      <c r="R76" s="32">
        <f>IF((((VLOOKUP(B76,'Data qoq'!$A:$AT,MATCH($R$1,'Data qoq'!$A$1:$AT$1,),))/100+1)^4)-1=0,#N/A,(((VLOOKUP(B76,'Data qoq'!$A:$AT,MATCH($R$1,'Data qoq'!$A$1:$AT$1,),))/100+1)^4)-1)</f>
        <v>2.1011551820612873E-2</v>
      </c>
      <c r="S76" s="32">
        <f>IF((((VLOOKUP(B76,'Data qoq'!$A:$AT,MATCH($S$1,'Data qoq'!$A$1:$AT$1,),))/100+1)^4)-1=0,#N/A,(((VLOOKUP(B76,'Data qoq'!$A:$AT,MATCH($S$1,'Data qoq'!$A$1:$AT$1,),))/100+1)^4)-1)</f>
        <v>4.9138995317199008E-2</v>
      </c>
      <c r="T76" s="32">
        <f>IF((((VLOOKUP(B76,'Data qoq'!$A:$AT,MATCH($T$1,'Data qoq'!$A$1:$AT$1,),))/100+1)^4)-1=0,#N/A,(((VLOOKUP(B76,'Data qoq'!$A:$AT,MATCH($T$1,'Data qoq'!$A$1:$AT$1,),))/100+1)^4)-1)</f>
        <v>2.2421807108528702E-2</v>
      </c>
      <c r="U76" s="32">
        <f>IF((((VLOOKUP(B76,'Data qoq'!$A:$AT,MATCH($U$1,'Data qoq'!$A$1:$AT$1,),))/100+1)^4)-1=0,#N/A,(((VLOOKUP(B76,'Data qoq'!$A:$AT,MATCH($U$1,'Data qoq'!$A$1:$AT$1,),))/100+1)^4)-1)</f>
        <v>-9.6956654582918134E-3</v>
      </c>
      <c r="V76" s="32">
        <f>IF((((VLOOKUP(B76,'Data qoq'!$A:$AT,MATCH($V$1,'Data qoq'!$A$1:$AT$1,),))/100+1)^4)-1=0,#N/A,(((VLOOKUP(B76,'Data qoq'!$A:$AT,MATCH($V$1,'Data qoq'!$A$1:$AT$1,),))/100+1)^4)-1)</f>
        <v>7.4533573167735678E-2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5.3686531518048142E-2</v>
      </c>
      <c r="Z76" s="32">
        <f>IF((((VLOOKUP(B76,'Data qoq'!$A:$AU,MATCH($Z$1,'Data qoq'!$A$1:$AU$1,),))/100+1)^4)-1=0,#N/A,(((VLOOKUP(B76,'Data qoq'!$A:$AU,MATCH($Z$1,'Data qoq'!$A$1:$AU$1,),))/100+1)^4)-1)</f>
        <v>-6.1767942879536242E-2</v>
      </c>
      <c r="AA76" s="32">
        <f>IF((((VLOOKUP(B76,'Data qoq'!$A:$AU,MATCH($AA$1,'Data qoq'!$A$1:$AU$1,),))/100+1)^4)-1=0,#N/A,(((VLOOKUP(B76,'Data qoq'!$A:$AU,MATCH($AA$1,'Data qoq'!$A$1:$AU$1,),))/100+1)^4)-1)</f>
        <v>3.8849148121097743E-2</v>
      </c>
      <c r="AC76" s="26" t="str">
        <f t="shared" si="10"/>
        <v>2016-Q2</v>
      </c>
      <c r="AD76" s="31">
        <f t="shared" si="11"/>
        <v>-1.4056787707213081E-2</v>
      </c>
      <c r="AE76" s="27"/>
    </row>
    <row r="77" spans="1:31" x14ac:dyDescent="0.2">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1.9065574647378902E-2</v>
      </c>
      <c r="F77" s="32">
        <f>IF((((VLOOKUP(B77,'Data qoq'!$A:$AT,MATCH($F$1,'Data qoq'!$A$1:$AT$1,),))/100+1)^4)-1=0,#N/A,(((VLOOKUP(B77,'Data qoq'!$A:$AT,MATCH($F$1,'Data qoq'!$A$1:$AT$1,),))/100+1)^4)-1)</f>
        <v>6.7755665654842812E-3</v>
      </c>
      <c r="G77" s="32">
        <f>IF((((VLOOKUP(B77,'Data qoq'!$A:$AT,MATCH($G$1,'Data qoq'!$A$1:$AT$1,),))/100+1)^4)-1=0,#N/A,(((VLOOKUP(B77,'Data qoq'!$A:$AT,MATCH($G$1,'Data qoq'!$A$1:$AT$1,),))/100+1)^4)-1)</f>
        <v>1.3811439745116116E-2</v>
      </c>
      <c r="H77" s="32">
        <f>IF((((VLOOKUP(B77,'Data qoq'!$A:$AT,MATCH($H$1,'Data qoq'!$A$1:$AT$1,),))/100+1)^4)-1=0,#N/A,(((VLOOKUP(B77,'Data qoq'!$A:$AT,MATCH($H$1,'Data qoq'!$A$1:$AT$1,),))/100+1)^4)-1)</f>
        <v>1.0944682331365474E-2</v>
      </c>
      <c r="I77" s="32">
        <f>IF((((VLOOKUP(B77,'Data qoq'!$A:$AT,MATCH($I$1,'Data qoq'!$A$1:$AT$1,),))/100+1)^4)-1=0,#N/A,(((VLOOKUP(B77,'Data qoq'!$A:$AT,MATCH($I$1,'Data qoq'!$A$1:$AT$1,),))/100+1)^4)-1)</f>
        <v>1.7929417822736271E-2</v>
      </c>
      <c r="J77" s="32">
        <f>IF((((VLOOKUP(B77,'Data qoq'!$A:$AT,MATCH($J$1,'Data qoq'!$A$1:$AT$1,),))/100+1)^4)-1=0,#N/A,(((VLOOKUP(B77,'Data qoq'!$A:$AT,MATCH($J$1,'Data qoq'!$A$1:$AT$1,),))/100+1)^4)-1)</f>
        <v>2.2861565214560287E-2</v>
      </c>
      <c r="K77" s="32">
        <f>IF((((VLOOKUP(B77,'Data qoq'!$A:$AT,MATCH($K$1,'Data qoq'!$A$1:$AT$1,),))/100+1)^4)-1=0,#N/A,(((VLOOKUP(B77,'Data qoq'!$A:$AT,MATCH($K$1,'Data qoq'!$A$1:$AT$1,),))/100+1)^4)-1)</f>
        <v>3.5957719022935875E-2</v>
      </c>
      <c r="L77" s="32">
        <f>IF((((VLOOKUP(B77,'Data qoq'!$A:$AT,MATCH($L$1,'Data qoq'!$A$1:$AT$1,),))/100+1)^4)-1=0,#N/A,(((VLOOKUP(B77,'Data qoq'!$A:$AT,MATCH($L$1,'Data qoq'!$A$1:$AT$1,),))/100+1)^4)-1)</f>
        <v>1.2336024643017085E-2</v>
      </c>
      <c r="M77" s="32">
        <f>IF((((VLOOKUP(B77,'Data qoq'!$A:$AT,MATCH($M$1,'Data qoq'!$A$1:$AT$1,),))/100+1)^4)-1=0,#N/A,(((VLOOKUP(B77,'Data qoq'!$A:$AT,MATCH($M$1,'Data qoq'!$A$1:$AT$1,),))/100+1)^4)-1)</f>
        <v>4.3553490065470601E-2</v>
      </c>
      <c r="N77" s="32">
        <f>IF((((VLOOKUP(B77,'Data qoq'!$A:$AT,MATCH($N$1,'Data qoq'!$A$1:$AT$1,),))/100+1)^4)-1=0,#N/A,(((VLOOKUP(B77,'Data qoq'!$A:$AT,MATCH($N$1,'Data qoq'!$A$1:$AT$1,),))/100+1)^4)-1)</f>
        <v>4.0347489312948515E-3</v>
      </c>
      <c r="O77" s="32">
        <f>IF((((VLOOKUP(B77,'Data qoq'!$A:$AT,MATCH($O$1,'Data qoq'!$A$1:$AT$1,),))/100+1)^4)-1=0,#N/A,(((VLOOKUP(B77,'Data qoq'!$A:$AT,MATCH($O$1,'Data qoq'!$A$1:$AT$1,),))/100+1)^4)-1)</f>
        <v>9.4863270824314228E-2</v>
      </c>
      <c r="P77" s="32">
        <f>IF((((VLOOKUP(B77,'Data qoq'!$A:$AT,MATCH($P$1,'Data qoq'!$A$1:$AT$1,),))/100+1)^4)-1=0,#N/A,(((VLOOKUP(B77,'Data qoq'!$A:$AT,MATCH($P$1,'Data qoq'!$A$1:$AT$1,),))/100+1)^4)-1)</f>
        <v>4.189098596035401E-2</v>
      </c>
      <c r="Q77" s="32">
        <f>IF((((VLOOKUP(B77,'Data qoq'!$A:$AT,MATCH($Q$1,'Data qoq'!$A$1:$AT$1,),))/100+1)^4)-1=0,#N/A,(((VLOOKUP(B77,'Data qoq'!$A:$AT,MATCH($Q$1,'Data qoq'!$A$1:$AT$1,),))/100+1)^4)-1)</f>
        <v>5.4813901029111545E-3</v>
      </c>
      <c r="R77" s="32">
        <f>IF((((VLOOKUP(B77,'Data qoq'!$A:$AT,MATCH($R$1,'Data qoq'!$A$1:$AT$1,),))/100+1)^4)-1=0,#N/A,(((VLOOKUP(B77,'Data qoq'!$A:$AT,MATCH($R$1,'Data qoq'!$A$1:$AT$1,),))/100+1)^4)-1)</f>
        <v>2.1871086512677884E-2</v>
      </c>
      <c r="S77" s="32">
        <f>IF((((VLOOKUP(B77,'Data qoq'!$A:$AT,MATCH($S$1,'Data qoq'!$A$1:$AT$1,),))/100+1)^4)-1=0,#N/A,(((VLOOKUP(B77,'Data qoq'!$A:$AT,MATCH($S$1,'Data qoq'!$A$1:$AT$1,),))/100+1)^4)-1)</f>
        <v>1.6741717022325409E-2</v>
      </c>
      <c r="T77" s="32">
        <f>IF((((VLOOKUP(B77,'Data qoq'!$A:$AT,MATCH($T$1,'Data qoq'!$A$1:$AT$1,),))/100+1)^4)-1=0,#N/A,(((VLOOKUP(B77,'Data qoq'!$A:$AT,MATCH($T$1,'Data qoq'!$A$1:$AT$1,),))/100+1)^4)-1)</f>
        <v>-2.395113797626236E-2</v>
      </c>
      <c r="U77" s="32">
        <f>IF((((VLOOKUP(B77,'Data qoq'!$A:$AT,MATCH($U$1,'Data qoq'!$A$1:$AT$1,),))/100+1)^4)-1=0,#N/A,(((VLOOKUP(B77,'Data qoq'!$A:$AT,MATCH($U$1,'Data qoq'!$A$1:$AT$1,),))/100+1)^4)-1)</f>
        <v>1.169012743232134E-2</v>
      </c>
      <c r="V77" s="32">
        <f>IF((((VLOOKUP(B77,'Data qoq'!$A:$AT,MATCH($V$1,'Data qoq'!$A$1:$AT$1,),))/100+1)^4)-1=0,#N/A,(((VLOOKUP(B77,'Data qoq'!$A:$AT,MATCH($V$1,'Data qoq'!$A$1:$AT$1,),))/100+1)^4)-1)</f>
        <v>-4.365710413424928E-2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9.7656450434653319E-3</v>
      </c>
      <c r="Z77" s="32">
        <f>IF((((VLOOKUP(B77,'Data qoq'!$A:$AU,MATCH($Z$1,'Data qoq'!$A$1:$AU$1,),))/100+1)^4)-1=0,#N/A,(((VLOOKUP(B77,'Data qoq'!$A:$AU,MATCH($Z$1,'Data qoq'!$A$1:$AU$1,),))/100+1)^4)-1)</f>
        <v>1.3489008986881323E-2</v>
      </c>
      <c r="AA77" s="32">
        <f>IF((((VLOOKUP(B77,'Data qoq'!$A:$AU,MATCH($AA$1,'Data qoq'!$A$1:$AU$1,),))/100+1)^4)-1=0,#N/A,(((VLOOKUP(B77,'Data qoq'!$A:$AU,MATCH($AA$1,'Data qoq'!$A$1:$AU$1,),))/100+1)^4)-1)</f>
        <v>3.5806309832877137E-2</v>
      </c>
      <c r="AC77" s="26" t="str">
        <f t="shared" si="10"/>
        <v>2016-Q3</v>
      </c>
      <c r="AD77" s="31">
        <f t="shared" si="11"/>
        <v>1.1361568246426312E-3</v>
      </c>
      <c r="AE77" s="27"/>
    </row>
    <row r="78" spans="1:31" x14ac:dyDescent="0.2">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3.0371139220480181E-2</v>
      </c>
      <c r="F78" s="32">
        <f>IF((((VLOOKUP(B78,'Data qoq'!$A:$AT,MATCH($F$1,'Data qoq'!$A$1:$AT$1,),))/100+1)^4)-1=0,#N/A,(((VLOOKUP(B78,'Data qoq'!$A:$AT,MATCH($F$1,'Data qoq'!$A$1:$AT$1,),))/100+1)^4)-1)</f>
        <v>5.3252717703193841E-3</v>
      </c>
      <c r="G78" s="32">
        <f>IF((((VLOOKUP(B78,'Data qoq'!$A:$AT,MATCH($G$1,'Data qoq'!$A$1:$AT$1,),))/100+1)^4)-1=0,#N/A,(((VLOOKUP(B78,'Data qoq'!$A:$AT,MATCH($G$1,'Data qoq'!$A$1:$AT$1,),))/100+1)^4)-1)</f>
        <v>1.2578388582201727E-2</v>
      </c>
      <c r="H78" s="32">
        <f>IF((((VLOOKUP(B78,'Data qoq'!$A:$AT,MATCH($H$1,'Data qoq'!$A$1:$AT$1,),))/100+1)^4)-1=0,#N/A,(((VLOOKUP(B78,'Data qoq'!$A:$AT,MATCH($H$1,'Data qoq'!$A$1:$AT$1,),))/100+1)^4)-1)</f>
        <v>2.401550452797907E-2</v>
      </c>
      <c r="I78" s="32">
        <f>IF((((VLOOKUP(B78,'Data qoq'!$A:$AT,MATCH($I$1,'Data qoq'!$A$1:$AT$1,),))/100+1)^4)-1=0,#N/A,(((VLOOKUP(B78,'Data qoq'!$A:$AT,MATCH($I$1,'Data qoq'!$A$1:$AT$1,),))/100+1)^4)-1)</f>
        <v>2.9901432029139752E-2</v>
      </c>
      <c r="J78" s="32">
        <f>IF((((VLOOKUP(B78,'Data qoq'!$A:$AT,MATCH($J$1,'Data qoq'!$A$1:$AT$1,),))/100+1)^4)-1=0,#N/A,(((VLOOKUP(B78,'Data qoq'!$A:$AT,MATCH($J$1,'Data qoq'!$A$1:$AT$1,),))/100+1)^4)-1)</f>
        <v>1.1511244733010573E-2</v>
      </c>
      <c r="K78" s="32">
        <f>IF((((VLOOKUP(B78,'Data qoq'!$A:$AT,MATCH($K$1,'Data qoq'!$A$1:$AT$1,),))/100+1)^4)-1=0,#N/A,(((VLOOKUP(B78,'Data qoq'!$A:$AT,MATCH($K$1,'Data qoq'!$A$1:$AT$1,),))/100+1)^4)-1)</f>
        <v>1.8712588202351998E-2</v>
      </c>
      <c r="L78" s="32">
        <f>IF((((VLOOKUP(B78,'Data qoq'!$A:$AT,MATCH($L$1,'Data qoq'!$A$1:$AT$1,),))/100+1)^4)-1=0,#N/A,(((VLOOKUP(B78,'Data qoq'!$A:$AT,MATCH($L$1,'Data qoq'!$A$1:$AT$1,),))/100+1)^4)-1)</f>
        <v>3.510792722329148E-2</v>
      </c>
      <c r="M78" s="32">
        <f>IF((((VLOOKUP(B78,'Data qoq'!$A:$AT,MATCH($M$1,'Data qoq'!$A$1:$AT$1,),))/100+1)^4)-1=0,#N/A,(((VLOOKUP(B78,'Data qoq'!$A:$AT,MATCH($M$1,'Data qoq'!$A$1:$AT$1,),))/100+1)^4)-1)</f>
        <v>4.1691920854447728E-2</v>
      </c>
      <c r="N78" s="32">
        <f>IF((((VLOOKUP(B78,'Data qoq'!$A:$AT,MATCH($N$1,'Data qoq'!$A$1:$AT$1,),))/100+1)^4)-1=0,#N/A,(((VLOOKUP(B78,'Data qoq'!$A:$AT,MATCH($N$1,'Data qoq'!$A$1:$AT$1,),))/100+1)^4)-1)</f>
        <v>3.3414968968097369E-2</v>
      </c>
      <c r="O78" s="32">
        <f>IF((((VLOOKUP(B78,'Data qoq'!$A:$AT,MATCH($O$1,'Data qoq'!$A$1:$AT$1,),))/100+1)^4)-1=0,#N/A,(((VLOOKUP(B78,'Data qoq'!$A:$AT,MATCH($O$1,'Data qoq'!$A$1:$AT$1,),))/100+1)^4)-1)</f>
        <v>5.5686899672965584E-2</v>
      </c>
      <c r="P78" s="32">
        <f>IF((((VLOOKUP(B78,'Data qoq'!$A:$AT,MATCH($P$1,'Data qoq'!$A$1:$AT$1,),))/100+1)^4)-1=0,#N/A,(((VLOOKUP(B78,'Data qoq'!$A:$AT,MATCH($P$1,'Data qoq'!$A$1:$AT$1,),))/100+1)^4)-1)</f>
        <v>2.2649190488048143E-2</v>
      </c>
      <c r="Q78" s="32">
        <f>IF((((VLOOKUP(B78,'Data qoq'!$A:$AT,MATCH($Q$1,'Data qoq'!$A$1:$AT$1,),))/100+1)^4)-1=0,#N/A,(((VLOOKUP(B78,'Data qoq'!$A:$AT,MATCH($Q$1,'Data qoq'!$A$1:$AT$1,),))/100+1)^4)-1)</f>
        <v>4.2528212640117857E-2</v>
      </c>
      <c r="R78" s="32">
        <f>IF((((VLOOKUP(B78,'Data qoq'!$A:$AT,MATCH($R$1,'Data qoq'!$A$1:$AT$1,),))/100+1)^4)-1=0,#N/A,(((VLOOKUP(B78,'Data qoq'!$A:$AT,MATCH($R$1,'Data qoq'!$A$1:$AT$1,),))/100+1)^4)-1)</f>
        <v>1.3953254657517178E-2</v>
      </c>
      <c r="S78" s="32">
        <f>IF((((VLOOKUP(B78,'Data qoq'!$A:$AT,MATCH($S$1,'Data qoq'!$A$1:$AT$1,),))/100+1)^4)-1=0,#N/A,(((VLOOKUP(B78,'Data qoq'!$A:$AT,MATCH($S$1,'Data qoq'!$A$1:$AT$1,),))/100+1)^4)-1)</f>
        <v>2.4469155084333893E-2</v>
      </c>
      <c r="T78" s="32">
        <f>IF((((VLOOKUP(B78,'Data qoq'!$A:$AT,MATCH($T$1,'Data qoq'!$A$1:$AT$1,),))/100+1)^4)-1=0,#N/A,(((VLOOKUP(B78,'Data qoq'!$A:$AT,MATCH($T$1,'Data qoq'!$A$1:$AT$1,),))/100+1)^4)-1)</f>
        <v>-8.4516190496278787E-3</v>
      </c>
      <c r="U78" s="32">
        <f>IF((((VLOOKUP(B78,'Data qoq'!$A:$AT,MATCH($U$1,'Data qoq'!$A$1:$AT$1,),))/100+1)^4)-1=0,#N/A,(((VLOOKUP(B78,'Data qoq'!$A:$AT,MATCH($U$1,'Data qoq'!$A$1:$AT$1,),))/100+1)^4)-1)</f>
        <v>2.5328231960098924E-2</v>
      </c>
      <c r="V78" s="32">
        <f>IF((((VLOOKUP(B78,'Data qoq'!$A:$AT,MATCH($V$1,'Data qoq'!$A$1:$AT$1,),))/100+1)^4)-1=0,#N/A,(((VLOOKUP(B78,'Data qoq'!$A:$AT,MATCH($V$1,'Data qoq'!$A$1:$AT$1,),))/100+1)^4)-1)</f>
        <v>0.54608464303682069</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9.5359749885673972E-2</v>
      </c>
      <c r="Z78" s="32">
        <f>IF((((VLOOKUP(B78,'Data qoq'!$A:$AU,MATCH($Z$1,'Data qoq'!$A$1:$AU$1,),))/100+1)^4)-1=0,#N/A,(((VLOOKUP(B78,'Data qoq'!$A:$AU,MATCH($Z$1,'Data qoq'!$A$1:$AU$1,),))/100+1)^4)-1)</f>
        <v>2.5544773717784741E-2</v>
      </c>
      <c r="AA78" s="32">
        <f>IF((((VLOOKUP(B78,'Data qoq'!$A:$AU,MATCH($AA$1,'Data qoq'!$A$1:$AU$1,),))/100+1)^4)-1=0,#N/A,(((VLOOKUP(B78,'Data qoq'!$A:$AU,MATCH($AA$1,'Data qoq'!$A$1:$AU$1,),))/100+1)^4)-1)</f>
        <v>1.5125180944945082E-2</v>
      </c>
      <c r="AC78" s="26" t="str">
        <f t="shared" si="10"/>
        <v>2016-Q4</v>
      </c>
      <c r="AD78" s="31">
        <f t="shared" si="11"/>
        <v>4.6970719134042938E-4</v>
      </c>
      <c r="AE78" s="27"/>
    </row>
    <row r="79" spans="1:31" x14ac:dyDescent="0.2">
      <c r="A79" s="30">
        <v>42795</v>
      </c>
      <c r="B79" s="24" t="s">
        <v>345</v>
      </c>
      <c r="C79" s="32">
        <f>IF((((VLOOKUP(B79,'Data qoq'!$A:$AT,MATCH($C$1,'Data qoq'!$A$1:$AT$1,),))/100+1)^4)-1=0,#N/A,(((VLOOKUP(B79,'Data qoq'!$A:$AT,MATCH($C$1,'Data qoq'!$A$1:$AT$1,),))/100+1)^4)-1)</f>
        <v>1.9011293952945207E-2</v>
      </c>
      <c r="D79" s="32">
        <f>IF((((VLOOKUP(B79,'Data qoq'!$A:$AT,MATCH($D$1,'Data qoq'!$A$1:$AT$1,),))/100+1)^4)-1=0,#N/A,(((VLOOKUP(B79,'Data qoq'!$A:$AT,MATCH($D$1,'Data qoq'!$A$1:$AT$1,),))/100+1)^4)-1)</f>
        <v>6.9753735520999616E-2</v>
      </c>
      <c r="E79" s="32">
        <f>IF((((VLOOKUP(B79,'Data qoq'!$A:$AT,MATCH($E$1,'Data qoq'!$A$1:$AT$1,),))/100+1)^4)-1=0,#N/A,(((VLOOKUP(B79,'Data qoq'!$A:$AT,MATCH($E$1,'Data qoq'!$A$1:$AT$1,),))/100+1)^4)-1)</f>
        <v>2.7971913085322431E-2</v>
      </c>
      <c r="F79" s="32">
        <f>IF((((VLOOKUP(B79,'Data qoq'!$A:$AT,MATCH($F$1,'Data qoq'!$A$1:$AT$1,),))/100+1)^4)-1=0,#N/A,(((VLOOKUP(B79,'Data qoq'!$A:$AT,MATCH($F$1,'Data qoq'!$A$1:$AT$1,),))/100+1)^4)-1)</f>
        <v>3.4006520194831191E-2</v>
      </c>
      <c r="G79" s="32">
        <f>IF((((VLOOKUP(B79,'Data qoq'!$A:$AT,MATCH($G$1,'Data qoq'!$A$1:$AT$1,),))/100+1)^4)-1=0,#N/A,(((VLOOKUP(B79,'Data qoq'!$A:$AT,MATCH($G$1,'Data qoq'!$A$1:$AT$1,),))/100+1)^4)-1)</f>
        <v>4.9650643474004497E-2</v>
      </c>
      <c r="H79" s="32">
        <f>IF((((VLOOKUP(B79,'Data qoq'!$A:$AT,MATCH($H$1,'Data qoq'!$A$1:$AT$1,),))/100+1)^4)-1=0,#N/A,(((VLOOKUP(B79,'Data qoq'!$A:$AT,MATCH($H$1,'Data qoq'!$A$1:$AT$1,),))/100+1)^4)-1)</f>
        <v>3.039653218487981E-2</v>
      </c>
      <c r="I79" s="32">
        <f>IF((((VLOOKUP(B79,'Data qoq'!$A:$AT,MATCH($I$1,'Data qoq'!$A$1:$AT$1,),))/100+1)^4)-1=0,#N/A,(((VLOOKUP(B79,'Data qoq'!$A:$AT,MATCH($I$1,'Data qoq'!$A$1:$AT$1,),))/100+1)^4)-1)</f>
        <v>2.6247915748971673E-2</v>
      </c>
      <c r="J79" s="32">
        <f>IF((((VLOOKUP(B79,'Data qoq'!$A:$AT,MATCH($J$1,'Data qoq'!$A$1:$AT$1,),))/100+1)^4)-1=0,#N/A,(((VLOOKUP(B79,'Data qoq'!$A:$AT,MATCH($J$1,'Data qoq'!$A$1:$AT$1,),))/100+1)^4)-1)</f>
        <v>2.215209915918348E-2</v>
      </c>
      <c r="K79" s="32">
        <f>IF((((VLOOKUP(B79,'Data qoq'!$A:$AT,MATCH($K$1,'Data qoq'!$A$1:$AT$1,),))/100+1)^4)-1=0,#N/A,(((VLOOKUP(B79,'Data qoq'!$A:$AT,MATCH($K$1,'Data qoq'!$A$1:$AT$1,),))/100+1)^4)-1)</f>
        <v>3.2131652176846215E-2</v>
      </c>
      <c r="L79" s="32">
        <f>IF((((VLOOKUP(B79,'Data qoq'!$A:$AT,MATCH($L$1,'Data qoq'!$A$1:$AT$1,),))/100+1)^4)-1=0,#N/A,(((VLOOKUP(B79,'Data qoq'!$A:$AT,MATCH($L$1,'Data qoq'!$A$1:$AT$1,),))/100+1)^4)-1)</f>
        <v>1.9409319913901157E-2</v>
      </c>
      <c r="M79" s="32">
        <f>IF((((VLOOKUP(B79,'Data qoq'!$A:$AT,MATCH($M$1,'Data qoq'!$A$1:$AT$1,),))/100+1)^4)-1=0,#N/A,(((VLOOKUP(B79,'Data qoq'!$A:$AT,MATCH($M$1,'Data qoq'!$A$1:$AT$1,),))/100+1)^4)-1)</f>
        <v>1.9137399475957162E-2</v>
      </c>
      <c r="N79" s="32">
        <f>IF((((VLOOKUP(B79,'Data qoq'!$A:$AT,MATCH($N$1,'Data qoq'!$A$1:$AT$1,),))/100+1)^4)-1=0,#N/A,(((VLOOKUP(B79,'Data qoq'!$A:$AT,MATCH($N$1,'Data qoq'!$A$1:$AT$1,),))/100+1)^4)-1)</f>
        <v>8.0918382113490672E-3</v>
      </c>
      <c r="O79" s="32">
        <f>IF((((VLOOKUP(B79,'Data qoq'!$A:$AT,MATCH($O$1,'Data qoq'!$A$1:$AT$1,),))/100+1)^4)-1=0,#N/A,(((VLOOKUP(B79,'Data qoq'!$A:$AT,MATCH($O$1,'Data qoq'!$A$1:$AT$1,),))/100+1)^4)-1)</f>
        <v>3.2386052096000206E-2</v>
      </c>
      <c r="P79" s="32">
        <f>IF((((VLOOKUP(B79,'Data qoq'!$A:$AT,MATCH($P$1,'Data qoq'!$A$1:$AT$1,),))/100+1)^4)-1=0,#N/A,(((VLOOKUP(B79,'Data qoq'!$A:$AT,MATCH($P$1,'Data qoq'!$A$1:$AT$1,),))/100+1)^4)-1)</f>
        <v>4.4190769982789702E-2</v>
      </c>
      <c r="Q79" s="32">
        <f>IF((((VLOOKUP(B79,'Data qoq'!$A:$AT,MATCH($Q$1,'Data qoq'!$A$1:$AT$1,),))/100+1)^4)-1=0,#N/A,(((VLOOKUP(B79,'Data qoq'!$A:$AT,MATCH($Q$1,'Data qoq'!$A$1:$AT$1,),))/100+1)^4)-1)</f>
        <v>9.4024218124155734E-3</v>
      </c>
      <c r="R79" s="32">
        <f>IF((((VLOOKUP(B79,'Data qoq'!$A:$AT,MATCH($R$1,'Data qoq'!$A$1:$AT$1,),))/100+1)^4)-1=0,#N/A,(((VLOOKUP(B79,'Data qoq'!$A:$AT,MATCH($R$1,'Data qoq'!$A$1:$AT$1,),))/100+1)^4)-1)</f>
        <v>6.6158812486289964E-3</v>
      </c>
      <c r="S79" s="32">
        <f>IF((((VLOOKUP(B79,'Data qoq'!$A:$AT,MATCH($S$1,'Data qoq'!$A$1:$AT$1,),))/100+1)^4)-1=0,#N/A,(((VLOOKUP(B79,'Data qoq'!$A:$AT,MATCH($S$1,'Data qoq'!$A$1:$AT$1,),))/100+1)^4)-1)</f>
        <v>3.9977129559302771E-2</v>
      </c>
      <c r="T79" s="32">
        <f>IF((((VLOOKUP(B79,'Data qoq'!$A:$AT,MATCH($T$1,'Data qoq'!$A$1:$AT$1,),))/100+1)^4)-1=0,#N/A,(((VLOOKUP(B79,'Data qoq'!$A:$AT,MATCH($T$1,'Data qoq'!$A$1:$AT$1,),))/100+1)^4)-1)</f>
        <v>4.5819821151717566E-2</v>
      </c>
      <c r="U79" s="32">
        <f>IF((((VLOOKUP(B79,'Data qoq'!$A:$AT,MATCH($U$1,'Data qoq'!$A$1:$AT$1,),))/100+1)^4)-1=0,#N/A,(((VLOOKUP(B79,'Data qoq'!$A:$AT,MATCH($U$1,'Data qoq'!$A$1:$AT$1,),))/100+1)^4)-1)</f>
        <v>-7.8564283660835788E-3</v>
      </c>
      <c r="V79" s="32">
        <f>IF((((VLOOKUP(B79,'Data qoq'!$A:$AT,MATCH($V$1,'Data qoq'!$A$1:$AT$1,),))/100+1)^4)-1=0,#N/A,(((VLOOKUP(B79,'Data qoq'!$A:$AT,MATCH($V$1,'Data qoq'!$A$1:$AT$1,),))/100+1)^4)-1)</f>
        <v>-0.16640658073307668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3.786103989248657E-2</v>
      </c>
      <c r="Z79" s="32">
        <f>IF((((VLOOKUP(B79,'Data qoq'!$A:$AU,MATCH($Z$1,'Data qoq'!$A$1:$AU$1,),))/100+1)^4)-1=0,#N/A,(((VLOOKUP(B79,'Data qoq'!$A:$AU,MATCH($Z$1,'Data qoq'!$A$1:$AU$1,),))/100+1)^4)-1)</f>
        <v>3.4657353787694856E-2</v>
      </c>
      <c r="AA79" s="32">
        <f>IF((((VLOOKUP(B79,'Data qoq'!$A:$AU,MATCH($AA$1,'Data qoq'!$A$1:$AU$1,),))/100+1)^4)-1=0,#N/A,(((VLOOKUP(B79,'Data qoq'!$A:$AU,MATCH($AA$1,'Data qoq'!$A$1:$AU$1,),))/100+1)^4)-1)</f>
        <v>4.2090174443528916E-2</v>
      </c>
      <c r="AC79" s="26" t="str">
        <f t="shared" si="10"/>
        <v>2017-Q1</v>
      </c>
      <c r="AD79" s="31">
        <f t="shared" si="11"/>
        <v>1.7239973363507577E-3</v>
      </c>
      <c r="AE79" s="27"/>
    </row>
    <row r="80" spans="1:31" x14ac:dyDescent="0.2">
      <c r="A80" s="30">
        <v>42887</v>
      </c>
      <c r="B80" s="24" t="s">
        <v>346</v>
      </c>
      <c r="C80" s="32">
        <f>IF((((VLOOKUP(B80,'Data qoq'!$A:$AT,MATCH($C$1,'Data qoq'!$A$1:$AT$1,),))/100+1)^4)-1=0,#N/A,(((VLOOKUP(B80,'Data qoq'!$A:$AT,MATCH($C$1,'Data qoq'!$A$1:$AT$1,),))/100+1)^4)-1)</f>
        <v>2.257929747539289E-2</v>
      </c>
      <c r="D80" s="32">
        <f>IF((((VLOOKUP(B80,'Data qoq'!$A:$AT,MATCH($D$1,'Data qoq'!$A$1:$AT$1,),))/100+1)^4)-1=0,#N/A,(((VLOOKUP(B80,'Data qoq'!$A:$AT,MATCH($D$1,'Data qoq'!$A$1:$AT$1,),))/100+1)^4)-1)</f>
        <v>6.9753735520999616E-2</v>
      </c>
      <c r="E80" s="32">
        <f>IF((((VLOOKUP(B80,'Data qoq'!$A:$AT,MATCH($E$1,'Data qoq'!$A$1:$AT$1,),))/100+1)^4)-1=0,#N/A,(((VLOOKUP(B80,'Data qoq'!$A:$AT,MATCH($E$1,'Data qoq'!$A$1:$AT$1,),))/100+1)^4)-1)</f>
        <v>3.2504003158851935E-2</v>
      </c>
      <c r="F80" s="32">
        <f>IF((((VLOOKUP(B80,'Data qoq'!$A:$AT,MATCH($F$1,'Data qoq'!$A$1:$AT$1,),))/100+1)^4)-1=0,#N/A,(((VLOOKUP(B80,'Data qoq'!$A:$AT,MATCH($F$1,'Data qoq'!$A$1:$AT$1,),))/100+1)^4)-1)</f>
        <v>1.6717729786763336E-2</v>
      </c>
      <c r="G80" s="32">
        <f>IF((((VLOOKUP(B80,'Data qoq'!$A:$AT,MATCH($G$1,'Data qoq'!$A$1:$AT$1,),))/100+1)^4)-1=0,#N/A,(((VLOOKUP(B80,'Data qoq'!$A:$AT,MATCH($G$1,'Data qoq'!$A$1:$AT$1,),))/100+1)^4)-1)</f>
        <v>3.1577935439518034E-2</v>
      </c>
      <c r="H80" s="32">
        <f>IF((((VLOOKUP(B80,'Data qoq'!$A:$AT,MATCH($H$1,'Data qoq'!$A$1:$AT$1,),))/100+1)^4)-1=0,#N/A,(((VLOOKUP(B80,'Data qoq'!$A:$AT,MATCH($H$1,'Data qoq'!$A$1:$AT$1,),))/100+1)^4)-1)</f>
        <v>3.1321310314233575E-2</v>
      </c>
      <c r="I80" s="32">
        <f>IF((((VLOOKUP(B80,'Data qoq'!$A:$AT,MATCH($I$1,'Data qoq'!$A$1:$AT$1,),))/100+1)^4)-1=0,#N/A,(((VLOOKUP(B80,'Data qoq'!$A:$AT,MATCH($I$1,'Data qoq'!$A$1:$AT$1,),))/100+1)^4)-1)</f>
        <v>1.2487974514723943E-2</v>
      </c>
      <c r="J80" s="32">
        <f>IF((((VLOOKUP(B80,'Data qoq'!$A:$AT,MATCH($J$1,'Data qoq'!$A$1:$AT$1,),))/100+1)^4)-1=0,#N/A,(((VLOOKUP(B80,'Data qoq'!$A:$AT,MATCH($J$1,'Data qoq'!$A$1:$AT$1,),))/100+1)^4)-1)</f>
        <v>1.6092040151289178E-2</v>
      </c>
      <c r="K80" s="32">
        <f>IF((((VLOOKUP(B80,'Data qoq'!$A:$AT,MATCH($K$1,'Data qoq'!$A$1:$AT$1,),))/100+1)^4)-1=0,#N/A,(((VLOOKUP(B80,'Data qoq'!$A:$AT,MATCH($K$1,'Data qoq'!$A$1:$AT$1,),))/100+1)^4)-1)</f>
        <v>4.3648256214300574E-2</v>
      </c>
      <c r="L80" s="32">
        <f>IF((((VLOOKUP(B80,'Data qoq'!$A:$AT,MATCH($L$1,'Data qoq'!$A$1:$AT$1,),))/100+1)^4)-1=0,#N/A,(((VLOOKUP(B80,'Data qoq'!$A:$AT,MATCH($L$1,'Data qoq'!$A$1:$AT$1,),))/100+1)^4)-1)</f>
        <v>5.313364217856642E-2</v>
      </c>
      <c r="M80" s="32">
        <f>IF((((VLOOKUP(B80,'Data qoq'!$A:$AT,MATCH($M$1,'Data qoq'!$A$1:$AT$1,),))/100+1)^4)-1=0,#N/A,(((VLOOKUP(B80,'Data qoq'!$A:$AT,MATCH($M$1,'Data qoq'!$A$1:$AT$1,),))/100+1)^4)-1)</f>
        <v>1.2777216819736426E-2</v>
      </c>
      <c r="N80" s="32">
        <f>IF((((VLOOKUP(B80,'Data qoq'!$A:$AT,MATCH($N$1,'Data qoq'!$A$1:$AT$1,),))/100+1)^4)-1=0,#N/A,(((VLOOKUP(B80,'Data qoq'!$A:$AT,MATCH($N$1,'Data qoq'!$A$1:$AT$1,),))/100+1)^4)-1)</f>
        <v>2.7905608246182823E-2</v>
      </c>
      <c r="O80" s="32">
        <f>IF((((VLOOKUP(B80,'Data qoq'!$A:$AT,MATCH($O$1,'Data qoq'!$A$1:$AT$1,),))/100+1)^4)-1=0,#N/A,(((VLOOKUP(B80,'Data qoq'!$A:$AT,MATCH($O$1,'Data qoq'!$A$1:$AT$1,),))/100+1)^4)-1)</f>
        <v>8.4944312571050951E-2</v>
      </c>
      <c r="P80" s="32">
        <f>IF((((VLOOKUP(B80,'Data qoq'!$A:$AT,MATCH($P$1,'Data qoq'!$A$1:$AT$1,),))/100+1)^4)-1=0,#N/A,(((VLOOKUP(B80,'Data qoq'!$A:$AT,MATCH($P$1,'Data qoq'!$A$1:$AT$1,),))/100+1)^4)-1)</f>
        <v>4.155403410310865E-2</v>
      </c>
      <c r="Q80" s="32">
        <f>IF((((VLOOKUP(B80,'Data qoq'!$A:$AT,MATCH($Q$1,'Data qoq'!$A$1:$AT$1,),))/100+1)^4)-1=0,#N/A,(((VLOOKUP(B80,'Data qoq'!$A:$AT,MATCH($Q$1,'Data qoq'!$A$1:$AT$1,),))/100+1)^4)-1)</f>
        <v>2.7405458186585019E-2</v>
      </c>
      <c r="R80" s="32">
        <f>IF((((VLOOKUP(B80,'Data qoq'!$A:$AT,MATCH($R$1,'Data qoq'!$A$1:$AT$1,),))/100+1)^4)-1=0,#N/A,(((VLOOKUP(B80,'Data qoq'!$A:$AT,MATCH($R$1,'Data qoq'!$A$1:$AT$1,),))/100+1)^4)-1)</f>
        <v>1.2223242264637779E-2</v>
      </c>
      <c r="S80" s="32">
        <f>IF((((VLOOKUP(B80,'Data qoq'!$A:$AT,MATCH($S$1,'Data qoq'!$A$1:$AT$1,),))/100+1)^4)-1=0,#N/A,(((VLOOKUP(B80,'Data qoq'!$A:$AT,MATCH($S$1,'Data qoq'!$A$1:$AT$1,),))/100+1)^4)-1)</f>
        <v>2.8893804456062488E-2</v>
      </c>
      <c r="T80" s="32">
        <f>IF((((VLOOKUP(B80,'Data qoq'!$A:$AT,MATCH($T$1,'Data qoq'!$A$1:$AT$1,),))/100+1)^4)-1=0,#N/A,(((VLOOKUP(B80,'Data qoq'!$A:$AT,MATCH($T$1,'Data qoq'!$A$1:$AT$1,),))/100+1)^4)-1)</f>
        <v>3.0060505915338931E-2</v>
      </c>
      <c r="U80" s="32">
        <f>IF((((VLOOKUP(B80,'Data qoq'!$A:$AT,MATCH($U$1,'Data qoq'!$A$1:$AT$1,),))/100+1)^4)-1=0,#N/A,(((VLOOKUP(B80,'Data qoq'!$A:$AT,MATCH($U$1,'Data qoq'!$A$1:$AT$1,),))/100+1)^4)-1)</f>
        <v>2.12768131024339E-2</v>
      </c>
      <c r="V80" s="32">
        <f>IF((((VLOOKUP(B80,'Data qoq'!$A:$AT,MATCH($V$1,'Data qoq'!$A$1:$AT$1,),))/100+1)^4)-1=0,#N/A,(((VLOOKUP(B80,'Data qoq'!$A:$AT,MATCH($V$1,'Data qoq'!$A$1:$AT$1,),))/100+1)^4)-1)</f>
        <v>0.14315511955301718</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3.6157668399726006E-2</v>
      </c>
      <c r="Z80" s="32">
        <f>IF((((VLOOKUP(B80,'Data qoq'!$A:$AU,MATCH($Z$1,'Data qoq'!$A$1:$AU$1,),))/100+1)^4)-1=0,#N/A,(((VLOOKUP(B80,'Data qoq'!$A:$AU,MATCH($Z$1,'Data qoq'!$A$1:$AU$1,),))/100+1)^4)-1)</f>
        <v>4.4733080067658859E-2</v>
      </c>
      <c r="AA80" s="32">
        <f>IF((((VLOOKUP(B80,'Data qoq'!$A:$AU,MATCH($AA$1,'Data qoq'!$A$1:$AU$1,),))/100+1)^4)-1=0,#N/A,(((VLOOKUP(B80,'Data qoq'!$A:$AU,MATCH($AA$1,'Data qoq'!$A$1:$AU$1,),))/100+1)^4)-1)</f>
        <v>4.4271803931223541E-2</v>
      </c>
      <c r="AC80" s="26" t="str">
        <f t="shared" si="10"/>
        <v>2017-Q2</v>
      </c>
      <c r="AD80" s="31">
        <f t="shared" si="11"/>
        <v>2.0016028644127992E-2</v>
      </c>
      <c r="AE80" s="27"/>
    </row>
    <row r="81" spans="1:31" x14ac:dyDescent="0.2">
      <c r="A81" s="30">
        <v>42979</v>
      </c>
      <c r="B81" s="24" t="s">
        <v>347</v>
      </c>
      <c r="C81" s="32">
        <f>IF((((VLOOKUP(B81,'Data qoq'!$A:$AT,MATCH($C$1,'Data qoq'!$A$1:$AT$1,),))/100+1)^4)-1=0,#N/A,(((VLOOKUP(B81,'Data qoq'!$A:$AT,MATCH($C$1,'Data qoq'!$A$1:$AT$1,),))/100+1)^4)-1)</f>
        <v>2.9077796050954952E-2</v>
      </c>
      <c r="D81" s="32">
        <f>IF((((VLOOKUP(B81,'Data qoq'!$A:$AT,MATCH($D$1,'Data qoq'!$A$1:$AT$1,),))/100+1)^4)-1=0,#N/A,(((VLOOKUP(B81,'Data qoq'!$A:$AT,MATCH($D$1,'Data qoq'!$A$1:$AT$1,),))/100+1)^4)-1)</f>
        <v>6.5552449536000035E-2</v>
      </c>
      <c r="E81" s="32">
        <f>IF((((VLOOKUP(B81,'Data qoq'!$A:$AT,MATCH($E$1,'Data qoq'!$A$1:$AT$1,),))/100+1)^4)-1=0,#N/A,(((VLOOKUP(B81,'Data qoq'!$A:$AT,MATCH($E$1,'Data qoq'!$A$1:$AT$1,),))/100+1)^4)-1)</f>
        <v>3.0485521961902462E-2</v>
      </c>
      <c r="F81" s="32">
        <f>IF((((VLOOKUP(B81,'Data qoq'!$A:$AT,MATCH($F$1,'Data qoq'!$A$1:$AT$1,),))/100+1)^4)-1=0,#N/A,(((VLOOKUP(B81,'Data qoq'!$A:$AT,MATCH($F$1,'Data qoq'!$A$1:$AT$1,),))/100+1)^4)-1)</f>
        <v>3.0540335124651596E-2</v>
      </c>
      <c r="G81" s="32">
        <f>IF((((VLOOKUP(B81,'Data qoq'!$A:$AT,MATCH($G$1,'Data qoq'!$A$1:$AT$1,),))/100+1)^4)-1=0,#N/A,(((VLOOKUP(B81,'Data qoq'!$A:$AT,MATCH($G$1,'Data qoq'!$A$1:$AT$1,),))/100+1)^4)-1)</f>
        <v>3.5641809616862918E-2</v>
      </c>
      <c r="H81" s="32">
        <f>IF((((VLOOKUP(B81,'Data qoq'!$A:$AT,MATCH($H$1,'Data qoq'!$A$1:$AT$1,),))/100+1)^4)-1=0,#N/A,(((VLOOKUP(B81,'Data qoq'!$A:$AT,MATCH($H$1,'Data qoq'!$A$1:$AT$1,),))/100+1)^4)-1)</f>
        <v>3.5173396210647079E-2</v>
      </c>
      <c r="I81" s="32">
        <f>IF((((VLOOKUP(B81,'Data qoq'!$A:$AT,MATCH($I$1,'Data qoq'!$A$1:$AT$1,),))/100+1)^4)-1=0,#N/A,(((VLOOKUP(B81,'Data qoq'!$A:$AT,MATCH($I$1,'Data qoq'!$A$1:$AT$1,),))/100+1)^4)-1)</f>
        <v>1.7242273556318466E-2</v>
      </c>
      <c r="J81" s="32">
        <f>IF((((VLOOKUP(B81,'Data qoq'!$A:$AT,MATCH($J$1,'Data qoq'!$A$1:$AT$1,),))/100+1)^4)-1=0,#N/A,(((VLOOKUP(B81,'Data qoq'!$A:$AT,MATCH($J$1,'Data qoq'!$A$1:$AT$1,),))/100+1)^4)-1)</f>
        <v>1.5360203465296651E-2</v>
      </c>
      <c r="K81" s="32">
        <f>IF((((VLOOKUP(B81,'Data qoq'!$A:$AT,MATCH($K$1,'Data qoq'!$A$1:$AT$1,),))/100+1)^4)-1=0,#N/A,(((VLOOKUP(B81,'Data qoq'!$A:$AT,MATCH($K$1,'Data qoq'!$A$1:$AT$1,),))/100+1)^4)-1)</f>
        <v>2.3291962482883344E-2</v>
      </c>
      <c r="L81" s="32">
        <f>IF((((VLOOKUP(B81,'Data qoq'!$A:$AT,MATCH($L$1,'Data qoq'!$A$1:$AT$1,),))/100+1)^4)-1=0,#N/A,(((VLOOKUP(B81,'Data qoq'!$A:$AT,MATCH($L$1,'Data qoq'!$A$1:$AT$1,),))/100+1)^4)-1)</f>
        <v>3.805655941112307E-2</v>
      </c>
      <c r="M81" s="32">
        <f>IF((((VLOOKUP(B81,'Data qoq'!$A:$AT,MATCH($M$1,'Data qoq'!$A$1:$AT$1,),))/100+1)^4)-1=0,#N/A,(((VLOOKUP(B81,'Data qoq'!$A:$AT,MATCH($M$1,'Data qoq'!$A$1:$AT$1,),))/100+1)^4)-1)</f>
        <v>-9.3735098050018451E-3</v>
      </c>
      <c r="N81" s="32">
        <f>IF((((VLOOKUP(B81,'Data qoq'!$A:$AT,MATCH($N$1,'Data qoq'!$A$1:$AT$1,),))/100+1)^4)-1=0,#N/A,(((VLOOKUP(B81,'Data qoq'!$A:$AT,MATCH($N$1,'Data qoq'!$A$1:$AT$1,),))/100+1)^4)-1)</f>
        <v>2.745765618629914E-2</v>
      </c>
      <c r="O81" s="32">
        <f>IF((((VLOOKUP(B81,'Data qoq'!$A:$AT,MATCH($O$1,'Data qoq'!$A$1:$AT$1,),))/100+1)^4)-1=0,#N/A,(((VLOOKUP(B81,'Data qoq'!$A:$AT,MATCH($O$1,'Data qoq'!$A$1:$AT$1,),))/100+1)^4)-1)</f>
        <v>6.7601548206860373E-2</v>
      </c>
      <c r="P81" s="32">
        <f>IF((((VLOOKUP(B81,'Data qoq'!$A:$AT,MATCH($P$1,'Data qoq'!$A$1:$AT$1,),))/100+1)^4)-1=0,#N/A,(((VLOOKUP(B81,'Data qoq'!$A:$AT,MATCH($P$1,'Data qoq'!$A$1:$AT$1,),))/100+1)^4)-1)</f>
        <v>1.6982007598784987E-2</v>
      </c>
      <c r="Q81" s="32">
        <f>IF((((VLOOKUP(B81,'Data qoq'!$A:$AT,MATCH($Q$1,'Data qoq'!$A$1:$AT$1,),))/100+1)^4)-1=0,#N/A,(((VLOOKUP(B81,'Data qoq'!$A:$AT,MATCH($Q$1,'Data qoq'!$A$1:$AT$1,),))/100+1)^4)-1)</f>
        <v>3.9640214679002028E-2</v>
      </c>
      <c r="R81" s="32">
        <f>IF((((VLOOKUP(B81,'Data qoq'!$A:$AT,MATCH($R$1,'Data qoq'!$A$1:$AT$1,),))/100+1)^4)-1=0,#N/A,(((VLOOKUP(B81,'Data qoq'!$A:$AT,MATCH($R$1,'Data qoq'!$A$1:$AT$1,),))/100+1)^4)-1)</f>
        <v>2.5322472697697496E-2</v>
      </c>
      <c r="S81" s="32">
        <f>IF((((VLOOKUP(B81,'Data qoq'!$A:$AT,MATCH($S$1,'Data qoq'!$A$1:$AT$1,),))/100+1)^4)-1=0,#N/A,(((VLOOKUP(B81,'Data qoq'!$A:$AT,MATCH($S$1,'Data qoq'!$A$1:$AT$1,),))/100+1)^4)-1)</f>
        <v>5.8932908492492997E-2</v>
      </c>
      <c r="T81" s="32">
        <f>IF((((VLOOKUP(B81,'Data qoq'!$A:$AT,MATCH($T$1,'Data qoq'!$A$1:$AT$1,),))/100+1)^4)-1=0,#N/A,(((VLOOKUP(B81,'Data qoq'!$A:$AT,MATCH($T$1,'Data qoq'!$A$1:$AT$1,),))/100+1)^4)-1)</f>
        <v>1.2232093982636583E-2</v>
      </c>
      <c r="U81" s="32">
        <f>IF((((VLOOKUP(B81,'Data qoq'!$A:$AT,MATCH($U$1,'Data qoq'!$A$1:$AT$1,),))/100+1)^4)-1=0,#N/A,(((VLOOKUP(B81,'Data qoq'!$A:$AT,MATCH($U$1,'Data qoq'!$A$1:$AT$1,),))/100+1)^4)-1)</f>
        <v>4.2953400817210996E-2</v>
      </c>
      <c r="V81" s="32">
        <f>IF((((VLOOKUP(B81,'Data qoq'!$A:$AT,MATCH($V$1,'Data qoq'!$A$1:$AT$1,),))/100+1)^4)-1=0,#N/A,(((VLOOKUP(B81,'Data qoq'!$A:$AT,MATCH($V$1,'Data qoq'!$A$1:$AT$1,),))/100+1)^4)-1)</f>
        <v>0.12721044848798413</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4.4696923776452069E-2</v>
      </c>
      <c r="Z81" s="32">
        <f>IF((((VLOOKUP(B81,'Data qoq'!$A:$AU,MATCH($Z$1,'Data qoq'!$A$1:$AU$1,),))/100+1)^4)-1=0,#N/A,(((VLOOKUP(B81,'Data qoq'!$A:$AU,MATCH($Z$1,'Data qoq'!$A$1:$AU$1,),))/100+1)^4)-1)</f>
        <v>4.8451649790826501E-2</v>
      </c>
      <c r="AA81" s="32">
        <f>IF((((VLOOKUP(B81,'Data qoq'!$A:$AU,MATCH($AA$1,'Data qoq'!$A$1:$AU$1,),))/100+1)^4)-1=0,#N/A,(((VLOOKUP(B81,'Data qoq'!$A:$AU,MATCH($AA$1,'Data qoq'!$A$1:$AU$1,),))/100+1)^4)-1)</f>
        <v>3.4537300163976381E-2</v>
      </c>
      <c r="AC81" s="26" t="str">
        <f t="shared" si="10"/>
        <v>2017-Q3</v>
      </c>
      <c r="AD81" s="31">
        <f t="shared" si="11"/>
        <v>1.3243248405583996E-2</v>
      </c>
      <c r="AE81" s="27"/>
    </row>
    <row r="82" spans="1:31" x14ac:dyDescent="0.2">
      <c r="A82" s="30">
        <v>43070</v>
      </c>
      <c r="B82" s="24" t="s">
        <v>348</v>
      </c>
      <c r="C82" s="32">
        <f>IF((((VLOOKUP(B82,'Data qoq'!$A:$AT,MATCH($C$1,'Data qoq'!$A$1:$AT$1,),))/100+1)^4)-1=0,#N/A,(((VLOOKUP(B82,'Data qoq'!$A:$AT,MATCH($C$1,'Data qoq'!$A$1:$AT$1,),))/100+1)^4)-1)</f>
        <v>3.8149939031334457E-2</v>
      </c>
      <c r="D82" s="32">
        <f>IF((((VLOOKUP(B82,'Data qoq'!$A:$AT,MATCH($D$1,'Data qoq'!$A$1:$AT$1,),))/100+1)^4)-1=0,#N/A,(((VLOOKUP(B82,'Data qoq'!$A:$AT,MATCH($D$1,'Data qoq'!$A$1:$AT$1,),))/100+1)^4)-1)</f>
        <v>6.5552449536000035E-2</v>
      </c>
      <c r="E82" s="32">
        <f>IF((((VLOOKUP(B82,'Data qoq'!$A:$AT,MATCH($E$1,'Data qoq'!$A$1:$AT$1,),))/100+1)^4)-1=0,#N/A,(((VLOOKUP(B82,'Data qoq'!$A:$AT,MATCH($E$1,'Data qoq'!$A$1:$AT$1,),))/100+1)^4)-1)</f>
        <v>3.2289535577557871E-2</v>
      </c>
      <c r="F82" s="32">
        <f>IF((((VLOOKUP(B82,'Data qoq'!$A:$AT,MATCH($F$1,'Data qoq'!$A$1:$AT$1,),))/100+1)^4)-1=0,#N/A,(((VLOOKUP(B82,'Data qoq'!$A:$AT,MATCH($F$1,'Data qoq'!$A$1:$AT$1,),))/100+1)^4)-1)</f>
        <v>2.7079569508037249E-3</v>
      </c>
      <c r="G82" s="32">
        <f>IF((((VLOOKUP(B82,'Data qoq'!$A:$AT,MATCH($G$1,'Data qoq'!$A$1:$AT$1,),))/100+1)^4)-1=0,#N/A,(((VLOOKUP(B82,'Data qoq'!$A:$AT,MATCH($G$1,'Data qoq'!$A$1:$AT$1,),))/100+1)^4)-1)</f>
        <v>3.2606383287053786E-2</v>
      </c>
      <c r="H82" s="32">
        <f>IF((((VLOOKUP(B82,'Data qoq'!$A:$AT,MATCH($H$1,'Data qoq'!$A$1:$AT$1,),))/100+1)^4)-1=0,#N/A,(((VLOOKUP(B82,'Data qoq'!$A:$AT,MATCH($H$1,'Data qoq'!$A$1:$AT$1,),))/100+1)^4)-1)</f>
        <v>2.4408635002844292E-2</v>
      </c>
      <c r="I82" s="32">
        <f>IF((((VLOOKUP(B82,'Data qoq'!$A:$AT,MATCH($I$1,'Data qoq'!$A$1:$AT$1,),))/100+1)^4)-1=0,#N/A,(((VLOOKUP(B82,'Data qoq'!$A:$AT,MATCH($I$1,'Data qoq'!$A$1:$AT$1,),))/100+1)^4)-1)</f>
        <v>1.6212423505620022E-2</v>
      </c>
      <c r="J82" s="32">
        <f>IF((((VLOOKUP(B82,'Data qoq'!$A:$AT,MATCH($J$1,'Data qoq'!$A$1:$AT$1,),))/100+1)^4)-1=0,#N/A,(((VLOOKUP(B82,'Data qoq'!$A:$AT,MATCH($J$1,'Data qoq'!$A$1:$AT$1,),))/100+1)^4)-1)</f>
        <v>2.1632053168217258E-2</v>
      </c>
      <c r="K82" s="32">
        <f>IF((((VLOOKUP(B82,'Data qoq'!$A:$AT,MATCH($K$1,'Data qoq'!$A$1:$AT$1,),))/100+1)^4)-1=0,#N/A,(((VLOOKUP(B82,'Data qoq'!$A:$AT,MATCH($K$1,'Data qoq'!$A$1:$AT$1,),))/100+1)^4)-1)</f>
        <v>2.5257545016266869E-2</v>
      </c>
      <c r="L82" s="32">
        <f>IF((((VLOOKUP(B82,'Data qoq'!$A:$AT,MATCH($L$1,'Data qoq'!$A$1:$AT$1,),))/100+1)^4)-1=0,#N/A,(((VLOOKUP(B82,'Data qoq'!$A:$AT,MATCH($L$1,'Data qoq'!$A$1:$AT$1,),))/100+1)^4)-1)</f>
        <v>5.9692622168387999E-3</v>
      </c>
      <c r="M82" s="32">
        <f>IF((((VLOOKUP(B82,'Data qoq'!$A:$AT,MATCH($M$1,'Data qoq'!$A$1:$AT$1,),))/100+1)^4)-1=0,#N/A,(((VLOOKUP(B82,'Data qoq'!$A:$AT,MATCH($M$1,'Data qoq'!$A$1:$AT$1,),))/100+1)^4)-1)</f>
        <v>5.1648281730878098E-2</v>
      </c>
      <c r="N82" s="32">
        <f>IF((((VLOOKUP(B82,'Data qoq'!$A:$AT,MATCH($N$1,'Data qoq'!$A$1:$AT$1,),))/100+1)^4)-1=0,#N/A,(((VLOOKUP(B82,'Data qoq'!$A:$AT,MATCH($N$1,'Data qoq'!$A$1:$AT$1,),))/100+1)^4)-1)</f>
        <v>8.4005022203847979E-4</v>
      </c>
      <c r="O82" s="32">
        <f>IF((((VLOOKUP(B82,'Data qoq'!$A:$AT,MATCH($O$1,'Data qoq'!$A$1:$AT$1,),))/100+1)^4)-1=0,#N/A,(((VLOOKUP(B82,'Data qoq'!$A:$AT,MATCH($O$1,'Data qoq'!$A$1:$AT$1,),))/100+1)^4)-1)</f>
        <v>7.7319003772741368E-2</v>
      </c>
      <c r="P82" s="32">
        <f>IF((((VLOOKUP(B82,'Data qoq'!$A:$AT,MATCH($P$1,'Data qoq'!$A$1:$AT$1,),))/100+1)^4)-1=0,#N/A,(((VLOOKUP(B82,'Data qoq'!$A:$AT,MATCH($P$1,'Data qoq'!$A$1:$AT$1,),))/100+1)^4)-1)</f>
        <v>2.0881172423360184E-2</v>
      </c>
      <c r="Q82" s="32">
        <f>IF((((VLOOKUP(B82,'Data qoq'!$A:$AT,MATCH($Q$1,'Data qoq'!$A$1:$AT$1,),))/100+1)^4)-1=0,#N/A,(((VLOOKUP(B82,'Data qoq'!$A:$AT,MATCH($Q$1,'Data qoq'!$A$1:$AT$1,),))/100+1)^4)-1)</f>
        <v>1.7520756590344355E-2</v>
      </c>
      <c r="R82" s="32">
        <f>IF((((VLOOKUP(B82,'Data qoq'!$A:$AT,MATCH($R$1,'Data qoq'!$A$1:$AT$1,),))/100+1)^4)-1=0,#N/A,(((VLOOKUP(B82,'Data qoq'!$A:$AT,MATCH($R$1,'Data qoq'!$A$1:$AT$1,),))/100+1)^4)-1)</f>
        <v>4.4542497166988992E-2</v>
      </c>
      <c r="S82" s="32">
        <f>IF((((VLOOKUP(B82,'Data qoq'!$A:$AT,MATCH($S$1,'Data qoq'!$A$1:$AT$1,),))/100+1)^4)-1=0,#N/A,(((VLOOKUP(B82,'Data qoq'!$A:$AT,MATCH($S$1,'Data qoq'!$A$1:$AT$1,),))/100+1)^4)-1)</f>
        <v>-1.2733500109675999E-2</v>
      </c>
      <c r="T82" s="32">
        <f>IF((((VLOOKUP(B82,'Data qoq'!$A:$AT,MATCH($T$1,'Data qoq'!$A$1:$AT$1,),))/100+1)^4)-1=0,#N/A,(((VLOOKUP(B82,'Data qoq'!$A:$AT,MATCH($T$1,'Data qoq'!$A$1:$AT$1,),))/100+1)^4)-1)</f>
        <v>1.6797448761199263E-2</v>
      </c>
      <c r="U82" s="32">
        <f>IF((((VLOOKUP(B82,'Data qoq'!$A:$AT,MATCH($U$1,'Data qoq'!$A$1:$AT$1,),))/100+1)^4)-1=0,#N/A,(((VLOOKUP(B82,'Data qoq'!$A:$AT,MATCH($U$1,'Data qoq'!$A$1:$AT$1,),))/100+1)^4)-1)</f>
        <v>-3.5542962559242608E-2</v>
      </c>
      <c r="V82" s="32">
        <f>IF((((VLOOKUP(B82,'Data qoq'!$A:$AT,MATCH($V$1,'Data qoq'!$A$1:$AT$1,),))/100+1)^4)-1=0,#N/A,(((VLOOKUP(B82,'Data qoq'!$A:$AT,MATCH($V$1,'Data qoq'!$A$1:$AT$1,),))/100+1)^4)-1)</f>
        <v>0.22643320377553344</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7.3581729418516595E-2</v>
      </c>
      <c r="Z82" s="32">
        <f>IF((((VLOOKUP(B82,'Data qoq'!$A:$AU,MATCH($Z$1,'Data qoq'!$A$1:$AU$1,),))/100+1)^4)-1=0,#N/A,(((VLOOKUP(B82,'Data qoq'!$A:$AU,MATCH($Z$1,'Data qoq'!$A$1:$AU$1,),))/100+1)^4)-1)</f>
        <v>4.3785048862430731E-2</v>
      </c>
      <c r="AA82" s="32">
        <f>IF((((VLOOKUP(B82,'Data qoq'!$A:$AU,MATCH($AA$1,'Data qoq'!$A$1:$AU$1,),))/100+1)^4)-1=0,#N/A,(((VLOOKUP(B82,'Data qoq'!$A:$AU,MATCH($AA$1,'Data qoq'!$A$1:$AU$1,),))/100+1)^4)-1)</f>
        <v>3.4241672821948343E-2</v>
      </c>
      <c r="AC82" s="26" t="str">
        <f t="shared" si="10"/>
        <v>2017-Q4</v>
      </c>
      <c r="AD82" s="31">
        <f t="shared" si="11"/>
        <v>1.6077112071937849E-2</v>
      </c>
      <c r="AE82" s="27"/>
    </row>
    <row r="83" spans="1:31" x14ac:dyDescent="0.2">
      <c r="A83" s="30">
        <v>43160</v>
      </c>
      <c r="B83" s="24" t="s">
        <v>349</v>
      </c>
      <c r="C83" s="32">
        <f>IF((((VLOOKUP(B83,'Data qoq'!$A:$AT,MATCH($C$1,'Data qoq'!$A$1:$AT$1,),))/100+1)^4)-1=0,#N/A,(((VLOOKUP(B83,'Data qoq'!$A:$AT,MATCH($C$1,'Data qoq'!$A$1:$AT$1,),))/100+1)^4)-1)</f>
        <v>3.0865108355034421E-2</v>
      </c>
      <c r="D83" s="32">
        <f>IF((((VLOOKUP(B83,'Data qoq'!$A:$AT,MATCH($D$1,'Data qoq'!$A$1:$AT$1,),))/100+1)^4)-1=0,#N/A,(((VLOOKUP(B83,'Data qoq'!$A:$AT,MATCH($D$1,'Data qoq'!$A$1:$AT$1,),))/100+1)^4)-1)</f>
        <v>7.3967432976000058E-2</v>
      </c>
      <c r="E83" s="32">
        <f>IF((((VLOOKUP(B83,'Data qoq'!$A:$AT,MATCH($E$1,'Data qoq'!$A$1:$AT$1,),))/100+1)^4)-1=0,#N/A,(((VLOOKUP(B83,'Data qoq'!$A:$AT,MATCH($E$1,'Data qoq'!$A$1:$AT$1,),))/100+1)^4)-1)</f>
        <v>2.8098358481309926E-3</v>
      </c>
      <c r="F83" s="32">
        <f>IF((((VLOOKUP(B83,'Data qoq'!$A:$AT,MATCH($F$1,'Data qoq'!$A$1:$AT$1,),))/100+1)^4)-1=0,#N/A,(((VLOOKUP(B83,'Data qoq'!$A:$AT,MATCH($F$1,'Data qoq'!$A$1:$AT$1,),))/100+1)^4)-1)</f>
        <v>7.5568660013216604E-3</v>
      </c>
      <c r="G83" s="32">
        <f>IF((((VLOOKUP(B83,'Data qoq'!$A:$AT,MATCH($G$1,'Data qoq'!$A$1:$AT$1,),))/100+1)^4)-1=0,#N/A,(((VLOOKUP(B83,'Data qoq'!$A:$AT,MATCH($G$1,'Data qoq'!$A$1:$AT$1,),))/100+1)^4)-1)</f>
        <v>-1.7183225281488745E-2</v>
      </c>
      <c r="H83" s="32">
        <f>IF((((VLOOKUP(B83,'Data qoq'!$A:$AT,MATCH($H$1,'Data qoq'!$A$1:$AT$1,),))/100+1)^4)-1=0,#N/A,(((VLOOKUP(B83,'Data qoq'!$A:$AT,MATCH($H$1,'Data qoq'!$A$1:$AT$1,),))/100+1)^4)-1)</f>
        <v>2.1517054125894663E-3</v>
      </c>
      <c r="I83" s="32">
        <f>IF((((VLOOKUP(B83,'Data qoq'!$A:$AT,MATCH($I$1,'Data qoq'!$A$1:$AT$1,),))/100+1)^4)-1=0,#N/A,(((VLOOKUP(B83,'Data qoq'!$A:$AT,MATCH($I$1,'Data qoq'!$A$1:$AT$1,),))/100+1)^4)-1)</f>
        <v>9.501928886933575E-3</v>
      </c>
      <c r="J83" s="32">
        <f>IF((((VLOOKUP(B83,'Data qoq'!$A:$AT,MATCH($J$1,'Data qoq'!$A$1:$AT$1,),))/100+1)^4)-1=0,#N/A,(((VLOOKUP(B83,'Data qoq'!$A:$AT,MATCH($J$1,'Data qoq'!$A$1:$AT$1,),))/100+1)^4)-1)</f>
        <v>-1.7566581797852088E-3</v>
      </c>
      <c r="K83" s="32">
        <f>IF((((VLOOKUP(B83,'Data qoq'!$A:$AT,MATCH($K$1,'Data qoq'!$A$1:$AT$1,),))/100+1)^4)-1=0,#N/A,(((VLOOKUP(B83,'Data qoq'!$A:$AT,MATCH($K$1,'Data qoq'!$A$1:$AT$1,),))/100+1)^4)-1)</f>
        <v>1.5199556378468815E-2</v>
      </c>
      <c r="L83" s="32">
        <f>IF((((VLOOKUP(B83,'Data qoq'!$A:$AT,MATCH($L$1,'Data qoq'!$A$1:$AT$1,),))/100+1)^4)-1=0,#N/A,(((VLOOKUP(B83,'Data qoq'!$A:$AT,MATCH($L$1,'Data qoq'!$A$1:$AT$1,),))/100+1)^4)-1)</f>
        <v>1.6333982830272209E-2</v>
      </c>
      <c r="M83" s="32">
        <f>IF((((VLOOKUP(B83,'Data qoq'!$A:$AT,MATCH($M$1,'Data qoq'!$A$1:$AT$1,),))/100+1)^4)-1=0,#N/A,(((VLOOKUP(B83,'Data qoq'!$A:$AT,MATCH($M$1,'Data qoq'!$A$1:$AT$1,),))/100+1)^4)-1)</f>
        <v>4.5400986199796822E-2</v>
      </c>
      <c r="N83" s="32">
        <f>IF((((VLOOKUP(B83,'Data qoq'!$A:$AT,MATCH($N$1,'Data qoq'!$A$1:$AT$1,),))/100+1)^4)-1=0,#N/A,(((VLOOKUP(B83,'Data qoq'!$A:$AT,MATCH($N$1,'Data qoq'!$A$1:$AT$1,),))/100+1)^4)-1)</f>
        <v>5.5354589448898261E-2</v>
      </c>
      <c r="O83" s="32">
        <f>IF((((VLOOKUP(B83,'Data qoq'!$A:$AT,MATCH($O$1,'Data qoq'!$A$1:$AT$1,),))/100+1)^4)-1=0,#N/A,(((VLOOKUP(B83,'Data qoq'!$A:$AT,MATCH($O$1,'Data qoq'!$A$1:$AT$1,),))/100+1)^4)-1)</f>
        <v>8.8382482542741503E-2</v>
      </c>
      <c r="P83" s="32">
        <f>IF((((VLOOKUP(B83,'Data qoq'!$A:$AT,MATCH($P$1,'Data qoq'!$A$1:$AT$1,),))/100+1)^4)-1=0,#N/A,(((VLOOKUP(B83,'Data qoq'!$A:$AT,MATCH($P$1,'Data qoq'!$A$1:$AT$1,),))/100+1)^4)-1)</f>
        <v>3.5471885274129589E-2</v>
      </c>
      <c r="Q83" s="32">
        <f>IF((((VLOOKUP(B83,'Data qoq'!$A:$AT,MATCH($Q$1,'Data qoq'!$A$1:$AT$1,),))/100+1)^4)-1=0,#N/A,(((VLOOKUP(B83,'Data qoq'!$A:$AT,MATCH($Q$1,'Data qoq'!$A$1:$AT$1,),))/100+1)^4)-1)</f>
        <v>3.4792595998446751E-2</v>
      </c>
      <c r="R83" s="32">
        <f>IF((((VLOOKUP(B83,'Data qoq'!$A:$AT,MATCH($R$1,'Data qoq'!$A$1:$AT$1,),))/100+1)^4)-1=0,#N/A,(((VLOOKUP(B83,'Data qoq'!$A:$AT,MATCH($R$1,'Data qoq'!$A$1:$AT$1,),))/100+1)^4)-1)</f>
        <v>4.3313000093256671E-2</v>
      </c>
      <c r="S83" s="32">
        <f>IF((((VLOOKUP(B83,'Data qoq'!$A:$AT,MATCH($S$1,'Data qoq'!$A$1:$AT$1,),))/100+1)^4)-1=0,#N/A,(((VLOOKUP(B83,'Data qoq'!$A:$AT,MATCH($S$1,'Data qoq'!$A$1:$AT$1,),))/100+1)^4)-1)</f>
        <v>4.9113552692124252E-2</v>
      </c>
      <c r="T83" s="32">
        <f>IF((((VLOOKUP(B83,'Data qoq'!$A:$AT,MATCH($T$1,'Data qoq'!$A$1:$AT$1,),))/100+1)^4)-1=0,#N/A,(((VLOOKUP(B83,'Data qoq'!$A:$AT,MATCH($T$1,'Data qoq'!$A$1:$AT$1,),))/100+1)^4)-1)</f>
        <v>2.168245246969791E-2</v>
      </c>
      <c r="U83" s="32">
        <f>IF((((VLOOKUP(B83,'Data qoq'!$A:$AT,MATCH($U$1,'Data qoq'!$A$1:$AT$1,),))/100+1)^4)-1=0,#N/A,(((VLOOKUP(B83,'Data qoq'!$A:$AT,MATCH($U$1,'Data qoq'!$A$1:$AT$1,),))/100+1)^4)-1)</f>
        <v>5.8092505786396131E-2</v>
      </c>
      <c r="V83" s="32">
        <f>IF((((VLOOKUP(B83,'Data qoq'!$A:$AT,MATCH($V$1,'Data qoq'!$A$1:$AT$1,),))/100+1)^4)-1=0,#N/A,(((VLOOKUP(B83,'Data qoq'!$A:$AT,MATCH($V$1,'Data qoq'!$A$1:$AT$1,),))/100+1)^4)-1)</f>
        <v>2.2970902466796561E-2</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5.0533089531920927E-2</v>
      </c>
      <c r="Z83" s="32">
        <f>IF((((VLOOKUP(B83,'Data qoq'!$A:$AU,MATCH($Z$1,'Data qoq'!$A$1:$AU$1,),))/100+1)^4)-1=0,#N/A,(((VLOOKUP(B83,'Data qoq'!$A:$AU,MATCH($Z$1,'Data qoq'!$A$1:$AU$1,),))/100+1)^4)-1)</f>
        <v>-1.4912875450965535E-2</v>
      </c>
      <c r="AA83" s="32">
        <f>IF((((VLOOKUP(B83,'Data qoq'!$A:$AU,MATCH($AA$1,'Data qoq'!$A$1:$AU$1,),))/100+1)^4)-1=0,#N/A,(((VLOOKUP(B83,'Data qoq'!$A:$AU,MATCH($AA$1,'Data qoq'!$A$1:$AU$1,),))/100+1)^4)-1)</f>
        <v>3.1022779187194205E-2</v>
      </c>
      <c r="AC83" s="26" t="str">
        <f t="shared" si="10"/>
        <v>2018-Q1</v>
      </c>
      <c r="AD83" s="31">
        <f t="shared" si="11"/>
        <v>-6.6920930388025823E-3</v>
      </c>
      <c r="AE83" s="27"/>
    </row>
    <row r="84" spans="1:31" s="70" customFormat="1" x14ac:dyDescent="0.2">
      <c r="A84" s="30">
        <v>43252</v>
      </c>
      <c r="B84" s="24" t="s">
        <v>350</v>
      </c>
      <c r="C84" s="32">
        <f>IF((((VLOOKUP(B84,'Data qoq'!$A:$AT,MATCH($C$1,'Data qoq'!$A$1:$AT$1,),))/100+1)^4)-1=0,#N/A,(((VLOOKUP(B84,'Data qoq'!$A:$AT,MATCH($C$1,'Data qoq'!$A$1:$AT$1,),))/100+1)^4)-1)</f>
        <v>3.3776005269686493E-2</v>
      </c>
      <c r="D84" s="32">
        <f>IF((((VLOOKUP(B84,'Data qoq'!$A:$AT,MATCH($D$1,'Data qoq'!$A$1:$AT$1,),))/100+1)^4)-1=0,#N/A,(((VLOOKUP(B84,'Data qoq'!$A:$AT,MATCH($D$1,'Data qoq'!$A$1:$AT$1,),))/100+1)^4)-1)</f>
        <v>6.5552449536000035E-2</v>
      </c>
      <c r="E84" s="32">
        <f>IF((((VLOOKUP(B84,'Data qoq'!$A:$AT,MATCH($E$1,'Data qoq'!$A$1:$AT$1,),))/100+1)^4)-1=0,#N/A,(((VLOOKUP(B84,'Data qoq'!$A:$AT,MATCH($E$1,'Data qoq'!$A$1:$AT$1,),))/100+1)^4)-1)</f>
        <v>2.0896663606265298E-2</v>
      </c>
      <c r="F84" s="32">
        <f>IF((((VLOOKUP(B84,'Data qoq'!$A:$AT,MATCH($F$1,'Data qoq'!$A$1:$AT$1,),))/100+1)^4)-1=0,#N/A,(((VLOOKUP(B84,'Data qoq'!$A:$AT,MATCH($F$1,'Data qoq'!$A$1:$AT$1,),))/100+1)^4)-1)</f>
        <v>1.5186844183532555E-2</v>
      </c>
      <c r="G84" s="32">
        <f>IF((((VLOOKUP(B84,'Data qoq'!$A:$AT,MATCH($G$1,'Data qoq'!$A$1:$AT$1,),))/100+1)^4)-1=0,#N/A,(((VLOOKUP(B84,'Data qoq'!$A:$AT,MATCH($G$1,'Data qoq'!$A$1:$AT$1,),))/100+1)^4)-1)</f>
        <v>2.2465912808874666E-2</v>
      </c>
      <c r="H84" s="32">
        <f>IF((((VLOOKUP(B84,'Data qoq'!$A:$AT,MATCH($H$1,'Data qoq'!$A$1:$AT$1,),))/100+1)^4)-1=0,#N/A,(((VLOOKUP(B84,'Data qoq'!$A:$AT,MATCH($H$1,'Data qoq'!$A$1:$AT$1,),))/100+1)^4)-1)</f>
        <v>1.7919329738413481E-2</v>
      </c>
      <c r="I84" s="32">
        <f>IF((((VLOOKUP(B84,'Data qoq'!$A:$AT,MATCH($I$1,'Data qoq'!$A$1:$AT$1,),))/100+1)^4)-1=0,#N/A,(((VLOOKUP(B84,'Data qoq'!$A:$AT,MATCH($I$1,'Data qoq'!$A$1:$AT$1,),))/100+1)^4)-1)</f>
        <v>2.2045858962449705E-2</v>
      </c>
      <c r="J84" s="32">
        <f>IF((((VLOOKUP(B84,'Data qoq'!$A:$AT,MATCH($J$1,'Data qoq'!$A$1:$AT$1,),))/100+1)^4)-1=0,#N/A,(((VLOOKUP(B84,'Data qoq'!$A:$AT,MATCH($J$1,'Data qoq'!$A$1:$AT$1,),))/100+1)^4)-1)</f>
        <v>1.890331772127718E-3</v>
      </c>
      <c r="K84" s="32">
        <f>IF((((VLOOKUP(B84,'Data qoq'!$A:$AT,MATCH($K$1,'Data qoq'!$A$1:$AT$1,),))/100+1)^4)-1=0,#N/A,(((VLOOKUP(B84,'Data qoq'!$A:$AT,MATCH($K$1,'Data qoq'!$A$1:$AT$1,),))/100+1)^4)-1)</f>
        <v>2.3654723521229215E-2</v>
      </c>
      <c r="L84" s="32">
        <f>IF((((VLOOKUP(B84,'Data qoq'!$A:$AT,MATCH($L$1,'Data qoq'!$A$1:$AT$1,),))/100+1)^4)-1=0,#N/A,(((VLOOKUP(B84,'Data qoq'!$A:$AT,MATCH($L$1,'Data qoq'!$A$1:$AT$1,),))/100+1)^4)-1)</f>
        <v>4.2710659980709886E-2</v>
      </c>
      <c r="M84" s="32">
        <f>IF((((VLOOKUP(B84,'Data qoq'!$A:$AT,MATCH($M$1,'Data qoq'!$A$1:$AT$1,),))/100+1)^4)-1=0,#N/A,(((VLOOKUP(B84,'Data qoq'!$A:$AT,MATCH($M$1,'Data qoq'!$A$1:$AT$1,),))/100+1)^4)-1)</f>
        <v>-4.680050417996684E-4</v>
      </c>
      <c r="N84" s="32">
        <f>IF((((VLOOKUP(B84,'Data qoq'!$A:$AT,MATCH($N$1,'Data qoq'!$A$1:$AT$1,),))/100+1)^4)-1=0,#N/A,(((VLOOKUP(B84,'Data qoq'!$A:$AT,MATCH($N$1,'Data qoq'!$A$1:$AT$1,),))/100+1)^4)-1)</f>
        <v>2.2505339938724056E-2</v>
      </c>
      <c r="O84" s="32">
        <f>IF((((VLOOKUP(B84,'Data qoq'!$A:$AT,MATCH($O$1,'Data qoq'!$A$1:$AT$1,),))/100+1)^4)-1=0,#N/A,(((VLOOKUP(B84,'Data qoq'!$A:$AT,MATCH($O$1,'Data qoq'!$A$1:$AT$1,),))/100+1)^4)-1)</f>
        <v>5.473988729882473E-2</v>
      </c>
      <c r="P84" s="32">
        <f>IF((((VLOOKUP(B84,'Data qoq'!$A:$AT,MATCH($P$1,'Data qoq'!$A$1:$AT$1,),))/100+1)^4)-1=0,#N/A,(((VLOOKUP(B84,'Data qoq'!$A:$AT,MATCH($P$1,'Data qoq'!$A$1:$AT$1,),))/100+1)^4)-1)</f>
        <v>3.1775987402820949E-2</v>
      </c>
      <c r="Q84" s="32">
        <f>IF((((VLOOKUP(B84,'Data qoq'!$A:$AT,MATCH($Q$1,'Data qoq'!$A$1:$AT$1,),))/100+1)^4)-1=0,#N/A,(((VLOOKUP(B84,'Data qoq'!$A:$AT,MATCH($Q$1,'Data qoq'!$A$1:$AT$1,),))/100+1)^4)-1)</f>
        <v>3.5867982782477936E-2</v>
      </c>
      <c r="R84" s="32">
        <f>IF((((VLOOKUP(B84,'Data qoq'!$A:$AT,MATCH($R$1,'Data qoq'!$A$1:$AT$1,),))/100+1)^4)-1=0,#N/A,(((VLOOKUP(B84,'Data qoq'!$A:$AT,MATCH($R$1,'Data qoq'!$A$1:$AT$1,),))/100+1)^4)-1)</f>
        <v>3.7514827661194738E-2</v>
      </c>
      <c r="S84" s="32">
        <f>IF((((VLOOKUP(B84,'Data qoq'!$A:$AT,MATCH($S$1,'Data qoq'!$A$1:$AT$1,),))/100+1)^4)-1=0,#N/A,(((VLOOKUP(B84,'Data qoq'!$A:$AT,MATCH($S$1,'Data qoq'!$A$1:$AT$1,),))/100+1)^4)-1)</f>
        <v>2.5708070490268575E-2</v>
      </c>
      <c r="T84" s="32">
        <f>IF((((VLOOKUP(B84,'Data qoq'!$A:$AT,MATCH($T$1,'Data qoq'!$A$1:$AT$1,),))/100+1)^4)-1=0,#N/A,(((VLOOKUP(B84,'Data qoq'!$A:$AT,MATCH($T$1,'Data qoq'!$A$1:$AT$1,),))/100+1)^4)-1)</f>
        <v>6.6168048051820083E-3</v>
      </c>
      <c r="U84" s="32">
        <f>IF((((VLOOKUP(B84,'Data qoq'!$A:$AT,MATCH($U$1,'Data qoq'!$A$1:$AT$1,),))/100+1)^4)-1=0,#N/A,(((VLOOKUP(B84,'Data qoq'!$A:$AT,MATCH($U$1,'Data qoq'!$A$1:$AT$1,),))/100+1)^4)-1)</f>
        <v>5.6320673795624554E-3</v>
      </c>
      <c r="V84" s="32">
        <f>IF((((VLOOKUP(B84,'Data qoq'!$A:$AT,MATCH($V$1,'Data qoq'!$A$1:$AT$1,),))/100+1)^4)-1=0,#N/A,(((VLOOKUP(B84,'Data qoq'!$A:$AT,MATCH($V$1,'Data qoq'!$A$1:$AT$1,),))/100+1)^4)-1)</f>
        <v>0.12728353190773789</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5.5141625923228466E-2</v>
      </c>
      <c r="Z84" s="32">
        <f>IF((((VLOOKUP(B84,'Data qoq'!$A:$AU,MATCH($Z$1,'Data qoq'!$A$1:$AU$1,),))/100+1)^4)-1=0,#N/A,(((VLOOKUP(B84,'Data qoq'!$A:$AU,MATCH($Z$1,'Data qoq'!$A$1:$AU$1,),))/100+1)^4)-1)</f>
        <v>-0.17065958517230884</v>
      </c>
      <c r="AA84" s="32">
        <f>IF((((VLOOKUP(B84,'Data qoq'!$A:$AU,MATCH($AA$1,'Data qoq'!$A$1:$AU$1,),))/100+1)^4)-1=0,#N/A,(((VLOOKUP(B84,'Data qoq'!$A:$AU,MATCH($AA$1,'Data qoq'!$A$1:$AU$1,),))/100+1)^4)-1)</f>
        <v>4.530622596418743E-2</v>
      </c>
      <c r="AC84" s="26" t="str">
        <f t="shared" si="10"/>
        <v>2018-Q2</v>
      </c>
      <c r="AD84" s="31">
        <f t="shared" si="11"/>
        <v>-1.149195356184407E-3</v>
      </c>
    </row>
    <row r="85" spans="1:31" s="70" customFormat="1" x14ac:dyDescent="0.2">
      <c r="A85" s="30">
        <v>43344</v>
      </c>
      <c r="B85" s="24" t="s">
        <v>351</v>
      </c>
      <c r="C85" s="32">
        <f>IF((((VLOOKUP(B85,'Data qoq'!$A:$AT,MATCH($C$1,'Data qoq'!$A$1:$AT$1,),))/100+1)^4)-1=0,#N/A,(((VLOOKUP(B85,'Data qoq'!$A:$AT,MATCH($C$1,'Data qoq'!$A$1:$AT$1,),))/100+1)^4)-1)</f>
        <v>1.9417917649433347E-2</v>
      </c>
      <c r="D85" s="32">
        <f>IF((((VLOOKUP(B85,'Data qoq'!$A:$AT,MATCH($D$1,'Data qoq'!$A$1:$AT$1,),))/100+1)^4)-1=0,#N/A,(((VLOOKUP(B85,'Data qoq'!$A:$AT,MATCH($D$1,'Data qoq'!$A$1:$AT$1,),))/100+1)^4)-1)</f>
        <v>5.718701441600027E-2</v>
      </c>
      <c r="E85" s="32">
        <f>IF((((VLOOKUP(B85,'Data qoq'!$A:$AT,MATCH($E$1,'Data qoq'!$A$1:$AT$1,),))/100+1)^4)-1=0,#N/A,(((VLOOKUP(B85,'Data qoq'!$A:$AT,MATCH($E$1,'Data qoq'!$A$1:$AT$1,),))/100+1)^4)-1)</f>
        <v>3.0677628861284223E-3</v>
      </c>
      <c r="F85" s="32">
        <f>IF((((VLOOKUP(B85,'Data qoq'!$A:$AT,MATCH($F$1,'Data qoq'!$A$1:$AT$1,),))/100+1)^4)-1=0,#N/A,(((VLOOKUP(B85,'Data qoq'!$A:$AT,MATCH($F$1,'Data qoq'!$A$1:$AT$1,),))/100+1)^4)-1)</f>
        <v>-2.9183017269662992E-2</v>
      </c>
      <c r="G85" s="32">
        <f>IF((((VLOOKUP(B85,'Data qoq'!$A:$AT,MATCH($G$1,'Data qoq'!$A$1:$AT$1,),))/100+1)^4)-1=0,#N/A,(((VLOOKUP(B85,'Data qoq'!$A:$AT,MATCH($G$1,'Data qoq'!$A$1:$AT$1,),))/100+1)^4)-1)</f>
        <v>-1.6791491573780903E-2</v>
      </c>
      <c r="H85" s="32">
        <f>IF((((VLOOKUP(B85,'Data qoq'!$A:$AT,MATCH($H$1,'Data qoq'!$A$1:$AT$1,),))/100+1)^4)-1=0,#N/A,(((VLOOKUP(B85,'Data qoq'!$A:$AT,MATCH($H$1,'Data qoq'!$A$1:$AT$1,),))/100+1)^4)-1)</f>
        <v>1.6173401856499847E-2</v>
      </c>
      <c r="I85" s="32">
        <f>IF((((VLOOKUP(B85,'Data qoq'!$A:$AT,MATCH($I$1,'Data qoq'!$A$1:$AT$1,),))/100+1)^4)-1=0,#N/A,(((VLOOKUP(B85,'Data qoq'!$A:$AT,MATCH($I$1,'Data qoq'!$A$1:$AT$1,),))/100+1)^4)-1)</f>
        <v>2.5509538082288064E-2</v>
      </c>
      <c r="J85" s="32">
        <f>IF((((VLOOKUP(B85,'Data qoq'!$A:$AT,MATCH($J$1,'Data qoq'!$A$1:$AT$1,),))/100+1)^4)-1=0,#N/A,(((VLOOKUP(B85,'Data qoq'!$A:$AT,MATCH($J$1,'Data qoq'!$A$1:$AT$1,),))/100+1)^4)-1)</f>
        <v>4.0896958233327396E-3</v>
      </c>
      <c r="K85" s="32">
        <f>IF((((VLOOKUP(B85,'Data qoq'!$A:$AT,MATCH($K$1,'Data qoq'!$A$1:$AT$1,),))/100+1)^4)-1=0,#N/A,(((VLOOKUP(B85,'Data qoq'!$A:$AT,MATCH($K$1,'Data qoq'!$A$1:$AT$1,),))/100+1)^4)-1)</f>
        <v>2.0865508032032132E-2</v>
      </c>
      <c r="L85" s="32">
        <f>IF((((VLOOKUP(B85,'Data qoq'!$A:$AT,MATCH($L$1,'Data qoq'!$A$1:$AT$1,),))/100+1)^4)-1=0,#N/A,(((VLOOKUP(B85,'Data qoq'!$A:$AT,MATCH($L$1,'Data qoq'!$A$1:$AT$1,),))/100+1)^4)-1)</f>
        <v>-3.1183585453284035E-2</v>
      </c>
      <c r="M85" s="32">
        <f>IF((((VLOOKUP(B85,'Data qoq'!$A:$AT,MATCH($M$1,'Data qoq'!$A$1:$AT$1,),))/100+1)^4)-1=0,#N/A,(((VLOOKUP(B85,'Data qoq'!$A:$AT,MATCH($M$1,'Data qoq'!$A$1:$AT$1,),))/100+1)^4)-1)</f>
        <v>1.8816390794092586E-2</v>
      </c>
      <c r="N85" s="32">
        <f>IF((((VLOOKUP(B85,'Data qoq'!$A:$AT,MATCH($N$1,'Data qoq'!$A$1:$AT$1,),))/100+1)^4)-1=0,#N/A,(((VLOOKUP(B85,'Data qoq'!$A:$AT,MATCH($N$1,'Data qoq'!$A$1:$AT$1,),))/100+1)^4)-1)</f>
        <v>9.6897644661275706E-3</v>
      </c>
      <c r="O85" s="32">
        <f>IF((((VLOOKUP(B85,'Data qoq'!$A:$AT,MATCH($O$1,'Data qoq'!$A$1:$AT$1,),))/100+1)^4)-1=0,#N/A,(((VLOOKUP(B85,'Data qoq'!$A:$AT,MATCH($O$1,'Data qoq'!$A$1:$AT$1,),))/100+1)^4)-1)</f>
        <v>5.5856879633753964E-2</v>
      </c>
      <c r="P85" s="32">
        <f>IF((((VLOOKUP(B85,'Data qoq'!$A:$AT,MATCH($P$1,'Data qoq'!$A$1:$AT$1,),))/100+1)^4)-1=0,#N/A,(((VLOOKUP(B85,'Data qoq'!$A:$AT,MATCH($P$1,'Data qoq'!$A$1:$AT$1,),))/100+1)^4)-1)</f>
        <v>2.7891978729154276E-2</v>
      </c>
      <c r="Q85" s="32">
        <f>IF((((VLOOKUP(B85,'Data qoq'!$A:$AT,MATCH($Q$1,'Data qoq'!$A$1:$AT$1,),))/100+1)^4)-1=0,#N/A,(((VLOOKUP(B85,'Data qoq'!$A:$AT,MATCH($Q$1,'Data qoq'!$A$1:$AT$1,),))/100+1)^4)-1)</f>
        <v>1.7100937942291949E-2</v>
      </c>
      <c r="R85" s="32">
        <f>IF((((VLOOKUP(B85,'Data qoq'!$A:$AT,MATCH($R$1,'Data qoq'!$A$1:$AT$1,),))/100+1)^4)-1=0,#N/A,(((VLOOKUP(B85,'Data qoq'!$A:$AT,MATCH($R$1,'Data qoq'!$A$1:$AT$1,),))/100+1)^4)-1)</f>
        <v>-9.1611436869184493E-3</v>
      </c>
      <c r="S85" s="32">
        <f>IF((((VLOOKUP(B85,'Data qoq'!$A:$AT,MATCH($S$1,'Data qoq'!$A$1:$AT$1,),))/100+1)^4)-1=0,#N/A,(((VLOOKUP(B85,'Data qoq'!$A:$AT,MATCH($S$1,'Data qoq'!$A$1:$AT$1,),))/100+1)^4)-1)</f>
        <v>2.9555981202899817E-2</v>
      </c>
      <c r="T85" s="32">
        <f>IF((((VLOOKUP(B85,'Data qoq'!$A:$AT,MATCH($T$1,'Data qoq'!$A$1:$AT$1,),))/100+1)^4)-1=0,#N/A,(((VLOOKUP(B85,'Data qoq'!$A:$AT,MATCH($T$1,'Data qoq'!$A$1:$AT$1,),))/100+1)^4)-1)</f>
        <v>3.6714157238538547E-2</v>
      </c>
      <c r="U85" s="32">
        <f>IF((((VLOOKUP(B85,'Data qoq'!$A:$AT,MATCH($U$1,'Data qoq'!$A$1:$AT$1,),))/100+1)^4)-1=0,#N/A,(((VLOOKUP(B85,'Data qoq'!$A:$AT,MATCH($U$1,'Data qoq'!$A$1:$AT$1,),))/100+1)^4)-1)</f>
        <v>-1.0819700767602525E-2</v>
      </c>
      <c r="V85" s="32">
        <f>IF((((VLOOKUP(B85,'Data qoq'!$A:$AT,MATCH($V$1,'Data qoq'!$A$1:$AT$1,),))/100+1)^4)-1=0,#N/A,(((VLOOKUP(B85,'Data qoq'!$A:$AT,MATCH($V$1,'Data qoq'!$A$1:$AT$1,),))/100+1)^4)-1)</f>
        <v>-3.3347122392616058E-2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5.3896515125789746E-2</v>
      </c>
      <c r="Z85" s="32">
        <f>IF((((VLOOKUP(B85,'Data qoq'!$A:$AU,MATCH($Z$1,'Data qoq'!$A$1:$AU$1,),))/100+1)^4)-1=0,#N/A,(((VLOOKUP(B85,'Data qoq'!$A:$AU,MATCH($Z$1,'Data qoq'!$A$1:$AU$1,),))/100+1)^4)-1)</f>
        <v>-9.2857122412386417E-3</v>
      </c>
      <c r="AA85" s="32">
        <f>IF((((VLOOKUP(B85,'Data qoq'!$A:$AU,MATCH($AA$1,'Data qoq'!$A$1:$AU$1,),))/100+1)^4)-1=0,#N/A,(((VLOOKUP(B85,'Data qoq'!$A:$AU,MATCH($AA$1,'Data qoq'!$A$1:$AU$1,),))/100+1)^4)-1)</f>
        <v>1.1399545503254949E-2</v>
      </c>
      <c r="AC85" s="26" t="str">
        <f t="shared" si="10"/>
        <v>2018-Q3</v>
      </c>
      <c r="AD85" s="31">
        <f t="shared" si="11"/>
        <v>-2.2441775196159641E-2</v>
      </c>
    </row>
    <row r="86" spans="1:31" s="70" customFormat="1" x14ac:dyDescent="0.2">
      <c r="A86" s="30">
        <v>43435</v>
      </c>
      <c r="B86" s="24" t="s">
        <v>352</v>
      </c>
      <c r="C86" s="32">
        <f>IF((((VLOOKUP(B86,'Data qoq'!$A:$AT,MATCH($C$1,'Data qoq'!$A$1:$AT$1,),))/100+1)^4)-1=0,#N/A,(((VLOOKUP(B86,'Data qoq'!$A:$AT,MATCH($C$1,'Data qoq'!$A$1:$AT$1,),))/100+1)^4)-1)</f>
        <v>8.9555932348708289E-3</v>
      </c>
      <c r="D86" s="32">
        <f>IF((((VLOOKUP(B86,'Data qoq'!$A:$AT,MATCH($D$1,'Data qoq'!$A$1:$AT$1,),))/100+1)^4)-1=0,#N/A,(((VLOOKUP(B86,'Data qoq'!$A:$AT,MATCH($D$1,'Data qoq'!$A$1:$AT$1,),))/100+1)^4)-1)</f>
        <v>6.136355062499943E-2</v>
      </c>
      <c r="E86" s="32">
        <f>IF((((VLOOKUP(B86,'Data qoq'!$A:$AT,MATCH($E$1,'Data qoq'!$A$1:$AT$1,),))/100+1)^4)-1=0,#N/A,(((VLOOKUP(B86,'Data qoq'!$A:$AT,MATCH($E$1,'Data qoq'!$A$1:$AT$1,),))/100+1)^4)-1)</f>
        <v>2.1544831655255336E-2</v>
      </c>
      <c r="F86" s="32">
        <f>IF((((VLOOKUP(B86,'Data qoq'!$A:$AT,MATCH($F$1,'Data qoq'!$A$1:$AT$1,),))/100+1)^4)-1=0,#N/A,(((VLOOKUP(B86,'Data qoq'!$A:$AT,MATCH($F$1,'Data qoq'!$A$1:$AT$1,),))/100+1)^4)-1)</f>
        <v>-1.0243352071558798E-2</v>
      </c>
      <c r="G86" s="32">
        <f>IF((((VLOOKUP(B86,'Data qoq'!$A:$AT,MATCH($G$1,'Data qoq'!$A$1:$AT$1,),))/100+1)^4)-1=0,#N/A,(((VLOOKUP(B86,'Data qoq'!$A:$AT,MATCH($G$1,'Data qoq'!$A$1:$AT$1,),))/100+1)^4)-1)</f>
        <v>1.5551342854592365E-2</v>
      </c>
      <c r="H86" s="32">
        <f>IF((((VLOOKUP(B86,'Data qoq'!$A:$AT,MATCH($H$1,'Data qoq'!$A$1:$AT$1,),))/100+1)^4)-1=0,#N/A,(((VLOOKUP(B86,'Data qoq'!$A:$AT,MATCH($H$1,'Data qoq'!$A$1:$AT$1,),))/100+1)^4)-1)</f>
        <v>2.3378813685756228E-2</v>
      </c>
      <c r="I86" s="32">
        <f>IF((((VLOOKUP(B86,'Data qoq'!$A:$AT,MATCH($I$1,'Data qoq'!$A$1:$AT$1,),))/100+1)^4)-1=0,#N/A,(((VLOOKUP(B86,'Data qoq'!$A:$AT,MATCH($I$1,'Data qoq'!$A$1:$AT$1,),))/100+1)^4)-1)</f>
        <v>1.3485297158064791E-2</v>
      </c>
      <c r="J86" s="32">
        <f>IF((((VLOOKUP(B86,'Data qoq'!$A:$AT,MATCH($J$1,'Data qoq'!$A$1:$AT$1,),))/100+1)^4)-1=0,#N/A,(((VLOOKUP(B86,'Data qoq'!$A:$AT,MATCH($J$1,'Data qoq'!$A$1:$AT$1,),))/100+1)^4)-1)</f>
        <v>1.1831433908428224E-2</v>
      </c>
      <c r="K86" s="32">
        <f>IF((((VLOOKUP(B86,'Data qoq'!$A:$AT,MATCH($K$1,'Data qoq'!$A$1:$AT$1,),))/100+1)^4)-1=0,#N/A,(((VLOOKUP(B86,'Data qoq'!$A:$AT,MATCH($K$1,'Data qoq'!$A$1:$AT$1,),))/100+1)^4)-1)</f>
        <v>2.727395262411747E-2</v>
      </c>
      <c r="L86" s="32">
        <f>IF((((VLOOKUP(B86,'Data qoq'!$A:$AT,MATCH($L$1,'Data qoq'!$A$1:$AT$1,),))/100+1)^4)-1=0,#N/A,(((VLOOKUP(B86,'Data qoq'!$A:$AT,MATCH($L$1,'Data qoq'!$A$1:$AT$1,),))/100+1)^4)-1)</f>
        <v>5.1607952706602234E-2</v>
      </c>
      <c r="M86" s="32">
        <f>IF((((VLOOKUP(B86,'Data qoq'!$A:$AT,MATCH($M$1,'Data qoq'!$A$1:$AT$1,),))/100+1)^4)-1=0,#N/A,(((VLOOKUP(B86,'Data qoq'!$A:$AT,MATCH($M$1,'Data qoq'!$A$1:$AT$1,),))/100+1)^4)-1)</f>
        <v>-1.2083936307636156E-2</v>
      </c>
      <c r="N86" s="32">
        <f>IF((((VLOOKUP(B86,'Data qoq'!$A:$AT,MATCH($N$1,'Data qoq'!$A$1:$AT$1,),))/100+1)^4)-1=0,#N/A,(((VLOOKUP(B86,'Data qoq'!$A:$AT,MATCH($N$1,'Data qoq'!$A$1:$AT$1,),))/100+1)^4)-1)</f>
        <v>2.682434565241798E-2</v>
      </c>
      <c r="O86" s="32">
        <f>IF((((VLOOKUP(B86,'Data qoq'!$A:$AT,MATCH($O$1,'Data qoq'!$A$1:$AT$1,),))/100+1)^4)-1=0,#N/A,(((VLOOKUP(B86,'Data qoq'!$A:$AT,MATCH($O$1,'Data qoq'!$A$1:$AT$1,),))/100+1)^4)-1)</f>
        <v>5.9410735703178785E-2</v>
      </c>
      <c r="P86" s="32">
        <f>IF((((VLOOKUP(B86,'Data qoq'!$A:$AT,MATCH($P$1,'Data qoq'!$A$1:$AT$1,),))/100+1)^4)-1=0,#N/A,(((VLOOKUP(B86,'Data qoq'!$A:$AT,MATCH($P$1,'Data qoq'!$A$1:$AT$1,),))/100+1)^4)-1)</f>
        <v>1.3704655467120519E-2</v>
      </c>
      <c r="Q86" s="32">
        <f>IF((((VLOOKUP(B86,'Data qoq'!$A:$AT,MATCH($Q$1,'Data qoq'!$A$1:$AT$1,),))/100+1)^4)-1=0,#N/A,(((VLOOKUP(B86,'Data qoq'!$A:$AT,MATCH($Q$1,'Data qoq'!$A$1:$AT$1,),))/100+1)^4)-1)</f>
        <v>5.1224717543081333E-3</v>
      </c>
      <c r="R86" s="32">
        <f>IF((((VLOOKUP(B86,'Data qoq'!$A:$AT,MATCH($R$1,'Data qoq'!$A$1:$AT$1,),))/100+1)^4)-1=0,#N/A,(((VLOOKUP(B86,'Data qoq'!$A:$AT,MATCH($R$1,'Data qoq'!$A$1:$AT$1,),))/100+1)^4)-1)</f>
        <v>9.4032670041999111E-3</v>
      </c>
      <c r="S86" s="32">
        <f>IF((((VLOOKUP(B86,'Data qoq'!$A:$AT,MATCH($S$1,'Data qoq'!$A$1:$AT$1,),))/100+1)^4)-1=0,#N/A,(((VLOOKUP(B86,'Data qoq'!$A:$AT,MATCH($S$1,'Data qoq'!$A$1:$AT$1,),))/100+1)^4)-1)</f>
        <v>2.830815742810544E-2</v>
      </c>
      <c r="T86" s="32">
        <f>IF((((VLOOKUP(B86,'Data qoq'!$A:$AT,MATCH($T$1,'Data qoq'!$A$1:$AT$1,),))/100+1)^4)-1=0,#N/A,(((VLOOKUP(B86,'Data qoq'!$A:$AT,MATCH($T$1,'Data qoq'!$A$1:$AT$1,),))/100+1)^4)-1)</f>
        <v>-1.3467548058051726E-2</v>
      </c>
      <c r="U86" s="32">
        <f>IF((((VLOOKUP(B86,'Data qoq'!$A:$AT,MATCH($U$1,'Data qoq'!$A$1:$AT$1,),))/100+1)^4)-1=0,#N/A,(((VLOOKUP(B86,'Data qoq'!$A:$AT,MATCH($U$1,'Data qoq'!$A$1:$AT$1,),))/100+1)^4)-1)</f>
        <v>2.7059243970971814E-2</v>
      </c>
      <c r="V86" s="32">
        <f>IF((((VLOOKUP(B86,'Data qoq'!$A:$AT,MATCH($V$1,'Data qoq'!$A$1:$AT$1,),))/100+1)^4)-1=0,#N/A,(((VLOOKUP(B86,'Data qoq'!$A:$AT,MATCH($V$1,'Data qoq'!$A$1:$AT$1,),))/100+1)^4)-1)</f>
        <v>5.0107527372671212E-2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3.8367037098049561E-2</v>
      </c>
      <c r="Z86" s="32">
        <f>IF((((VLOOKUP(B86,'Data qoq'!$A:$AU,MATCH($Z$1,'Data qoq'!$A$1:$AU$1,),))/100+1)^4)-1=0,#N/A,(((VLOOKUP(B86,'Data qoq'!$A:$AU,MATCH($Z$1,'Data qoq'!$A$1:$AU$1,),))/100+1)^4)-1)</f>
        <v>-5.2985926319974674E-2</v>
      </c>
      <c r="AA86" s="32">
        <f>IF((((VLOOKUP(B86,'Data qoq'!$A:$AU,MATCH($AA$1,'Data qoq'!$A$1:$AU$1,),))/100+1)^4)-1=0,#N/A,(((VLOOKUP(B86,'Data qoq'!$A:$AU,MATCH($AA$1,'Data qoq'!$A$1:$AU$1,),))/100+1)^4)-1)</f>
        <v>5.1718628241560261E-2</v>
      </c>
      <c r="AC86" s="26" t="str">
        <f t="shared" si="10"/>
        <v>2018-Q4</v>
      </c>
      <c r="AD86" s="31">
        <f t="shared" si="11"/>
        <v>8.0595344971905458E-3</v>
      </c>
    </row>
    <row r="87" spans="1:31" s="70" customFormat="1" x14ac:dyDescent="0.2">
      <c r="A87" s="30">
        <v>43525</v>
      </c>
      <c r="B87" s="24" t="s">
        <v>353</v>
      </c>
      <c r="C87" s="32">
        <f>IF((((VLOOKUP(B87,'Data qoq'!$A:$AT,MATCH($C$1,'Data qoq'!$A$1:$AT$1,),))/100+1)^4)-1=0,#N/A,(((VLOOKUP(B87,'Data qoq'!$A:$AT,MATCH($C$1,'Data qoq'!$A$1:$AT$1,),))/100+1)^4)-1)</f>
        <v>2.4126879304670057E-2</v>
      </c>
      <c r="D87" s="32">
        <f>IF((((VLOOKUP(B87,'Data qoq'!$A:$AT,MATCH($D$1,'Data qoq'!$A$1:$AT$1,),))/100+1)^4)-1=0,#N/A,(((VLOOKUP(B87,'Data qoq'!$A:$AT,MATCH($D$1,'Data qoq'!$A$1:$AT$1,),))/100+1)^4)-1)</f>
        <v>6.9753735520999616E-2</v>
      </c>
      <c r="E87" s="32">
        <f>IF((((VLOOKUP(B87,'Data qoq'!$A:$AT,MATCH($E$1,'Data qoq'!$A$1:$AT$1,),))/100+1)^4)-1=0,#N/A,(((VLOOKUP(B87,'Data qoq'!$A:$AT,MATCH($E$1,'Data qoq'!$A$1:$AT$1,),))/100+1)^4)-1)</f>
        <v>2.9790167965966008E-2</v>
      </c>
      <c r="F87" s="32">
        <f>IF((((VLOOKUP(B87,'Data qoq'!$A:$AT,MATCH($F$1,'Data qoq'!$A$1:$AT$1,),))/100+1)^4)-1=0,#N/A,(((VLOOKUP(B87,'Data qoq'!$A:$AT,MATCH($F$1,'Data qoq'!$A$1:$AT$1,),))/100+1)^4)-1)</f>
        <v>2.3539698115141672E-2</v>
      </c>
      <c r="G87" s="32">
        <f>IF((((VLOOKUP(B87,'Data qoq'!$A:$AT,MATCH($G$1,'Data qoq'!$A$1:$AT$1,),))/100+1)^4)-1=0,#N/A,(((VLOOKUP(B87,'Data qoq'!$A:$AT,MATCH($G$1,'Data qoq'!$A$1:$AT$1,),))/100+1)^4)-1)</f>
        <v>4.2839298504953716E-2</v>
      </c>
      <c r="H87" s="32">
        <f>IF((((VLOOKUP(B87,'Data qoq'!$A:$AT,MATCH($H$1,'Data qoq'!$A$1:$AT$1,),))/100+1)^4)-1=0,#N/A,(((VLOOKUP(B87,'Data qoq'!$A:$AT,MATCH($H$1,'Data qoq'!$A$1:$AT$1,),))/100+1)^4)-1)</f>
        <v>2.7341750495793571E-2</v>
      </c>
      <c r="I87" s="32">
        <f>IF((((VLOOKUP(B87,'Data qoq'!$A:$AT,MATCH($I$1,'Data qoq'!$A$1:$AT$1,),))/100+1)^4)-1=0,#N/A,(((VLOOKUP(B87,'Data qoq'!$A:$AT,MATCH($I$1,'Data qoq'!$A$1:$AT$1,),))/100+1)^4)-1)</f>
        <v>2.5926634187976916E-2</v>
      </c>
      <c r="J87" s="32">
        <f>IF((((VLOOKUP(B87,'Data qoq'!$A:$AT,MATCH($J$1,'Data qoq'!$A$1:$AT$1,),))/100+1)^4)-1=0,#N/A,(((VLOOKUP(B87,'Data qoq'!$A:$AT,MATCH($J$1,'Data qoq'!$A$1:$AT$1,),))/100+1)^4)-1)</f>
        <v>7.6566457688722611E-3</v>
      </c>
      <c r="K87" s="32">
        <f>IF((((VLOOKUP(B87,'Data qoq'!$A:$AT,MATCH($K$1,'Data qoq'!$A$1:$AT$1,),))/100+1)^4)-1=0,#N/A,(((VLOOKUP(B87,'Data qoq'!$A:$AT,MATCH($K$1,'Data qoq'!$A$1:$AT$1,),))/100+1)^4)-1)</f>
        <v>2.4270259559106888E-2</v>
      </c>
      <c r="L87" s="32">
        <f>IF((((VLOOKUP(B87,'Data qoq'!$A:$AT,MATCH($L$1,'Data qoq'!$A$1:$AT$1,),))/100+1)^4)-1=0,#N/A,(((VLOOKUP(B87,'Data qoq'!$A:$AT,MATCH($L$1,'Data qoq'!$A$1:$AT$1,),))/100+1)^4)-1)</f>
        <v>2.2623957041862708E-2</v>
      </c>
      <c r="M87" s="32">
        <f>IF((((VLOOKUP(B87,'Data qoq'!$A:$AT,MATCH($M$1,'Data qoq'!$A$1:$AT$1,),))/100+1)^4)-1=0,#N/A,(((VLOOKUP(B87,'Data qoq'!$A:$AT,MATCH($M$1,'Data qoq'!$A$1:$AT$1,),))/100+1)^4)-1)</f>
        <v>8.2776926673266971E-4</v>
      </c>
      <c r="N87" s="32">
        <f>IF((((VLOOKUP(B87,'Data qoq'!$A:$AT,MATCH($N$1,'Data qoq'!$A$1:$AT$1,),))/100+1)^4)-1=0,#N/A,(((VLOOKUP(B87,'Data qoq'!$A:$AT,MATCH($N$1,'Data qoq'!$A$1:$AT$1,),))/100+1)^4)-1)</f>
        <v>-1.5222443071766234E-3</v>
      </c>
      <c r="O87" s="32">
        <f>IF((((VLOOKUP(B87,'Data qoq'!$A:$AT,MATCH($O$1,'Data qoq'!$A$1:$AT$1,),))/100+1)^4)-1=0,#N/A,(((VLOOKUP(B87,'Data qoq'!$A:$AT,MATCH($O$1,'Data qoq'!$A$1:$AT$1,),))/100+1)^4)-1)</f>
        <v>4.3282076334364428E-2</v>
      </c>
      <c r="P87" s="32">
        <f>IF((((VLOOKUP(B87,'Data qoq'!$A:$AT,MATCH($P$1,'Data qoq'!$A$1:$AT$1,),))/100+1)^4)-1=0,#N/A,(((VLOOKUP(B87,'Data qoq'!$A:$AT,MATCH($P$1,'Data qoq'!$A$1:$AT$1,),))/100+1)^4)-1)</f>
        <v>3.6305665579499102E-3</v>
      </c>
      <c r="Q87" s="32">
        <f>IF((((VLOOKUP(B87,'Data qoq'!$A:$AT,MATCH($Q$1,'Data qoq'!$A$1:$AT$1,),))/100+1)^4)-1=0,#N/A,(((VLOOKUP(B87,'Data qoq'!$A:$AT,MATCH($Q$1,'Data qoq'!$A$1:$AT$1,),))/100+1)^4)-1)</f>
        <v>1.6530277436876073E-2</v>
      </c>
      <c r="R87" s="32">
        <f>IF((((VLOOKUP(B87,'Data qoq'!$A:$AT,MATCH($R$1,'Data qoq'!$A$1:$AT$1,),))/100+1)^4)-1=0,#N/A,(((VLOOKUP(B87,'Data qoq'!$A:$AT,MATCH($R$1,'Data qoq'!$A$1:$AT$1,),))/100+1)^4)-1)</f>
        <v>1.0316389170567541E-2</v>
      </c>
      <c r="S87" s="32">
        <f>IF((((VLOOKUP(B87,'Data qoq'!$A:$AT,MATCH($S$1,'Data qoq'!$A$1:$AT$1,),))/100+1)^4)-1=0,#N/A,(((VLOOKUP(B87,'Data qoq'!$A:$AT,MATCH($S$1,'Data qoq'!$A$1:$AT$1,),))/100+1)^4)-1)</f>
        <v>-7.9195437402704849E-3</v>
      </c>
      <c r="T87" s="32">
        <f>IF((((VLOOKUP(B87,'Data qoq'!$A:$AT,MATCH($T$1,'Data qoq'!$A$1:$AT$1,),))/100+1)^4)-1=0,#N/A,(((VLOOKUP(B87,'Data qoq'!$A:$AT,MATCH($T$1,'Data qoq'!$A$1:$AT$1,),))/100+1)^4)-1)</f>
        <v>1.4976978522819318E-2</v>
      </c>
      <c r="U87" s="32">
        <f>IF((((VLOOKUP(B87,'Data qoq'!$A:$AT,MATCH($U$1,'Data qoq'!$A$1:$AT$1,),))/100+1)^4)-1=0,#N/A,(((VLOOKUP(B87,'Data qoq'!$A:$AT,MATCH($U$1,'Data qoq'!$A$1:$AT$1,),))/100+1)^4)-1)</f>
        <v>2.6081975594766105E-2</v>
      </c>
      <c r="V87" s="32">
        <f>IF((((VLOOKUP(B87,'Data qoq'!$A:$AT,MATCH($V$1,'Data qoq'!$A$1:$AT$1,),))/100+1)^4)-1=0,#N/A,(((VLOOKUP(B87,'Data qoq'!$A:$AT,MATCH($V$1,'Data qoq'!$A$1:$AT$1,),))/100+1)^4)-1)</f>
        <v>6.4277122030373057E-2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7.3933907860917358E-2</v>
      </c>
      <c r="Z87" s="32">
        <f>IF((((VLOOKUP(B87,'Data qoq'!$A:$AU,MATCH($Z$1,'Data qoq'!$A$1:$AU$1,),))/100+1)^4)-1=0,#N/A,(((VLOOKUP(B87,'Data qoq'!$A:$AU,MATCH($Z$1,'Data qoq'!$A$1:$AU$1,),))/100+1)^4)-1)</f>
        <v>7.9632388899875117E-4</v>
      </c>
      <c r="AA87" s="32">
        <f>IF((((VLOOKUP(B87,'Data qoq'!$A:$AU,MATCH($AA$1,'Data qoq'!$A$1:$AU$1,),))/100+1)^4)-1=0,#N/A,(((VLOOKUP(B87,'Data qoq'!$A:$AU,MATCH($AA$1,'Data qoq'!$A$1:$AU$1,),))/100+1)^4)-1)</f>
        <v>2.3245084993753107E-2</v>
      </c>
      <c r="AC87" s="26" t="str">
        <f t="shared" si="10"/>
        <v>2019-Q1</v>
      </c>
      <c r="AD87" s="31">
        <f t="shared" si="11"/>
        <v>3.8635337779890921E-3</v>
      </c>
    </row>
    <row r="88" spans="1:31" s="70" customFormat="1" x14ac:dyDescent="0.2">
      <c r="A88" s="30">
        <v>43617</v>
      </c>
      <c r="B88" s="24" t="s">
        <v>354</v>
      </c>
      <c r="C88" s="32">
        <f>IF((((VLOOKUP(B88,'Data qoq'!$A:$AT,MATCH($C$1,'Data qoq'!$A$1:$AT$1,),))/100+1)^4)-1=0,#N/A,(((VLOOKUP(B88,'Data qoq'!$A:$AT,MATCH($C$1,'Data qoq'!$A$1:$AT$1,),))/100+1)^4)-1)</f>
        <v>3.2096211881735615E-2</v>
      </c>
      <c r="D88" s="32">
        <f>IF((((VLOOKUP(B88,'Data qoq'!$A:$AT,MATCH($D$1,'Data qoq'!$A$1:$AT$1,),))/100+1)^4)-1=0,#N/A,(((VLOOKUP(B88,'Data qoq'!$A:$AT,MATCH($D$1,'Data qoq'!$A$1:$AT$1,),))/100+1)^4)-1)</f>
        <v>4.8870932735999961E-2</v>
      </c>
      <c r="E88" s="32">
        <f>IF((((VLOOKUP(B88,'Data qoq'!$A:$AT,MATCH($E$1,'Data qoq'!$A$1:$AT$1,),))/100+1)^4)-1=0,#N/A,(((VLOOKUP(B88,'Data qoq'!$A:$AT,MATCH($E$1,'Data qoq'!$A$1:$AT$1,),))/100+1)^4)-1)</f>
        <v>1.0187167234342542E-2</v>
      </c>
      <c r="F88" s="32">
        <f>IF((((VLOOKUP(B88,'Data qoq'!$A:$AT,MATCH($F$1,'Data qoq'!$A$1:$AT$1,),))/100+1)^4)-1=0,#N/A,(((VLOOKUP(B88,'Data qoq'!$A:$AT,MATCH($F$1,'Data qoq'!$A$1:$AT$1,),))/100+1)^4)-1)</f>
        <v>1.976182689660666E-2</v>
      </c>
      <c r="G88" s="32">
        <f>IF((((VLOOKUP(B88,'Data qoq'!$A:$AT,MATCH($G$1,'Data qoq'!$A$1:$AT$1,),))/100+1)^4)-1=0,#N/A,(((VLOOKUP(B88,'Data qoq'!$A:$AT,MATCH($G$1,'Data qoq'!$A$1:$AT$1,),))/100+1)^4)-1)</f>
        <v>-1.9557546730093467E-2</v>
      </c>
      <c r="H88" s="32">
        <f>IF((((VLOOKUP(B88,'Data qoq'!$A:$AT,MATCH($H$1,'Data qoq'!$A$1:$AT$1,),))/100+1)^4)-1=0,#N/A,(((VLOOKUP(B88,'Data qoq'!$A:$AT,MATCH($H$1,'Data qoq'!$A$1:$AT$1,),))/100+1)^4)-1)</f>
        <v>2.9071870887857898E-2</v>
      </c>
      <c r="I88" s="32">
        <f>IF((((VLOOKUP(B88,'Data qoq'!$A:$AT,MATCH($I$1,'Data qoq'!$A$1:$AT$1,),))/100+1)^4)-1=0,#N/A,(((VLOOKUP(B88,'Data qoq'!$A:$AT,MATCH($I$1,'Data qoq'!$A$1:$AT$1,),))/100+1)^4)-1)</f>
        <v>5.3198768941589147E-3</v>
      </c>
      <c r="J88" s="32">
        <f>IF((((VLOOKUP(B88,'Data qoq'!$A:$AT,MATCH($J$1,'Data qoq'!$A$1:$AT$1,),))/100+1)^4)-1=0,#N/A,(((VLOOKUP(B88,'Data qoq'!$A:$AT,MATCH($J$1,'Data qoq'!$A$1:$AT$1,),))/100+1)^4)-1)</f>
        <v>1.2490331715751424E-2</v>
      </c>
      <c r="K88" s="32">
        <f>IF((((VLOOKUP(B88,'Data qoq'!$A:$AT,MATCH($K$1,'Data qoq'!$A$1:$AT$1,),))/100+1)^4)-1=0,#N/A,(((VLOOKUP(B88,'Data qoq'!$A:$AT,MATCH($K$1,'Data qoq'!$A$1:$AT$1,),))/100+1)^4)-1)</f>
        <v>1.4703219479603513E-2</v>
      </c>
      <c r="L88" s="32">
        <f>IF((((VLOOKUP(B88,'Data qoq'!$A:$AT,MATCH($L$1,'Data qoq'!$A$1:$AT$1,),))/100+1)^4)-1=0,#N/A,(((VLOOKUP(B88,'Data qoq'!$A:$AT,MATCH($L$1,'Data qoq'!$A$1:$AT$1,),))/100+1)^4)-1)</f>
        <v>2.434727587246055E-2</v>
      </c>
      <c r="M88" s="32">
        <f>IF((((VLOOKUP(B88,'Data qoq'!$A:$AT,MATCH($M$1,'Data qoq'!$A$1:$AT$1,),))/100+1)^4)-1=0,#N/A,(((VLOOKUP(B88,'Data qoq'!$A:$AT,MATCH($M$1,'Data qoq'!$A$1:$AT$1,),))/100+1)^4)-1)</f>
        <v>-1.5604021848249272E-2</v>
      </c>
      <c r="N88" s="32">
        <f>IF((((VLOOKUP(B88,'Data qoq'!$A:$AT,MATCH($N$1,'Data qoq'!$A$1:$AT$1,),))/100+1)^4)-1=0,#N/A,(((VLOOKUP(B88,'Data qoq'!$A:$AT,MATCH($N$1,'Data qoq'!$A$1:$AT$1,),))/100+1)^4)-1)</f>
        <v>9.358454721295506E-2</v>
      </c>
      <c r="O88" s="32">
        <f>IF((((VLOOKUP(B88,'Data qoq'!$A:$AT,MATCH($O$1,'Data qoq'!$A$1:$AT$1,),))/100+1)^4)-1=0,#N/A,(((VLOOKUP(B88,'Data qoq'!$A:$AT,MATCH($O$1,'Data qoq'!$A$1:$AT$1,),))/100+1)^4)-1)</f>
        <v>4.3873084080018554E-2</v>
      </c>
      <c r="P88" s="32">
        <f>IF((((VLOOKUP(B88,'Data qoq'!$A:$AT,MATCH($P$1,'Data qoq'!$A$1:$AT$1,),))/100+1)^4)-1=0,#N/A,(((VLOOKUP(B88,'Data qoq'!$A:$AT,MATCH($P$1,'Data qoq'!$A$1:$AT$1,),))/100+1)^4)-1)</f>
        <v>4.0222349542339497E-2</v>
      </c>
      <c r="Q88" s="32">
        <f>IF((((VLOOKUP(B88,'Data qoq'!$A:$AT,MATCH($Q$1,'Data qoq'!$A$1:$AT$1,),))/100+1)^4)-1=0,#N/A,(((VLOOKUP(B88,'Data qoq'!$A:$AT,MATCH($Q$1,'Data qoq'!$A$1:$AT$1,),))/100+1)^4)-1)</f>
        <v>2.7909209017853431E-2</v>
      </c>
      <c r="R88" s="32">
        <f>IF((((VLOOKUP(B88,'Data qoq'!$A:$AT,MATCH($R$1,'Data qoq'!$A$1:$AT$1,),))/100+1)^4)-1=0,#N/A,(((VLOOKUP(B88,'Data qoq'!$A:$AT,MATCH($R$1,'Data qoq'!$A$1:$AT$1,),))/100+1)^4)-1)</f>
        <v>1.6593938600739877E-2</v>
      </c>
      <c r="S88" s="32">
        <f>IF((((VLOOKUP(B88,'Data qoq'!$A:$AT,MATCH($S$1,'Data qoq'!$A$1:$AT$1,),))/100+1)^4)-1=0,#N/A,(((VLOOKUP(B88,'Data qoq'!$A:$AT,MATCH($S$1,'Data qoq'!$A$1:$AT$1,),))/100+1)^4)-1)</f>
        <v>4.3075036615281226E-2</v>
      </c>
      <c r="T88" s="32">
        <f>IF((((VLOOKUP(B88,'Data qoq'!$A:$AT,MATCH($T$1,'Data qoq'!$A$1:$AT$1,),))/100+1)^4)-1=0,#N/A,(((VLOOKUP(B88,'Data qoq'!$A:$AT,MATCH($T$1,'Data qoq'!$A$1:$AT$1,),))/100+1)^4)-1)</f>
        <v>2.6510934013473486E-2</v>
      </c>
      <c r="U88" s="32">
        <f>IF((((VLOOKUP(B88,'Data qoq'!$A:$AT,MATCH($U$1,'Data qoq'!$A$1:$AT$1,),))/100+1)^4)-1=0,#N/A,(((VLOOKUP(B88,'Data qoq'!$A:$AT,MATCH($U$1,'Data qoq'!$A$1:$AT$1,),))/100+1)^4)-1)</f>
        <v>4.4392663907458108E-2</v>
      </c>
      <c r="V88" s="32">
        <f>IF((((VLOOKUP(B88,'Data qoq'!$A:$AT,MATCH($V$1,'Data qoq'!$A$1:$AT$1,),))/100+1)^4)-1=0,#N/A,(((VLOOKUP(B88,'Data qoq'!$A:$AT,MATCH($V$1,'Data qoq'!$A$1:$AT$1,),))/100+1)^4)-1)</f>
        <v>0.10427208814390565</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3.2435144689793471E-2</v>
      </c>
      <c r="Z88" s="32">
        <f>IF((((VLOOKUP(B88,'Data qoq'!$A:$AU,MATCH($Z$1,'Data qoq'!$A$1:$AU$1,),))/100+1)^4)-1=0,#N/A,(((VLOOKUP(B88,'Data qoq'!$A:$AU,MATCH($Z$1,'Data qoq'!$A$1:$AU$1,),))/100+1)^4)-1)</f>
        <v>2.880705033324138E-2</v>
      </c>
      <c r="AA88" s="32">
        <f>IF((((VLOOKUP(B88,'Data qoq'!$A:$AU,MATCH($AA$1,'Data qoq'!$A$1:$AU$1,),))/100+1)^4)-1=0,#N/A,(((VLOOKUP(B88,'Data qoq'!$A:$AU,MATCH($AA$1,'Data qoq'!$A$1:$AU$1,),))/100+1)^4)-1)</f>
        <v>2.171422270584844E-2</v>
      </c>
      <c r="AC88" s="26" t="str">
        <f t="shared" si="10"/>
        <v>2019-Q2</v>
      </c>
      <c r="AD88" s="31">
        <f t="shared" si="11"/>
        <v>4.8672903401836276E-3</v>
      </c>
    </row>
    <row r="89" spans="1:31" s="70" customFormat="1" x14ac:dyDescent="0.2">
      <c r="A89" s="30">
        <v>43709</v>
      </c>
      <c r="B89" s="24" t="s">
        <v>355</v>
      </c>
      <c r="C89" s="32">
        <f>IF((((VLOOKUP(B89,'Data qoq'!$A:$AT,MATCH($C$1,'Data qoq'!$A$1:$AT$1,),))/100+1)^4)-1=0,#N/A,(((VLOOKUP(B89,'Data qoq'!$A:$AT,MATCH($C$1,'Data qoq'!$A$1:$AT$1,),))/100+1)^4)-1)</f>
        <v>2.7703187490706105E-2</v>
      </c>
      <c r="D89" s="32">
        <f>IF((((VLOOKUP(B89,'Data qoq'!$A:$AT,MATCH($D$1,'Data qoq'!$A$1:$AT$1,),))/100+1)^4)-1=0,#N/A,(((VLOOKUP(B89,'Data qoq'!$A:$AT,MATCH($D$1,'Data qoq'!$A$1:$AT$1,),))/100+1)^4)-1)</f>
        <v>5.718701441600027E-2</v>
      </c>
      <c r="E89" s="32">
        <f>IF((((VLOOKUP(B89,'Data qoq'!$A:$AT,MATCH($E$1,'Data qoq'!$A$1:$AT$1,),))/100+1)^4)-1=0,#N/A,(((VLOOKUP(B89,'Data qoq'!$A:$AT,MATCH($E$1,'Data qoq'!$A$1:$AT$1,),))/100+1)^4)-1)</f>
        <v>9.2422203849571449E-3</v>
      </c>
      <c r="F89" s="32">
        <f>IF((((VLOOKUP(B89,'Data qoq'!$A:$AT,MATCH($F$1,'Data qoq'!$A$1:$AT$1,),))/100+1)^4)-1=0,#N/A,(((VLOOKUP(B89,'Data qoq'!$A:$AT,MATCH($F$1,'Data qoq'!$A$1:$AT$1,),))/100+1)^4)-1)</f>
        <v>-5.9735466113131075E-4</v>
      </c>
      <c r="G89" s="32">
        <f>IF((((VLOOKUP(B89,'Data qoq'!$A:$AT,MATCH($G$1,'Data qoq'!$A$1:$AT$1,),))/100+1)^4)-1=0,#N/A,(((VLOOKUP(B89,'Data qoq'!$A:$AT,MATCH($G$1,'Data qoq'!$A$1:$AT$1,),))/100+1)^4)-1)</f>
        <v>1.6539570803166814E-2</v>
      </c>
      <c r="H89" s="32">
        <f>IF((((VLOOKUP(B89,'Data qoq'!$A:$AT,MATCH($H$1,'Data qoq'!$A$1:$AT$1,),))/100+1)^4)-1=0,#N/A,(((VLOOKUP(B89,'Data qoq'!$A:$AT,MATCH($H$1,'Data qoq'!$A$1:$AT$1,),))/100+1)^4)-1)</f>
        <v>-1.8320249247216758E-4</v>
      </c>
      <c r="I89" s="32">
        <f>IF((((VLOOKUP(B89,'Data qoq'!$A:$AT,MATCH($I$1,'Data qoq'!$A$1:$AT$1,),))/100+1)^4)-1=0,#N/A,(((VLOOKUP(B89,'Data qoq'!$A:$AT,MATCH($I$1,'Data qoq'!$A$1:$AT$1,),))/100+1)^4)-1)</f>
        <v>1.8485674555013265E-2</v>
      </c>
      <c r="J89" s="32">
        <f>IF((((VLOOKUP(B89,'Data qoq'!$A:$AT,MATCH($J$1,'Data qoq'!$A$1:$AT$1,),))/100+1)^4)-1=0,#N/A,(((VLOOKUP(B89,'Data qoq'!$A:$AT,MATCH($J$1,'Data qoq'!$A$1:$AT$1,),))/100+1)^4)-1)</f>
        <v>-6.0792184247049352E-4</v>
      </c>
      <c r="K89" s="32">
        <f>IF((((VLOOKUP(B89,'Data qoq'!$A:$AT,MATCH($K$1,'Data qoq'!$A$1:$AT$1,),))/100+1)^4)-1=0,#N/A,(((VLOOKUP(B89,'Data qoq'!$A:$AT,MATCH($K$1,'Data qoq'!$A$1:$AT$1,),))/100+1)^4)-1)</f>
        <v>1.5246823718582991E-2</v>
      </c>
      <c r="L89" s="32">
        <f>IF((((VLOOKUP(B89,'Data qoq'!$A:$AT,MATCH($L$1,'Data qoq'!$A$1:$AT$1,),))/100+1)^4)-1=0,#N/A,(((VLOOKUP(B89,'Data qoq'!$A:$AT,MATCH($L$1,'Data qoq'!$A$1:$AT$1,),))/100+1)^4)-1)</f>
        <v>7.4204682288956381E-3</v>
      </c>
      <c r="M89" s="32">
        <f>IF((((VLOOKUP(B89,'Data qoq'!$A:$AT,MATCH($M$1,'Data qoq'!$A$1:$AT$1,),))/100+1)^4)-1=0,#N/A,(((VLOOKUP(B89,'Data qoq'!$A:$AT,MATCH($M$1,'Data qoq'!$A$1:$AT$1,),))/100+1)^4)-1)</f>
        <v>2.3116283956494676E-2</v>
      </c>
      <c r="N89" s="32">
        <f>IF((((VLOOKUP(B89,'Data qoq'!$A:$AT,MATCH($N$1,'Data qoq'!$A$1:$AT$1,),))/100+1)^4)-1=0,#N/A,(((VLOOKUP(B89,'Data qoq'!$A:$AT,MATCH($N$1,'Data qoq'!$A$1:$AT$1,),))/100+1)^4)-1)</f>
        <v>-3.8563652917277924E-2</v>
      </c>
      <c r="O89" s="32">
        <f>IF((((VLOOKUP(B89,'Data qoq'!$A:$AT,MATCH($O$1,'Data qoq'!$A$1:$AT$1,),))/100+1)^4)-1=0,#N/A,(((VLOOKUP(B89,'Data qoq'!$A:$AT,MATCH($O$1,'Data qoq'!$A$1:$AT$1,),))/100+1)^4)-1)</f>
        <v>4.0440407847563309E-2</v>
      </c>
      <c r="P89" s="32">
        <f>IF((((VLOOKUP(B89,'Data qoq'!$A:$AT,MATCH($P$1,'Data qoq'!$A$1:$AT$1,),))/100+1)^4)-1=0,#N/A,(((VLOOKUP(B89,'Data qoq'!$A:$AT,MATCH($P$1,'Data qoq'!$A$1:$AT$1,),))/100+1)^4)-1)</f>
        <v>1.3129869274732808E-2</v>
      </c>
      <c r="Q89" s="32">
        <f>IF((((VLOOKUP(B89,'Data qoq'!$A:$AT,MATCH($Q$1,'Data qoq'!$A$1:$AT$1,),))/100+1)^4)-1=0,#N/A,(((VLOOKUP(B89,'Data qoq'!$A:$AT,MATCH($Q$1,'Data qoq'!$A$1:$AT$1,),))/100+1)^4)-1)</f>
        <v>3.3168035959203923E-2</v>
      </c>
      <c r="R89" s="32">
        <f>IF((((VLOOKUP(B89,'Data qoq'!$A:$AT,MATCH($R$1,'Data qoq'!$A$1:$AT$1,),))/100+1)^4)-1=0,#N/A,(((VLOOKUP(B89,'Data qoq'!$A:$AT,MATCH($R$1,'Data qoq'!$A$1:$AT$1,),))/100+1)^4)-1)</f>
        <v>2.0755163373473273E-2</v>
      </c>
      <c r="S89" s="32">
        <f>IF((((VLOOKUP(B89,'Data qoq'!$A:$AT,MATCH($S$1,'Data qoq'!$A$1:$AT$1,),))/100+1)^4)-1=0,#N/A,(((VLOOKUP(B89,'Data qoq'!$A:$AT,MATCH($S$1,'Data qoq'!$A$1:$AT$1,),))/100+1)^4)-1)</f>
        <v>2.1265017358181204E-2</v>
      </c>
      <c r="T89" s="32">
        <f>IF((((VLOOKUP(B89,'Data qoq'!$A:$AT,MATCH($T$1,'Data qoq'!$A$1:$AT$1,),))/100+1)^4)-1=0,#N/A,(((VLOOKUP(B89,'Data qoq'!$A:$AT,MATCH($T$1,'Data qoq'!$A$1:$AT$1,),))/100+1)^4)-1)</f>
        <v>2.2845033042493412E-3</v>
      </c>
      <c r="U89" s="32">
        <f>IF((((VLOOKUP(B89,'Data qoq'!$A:$AT,MATCH($U$1,'Data qoq'!$A$1:$AT$1,),))/100+1)^4)-1=0,#N/A,(((VLOOKUP(B89,'Data qoq'!$A:$AT,MATCH($U$1,'Data qoq'!$A$1:$AT$1,),))/100+1)^4)-1)</f>
        <v>-3.7881937926436127E-3</v>
      </c>
      <c r="V89" s="32">
        <f>IF((((VLOOKUP(B89,'Data qoq'!$A:$AT,MATCH($V$1,'Data qoq'!$A$1:$AT$1,),))/100+1)^4)-1=0,#N/A,(((VLOOKUP(B89,'Data qoq'!$A:$AT,MATCH($V$1,'Data qoq'!$A$1:$AT$1,),))/100+1)^4)-1)</f>
        <v>6.0617040553494483E-3</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3.6477152534654333E-2</v>
      </c>
      <c r="Z89" s="32">
        <f>IF((((VLOOKUP(B89,'Data qoq'!$A:$AU,MATCH($Z$1,'Data qoq'!$A$1:$AU$1,),))/100+1)^4)-1=0,#N/A,(((VLOOKUP(B89,'Data qoq'!$A:$AU,MATCH($Z$1,'Data qoq'!$A$1:$AU$1,),))/100+1)^4)-1)</f>
        <v>1.2428865564392488E-2</v>
      </c>
      <c r="AA89" s="32">
        <f>IF((((VLOOKUP(B89,'Data qoq'!$A:$AU,MATCH($AA$1,'Data qoq'!$A$1:$AU$1,),))/100+1)^4)-1=0,#N/A,(((VLOOKUP(B89,'Data qoq'!$A:$AU,MATCH($AA$1,'Data qoq'!$A$1:$AU$1,),))/100+1)^4)-1)</f>
        <v>3.4021329318103755E-2</v>
      </c>
      <c r="AC89" s="26" t="str">
        <f t="shared" si="10"/>
        <v>2019-Q3</v>
      </c>
      <c r="AD89" s="31">
        <f t="shared" si="11"/>
        <v>-9.2434541700561201E-3</v>
      </c>
    </row>
    <row r="90" spans="1:31" s="70" customFormat="1" x14ac:dyDescent="0.2">
      <c r="A90" s="30">
        <v>43800</v>
      </c>
      <c r="B90" s="24" t="s">
        <v>356</v>
      </c>
      <c r="C90" s="32">
        <f>IF((((VLOOKUP(B90,'Data qoq'!$A:$AT,MATCH($C$1,'Data qoq'!$A$1:$AT$1,),))/100+1)^4)-1=0,#N/A,(((VLOOKUP(B90,'Data qoq'!$A:$AT,MATCH($C$1,'Data qoq'!$A$1:$AT$1,),))/100+1)^4)-1)</f>
        <v>1.8896349653914735E-2</v>
      </c>
      <c r="D90" s="32">
        <f>IF((((VLOOKUP(B90,'Data qoq'!$A:$AT,MATCH($D$1,'Data qoq'!$A$1:$AT$1,),))/100+1)^4)-1=0,#N/A,(((VLOOKUP(B90,'Data qoq'!$A:$AT,MATCH($D$1,'Data qoq'!$A$1:$AT$1,),))/100+1)^4)-1)</f>
        <v>4.8870932735999961E-2</v>
      </c>
      <c r="E90" s="32">
        <f>IF((((VLOOKUP(B90,'Data qoq'!$A:$AT,MATCH($E$1,'Data qoq'!$A$1:$AT$1,),))/100+1)^4)-1=0,#N/A,(((VLOOKUP(B90,'Data qoq'!$A:$AT,MATCH($E$1,'Data qoq'!$A$1:$AT$1,),))/100+1)^4)-1)</f>
        <v>-2.8727001515874706E-3</v>
      </c>
      <c r="F90" s="32">
        <f>IF((((VLOOKUP(B90,'Data qoq'!$A:$AT,MATCH($F$1,'Data qoq'!$A$1:$AT$1,),))/100+1)^4)-1=0,#N/A,(((VLOOKUP(B90,'Data qoq'!$A:$AT,MATCH($F$1,'Data qoq'!$A$1:$AT$1,),))/100+1)^4)-1)</f>
        <v>-0.10855750041644463</v>
      </c>
      <c r="G90" s="32">
        <f>IF((((VLOOKUP(B90,'Data qoq'!$A:$AT,MATCH($G$1,'Data qoq'!$A$1:$AT$1,),))/100+1)^4)-1=0,#N/A,(((VLOOKUP(B90,'Data qoq'!$A:$AT,MATCH($G$1,'Data qoq'!$A$1:$AT$1,),))/100+1)^4)-1)</f>
        <v>-2.9733424310662837E-3</v>
      </c>
      <c r="H90" s="32">
        <f>IF((((VLOOKUP(B90,'Data qoq'!$A:$AT,MATCH($H$1,'Data qoq'!$A$1:$AT$1,),))/100+1)^4)-1=0,#N/A,(((VLOOKUP(B90,'Data qoq'!$A:$AT,MATCH($H$1,'Data qoq'!$A$1:$AT$1,),))/100+1)^4)-1)</f>
        <v>-1.3763129274594554E-2</v>
      </c>
      <c r="I90" s="32">
        <f>IF((((VLOOKUP(B90,'Data qoq'!$A:$AT,MATCH($I$1,'Data qoq'!$A$1:$AT$1,),))/100+1)^4)-1=0,#N/A,(((VLOOKUP(B90,'Data qoq'!$A:$AT,MATCH($I$1,'Data qoq'!$A$1:$AT$1,),))/100+1)^4)-1)</f>
        <v>-1.7888023761415406E-3</v>
      </c>
      <c r="J90" s="32">
        <f>IF((((VLOOKUP(B90,'Data qoq'!$A:$AT,MATCH($J$1,'Data qoq'!$A$1:$AT$1,),))/100+1)^4)-1=0,#N/A,(((VLOOKUP(B90,'Data qoq'!$A:$AT,MATCH($J$1,'Data qoq'!$A$1:$AT$1,),))/100+1)^4)-1)</f>
        <v>-3.2044546477124847E-2</v>
      </c>
      <c r="K90" s="32">
        <f>IF((((VLOOKUP(B90,'Data qoq'!$A:$AT,MATCH($K$1,'Data qoq'!$A$1:$AT$1,),))/100+1)^4)-1=0,#N/A,(((VLOOKUP(B90,'Data qoq'!$A:$AT,MATCH($K$1,'Data qoq'!$A$1:$AT$1,),))/100+1)^4)-1)</f>
        <v>1.5148340874980404E-2</v>
      </c>
      <c r="L90" s="32">
        <f>IF((((VLOOKUP(B90,'Data qoq'!$A:$AT,MATCH($L$1,'Data qoq'!$A$1:$AT$1,),))/100+1)^4)-1=0,#N/A,(((VLOOKUP(B90,'Data qoq'!$A:$AT,MATCH($L$1,'Data qoq'!$A$1:$AT$1,),))/100+1)^4)-1)</f>
        <v>1.3474672837766821E-2</v>
      </c>
      <c r="M90" s="32">
        <f>IF((((VLOOKUP(B90,'Data qoq'!$A:$AT,MATCH($M$1,'Data qoq'!$A$1:$AT$1,),))/100+1)^4)-1=0,#N/A,(((VLOOKUP(B90,'Data qoq'!$A:$AT,MATCH($M$1,'Data qoq'!$A$1:$AT$1,),))/100+1)^4)-1)</f>
        <v>-3.1443906543943134E-2</v>
      </c>
      <c r="N90" s="32">
        <f>IF((((VLOOKUP(B90,'Data qoq'!$A:$AT,MATCH($N$1,'Data qoq'!$A$1:$AT$1,),))/100+1)^4)-1=0,#N/A,(((VLOOKUP(B90,'Data qoq'!$A:$AT,MATCH($N$1,'Data qoq'!$A$1:$AT$1,),))/100+1)^4)-1)</f>
        <v>-1.7977032429816631E-2</v>
      </c>
      <c r="O90" s="32">
        <f>IF((((VLOOKUP(B90,'Data qoq'!$A:$AT,MATCH($O$1,'Data qoq'!$A$1:$AT$1,),))/100+1)^4)-1=0,#N/A,(((VLOOKUP(B90,'Data qoq'!$A:$AT,MATCH($O$1,'Data qoq'!$A$1:$AT$1,),))/100+1)^4)-1)</f>
        <v>-3.8634401424564313E-4</v>
      </c>
      <c r="P90" s="32">
        <f>IF((((VLOOKUP(B90,'Data qoq'!$A:$AT,MATCH($P$1,'Data qoq'!$A$1:$AT$1,),))/100+1)^4)-1=0,#N/A,(((VLOOKUP(B90,'Data qoq'!$A:$AT,MATCH($P$1,'Data qoq'!$A$1:$AT$1,),))/100+1)^4)-1)</f>
        <v>1.20817054138318E-2</v>
      </c>
      <c r="Q90" s="32">
        <f>IF((((VLOOKUP(B90,'Data qoq'!$A:$AT,MATCH($Q$1,'Data qoq'!$A$1:$AT$1,),))/100+1)^4)-1=0,#N/A,(((VLOOKUP(B90,'Data qoq'!$A:$AT,MATCH($Q$1,'Data qoq'!$A$1:$AT$1,),))/100+1)^4)-1)</f>
        <v>1.5804659434194956E-2</v>
      </c>
      <c r="R90" s="32">
        <f>IF((((VLOOKUP(B90,'Data qoq'!$A:$AT,MATCH($R$1,'Data qoq'!$A$1:$AT$1,),))/100+1)^4)-1=0,#N/A,(((VLOOKUP(B90,'Data qoq'!$A:$AT,MATCH($R$1,'Data qoq'!$A$1:$AT$1,),))/100+1)^4)-1)</f>
        <v>1.9607975190448101E-2</v>
      </c>
      <c r="S90" s="32">
        <f>IF((((VLOOKUP(B90,'Data qoq'!$A:$AT,MATCH($S$1,'Data qoq'!$A$1:$AT$1,),))/100+1)^4)-1=0,#N/A,(((VLOOKUP(B90,'Data qoq'!$A:$AT,MATCH($S$1,'Data qoq'!$A$1:$AT$1,),))/100+1)^4)-1)</f>
        <v>5.1822313523748997E-2</v>
      </c>
      <c r="T90" s="32">
        <f>IF((((VLOOKUP(B90,'Data qoq'!$A:$AT,MATCH($T$1,'Data qoq'!$A$1:$AT$1,),))/100+1)^4)-1=0,#N/A,(((VLOOKUP(B90,'Data qoq'!$A:$AT,MATCH($T$1,'Data qoq'!$A$1:$AT$1,),))/100+1)^4)-1)</f>
        <v>1.3307202972518972E-2</v>
      </c>
      <c r="U90" s="32">
        <f>IF((((VLOOKUP(B90,'Data qoq'!$A:$AT,MATCH($U$1,'Data qoq'!$A$1:$AT$1,),))/100+1)^4)-1=0,#N/A,(((VLOOKUP(B90,'Data qoq'!$A:$AT,MATCH($U$1,'Data qoq'!$A$1:$AT$1,),))/100+1)^4)-1)</f>
        <v>-1.0853323089030975E-2</v>
      </c>
      <c r="V90" s="32">
        <f>IF((((VLOOKUP(B90,'Data qoq'!$A:$AT,MATCH($V$1,'Data qoq'!$A$1:$AT$1,),))/100+1)^4)-1=0,#N/A,(((VLOOKUP(B90,'Data qoq'!$A:$AT,MATCH($V$1,'Data qoq'!$A$1:$AT$1,),))/100+1)^4)-1)</f>
        <v>4.3898947536695099E-2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1.9802172061092804E-2</v>
      </c>
      <c r="Z90" s="32">
        <f>IF((((VLOOKUP(B90,'Data qoq'!$A:$AU,MATCH($Z$1,'Data qoq'!$A$1:$AU$1,),))/100+1)^4)-1=0,#N/A,(((VLOOKUP(B90,'Data qoq'!$A:$AU,MATCH($Z$1,'Data qoq'!$A$1:$AU$1,),))/100+1)^4)-1)</f>
        <v>-6.1193479243607185E-2</v>
      </c>
      <c r="AA90" s="32">
        <f>IF((((VLOOKUP(B90,'Data qoq'!$A:$AU,MATCH($AA$1,'Data qoq'!$A$1:$AU$1,),))/100+1)^4)-1=0,#N/A,(((VLOOKUP(B90,'Data qoq'!$A:$AU,MATCH($AA$1,'Data qoq'!$A$1:$AU$1,),))/100+1)^4)-1)</f>
        <v>1.3181636886455683E-2</v>
      </c>
      <c r="AC90" s="26" t="str">
        <f t="shared" si="10"/>
        <v>2019-Q4</v>
      </c>
      <c r="AD90" s="31">
        <f t="shared" si="11"/>
        <v>-1.08389777544593E-3</v>
      </c>
    </row>
    <row r="91" spans="1:31" s="70" customFormat="1" x14ac:dyDescent="0.2">
      <c r="A91" s="30">
        <v>43891</v>
      </c>
      <c r="B91" s="24" t="s">
        <v>357</v>
      </c>
      <c r="C91" s="32">
        <f>IF((((VLOOKUP(B91,'Data qoq'!$A:$AT,MATCH($C$1,'Data qoq'!$A$1:$AT$1,),))/100+1)^4)-1=0,#N/A,(((VLOOKUP(B91,'Data qoq'!$A:$AT,MATCH($C$1,'Data qoq'!$A$1:$AT$1,),))/100+1)^4)-1)</f>
        <v>-5.1132545035958321E-2</v>
      </c>
      <c r="D91" s="32">
        <f>IF((((VLOOKUP(B91,'Data qoq'!$A:$AT,MATCH($D$1,'Data qoq'!$A$1:$AT$1,),))/100+1)^4)-1=0,#N/A,(((VLOOKUP(B91,'Data qoq'!$A:$AT,MATCH($D$1,'Data qoq'!$A$1:$AT$1,),))/100+1)^4)-1)</f>
        <v>-0.35260435711899996</v>
      </c>
      <c r="E91" s="32">
        <f>IF((((VLOOKUP(B91,'Data qoq'!$A:$AT,MATCH($E$1,'Data qoq'!$A$1:$AT$1,),))/100+1)^4)-1=0,#N/A,(((VLOOKUP(B91,'Data qoq'!$A:$AT,MATCH($E$1,'Data qoq'!$A$1:$AT$1,),))/100+1)^4)-1)</f>
        <v>-0.1339423130848052</v>
      </c>
      <c r="F91" s="32">
        <f>IF((((VLOOKUP(B91,'Data qoq'!$A:$AT,MATCH($F$1,'Data qoq'!$A$1:$AT$1,),))/100+1)^4)-1=0,#N/A,(((VLOOKUP(B91,'Data qoq'!$A:$AT,MATCH($F$1,'Data qoq'!$A$1:$AT$1,),))/100+1)^4)-1)</f>
        <v>1.9831525622488133E-2</v>
      </c>
      <c r="G91" s="32">
        <f>IF((((VLOOKUP(B91,'Data qoq'!$A:$AT,MATCH($G$1,'Data qoq'!$A$1:$AT$1,),))/100+1)^4)-1=0,#N/A,(((VLOOKUP(B91,'Data qoq'!$A:$AT,MATCH($G$1,'Data qoq'!$A$1:$AT$1,),))/100+1)^4)-1)</f>
        <v>-6.8713840793185432E-2</v>
      </c>
      <c r="H91" s="32">
        <f>IF((((VLOOKUP(B91,'Data qoq'!$A:$AT,MATCH($H$1,'Data qoq'!$A$1:$AT$1,),))/100+1)^4)-1=0,#N/A,(((VLOOKUP(B91,'Data qoq'!$A:$AT,MATCH($H$1,'Data qoq'!$A$1:$AT$1,),))/100+1)^4)-1)</f>
        <v>-0.2081737257627243</v>
      </c>
      <c r="I91" s="32">
        <f>IF((((VLOOKUP(B91,'Data qoq'!$A:$AT,MATCH($I$1,'Data qoq'!$A$1:$AT$1,),))/100+1)^4)-1=0,#N/A,(((VLOOKUP(B91,'Data qoq'!$A:$AT,MATCH($I$1,'Data qoq'!$A$1:$AT$1,),))/100+1)^4)-1)</f>
        <v>-9.7271374760814711E-2</v>
      </c>
      <c r="J91" s="32">
        <f>IF((((VLOOKUP(B91,'Data qoq'!$A:$AT,MATCH($J$1,'Data qoq'!$A$1:$AT$1,),))/100+1)^4)-1=0,#N/A,(((VLOOKUP(B91,'Data qoq'!$A:$AT,MATCH($J$1,'Data qoq'!$A$1:$AT$1,),))/100+1)^4)-1)</f>
        <v>-0.21637841347389419</v>
      </c>
      <c r="K91" s="32">
        <f>IF((((VLOOKUP(B91,'Data qoq'!$A:$AT,MATCH($K$1,'Data qoq'!$A$1:$AT$1,),))/100+1)^4)-1=0,#N/A,(((VLOOKUP(B91,'Data qoq'!$A:$AT,MATCH($K$1,'Data qoq'!$A$1:$AT$1,),))/100+1)^4)-1)</f>
        <v>-0.19882807858069984</v>
      </c>
      <c r="L91" s="32">
        <f>IF((((VLOOKUP(B91,'Data qoq'!$A:$AT,MATCH($L$1,'Data qoq'!$A$1:$AT$1,),))/100+1)^4)-1=0,#N/A,(((VLOOKUP(B91,'Data qoq'!$A:$AT,MATCH($L$1,'Data qoq'!$A$1:$AT$1,),))/100+1)^4)-1)</f>
        <v>-5.8171745062944868E-3</v>
      </c>
      <c r="M91" s="32">
        <f>IF((((VLOOKUP(B91,'Data qoq'!$A:$AT,MATCH($M$1,'Data qoq'!$A$1:$AT$1,),))/100+1)^4)-1=0,#N/A,(((VLOOKUP(B91,'Data qoq'!$A:$AT,MATCH($M$1,'Data qoq'!$A$1:$AT$1,),))/100+1)^4)-1)</f>
        <v>-3.9373025327580136E-2</v>
      </c>
      <c r="N91" s="32">
        <f>IF((((VLOOKUP(B91,'Data qoq'!$A:$AT,MATCH($N$1,'Data qoq'!$A$1:$AT$1,),))/100+1)^4)-1=0,#N/A,(((VLOOKUP(B91,'Data qoq'!$A:$AT,MATCH($N$1,'Data qoq'!$A$1:$AT$1,),))/100+1)^4)-1)</f>
        <v>-7.8298372654671544E-3</v>
      </c>
      <c r="O91" s="32">
        <f>IF((((VLOOKUP(B91,'Data qoq'!$A:$AT,MATCH($O$1,'Data qoq'!$A$1:$AT$1,),))/100+1)^4)-1=0,#N/A,(((VLOOKUP(B91,'Data qoq'!$A:$AT,MATCH($O$1,'Data qoq'!$A$1:$AT$1,),))/100+1)^4)-1)</f>
        <v>1.9061610306363441E-3</v>
      </c>
      <c r="P91" s="32">
        <f>IF((((VLOOKUP(B91,'Data qoq'!$A:$AT,MATCH($P$1,'Data qoq'!$A$1:$AT$1,),))/100+1)^4)-1=0,#N/A,(((VLOOKUP(B91,'Data qoq'!$A:$AT,MATCH($P$1,'Data qoq'!$A$1:$AT$1,),))/100+1)^4)-1)</f>
        <v>-8.3539674992135771E-2</v>
      </c>
      <c r="Q91" s="32">
        <f>IF((((VLOOKUP(B91,'Data qoq'!$A:$AT,MATCH($Q$1,'Data qoq'!$A$1:$AT$1,),))/100+1)^4)-1=0,#N/A,(((VLOOKUP(B91,'Data qoq'!$A:$AT,MATCH($Q$1,'Data qoq'!$A$1:$AT$1,),))/100+1)^4)-1)</f>
        <v>-1.2141474716062084E-2</v>
      </c>
      <c r="R91" s="32">
        <f>IF((((VLOOKUP(B91,'Data qoq'!$A:$AT,MATCH($R$1,'Data qoq'!$A$1:$AT$1,),))/100+1)^4)-1=0,#N/A,(((VLOOKUP(B91,'Data qoq'!$A:$AT,MATCH($R$1,'Data qoq'!$A$1:$AT$1,),))/100+1)^4)-1)</f>
        <v>-6.1979000892705138E-2</v>
      </c>
      <c r="S91" s="32">
        <f>IF((((VLOOKUP(B91,'Data qoq'!$A:$AT,MATCH($S$1,'Data qoq'!$A$1:$AT$1,),))/100+1)^4)-1=0,#N/A,(((VLOOKUP(B91,'Data qoq'!$A:$AT,MATCH($S$1,'Data qoq'!$A$1:$AT$1,),))/100+1)^4)-1)</f>
        <v>-5.2434493703272023E-2</v>
      </c>
      <c r="T91" s="32">
        <f>IF((((VLOOKUP(B91,'Data qoq'!$A:$AT,MATCH($T$1,'Data qoq'!$A$1:$AT$1,),))/100+1)^4)-1=0,#N/A,(((VLOOKUP(B91,'Data qoq'!$A:$AT,MATCH($T$1,'Data qoq'!$A$1:$AT$1,),))/100+1)^4)-1)</f>
        <v>-9.418318120166802E-2</v>
      </c>
      <c r="U91" s="32">
        <f>IF((((VLOOKUP(B91,'Data qoq'!$A:$AT,MATCH($U$1,'Data qoq'!$A$1:$AT$1,),))/100+1)^4)-1=0,#N/A,(((VLOOKUP(B91,'Data qoq'!$A:$AT,MATCH($U$1,'Data qoq'!$A$1:$AT$1,),))/100+1)^4)-1)</f>
        <v>-8.1112593631168517E-2</v>
      </c>
      <c r="V91" s="32">
        <f>IF((((VLOOKUP(B91,'Data qoq'!$A:$AT,MATCH($V$1,'Data qoq'!$A$1:$AT$1,),))/100+1)^4)-1=0,#N/A,(((VLOOKUP(B91,'Data qoq'!$A:$AT,MATCH($V$1,'Data qoq'!$A$1:$AT$1,),))/100+1)^4)-1)</f>
        <v>0.10858202814590956</v>
      </c>
      <c r="W91" s="32">
        <f>IF((((VLOOKUP(B91,'Data qoq'!$A:$AT,MATCH($W$1,'Data qoq'!$A$1:$AT$1,),))/100+1)^4)-1=0,#N/A,(((VLOOKUP(B91,'Data qoq'!$A:$AT,MATCH($W$1,'Data qoq'!$A$1:$AT$1,),))/100+1)^4)-1)</f>
        <v>1.7969552410650014E-2</v>
      </c>
      <c r="X91" s="32">
        <f>IF((((VLOOKUP(B91,'Data qoq'!$A:$AT,MATCH($X$1,'Data qoq'!$A$1:$AT$1,),))/100+1)^4)-1=0,#N/A,(((VLOOKUP(B91,'Data qoq'!$A:$AT,MATCH($X$1,'Data qoq'!$A$1:$AT$1,),))/100+1)^4)-1)</f>
        <v>-0.1235304161436579</v>
      </c>
      <c r="Y91" s="32">
        <f>IF((((VLOOKUP(B91,'Data qoq'!$A:$AT,MATCH($Y$1,'Data qoq'!$A$1:$AT$1,),))/100+1)^4)-1=0,#N/A,(((VLOOKUP(B91,'Data qoq'!$A:$AT,MATCH($Y$1,'Data qoq'!$A$1:$AT$1,),))/100+1)^4)-1)</f>
        <v>1.5690779532323562E-2</v>
      </c>
      <c r="Z91" s="32">
        <f>IF((((VLOOKUP(B91,'Data qoq'!$A:$AU,MATCH($Z$1,'Data qoq'!$A$1:$AU$1,),))/100+1)^4)-1=0,#N/A,(((VLOOKUP(B91,'Data qoq'!$A:$AU,MATCH($Z$1,'Data qoq'!$A$1:$AU$1,),))/100+1)^4)-1)</f>
        <v>-0.16153761571854897</v>
      </c>
      <c r="AA91" s="32">
        <f>IF((((VLOOKUP(B91,'Data qoq'!$A:$AU,MATCH($AA$1,'Data qoq'!$A$1:$AU$1,),))/100+1)^4)-1=0,#N/A,(((VLOOKUP(B91,'Data qoq'!$A:$AU,MATCH($AA$1,'Data qoq'!$A$1:$AU$1,),))/100+1)^4)-1)</f>
        <v>-4.678741998020286E-2</v>
      </c>
      <c r="AC91" s="26" t="str">
        <f t="shared" si="10"/>
        <v>2020-Q1</v>
      </c>
      <c r="AD91" s="31">
        <f t="shared" si="11"/>
        <v>-3.6670938323990487E-2</v>
      </c>
    </row>
    <row r="92" spans="1:31" s="70" customFormat="1" x14ac:dyDescent="0.2">
      <c r="A92" s="30">
        <v>43983</v>
      </c>
      <c r="B92" s="24" t="s">
        <v>358</v>
      </c>
      <c r="C92" s="32">
        <f>IF((((VLOOKUP(B92,'Data qoq'!$A:$AT,MATCH($C$1,'Data qoq'!$A$1:$AT$1,),))/100+1)^4)-1=0,#N/A,(((VLOOKUP(B92,'Data qoq'!$A:$AT,MATCH($C$1,'Data qoq'!$A$1:$AT$1,),))/100+1)^4)-1)</f>
        <v>-0.31235698460598726</v>
      </c>
      <c r="D92" s="32">
        <f>IF((((VLOOKUP(B92,'Data qoq'!$A:$AT,MATCH($D$1,'Data qoq'!$A$1:$AT$1,),))/100+1)^4)-1=0,#N/A,(((VLOOKUP(B92,'Data qoq'!$A:$AT,MATCH($D$1,'Data qoq'!$A$1:$AT$1,),))/100+1)^4)-1)</f>
        <v>0.55116064793600095</v>
      </c>
      <c r="E92" s="32">
        <f>IF((((VLOOKUP(B92,'Data qoq'!$A:$AT,MATCH($E$1,'Data qoq'!$A$1:$AT$1,),))/100+1)^4)-1=0,#N/A,(((VLOOKUP(B92,'Data qoq'!$A:$AT,MATCH($E$1,'Data qoq'!$A$1:$AT$1,),))/100+1)^4)-1)</f>
        <v>-0.39113924897941488</v>
      </c>
      <c r="F92" s="32">
        <f>IF((((VLOOKUP(B92,'Data qoq'!$A:$AT,MATCH($F$1,'Data qoq'!$A$1:$AT$1,),))/100+1)^4)-1=0,#N/A,(((VLOOKUP(B92,'Data qoq'!$A:$AT,MATCH($F$1,'Data qoq'!$A$1:$AT$1,),))/100+1)^4)-1)</f>
        <v>-0.28054609122622332</v>
      </c>
      <c r="G92" s="32">
        <f>IF((((VLOOKUP(B92,'Data qoq'!$A:$AT,MATCH($G$1,'Data qoq'!$A$1:$AT$1,),))/100+1)^4)-1=0,#N/A,(((VLOOKUP(B92,'Data qoq'!$A:$AT,MATCH($G$1,'Data qoq'!$A$1:$AT$1,),))/100+1)^4)-1)</f>
        <v>-0.34378964025626724</v>
      </c>
      <c r="H92" s="32">
        <f>IF((((VLOOKUP(B92,'Data qoq'!$A:$AT,MATCH($H$1,'Data qoq'!$A$1:$AT$1,),))/100+1)^4)-1=0,#N/A,(((VLOOKUP(B92,'Data qoq'!$A:$AT,MATCH($H$1,'Data qoq'!$A$1:$AT$1,),))/100+1)^4)-1)</f>
        <v>-0.4458716424600937</v>
      </c>
      <c r="I92" s="32">
        <f>IF((((VLOOKUP(B92,'Data qoq'!$A:$AT,MATCH($I$1,'Data qoq'!$A$1:$AT$1,),))/100+1)^4)-1=0,#N/A,(((VLOOKUP(B92,'Data qoq'!$A:$AT,MATCH($I$1,'Data qoq'!$A$1:$AT$1,),))/100+1)^4)-1)</f>
        <v>-0.57856594792316063</v>
      </c>
      <c r="J92" s="32">
        <f>IF((((VLOOKUP(B92,'Data qoq'!$A:$AT,MATCH($J$1,'Data qoq'!$A$1:$AT$1,),))/100+1)^4)-1=0,#N/A,(((VLOOKUP(B92,'Data qoq'!$A:$AT,MATCH($J$1,'Data qoq'!$A$1:$AT$1,),))/100+1)^4)-1)</f>
        <v>-0.41665895480235593</v>
      </c>
      <c r="K92" s="32">
        <f>IF((((VLOOKUP(B92,'Data qoq'!$A:$AT,MATCH($K$1,'Data qoq'!$A$1:$AT$1,),))/100+1)^4)-1=0,#N/A,(((VLOOKUP(B92,'Data qoq'!$A:$AT,MATCH($K$1,'Data qoq'!$A$1:$AT$1,),))/100+1)^4)-1)</f>
        <v>-0.54015627283445999</v>
      </c>
      <c r="L92" s="32">
        <f>IF((((VLOOKUP(B92,'Data qoq'!$A:$AT,MATCH($L$1,'Data qoq'!$A$1:$AT$1,),))/100+1)^4)-1=0,#N/A,(((VLOOKUP(B92,'Data qoq'!$A:$AT,MATCH($L$1,'Data qoq'!$A$1:$AT$1,),))/100+1)^4)-1)</f>
        <v>-0.28556324070265637</v>
      </c>
      <c r="M92" s="32">
        <f>IF((((VLOOKUP(B92,'Data qoq'!$A:$AT,MATCH($M$1,'Data qoq'!$A$1:$AT$1,),))/100+1)^4)-1=0,#N/A,(((VLOOKUP(B92,'Data qoq'!$A:$AT,MATCH($M$1,'Data qoq'!$A$1:$AT$1,),))/100+1)^4)-1)</f>
        <v>-0.54432470004914479</v>
      </c>
      <c r="N92" s="32">
        <f>IF((((VLOOKUP(B92,'Data qoq'!$A:$AT,MATCH($N$1,'Data qoq'!$A$1:$AT$1,),))/100+1)^4)-1=0,#N/A,(((VLOOKUP(B92,'Data qoq'!$A:$AT,MATCH($N$1,'Data qoq'!$A$1:$AT$1,),))/100+1)^4)-1)</f>
        <v>-0.16768775820460491</v>
      </c>
      <c r="O92" s="32">
        <f>IF((((VLOOKUP(B92,'Data qoq'!$A:$AT,MATCH($O$1,'Data qoq'!$A$1:$AT$1,),))/100+1)^4)-1=0,#N/A,(((VLOOKUP(B92,'Data qoq'!$A:$AT,MATCH($O$1,'Data qoq'!$A$1:$AT$1,),))/100+1)^4)-1)</f>
        <v>-0.66911164555351743</v>
      </c>
      <c r="P92" s="32">
        <f>IF((((VLOOKUP(B92,'Data qoq'!$A:$AT,MATCH($P$1,'Data qoq'!$A$1:$AT$1,),))/100+1)^4)-1=0,#N/A,(((VLOOKUP(B92,'Data qoq'!$A:$AT,MATCH($P$1,'Data qoq'!$A$1:$AT$1,),))/100+1)^4)-1)</f>
        <v>-0.37377622789316389</v>
      </c>
      <c r="Q92" s="32">
        <f>IF((((VLOOKUP(B92,'Data qoq'!$A:$AT,MATCH($Q$1,'Data qoq'!$A$1:$AT$1,),))/100+1)^4)-1=0,#N/A,(((VLOOKUP(B92,'Data qoq'!$A:$AT,MATCH($Q$1,'Data qoq'!$A$1:$AT$1,),))/100+1)^4)-1)</f>
        <v>-0.24538475487997824</v>
      </c>
      <c r="R92" s="32">
        <f>IF((((VLOOKUP(B92,'Data qoq'!$A:$AT,MATCH($R$1,'Data qoq'!$A$1:$AT$1,),))/100+1)^4)-1=0,#N/A,(((VLOOKUP(B92,'Data qoq'!$A:$AT,MATCH($R$1,'Data qoq'!$A$1:$AT$1,),))/100+1)^4)-1)</f>
        <v>-0.22378362695140885</v>
      </c>
      <c r="S92" s="32">
        <f>IF((((VLOOKUP(B92,'Data qoq'!$A:$AT,MATCH($S$1,'Data qoq'!$A$1:$AT$1,),))/100+1)^4)-1=0,#N/A,(((VLOOKUP(B92,'Data qoq'!$A:$AT,MATCH($S$1,'Data qoq'!$A$1:$AT$1,),))/100+1)^4)-1)</f>
        <v>-0.1156901220447043</v>
      </c>
      <c r="T92" s="32">
        <f>IF((((VLOOKUP(B92,'Data qoq'!$A:$AT,MATCH($T$1,'Data qoq'!$A$1:$AT$1,),))/100+1)^4)-1=0,#N/A,(((VLOOKUP(B92,'Data qoq'!$A:$AT,MATCH($T$1,'Data qoq'!$A$1:$AT$1,),))/100+1)^4)-1)</f>
        <v>-0.30727584434384225</v>
      </c>
      <c r="U92" s="32">
        <f>IF((((VLOOKUP(B92,'Data qoq'!$A:$AT,MATCH($U$1,'Data qoq'!$A$1:$AT$1,),))/100+1)^4)-1=0,#N/A,(((VLOOKUP(B92,'Data qoq'!$A:$AT,MATCH($U$1,'Data qoq'!$A$1:$AT$1,),))/100+1)^4)-1)</f>
        <v>-0.43654411714603569</v>
      </c>
      <c r="V92" s="32">
        <f>IF((((VLOOKUP(B92,'Data qoq'!$A:$AT,MATCH($V$1,'Data qoq'!$A$1:$AT$1,),))/100+1)^4)-1=0,#N/A,(((VLOOKUP(B92,'Data qoq'!$A:$AT,MATCH($V$1,'Data qoq'!$A$1:$AT$1,),))/100+1)^4)-1)</f>
        <v>-0.10759971943325985</v>
      </c>
      <c r="W92" s="32">
        <f>IF((((VLOOKUP(B92,'Data qoq'!$A:$AT,MATCH($W$1,'Data qoq'!$A$1:$AT$1,),))/100+1)^4)-1=0,#N/A,(((VLOOKUP(B92,'Data qoq'!$A:$AT,MATCH($W$1,'Data qoq'!$A$1:$AT$1,),))/100+1)^4)-1)</f>
        <v>-0.36606244941348087</v>
      </c>
      <c r="X92" s="32">
        <f>IF((((VLOOKUP(B92,'Data qoq'!$A:$AT,MATCH($X$1,'Data qoq'!$A$1:$AT$1,),))/100+1)^4)-1=0,#N/A,(((VLOOKUP(B92,'Data qoq'!$A:$AT,MATCH($X$1,'Data qoq'!$A$1:$AT$1,),))/100+1)^4)-1)</f>
        <v>-0.30967958719972466</v>
      </c>
      <c r="Y92" s="32">
        <f>IF((((VLOOKUP(B92,'Data qoq'!$A:$AT,MATCH($Y$1,'Data qoq'!$A$1:$AT$1,),))/100+1)^4)-1=0,#N/A,(((VLOOKUP(B92,'Data qoq'!$A:$AT,MATCH($Y$1,'Data qoq'!$A$1:$AT$1,),))/100+1)^4)-1)</f>
        <v>-0.31710110593611163</v>
      </c>
      <c r="Z92" s="32">
        <f>IF((((VLOOKUP(B92,'Data qoq'!$A:$AU,MATCH($Z$1,'Data qoq'!$A$1:$AU$1,),))/100+1)^4)-1=0,#N/A,(((VLOOKUP(B92,'Data qoq'!$A:$AU,MATCH($Z$1,'Data qoq'!$A$1:$AU$1,),))/100+1)^4)-1)</f>
        <v>-0.47996659254209573</v>
      </c>
      <c r="AA92" s="32">
        <f>IF((((VLOOKUP(B92,'Data qoq'!$A:$AU,MATCH($AA$1,'Data qoq'!$A$1:$AU$1,),))/100+1)^4)-1=0,#N/A,(((VLOOKUP(B92,'Data qoq'!$A:$AU,MATCH($AA$1,'Data qoq'!$A$1:$AU$1,),))/100+1)^4)-1)</f>
        <v>-0.35393612317388023</v>
      </c>
      <c r="AC92" s="26" t="str">
        <f t="shared" si="10"/>
        <v>2020-Q2</v>
      </c>
      <c r="AD92" s="31">
        <f t="shared" si="11"/>
        <v>0.18742669894374575</v>
      </c>
    </row>
    <row r="93" spans="1:31" s="70" customFormat="1" x14ac:dyDescent="0.2">
      <c r="A93" s="30">
        <v>44075</v>
      </c>
      <c r="B93" s="24" t="s">
        <v>359</v>
      </c>
      <c r="C93" s="32">
        <f>IF((((VLOOKUP(B93,'Data qoq'!$A:$AT,MATCH($C$1,'Data qoq'!$A$1:$AT$1,),))/100+1)^4)-1=0,#N/A,(((VLOOKUP(B93,'Data qoq'!$A:$AT,MATCH($C$1,'Data qoq'!$A$1:$AT$1,),))/100+1)^4)-1)</f>
        <v>0.33783279298685187</v>
      </c>
      <c r="D93" s="32">
        <f>IF((((VLOOKUP(B93,'Data qoq'!$A:$AT,MATCH($D$1,'Data qoq'!$A$1:$AT$1,),))/100+1)^4)-1=0,#N/A,(((VLOOKUP(B93,'Data qoq'!$A:$AT,MATCH($D$1,'Data qoq'!$A$1:$AT$1,),))/100+1)^4)-1)</f>
        <v>0.14309455233599988</v>
      </c>
      <c r="E93" s="32">
        <f>IF((((VLOOKUP(B93,'Data qoq'!$A:$AT,MATCH($E$1,'Data qoq'!$A$1:$AT$1,),))/100+1)^4)-1=0,#N/A,(((VLOOKUP(B93,'Data qoq'!$A:$AT,MATCH($E$1,'Data qoq'!$A$1:$AT$1,),))/100+1)^4)-1)</f>
        <v>0.61997962166268827</v>
      </c>
      <c r="F93" s="32">
        <f>IF((((VLOOKUP(B93,'Data qoq'!$A:$AT,MATCH($F$1,'Data qoq'!$A$1:$AT$1,),))/100+1)^4)-1=0,#N/A,(((VLOOKUP(B93,'Data qoq'!$A:$AT,MATCH($F$1,'Data qoq'!$A$1:$AT$1,),))/100+1)^4)-1)</f>
        <v>0.22871262699579087</v>
      </c>
      <c r="G93" s="32">
        <f>IF((((VLOOKUP(B93,'Data qoq'!$A:$AT,MATCH($G$1,'Data qoq'!$A$1:$AT$1,),))/100+1)^4)-1=0,#N/A,(((VLOOKUP(B93,'Data qoq'!$A:$AT,MATCH($G$1,'Data qoq'!$A$1:$AT$1,),))/100+1)^4)-1)</f>
        <v>0.41381361997255861</v>
      </c>
      <c r="H93" s="32">
        <f>IF((((VLOOKUP(B93,'Data qoq'!$A:$AT,MATCH($H$1,'Data qoq'!$A$1:$AT$1,),))/100+1)^4)-1=0,#N/A,(((VLOOKUP(B93,'Data qoq'!$A:$AT,MATCH($H$1,'Data qoq'!$A$1:$AT$1,),))/100+1)^4)-1)</f>
        <v>1.0320410904581401</v>
      </c>
      <c r="I93" s="32">
        <f>IF((((VLOOKUP(B93,'Data qoq'!$A:$AT,MATCH($I$1,'Data qoq'!$A$1:$AT$1,),))/100+1)^4)-1=0,#N/A,(((VLOOKUP(B93,'Data qoq'!$A:$AT,MATCH($I$1,'Data qoq'!$A$1:$AT$1,),))/100+1)^4)-1)</f>
        <v>0.91234717619357042</v>
      </c>
      <c r="J93" s="32">
        <f>IF((((VLOOKUP(B93,'Data qoq'!$A:$AT,MATCH($J$1,'Data qoq'!$A$1:$AT$1,),))/100+1)^4)-1=0,#N/A,(((VLOOKUP(B93,'Data qoq'!$A:$AT,MATCH($J$1,'Data qoq'!$A$1:$AT$1,),))/100+1)^4)-1)</f>
        <v>0.81207822074180114</v>
      </c>
      <c r="K93" s="32">
        <f>IF((((VLOOKUP(B93,'Data qoq'!$A:$AT,MATCH($K$1,'Data qoq'!$A$1:$AT$1,),))/100+1)^4)-1=0,#N/A,(((VLOOKUP(B93,'Data qoq'!$A:$AT,MATCH($K$1,'Data qoq'!$A$1:$AT$1,),))/100+1)^4)-1)</f>
        <v>0.86100877895409256</v>
      </c>
      <c r="L93" s="32">
        <f>IF((((VLOOKUP(B93,'Data qoq'!$A:$AT,MATCH($L$1,'Data qoq'!$A$1:$AT$1,),))/100+1)^4)-1=0,#N/A,(((VLOOKUP(B93,'Data qoq'!$A:$AT,MATCH($L$1,'Data qoq'!$A$1:$AT$1,),))/100+1)^4)-1)</f>
        <v>0.32985088021447573</v>
      </c>
      <c r="M93" s="32">
        <f>IF((((VLOOKUP(B93,'Data qoq'!$A:$AT,MATCH($M$1,'Data qoq'!$A$1:$AT$1,),))/100+1)^4)-1=0,#N/A,(((VLOOKUP(B93,'Data qoq'!$A:$AT,MATCH($M$1,'Data qoq'!$A$1:$AT$1,),))/100+1)^4)-1)</f>
        <v>0.6662633967093714</v>
      </c>
      <c r="N93" s="32">
        <f>IF((((VLOOKUP(B93,'Data qoq'!$A:$AT,MATCH($N$1,'Data qoq'!$A$1:$AT$1,),))/100+1)^4)-1=0,#N/A,(((VLOOKUP(B93,'Data qoq'!$A:$AT,MATCH($N$1,'Data qoq'!$A$1:$AT$1,),))/100+1)^4)-1)</f>
        <v>0.11584013379575286</v>
      </c>
      <c r="O93" s="32">
        <f>IF((((VLOOKUP(B93,'Data qoq'!$A:$AT,MATCH($O$1,'Data qoq'!$A$1:$AT$1,),))/100+1)^4)-1=0,#N/A,(((VLOOKUP(B93,'Data qoq'!$A:$AT,MATCH($O$1,'Data qoq'!$A$1:$AT$1,),))/100+1)^4)-1)</f>
        <v>1.4276455873070164</v>
      </c>
      <c r="P93" s="32">
        <f>IF((((VLOOKUP(B93,'Data qoq'!$A:$AT,MATCH($P$1,'Data qoq'!$A$1:$AT$1,),))/100+1)^4)-1=0,#N/A,(((VLOOKUP(B93,'Data qoq'!$A:$AT,MATCH($P$1,'Data qoq'!$A$1:$AT$1,),))/100+1)^4)-1)</f>
        <v>0.41075081874519803</v>
      </c>
      <c r="Q93" s="32">
        <f>IF((((VLOOKUP(B93,'Data qoq'!$A:$AT,MATCH($Q$1,'Data qoq'!$A$1:$AT$1,),))/100+1)^4)-1=0,#N/A,(((VLOOKUP(B93,'Data qoq'!$A:$AT,MATCH($Q$1,'Data qoq'!$A$1:$AT$1,),))/100+1)^4)-1)</f>
        <v>0.1477817292631125</v>
      </c>
      <c r="R93" s="32">
        <f>IF((((VLOOKUP(B93,'Data qoq'!$A:$AT,MATCH($R$1,'Data qoq'!$A$1:$AT$1,),))/100+1)^4)-1=0,#N/A,(((VLOOKUP(B93,'Data qoq'!$A:$AT,MATCH($R$1,'Data qoq'!$A$1:$AT$1,),))/100+1)^4)-1)</f>
        <v>0.27665329908185599</v>
      </c>
      <c r="S93" s="32">
        <f>IF((((VLOOKUP(B93,'Data qoq'!$A:$AT,MATCH($S$1,'Data qoq'!$A$1:$AT$1,),))/100+1)^4)-1=0,#N/A,(((VLOOKUP(B93,'Data qoq'!$A:$AT,MATCH($S$1,'Data qoq'!$A$1:$AT$1,),))/100+1)^4)-1)</f>
        <v>9.72707483974391E-2</v>
      </c>
      <c r="T93" s="32">
        <f>IF((((VLOOKUP(B93,'Data qoq'!$A:$AT,MATCH($T$1,'Data qoq'!$A$1:$AT$1,),))/100+1)^4)-1=0,#N/A,(((VLOOKUP(B93,'Data qoq'!$A:$AT,MATCH($T$1,'Data qoq'!$A$1:$AT$1,),))/100+1)^4)-1)</f>
        <v>0.35505869440544258</v>
      </c>
      <c r="U93" s="32">
        <f>IF((((VLOOKUP(B93,'Data qoq'!$A:$AT,MATCH($U$1,'Data qoq'!$A$1:$AT$1,),))/100+1)^4)-1=0,#N/A,(((VLOOKUP(B93,'Data qoq'!$A:$AT,MATCH($U$1,'Data qoq'!$A$1:$AT$1,),))/100+1)^4)-1)</f>
        <v>0.23520196095067458</v>
      </c>
      <c r="V93" s="32">
        <f>IF((((VLOOKUP(B93,'Data qoq'!$A:$AT,MATCH($V$1,'Data qoq'!$A$1:$AT$1,),))/100+1)^4)-1=0,#N/A,(((VLOOKUP(B93,'Data qoq'!$A:$AT,MATCH($V$1,'Data qoq'!$A$1:$AT$1,),))/100+1)^4)-1)</f>
        <v>0.48264532266518989</v>
      </c>
      <c r="W93" s="32">
        <f>IF((((VLOOKUP(B93,'Data qoq'!$A:$AT,MATCH($W$1,'Data qoq'!$A$1:$AT$1,),))/100+1)^4)-1=0,#N/A,(((VLOOKUP(B93,'Data qoq'!$A:$AT,MATCH($W$1,'Data qoq'!$A$1:$AT$1,),))/100+1)^4)-1)</f>
        <v>0.83577482774931511</v>
      </c>
      <c r="X93" s="32">
        <f>IF((((VLOOKUP(B93,'Data qoq'!$A:$AT,MATCH($X$1,'Data qoq'!$A$1:$AT$1,),))/100+1)^4)-1=0,#N/A,(((VLOOKUP(B93,'Data qoq'!$A:$AT,MATCH($X$1,'Data qoq'!$A$1:$AT$1,),))/100+1)^4)-1)</f>
        <v>0.30850465767186019</v>
      </c>
      <c r="Y93" s="32">
        <f>IF((((VLOOKUP(B93,'Data qoq'!$A:$AT,MATCH($Y$1,'Data qoq'!$A$1:$AT$1,),))/100+1)^4)-1=0,#N/A,(((VLOOKUP(B93,'Data qoq'!$A:$AT,MATCH($Y$1,'Data qoq'!$A$1:$AT$1,),))/100+1)^4)-1)</f>
        <v>0.32736427372253352</v>
      </c>
      <c r="Z93" s="32">
        <f>IF((((VLOOKUP(B93,'Data qoq'!$A:$AU,MATCH($Z$1,'Data qoq'!$A$1:$AU$1,),))/100+1)^4)-1=0,#N/A,(((VLOOKUP(B93,'Data qoq'!$A:$AU,MATCH($Z$1,'Data qoq'!$A$1:$AU$1,),))/100+1)^4)-1)</f>
        <v>0.58395516604180453</v>
      </c>
      <c r="AA93" s="32">
        <f>IF((((VLOOKUP(B93,'Data qoq'!$A:$AU,MATCH($AA$1,'Data qoq'!$A$1:$AU$1,),))/100+1)^4)-1=0,#N/A,(((VLOOKUP(B93,'Data qoq'!$A:$AU,MATCH($AA$1,'Data qoq'!$A$1:$AU$1,),))/100+1)^4)-1)</f>
        <v>0.67075544319836866</v>
      </c>
      <c r="AC93" s="26" t="str">
        <f t="shared" si="10"/>
        <v>2020-Q3</v>
      </c>
      <c r="AD93" s="31">
        <f t="shared" si="11"/>
        <v>-0.29236755453088215</v>
      </c>
    </row>
    <row r="94" spans="1:31" s="70" customFormat="1" x14ac:dyDescent="0.2">
      <c r="A94" s="30">
        <v>44166</v>
      </c>
      <c r="B94" s="24" t="s">
        <v>360</v>
      </c>
      <c r="C94" s="32">
        <f>IF((((VLOOKUP(B94,'Data qoq'!$A:$AT,MATCH($C$1,'Data qoq'!$A$1:$AT$1,),))/100+1)^4)-1=0,#N/A,(((VLOOKUP(B94,'Data qoq'!$A:$AT,MATCH($C$1,'Data qoq'!$A$1:$AT$1,),))/100+1)^4)-1)</f>
        <v>4.5362940383817607E-2</v>
      </c>
      <c r="D94" s="32">
        <f>IF((((VLOOKUP(B94,'Data qoq'!$A:$AT,MATCH($D$1,'Data qoq'!$A$1:$AT$1,),))/100+1)^4)-1=0,#N/A,(((VLOOKUP(B94,'Data qoq'!$A:$AT,MATCH($D$1,'Data qoq'!$A$1:$AT$1,),))/100+1)^4)-1)</f>
        <v>0.10381289062499977</v>
      </c>
      <c r="E94" s="32">
        <f>IF((((VLOOKUP(B94,'Data qoq'!$A:$AT,MATCH($E$1,'Data qoq'!$A$1:$AT$1,),))/100+1)^4)-1=0,#N/A,(((VLOOKUP(B94,'Data qoq'!$A:$AT,MATCH($E$1,'Data qoq'!$A$1:$AT$1,),))/100+1)^4)-1)</f>
        <v>-1.599637809949539E-2</v>
      </c>
      <c r="F94" s="32">
        <f>IF((((VLOOKUP(B94,'Data qoq'!$A:$AT,MATCH($F$1,'Data qoq'!$A$1:$AT$1,),))/100+1)^4)-1=0,#N/A,(((VLOOKUP(B94,'Data qoq'!$A:$AT,MATCH($F$1,'Data qoq'!$A$1:$AT$1,),))/100+1)^4)-1)</f>
        <v>7.2312946820553448E-2</v>
      </c>
      <c r="G94" s="32">
        <f>IF((((VLOOKUP(B94,'Data qoq'!$A:$AT,MATCH($G$1,'Data qoq'!$A$1:$AT$1,),))/100+1)^4)-1=0,#N/A,(((VLOOKUP(B94,'Data qoq'!$A:$AT,MATCH($G$1,'Data qoq'!$A$1:$AT$1,),))/100+1)^4)-1)</f>
        <v>3.0068670378135431E-2</v>
      </c>
      <c r="H94" s="32">
        <f>IF((((VLOOKUP(B94,'Data qoq'!$A:$AT,MATCH($H$1,'Data qoq'!$A$1:$AT$1,),))/100+1)^4)-1=0,#N/A,(((VLOOKUP(B94,'Data qoq'!$A:$AT,MATCH($H$1,'Data qoq'!$A$1:$AT$1,),))/100+1)^4)-1)</f>
        <v>-5.4823061653649696E-2</v>
      </c>
      <c r="I94" s="32">
        <f>IF((((VLOOKUP(B94,'Data qoq'!$A:$AT,MATCH($I$1,'Data qoq'!$A$1:$AT$1,),))/100+1)^4)-1=0,#N/A,(((VLOOKUP(B94,'Data qoq'!$A:$AT,MATCH($I$1,'Data qoq'!$A$1:$AT$1,),))/100+1)^4)-1)</f>
        <v>6.0629235855660601E-2</v>
      </c>
      <c r="J94" s="32">
        <f>IF((((VLOOKUP(B94,'Data qoq'!$A:$AT,MATCH($J$1,'Data qoq'!$A$1:$AT$1,),))/100+1)^4)-1=0,#N/A,(((VLOOKUP(B94,'Data qoq'!$A:$AT,MATCH($J$1,'Data qoq'!$A$1:$AT$1,),))/100+1)^4)-1)</f>
        <v>-6.144777988568173E-2</v>
      </c>
      <c r="K94" s="32">
        <f>IF((((VLOOKUP(B94,'Data qoq'!$A:$AT,MATCH($K$1,'Data qoq'!$A$1:$AT$1,),))/100+1)^4)-1=0,#N/A,(((VLOOKUP(B94,'Data qoq'!$A:$AT,MATCH($K$1,'Data qoq'!$A$1:$AT$1,),))/100+1)^4)-1)</f>
        <v>8.9345842637398309E-3</v>
      </c>
      <c r="L94" s="32">
        <f>IF((((VLOOKUP(B94,'Data qoq'!$A:$AT,MATCH($L$1,'Data qoq'!$A$1:$AT$1,),))/100+1)^4)-1=0,#N/A,(((VLOOKUP(B94,'Data qoq'!$A:$AT,MATCH($L$1,'Data qoq'!$A$1:$AT$1,),))/100+1)^4)-1)</f>
        <v>-3.2947788005153189E-3</v>
      </c>
      <c r="M94" s="32">
        <f>IF((((VLOOKUP(B94,'Data qoq'!$A:$AT,MATCH($M$1,'Data qoq'!$A$1:$AT$1,),))/100+1)^4)-1=0,#N/A,(((VLOOKUP(B94,'Data qoq'!$A:$AT,MATCH($M$1,'Data qoq'!$A$1:$AT$1,),))/100+1)^4)-1)</f>
        <v>0.15233286018364489</v>
      </c>
      <c r="N94" s="32">
        <f>IF((((VLOOKUP(B94,'Data qoq'!$A:$AT,MATCH($N$1,'Data qoq'!$A$1:$AT$1,),))/100+1)^4)-1=0,#N/A,(((VLOOKUP(B94,'Data qoq'!$A:$AT,MATCH($N$1,'Data qoq'!$A$1:$AT$1,),))/100+1)^4)-1)</f>
        <v>2.9919683186228729E-2</v>
      </c>
      <c r="O94" s="32">
        <f>IF((((VLOOKUP(B94,'Data qoq'!$A:$AT,MATCH($O$1,'Data qoq'!$A$1:$AT$1,),))/100+1)^4)-1=0,#N/A,(((VLOOKUP(B94,'Data qoq'!$A:$AT,MATCH($O$1,'Data qoq'!$A$1:$AT$1,),))/100+1)^4)-1)</f>
        <v>0.26292341198944613</v>
      </c>
      <c r="P94" s="32">
        <f>IF((((VLOOKUP(B94,'Data qoq'!$A:$AT,MATCH($P$1,'Data qoq'!$A$1:$AT$1,),))/100+1)^4)-1=0,#N/A,(((VLOOKUP(B94,'Data qoq'!$A:$AT,MATCH($P$1,'Data qoq'!$A$1:$AT$1,),))/100+1)^4)-1)</f>
        <v>9.0623261417558387E-2</v>
      </c>
      <c r="Q94" s="32">
        <f>IF((((VLOOKUP(B94,'Data qoq'!$A:$AT,MATCH($Q$1,'Data qoq'!$A$1:$AT$1,),))/100+1)^4)-1=0,#N/A,(((VLOOKUP(B94,'Data qoq'!$A:$AT,MATCH($Q$1,'Data qoq'!$A$1:$AT$1,),))/100+1)^4)-1)</f>
        <v>0.13766267018411638</v>
      </c>
      <c r="R94" s="32">
        <f>IF((((VLOOKUP(B94,'Data qoq'!$A:$AT,MATCH($R$1,'Data qoq'!$A$1:$AT$1,),))/100+1)^4)-1=0,#N/A,(((VLOOKUP(B94,'Data qoq'!$A:$AT,MATCH($R$1,'Data qoq'!$A$1:$AT$1,),))/100+1)^4)-1)</f>
        <v>1.5547690688091365E-3</v>
      </c>
      <c r="S94" s="32">
        <f>IF((((VLOOKUP(B94,'Data qoq'!$A:$AT,MATCH($S$1,'Data qoq'!$A$1:$AT$1,),))/100+1)^4)-1=0,#N/A,(((VLOOKUP(B94,'Data qoq'!$A:$AT,MATCH($S$1,'Data qoq'!$A$1:$AT$1,),))/100+1)^4)-1)</f>
        <v>4.944079076650687E-2</v>
      </c>
      <c r="T94" s="32">
        <f>IF((((VLOOKUP(B94,'Data qoq'!$A:$AT,MATCH($T$1,'Data qoq'!$A$1:$AT$1,),))/100+1)^4)-1=0,#N/A,(((VLOOKUP(B94,'Data qoq'!$A:$AT,MATCH($T$1,'Data qoq'!$A$1:$AT$1,),))/100+1)^4)-1)</f>
        <v>0.13027302483984959</v>
      </c>
      <c r="U94" s="32">
        <f>IF((((VLOOKUP(B94,'Data qoq'!$A:$AT,MATCH($U$1,'Data qoq'!$A$1:$AT$1,),))/100+1)^4)-1=0,#N/A,(((VLOOKUP(B94,'Data qoq'!$A:$AT,MATCH($U$1,'Data qoq'!$A$1:$AT$1,),))/100+1)^4)-1)</f>
        <v>0.17377445900912281</v>
      </c>
      <c r="V94" s="32">
        <f>IF((((VLOOKUP(B94,'Data qoq'!$A:$AT,MATCH($V$1,'Data qoq'!$A$1:$AT$1,),))/100+1)^4)-1=0,#N/A,(((VLOOKUP(B94,'Data qoq'!$A:$AT,MATCH($V$1,'Data qoq'!$A$1:$AT$1,),))/100+1)^4)-1)</f>
        <v>-0.17792973730323092</v>
      </c>
      <c r="W94" s="32">
        <f>IF((((VLOOKUP(B94,'Data qoq'!$A:$AT,MATCH($W$1,'Data qoq'!$A$1:$AT$1,),))/100+1)^4)-1=0,#N/A,(((VLOOKUP(B94,'Data qoq'!$A:$AT,MATCH($W$1,'Data qoq'!$A$1:$AT$1,),))/100+1)^4)-1)</f>
        <v>4.897560754633079E-2</v>
      </c>
      <c r="X94" s="32">
        <f>IF((((VLOOKUP(B94,'Data qoq'!$A:$AT,MATCH($X$1,'Data qoq'!$A$1:$AT$1,),))/100+1)^4)-1=0,#N/A,(((VLOOKUP(B94,'Data qoq'!$A:$AT,MATCH($X$1,'Data qoq'!$A$1:$AT$1,),))/100+1)^4)-1)</f>
        <v>4.6408479821726134E-2</v>
      </c>
      <c r="Y94" s="32">
        <f>IF((((VLOOKUP(B94,'Data qoq'!$A:$AT,MATCH($Y$1,'Data qoq'!$A$1:$AT$1,),))/100+1)^4)-1=0,#N/A,(((VLOOKUP(B94,'Data qoq'!$A:$AT,MATCH($Y$1,'Data qoq'!$A$1:$AT$1,),))/100+1)^4)-1)</f>
        <v>-9.6081014229654205E-4</v>
      </c>
      <c r="Z94" s="32">
        <f>IF((((VLOOKUP(B94,'Data qoq'!$A:$AU,MATCH($Z$1,'Data qoq'!$A$1:$AU$1,),))/100+1)^4)-1=0,#N/A,(((VLOOKUP(B94,'Data qoq'!$A:$AU,MATCH($Z$1,'Data qoq'!$A$1:$AU$1,),))/100+1)^4)-1)</f>
        <v>0.18944846514924185</v>
      </c>
      <c r="AA94" s="32">
        <f>IF((((VLOOKUP(B94,'Data qoq'!$A:$AU,MATCH($AA$1,'Data qoq'!$A$1:$AU$1,),))/100+1)^4)-1=0,#N/A,(((VLOOKUP(B94,'Data qoq'!$A:$AU,MATCH($AA$1,'Data qoq'!$A$1:$AU$1,),))/100+1)^4)-1)</f>
        <v>-1.4486474947970729E-2</v>
      </c>
      <c r="AC94" s="26" t="str">
        <f t="shared" si="10"/>
        <v>2020-Q4</v>
      </c>
      <c r="AD94" s="31">
        <f t="shared" si="11"/>
        <v>-7.6625613955155991E-2</v>
      </c>
    </row>
    <row r="95" spans="1:31" s="70" customFormat="1" x14ac:dyDescent="0.2">
      <c r="A95" s="30">
        <v>44256</v>
      </c>
      <c r="B95" s="24" t="s">
        <v>361</v>
      </c>
      <c r="C95" s="32">
        <f>IF((((VLOOKUP(B95,'Data qoq'!$A:$AT,MATCH($C$1,'Data qoq'!$A$1:$AT$1,),))/100+1)^4)-1=0,#N/A,(((VLOOKUP(B95,'Data qoq'!$A:$AT,MATCH($C$1,'Data qoq'!$A$1:$AT$1,),))/100+1)^4)-1)</f>
        <v>6.2781766718929433E-2</v>
      </c>
      <c r="D95" s="32">
        <f>IF((((VLOOKUP(B95,'Data qoq'!$A:$AT,MATCH($D$1,'Data qoq'!$A$1:$AT$1,),))/100+1)^4)-1=0,#N/A,(((VLOOKUP(B95,'Data qoq'!$A:$AT,MATCH($D$1,'Data qoq'!$A$1:$AT$1,),))/100+1)^4)-1)</f>
        <v>2.0150500624999346E-2</v>
      </c>
      <c r="E95" s="32">
        <f>IF((((VLOOKUP(B95,'Data qoq'!$A:$AT,MATCH($E$1,'Data qoq'!$A$1:$AT$1,),))/100+1)^4)-1=0,#N/A,(((VLOOKUP(B95,'Data qoq'!$A:$AT,MATCH($E$1,'Data qoq'!$A$1:$AT$1,),))/100+1)^4)-1)</f>
        <v>-4.8352478305323521E-3</v>
      </c>
      <c r="F95" s="32">
        <f>IF((((VLOOKUP(B95,'Data qoq'!$A:$AT,MATCH($F$1,'Data qoq'!$A$1:$AT$1,),))/100+1)^4)-1=0,#N/A,(((VLOOKUP(B95,'Data qoq'!$A:$AT,MATCH($F$1,'Data qoq'!$A$1:$AT$1,),))/100+1)^4)-1)</f>
        <v>-1.584821768537259E-2</v>
      </c>
      <c r="G95" s="32">
        <f>IF((((VLOOKUP(B95,'Data qoq'!$A:$AT,MATCH($G$1,'Data qoq'!$A$1:$AT$1,),))/100+1)^4)-1=0,#N/A,(((VLOOKUP(B95,'Data qoq'!$A:$AT,MATCH($G$1,'Data qoq'!$A$1:$AT$1,),))/100+1)^4)-1)</f>
        <v>-6.5686118837064433E-2</v>
      </c>
      <c r="H95" s="32">
        <f>IF((((VLOOKUP(B95,'Data qoq'!$A:$AT,MATCH($H$1,'Data qoq'!$A$1:$AT$1,),))/100+1)^4)-1=0,#N/A,(((VLOOKUP(B95,'Data qoq'!$A:$AT,MATCH($H$1,'Data qoq'!$A$1:$AT$1,),))/100+1)^4)-1)</f>
        <v>9.2889822904524966E-3</v>
      </c>
      <c r="I95" s="32">
        <f>IF((((VLOOKUP(B95,'Data qoq'!$A:$AT,MATCH($I$1,'Data qoq'!$A$1:$AT$1,),))/100+1)^4)-1=0,#N/A,(((VLOOKUP(B95,'Data qoq'!$A:$AT,MATCH($I$1,'Data qoq'!$A$1:$AT$1,),))/100+1)^4)-1)</f>
        <v>-4.6058896076290212E-2</v>
      </c>
      <c r="J95" s="32">
        <f>IF((((VLOOKUP(B95,'Data qoq'!$A:$AT,MATCH($J$1,'Data qoq'!$A$1:$AT$1,),))/100+1)^4)-1=0,#N/A,(((VLOOKUP(B95,'Data qoq'!$A:$AT,MATCH($J$1,'Data qoq'!$A$1:$AT$1,),))/100+1)^4)-1)</f>
        <v>9.4820492089529029E-3</v>
      </c>
      <c r="K95" s="32">
        <f>IF((((VLOOKUP(B95,'Data qoq'!$A:$AT,MATCH($K$1,'Data qoq'!$A$1:$AT$1,),))/100+1)^4)-1=0,#N/A,(((VLOOKUP(B95,'Data qoq'!$A:$AT,MATCH($K$1,'Data qoq'!$A$1:$AT$1,),))/100+1)^4)-1)</f>
        <v>-1.9957093092659139E-2</v>
      </c>
      <c r="L95" s="32">
        <f>IF((((VLOOKUP(B95,'Data qoq'!$A:$AT,MATCH($L$1,'Data qoq'!$A$1:$AT$1,),))/100+1)^4)-1=0,#N/A,(((VLOOKUP(B95,'Data qoq'!$A:$AT,MATCH($L$1,'Data qoq'!$A$1:$AT$1,),))/100+1)^4)-1)</f>
        <v>6.5682177113981055E-2</v>
      </c>
      <c r="M95" s="32">
        <f>IF((((VLOOKUP(B95,'Data qoq'!$A:$AT,MATCH($M$1,'Data qoq'!$A$1:$AT$1,),))/100+1)^4)-1=0,#N/A,(((VLOOKUP(B95,'Data qoq'!$A:$AT,MATCH($M$1,'Data qoq'!$A$1:$AT$1,),))/100+1)^4)-1)</f>
        <v>1.5308295304752528E-2</v>
      </c>
      <c r="N95" s="32">
        <f>IF((((VLOOKUP(B95,'Data qoq'!$A:$AT,MATCH($N$1,'Data qoq'!$A$1:$AT$1,),))/100+1)^4)-1=0,#N/A,(((VLOOKUP(B95,'Data qoq'!$A:$AT,MATCH($N$1,'Data qoq'!$A$1:$AT$1,),))/100+1)^4)-1)</f>
        <v>2.7510921764817731E-2</v>
      </c>
      <c r="O95" s="32">
        <f>IF((((VLOOKUP(B95,'Data qoq'!$A:$AT,MATCH($O$1,'Data qoq'!$A$1:$AT$1,),))/100+1)^4)-1=0,#N/A,(((VLOOKUP(B95,'Data qoq'!$A:$AT,MATCH($O$1,'Data qoq'!$A$1:$AT$1,),))/100+1)^4)-1)</f>
        <v>5.4677858166058968E-2</v>
      </c>
      <c r="P95" s="32">
        <f>IF((((VLOOKUP(B95,'Data qoq'!$A:$AT,MATCH($P$1,'Data qoq'!$A$1:$AT$1,),))/100+1)^4)-1=0,#N/A,(((VLOOKUP(B95,'Data qoq'!$A:$AT,MATCH($P$1,'Data qoq'!$A$1:$AT$1,),))/100+1)^4)-1)</f>
        <v>4.4440094977972633E-2</v>
      </c>
      <c r="Q95" s="32">
        <f>IF((((VLOOKUP(B95,'Data qoq'!$A:$AT,MATCH($Q$1,'Data qoq'!$A$1:$AT$1,),))/100+1)^4)-1=0,#N/A,(((VLOOKUP(B95,'Data qoq'!$A:$AT,MATCH($Q$1,'Data qoq'!$A$1:$AT$1,),))/100+1)^4)-1)</f>
        <v>7.32644160484337E-2</v>
      </c>
      <c r="R95" s="32">
        <f>IF((((VLOOKUP(B95,'Data qoq'!$A:$AT,MATCH($R$1,'Data qoq'!$A$1:$AT$1,),))/100+1)^4)-1=0,#N/A,(((VLOOKUP(B95,'Data qoq'!$A:$AT,MATCH($R$1,'Data qoq'!$A$1:$AT$1,),))/100+1)^4)-1)</f>
        <v>-9.4622640060664231E-3</v>
      </c>
      <c r="S95" s="32">
        <f>IF((((VLOOKUP(B95,'Data qoq'!$A:$AT,MATCH($S$1,'Data qoq'!$A$1:$AT$1,),))/100+1)^4)-1=0,#N/A,(((VLOOKUP(B95,'Data qoq'!$A:$AT,MATCH($S$1,'Data qoq'!$A$1:$AT$1,),))/100+1)^4)-1)</f>
        <v>7.0766721142783151E-2</v>
      </c>
      <c r="T95" s="32">
        <f>IF((((VLOOKUP(B95,'Data qoq'!$A:$AT,MATCH($T$1,'Data qoq'!$A$1:$AT$1,),))/100+1)^4)-1=0,#N/A,(((VLOOKUP(B95,'Data qoq'!$A:$AT,MATCH($T$1,'Data qoq'!$A$1:$AT$1,),))/100+1)^4)-1)</f>
        <v>4.413945546079967E-2</v>
      </c>
      <c r="U95" s="32">
        <f>IF((((VLOOKUP(B95,'Data qoq'!$A:$AT,MATCH($U$1,'Data qoq'!$A$1:$AT$1,),))/100+1)^4)-1=0,#N/A,(((VLOOKUP(B95,'Data qoq'!$A:$AT,MATCH($U$1,'Data qoq'!$A$1:$AT$1,),))/100+1)^4)-1)</f>
        <v>0.14479472306275598</v>
      </c>
      <c r="V95" s="32">
        <f>IF((((VLOOKUP(B95,'Data qoq'!$A:$AT,MATCH($V$1,'Data qoq'!$A$1:$AT$1,),))/100+1)^4)-1=0,#N/A,(((VLOOKUP(B95,'Data qoq'!$A:$AT,MATCH($V$1,'Data qoq'!$A$1:$AT$1,),))/100+1)^4)-1)</f>
        <v>0.43584046059322157</v>
      </c>
      <c r="W95" s="32">
        <f>IF((((VLOOKUP(B95,'Data qoq'!$A:$AT,MATCH($W$1,'Data qoq'!$A$1:$AT$1,),))/100+1)^4)-1=0,#N/A,(((VLOOKUP(B95,'Data qoq'!$A:$AT,MATCH($W$1,'Data qoq'!$A$1:$AT$1,),))/100+1)^4)-1)</f>
        <v>9.1122709771405352E-2</v>
      </c>
      <c r="X95" s="32">
        <f>IF((((VLOOKUP(B95,'Data qoq'!$A:$AT,MATCH($X$1,'Data qoq'!$A$1:$AT$1,),))/100+1)^4)-1=0,#N/A,(((VLOOKUP(B95,'Data qoq'!$A:$AT,MATCH($X$1,'Data qoq'!$A$1:$AT$1,),))/100+1)^4)-1)</f>
        <v>-2.0471114465408613E-2</v>
      </c>
      <c r="Y95" s="32">
        <f>IF((((VLOOKUP(B95,'Data qoq'!$A:$AT,MATCH($Y$1,'Data qoq'!$A$1:$AT$1,),))/100+1)^4)-1=0,#N/A,(((VLOOKUP(B95,'Data qoq'!$A:$AT,MATCH($Y$1,'Data qoq'!$A$1:$AT$1,),))/100+1)^4)-1)</f>
        <v>5.5283979320400967E-2</v>
      </c>
      <c r="Z95" s="32">
        <f>IF((((VLOOKUP(B95,'Data qoq'!$A:$AU,MATCH($Z$1,'Data qoq'!$A$1:$AU$1,),))/100+1)^4)-1=0,#N/A,(((VLOOKUP(B95,'Data qoq'!$A:$AU,MATCH($Z$1,'Data qoq'!$A$1:$AU$1,),))/100+1)^4)-1)</f>
        <v>0.14126311696575811</v>
      </c>
      <c r="AA95" s="32">
        <f>IF((((VLOOKUP(B95,'Data qoq'!$A:$AU,MATCH($AA$1,'Data qoq'!$A$1:$AU$1,),))/100+1)^4)-1=0,#N/A,(((VLOOKUP(B95,'Data qoq'!$A:$AU,MATCH($AA$1,'Data qoq'!$A$1:$AU$1,),))/100+1)^4)-1)</f>
        <v>7.0223627789077092E-2</v>
      </c>
      <c r="AC95" s="26" t="str">
        <f t="shared" si="10"/>
        <v>2021-Q1</v>
      </c>
      <c r="AD95" s="31">
        <f t="shared" si="11"/>
        <v>4.122364824575786E-2</v>
      </c>
    </row>
    <row r="96" spans="1:31" s="70" customFormat="1" x14ac:dyDescent="0.2">
      <c r="A96" s="30">
        <v>44348</v>
      </c>
      <c r="B96" s="24" t="s">
        <v>362</v>
      </c>
      <c r="C96" s="32">
        <f>IF((((VLOOKUP(B96,'Data qoq'!$A:$AT,MATCH($C$1,'Data qoq'!$A$1:$AT$1,),))/100+1)^4)-1=0,#N/A,(((VLOOKUP(B96,'Data qoq'!$A:$AT,MATCH($C$1,'Data qoq'!$A$1:$AT$1,),))/100+1)^4)-1)</f>
        <v>6.726283147809986E-2</v>
      </c>
      <c r="D96" s="32">
        <f>IF((((VLOOKUP(B96,'Data qoq'!$A:$AT,MATCH($D$1,'Data qoq'!$A$1:$AT$1,),))/100+1)^4)-1=0,#N/A,(((VLOOKUP(B96,'Data qoq'!$A:$AT,MATCH($D$1,'Data qoq'!$A$1:$AT$1,),))/100+1)^4)-1)</f>
        <v>4.8870932735999961E-2</v>
      </c>
      <c r="E96" s="32">
        <f>IF((((VLOOKUP(B96,'Data qoq'!$A:$AT,MATCH($E$1,'Data qoq'!$A$1:$AT$1,),))/100+1)^4)-1=0,#N/A,(((VLOOKUP(B96,'Data qoq'!$A:$AT,MATCH($E$1,'Data qoq'!$A$1:$AT$1,),))/100+1)^4)-1)</f>
        <v>8.931448241244988E-2</v>
      </c>
      <c r="F96" s="32">
        <f>IF((((VLOOKUP(B96,'Data qoq'!$A:$AT,MATCH($F$1,'Data qoq'!$A$1:$AT$1,),))/100+1)^4)-1=0,#N/A,(((VLOOKUP(B96,'Data qoq'!$A:$AT,MATCH($F$1,'Data qoq'!$A$1:$AT$1,),))/100+1)^4)-1)</f>
        <v>2.5658131305978937E-2</v>
      </c>
      <c r="G96" s="32">
        <f>IF((((VLOOKUP(B96,'Data qoq'!$A:$AT,MATCH($G$1,'Data qoq'!$A$1:$AT$1,),))/100+1)^4)-1=0,#N/A,(((VLOOKUP(B96,'Data qoq'!$A:$AT,MATCH($G$1,'Data qoq'!$A$1:$AT$1,),))/100+1)^4)-1)</f>
        <v>8.9824320225273979E-2</v>
      </c>
      <c r="H96" s="32">
        <f>IF((((VLOOKUP(B96,'Data qoq'!$A:$AT,MATCH($H$1,'Data qoq'!$A$1:$AT$1,),))/100+1)^4)-1=0,#N/A,(((VLOOKUP(B96,'Data qoq'!$A:$AT,MATCH($H$1,'Data qoq'!$A$1:$AT$1,),))/100+1)^4)-1)</f>
        <v>3.9956404481528152E-2</v>
      </c>
      <c r="I96" s="32">
        <f>IF((((VLOOKUP(B96,'Data qoq'!$A:$AT,MATCH($I$1,'Data qoq'!$A$1:$AT$1,),))/100+1)^4)-1=0,#N/A,(((VLOOKUP(B96,'Data qoq'!$A:$AT,MATCH($I$1,'Data qoq'!$A$1:$AT$1,),))/100+1)^4)-1)</f>
        <v>0.24144512523615758</v>
      </c>
      <c r="J96" s="32">
        <f>IF((((VLOOKUP(B96,'Data qoq'!$A:$AT,MATCH($J$1,'Data qoq'!$A$1:$AT$1,),))/100+1)^4)-1=0,#N/A,(((VLOOKUP(B96,'Data qoq'!$A:$AT,MATCH($J$1,'Data qoq'!$A$1:$AT$1,),))/100+1)^4)-1)</f>
        <v>0.11195500638972988</v>
      </c>
      <c r="K96" s="32">
        <f>IF((((VLOOKUP(B96,'Data qoq'!$A:$AT,MATCH($K$1,'Data qoq'!$A$1:$AT$1,),))/100+1)^4)-1=0,#N/A,(((VLOOKUP(B96,'Data qoq'!$A:$AT,MATCH($K$1,'Data qoq'!$A$1:$AT$1,),))/100+1)^4)-1)</f>
        <v>4.5903936555086622E-2</v>
      </c>
      <c r="L96" s="32">
        <f>IF((((VLOOKUP(B96,'Data qoq'!$A:$AT,MATCH($L$1,'Data qoq'!$A$1:$AT$1,),))/100+1)^4)-1=0,#N/A,(((VLOOKUP(B96,'Data qoq'!$A:$AT,MATCH($L$1,'Data qoq'!$A$1:$AT$1,),))/100+1)^4)-1)</f>
        <v>3.0777357515298309E-2</v>
      </c>
      <c r="M96" s="32">
        <f>IF((((VLOOKUP(B96,'Data qoq'!$A:$AT,MATCH($M$1,'Data qoq'!$A$1:$AT$1,),))/100+1)^4)-1=0,#N/A,(((VLOOKUP(B96,'Data qoq'!$A:$AT,MATCH($M$1,'Data qoq'!$A$1:$AT$1,),))/100+1)^4)-1)</f>
        <v>4.8889749897329082E-2</v>
      </c>
      <c r="N96" s="32">
        <f>IF((((VLOOKUP(B96,'Data qoq'!$A:$AT,MATCH($N$1,'Data qoq'!$A$1:$AT$1,),))/100+1)^4)-1=0,#N/A,(((VLOOKUP(B96,'Data qoq'!$A:$AT,MATCH($N$1,'Data qoq'!$A$1:$AT$1,),))/100+1)^4)-1)</f>
        <v>0.13387758235823033</v>
      </c>
      <c r="O96" s="32">
        <f>IF((((VLOOKUP(B96,'Data qoq'!$A:$AT,MATCH($O$1,'Data qoq'!$A$1:$AT$1,),))/100+1)^4)-1=0,#N/A,(((VLOOKUP(B96,'Data qoq'!$A:$AT,MATCH($O$1,'Data qoq'!$A$1:$AT$1,),))/100+1)^4)-1)</f>
        <v>-0.36559311502857028</v>
      </c>
      <c r="P96" s="32">
        <f>IF((((VLOOKUP(B96,'Data qoq'!$A:$AT,MATCH($P$1,'Data qoq'!$A$1:$AT$1,),))/100+1)^4)-1=0,#N/A,(((VLOOKUP(B96,'Data qoq'!$A:$AT,MATCH($P$1,'Data qoq'!$A$1:$AT$1,),))/100+1)^4)-1)</f>
        <v>-3.1307528987499111E-2</v>
      </c>
      <c r="Q96" s="32">
        <f>IF((((VLOOKUP(B96,'Data qoq'!$A:$AT,MATCH($Q$1,'Data qoq'!$A$1:$AT$1,),))/100+1)^4)-1=0,#N/A,(((VLOOKUP(B96,'Data qoq'!$A:$AT,MATCH($Q$1,'Data qoq'!$A$1:$AT$1,),))/100+1)^4)-1)</f>
        <v>3.326315043010708E-2</v>
      </c>
      <c r="R96" s="32">
        <f>IF((((VLOOKUP(B96,'Data qoq'!$A:$AT,MATCH($R$1,'Data qoq'!$A$1:$AT$1,),))/100+1)^4)-1=0,#N/A,(((VLOOKUP(B96,'Data qoq'!$A:$AT,MATCH($R$1,'Data qoq'!$A$1:$AT$1,),))/100+1)^4)-1)</f>
        <v>8.1327357735249795E-2</v>
      </c>
      <c r="S96" s="32">
        <f>IF((((VLOOKUP(B96,'Data qoq'!$A:$AT,MATCH($S$1,'Data qoq'!$A$1:$AT$1,),))/100+1)^4)-1=0,#N/A,(((VLOOKUP(B96,'Data qoq'!$A:$AT,MATCH($S$1,'Data qoq'!$A$1:$AT$1,),))/100+1)^4)-1)</f>
        <v>3.3752918181777503E-2</v>
      </c>
      <c r="T96" s="32">
        <f>IF((((VLOOKUP(B96,'Data qoq'!$A:$AT,MATCH($T$1,'Data qoq'!$A$1:$AT$1,),))/100+1)^4)-1=0,#N/A,(((VLOOKUP(B96,'Data qoq'!$A:$AT,MATCH($T$1,'Data qoq'!$A$1:$AT$1,),))/100+1)^4)-1)</f>
        <v>-8.6333808311143123E-3</v>
      </c>
      <c r="U96" s="32">
        <f>IF((((VLOOKUP(B96,'Data qoq'!$A:$AT,MATCH($U$1,'Data qoq'!$A$1:$AT$1,),))/100+1)^4)-1=0,#N/A,(((VLOOKUP(B96,'Data qoq'!$A:$AT,MATCH($U$1,'Data qoq'!$A$1:$AT$1,),))/100+1)^4)-1)</f>
        <v>5.4910084978339491E-2</v>
      </c>
      <c r="V96" s="32">
        <f>IF((((VLOOKUP(B96,'Data qoq'!$A:$AT,MATCH($V$1,'Data qoq'!$A$1:$AT$1,),))/100+1)^4)-1=0,#N/A,(((VLOOKUP(B96,'Data qoq'!$A:$AT,MATCH($V$1,'Data qoq'!$A$1:$AT$1,),))/100+1)^4)-1)</f>
        <v>0.21388316291765497</v>
      </c>
      <c r="W96" s="32">
        <f>IF((((VLOOKUP(B96,'Data qoq'!$A:$AT,MATCH($W$1,'Data qoq'!$A$1:$AT$1,),))/100+1)^4)-1=0,#N/A,(((VLOOKUP(B96,'Data qoq'!$A:$AT,MATCH($W$1,'Data qoq'!$A$1:$AT$1,),))/100+1)^4)-1)</f>
        <v>6.9252150049457617E-2</v>
      </c>
      <c r="X96" s="32">
        <f>IF((((VLOOKUP(B96,'Data qoq'!$A:$AT,MATCH($X$1,'Data qoq'!$A$1:$AT$1,),))/100+1)^4)-1=0,#N/A,(((VLOOKUP(B96,'Data qoq'!$A:$AT,MATCH($X$1,'Data qoq'!$A$1:$AT$1,),))/100+1)^4)-1)</f>
        <v>5.7480556122813775E-2</v>
      </c>
      <c r="Y96" s="32">
        <f>IF((((VLOOKUP(B96,'Data qoq'!$A:$AT,MATCH($Y$1,'Data qoq'!$A$1:$AT$1,),))/100+1)^4)-1=0,#N/A,(((VLOOKUP(B96,'Data qoq'!$A:$AT,MATCH($Y$1,'Data qoq'!$A$1:$AT$1,),))/100+1)^4)-1)</f>
        <v>8.3102930169385303E-2</v>
      </c>
      <c r="Z96" s="32">
        <f>IF((((VLOOKUP(B96,'Data qoq'!$A:$AU,MATCH($Z$1,'Data qoq'!$A$1:$AU$1,),))/100+1)^4)-1=0,#N/A,(((VLOOKUP(B96,'Data qoq'!$A:$AU,MATCH($Z$1,'Data qoq'!$A$1:$AU$1,),))/100+1)^4)-1)</f>
        <v>-3.1616756111547017E-2</v>
      </c>
      <c r="AA96" s="32">
        <f>IF((((VLOOKUP(B96,'Data qoq'!$A:$AU,MATCH($AA$1,'Data qoq'!$A$1:$AU$1,),))/100+1)^4)-1=0,#N/A,(((VLOOKUP(B96,'Data qoq'!$A:$AU,MATCH($AA$1,'Data qoq'!$A$1:$AU$1,),))/100+1)^4)-1)</f>
        <v>9.8265117486313169E-2</v>
      </c>
      <c r="AC96" s="26" t="str">
        <f t="shared" si="10"/>
        <v>2021-Q2</v>
      </c>
      <c r="AD96" s="31">
        <f t="shared" si="11"/>
        <v>-0.1521306428237077</v>
      </c>
    </row>
    <row r="97" spans="1:30" s="70" customFormat="1" x14ac:dyDescent="0.2">
      <c r="A97" s="30">
        <v>44440</v>
      </c>
      <c r="B97" s="24" t="s">
        <v>363</v>
      </c>
      <c r="C97" s="32">
        <f>IF((((VLOOKUP(B97,'Data qoq'!$A:$AT,MATCH($C$1,'Data qoq'!$A$1:$AT$1,),))/100+1)^4)-1=0,#N/A,(((VLOOKUP(B97,'Data qoq'!$A:$AT,MATCH($C$1,'Data qoq'!$A$1:$AT$1,),))/100+1)^4)-1)</f>
        <v>2.303425902456091E-2</v>
      </c>
      <c r="D97" s="32">
        <f>IF((((VLOOKUP(B97,'Data qoq'!$A:$AT,MATCH($D$1,'Data qoq'!$A$1:$AT$1,),))/100+1)^4)-1=0,#N/A,(((VLOOKUP(B97,'Data qoq'!$A:$AT,MATCH($D$1,'Data qoq'!$A$1:$AT$1,),))/100+1)^4)-1)</f>
        <v>2.8295374400999496E-2</v>
      </c>
      <c r="E97" s="32">
        <f>IF((((VLOOKUP(B97,'Data qoq'!$A:$AT,MATCH($E$1,'Data qoq'!$A$1:$AT$1,),))/100+1)^4)-1=0,#N/A,(((VLOOKUP(B97,'Data qoq'!$A:$AT,MATCH($E$1,'Data qoq'!$A$1:$AT$1,),))/100+1)^4)-1)</f>
        <v>9.5950194166070091E-2</v>
      </c>
      <c r="F97" s="32">
        <f>IF((((VLOOKUP(B97,'Data qoq'!$A:$AT,MATCH($F$1,'Data qoq'!$A$1:$AT$1,),))/100+1)^4)-1=0,#N/A,(((VLOOKUP(B97,'Data qoq'!$A:$AT,MATCH($F$1,'Data qoq'!$A$1:$AT$1,),))/100+1)^4)-1)</f>
        <v>-3.1516503540631735E-2</v>
      </c>
      <c r="G97" s="32">
        <f>IF((((VLOOKUP(B97,'Data qoq'!$A:$AT,MATCH($G$1,'Data qoq'!$A$1:$AT$1,),))/100+1)^4)-1=0,#N/A,(((VLOOKUP(B97,'Data qoq'!$A:$AT,MATCH($G$1,'Data qoq'!$A$1:$AT$1,),))/100+1)^4)-1)</f>
        <v>6.8472304027986208E-2</v>
      </c>
      <c r="H97" s="32">
        <f>IF((((VLOOKUP(B97,'Data qoq'!$A:$AT,MATCH($H$1,'Data qoq'!$A$1:$AT$1,),))/100+1)^4)-1=0,#N/A,(((VLOOKUP(B97,'Data qoq'!$A:$AT,MATCH($H$1,'Data qoq'!$A$1:$AT$1,),))/100+1)^4)-1)</f>
        <v>0.13480144757866741</v>
      </c>
      <c r="I97" s="32">
        <f>IF((((VLOOKUP(B97,'Data qoq'!$A:$AT,MATCH($I$1,'Data qoq'!$A$1:$AT$1,),))/100+1)^4)-1=0,#N/A,(((VLOOKUP(B97,'Data qoq'!$A:$AT,MATCH($I$1,'Data qoq'!$A$1:$AT$1,),))/100+1)^4)-1)</f>
        <v>3.802406314568163E-2</v>
      </c>
      <c r="J97" s="32">
        <f>IF((((VLOOKUP(B97,'Data qoq'!$A:$AT,MATCH($J$1,'Data qoq'!$A$1:$AT$1,),))/100+1)^4)-1=0,#N/A,(((VLOOKUP(B97,'Data qoq'!$A:$AT,MATCH($J$1,'Data qoq'!$A$1:$AT$1,),))/100+1)^4)-1)</f>
        <v>0.10910287258255469</v>
      </c>
      <c r="K97" s="32">
        <f>IF((((VLOOKUP(B97,'Data qoq'!$A:$AT,MATCH($K$1,'Data qoq'!$A$1:$AT$1,),))/100+1)^4)-1=0,#N/A,(((VLOOKUP(B97,'Data qoq'!$A:$AT,MATCH($K$1,'Data qoq'!$A$1:$AT$1,),))/100+1)^4)-1)</f>
        <v>0.10838064542496717</v>
      </c>
      <c r="L97" s="32">
        <f>IF((((VLOOKUP(B97,'Data qoq'!$A:$AT,MATCH($L$1,'Data qoq'!$A$1:$AT$1,),))/100+1)^4)-1=0,#N/A,(((VLOOKUP(B97,'Data qoq'!$A:$AT,MATCH($L$1,'Data qoq'!$A$1:$AT$1,),))/100+1)^4)-1)</f>
        <v>8.2602183473457824E-2</v>
      </c>
      <c r="M97" s="32">
        <f>IF((((VLOOKUP(B97,'Data qoq'!$A:$AT,MATCH($M$1,'Data qoq'!$A$1:$AT$1,),))/100+1)^4)-1=0,#N/A,(((VLOOKUP(B97,'Data qoq'!$A:$AT,MATCH($M$1,'Data qoq'!$A$1:$AT$1,),))/100+1)^4)-1)</f>
        <v>-2.4524129552030649E-2</v>
      </c>
      <c r="N97" s="32">
        <f>IF((((VLOOKUP(B97,'Data qoq'!$A:$AT,MATCH($N$1,'Data qoq'!$A$1:$AT$1,),))/100+1)^4)-1=0,#N/A,(((VLOOKUP(B97,'Data qoq'!$A:$AT,MATCH($N$1,'Data qoq'!$A$1:$AT$1,),))/100+1)^4)-1)</f>
        <v>-3.1403494139439658E-2</v>
      </c>
      <c r="O97" s="32">
        <f>IF((((VLOOKUP(B97,'Data qoq'!$A:$AT,MATCH($O$1,'Data qoq'!$A$1:$AT$1,),))/100+1)^4)-1=0,#N/A,(((VLOOKUP(B97,'Data qoq'!$A:$AT,MATCH($O$1,'Data qoq'!$A$1:$AT$1,),))/100+1)^4)-1)</f>
        <v>0.67593375111255871</v>
      </c>
      <c r="P97" s="32">
        <f>IF((((VLOOKUP(B97,'Data qoq'!$A:$AT,MATCH($P$1,'Data qoq'!$A$1:$AT$1,),))/100+1)^4)-1=0,#N/A,(((VLOOKUP(B97,'Data qoq'!$A:$AT,MATCH($P$1,'Data qoq'!$A$1:$AT$1,),))/100+1)^4)-1)</f>
        <v>5.3347971517280435E-2</v>
      </c>
      <c r="Q97" s="32">
        <f>IF((((VLOOKUP(B97,'Data qoq'!$A:$AT,MATCH($Q$1,'Data qoq'!$A$1:$AT$1,),))/100+1)^4)-1=0,#N/A,(((VLOOKUP(B97,'Data qoq'!$A:$AT,MATCH($Q$1,'Data qoq'!$A$1:$AT$1,),))/100+1)^4)-1)</f>
        <v>-7.0850765888653244E-2</v>
      </c>
      <c r="R97" s="32">
        <f>IF((((VLOOKUP(B97,'Data qoq'!$A:$AT,MATCH($R$1,'Data qoq'!$A$1:$AT$1,),))/100+1)^4)-1=0,#N/A,(((VLOOKUP(B97,'Data qoq'!$A:$AT,MATCH($R$1,'Data qoq'!$A$1:$AT$1,),))/100+1)^4)-1)</f>
        <v>7.6957880785752719E-2</v>
      </c>
      <c r="S97" s="32">
        <f>IF((((VLOOKUP(B97,'Data qoq'!$A:$AT,MATCH($S$1,'Data qoq'!$A$1:$AT$1,),))/100+1)^4)-1=0,#N/A,(((VLOOKUP(B97,'Data qoq'!$A:$AT,MATCH($S$1,'Data qoq'!$A$1:$AT$1,),))/100+1)^4)-1)</f>
        <v>8.5568806436422395E-3</v>
      </c>
      <c r="T97" s="32">
        <f>IF((((VLOOKUP(B97,'Data qoq'!$A:$AT,MATCH($T$1,'Data qoq'!$A$1:$AT$1,),))/100+1)^4)-1=0,#N/A,(((VLOOKUP(B97,'Data qoq'!$A:$AT,MATCH($T$1,'Data qoq'!$A$1:$AT$1,),))/100+1)^4)-1)</f>
        <v>2.5437765152112046E-3</v>
      </c>
      <c r="U97" s="32">
        <f>IF((((VLOOKUP(B97,'Data qoq'!$A:$AT,MATCH($U$1,'Data qoq'!$A$1:$AT$1,),))/100+1)^4)-1=0,#N/A,(((VLOOKUP(B97,'Data qoq'!$A:$AT,MATCH($U$1,'Data qoq'!$A$1:$AT$1,),))/100+1)^4)-1)</f>
        <v>9.6462668750436853E-2</v>
      </c>
      <c r="V97" s="32">
        <f>IF((((VLOOKUP(B97,'Data qoq'!$A:$AT,MATCH($V$1,'Data qoq'!$A$1:$AT$1,),))/100+1)^4)-1=0,#N/A,(((VLOOKUP(B97,'Data qoq'!$A:$AT,MATCH($V$1,'Data qoq'!$A$1:$AT$1,),))/100+1)^4)-1)</f>
        <v>7.9491130621908601E-2</v>
      </c>
      <c r="W97" s="32">
        <f>IF((((VLOOKUP(B97,'Data qoq'!$A:$AT,MATCH($W$1,'Data qoq'!$A$1:$AT$1,),))/100+1)^4)-1=0,#N/A,(((VLOOKUP(B97,'Data qoq'!$A:$AT,MATCH($W$1,'Data qoq'!$A$1:$AT$1,),))/100+1)^4)-1)</f>
        <v>0.11566098472953357</v>
      </c>
      <c r="X97" s="32">
        <f>IF((((VLOOKUP(B97,'Data qoq'!$A:$AT,MATCH($X$1,'Data qoq'!$A$1:$AT$1,),))/100+1)^4)-1=0,#N/A,(((VLOOKUP(B97,'Data qoq'!$A:$AT,MATCH($X$1,'Data qoq'!$A$1:$AT$1,),))/100+1)^4)-1)</f>
        <v>6.9704784051410673E-2</v>
      </c>
      <c r="Y97" s="32">
        <f>IF((((VLOOKUP(B97,'Data qoq'!$A:$AT,MATCH($Y$1,'Data qoq'!$A$1:$AT$1,),))/100+1)^4)-1=0,#N/A,(((VLOOKUP(B97,'Data qoq'!$A:$AT,MATCH($Y$1,'Data qoq'!$A$1:$AT$1,),))/100+1)^4)-1)</f>
        <v>0.10822326248414615</v>
      </c>
      <c r="Z97" s="32">
        <f>IF((((VLOOKUP(B97,'Data qoq'!$A:$AU,MATCH($Z$1,'Data qoq'!$A$1:$AU$1,),))/100+1)^4)-1=0,#N/A,(((VLOOKUP(B97,'Data qoq'!$A:$AU,MATCH($Z$1,'Data qoq'!$A$1:$AU$1,),))/100+1)^4)-1)</f>
        <v>0.17363122525488439</v>
      </c>
      <c r="AA97" s="32">
        <f>IF((((VLOOKUP(B97,'Data qoq'!$A:$AU,MATCH($AA$1,'Data qoq'!$A$1:$AU$1,),))/100+1)^4)-1=0,#N/A,(((VLOOKUP(B97,'Data qoq'!$A:$AU,MATCH($AA$1,'Data qoq'!$A$1:$AU$1,),))/100+1)^4)-1)</f>
        <v>-0.14473372685231067</v>
      </c>
      <c r="AC97" s="26" t="str">
        <f t="shared" si="10"/>
        <v>2021-Q3</v>
      </c>
      <c r="AD97" s="31">
        <f t="shared" si="11"/>
        <v>5.7926131020388461E-2</v>
      </c>
    </row>
    <row r="98" spans="1:30" s="70" customFormat="1" x14ac:dyDescent="0.2">
      <c r="A98" s="30">
        <v>44531</v>
      </c>
      <c r="B98" s="24" t="s">
        <v>364</v>
      </c>
      <c r="C98" s="32">
        <f>IF((((VLOOKUP(B98,'Data qoq'!$A:$AT,MATCH($C$1,'Data qoq'!$A$1:$AT$1,),))/100+1)^4)-1=0,#N/A,(((VLOOKUP(B98,'Data qoq'!$A:$AT,MATCH($C$1,'Data qoq'!$A$1:$AT$1,),))/100+1)^4)-1)</f>
        <v>6.8945212693952929E-2</v>
      </c>
      <c r="D98" s="32">
        <f>IF((((VLOOKUP(B98,'Data qoq'!$A:$AT,MATCH($D$1,'Data qoq'!$A$1:$AT$1,),))/100+1)^4)-1=0,#N/A,(((VLOOKUP(B98,'Data qoq'!$A:$AT,MATCH($D$1,'Data qoq'!$A$1:$AT$1,),))/100+1)^4)-1)</f>
        <v>6.136355062499943E-2</v>
      </c>
      <c r="E98" s="32">
        <f>IF((((VLOOKUP(B98,'Data qoq'!$A:$AT,MATCH($E$1,'Data qoq'!$A$1:$AT$1,),))/100+1)^4)-1=0,#N/A,(((VLOOKUP(B98,'Data qoq'!$A:$AT,MATCH($E$1,'Data qoq'!$A$1:$AT$1,),))/100+1)^4)-1)</f>
        <v>1.0016606311789245E-2</v>
      </c>
      <c r="F98" s="32">
        <f>IF((((VLOOKUP(B98,'Data qoq'!$A:$AT,MATCH($F$1,'Data qoq'!$A$1:$AT$1,),))/100+1)^4)-1=0,#N/A,(((VLOOKUP(B98,'Data qoq'!$A:$AT,MATCH($F$1,'Data qoq'!$A$1:$AT$1,),))/100+1)^4)-1)</f>
        <v>3.9892586188130963E-2</v>
      </c>
      <c r="G98" s="32">
        <f>IF((((VLOOKUP(B98,'Data qoq'!$A:$AT,MATCH($G$1,'Data qoq'!$A$1:$AT$1,),))/100+1)^4)-1=0,#N/A,(((VLOOKUP(B98,'Data qoq'!$A:$AT,MATCH($G$1,'Data qoq'!$A$1:$AT$1,),))/100+1)^4)-1)</f>
        <v>-1.3815396682271053E-2</v>
      </c>
      <c r="H98" s="32">
        <f>IF((((VLOOKUP(B98,'Data qoq'!$A:$AT,MATCH($H$1,'Data qoq'!$A$1:$AT$1,),))/100+1)^4)-1=0,#N/A,(((VLOOKUP(B98,'Data qoq'!$A:$AT,MATCH($H$1,'Data qoq'!$A$1:$AT$1,),))/100+1)^4)-1)</f>
        <v>1.7850843663596239E-2</v>
      </c>
      <c r="I98" s="32">
        <f>IF((((VLOOKUP(B98,'Data qoq'!$A:$AT,MATCH($I$1,'Data qoq'!$A$1:$AT$1,),))/100+1)^4)-1=0,#N/A,(((VLOOKUP(B98,'Data qoq'!$A:$AT,MATCH($I$1,'Data qoq'!$A$1:$AT$1,),))/100+1)^4)-1)</f>
        <v>5.1993563625140959E-2</v>
      </c>
      <c r="J98" s="32">
        <f>IF((((VLOOKUP(B98,'Data qoq'!$A:$AT,MATCH($J$1,'Data qoq'!$A$1:$AT$1,),))/100+1)^4)-1=0,#N/A,(((VLOOKUP(B98,'Data qoq'!$A:$AT,MATCH($J$1,'Data qoq'!$A$1:$AT$1,),))/100+1)^4)-1)</f>
        <v>2.7827653818170095E-2</v>
      </c>
      <c r="K98" s="32">
        <f>IF((((VLOOKUP(B98,'Data qoq'!$A:$AT,MATCH($K$1,'Data qoq'!$A$1:$AT$1,),))/100+1)^4)-1=0,#N/A,(((VLOOKUP(B98,'Data qoq'!$A:$AT,MATCH($K$1,'Data qoq'!$A$1:$AT$1,),))/100+1)^4)-1)</f>
        <v>9.1898343372601943E-2</v>
      </c>
      <c r="L98" s="32">
        <f>IF((((VLOOKUP(B98,'Data qoq'!$A:$AT,MATCH($L$1,'Data qoq'!$A$1:$AT$1,),))/100+1)^4)-1=0,#N/A,(((VLOOKUP(B98,'Data qoq'!$A:$AT,MATCH($L$1,'Data qoq'!$A$1:$AT$1,),))/100+1)^4)-1)</f>
        <v>4.6967501889367824E-2</v>
      </c>
      <c r="M98" s="32">
        <f>IF((((VLOOKUP(B98,'Data qoq'!$A:$AT,MATCH($M$1,'Data qoq'!$A$1:$AT$1,),))/100+1)^4)-1=0,#N/A,(((VLOOKUP(B98,'Data qoq'!$A:$AT,MATCH($M$1,'Data qoq'!$A$1:$AT$1,),))/100+1)^4)-1)</f>
        <v>9.6890582571933503E-3</v>
      </c>
      <c r="N98" s="32" t="e">
        <f>IF((((VLOOKUP(B98,'Data qoq'!$A:$AT,MATCH($N$1,'Data qoq'!$A$1:$AT$1,),))/100+1)^4)-1=0,#N/A,(((VLOOKUP(B98,'Data qoq'!$A:$AT,MATCH($N$1,'Data qoq'!$A$1:$AT$1,),))/100+1)^4)-1)</f>
        <v>#N/A</v>
      </c>
      <c r="O98" s="32">
        <f>IF((((VLOOKUP(B98,'Data qoq'!$A:$AT,MATCH($O$1,'Data qoq'!$A$1:$AT$1,),))/100+1)^4)-1=0,#N/A,(((VLOOKUP(B98,'Data qoq'!$A:$AT,MATCH($O$1,'Data qoq'!$A$1:$AT$1,),))/100+1)^4)-1)</f>
        <v>7.026672048793503E-2</v>
      </c>
      <c r="P98" s="32">
        <f>IF((((VLOOKUP(B98,'Data qoq'!$A:$AT,MATCH($P$1,'Data qoq'!$A$1:$AT$1,),))/100+1)^4)-1=0,#N/A,(((VLOOKUP(B98,'Data qoq'!$A:$AT,MATCH($P$1,'Data qoq'!$A$1:$AT$1,),))/100+1)^4)-1)</f>
        <v>6.5660508676168572E-2</v>
      </c>
      <c r="Q98" s="32">
        <f>IF((((VLOOKUP(B98,'Data qoq'!$A:$AT,MATCH($Q$1,'Data qoq'!$A$1:$AT$1,),))/100+1)^4)-1=0,#N/A,(((VLOOKUP(B98,'Data qoq'!$A:$AT,MATCH($Q$1,'Data qoq'!$A$1:$AT$1,),))/100+1)^4)-1)</f>
        <v>0.15299543530422177</v>
      </c>
      <c r="R98" s="32">
        <f>IF((((VLOOKUP(B98,'Data qoq'!$A:$AT,MATCH($R$1,'Data qoq'!$A$1:$AT$1,),))/100+1)^4)-1=0,#N/A,(((VLOOKUP(B98,'Data qoq'!$A:$AT,MATCH($R$1,'Data qoq'!$A$1:$AT$1,),))/100+1)^4)-1)</f>
        <v>6.3217236647852282E-3</v>
      </c>
      <c r="S98" s="32">
        <f>IF((((VLOOKUP(B98,'Data qoq'!$A:$AT,MATCH($S$1,'Data qoq'!$A$1:$AT$1,),))/100+1)^4)-1=0,#N/A,(((VLOOKUP(B98,'Data qoq'!$A:$AT,MATCH($S$1,'Data qoq'!$A$1:$AT$1,),))/100+1)^4)-1)</f>
        <v>5.4594424555507448E-2</v>
      </c>
      <c r="T98" s="32">
        <f>IF((((VLOOKUP(B98,'Data qoq'!$A:$AT,MATCH($T$1,'Data qoq'!$A$1:$AT$1,),))/100+1)^4)-1=0,#N/A,(((VLOOKUP(B98,'Data qoq'!$A:$AT,MATCH($T$1,'Data qoq'!$A$1:$AT$1,),))/100+1)^4)-1)</f>
        <v>2.6752823220055122E-2</v>
      </c>
      <c r="U98" s="32">
        <f>IF((((VLOOKUP(B98,'Data qoq'!$A:$AT,MATCH($U$1,'Data qoq'!$A$1:$AT$1,),))/100+1)^4)-1=0,#N/A,(((VLOOKUP(B98,'Data qoq'!$A:$AT,MATCH($U$1,'Data qoq'!$A$1:$AT$1,),))/100+1)^4)-1)</f>
        <v>3.2760397131206265E-2</v>
      </c>
      <c r="V98" s="32">
        <f>IF((((VLOOKUP(B98,'Data qoq'!$A:$AT,MATCH($V$1,'Data qoq'!$A$1:$AT$1,),))/100+1)^4)-1=0,#N/A,(((VLOOKUP(B98,'Data qoq'!$A:$AT,MATCH($V$1,'Data qoq'!$A$1:$AT$1,),))/100+1)^4)-1)</f>
        <v>-0.22456168546362865</v>
      </c>
      <c r="W98" s="32">
        <f>IF((((VLOOKUP(B98,'Data qoq'!$A:$AT,MATCH($W$1,'Data qoq'!$A$1:$AT$1,),))/100+1)^4)-1=0,#N/A,(((VLOOKUP(B98,'Data qoq'!$A:$AT,MATCH($W$1,'Data qoq'!$A$1:$AT$1,),))/100+1)^4)-1)</f>
        <v>6.1822498060402298E-2</v>
      </c>
      <c r="X98" s="32">
        <f>IF((((VLOOKUP(B98,'Data qoq'!$A:$AT,MATCH($X$1,'Data qoq'!$A$1:$AT$1,),))/100+1)^4)-1=0,#N/A,(((VLOOKUP(B98,'Data qoq'!$A:$AT,MATCH($X$1,'Data qoq'!$A$1:$AT$1,),))/100+1)^4)-1)</f>
        <v>3.4306016795950356E-2</v>
      </c>
      <c r="Y98" s="32">
        <f>IF((((VLOOKUP(B98,'Data qoq'!$A:$AT,MATCH($Y$1,'Data qoq'!$A$1:$AT$1,),))/100+1)^4)-1=0,#N/A,(((VLOOKUP(B98,'Data qoq'!$A:$AT,MATCH($Y$1,'Data qoq'!$A$1:$AT$1,),))/100+1)^4)-1)</f>
        <v>7.3255474636446882E-2</v>
      </c>
      <c r="Z98" s="32">
        <f>IF((((VLOOKUP(B98,'Data qoq'!$A:$AU,MATCH($Z$1,'Data qoq'!$A$1:$AU$1,),))/100+1)^4)-1=0,#N/A,(((VLOOKUP(B98,'Data qoq'!$A:$AU,MATCH($Z$1,'Data qoq'!$A$1:$AU$1,),))/100+1)^4)-1)</f>
        <v>7.6179336342646176E-2</v>
      </c>
      <c r="AA98" s="32">
        <f>IF((((VLOOKUP(B98,'Data qoq'!$A:$AU,MATCH($AA$1,'Data qoq'!$A$1:$AU$1,),))/100+1)^4)-1=0,#N/A,(((VLOOKUP(B98,'Data qoq'!$A:$AU,MATCH($AA$1,'Data qoq'!$A$1:$AU$1,),))/100+1)^4)-1)</f>
        <v>0.12428107938672373</v>
      </c>
      <c r="AC98" s="26" t="str">
        <f t="shared" si="10"/>
        <v>2021-Q4</v>
      </c>
      <c r="AD98" s="31">
        <f t="shared" si="11"/>
        <v>-4.1976957313351715E-2</v>
      </c>
    </row>
    <row r="99" spans="1:30" s="70" customFormat="1" x14ac:dyDescent="0.2">
      <c r="A99" s="30">
        <v>44621</v>
      </c>
      <c r="B99" s="24" t="s">
        <v>365</v>
      </c>
      <c r="C99" s="32">
        <f>IF((((VLOOKUP(B99,'Data qoq'!$A:$AT,MATCH($C$1,'Data qoq'!$A$1:$AT$1,),))/100+1)^4)-1=0,#N/A,(((VLOOKUP(B99,'Data qoq'!$A:$AT,MATCH($C$1,'Data qoq'!$A$1:$AT$1,),))/100+1)^4)-1)</f>
        <v>-1.5734003249917805E-2</v>
      </c>
      <c r="D99" s="32">
        <f>IF((((VLOOKUP(B99,'Data qoq'!$A:$AT,MATCH($D$1,'Data qoq'!$A$1:$AT$1,),))/100+1)^4)-1=0,#N/A,(((VLOOKUP(B99,'Data qoq'!$A:$AT,MATCH($D$1,'Data qoq'!$A$1:$AT$1,),))/100+1)^4)-1)</f>
        <v>5.302281656099983E-2</v>
      </c>
      <c r="E99" s="32">
        <f>IF((((VLOOKUP(B99,'Data qoq'!$A:$AT,MATCH($E$1,'Data qoq'!$A$1:$AT$1,),))/100+1)^4)-1=0,#N/A,(((VLOOKUP(B99,'Data qoq'!$A:$AT,MATCH($E$1,'Data qoq'!$A$1:$AT$1,),))/100+1)^4)-1)</f>
        <v>2.5208862791834319E-2</v>
      </c>
      <c r="F99" s="32">
        <f>IF((((VLOOKUP(B99,'Data qoq'!$A:$AT,MATCH($F$1,'Data qoq'!$A$1:$AT$1,),))/100+1)^4)-1=0,#N/A,(((VLOOKUP(B99,'Data qoq'!$A:$AT,MATCH($F$1,'Data qoq'!$A$1:$AT$1,),))/100+1)^4)-1)</f>
        <v>-5.0460029719292532E-3</v>
      </c>
      <c r="G99" s="32">
        <f>IF((((VLOOKUP(B99,'Data qoq'!$A:$AT,MATCH($G$1,'Data qoq'!$A$1:$AT$1,),))/100+1)^4)-1=0,#N/A,(((VLOOKUP(B99,'Data qoq'!$A:$AT,MATCH($G$1,'Data qoq'!$A$1:$AT$1,),))/100+1)^4)-1)</f>
        <v>9.4493845372127794E-3</v>
      </c>
      <c r="H99" s="32">
        <f>IF((((VLOOKUP(B99,'Data qoq'!$A:$AT,MATCH($H$1,'Data qoq'!$A$1:$AT$1,),))/100+1)^4)-1=0,#N/A,(((VLOOKUP(B99,'Data qoq'!$A:$AT,MATCH($H$1,'Data qoq'!$A$1:$AT$1,),))/100+1)^4)-1)</f>
        <v>-8.366110639815072E-3</v>
      </c>
      <c r="I99" s="32">
        <f>IF((((VLOOKUP(B99,'Data qoq'!$A:$AT,MATCH($I$1,'Data qoq'!$A$1:$AT$1,),))/100+1)^4)-1=0,#N/A,(((VLOOKUP(B99,'Data qoq'!$A:$AT,MATCH($I$1,'Data qoq'!$A$1:$AT$1,),))/100+1)^4)-1)</f>
        <v>3.1309382350186654E-2</v>
      </c>
      <c r="J99" s="32">
        <f>IF((((VLOOKUP(B99,'Data qoq'!$A:$AT,MATCH($J$1,'Data qoq'!$A$1:$AT$1,),))/100+1)^4)-1=0,#N/A,(((VLOOKUP(B99,'Data qoq'!$A:$AT,MATCH($J$1,'Data qoq'!$A$1:$AT$1,),))/100+1)^4)-1)</f>
        <v>5.2374449264718237E-3</v>
      </c>
      <c r="K99" s="32">
        <f>IF((((VLOOKUP(B99,'Data qoq'!$A:$AT,MATCH($K$1,'Data qoq'!$A$1:$AT$1,),))/100+1)^4)-1=0,#N/A,(((VLOOKUP(B99,'Data qoq'!$A:$AT,MATCH($K$1,'Data qoq'!$A$1:$AT$1,),))/100+1)^4)-1)</f>
        <v>7.9718506227675068E-3</v>
      </c>
      <c r="L99" s="32">
        <f>IF((((VLOOKUP(B99,'Data qoq'!$A:$AT,MATCH($L$1,'Data qoq'!$A$1:$AT$1,),))/100+1)^4)-1=0,#N/A,(((VLOOKUP(B99,'Data qoq'!$A:$AT,MATCH($L$1,'Data qoq'!$A$1:$AT$1,),))/100+1)^4)-1)</f>
        <v>-3.1920228947418416E-2</v>
      </c>
      <c r="M99" s="32">
        <f>IF((((VLOOKUP(B99,'Data qoq'!$A:$AT,MATCH($M$1,'Data qoq'!$A$1:$AT$1,),))/100+1)^4)-1=0,#N/A,(((VLOOKUP(B99,'Data qoq'!$A:$AT,MATCH($M$1,'Data qoq'!$A$1:$AT$1,),))/100+1)^4)-1)</f>
        <v>4.097098171703828E-2</v>
      </c>
      <c r="N99" s="32" t="e">
        <f>IF((((VLOOKUP(B99,'Data qoq'!$A:$AT,MATCH($N$1,'Data qoq'!$A$1:$AT$1,),))/100+1)^4)-1=0,#N/A,(((VLOOKUP(B99,'Data qoq'!$A:$AT,MATCH($N$1,'Data qoq'!$A$1:$AT$1,),))/100+1)^4)-1)</f>
        <v>#N/A</v>
      </c>
      <c r="O99" s="32">
        <f>IF((((VLOOKUP(B99,'Data qoq'!$A:$AT,MATCH($O$1,'Data qoq'!$A$1:$AT$1,),))/100+1)^4)-1=0,#N/A,(((VLOOKUP(B99,'Data qoq'!$A:$AT,MATCH($O$1,'Data qoq'!$A$1:$AT$1,),))/100+1)^4)-1)</f>
        <v>3.0543330596271234E-2</v>
      </c>
      <c r="P99" s="32">
        <f>IF((((VLOOKUP(B99,'Data qoq'!$A:$AT,MATCH($P$1,'Data qoq'!$A$1:$AT$1,),))/100+1)^4)-1=0,#N/A,(((VLOOKUP(B99,'Data qoq'!$A:$AT,MATCH($P$1,'Data qoq'!$A$1:$AT$1,),))/100+1)^4)-1)</f>
        <v>3.0544600572489866E-2</v>
      </c>
      <c r="Q99" s="32">
        <f>IF((((VLOOKUP(B99,'Data qoq'!$A:$AT,MATCH($Q$1,'Data qoq'!$A$1:$AT$1,),))/100+1)^4)-1=0,#N/A,(((VLOOKUP(B99,'Data qoq'!$A:$AT,MATCH($Q$1,'Data qoq'!$A$1:$AT$1,),))/100+1)^4)-1)</f>
        <v>3.0519337508518651E-2</v>
      </c>
      <c r="R99" s="32">
        <f>IF((((VLOOKUP(B99,'Data qoq'!$A:$AT,MATCH($R$1,'Data qoq'!$A$1:$AT$1,),))/100+1)^4)-1=0,#N/A,(((VLOOKUP(B99,'Data qoq'!$A:$AT,MATCH($R$1,'Data qoq'!$A$1:$AT$1,),))/100+1)^4)-1)</f>
        <v>1.9201220383437523E-2</v>
      </c>
      <c r="S99" s="32">
        <f>IF((((VLOOKUP(B99,'Data qoq'!$A:$AT,MATCH($S$1,'Data qoq'!$A$1:$AT$1,),))/100+1)^4)-1=0,#N/A,(((VLOOKUP(B99,'Data qoq'!$A:$AT,MATCH($S$1,'Data qoq'!$A$1:$AT$1,),))/100+1)^4)-1)</f>
        <v>2.5600885388403993E-2</v>
      </c>
      <c r="T99" s="32">
        <f>IF((((VLOOKUP(B99,'Data qoq'!$A:$AT,MATCH($T$1,'Data qoq'!$A$1:$AT$1,),))/100+1)^4)-1=0,#N/A,(((VLOOKUP(B99,'Data qoq'!$A:$AT,MATCH($T$1,'Data qoq'!$A$1:$AT$1,),))/100+1)^4)-1)</f>
        <v>4.0442402029286839E-2</v>
      </c>
      <c r="U99" s="32">
        <f>IF((((VLOOKUP(B99,'Data qoq'!$A:$AT,MATCH($U$1,'Data qoq'!$A$1:$AT$1,),))/100+1)^4)-1=0,#N/A,(((VLOOKUP(B99,'Data qoq'!$A:$AT,MATCH($U$1,'Data qoq'!$A$1:$AT$1,),))/100+1)^4)-1)</f>
        <v>9.735152947034309E-2</v>
      </c>
      <c r="V99" s="32">
        <f>IF((((VLOOKUP(B99,'Data qoq'!$A:$AT,MATCH($V$1,'Data qoq'!$A$1:$AT$1,),))/100+1)^4)-1=0,#N/A,(((VLOOKUP(B99,'Data qoq'!$A:$AT,MATCH($V$1,'Data qoq'!$A$1:$AT$1,),))/100+1)^4)-1)</f>
        <v>0.50987374634465121</v>
      </c>
      <c r="W99" s="32">
        <f>IF((((VLOOKUP(B99,'Data qoq'!$A:$AT,MATCH($W$1,'Data qoq'!$A$1:$AT$1,),))/100+1)^4)-1=0,#N/A,(((VLOOKUP(B99,'Data qoq'!$A:$AT,MATCH($W$1,'Data qoq'!$A$1:$AT$1,),))/100+1)^4)-1)</f>
        <v>4.8896567459452811E-2</v>
      </c>
      <c r="X99" s="32">
        <f>IF((((VLOOKUP(B99,'Data qoq'!$A:$AT,MATCH($X$1,'Data qoq'!$A$1:$AT$1,),))/100+1)^4)-1=0,#N/A,(((VLOOKUP(B99,'Data qoq'!$A:$AT,MATCH($X$1,'Data qoq'!$A$1:$AT$1,),))/100+1)^4)-1)</f>
        <v>3.5368699856740626E-2</v>
      </c>
      <c r="Y99" s="32">
        <f>IF((((VLOOKUP(B99,'Data qoq'!$A:$AT,MATCH($Y$1,'Data qoq'!$A$1:$AT$1,),))/100+1)^4)-1=0,#N/A,(((VLOOKUP(B99,'Data qoq'!$A:$AT,MATCH($Y$1,'Data qoq'!$A$1:$AT$1,),))/100+1)^4)-1)</f>
        <v>0.1023380590332843</v>
      </c>
      <c r="Z99" s="32">
        <f>IF((((VLOOKUP(B99,'Data qoq'!$A:$AU,MATCH($Z$1,'Data qoq'!$A$1:$AU$1,),))/100+1)^4)-1=0,#N/A,(((VLOOKUP(B99,'Data qoq'!$A:$AU,MATCH($Z$1,'Data qoq'!$A$1:$AU$1,),))/100+1)^4)-1)</f>
        <v>3.5414680055530834E-2</v>
      </c>
      <c r="AA99" s="32">
        <f>IF((((VLOOKUP(B99,'Data qoq'!$A:$AU,MATCH($AA$1,'Data qoq'!$A$1:$AU$1,),))/100+1)^4)-1=0,#N/A,(((VLOOKUP(B99,'Data qoq'!$A:$AU,MATCH($AA$1,'Data qoq'!$A$1:$AU$1,),))/100+1)^4)-1)</f>
        <v>-6.2735620610409049E-3</v>
      </c>
      <c r="AC99" s="26" t="str">
        <f t="shared" si="10"/>
        <v>2022-Q1</v>
      </c>
      <c r="AD99" s="31">
        <f t="shared" si="11"/>
        <v>-6.1005195583523353E-3</v>
      </c>
    </row>
    <row r="100" spans="1:30" s="70" customFormat="1" x14ac:dyDescent="0.2"/>
    <row r="101" spans="1:30" s="70" customFormat="1" x14ac:dyDescent="0.2"/>
    <row r="102" spans="1:30" s="70" customFormat="1" x14ac:dyDescent="0.2"/>
    <row r="103" spans="1:30" s="70" customFormat="1" x14ac:dyDescent="0.2"/>
    <row r="104" spans="1:30" s="70" customFormat="1" x14ac:dyDescent="0.2"/>
    <row r="105" spans="1:30" s="70" customFormat="1" x14ac:dyDescent="0.2"/>
    <row r="106" spans="1:30" s="70" customFormat="1" x14ac:dyDescent="0.2"/>
    <row r="107" spans="1:30" s="70" customFormat="1" x14ac:dyDescent="0.2"/>
    <row r="108" spans="1:30" s="70" customFormat="1" x14ac:dyDescent="0.2"/>
    <row r="109" spans="1:30" s="70" customFormat="1" x14ac:dyDescent="0.2"/>
    <row r="110" spans="1:30" s="70" customFormat="1" x14ac:dyDescent="0.2"/>
    <row r="111" spans="1:30" s="70" customFormat="1" x14ac:dyDescent="0.2"/>
    <row r="112" spans="1:30" s="70" customFormat="1" x14ac:dyDescent="0.2"/>
    <row r="113" s="70" customFormat="1" x14ac:dyDescent="0.2"/>
    <row r="114" s="70" customFormat="1" x14ac:dyDescent="0.2"/>
    <row r="115" s="70" customFormat="1" x14ac:dyDescent="0.2"/>
    <row r="116" s="70" customFormat="1" x14ac:dyDescent="0.2"/>
    <row r="117" s="70" customFormat="1" x14ac:dyDescent="0.2"/>
    <row r="118" s="70" customFormat="1" x14ac:dyDescent="0.2"/>
    <row r="119" s="70" customFormat="1" x14ac:dyDescent="0.2"/>
    <row r="120" s="70" customFormat="1" x14ac:dyDescent="0.2"/>
    <row r="121" s="70" customFormat="1" x14ac:dyDescent="0.2"/>
    <row r="122" s="70" customFormat="1" x14ac:dyDescent="0.2"/>
    <row r="123" s="70" customFormat="1" x14ac:dyDescent="0.2"/>
    <row r="124" s="70" customFormat="1" x14ac:dyDescent="0.2"/>
    <row r="125" s="70" customFormat="1" x14ac:dyDescent="0.2"/>
    <row r="126" s="70" customFormat="1" x14ac:dyDescent="0.2"/>
    <row r="127" s="70" customFormat="1" x14ac:dyDescent="0.2"/>
    <row r="128" s="70" customFormat="1" x14ac:dyDescent="0.2"/>
    <row r="129" s="70" customFormat="1" x14ac:dyDescent="0.2"/>
    <row r="130" s="70" customFormat="1" x14ac:dyDescent="0.2"/>
    <row r="131" s="70" customFormat="1" x14ac:dyDescent="0.2"/>
    <row r="132" s="70" customFormat="1" x14ac:dyDescent="0.2"/>
    <row r="133" s="70" customFormat="1" x14ac:dyDescent="0.2"/>
    <row r="134" s="70" customFormat="1" x14ac:dyDescent="0.2"/>
    <row r="135" s="70" customFormat="1" x14ac:dyDescent="0.2"/>
    <row r="136" s="70" customFormat="1" x14ac:dyDescent="0.2"/>
    <row r="137" s="70" customFormat="1" x14ac:dyDescent="0.2"/>
    <row r="138" s="70" customFormat="1" x14ac:dyDescent="0.2"/>
    <row r="139" s="70" customFormat="1" x14ac:dyDescent="0.2"/>
    <row r="140" s="70" customFormat="1" x14ac:dyDescent="0.2"/>
    <row r="141" s="70" customFormat="1" x14ac:dyDescent="0.2"/>
    <row r="142" s="70" customFormat="1" x14ac:dyDescent="0.2"/>
    <row r="143" s="70" customFormat="1" x14ac:dyDescent="0.2"/>
    <row r="144" s="70" customFormat="1" x14ac:dyDescent="0.2"/>
    <row r="145" s="70" customFormat="1" x14ac:dyDescent="0.2"/>
    <row r="146" s="70" customFormat="1" x14ac:dyDescent="0.2"/>
    <row r="147" s="70" customFormat="1" x14ac:dyDescent="0.2"/>
    <row r="148" s="70" customFormat="1" x14ac:dyDescent="0.2"/>
    <row r="149" s="70" customFormat="1" x14ac:dyDescent="0.2"/>
    <row r="150" s="70" customFormat="1" x14ac:dyDescent="0.2"/>
    <row r="151" s="70" customFormat="1" x14ac:dyDescent="0.2"/>
    <row r="152" s="70" customFormat="1" x14ac:dyDescent="0.2"/>
    <row r="153" s="70" customFormat="1" x14ac:dyDescent="0.2"/>
    <row r="154" s="70" customFormat="1" x14ac:dyDescent="0.2"/>
    <row r="155" s="70" customFormat="1" x14ac:dyDescent="0.2"/>
    <row r="156" s="70" customFormat="1" x14ac:dyDescent="0.2"/>
    <row r="157" s="70" customFormat="1" x14ac:dyDescent="0.2"/>
    <row r="158" s="70" customFormat="1" x14ac:dyDescent="0.2"/>
    <row r="159" s="70" customFormat="1" x14ac:dyDescent="0.2"/>
    <row r="160" s="70" customFormat="1" x14ac:dyDescent="0.2"/>
    <row r="161" s="70" customFormat="1" x14ac:dyDescent="0.2"/>
    <row r="162" s="70" customFormat="1" x14ac:dyDescent="0.2"/>
    <row r="163" s="70" customFormat="1" x14ac:dyDescent="0.2"/>
    <row r="164" s="70" customFormat="1" x14ac:dyDescent="0.2"/>
    <row r="165" s="70" customFormat="1" x14ac:dyDescent="0.2"/>
    <row r="166" s="70" customFormat="1" x14ac:dyDescent="0.2"/>
    <row r="167" s="70" customFormat="1" x14ac:dyDescent="0.2"/>
    <row r="168" s="70" customFormat="1" x14ac:dyDescent="0.2"/>
    <row r="169" s="70" customFormat="1" x14ac:dyDescent="0.2"/>
    <row r="170" s="70" customFormat="1" x14ac:dyDescent="0.2"/>
    <row r="171" s="70" customFormat="1" x14ac:dyDescent="0.2"/>
    <row r="172" s="70" customFormat="1" x14ac:dyDescent="0.2"/>
    <row r="173" s="70" customFormat="1" x14ac:dyDescent="0.2"/>
    <row r="174" s="70" customFormat="1" x14ac:dyDescent="0.2"/>
    <row r="175" s="70" customFormat="1" x14ac:dyDescent="0.2"/>
    <row r="176" s="70" customFormat="1" x14ac:dyDescent="0.2"/>
    <row r="177" s="70" customFormat="1" x14ac:dyDescent="0.2"/>
    <row r="178" s="70" customFormat="1" x14ac:dyDescent="0.2"/>
    <row r="179" s="70" customFormat="1" x14ac:dyDescent="0.2"/>
    <row r="180" s="70" customFormat="1" x14ac:dyDescent="0.2"/>
    <row r="181" s="70" customFormat="1" x14ac:dyDescent="0.2"/>
    <row r="182" s="70" customFormat="1" x14ac:dyDescent="0.2"/>
    <row r="183" s="70" customFormat="1" x14ac:dyDescent="0.2"/>
    <row r="184" s="70" customFormat="1" x14ac:dyDescent="0.2"/>
    <row r="185" s="70" customFormat="1" x14ac:dyDescent="0.2"/>
    <row r="186" s="70" customFormat="1" x14ac:dyDescent="0.2"/>
    <row r="187" s="70" customFormat="1" x14ac:dyDescent="0.2"/>
    <row r="188" s="70" customFormat="1" x14ac:dyDescent="0.2"/>
    <row r="189" s="70" customFormat="1" x14ac:dyDescent="0.2"/>
    <row r="190" s="70" customFormat="1" x14ac:dyDescent="0.2"/>
    <row r="191" s="70" customFormat="1" x14ac:dyDescent="0.2"/>
    <row r="192" s="70" customFormat="1" x14ac:dyDescent="0.2"/>
    <row r="193" s="70" customFormat="1" x14ac:dyDescent="0.2"/>
    <row r="194" s="70" customFormat="1" x14ac:dyDescent="0.2"/>
    <row r="195" s="70" customFormat="1" x14ac:dyDescent="0.2"/>
    <row r="196" s="70" customFormat="1" x14ac:dyDescent="0.2"/>
    <row r="197" s="70" customFormat="1" x14ac:dyDescent="0.2"/>
    <row r="198" s="70" customFormat="1" x14ac:dyDescent="0.2"/>
    <row r="199" s="70" customFormat="1" x14ac:dyDescent="0.2"/>
    <row r="200" s="70" customFormat="1" x14ac:dyDescent="0.2"/>
    <row r="201" s="70" customFormat="1" x14ac:dyDescent="0.2"/>
    <row r="202" s="70" customFormat="1" x14ac:dyDescent="0.2"/>
    <row r="203" s="70" customFormat="1" x14ac:dyDescent="0.2"/>
    <row r="204" s="70" customFormat="1" x14ac:dyDescent="0.2"/>
    <row r="205" s="70" customFormat="1" x14ac:dyDescent="0.2"/>
    <row r="206" s="70" customFormat="1" x14ac:dyDescent="0.2"/>
    <row r="207" s="70" customFormat="1" x14ac:dyDescent="0.2"/>
    <row r="208" s="70" customFormat="1" x14ac:dyDescent="0.2"/>
    <row r="209" s="70" customFormat="1" x14ac:dyDescent="0.2"/>
    <row r="210" s="70" customFormat="1" x14ac:dyDescent="0.2"/>
    <row r="211" s="70" customFormat="1" x14ac:dyDescent="0.2"/>
    <row r="212" s="70" customFormat="1" x14ac:dyDescent="0.2"/>
    <row r="213" s="70" customFormat="1" x14ac:dyDescent="0.2"/>
    <row r="214" s="70" customFormat="1" x14ac:dyDescent="0.2"/>
    <row r="215" s="70" customFormat="1" x14ac:dyDescent="0.2"/>
    <row r="216" s="70" customFormat="1" x14ac:dyDescent="0.2"/>
    <row r="217" s="70" customFormat="1" x14ac:dyDescent="0.2"/>
    <row r="218" s="70" customFormat="1" x14ac:dyDescent="0.2"/>
    <row r="219" s="70" customFormat="1" x14ac:dyDescent="0.2"/>
    <row r="220" s="70" customFormat="1" x14ac:dyDescent="0.2"/>
    <row r="221" s="70" customFormat="1" x14ac:dyDescent="0.2"/>
    <row r="222" s="70" customFormat="1" x14ac:dyDescent="0.2"/>
    <row r="223" s="70" customFormat="1" x14ac:dyDescent="0.2"/>
    <row r="224" s="70" customFormat="1" x14ac:dyDescent="0.2"/>
    <row r="225" s="70" customFormat="1" x14ac:dyDescent="0.2"/>
    <row r="226" s="70" customFormat="1" x14ac:dyDescent="0.2"/>
    <row r="227" s="70" customFormat="1" x14ac:dyDescent="0.2"/>
    <row r="228" s="70" customFormat="1" x14ac:dyDescent="0.2"/>
    <row r="229" s="70" customFormat="1" x14ac:dyDescent="0.2"/>
    <row r="230" s="70" customFormat="1" x14ac:dyDescent="0.2"/>
    <row r="231" s="70" customFormat="1" x14ac:dyDescent="0.2"/>
    <row r="232" s="70" customFormat="1" x14ac:dyDescent="0.2"/>
    <row r="233" s="70" customFormat="1" x14ac:dyDescent="0.2"/>
    <row r="234" s="70" customFormat="1" x14ac:dyDescent="0.2"/>
    <row r="235" s="70" customFormat="1" x14ac:dyDescent="0.2"/>
    <row r="236" s="70" customFormat="1" x14ac:dyDescent="0.2"/>
    <row r="237" s="70" customFormat="1" x14ac:dyDescent="0.2"/>
    <row r="238" s="70" customFormat="1" x14ac:dyDescent="0.2"/>
    <row r="239" s="70" customFormat="1" x14ac:dyDescent="0.2"/>
    <row r="240" s="70" customFormat="1" x14ac:dyDescent="0.2"/>
    <row r="241" s="70" customFormat="1" x14ac:dyDescent="0.2"/>
    <row r="242" s="70" customFormat="1" x14ac:dyDescent="0.2"/>
    <row r="243" s="70" customFormat="1" x14ac:dyDescent="0.2"/>
    <row r="244" s="70" customFormat="1" x14ac:dyDescent="0.2"/>
    <row r="245" s="70" customFormat="1" x14ac:dyDescent="0.2"/>
    <row r="246" s="70" customFormat="1" x14ac:dyDescent="0.2"/>
    <row r="247" s="70" customFormat="1" x14ac:dyDescent="0.2"/>
    <row r="248" s="70" customFormat="1" x14ac:dyDescent="0.2"/>
    <row r="249" s="70" customFormat="1" x14ac:dyDescent="0.2"/>
    <row r="250" s="70" customFormat="1" x14ac:dyDescent="0.2"/>
    <row r="251" s="70" customFormat="1" x14ac:dyDescent="0.2"/>
    <row r="252" s="70" customFormat="1" x14ac:dyDescent="0.2"/>
    <row r="253" s="70" customFormat="1" x14ac:dyDescent="0.2"/>
    <row r="254" s="70" customFormat="1" x14ac:dyDescent="0.2"/>
    <row r="255" s="70" customFormat="1" x14ac:dyDescent="0.2"/>
    <row r="256" s="70" customFormat="1" x14ac:dyDescent="0.2"/>
    <row r="257" s="70" customFormat="1" x14ac:dyDescent="0.2"/>
    <row r="258" s="70" customFormat="1" x14ac:dyDescent="0.2"/>
    <row r="259" s="70" customFormat="1" x14ac:dyDescent="0.2"/>
    <row r="260" s="70" customFormat="1" x14ac:dyDescent="0.2"/>
    <row r="261" s="70" customFormat="1" x14ac:dyDescent="0.2"/>
    <row r="262" s="70" customFormat="1" x14ac:dyDescent="0.2"/>
    <row r="263" s="70" customFormat="1" x14ac:dyDescent="0.2"/>
    <row r="264" s="70" customFormat="1" x14ac:dyDescent="0.2"/>
    <row r="265" s="70" customFormat="1" x14ac:dyDescent="0.2"/>
    <row r="266" s="70" customFormat="1" x14ac:dyDescent="0.2"/>
    <row r="267" s="70" customFormat="1" x14ac:dyDescent="0.2"/>
    <row r="268" s="70" customFormat="1" x14ac:dyDescent="0.2"/>
    <row r="269" s="70" customFormat="1" x14ac:dyDescent="0.2"/>
    <row r="270" s="70" customFormat="1" x14ac:dyDescent="0.2"/>
    <row r="271" s="70" customFormat="1" x14ac:dyDescent="0.2"/>
    <row r="272" s="70" customFormat="1" x14ac:dyDescent="0.2"/>
    <row r="273" s="70" customFormat="1" x14ac:dyDescent="0.2"/>
    <row r="274" s="70" customFormat="1" x14ac:dyDescent="0.2"/>
    <row r="275" s="70" customFormat="1" x14ac:dyDescent="0.2"/>
    <row r="276" s="70" customFormat="1" x14ac:dyDescent="0.2"/>
    <row r="277" s="70" customFormat="1" x14ac:dyDescent="0.2"/>
    <row r="278" s="70" customFormat="1" x14ac:dyDescent="0.2"/>
    <row r="279" s="70" customFormat="1" x14ac:dyDescent="0.2"/>
    <row r="280" s="70" customFormat="1" x14ac:dyDescent="0.2"/>
    <row r="281" s="70" customFormat="1" x14ac:dyDescent="0.2"/>
    <row r="282" s="70" customFormat="1" x14ac:dyDescent="0.2"/>
    <row r="283" s="70" customFormat="1" x14ac:dyDescent="0.2"/>
    <row r="284" s="70" customFormat="1" x14ac:dyDescent="0.2"/>
    <row r="285" s="70" customFormat="1" x14ac:dyDescent="0.2"/>
    <row r="286" s="70" customFormat="1" x14ac:dyDescent="0.2"/>
    <row r="287" s="70" customFormat="1" x14ac:dyDescent="0.2"/>
    <row r="288" s="70" customFormat="1" x14ac:dyDescent="0.2"/>
    <row r="289" s="70" customFormat="1" x14ac:dyDescent="0.2"/>
    <row r="290" s="70" customFormat="1" x14ac:dyDescent="0.2"/>
    <row r="291" s="70" customFormat="1" x14ac:dyDescent="0.2"/>
    <row r="292" s="70" customFormat="1" x14ac:dyDescent="0.2"/>
    <row r="293" s="70" customFormat="1" x14ac:dyDescent="0.2"/>
    <row r="294" s="70" customFormat="1" x14ac:dyDescent="0.2"/>
    <row r="295" s="70" customFormat="1" x14ac:dyDescent="0.2"/>
    <row r="296" s="70" customFormat="1" x14ac:dyDescent="0.2"/>
    <row r="297" s="70" customFormat="1" x14ac:dyDescent="0.2"/>
    <row r="298" s="70" customFormat="1" x14ac:dyDescent="0.2"/>
    <row r="299" s="70" customFormat="1" x14ac:dyDescent="0.2"/>
    <row r="300" s="70" customFormat="1" x14ac:dyDescent="0.2"/>
    <row r="301" s="70" customFormat="1" x14ac:dyDescent="0.2"/>
    <row r="302" s="70" customFormat="1" x14ac:dyDescent="0.2"/>
    <row r="303" s="70" customFormat="1" x14ac:dyDescent="0.2"/>
    <row r="304" s="70" customFormat="1" x14ac:dyDescent="0.2"/>
    <row r="305" s="70" customFormat="1" x14ac:dyDescent="0.2"/>
    <row r="306" s="70" customFormat="1" x14ac:dyDescent="0.2"/>
    <row r="307" s="70" customFormat="1" x14ac:dyDescent="0.2"/>
    <row r="308" s="70" customFormat="1" x14ac:dyDescent="0.2"/>
    <row r="309" s="70" customFormat="1" x14ac:dyDescent="0.2"/>
    <row r="310" s="70" customFormat="1" x14ac:dyDescent="0.2"/>
    <row r="311" s="70" customFormat="1" x14ac:dyDescent="0.2"/>
    <row r="312" s="70" customFormat="1" x14ac:dyDescent="0.2"/>
    <row r="313" s="70" customFormat="1" x14ac:dyDescent="0.2"/>
    <row r="314" s="70" customFormat="1" x14ac:dyDescent="0.2"/>
    <row r="315" s="70" customFormat="1" x14ac:dyDescent="0.2"/>
    <row r="316" s="70" customFormat="1" x14ac:dyDescent="0.2"/>
    <row r="317" s="70" customFormat="1" x14ac:dyDescent="0.2"/>
    <row r="318" s="70" customFormat="1" x14ac:dyDescent="0.2"/>
    <row r="319" s="70" customFormat="1" x14ac:dyDescent="0.2"/>
    <row r="320" s="70" customFormat="1" x14ac:dyDescent="0.2"/>
    <row r="321" s="70" customFormat="1" x14ac:dyDescent="0.2"/>
    <row r="322" s="70" customFormat="1" x14ac:dyDescent="0.2"/>
    <row r="323" s="70" customFormat="1" x14ac:dyDescent="0.2"/>
    <row r="324" s="70" customFormat="1" x14ac:dyDescent="0.2"/>
    <row r="325" s="70" customFormat="1" x14ac:dyDescent="0.2"/>
    <row r="326" s="70" customFormat="1" x14ac:dyDescent="0.2"/>
    <row r="327" s="70" customFormat="1" x14ac:dyDescent="0.2"/>
    <row r="328" s="70" customFormat="1" x14ac:dyDescent="0.2"/>
    <row r="329" s="70" customFormat="1" x14ac:dyDescent="0.2"/>
    <row r="330" s="70" customFormat="1" x14ac:dyDescent="0.2"/>
    <row r="331" s="70" customFormat="1" x14ac:dyDescent="0.2"/>
    <row r="332" s="70" customFormat="1" x14ac:dyDescent="0.2"/>
    <row r="333" s="70" customFormat="1" x14ac:dyDescent="0.2"/>
    <row r="334" s="70" customFormat="1" x14ac:dyDescent="0.2"/>
    <row r="335" s="70" customFormat="1" x14ac:dyDescent="0.2"/>
    <row r="336" s="70" customFormat="1" x14ac:dyDescent="0.2"/>
    <row r="337" s="70" customFormat="1" x14ac:dyDescent="0.2"/>
    <row r="338" s="70" customFormat="1" x14ac:dyDescent="0.2"/>
    <row r="339" s="70" customFormat="1" x14ac:dyDescent="0.2"/>
    <row r="340" s="70" customFormat="1" x14ac:dyDescent="0.2"/>
    <row r="341" s="70" customFormat="1" x14ac:dyDescent="0.2"/>
    <row r="342" s="70" customFormat="1" x14ac:dyDescent="0.2"/>
    <row r="343" s="70" customFormat="1" x14ac:dyDescent="0.2"/>
    <row r="344" s="70" customFormat="1" x14ac:dyDescent="0.2"/>
    <row r="345" s="70" customFormat="1" x14ac:dyDescent="0.2"/>
    <row r="346" s="70" customFormat="1" x14ac:dyDescent="0.2"/>
    <row r="347" s="70" customFormat="1" x14ac:dyDescent="0.2"/>
    <row r="348" s="70" customFormat="1" x14ac:dyDescent="0.2"/>
    <row r="349" s="70" customFormat="1" x14ac:dyDescent="0.2"/>
    <row r="350" s="70" customFormat="1" x14ac:dyDescent="0.2"/>
    <row r="351" s="70" customFormat="1" x14ac:dyDescent="0.2"/>
    <row r="352" s="70" customFormat="1" x14ac:dyDescent="0.2"/>
    <row r="353" s="70" customFormat="1" x14ac:dyDescent="0.2"/>
    <row r="354" s="70" customFormat="1" x14ac:dyDescent="0.2"/>
    <row r="355" s="70" customFormat="1" x14ac:dyDescent="0.2"/>
    <row r="356" s="70" customFormat="1" x14ac:dyDescent="0.2"/>
    <row r="357" s="70" customFormat="1" x14ac:dyDescent="0.2"/>
    <row r="358" s="70" customFormat="1" x14ac:dyDescent="0.2"/>
    <row r="359" s="70" customFormat="1" x14ac:dyDescent="0.2"/>
    <row r="360" s="70" customFormat="1" x14ac:dyDescent="0.2"/>
    <row r="361" s="70" customFormat="1" x14ac:dyDescent="0.2"/>
    <row r="362" s="70" customFormat="1" x14ac:dyDescent="0.2"/>
    <row r="363" s="70" customFormat="1" x14ac:dyDescent="0.2"/>
    <row r="364" s="70" customFormat="1" x14ac:dyDescent="0.2"/>
    <row r="365" s="70" customFormat="1" x14ac:dyDescent="0.2"/>
    <row r="366" s="70" customFormat="1" x14ac:dyDescent="0.2"/>
    <row r="367" s="70" customFormat="1" x14ac:dyDescent="0.2"/>
    <row r="368" s="70" customFormat="1" x14ac:dyDescent="0.2"/>
    <row r="369" s="70" customFormat="1" x14ac:dyDescent="0.2"/>
    <row r="370" s="70" customFormat="1" x14ac:dyDescent="0.2"/>
    <row r="371" s="70" customFormat="1" x14ac:dyDescent="0.2"/>
    <row r="372" s="70" customFormat="1" x14ac:dyDescent="0.2"/>
    <row r="373" s="70" customFormat="1" x14ac:dyDescent="0.2"/>
    <row r="374" s="70" customFormat="1" x14ac:dyDescent="0.2"/>
    <row r="375" s="70" customFormat="1" x14ac:dyDescent="0.2"/>
    <row r="376" s="70" customFormat="1" x14ac:dyDescent="0.2"/>
    <row r="377" s="70" customFormat="1" x14ac:dyDescent="0.2"/>
  </sheetData>
  <conditionalFormatting sqref="C11:C99">
    <cfRule type="colorScale" priority="26">
      <colorScale>
        <cfvo type="min"/>
        <cfvo type="percentile" val="50"/>
        <cfvo type="max"/>
        <color rgb="FFF8696B"/>
        <color rgb="FFFFEB84"/>
        <color rgb="FF63BE7B"/>
      </colorScale>
    </cfRule>
  </conditionalFormatting>
  <conditionalFormatting sqref="D11:D99">
    <cfRule type="colorScale" priority="27">
      <colorScale>
        <cfvo type="min"/>
        <cfvo type="percentile" val="50"/>
        <cfvo type="max"/>
        <color rgb="FFF8696B"/>
        <color rgb="FFFFEB84"/>
        <color rgb="FF63BE7B"/>
      </colorScale>
    </cfRule>
  </conditionalFormatting>
  <conditionalFormatting sqref="E11:E99">
    <cfRule type="colorScale" priority="28">
      <colorScale>
        <cfvo type="min"/>
        <cfvo type="percentile" val="50"/>
        <cfvo type="max"/>
        <color rgb="FFF8696B"/>
        <color rgb="FFFFEB84"/>
        <color rgb="FF63BE7B"/>
      </colorScale>
    </cfRule>
  </conditionalFormatting>
  <conditionalFormatting sqref="F11:F99">
    <cfRule type="colorScale" priority="29">
      <colorScale>
        <cfvo type="min"/>
        <cfvo type="percentile" val="50"/>
        <cfvo type="max"/>
        <color rgb="FFF8696B"/>
        <color rgb="FFFFEB84"/>
        <color rgb="FF63BE7B"/>
      </colorScale>
    </cfRule>
  </conditionalFormatting>
  <conditionalFormatting sqref="G11:G99">
    <cfRule type="colorScale" priority="30">
      <colorScale>
        <cfvo type="min"/>
        <cfvo type="percentile" val="50"/>
        <cfvo type="max"/>
        <color rgb="FFF8696B"/>
        <color rgb="FFFFEB84"/>
        <color rgb="FF63BE7B"/>
      </colorScale>
    </cfRule>
  </conditionalFormatting>
  <conditionalFormatting sqref="H11:H99">
    <cfRule type="colorScale" priority="31">
      <colorScale>
        <cfvo type="min"/>
        <cfvo type="percentile" val="50"/>
        <cfvo type="max"/>
        <color rgb="FFF8696B"/>
        <color rgb="FFFFEB84"/>
        <color rgb="FF63BE7B"/>
      </colorScale>
    </cfRule>
  </conditionalFormatting>
  <conditionalFormatting sqref="I11:I99">
    <cfRule type="colorScale" priority="32">
      <colorScale>
        <cfvo type="min"/>
        <cfvo type="percentile" val="50"/>
        <cfvo type="max"/>
        <color rgb="FFF8696B"/>
        <color rgb="FFFFEB84"/>
        <color rgb="FF63BE7B"/>
      </colorScale>
    </cfRule>
  </conditionalFormatting>
  <conditionalFormatting sqref="J11:J99">
    <cfRule type="colorScale" priority="33">
      <colorScale>
        <cfvo type="min"/>
        <cfvo type="percentile" val="50"/>
        <cfvo type="max"/>
        <color rgb="FFF8696B"/>
        <color rgb="FFFFEB84"/>
        <color rgb="FF63BE7B"/>
      </colorScale>
    </cfRule>
  </conditionalFormatting>
  <conditionalFormatting sqref="K11:K99">
    <cfRule type="colorScale" priority="34">
      <colorScale>
        <cfvo type="min"/>
        <cfvo type="percentile" val="50"/>
        <cfvo type="max"/>
        <color rgb="FFF8696B"/>
        <color rgb="FFFFEB84"/>
        <color rgb="FF63BE7B"/>
      </colorScale>
    </cfRule>
  </conditionalFormatting>
  <conditionalFormatting sqref="L11:L99">
    <cfRule type="colorScale" priority="35">
      <colorScale>
        <cfvo type="min"/>
        <cfvo type="percentile" val="50"/>
        <cfvo type="max"/>
        <color rgb="FFF8696B"/>
        <color rgb="FFFFEB84"/>
        <color rgb="FF63BE7B"/>
      </colorScale>
    </cfRule>
  </conditionalFormatting>
  <conditionalFormatting sqref="M11:M99">
    <cfRule type="colorScale" priority="36">
      <colorScale>
        <cfvo type="min"/>
        <cfvo type="percentile" val="50"/>
        <cfvo type="max"/>
        <color rgb="FFF8696B"/>
        <color rgb="FFFFEB84"/>
        <color rgb="FF63BE7B"/>
      </colorScale>
    </cfRule>
  </conditionalFormatting>
  <conditionalFormatting sqref="N11:N99">
    <cfRule type="colorScale" priority="37">
      <colorScale>
        <cfvo type="min"/>
        <cfvo type="percentile" val="50"/>
        <cfvo type="max"/>
        <color rgb="FFF8696B"/>
        <color rgb="FFFFEB84"/>
        <color rgb="FF63BE7B"/>
      </colorScale>
    </cfRule>
  </conditionalFormatting>
  <conditionalFormatting sqref="O11:O99">
    <cfRule type="colorScale" priority="38">
      <colorScale>
        <cfvo type="min"/>
        <cfvo type="percentile" val="50"/>
        <cfvo type="max"/>
        <color rgb="FFF8696B"/>
        <color rgb="FFFFEB84"/>
        <color rgb="FF63BE7B"/>
      </colorScale>
    </cfRule>
  </conditionalFormatting>
  <conditionalFormatting sqref="P11:P99">
    <cfRule type="colorScale" priority="39">
      <colorScale>
        <cfvo type="min"/>
        <cfvo type="percentile" val="50"/>
        <cfvo type="max"/>
        <color rgb="FFF8696B"/>
        <color rgb="FFFFEB84"/>
        <color rgb="FF63BE7B"/>
      </colorScale>
    </cfRule>
  </conditionalFormatting>
  <conditionalFormatting sqref="Q11:Q99">
    <cfRule type="colorScale" priority="40">
      <colorScale>
        <cfvo type="min"/>
        <cfvo type="percentile" val="50"/>
        <cfvo type="max"/>
        <color rgb="FFF8696B"/>
        <color rgb="FFFFEB84"/>
        <color rgb="FF63BE7B"/>
      </colorScale>
    </cfRule>
  </conditionalFormatting>
  <conditionalFormatting sqref="R11:R99">
    <cfRule type="colorScale" priority="41">
      <colorScale>
        <cfvo type="min"/>
        <cfvo type="percentile" val="50"/>
        <cfvo type="max"/>
        <color rgb="FFF8696B"/>
        <color rgb="FFFFEB84"/>
        <color rgb="FF63BE7B"/>
      </colorScale>
    </cfRule>
  </conditionalFormatting>
  <conditionalFormatting sqref="S11:S99">
    <cfRule type="colorScale" priority="42">
      <colorScale>
        <cfvo type="min"/>
        <cfvo type="percentile" val="50"/>
        <cfvo type="max"/>
        <color rgb="FFF8696B"/>
        <color rgb="FFFFEB84"/>
        <color rgb="FF63BE7B"/>
      </colorScale>
    </cfRule>
  </conditionalFormatting>
  <conditionalFormatting sqref="T11:T99">
    <cfRule type="colorScale" priority="43">
      <colorScale>
        <cfvo type="min"/>
        <cfvo type="percentile" val="50"/>
        <cfvo type="max"/>
        <color rgb="FFF8696B"/>
        <color rgb="FFFFEB84"/>
        <color rgb="FF63BE7B"/>
      </colorScale>
    </cfRule>
  </conditionalFormatting>
  <conditionalFormatting sqref="U11:U99">
    <cfRule type="colorScale" priority="44">
      <colorScale>
        <cfvo type="min"/>
        <cfvo type="percentile" val="50"/>
        <cfvo type="max"/>
        <color rgb="FFF8696B"/>
        <color rgb="FFFFEB84"/>
        <color rgb="FF63BE7B"/>
      </colorScale>
    </cfRule>
  </conditionalFormatting>
  <conditionalFormatting sqref="V11:V99">
    <cfRule type="colorScale" priority="45">
      <colorScale>
        <cfvo type="min"/>
        <cfvo type="percentile" val="50"/>
        <cfvo type="max"/>
        <color rgb="FFF8696B"/>
        <color rgb="FFFFEB84"/>
        <color rgb="FF63BE7B"/>
      </colorScale>
    </cfRule>
  </conditionalFormatting>
  <conditionalFormatting sqref="W11:W99">
    <cfRule type="colorScale" priority="46">
      <colorScale>
        <cfvo type="min"/>
        <cfvo type="percentile" val="50"/>
        <cfvo type="max"/>
        <color rgb="FFF8696B"/>
        <color rgb="FFFFEB84"/>
        <color rgb="FF63BE7B"/>
      </colorScale>
    </cfRule>
  </conditionalFormatting>
  <conditionalFormatting sqref="X11:X99">
    <cfRule type="colorScale" priority="47">
      <colorScale>
        <cfvo type="min"/>
        <cfvo type="percentile" val="50"/>
        <cfvo type="max"/>
        <color rgb="FFF8696B"/>
        <color rgb="FFFFEB84"/>
        <color rgb="FF63BE7B"/>
      </colorScale>
    </cfRule>
  </conditionalFormatting>
  <conditionalFormatting sqref="Y11:Y99">
    <cfRule type="colorScale" priority="48">
      <colorScale>
        <cfvo type="min"/>
        <cfvo type="percentile" val="50"/>
        <cfvo type="max"/>
        <color rgb="FFF8696B"/>
        <color rgb="FFFFEB84"/>
        <color rgb="FF63BE7B"/>
      </colorScale>
    </cfRule>
  </conditionalFormatting>
  <conditionalFormatting sqref="Z11:Z99">
    <cfRule type="colorScale" priority="49">
      <colorScale>
        <cfvo type="min"/>
        <cfvo type="percentile" val="50"/>
        <cfvo type="max"/>
        <color rgb="FFF8696B"/>
        <color rgb="FFFFEB84"/>
        <color rgb="FF63BE7B"/>
      </colorScale>
    </cfRule>
  </conditionalFormatting>
  <conditionalFormatting sqref="AA11:AA99">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B2" sqref="B2:E27"/>
    </sheetView>
  </sheetViews>
  <sheetFormatPr baseColWidth="10" defaultColWidth="9.1640625" defaultRowHeight="15" x14ac:dyDescent="0.2"/>
  <cols>
    <col min="1" max="1" width="9.1640625" style="70" customWidth="1"/>
    <col min="2" max="2" width="31.83203125" style="70" customWidth="1"/>
    <col min="3" max="3" width="13.83203125" style="70" customWidth="1"/>
    <col min="4" max="4" width="12.33203125" style="70" customWidth="1"/>
    <col min="5" max="5" width="18.33203125" style="70" customWidth="1"/>
    <col min="6" max="23" width="9.1640625" style="70" customWidth="1"/>
    <col min="24" max="16384" width="9.1640625" style="70"/>
  </cols>
  <sheetData>
    <row r="1" spans="2:5" ht="16" customHeight="1" thickBot="1" x14ac:dyDescent="0.25"/>
    <row r="2" spans="2:5" ht="17" customHeight="1" thickBot="1" x14ac:dyDescent="0.25">
      <c r="B2" s="71" t="s">
        <v>591</v>
      </c>
      <c r="C2" s="60" t="s">
        <v>592</v>
      </c>
      <c r="D2" s="61" t="s">
        <v>593</v>
      </c>
      <c r="E2" s="61" t="s">
        <v>594</v>
      </c>
    </row>
    <row r="3" spans="2:5" ht="16" customHeight="1" x14ac:dyDescent="0.2">
      <c r="B3" s="68" t="s">
        <v>559</v>
      </c>
      <c r="C3" s="72">
        <f>VLOOKUP(B3,'Data World GDP'!$A$2:$L$182,5,FALSE)/$C$31</f>
        <v>0.20907165131692593</v>
      </c>
      <c r="D3" s="33">
        <f>VLOOKUP(B3,'Data World GDP'!$A$2:$L$182,7,FALSE)</f>
        <v>3.5000000000000003E-2</v>
      </c>
      <c r="E3" s="33">
        <f>VLOOKUP(B3,'Data World GDP'!$A$2:$L$182,6,FALSE)</f>
        <v>-1.6E-2</v>
      </c>
    </row>
    <row r="4" spans="2:5" ht="16" customHeight="1" x14ac:dyDescent="0.2">
      <c r="B4" s="68" t="s">
        <v>418</v>
      </c>
      <c r="C4" s="72">
        <f>VLOOKUP(B4,'Data World GDP'!$A$2:$L$182,5,FALSE)/$C$31</f>
        <v>0.16123137347601169</v>
      </c>
      <c r="D4" s="33">
        <f>VLOOKUP(B4,'Data World GDP'!$A$2:$L$182,7,FALSE)</f>
        <v>4.0000000000000001E-3</v>
      </c>
      <c r="E4" s="33">
        <f>VLOOKUP(B4,'Data World GDP'!$A$2:$L$182,6,FALSE)</f>
        <v>-2.5999999999999999E-2</v>
      </c>
    </row>
    <row r="5" spans="2:5" ht="16" customHeight="1" x14ac:dyDescent="0.2">
      <c r="B5" s="68" t="s">
        <v>438</v>
      </c>
      <c r="C5" s="72">
        <f>VLOOKUP(B5,'Data World GDP'!$A$2:$L$182,5,FALSE)/$C$31</f>
        <v>0.13176532625396623</v>
      </c>
      <c r="D5" s="33">
        <f>VLOOKUP(B5,'Data World GDP'!$A$2:$L$182,7,FALSE)</f>
        <v>5.4000000000000013E-2</v>
      </c>
      <c r="E5" s="33">
        <f>VLOOKUP(B5,'Data World GDP'!$A$2:$L$182,6,FALSE)</f>
        <v>6.0000000000000001E-3</v>
      </c>
    </row>
    <row r="6" spans="2:5" ht="16" customHeight="1" x14ac:dyDescent="0.2">
      <c r="B6" s="68" t="s">
        <v>466</v>
      </c>
      <c r="C6" s="72">
        <f>VLOOKUP(B6,'Data World GDP'!$A$2:$L$182,5,FALSE)/$C$31</f>
        <v>4.4885490631051635E-2</v>
      </c>
      <c r="D6" s="33">
        <f>VLOOKUP(B6,'Data World GDP'!$A$2:$L$182,7,FALSE)</f>
        <v>2E-3</v>
      </c>
      <c r="E6" s="33">
        <f>VLOOKUP(B6,'Data World GDP'!$A$2:$L$182,6,FALSE)</f>
        <v>-1E-3</v>
      </c>
    </row>
    <row r="7" spans="2:5" ht="16" customHeight="1" x14ac:dyDescent="0.2">
      <c r="B7" s="68" t="s">
        <v>445</v>
      </c>
      <c r="C7" s="72">
        <f>VLOOKUP(B7,'Data World GDP'!$A$2:$L$182,5,FALSE)/$C$31</f>
        <v>3.8394050422307278E-2</v>
      </c>
      <c r="D7" s="33">
        <f>VLOOKUP(B7,'Data World GDP'!$A$2:$L$182,7,FALSE)</f>
        <v>3.7999999999999999E-2</v>
      </c>
      <c r="E7" s="33">
        <f>VLOOKUP(B7,'Data World GDP'!$A$2:$L$182,6,FALSE)</f>
        <v>2E-3</v>
      </c>
    </row>
    <row r="8" spans="2:5" ht="16" customHeight="1" x14ac:dyDescent="0.2">
      <c r="B8" s="68" t="s">
        <v>558</v>
      </c>
      <c r="C8" s="72">
        <f>VLOOKUP(B8,'Data World GDP'!$A$2:$L$182,5,FALSE)/$C$31</f>
        <v>2.8975097962560575E-2</v>
      </c>
      <c r="D8" s="33">
        <f>VLOOKUP(B8,'Data World GDP'!$A$2:$L$182,7,FALSE)</f>
        <v>8.6999999999999994E-2</v>
      </c>
      <c r="E8" s="33">
        <f>VLOOKUP(B8,'Data World GDP'!$A$2:$L$182,6,FALSE)</f>
        <v>8.0000000000000002E-3</v>
      </c>
    </row>
    <row r="9" spans="2:5" ht="16" customHeight="1" x14ac:dyDescent="0.2">
      <c r="B9" s="68" t="s">
        <v>457</v>
      </c>
      <c r="C9" s="72">
        <f>VLOOKUP(B9,'Data World GDP'!$A$2:$L$182,5,FALSE)/$C$31</f>
        <v>2.8847814821212646E-2</v>
      </c>
      <c r="D9" s="33">
        <f>VLOOKUP(B9,'Data World GDP'!$A$2:$L$182,7,FALSE)</f>
        <v>4.0999999999999988E-2</v>
      </c>
      <c r="E9" s="33">
        <f>VLOOKUP(B9,'Data World GDP'!$A$2:$L$182,6,FALSE)</f>
        <v>8.0000000000000002E-3</v>
      </c>
    </row>
    <row r="10" spans="2:5" ht="16" customHeight="1" x14ac:dyDescent="0.2">
      <c r="B10" s="68" t="s">
        <v>441</v>
      </c>
      <c r="C10" s="72">
        <f>VLOOKUP(B10,'Data World GDP'!$A$2:$L$182,5,FALSE)/$C$31</f>
        <v>2.6702184724204707E-2</v>
      </c>
      <c r="D10" s="33">
        <f>VLOOKUP(B10,'Data World GDP'!$A$2:$L$182,7,FALSE)</f>
        <v>4.4999999999999998E-2</v>
      </c>
      <c r="E10" s="33">
        <f>VLOOKUP(B10,'Data World GDP'!$A$2:$L$182,6,FALSE)</f>
        <v>-2E-3</v>
      </c>
    </row>
    <row r="11" spans="2:5" ht="16" customHeight="1" x14ac:dyDescent="0.2">
      <c r="B11" s="68" t="s">
        <v>405</v>
      </c>
      <c r="C11" s="72">
        <f>VLOOKUP(B11,'Data World GDP'!$A$2:$L$182,5,FALSE)/$C$31</f>
        <v>1.4628469602058351E-2</v>
      </c>
      <c r="D11" s="33">
        <f>VLOOKUP(B11,'Data World GDP'!$A$2:$L$182,7,FALSE)</f>
        <v>1.7000000000000001E-2</v>
      </c>
      <c r="E11" s="33">
        <f>VLOOKUP(B11,'Data World GDP'!$A$2:$L$182,6,FALSE)</f>
        <v>0.01</v>
      </c>
    </row>
    <row r="12" spans="2:5" ht="16" customHeight="1" x14ac:dyDescent="0.2">
      <c r="B12" s="68" t="s">
        <v>463</v>
      </c>
      <c r="C12" s="72">
        <f>VLOOKUP(B12,'Data World GDP'!$A$2:$L$182,5,FALSE)/$C$31</f>
        <v>1.9092471202189269E-2</v>
      </c>
      <c r="D12" s="33">
        <f>VLOOKUP(B12,'Data World GDP'!$A$2:$L$182,7,FALSE)</f>
        <v>6.2E-2</v>
      </c>
      <c r="E12" s="33">
        <f>VLOOKUP(B12,'Data World GDP'!$A$2:$L$182,6,FALSE)</f>
        <v>1E-3</v>
      </c>
    </row>
    <row r="13" spans="2:5" ht="16" customHeight="1" x14ac:dyDescent="0.2">
      <c r="B13" s="68" t="s">
        <v>412</v>
      </c>
      <c r="C13" s="72">
        <f>VLOOKUP(B13,'Data World GDP'!$A$2:$L$182,5,FALSE)/$C$31</f>
        <v>1.8101481030266112E-2</v>
      </c>
      <c r="D13" s="33">
        <f>VLOOKUP(B13,'Data World GDP'!$A$2:$L$182,7,FALSE)</f>
        <v>2.9000000000000001E-2</v>
      </c>
      <c r="E13" s="33">
        <f>VLOOKUP(B13,'Data World GDP'!$A$2:$L$182,6,FALSE)</f>
        <v>8.0000000000000002E-3</v>
      </c>
    </row>
    <row r="14" spans="2:5" ht="16" customHeight="1" x14ac:dyDescent="0.2">
      <c r="B14" s="68" t="s">
        <v>523</v>
      </c>
      <c r="C14" s="72">
        <f>VLOOKUP(B14,'Data World GDP'!$A$2:$L$182,5,FALSE)/$C$31</f>
        <v>1.6146775645280068E-2</v>
      </c>
      <c r="D14" s="33">
        <f>VLOOKUP(B14,'Data World GDP'!$A$2:$L$182,7,FALSE)</f>
        <v>3.5000000000000003E-2</v>
      </c>
      <c r="E14" s="33">
        <f>VLOOKUP(B14,'Data World GDP'!$A$2:$L$182,6,FALSE)</f>
        <v>-8.0000000000000002E-3</v>
      </c>
    </row>
    <row r="15" spans="2:5" ht="16" customHeight="1" x14ac:dyDescent="0.2">
      <c r="B15" s="68" t="s">
        <v>536</v>
      </c>
      <c r="C15" s="72">
        <f>VLOOKUP(B15,'Data World GDP'!$A$2:$L$182,5,FALSE)/$C$31</f>
        <v>1.6355883663208809E-2</v>
      </c>
      <c r="D15" s="33">
        <f>VLOOKUP(B15,'Data World GDP'!$A$2:$L$182,7,FALSE)</f>
        <v>0.03</v>
      </c>
      <c r="E15" s="33">
        <f>VLOOKUP(B15,'Data World GDP'!$A$2:$L$182,6,FALSE)</f>
        <v>6.0000000000000001E-3</v>
      </c>
    </row>
    <row r="16" spans="2:5" ht="16" customHeight="1" x14ac:dyDescent="0.2">
      <c r="B16" s="68" t="s">
        <v>392</v>
      </c>
      <c r="C16" s="72">
        <f>VLOOKUP(B16,'Data World GDP'!$A$2:$L$182,5,FALSE)/$C$31</f>
        <v>1.4028420507132402E-2</v>
      </c>
      <c r="D16" s="33">
        <f>VLOOKUP(B16,'Data World GDP'!$A$2:$L$182,7,FALSE)</f>
        <v>3.3000000000000002E-2</v>
      </c>
      <c r="E16" s="33">
        <f>VLOOKUP(B16,'Data World GDP'!$A$2:$L$182,6,FALSE)</f>
        <v>8.0000000000000002E-3</v>
      </c>
    </row>
    <row r="17" spans="2:8" ht="16" customHeight="1" x14ac:dyDescent="0.2">
      <c r="B17" s="68" t="s">
        <v>538</v>
      </c>
      <c r="C17" s="72">
        <f>VLOOKUP(B17,'Data World GDP'!$A$2:$L$182,5,FALSE)/$C$31</f>
        <v>1.2955605458628434E-2</v>
      </c>
      <c r="D17" s="33">
        <f>VLOOKUP(B17,'Data World GDP'!$A$2:$L$182,7,FALSE)</f>
        <v>6.3E-2</v>
      </c>
      <c r="E17" s="33">
        <f>VLOOKUP(B17,'Data World GDP'!$A$2:$L$182,6,FALSE)</f>
        <v>2E-3</v>
      </c>
    </row>
    <row r="18" spans="2:8" ht="16" customHeight="1" x14ac:dyDescent="0.2">
      <c r="B18" s="68" t="s">
        <v>492</v>
      </c>
      <c r="C18" s="72">
        <f>VLOOKUP(B18,'Data World GDP'!$A$2:$L$182,5,FALSE)/$C$31</f>
        <v>1.1755507268776536E-2</v>
      </c>
      <c r="D18" s="33">
        <f>VLOOKUP(B18,'Data World GDP'!$A$2:$L$182,7,FALSE)</f>
        <v>1.7999999999999999E-2</v>
      </c>
      <c r="E18" s="33">
        <f>VLOOKUP(B18,'Data World GDP'!$A$2:$L$182,6,FALSE)</f>
        <v>0.01</v>
      </c>
    </row>
    <row r="19" spans="2:8" ht="16" customHeight="1" x14ac:dyDescent="0.2">
      <c r="B19" s="68" t="s">
        <v>458</v>
      </c>
      <c r="C19" s="72">
        <f>VLOOKUP(B19,'Data World GDP'!$A$2:$L$182,5,FALSE)/$C$31</f>
        <v>1.0782700402760225E-2</v>
      </c>
      <c r="D19" s="33">
        <f>VLOOKUP(B19,'Data World GDP'!$A$2:$L$182,7,FALSE)</f>
        <v>5.0099999999999999E-2</v>
      </c>
      <c r="E19" s="33">
        <f>VLOOKUP(B19,'Data World GDP'!$A$2:$L$182,6,FALSE)</f>
        <v>-9.5999999999999992E-3</v>
      </c>
    </row>
    <row r="20" spans="2:8" ht="16" customHeight="1" x14ac:dyDescent="0.2">
      <c r="B20" s="68" t="s">
        <v>553</v>
      </c>
      <c r="C20" s="72">
        <f>VLOOKUP(B20,'Data World GDP'!$A$2:$L$182,5,FALSE)/$C$31</f>
        <v>7.4096971570401212E-3</v>
      </c>
      <c r="D20" s="33">
        <f>VLOOKUP(B20,'Data World GDP'!$A$2:$L$182,7,FALSE)</f>
        <v>7.2999999999999995E-2</v>
      </c>
      <c r="E20" s="33">
        <f>VLOOKUP(B20,'Data World GDP'!$A$2:$L$182,6,FALSE)</f>
        <v>1.2E-2</v>
      </c>
    </row>
    <row r="21" spans="2:8" ht="16" customHeight="1" x14ac:dyDescent="0.2">
      <c r="B21" s="68" t="s">
        <v>546</v>
      </c>
      <c r="C21" s="72">
        <f>VLOOKUP(B21,'Data World GDP'!$A$2:$L$182,5,FALSE)/$C$31</f>
        <v>6.0823158258402959E-3</v>
      </c>
      <c r="D21" s="33">
        <f>VLOOKUP(B21,'Data World GDP'!$A$2:$L$182,7,FALSE)</f>
        <v>3.1399999999999997E-2</v>
      </c>
      <c r="E21" s="33">
        <f>VLOOKUP(B21,'Data World GDP'!$A$2:$L$182,6,FALSE)</f>
        <v>1.06E-2</v>
      </c>
    </row>
    <row r="22" spans="2:8" ht="16" customHeight="1" x14ac:dyDescent="0.2">
      <c r="B22" s="68" t="s">
        <v>517</v>
      </c>
      <c r="C22" s="72">
        <f>VLOOKUP(B22,'Data World GDP'!$A$2:$L$182,5,FALSE)/$C$31</f>
        <v>6.127774090607413E-3</v>
      </c>
      <c r="D22" s="33">
        <f>VLOOKUP(B22,'Data World GDP'!$A$2:$L$182,7,FALSE)</f>
        <v>8.5000000000000006E-2</v>
      </c>
      <c r="E22" s="33">
        <f>VLOOKUP(B22,'Data World GDP'!$A$2:$L$182,6,FALSE)</f>
        <v>2.5000000000000001E-2</v>
      </c>
    </row>
    <row r="23" spans="2:8" ht="16" customHeight="1" x14ac:dyDescent="0.2">
      <c r="B23" s="68" t="s">
        <v>461</v>
      </c>
      <c r="C23" s="72">
        <f>VLOOKUP(B23,'Data World GDP'!$A$2:$L$182,5,FALSE)/$C$31</f>
        <v>4.5367348237583078E-3</v>
      </c>
      <c r="D23" s="33">
        <f>VLOOKUP(B23,'Data World GDP'!$A$2:$L$182,7,FALSE)</f>
        <v>0.107</v>
      </c>
      <c r="E23" s="33">
        <f>VLOOKUP(B23,'Data World GDP'!$A$2:$L$182,6,FALSE)</f>
        <v>6.3E-2</v>
      </c>
    </row>
    <row r="24" spans="2:8" ht="16" customHeight="1" x14ac:dyDescent="0.2">
      <c r="B24" s="68" t="s">
        <v>427</v>
      </c>
      <c r="C24" s="72">
        <f>VLOOKUP(B24,'Data World GDP'!$A$2:$L$182,5,FALSE)/$C$31</f>
        <v>3.6093862225091145E-3</v>
      </c>
      <c r="D24" s="33">
        <f>VLOOKUP(B24,'Data World GDP'!$A$2:$L$182,7,FALSE)</f>
        <v>6.2E-2</v>
      </c>
      <c r="E24" s="33">
        <f>VLOOKUP(B24,'Data World GDP'!$A$2:$L$182,6,FALSE)</f>
        <v>-5.0000000000000001E-3</v>
      </c>
      <c r="H24" s="62" t="s">
        <v>18</v>
      </c>
    </row>
    <row r="25" spans="2:8" ht="16" customHeight="1" x14ac:dyDescent="0.2">
      <c r="B25" s="68" t="s">
        <v>426</v>
      </c>
      <c r="C25" s="72">
        <f>VLOOKUP(B25,'Data World GDP'!$A$2:$L$182,5,FALSE)/$C$31</f>
        <v>2.5638461328654164E-3</v>
      </c>
      <c r="D25" s="33">
        <f>VLOOKUP(B25,'Data World GDP'!$A$2:$L$182,7,FALSE)</f>
        <v>4.8000000000000001E-2</v>
      </c>
      <c r="E25" s="33">
        <f>VLOOKUP(B25,'Data World GDP'!$A$2:$L$182,6,FALSE)</f>
        <v>9.0000000000000011E-3</v>
      </c>
      <c r="H25" s="70" t="s">
        <v>595</v>
      </c>
    </row>
    <row r="26" spans="2:8" ht="16" customHeight="1" x14ac:dyDescent="0.2">
      <c r="B26" s="68" t="s">
        <v>504</v>
      </c>
      <c r="C26" s="72">
        <f>VLOOKUP(B26,'Data World GDP'!$A$2:$L$182,5,FALSE)/$C$31</f>
        <v>2.2729132383558655E-3</v>
      </c>
      <c r="D26" s="33">
        <f>VLOOKUP(B26,'Data World GDP'!$A$2:$L$182,7,FALSE)</f>
        <v>1.2E-2</v>
      </c>
      <c r="E26" s="33">
        <f>VLOOKUP(B26,'Data World GDP'!$A$2:$L$182,6,FALSE)</f>
        <v>-2E-3</v>
      </c>
      <c r="H26" s="70" t="s">
        <v>596</v>
      </c>
    </row>
    <row r="27" spans="2:8" ht="17" customHeight="1" thickBot="1" x14ac:dyDescent="0.25">
      <c r="B27" s="69" t="s">
        <v>447</v>
      </c>
      <c r="C27" s="73">
        <f>VLOOKUP(B27,'Data World GDP'!$A$2:$L$182,5,FALSE)/$C$31</f>
        <v>1.9637970379394677E-3</v>
      </c>
      <c r="D27" s="34">
        <f>VLOOKUP(B27,'Data World GDP'!$A$2:$L$182,7,FALSE)</f>
        <v>7.0000000000000007E-2</v>
      </c>
      <c r="E27" s="34">
        <f>VLOOKUP(B27,'Data World GDP'!$A$2:$L$182,6,FALSE)</f>
        <v>2.3E-2</v>
      </c>
    </row>
    <row r="31" spans="2:8" x14ac:dyDescent="0.2">
      <c r="B31" s="70" t="s">
        <v>597</v>
      </c>
      <c r="C31" s="70">
        <f>SUM('Data World GDP'!$E$2:$E$182)</f>
        <v>109991</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tabSelected="1" zoomScale="160" zoomScaleNormal="160" workbookViewId="0">
      <pane ySplit="1" topLeftCell="A273" activePane="bottomLeft" state="frozen"/>
      <selection pane="bottomLeft" activeCell="P302" sqref="P302"/>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0" customWidth="1"/>
  </cols>
  <sheetData>
    <row r="1" spans="1:22" ht="32" customHeight="1" x14ac:dyDescent="0.2">
      <c r="A1" s="39" t="s">
        <v>598</v>
      </c>
      <c r="B1" s="45" t="s">
        <v>64</v>
      </c>
      <c r="C1" s="40" t="s">
        <v>599</v>
      </c>
      <c r="D1" s="46"/>
      <c r="E1" s="47" t="s">
        <v>600</v>
      </c>
      <c r="F1" s="46"/>
      <c r="G1" s="46"/>
      <c r="H1" s="46"/>
      <c r="J1" s="70" t="str">
        <f>B1&amp;" GDP % yoy"</f>
        <v>USA GDP % yoy</v>
      </c>
    </row>
    <row r="2" spans="1:22" x14ac:dyDescent="0.2">
      <c r="A2" s="42">
        <v>17349</v>
      </c>
      <c r="B2" s="43">
        <f>VLOOKUP(A2,'Data yoy'!$B:$AW,MATCH($B$1,'Data yoy'!$B$1:$AW$1,0),FALSE)</f>
        <v>0</v>
      </c>
      <c r="C2" s="44"/>
      <c r="D2" s="46"/>
      <c r="E2" s="46"/>
      <c r="F2" s="46"/>
      <c r="G2" s="46"/>
      <c r="H2" s="46"/>
      <c r="J2" s="70" t="str">
        <f>B1&amp;" "&amp;C1</f>
        <v>USA Quarter Change</v>
      </c>
      <c r="V2" s="70" t="s">
        <v>23</v>
      </c>
    </row>
    <row r="3" spans="1:22" x14ac:dyDescent="0.2">
      <c r="A3" s="42">
        <v>17441</v>
      </c>
      <c r="B3" s="43">
        <f>VLOOKUP(A3,'Data yoy'!$B:$AW,MATCH($B$1,'Data yoy'!$B$1:$AW$1,0),FALSE)</f>
        <v>0</v>
      </c>
      <c r="C3" s="43">
        <f>Table13456789101112131415161734[[#This Row],[USA]]-B2</f>
        <v>0</v>
      </c>
      <c r="D3" s="46"/>
      <c r="E3" s="46"/>
      <c r="F3" s="46"/>
      <c r="G3" s="46"/>
      <c r="H3" s="46"/>
      <c r="J3" s="70" t="str">
        <f>J2&amp;" 2000-"</f>
        <v>USA Quarter Change 2000-</v>
      </c>
      <c r="V3" s="70" t="s">
        <v>24</v>
      </c>
    </row>
    <row r="4" spans="1:22" x14ac:dyDescent="0.2">
      <c r="A4" s="42">
        <v>17533</v>
      </c>
      <c r="B4" s="43">
        <f>VLOOKUP(A4,'Data yoy'!$B:$AW,MATCH($B$1,'Data yoy'!$B$1:$AW$1,0),FALSE)</f>
        <v>0</v>
      </c>
      <c r="C4" s="43">
        <f>Table13456789101112131415161734[[#This Row],[USA]]-B3</f>
        <v>0</v>
      </c>
      <c r="D4" s="46"/>
      <c r="E4" s="46"/>
      <c r="F4" s="46"/>
      <c r="G4" s="46"/>
      <c r="H4" s="46"/>
      <c r="V4" s="70"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0"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0"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0"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0"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0"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0"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0" t="s">
        <v>37</v>
      </c>
    </row>
    <row r="12" spans="1:22" x14ac:dyDescent="0.2">
      <c r="A12" s="42">
        <v>18264</v>
      </c>
      <c r="B12" s="43">
        <f>VLOOKUP(A12,'Data yoy'!$B:$AW,MATCH($B$1,'Data yoy'!$B$1:$AW$1,0),FALSE)</f>
        <v>-1.5330175429999999</v>
      </c>
      <c r="C12" s="43">
        <f>Table13456789101112131415161734[[#This Row],[USA]]-B11</f>
        <v>-0.9443263369999999</v>
      </c>
      <c r="D12" s="27"/>
      <c r="V12" s="70" t="s">
        <v>38</v>
      </c>
    </row>
    <row r="13" spans="1:22" x14ac:dyDescent="0.2">
      <c r="A13" s="42">
        <v>18354</v>
      </c>
      <c r="B13" s="43">
        <f>VLOOKUP(A13,'Data yoy'!$B:$AW,MATCH($B$1,'Data yoy'!$B$1:$AW$1,0),FALSE)</f>
        <v>3.7666806990000001</v>
      </c>
      <c r="C13" s="43">
        <f>Table13456789101112131415161734[[#This Row],[USA]]-B12</f>
        <v>5.2996982419999998</v>
      </c>
      <c r="D13" s="27"/>
      <c r="V13" s="70" t="s">
        <v>40</v>
      </c>
    </row>
    <row r="14" spans="1:22" x14ac:dyDescent="0.2">
      <c r="A14" s="42">
        <v>18445</v>
      </c>
      <c r="B14" s="43">
        <f>VLOOKUP(A14,'Data yoy'!$B:$AW,MATCH($B$1,'Data yoy'!$B$1:$AW$1,0),FALSE)</f>
        <v>7.2973606230000003</v>
      </c>
      <c r="C14" s="43">
        <f>Table13456789101112131415161734[[#This Row],[USA]]-B13</f>
        <v>3.5306799240000002</v>
      </c>
      <c r="D14" s="27"/>
      <c r="V14" s="70" t="s">
        <v>41</v>
      </c>
    </row>
    <row r="15" spans="1:22" x14ac:dyDescent="0.2">
      <c r="A15" s="42">
        <v>18537</v>
      </c>
      <c r="B15" s="43">
        <f>VLOOKUP(A15,'Data yoy'!$B:$AW,MATCH($B$1,'Data yoy'!$B$1:$AW$1,0),FALSE)</f>
        <v>10.304959761999999</v>
      </c>
      <c r="C15" s="43">
        <f>Table13456789101112131415161734[[#This Row],[USA]]-B14</f>
        <v>3.007599138999999</v>
      </c>
      <c r="D15" s="27"/>
      <c r="V15" s="70" t="s">
        <v>42</v>
      </c>
    </row>
    <row r="16" spans="1:22" x14ac:dyDescent="0.2">
      <c r="A16" s="42">
        <v>18629</v>
      </c>
      <c r="B16" s="43">
        <f>VLOOKUP(A16,'Data yoy'!$B:$AW,MATCH($B$1,'Data yoy'!$B$1:$AW$1,0),FALSE)</f>
        <v>13.368522327999999</v>
      </c>
      <c r="C16" s="43">
        <f>Table13456789101112131415161734[[#This Row],[USA]]-B15</f>
        <v>3.0635625659999999</v>
      </c>
      <c r="D16" s="27"/>
      <c r="V16" s="70" t="s">
        <v>44</v>
      </c>
    </row>
    <row r="17" spans="1:22" x14ac:dyDescent="0.2">
      <c r="A17" s="42">
        <v>18719</v>
      </c>
      <c r="B17" s="43">
        <f>VLOOKUP(A17,'Data yoy'!$B:$AW,MATCH($B$1,'Data yoy'!$B$1:$AW$1,0),FALSE)</f>
        <v>10.563012123</v>
      </c>
      <c r="C17" s="43">
        <f>Table13456789101112131415161734[[#This Row],[USA]]-B16</f>
        <v>-2.8055102049999991</v>
      </c>
      <c r="D17" s="27"/>
      <c r="V17" s="70" t="s">
        <v>45</v>
      </c>
    </row>
    <row r="18" spans="1:22" x14ac:dyDescent="0.2">
      <c r="A18" s="42">
        <v>18810</v>
      </c>
      <c r="B18" s="43">
        <f>VLOOKUP(A18,'Data yoy'!$B:$AW,MATCH($B$1,'Data yoy'!$B$1:$AW$1,0),FALSE)</f>
        <v>9.1498838239999998</v>
      </c>
      <c r="C18" s="43">
        <f>Table13456789101112131415161734[[#This Row],[USA]]-B17</f>
        <v>-1.4131282990000003</v>
      </c>
      <c r="D18" s="27"/>
      <c r="V18" s="70" t="s">
        <v>46</v>
      </c>
    </row>
    <row r="19" spans="1:22" x14ac:dyDescent="0.2">
      <c r="A19" s="42">
        <v>18902</v>
      </c>
      <c r="B19" s="43">
        <f>VLOOKUP(A19,'Data yoy'!$B:$AW,MATCH($B$1,'Data yoy'!$B$1:$AW$1,0),FALSE)</f>
        <v>7.2546955019999997</v>
      </c>
      <c r="C19" s="43">
        <f>Table13456789101112131415161734[[#This Row],[USA]]-B18</f>
        <v>-1.8951883220000001</v>
      </c>
      <c r="D19" s="27"/>
      <c r="V19" s="70" t="s">
        <v>47</v>
      </c>
    </row>
    <row r="20" spans="1:22" x14ac:dyDescent="0.2">
      <c r="A20" s="42">
        <v>18994</v>
      </c>
      <c r="B20" s="43">
        <f>VLOOKUP(A20,'Data yoy'!$B:$AW,MATCH($B$1,'Data yoy'!$B$1:$AW$1,0),FALSE)</f>
        <v>5.4713784949999997</v>
      </c>
      <c r="C20" s="43">
        <f>Table13456789101112131415161734[[#This Row],[USA]]-B19</f>
        <v>-1.783317007</v>
      </c>
      <c r="D20" s="27"/>
      <c r="V20" s="70" t="s">
        <v>48</v>
      </c>
    </row>
    <row r="21" spans="1:22" x14ac:dyDescent="0.2">
      <c r="A21" s="42">
        <v>19085</v>
      </c>
      <c r="B21" s="43">
        <f>VLOOKUP(A21,'Data yoy'!$B:$AW,MATCH($B$1,'Data yoy'!$B$1:$AW$1,0),FALSE)</f>
        <v>5.170000881</v>
      </c>
      <c r="C21" s="43">
        <f>Table13456789101112131415161734[[#This Row],[USA]]-B20</f>
        <v>-0.30137761399999974</v>
      </c>
      <c r="D21" s="27"/>
      <c r="V21" s="70" t="s">
        <v>49</v>
      </c>
    </row>
    <row r="22" spans="1:22" x14ac:dyDescent="0.2">
      <c r="A22" s="42">
        <v>19176</v>
      </c>
      <c r="B22" s="43">
        <f>VLOOKUP(A22,'Data yoy'!$B:$AW,MATCH($B$1,'Data yoy'!$B$1:$AW$1,0),FALSE)</f>
        <v>3.6014209519999998</v>
      </c>
      <c r="C22" s="43">
        <f>Table13456789101112131415161734[[#This Row],[USA]]-B21</f>
        <v>-1.5685799290000002</v>
      </c>
      <c r="D22" s="27"/>
      <c r="V22" s="70" t="s">
        <v>50</v>
      </c>
    </row>
    <row r="23" spans="1:22" x14ac:dyDescent="0.2">
      <c r="A23" s="42">
        <v>19268</v>
      </c>
      <c r="B23" s="43">
        <f>VLOOKUP(A23,'Data yoy'!$B:$AW,MATCH($B$1,'Data yoy'!$B$1:$AW$1,0),FALSE)</f>
        <v>2.2420593809999998</v>
      </c>
      <c r="C23" s="43">
        <f>Table13456789101112131415161734[[#This Row],[USA]]-B22</f>
        <v>-1.359361571</v>
      </c>
      <c r="D23" s="27"/>
      <c r="V23" s="70" t="s">
        <v>51</v>
      </c>
    </row>
    <row r="24" spans="1:22" x14ac:dyDescent="0.2">
      <c r="A24" s="42">
        <v>19360</v>
      </c>
      <c r="B24" s="43">
        <f>VLOOKUP(A24,'Data yoy'!$B:$AW,MATCH($B$1,'Data yoy'!$B$1:$AW$1,0),FALSE)</f>
        <v>5.3678369469999998</v>
      </c>
      <c r="C24" s="43">
        <f>Table13456789101112131415161734[[#This Row],[USA]]-B23</f>
        <v>3.125777566</v>
      </c>
      <c r="D24" s="27"/>
      <c r="V24" s="70" t="s">
        <v>52</v>
      </c>
    </row>
    <row r="25" spans="1:22" x14ac:dyDescent="0.2">
      <c r="A25" s="42">
        <v>19450</v>
      </c>
      <c r="B25" s="43">
        <f>VLOOKUP(A25,'Data yoy'!$B:$AW,MATCH($B$1,'Data yoy'!$B$1:$AW$1,0),FALSE)</f>
        <v>6.1917895940000003</v>
      </c>
      <c r="C25" s="43">
        <f>Table13456789101112131415161734[[#This Row],[USA]]-B24</f>
        <v>0.82395264700000048</v>
      </c>
      <c r="D25" s="27"/>
      <c r="V25" s="70" t="s">
        <v>53</v>
      </c>
    </row>
    <row r="26" spans="1:22" x14ac:dyDescent="0.2">
      <c r="A26" s="42">
        <v>19541</v>
      </c>
      <c r="B26" s="43">
        <f>VLOOKUP(A26,'Data yoy'!$B:$AW,MATCH($B$1,'Data yoy'!$B$1:$AW$1,0),FALSE)</f>
        <v>6.7825801630000004</v>
      </c>
      <c r="C26" s="43">
        <f>Table13456789101112131415161734[[#This Row],[USA]]-B25</f>
        <v>0.59079056900000015</v>
      </c>
      <c r="D26" s="27"/>
      <c r="V26" s="70" t="s">
        <v>54</v>
      </c>
    </row>
    <row r="27" spans="1:22" x14ac:dyDescent="0.2">
      <c r="A27" s="42">
        <v>19633</v>
      </c>
      <c r="B27" s="43">
        <f>VLOOKUP(A27,'Data yoy'!$B:$AW,MATCH($B$1,'Data yoy'!$B$1:$AW$1,0),FALSE)</f>
        <v>5.4207601810000003</v>
      </c>
      <c r="C27" s="43">
        <f>Table13456789101112131415161734[[#This Row],[USA]]-B26</f>
        <v>-1.3618199820000001</v>
      </c>
      <c r="D27" s="27"/>
      <c r="V27" s="70" t="s">
        <v>56</v>
      </c>
    </row>
    <row r="28" spans="1:22" x14ac:dyDescent="0.2">
      <c r="A28" s="42">
        <v>19725</v>
      </c>
      <c r="B28" s="43">
        <f>VLOOKUP(A28,'Data yoy'!$B:$AW,MATCH($B$1,'Data yoy'!$B$1:$AW$1,0),FALSE)</f>
        <v>0.52334884400000004</v>
      </c>
      <c r="C28" s="43">
        <f>Table13456789101112131415161734[[#This Row],[USA]]-B27</f>
        <v>-4.8974113370000003</v>
      </c>
      <c r="D28" s="27"/>
      <c r="V28" s="70" t="s">
        <v>57</v>
      </c>
    </row>
    <row r="29" spans="1:22" x14ac:dyDescent="0.2">
      <c r="A29" s="42">
        <v>19815</v>
      </c>
      <c r="B29" s="43">
        <f>VLOOKUP(A29,'Data yoy'!$B:$AW,MATCH($B$1,'Data yoy'!$B$1:$AW$1,0),FALSE)</f>
        <v>-1.782902464</v>
      </c>
      <c r="C29" s="43">
        <f>Table13456789101112131415161734[[#This Row],[USA]]-B28</f>
        <v>-2.3062513080000002</v>
      </c>
      <c r="D29" s="27"/>
      <c r="V29" s="70" t="s">
        <v>58</v>
      </c>
    </row>
    <row r="30" spans="1:22" x14ac:dyDescent="0.2">
      <c r="A30" s="42">
        <v>19906</v>
      </c>
      <c r="B30" s="43">
        <f>VLOOKUP(A30,'Data yoy'!$B:$AW,MATCH($B$1,'Data yoy'!$B$1:$AW$1,0),FALSE)</f>
        <v>-2.4300090499999998</v>
      </c>
      <c r="C30" s="43">
        <f>Table13456789101112131415161734[[#This Row],[USA]]-B29</f>
        <v>-0.64710658599999982</v>
      </c>
      <c r="D30" s="27"/>
      <c r="V30" s="70" t="s">
        <v>60</v>
      </c>
    </row>
    <row r="31" spans="1:22" x14ac:dyDescent="0.2">
      <c r="A31" s="42">
        <v>19998</v>
      </c>
      <c r="B31" s="43">
        <f>VLOOKUP(A31,'Data yoy'!$B:$AW,MATCH($B$1,'Data yoy'!$B$1:$AW$1,0),FALSE)</f>
        <v>-0.76976022300000002</v>
      </c>
      <c r="C31" s="43">
        <f>Table13456789101112131415161734[[#This Row],[USA]]-B30</f>
        <v>1.6602488269999998</v>
      </c>
      <c r="D31" s="27"/>
      <c r="V31" s="70" t="s">
        <v>61</v>
      </c>
    </row>
    <row r="32" spans="1:22" x14ac:dyDescent="0.2">
      <c r="A32" s="42">
        <v>20090</v>
      </c>
      <c r="B32" s="43">
        <f>VLOOKUP(A32,'Data yoy'!$B:$AW,MATCH($B$1,'Data yoy'!$B$1:$AW$1,0),FALSE)</f>
        <v>2.7270932499999998</v>
      </c>
      <c r="C32" s="43">
        <f>Table13456789101112131415161734[[#This Row],[USA]]-B31</f>
        <v>3.4968534729999998</v>
      </c>
      <c r="D32" s="27"/>
      <c r="V32" s="70" t="s">
        <v>62</v>
      </c>
    </row>
    <row r="33" spans="1:22" x14ac:dyDescent="0.2">
      <c r="A33" s="42">
        <v>20180</v>
      </c>
      <c r="B33" s="43">
        <f>VLOOKUP(A33,'Data yoy'!$B:$AW,MATCH($B$1,'Data yoy'!$B$1:$AW$1,0),FALSE)</f>
        <v>6.1687319870000001</v>
      </c>
      <c r="C33" s="43">
        <f>Table13456789101112131415161734[[#This Row],[USA]]-B32</f>
        <v>3.4416387370000003</v>
      </c>
      <c r="D33" s="27"/>
      <c r="V33" s="70" t="s">
        <v>63</v>
      </c>
    </row>
    <row r="34" spans="1:22" x14ac:dyDescent="0.2">
      <c r="A34" s="42">
        <v>20271</v>
      </c>
      <c r="B34" s="43">
        <f>VLOOKUP(A34,'Data yoy'!$B:$AW,MATCH($B$1,'Data yoy'!$B$1:$AW$1,0),FALSE)</f>
        <v>7.7788443279999999</v>
      </c>
      <c r="C34" s="43">
        <f>Table13456789101112131415161734[[#This Row],[USA]]-B33</f>
        <v>1.6101123409999998</v>
      </c>
      <c r="D34" s="27"/>
      <c r="V34" s="70" t="s">
        <v>64</v>
      </c>
    </row>
    <row r="35" spans="1:22" x14ac:dyDescent="0.2">
      <c r="A35" s="42">
        <v>20363</v>
      </c>
      <c r="B35" s="43">
        <f>VLOOKUP(A35,'Data yoy'!$B:$AW,MATCH($B$1,'Data yoy'!$B$1:$AW$1,0),FALSE)</f>
        <v>8.0145013810000005</v>
      </c>
      <c r="C35" s="43">
        <f>Table13456789101112131415161734[[#This Row],[USA]]-B34</f>
        <v>0.23565705300000062</v>
      </c>
      <c r="D35" s="27"/>
      <c r="V35" s="70"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0" t="s">
        <v>39</v>
      </c>
    </row>
    <row r="38" spans="1:22" x14ac:dyDescent="0.2">
      <c r="A38" s="42">
        <v>20637</v>
      </c>
      <c r="B38" s="43">
        <f>VLOOKUP(A38,'Data yoy'!$B:$AW,MATCH($B$1,'Data yoy'!$B$1:$AW$1,0),FALSE)</f>
        <v>2.4021458670000002</v>
      </c>
      <c r="C38" s="43">
        <f>Table13456789101112131415161734[[#This Row],[USA]]-B37</f>
        <v>-0.81340266499999991</v>
      </c>
      <c r="D38" s="27"/>
      <c r="V38" s="70" t="s">
        <v>27</v>
      </c>
    </row>
    <row r="39" spans="1:22" x14ac:dyDescent="0.2">
      <c r="A39" s="42">
        <v>20729</v>
      </c>
      <c r="B39" s="43">
        <f>VLOOKUP(A39,'Data yoy'!$B:$AW,MATCH($B$1,'Data yoy'!$B$1:$AW$1,0),FALSE)</f>
        <v>0.94689641000000002</v>
      </c>
      <c r="C39" s="43">
        <f>Table13456789101112131415161734[[#This Row],[USA]]-B38</f>
        <v>-1.4552494570000003</v>
      </c>
      <c r="D39" s="27"/>
      <c r="V39" s="70" t="s">
        <v>43</v>
      </c>
    </row>
    <row r="40" spans="1:22" x14ac:dyDescent="0.2">
      <c r="A40" s="42">
        <v>20821</v>
      </c>
      <c r="B40" s="43">
        <f>VLOOKUP(A40,'Data yoy'!$B:$AW,MATCH($B$1,'Data yoy'!$B$1:$AW$1,0),FALSE)</f>
        <v>1.9960335760000001</v>
      </c>
      <c r="C40" s="43">
        <f>Table13456789101112131415161734[[#This Row],[USA]]-B39</f>
        <v>1.049137166</v>
      </c>
      <c r="D40" s="27"/>
      <c r="V40" s="70" t="s">
        <v>65</v>
      </c>
    </row>
    <row r="41" spans="1:22" x14ac:dyDescent="0.2">
      <c r="A41" s="42">
        <v>20911</v>
      </c>
      <c r="B41" s="43">
        <f>VLOOKUP(A41,'Data yoy'!$B:$AW,MATCH($B$1,'Data yoy'!$B$1:$AW$1,0),FALSE)</f>
        <v>3.0493286199999998</v>
      </c>
      <c r="C41" s="43">
        <f>Table13456789101112131415161734[[#This Row],[USA]]-B40</f>
        <v>1.0532950439999997</v>
      </c>
      <c r="D41" s="27"/>
      <c r="V41" s="70"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0" customFormat="1" x14ac:dyDescent="0.2">
      <c r="A291" s="42">
        <v>43739</v>
      </c>
      <c r="B291" s="43">
        <f>VLOOKUP(A291,'Data yoy'!$B:$AW,MATCH($B$1,'Data yoy'!$B$1:$AW$1,0),FALSE)</f>
        <v>2.3183259980000002</v>
      </c>
      <c r="C291" s="43">
        <f>Table13456789101112131415161734[[#This Row],[USA]]-B290</f>
        <v>0.20684716200000031</v>
      </c>
      <c r="D291" s="48"/>
    </row>
    <row r="292" spans="1:4" s="70" customFormat="1" x14ac:dyDescent="0.2">
      <c r="A292" s="42">
        <v>43831</v>
      </c>
      <c r="B292" s="43">
        <f>VLOOKUP(A292,'Data yoy'!$B:$AW,MATCH($B$1,'Data yoy'!$B$1:$AW$1,0),FALSE)</f>
        <v>2.5694235349999999</v>
      </c>
      <c r="C292" s="43">
        <f>Table13456789101112131415161734[[#This Row],[USA]]-B291</f>
        <v>0.2510975369999997</v>
      </c>
      <c r="D292" s="48"/>
    </row>
    <row r="293" spans="1:4" s="70" customFormat="1" x14ac:dyDescent="0.2">
      <c r="A293" s="42">
        <v>43922</v>
      </c>
      <c r="B293" s="43">
        <f>VLOOKUP(A293,'Data yoy'!$B:$AW,MATCH($B$1,'Data yoy'!$B$1:$AW$1,0),FALSE)</f>
        <v>0.63078516399999995</v>
      </c>
      <c r="C293" s="43">
        <f>Table13456789101112131415161734[[#This Row],[USA]]-B292</f>
        <v>-1.9386383709999999</v>
      </c>
      <c r="D293" s="48"/>
    </row>
    <row r="294" spans="1:4" s="70" customFormat="1" x14ac:dyDescent="0.2">
      <c r="A294" s="42">
        <v>44013</v>
      </c>
      <c r="B294" s="43">
        <f>VLOOKUP(A294,'Data yoy'!$B:$AW,MATCH($B$1,'Data yoy'!$B$1:$AW$1,0),FALSE)</f>
        <v>-9.0837374240000006</v>
      </c>
      <c r="C294" s="43">
        <f>Table13456789101112131415161734[[#This Row],[USA]]-B293</f>
        <v>-9.7145225880000012</v>
      </c>
      <c r="D294" s="48"/>
    </row>
    <row r="295" spans="1:4" s="70" customFormat="1" x14ac:dyDescent="0.2">
      <c r="A295" s="42">
        <v>44105</v>
      </c>
      <c r="B295" s="43">
        <f>VLOOKUP(A295,'Data yoy'!$B:$AW,MATCH($B$1,'Data yoy'!$B$1:$AW$1,0),FALSE)</f>
        <v>-2.8875059890000001</v>
      </c>
      <c r="C295" s="43">
        <f>Table13456789101112131415161734[[#This Row],[USA]]-B294</f>
        <v>6.1962314350000005</v>
      </c>
      <c r="D295" s="48"/>
    </row>
    <row r="296" spans="1:4" s="70" customFormat="1" x14ac:dyDescent="0.2">
      <c r="A296" s="42">
        <v>44197</v>
      </c>
      <c r="B296" s="43">
        <f>VLOOKUP(A296,'Data yoy'!$B:$AW,MATCH($B$1,'Data yoy'!$B$1:$AW$1,0),FALSE)</f>
        <v>-2.2629152430000001</v>
      </c>
      <c r="C296" s="43">
        <f>Table13456789101112131415161734[[#This Row],[USA]]-B295</f>
        <v>0.62459074599999997</v>
      </c>
      <c r="D296" s="48"/>
    </row>
    <row r="297" spans="1:4" s="70" customFormat="1" x14ac:dyDescent="0.2">
      <c r="A297" s="42">
        <v>44287</v>
      </c>
      <c r="B297" s="43">
        <f>VLOOKUP(A297,'Data yoy'!$B:$AW,MATCH($B$1,'Data yoy'!$B$1:$AW$1,0),FALSE)</f>
        <v>0.54697680299999996</v>
      </c>
      <c r="C297" s="43">
        <f>Table13456789101112131415161734[[#This Row],[USA]]-B296</f>
        <v>2.8098920459999999</v>
      </c>
      <c r="D297" s="48"/>
    </row>
    <row r="298" spans="1:4" s="70" customFormat="1" x14ac:dyDescent="0.2">
      <c r="A298" s="42">
        <v>44378</v>
      </c>
      <c r="B298" s="43">
        <f>VLOOKUP(A298,'Data yoy'!$B:$AW,MATCH($B$1,'Data yoy'!$B$1:$AW$1,0),FALSE)</f>
        <v>12.226677108000001</v>
      </c>
      <c r="C298" s="43">
        <f>Table13456789101112131415161734[[#This Row],[USA]]-B297</f>
        <v>11.679700305000001</v>
      </c>
      <c r="D298" s="48"/>
    </row>
    <row r="299" spans="1:4" s="70" customFormat="1" x14ac:dyDescent="0.2">
      <c r="A299" s="42">
        <v>44470</v>
      </c>
      <c r="B299" s="43">
        <f>VLOOKUP(A299,'Data yoy'!$B:$AW,MATCH($B$1,'Data yoy'!$B$1:$AW$1,0),FALSE)</f>
        <v>4.946555569</v>
      </c>
      <c r="C299" s="43">
        <f>Table13456789101112131415161734[[#This Row],[USA]]-B298</f>
        <v>-7.2801215390000005</v>
      </c>
      <c r="D299" s="48"/>
    </row>
    <row r="300" spans="1:4" s="70" customFormat="1" x14ac:dyDescent="0.2">
      <c r="A300" s="42">
        <v>44562</v>
      </c>
      <c r="B300" s="43">
        <f>VLOOKUP(A300,'Data yoy'!$B:$AW,MATCH($B$1,'Data yoy'!$B$1:$AW$1,0),FALSE)</f>
        <v>5.5334840380000001</v>
      </c>
      <c r="C300" s="43">
        <f>Table13456789101112131415161734[[#This Row],[USA]]-B299</f>
        <v>0.58692846900000006</v>
      </c>
      <c r="D300" s="48"/>
    </row>
    <row r="301" spans="1:4" s="70" customFormat="1" x14ac:dyDescent="0.2">
      <c r="A301" s="42">
        <v>44652</v>
      </c>
      <c r="B301" s="43">
        <f>VLOOKUP(A301,'Data yoy'!$B:$AW,MATCH($B$1,'Data yoy'!$B$1:$AW$1,0),FALSE)</f>
        <v>3.5278923760000001</v>
      </c>
      <c r="C301" s="43">
        <f>Table13456789101112131415161734[[#This Row],[USA]]-B300</f>
        <v>-2.0055916620000001</v>
      </c>
      <c r="D301" s="48"/>
    </row>
    <row r="302" spans="1:4" s="70" customFormat="1" x14ac:dyDescent="0.2">
      <c r="A302" s="49"/>
      <c r="B302" s="50"/>
      <c r="C302" s="41"/>
      <c r="D302" s="48"/>
    </row>
    <row r="303" spans="1:4" s="70" customFormat="1" x14ac:dyDescent="0.2">
      <c r="A303" s="49"/>
      <c r="B303" s="50"/>
      <c r="C303" s="41"/>
      <c r="D303" s="48"/>
    </row>
    <row r="304" spans="1:4" s="70" customFormat="1" x14ac:dyDescent="0.2">
      <c r="A304" s="49"/>
      <c r="B304" s="50"/>
      <c r="C304" s="41"/>
      <c r="D304" s="48"/>
    </row>
    <row r="305" spans="1:4" s="70" customFormat="1" x14ac:dyDescent="0.2">
      <c r="A305" s="49"/>
      <c r="B305" s="50"/>
      <c r="C305" s="41"/>
      <c r="D305" s="48"/>
    </row>
    <row r="306" spans="1:4" s="70" customFormat="1" x14ac:dyDescent="0.2">
      <c r="A306" s="49"/>
      <c r="B306" s="50"/>
      <c r="C306" s="41"/>
      <c r="D306" s="48"/>
    </row>
    <row r="307" spans="1:4" s="70" customFormat="1" x14ac:dyDescent="0.2">
      <c r="A307" s="49"/>
      <c r="B307" s="50"/>
      <c r="C307" s="41"/>
      <c r="D307" s="48"/>
    </row>
    <row r="308" spans="1:4" s="70" customFormat="1" x14ac:dyDescent="0.2">
      <c r="A308" s="49"/>
      <c r="B308" s="50"/>
      <c r="C308" s="41"/>
      <c r="D308" s="48"/>
    </row>
    <row r="309" spans="1:4" s="70" customFormat="1" x14ac:dyDescent="0.2">
      <c r="A309" s="49"/>
      <c r="B309" s="50"/>
      <c r="C309" s="41"/>
      <c r="D309" s="48"/>
    </row>
    <row r="310" spans="1:4" s="70" customFormat="1" x14ac:dyDescent="0.2">
      <c r="A310" s="49"/>
      <c r="B310" s="50"/>
      <c r="C310" s="41"/>
      <c r="D310" s="48"/>
    </row>
    <row r="311" spans="1:4" s="70" customFormat="1" x14ac:dyDescent="0.2">
      <c r="A311" s="49"/>
      <c r="B311" s="50"/>
      <c r="C311" s="41"/>
      <c r="D311" s="48"/>
    </row>
    <row r="312" spans="1:4" s="70" customFormat="1" x14ac:dyDescent="0.2">
      <c r="A312" s="49"/>
      <c r="B312" s="50"/>
      <c r="C312" s="41"/>
      <c r="D312" s="48"/>
    </row>
    <row r="313" spans="1:4" s="70" customFormat="1" x14ac:dyDescent="0.2">
      <c r="A313" s="49"/>
      <c r="B313" s="50"/>
      <c r="C313" s="41"/>
      <c r="D313" s="48"/>
    </row>
    <row r="314" spans="1:4" s="70" customFormat="1" x14ac:dyDescent="0.2">
      <c r="A314" s="49"/>
      <c r="B314" s="50"/>
      <c r="C314" s="41"/>
      <c r="D314" s="48"/>
    </row>
    <row r="315" spans="1:4" s="70" customFormat="1" x14ac:dyDescent="0.2">
      <c r="A315" s="49"/>
      <c r="B315" s="50"/>
      <c r="C315" s="41"/>
      <c r="D315" s="48"/>
    </row>
    <row r="316" spans="1:4" s="70" customFormat="1" x14ac:dyDescent="0.2">
      <c r="A316" s="49"/>
      <c r="B316" s="50"/>
      <c r="C316" s="41"/>
      <c r="D316" s="48"/>
    </row>
    <row r="317" spans="1:4" s="70" customFormat="1" x14ac:dyDescent="0.2">
      <c r="A317" s="49"/>
      <c r="B317" s="50"/>
      <c r="C317" s="41"/>
      <c r="D317" s="48"/>
    </row>
    <row r="318" spans="1:4" s="70" customFormat="1" x14ac:dyDescent="0.2">
      <c r="A318" s="49"/>
      <c r="B318" s="50"/>
      <c r="C318" s="41"/>
      <c r="D318" s="48"/>
    </row>
    <row r="319" spans="1:4" s="70" customFormat="1" x14ac:dyDescent="0.2">
      <c r="A319" s="49"/>
      <c r="B319" s="50"/>
      <c r="C319" s="41"/>
      <c r="D319" s="48"/>
    </row>
    <row r="320" spans="1:4" s="70" customFormat="1" x14ac:dyDescent="0.2">
      <c r="A320" s="49"/>
      <c r="B320" s="50"/>
      <c r="C320" s="41"/>
      <c r="D320" s="48"/>
    </row>
    <row r="321" spans="1:4" s="70" customFormat="1" x14ac:dyDescent="0.2">
      <c r="A321" s="49"/>
      <c r="B321" s="50"/>
      <c r="C321" s="41"/>
      <c r="D321" s="48"/>
    </row>
    <row r="322" spans="1:4" s="70" customFormat="1" x14ac:dyDescent="0.2">
      <c r="A322" s="49"/>
      <c r="B322" s="50"/>
      <c r="C322" s="41"/>
      <c r="D322" s="48"/>
    </row>
    <row r="323" spans="1:4" s="70" customFormat="1" x14ac:dyDescent="0.2">
      <c r="A323" s="49"/>
      <c r="B323" s="50"/>
      <c r="C323" s="41"/>
      <c r="D323" s="48"/>
    </row>
    <row r="324" spans="1:4" s="70" customFormat="1" x14ac:dyDescent="0.2">
      <c r="A324" s="49"/>
      <c r="B324" s="50"/>
      <c r="C324" s="41"/>
      <c r="D324" s="48"/>
    </row>
    <row r="325" spans="1:4" s="70" customFormat="1" x14ac:dyDescent="0.2">
      <c r="A325" s="49"/>
      <c r="B325" s="50"/>
      <c r="C325" s="41"/>
      <c r="D325" s="48"/>
    </row>
    <row r="326" spans="1:4" s="70" customFormat="1" x14ac:dyDescent="0.2">
      <c r="A326" s="49"/>
      <c r="B326" s="50"/>
      <c r="C326" s="41"/>
      <c r="D326" s="48"/>
    </row>
    <row r="327" spans="1:4" s="70" customFormat="1" x14ac:dyDescent="0.2">
      <c r="A327" s="49"/>
      <c r="B327" s="50"/>
      <c r="C327" s="41"/>
      <c r="D327" s="48"/>
    </row>
    <row r="328" spans="1:4" s="70" customFormat="1" x14ac:dyDescent="0.2">
      <c r="A328" s="49"/>
      <c r="B328" s="50"/>
      <c r="C328" s="41"/>
      <c r="D328" s="48"/>
    </row>
    <row r="329" spans="1:4" s="70" customFormat="1" x14ac:dyDescent="0.2">
      <c r="A329" s="49"/>
      <c r="B329" s="50"/>
      <c r="C329" s="41"/>
      <c r="D329" s="48"/>
    </row>
    <row r="330" spans="1:4" s="70" customFormat="1" x14ac:dyDescent="0.2">
      <c r="A330" s="49"/>
      <c r="B330" s="50"/>
      <c r="C330" s="41"/>
      <c r="D330" s="48"/>
    </row>
    <row r="331" spans="1:4" s="70" customFormat="1" x14ac:dyDescent="0.2">
      <c r="A331" s="49"/>
      <c r="B331" s="50"/>
      <c r="C331" s="41"/>
      <c r="D331" s="48"/>
    </row>
    <row r="332" spans="1:4" s="70" customFormat="1" x14ac:dyDescent="0.2">
      <c r="A332" s="49"/>
      <c r="B332" s="50"/>
      <c r="C332" s="41"/>
      <c r="D332" s="48"/>
    </row>
    <row r="333" spans="1:4" s="70" customFormat="1" x14ac:dyDescent="0.2">
      <c r="A333" s="49"/>
      <c r="B333" s="50"/>
      <c r="C333" s="41"/>
      <c r="D333" s="48"/>
    </row>
    <row r="334" spans="1:4" s="70" customFormat="1" x14ac:dyDescent="0.2">
      <c r="A334" s="49"/>
      <c r="B334" s="50"/>
      <c r="C334" s="41"/>
      <c r="D334" s="48"/>
    </row>
    <row r="335" spans="1:4" s="70" customFormat="1" x14ac:dyDescent="0.2">
      <c r="A335" s="49"/>
      <c r="B335" s="50"/>
      <c r="C335" s="41"/>
      <c r="D335" s="48"/>
    </row>
    <row r="336" spans="1:4" s="70" customFormat="1" x14ac:dyDescent="0.2">
      <c r="A336" s="49"/>
      <c r="B336" s="50"/>
      <c r="C336" s="41"/>
      <c r="D336" s="48"/>
    </row>
    <row r="337" spans="1:4" s="70" customFormat="1" x14ac:dyDescent="0.2">
      <c r="A337" s="49"/>
      <c r="B337" s="50"/>
      <c r="C337" s="41"/>
      <c r="D337" s="48"/>
    </row>
    <row r="338" spans="1:4" s="70" customFormat="1" x14ac:dyDescent="0.2">
      <c r="A338" s="49"/>
      <c r="B338" s="50"/>
      <c r="C338" s="41"/>
      <c r="D338" s="48"/>
    </row>
    <row r="339" spans="1:4" s="70" customFormat="1" x14ac:dyDescent="0.2">
      <c r="A339" s="49"/>
      <c r="B339" s="50"/>
      <c r="C339" s="41"/>
      <c r="D339" s="48"/>
    </row>
    <row r="340" spans="1:4" s="70" customFormat="1" x14ac:dyDescent="0.2">
      <c r="A340" s="49"/>
      <c r="B340" s="50"/>
      <c r="C340" s="41"/>
      <c r="D340" s="48"/>
    </row>
    <row r="341" spans="1:4" s="70" customFormat="1" x14ac:dyDescent="0.2">
      <c r="A341" s="49"/>
      <c r="B341" s="50"/>
      <c r="C341" s="41"/>
      <c r="D341" s="48"/>
    </row>
    <row r="342" spans="1:4" s="70" customFormat="1" x14ac:dyDescent="0.2">
      <c r="A342" s="49"/>
      <c r="B342" s="50"/>
      <c r="C342" s="41"/>
      <c r="D342" s="48"/>
    </row>
    <row r="343" spans="1:4" s="70" customFormat="1" x14ac:dyDescent="0.2">
      <c r="A343" s="49"/>
      <c r="B343" s="50"/>
      <c r="C343" s="41"/>
      <c r="D343" s="48"/>
    </row>
    <row r="344" spans="1:4" s="70" customFormat="1" x14ac:dyDescent="0.2">
      <c r="A344" s="49"/>
      <c r="B344" s="50"/>
      <c r="C344" s="41"/>
      <c r="D344" s="48"/>
    </row>
    <row r="345" spans="1:4" s="70" customFormat="1" x14ac:dyDescent="0.2">
      <c r="A345" s="49"/>
      <c r="B345" s="50"/>
      <c r="C345" s="41"/>
      <c r="D345" s="48"/>
    </row>
    <row r="346" spans="1:4" s="70" customFormat="1" x14ac:dyDescent="0.2">
      <c r="A346" s="49"/>
      <c r="B346" s="50"/>
      <c r="C346" s="41"/>
      <c r="D346" s="48"/>
    </row>
    <row r="347" spans="1:4" s="70" customFormat="1" x14ac:dyDescent="0.2">
      <c r="A347" s="49"/>
      <c r="B347" s="50"/>
      <c r="C347" s="41"/>
      <c r="D347" s="48"/>
    </row>
    <row r="348" spans="1:4" s="70" customFormat="1" x14ac:dyDescent="0.2">
      <c r="A348" s="49"/>
      <c r="B348" s="50"/>
      <c r="C348" s="41"/>
      <c r="D348" s="48"/>
    </row>
    <row r="349" spans="1:4" s="70" customFormat="1" x14ac:dyDescent="0.2">
      <c r="A349" s="49"/>
      <c r="B349" s="50"/>
      <c r="C349" s="41"/>
      <c r="D349" s="48"/>
    </row>
    <row r="350" spans="1:4" s="70" customFormat="1" x14ac:dyDescent="0.2">
      <c r="A350" s="49"/>
      <c r="B350" s="50"/>
      <c r="C350" s="41"/>
      <c r="D350" s="48"/>
    </row>
    <row r="351" spans="1:4" s="70" customFormat="1" x14ac:dyDescent="0.2">
      <c r="A351" s="49"/>
      <c r="B351" s="50"/>
      <c r="C351" s="41"/>
      <c r="D351" s="48"/>
    </row>
    <row r="352" spans="1:4" s="70" customFormat="1" x14ac:dyDescent="0.2">
      <c r="A352" s="49"/>
      <c r="B352" s="50"/>
      <c r="C352" s="41"/>
      <c r="D352" s="48"/>
    </row>
    <row r="353" spans="1:4" s="70" customFormat="1" x14ac:dyDescent="0.2">
      <c r="A353" s="49"/>
      <c r="B353" s="50"/>
      <c r="C353" s="41"/>
      <c r="D353" s="48"/>
    </row>
    <row r="354" spans="1:4" s="70" customFormat="1" x14ac:dyDescent="0.2">
      <c r="A354" s="49"/>
      <c r="B354" s="50"/>
      <c r="C354" s="41"/>
      <c r="D354" s="48"/>
    </row>
    <row r="355" spans="1:4" s="70" customFormat="1" x14ac:dyDescent="0.2">
      <c r="A355" s="49"/>
      <c r="B355" s="50"/>
      <c r="C355" s="41"/>
      <c r="D355" s="48"/>
    </row>
    <row r="356" spans="1:4" s="70" customFormat="1" x14ac:dyDescent="0.2">
      <c r="A356" s="49"/>
      <c r="B356" s="50"/>
      <c r="C356" s="41"/>
      <c r="D356" s="48"/>
    </row>
    <row r="357" spans="1:4" s="70" customFormat="1" x14ac:dyDescent="0.2">
      <c r="A357" s="49"/>
      <c r="B357" s="50"/>
      <c r="C357" s="41"/>
      <c r="D357" s="48"/>
    </row>
    <row r="358" spans="1:4" s="70" customFormat="1" x14ac:dyDescent="0.2">
      <c r="A358" s="49"/>
      <c r="B358" s="50"/>
      <c r="C358" s="41"/>
      <c r="D358" s="48"/>
    </row>
    <row r="359" spans="1:4" s="70" customFormat="1" x14ac:dyDescent="0.2">
      <c r="A359" s="49"/>
      <c r="B359" s="50"/>
      <c r="C359" s="41"/>
      <c r="D359" s="48"/>
    </row>
    <row r="360" spans="1:4" s="70" customFormat="1" x14ac:dyDescent="0.2">
      <c r="A360" s="49"/>
      <c r="B360" s="50"/>
      <c r="C360" s="41"/>
      <c r="D360" s="48"/>
    </row>
    <row r="361" spans="1:4" s="70" customFormat="1" x14ac:dyDescent="0.2">
      <c r="A361" s="49"/>
      <c r="B361" s="50"/>
      <c r="C361" s="41"/>
      <c r="D361" s="48"/>
    </row>
    <row r="362" spans="1:4" s="70" customFormat="1" x14ac:dyDescent="0.2">
      <c r="A362" s="49"/>
      <c r="B362" s="50"/>
      <c r="C362" s="41"/>
      <c r="D362" s="48"/>
    </row>
    <row r="363" spans="1:4" s="70" customFormat="1" x14ac:dyDescent="0.2">
      <c r="A363" s="49"/>
      <c r="B363" s="50"/>
      <c r="C363" s="41"/>
      <c r="D363" s="48"/>
    </row>
    <row r="364" spans="1:4" s="70" customFormat="1" x14ac:dyDescent="0.2">
      <c r="A364" s="49"/>
      <c r="B364" s="50"/>
      <c r="C364" s="41"/>
      <c r="D364" s="48"/>
    </row>
    <row r="365" spans="1:4" s="70" customFormat="1" x14ac:dyDescent="0.2">
      <c r="A365" s="49"/>
      <c r="B365" s="50"/>
      <c r="C365" s="41"/>
      <c r="D365" s="48"/>
    </row>
    <row r="366" spans="1:4" s="70" customFormat="1" x14ac:dyDescent="0.2">
      <c r="A366" s="49"/>
      <c r="B366" s="50"/>
      <c r="C366" s="41"/>
      <c r="D366" s="48"/>
    </row>
    <row r="367" spans="1:4" s="70" customFormat="1" x14ac:dyDescent="0.2">
      <c r="A367" s="49"/>
      <c r="B367" s="50"/>
      <c r="C367" s="41"/>
      <c r="D367" s="48"/>
    </row>
    <row r="368" spans="1:4" s="70" customFormat="1" x14ac:dyDescent="0.2">
      <c r="A368" s="49"/>
      <c r="B368" s="50"/>
      <c r="C368" s="41"/>
      <c r="D368" s="48"/>
    </row>
    <row r="369" spans="1:4" s="70" customFormat="1" x14ac:dyDescent="0.2">
      <c r="A369" s="49"/>
      <c r="B369" s="50"/>
      <c r="C369" s="41"/>
      <c r="D369" s="48"/>
    </row>
    <row r="370" spans="1:4" s="70" customFormat="1" x14ac:dyDescent="0.2">
      <c r="A370" s="49"/>
      <c r="B370" s="50"/>
      <c r="C370" s="41"/>
      <c r="D370" s="48"/>
    </row>
    <row r="371" spans="1:4" s="70" customFormat="1" x14ac:dyDescent="0.2">
      <c r="A371" s="49"/>
      <c r="B371" s="50"/>
      <c r="C371" s="41"/>
      <c r="D371" s="48"/>
    </row>
    <row r="372" spans="1:4" s="70" customFormat="1" x14ac:dyDescent="0.2">
      <c r="A372" s="49"/>
      <c r="B372" s="50"/>
      <c r="C372" s="41"/>
      <c r="D372" s="48"/>
    </row>
    <row r="373" spans="1:4" s="70" customFormat="1" x14ac:dyDescent="0.2">
      <c r="A373" s="49"/>
      <c r="B373" s="50"/>
      <c r="C373" s="41"/>
      <c r="D373" s="48"/>
    </row>
    <row r="374" spans="1:4" s="70" customFormat="1" x14ac:dyDescent="0.2">
      <c r="A374" s="49"/>
      <c r="B374" s="50"/>
      <c r="C374" s="41"/>
      <c r="D374" s="48"/>
    </row>
    <row r="375" spans="1:4" s="70" customFormat="1" x14ac:dyDescent="0.2">
      <c r="A375" s="49"/>
      <c r="B375" s="50"/>
      <c r="C375" s="41"/>
      <c r="D375" s="48"/>
    </row>
    <row r="376" spans="1:4" s="70" customFormat="1" x14ac:dyDescent="0.2">
      <c r="A376" s="49"/>
      <c r="B376" s="50"/>
      <c r="C376" s="41"/>
      <c r="D376" s="48"/>
    </row>
    <row r="377" spans="1:4" s="70" customFormat="1" x14ac:dyDescent="0.2">
      <c r="A377" s="49"/>
      <c r="B377" s="50"/>
      <c r="C377" s="41"/>
      <c r="D377" s="48"/>
    </row>
    <row r="378" spans="1:4" s="70" customFormat="1" x14ac:dyDescent="0.2">
      <c r="A378" s="49"/>
      <c r="B378" s="50"/>
      <c r="C378" s="41"/>
      <c r="D378" s="48"/>
    </row>
    <row r="379" spans="1:4" s="70" customFormat="1" x14ac:dyDescent="0.2">
      <c r="A379" s="49"/>
      <c r="B379" s="50"/>
      <c r="C379" s="41"/>
      <c r="D379" s="48"/>
    </row>
    <row r="380" spans="1:4" s="70" customFormat="1" x14ac:dyDescent="0.2">
      <c r="A380" s="49"/>
      <c r="B380" s="50"/>
      <c r="C380" s="41"/>
      <c r="D380" s="48"/>
    </row>
    <row r="381" spans="1:4" s="70" customFormat="1" x14ac:dyDescent="0.2">
      <c r="A381" s="49"/>
      <c r="B381" s="50"/>
      <c r="C381" s="41"/>
      <c r="D381" s="48"/>
    </row>
    <row r="382" spans="1:4" s="70" customFormat="1" x14ac:dyDescent="0.2">
      <c r="A382" s="49"/>
      <c r="B382" s="50"/>
      <c r="C382" s="41"/>
      <c r="D382" s="48"/>
    </row>
    <row r="383" spans="1:4" s="70" customFormat="1" x14ac:dyDescent="0.2">
      <c r="A383" s="49"/>
      <c r="B383" s="50"/>
      <c r="C383" s="41"/>
      <c r="D383" s="48"/>
    </row>
    <row r="384" spans="1:4" s="70" customFormat="1" x14ac:dyDescent="0.2">
      <c r="A384" s="49"/>
      <c r="B384" s="50"/>
      <c r="C384" s="41"/>
      <c r="D384" s="48"/>
    </row>
    <row r="385" spans="1:4" s="70" customFormat="1" x14ac:dyDescent="0.2">
      <c r="A385" s="49"/>
      <c r="B385" s="50"/>
      <c r="C385" s="41"/>
      <c r="D385" s="48"/>
    </row>
    <row r="386" spans="1:4" s="70" customFormat="1" x14ac:dyDescent="0.2">
      <c r="A386" s="49"/>
      <c r="B386" s="50"/>
      <c r="C386" s="41"/>
      <c r="D386" s="48"/>
    </row>
    <row r="387" spans="1:4" s="70" customFormat="1" x14ac:dyDescent="0.2">
      <c r="A387" s="49"/>
      <c r="B387" s="50"/>
      <c r="C387" s="41"/>
      <c r="D387" s="48"/>
    </row>
    <row r="388" spans="1:4" s="70" customFormat="1" x14ac:dyDescent="0.2">
      <c r="A388" s="49"/>
      <c r="B388" s="50"/>
      <c r="C388" s="41"/>
      <c r="D388" s="48"/>
    </row>
    <row r="389" spans="1:4" s="70" customFormat="1" x14ac:dyDescent="0.2">
      <c r="A389" s="49"/>
      <c r="B389" s="50"/>
      <c r="C389" s="41"/>
      <c r="D389" s="48"/>
    </row>
    <row r="390" spans="1:4" s="70" customFormat="1" x14ac:dyDescent="0.2">
      <c r="A390" s="49"/>
      <c r="B390" s="50"/>
      <c r="C390" s="41"/>
      <c r="D390" s="48"/>
    </row>
    <row r="391" spans="1:4" s="70" customFormat="1" x14ac:dyDescent="0.2">
      <c r="A391" s="49"/>
      <c r="B391" s="50"/>
      <c r="C391" s="41"/>
      <c r="D391" s="48"/>
    </row>
    <row r="392" spans="1:4" s="70" customFormat="1" x14ac:dyDescent="0.2">
      <c r="A392" s="49"/>
      <c r="B392" s="50"/>
      <c r="C392" s="41"/>
      <c r="D392" s="48"/>
    </row>
    <row r="393" spans="1:4" s="70" customFormat="1" x14ac:dyDescent="0.2">
      <c r="A393" s="49"/>
      <c r="B393" s="50"/>
      <c r="C393" s="41"/>
      <c r="D393" s="48"/>
    </row>
    <row r="394" spans="1:4" s="70" customFormat="1" x14ac:dyDescent="0.2">
      <c r="A394" s="49"/>
      <c r="B394" s="50"/>
      <c r="C394" s="41"/>
      <c r="D394" s="48"/>
    </row>
    <row r="395" spans="1:4" s="70" customFormat="1" x14ac:dyDescent="0.2">
      <c r="A395" s="49"/>
      <c r="B395" s="50"/>
      <c r="C395" s="41"/>
      <c r="D395" s="48"/>
    </row>
    <row r="396" spans="1:4" s="70" customFormat="1" x14ac:dyDescent="0.2">
      <c r="A396" s="49"/>
      <c r="B396" s="50"/>
      <c r="C396" s="41"/>
      <c r="D396" s="48"/>
    </row>
    <row r="397" spans="1:4" s="70" customFormat="1" x14ac:dyDescent="0.2">
      <c r="A397" s="49"/>
      <c r="B397" s="50"/>
      <c r="C397" s="41"/>
      <c r="D397" s="48"/>
    </row>
    <row r="398" spans="1:4" s="70" customFormat="1" x14ac:dyDescent="0.2">
      <c r="A398" s="49"/>
      <c r="B398" s="50"/>
      <c r="C398" s="41"/>
      <c r="D398" s="48"/>
    </row>
    <row r="399" spans="1:4" s="70" customFormat="1" x14ac:dyDescent="0.2">
      <c r="A399" s="49"/>
      <c r="B399" s="50"/>
      <c r="C399" s="41"/>
      <c r="D399" s="48"/>
    </row>
    <row r="400" spans="1:4" s="70" customFormat="1" x14ac:dyDescent="0.2">
      <c r="A400" s="49"/>
      <c r="B400" s="50"/>
      <c r="C400" s="41"/>
      <c r="D400" s="48"/>
    </row>
    <row r="401" spans="1:4" s="70" customFormat="1" x14ac:dyDescent="0.2">
      <c r="A401" s="49"/>
      <c r="B401" s="50"/>
      <c r="C401" s="41"/>
      <c r="D401" s="48"/>
    </row>
    <row r="402" spans="1:4" s="70" customFormat="1" x14ac:dyDescent="0.2">
      <c r="A402" s="49"/>
      <c r="B402" s="50"/>
      <c r="C402" s="41"/>
      <c r="D402" s="48"/>
    </row>
    <row r="403" spans="1:4" s="70" customFormat="1" x14ac:dyDescent="0.2">
      <c r="A403" s="49"/>
      <c r="B403" s="50"/>
      <c r="C403" s="41"/>
      <c r="D403" s="48"/>
    </row>
    <row r="404" spans="1:4" s="70" customFormat="1" x14ac:dyDescent="0.2">
      <c r="A404" s="49"/>
      <c r="B404" s="50"/>
      <c r="C404" s="41"/>
      <c r="D404" s="48"/>
    </row>
    <row r="405" spans="1:4" s="70" customFormat="1" x14ac:dyDescent="0.2">
      <c r="A405" s="49"/>
      <c r="B405" s="50"/>
      <c r="C405" s="41"/>
      <c r="D405" s="48"/>
    </row>
    <row r="406" spans="1:4" s="70" customFormat="1" x14ac:dyDescent="0.2">
      <c r="A406" s="49"/>
      <c r="B406" s="50"/>
      <c r="C406" s="41"/>
      <c r="D406" s="48"/>
    </row>
    <row r="407" spans="1:4" s="70" customFormat="1" x14ac:dyDescent="0.2">
      <c r="A407" s="49"/>
      <c r="B407" s="50"/>
      <c r="C407" s="41"/>
      <c r="D407" s="48"/>
    </row>
    <row r="408" spans="1:4" s="70" customFormat="1" x14ac:dyDescent="0.2">
      <c r="A408" s="49"/>
      <c r="B408" s="50"/>
      <c r="C408" s="41"/>
      <c r="D408" s="48"/>
    </row>
    <row r="409" spans="1:4" s="70" customFormat="1" x14ac:dyDescent="0.2">
      <c r="A409" s="49"/>
      <c r="B409" s="50"/>
      <c r="C409" s="41"/>
      <c r="D409" s="48"/>
    </row>
    <row r="410" spans="1:4" s="70" customFormat="1" x14ac:dyDescent="0.2">
      <c r="A410" s="49"/>
      <c r="B410" s="50"/>
      <c r="C410" s="41"/>
      <c r="D410" s="48"/>
    </row>
    <row r="411" spans="1:4" s="70" customFormat="1" x14ac:dyDescent="0.2">
      <c r="A411" s="49"/>
      <c r="B411" s="50"/>
      <c r="C411" s="41"/>
      <c r="D411" s="48"/>
    </row>
    <row r="412" spans="1:4" s="70" customFormat="1" x14ac:dyDescent="0.2">
      <c r="A412" s="49"/>
      <c r="B412" s="50"/>
      <c r="C412" s="41"/>
      <c r="D412" s="48"/>
    </row>
    <row r="413" spans="1:4" s="70" customFormat="1" x14ac:dyDescent="0.2">
      <c r="A413" s="49"/>
      <c r="B413" s="50"/>
      <c r="C413" s="41"/>
      <c r="D413" s="48"/>
    </row>
    <row r="414" spans="1:4" s="70" customFormat="1" x14ac:dyDescent="0.2">
      <c r="A414" s="49"/>
      <c r="B414" s="50"/>
      <c r="C414" s="41"/>
      <c r="D414" s="48"/>
    </row>
    <row r="415" spans="1:4" s="70" customFormat="1" x14ac:dyDescent="0.2">
      <c r="A415" s="49"/>
      <c r="B415" s="50"/>
      <c r="C415" s="41"/>
      <c r="D415" s="48"/>
    </row>
    <row r="416" spans="1:4" s="70" customFormat="1" x14ac:dyDescent="0.2">
      <c r="A416" s="49"/>
      <c r="B416" s="50"/>
      <c r="C416" s="41"/>
      <c r="D416" s="48"/>
    </row>
    <row r="417" spans="1:4" s="70" customFormat="1" x14ac:dyDescent="0.2">
      <c r="A417" s="49"/>
      <c r="B417" s="50"/>
      <c r="C417" s="41"/>
      <c r="D417" s="48"/>
    </row>
    <row r="418" spans="1:4" s="70" customFormat="1" x14ac:dyDescent="0.2">
      <c r="A418" s="49"/>
      <c r="B418" s="50"/>
      <c r="C418" s="41"/>
      <c r="D418" s="48"/>
    </row>
    <row r="419" spans="1:4" s="70" customFormat="1" x14ac:dyDescent="0.2">
      <c r="A419" s="49"/>
      <c r="B419" s="50"/>
      <c r="C419" s="41"/>
      <c r="D419" s="48"/>
    </row>
    <row r="420" spans="1:4" s="70" customFormat="1" x14ac:dyDescent="0.2">
      <c r="A420" s="49"/>
      <c r="B420" s="50"/>
      <c r="C420" s="41"/>
      <c r="D420" s="48"/>
    </row>
    <row r="421" spans="1:4" s="70" customFormat="1" x14ac:dyDescent="0.2">
      <c r="A421" s="49"/>
      <c r="B421" s="50"/>
      <c r="C421" s="41"/>
      <c r="D421" s="48"/>
    </row>
    <row r="422" spans="1:4" s="70" customFormat="1" x14ac:dyDescent="0.2">
      <c r="A422" s="49"/>
      <c r="B422" s="50"/>
      <c r="C422" s="41"/>
      <c r="D422" s="48"/>
    </row>
    <row r="423" spans="1:4" s="70" customFormat="1" x14ac:dyDescent="0.2">
      <c r="A423" s="49"/>
      <c r="B423" s="50"/>
      <c r="C423" s="41"/>
      <c r="D423" s="48"/>
    </row>
    <row r="424" spans="1:4" s="70" customFormat="1" x14ac:dyDescent="0.2">
      <c r="A424" s="49"/>
      <c r="B424" s="50"/>
      <c r="C424" s="41"/>
      <c r="D424" s="48"/>
    </row>
    <row r="425" spans="1:4" s="70" customFormat="1" x14ac:dyDescent="0.2">
      <c r="A425" s="49"/>
      <c r="B425" s="50"/>
      <c r="C425" s="41"/>
      <c r="D425" s="48"/>
    </row>
    <row r="426" spans="1:4" s="70" customFormat="1" x14ac:dyDescent="0.2">
      <c r="A426" s="49"/>
      <c r="B426" s="50"/>
      <c r="C426" s="41"/>
      <c r="D426" s="48"/>
    </row>
    <row r="427" spans="1:4" s="70" customFormat="1" x14ac:dyDescent="0.2">
      <c r="A427" s="49"/>
      <c r="B427" s="50"/>
      <c r="C427" s="41"/>
      <c r="D427" s="48"/>
    </row>
    <row r="428" spans="1:4" s="70" customFormat="1" x14ac:dyDescent="0.2">
      <c r="A428" s="49"/>
      <c r="B428" s="50"/>
      <c r="C428" s="41"/>
      <c r="D428" s="48"/>
    </row>
    <row r="429" spans="1:4" s="70" customFormat="1" x14ac:dyDescent="0.2">
      <c r="A429" s="49"/>
      <c r="B429" s="50"/>
      <c r="C429" s="41"/>
      <c r="D429" s="48"/>
    </row>
    <row r="430" spans="1:4" s="70" customFormat="1" x14ac:dyDescent="0.2">
      <c r="A430" s="49"/>
      <c r="B430" s="50"/>
      <c r="C430" s="41"/>
      <c r="D430" s="48"/>
    </row>
    <row r="431" spans="1:4" s="70" customFormat="1" x14ac:dyDescent="0.2">
      <c r="A431" s="49"/>
      <c r="B431" s="50"/>
      <c r="C431" s="41"/>
      <c r="D431" s="48"/>
    </row>
    <row r="432" spans="1:4" s="70" customFormat="1" x14ac:dyDescent="0.2">
      <c r="A432" s="49"/>
      <c r="B432" s="50"/>
      <c r="C432" s="41"/>
      <c r="D432" s="48"/>
    </row>
    <row r="433" spans="1:4" s="70" customFormat="1" x14ac:dyDescent="0.2">
      <c r="A433" s="49"/>
      <c r="B433" s="50"/>
      <c r="C433" s="41"/>
      <c r="D433" s="48"/>
    </row>
    <row r="434" spans="1:4" s="70"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54" activePane="bottomLeft" state="frozen"/>
      <selection activeCell="L191" sqref="L191"/>
      <selection pane="bottomLeft" activeCell="Q300" sqref="Q300"/>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0" customWidth="1"/>
  </cols>
  <sheetData>
    <row r="1" spans="1:22" ht="32" customHeight="1" x14ac:dyDescent="0.2">
      <c r="A1" s="51" t="s">
        <v>598</v>
      </c>
      <c r="B1" s="45" t="s">
        <v>64</v>
      </c>
      <c r="C1" s="52" t="s">
        <v>599</v>
      </c>
      <c r="D1" s="53" t="s">
        <v>601</v>
      </c>
      <c r="E1" s="47" t="s">
        <v>600</v>
      </c>
      <c r="F1" s="46"/>
      <c r="G1" s="46"/>
      <c r="H1" s="46"/>
      <c r="J1" s="70" t="str">
        <f>B1&amp;" GDP % qoq"</f>
        <v>USA GDP % qoq</v>
      </c>
      <c r="V1" s="70"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0" t="str">
        <f>B1&amp;" GDP % qoq annualized"</f>
        <v>USA GDP % qoq annualized</v>
      </c>
      <c r="V2" s="70"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0"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0"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0"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0"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0"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0"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0"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0"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0"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0"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0"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0"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0"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0"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0"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0"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0"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0"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0"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0"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0"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0"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0"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0"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0"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0"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0"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0"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0"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0"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0"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0"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0"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0"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0"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0"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0"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0"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0"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0"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0"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0"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0"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0"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0"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0"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0"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0"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0" customFormat="1" x14ac:dyDescent="0.2">
      <c r="A300" s="42">
        <v>44562</v>
      </c>
      <c r="B300" s="43">
        <f>VLOOKUP(A300,'Data qoq'!$B:$AT,MATCH($B$1,'Data qoq'!$B$1:$AT$1,0),FALSE)</f>
        <v>1.6807782659999999</v>
      </c>
      <c r="C300" s="43">
        <f>Table134567891011121314151617343[[#This Row],[USA]]-B299</f>
        <v>1.109830155</v>
      </c>
      <c r="D300" s="55">
        <f>(Table134567891011121314151617343[[#This Row],[USA]]/100 +1)^4-1</f>
        <v>6.8945212693952929E-2</v>
      </c>
    </row>
    <row r="301" spans="1:4" s="70" customFormat="1" x14ac:dyDescent="0.2">
      <c r="A301" s="42">
        <v>44652</v>
      </c>
      <c r="B301" s="43">
        <f>VLOOKUP(A301,'Data qoq'!$B:$AT,MATCH($B$1,'Data qoq'!$B$1:$AT$1,0),FALSE)</f>
        <v>-0.39569248000000001</v>
      </c>
      <c r="C301" s="43">
        <f>Table134567891011121314151617343[[#This Row],[USA]]-B300</f>
        <v>-2.076470746</v>
      </c>
      <c r="D301" s="55">
        <f>(Table134567891011121314151617343[[#This Row],[USA]]/100 +1)^4-1</f>
        <v>-1.5734003249917805E-2</v>
      </c>
    </row>
    <row r="302" spans="1:4" s="70" customFormat="1" x14ac:dyDescent="0.2">
      <c r="A302" s="49"/>
      <c r="B302" s="50"/>
      <c r="C302" s="41"/>
      <c r="D302" s="56"/>
    </row>
    <row r="303" spans="1:4" s="70" customFormat="1" x14ac:dyDescent="0.2">
      <c r="A303" s="49"/>
      <c r="B303" s="50"/>
      <c r="C303" s="41"/>
      <c r="D303" s="56"/>
    </row>
    <row r="304" spans="1:4" s="70" customFormat="1" x14ac:dyDescent="0.2">
      <c r="A304" s="49"/>
      <c r="B304" s="50"/>
      <c r="C304" s="41"/>
      <c r="D304" s="56"/>
    </row>
    <row r="305" spans="1:4" s="70" customFormat="1" x14ac:dyDescent="0.2">
      <c r="A305" s="49"/>
      <c r="B305" s="50"/>
      <c r="C305" s="41"/>
      <c r="D305" s="56"/>
    </row>
    <row r="306" spans="1:4" s="70" customFormat="1" x14ac:dyDescent="0.2">
      <c r="A306" s="49"/>
      <c r="B306" s="50"/>
      <c r="C306" s="41"/>
      <c r="D306" s="56"/>
    </row>
    <row r="307" spans="1:4" s="70" customFormat="1" x14ac:dyDescent="0.2">
      <c r="A307" s="49"/>
      <c r="B307" s="50"/>
      <c r="C307" s="41"/>
      <c r="D307" s="56"/>
    </row>
    <row r="308" spans="1:4" s="70" customFormat="1" x14ac:dyDescent="0.2">
      <c r="A308" s="49"/>
      <c r="B308" s="50"/>
      <c r="C308" s="41"/>
      <c r="D308" s="56"/>
    </row>
    <row r="309" spans="1:4" s="70" customFormat="1" x14ac:dyDescent="0.2">
      <c r="A309" s="49"/>
      <c r="B309" s="50"/>
      <c r="C309" s="41"/>
      <c r="D309" s="56"/>
    </row>
    <row r="310" spans="1:4" s="70" customFormat="1" x14ac:dyDescent="0.2">
      <c r="A310" s="49"/>
      <c r="B310" s="50"/>
      <c r="C310" s="41"/>
      <c r="D310" s="56"/>
    </row>
    <row r="311" spans="1:4" s="70" customFormat="1" x14ac:dyDescent="0.2">
      <c r="A311" s="49"/>
      <c r="B311" s="50"/>
      <c r="C311" s="41"/>
      <c r="D311" s="56"/>
    </row>
    <row r="312" spans="1:4" s="70" customFormat="1" x14ac:dyDescent="0.2">
      <c r="A312" s="49"/>
      <c r="B312" s="50"/>
      <c r="C312" s="41"/>
      <c r="D312" s="56"/>
    </row>
    <row r="313" spans="1:4" s="70" customFormat="1" x14ac:dyDescent="0.2">
      <c r="A313" s="49"/>
      <c r="B313" s="50"/>
      <c r="C313" s="41"/>
      <c r="D313" s="56"/>
    </row>
    <row r="314" spans="1:4" s="70" customFormat="1" x14ac:dyDescent="0.2">
      <c r="A314" s="49"/>
      <c r="B314" s="50"/>
      <c r="C314" s="41"/>
      <c r="D314" s="56"/>
    </row>
    <row r="315" spans="1:4" s="70" customFormat="1" x14ac:dyDescent="0.2">
      <c r="A315" s="49"/>
      <c r="B315" s="50"/>
      <c r="C315" s="41"/>
      <c r="D315" s="56"/>
    </row>
    <row r="316" spans="1:4" s="70" customFormat="1" x14ac:dyDescent="0.2">
      <c r="A316" s="49"/>
      <c r="B316" s="50"/>
      <c r="C316" s="41"/>
      <c r="D316" s="56"/>
    </row>
    <row r="317" spans="1:4" s="70" customFormat="1" x14ac:dyDescent="0.2">
      <c r="A317" s="49"/>
      <c r="B317" s="50"/>
      <c r="C317" s="41"/>
      <c r="D317" s="56"/>
    </row>
    <row r="318" spans="1:4" s="70" customFormat="1" x14ac:dyDescent="0.2">
      <c r="A318" s="49"/>
      <c r="B318" s="50"/>
      <c r="C318" s="41"/>
      <c r="D318" s="56"/>
    </row>
    <row r="319" spans="1:4" s="70" customFormat="1" x14ac:dyDescent="0.2">
      <c r="A319" s="49"/>
      <c r="B319" s="50"/>
      <c r="C319" s="41"/>
      <c r="D319" s="56"/>
    </row>
    <row r="320" spans="1:4" s="70" customFormat="1" x14ac:dyDescent="0.2">
      <c r="A320" s="49"/>
      <c r="B320" s="50"/>
      <c r="C320" s="41"/>
      <c r="D320" s="56"/>
    </row>
    <row r="321" spans="1:4" s="70" customFormat="1" x14ac:dyDescent="0.2">
      <c r="A321" s="49"/>
      <c r="B321" s="50"/>
      <c r="C321" s="41"/>
      <c r="D321" s="56"/>
    </row>
    <row r="322" spans="1:4" s="70" customFormat="1" x14ac:dyDescent="0.2">
      <c r="A322" s="49"/>
      <c r="B322" s="50"/>
      <c r="C322" s="41"/>
      <c r="D322" s="56"/>
    </row>
    <row r="323" spans="1:4" s="70" customFormat="1" x14ac:dyDescent="0.2">
      <c r="A323" s="49"/>
      <c r="B323" s="50"/>
      <c r="C323" s="41"/>
      <c r="D323" s="56"/>
    </row>
    <row r="324" spans="1:4" s="70" customFormat="1" x14ac:dyDescent="0.2">
      <c r="A324" s="49"/>
      <c r="B324" s="50"/>
      <c r="C324" s="41"/>
      <c r="D324" s="56"/>
    </row>
    <row r="325" spans="1:4" s="70" customFormat="1" x14ac:dyDescent="0.2">
      <c r="A325" s="49"/>
      <c r="B325" s="50"/>
      <c r="C325" s="41"/>
      <c r="D325" s="56"/>
    </row>
    <row r="326" spans="1:4" s="70" customFormat="1" x14ac:dyDescent="0.2">
      <c r="A326" s="49"/>
      <c r="B326" s="50"/>
      <c r="C326" s="41"/>
      <c r="D326" s="56"/>
    </row>
    <row r="327" spans="1:4" s="70" customFormat="1" x14ac:dyDescent="0.2">
      <c r="A327" s="49"/>
      <c r="B327" s="50"/>
      <c r="C327" s="41"/>
      <c r="D327" s="56"/>
    </row>
    <row r="328" spans="1:4" s="70" customFormat="1" x14ac:dyDescent="0.2">
      <c r="A328" s="49"/>
      <c r="B328" s="50"/>
      <c r="C328" s="41"/>
      <c r="D328" s="56"/>
    </row>
    <row r="329" spans="1:4" s="70" customFormat="1" x14ac:dyDescent="0.2">
      <c r="A329" s="49"/>
      <c r="B329" s="50"/>
      <c r="C329" s="41"/>
      <c r="D329" s="56"/>
    </row>
    <row r="330" spans="1:4" s="70" customFormat="1" x14ac:dyDescent="0.2">
      <c r="A330" s="49"/>
      <c r="B330" s="50"/>
      <c r="C330" s="41"/>
      <c r="D330" s="56"/>
    </row>
    <row r="331" spans="1:4" s="70" customFormat="1" x14ac:dyDescent="0.2">
      <c r="A331" s="49"/>
      <c r="B331" s="50"/>
      <c r="C331" s="41"/>
      <c r="D331" s="56"/>
    </row>
    <row r="332" spans="1:4" s="70" customFormat="1" x14ac:dyDescent="0.2">
      <c r="A332" s="49"/>
      <c r="B332" s="50"/>
      <c r="C332" s="41"/>
      <c r="D332" s="56"/>
    </row>
    <row r="333" spans="1:4" s="70" customFormat="1" x14ac:dyDescent="0.2">
      <c r="A333" s="49"/>
      <c r="B333" s="50"/>
      <c r="C333" s="41"/>
      <c r="D333" s="56"/>
    </row>
    <row r="334" spans="1:4" s="70" customFormat="1" x14ac:dyDescent="0.2">
      <c r="A334" s="49"/>
      <c r="B334" s="50"/>
      <c r="C334" s="41"/>
      <c r="D334" s="56"/>
    </row>
    <row r="335" spans="1:4" s="70" customFormat="1" x14ac:dyDescent="0.2">
      <c r="A335" s="49"/>
      <c r="B335" s="50"/>
      <c r="C335" s="41"/>
      <c r="D335" s="56"/>
    </row>
    <row r="336" spans="1:4" s="70" customFormat="1" x14ac:dyDescent="0.2">
      <c r="A336" s="49"/>
      <c r="B336" s="50"/>
      <c r="C336" s="41"/>
      <c r="D336" s="56"/>
    </row>
    <row r="337" spans="1:4" s="70" customFormat="1" x14ac:dyDescent="0.2">
      <c r="A337" s="49"/>
      <c r="B337" s="50"/>
      <c r="C337" s="41"/>
      <c r="D337" s="56"/>
    </row>
    <row r="338" spans="1:4" s="70" customFormat="1" x14ac:dyDescent="0.2">
      <c r="A338" s="49"/>
      <c r="B338" s="50"/>
      <c r="C338" s="41"/>
      <c r="D338" s="56"/>
    </row>
    <row r="339" spans="1:4" s="70" customFormat="1" x14ac:dyDescent="0.2">
      <c r="A339" s="49"/>
      <c r="B339" s="50"/>
      <c r="C339" s="41"/>
      <c r="D339" s="56"/>
    </row>
    <row r="340" spans="1:4" s="70" customFormat="1" x14ac:dyDescent="0.2">
      <c r="A340" s="49"/>
      <c r="B340" s="50"/>
      <c r="C340" s="41"/>
      <c r="D340" s="56"/>
    </row>
    <row r="341" spans="1:4" s="70" customFormat="1" x14ac:dyDescent="0.2">
      <c r="A341" s="49"/>
      <c r="B341" s="50"/>
      <c r="C341" s="41"/>
      <c r="D341" s="56"/>
    </row>
    <row r="342" spans="1:4" s="70" customFormat="1" x14ac:dyDescent="0.2">
      <c r="A342" s="49"/>
      <c r="B342" s="50"/>
      <c r="C342" s="41"/>
      <c r="D342" s="56"/>
    </row>
    <row r="343" spans="1:4" s="70" customFormat="1" x14ac:dyDescent="0.2">
      <c r="A343" s="49"/>
      <c r="B343" s="50"/>
      <c r="C343" s="41"/>
      <c r="D343" s="56"/>
    </row>
    <row r="344" spans="1:4" s="70" customFormat="1" x14ac:dyDescent="0.2">
      <c r="A344" s="49"/>
      <c r="B344" s="50"/>
      <c r="C344" s="41"/>
      <c r="D344" s="56"/>
    </row>
    <row r="345" spans="1:4" s="70" customFormat="1" x14ac:dyDescent="0.2">
      <c r="A345" s="49"/>
      <c r="B345" s="50"/>
      <c r="C345" s="41"/>
      <c r="D345" s="56"/>
    </row>
    <row r="346" spans="1:4" s="70" customFormat="1" x14ac:dyDescent="0.2">
      <c r="A346" s="49"/>
      <c r="B346" s="50"/>
      <c r="C346" s="41"/>
      <c r="D346" s="56"/>
    </row>
    <row r="347" spans="1:4" s="70" customFormat="1" x14ac:dyDescent="0.2">
      <c r="A347" s="49"/>
      <c r="B347" s="50"/>
      <c r="C347" s="41"/>
      <c r="D347" s="56"/>
    </row>
    <row r="348" spans="1:4" s="70" customFormat="1" x14ac:dyDescent="0.2">
      <c r="A348" s="49"/>
      <c r="B348" s="50"/>
      <c r="C348" s="41"/>
      <c r="D348" s="56"/>
    </row>
    <row r="349" spans="1:4" s="70" customFormat="1" x14ac:dyDescent="0.2">
      <c r="A349" s="49"/>
      <c r="B349" s="50"/>
      <c r="C349" s="41"/>
      <c r="D349" s="56"/>
    </row>
    <row r="350" spans="1:4" s="70" customFormat="1" x14ac:dyDescent="0.2">
      <c r="A350" s="49"/>
      <c r="B350" s="50"/>
      <c r="C350" s="41"/>
      <c r="D350" s="56"/>
    </row>
    <row r="351" spans="1:4" s="70" customFormat="1" x14ac:dyDescent="0.2">
      <c r="A351" s="49"/>
      <c r="B351" s="50"/>
      <c r="C351" s="41"/>
      <c r="D351" s="56"/>
    </row>
    <row r="352" spans="1:4" s="70" customFormat="1" x14ac:dyDescent="0.2">
      <c r="A352" s="49"/>
      <c r="B352" s="50"/>
      <c r="C352" s="41"/>
      <c r="D352" s="56"/>
    </row>
    <row r="353" spans="1:4" s="70" customFormat="1" x14ac:dyDescent="0.2">
      <c r="A353" s="49"/>
      <c r="B353" s="50"/>
      <c r="C353" s="41"/>
      <c r="D353" s="56"/>
    </row>
    <row r="354" spans="1:4" s="70" customFormat="1" x14ac:dyDescent="0.2">
      <c r="A354" s="49"/>
      <c r="B354" s="50"/>
      <c r="C354" s="41"/>
      <c r="D354" s="56"/>
    </row>
    <row r="355" spans="1:4" s="70" customFormat="1" x14ac:dyDescent="0.2">
      <c r="A355" s="49"/>
      <c r="B355" s="50"/>
      <c r="C355" s="41"/>
      <c r="D355" s="56"/>
    </row>
    <row r="356" spans="1:4" s="70" customFormat="1" x14ac:dyDescent="0.2">
      <c r="A356" s="49"/>
      <c r="B356" s="50"/>
      <c r="C356" s="41"/>
      <c r="D356" s="56"/>
    </row>
    <row r="357" spans="1:4" s="70" customFormat="1" x14ac:dyDescent="0.2">
      <c r="A357" s="49"/>
      <c r="B357" s="50"/>
      <c r="C357" s="41"/>
      <c r="D357" s="56"/>
    </row>
    <row r="358" spans="1:4" s="70" customFormat="1" x14ac:dyDescent="0.2">
      <c r="A358" s="49"/>
      <c r="B358" s="50"/>
      <c r="C358" s="41"/>
      <c r="D358" s="56"/>
    </row>
    <row r="359" spans="1:4" s="70" customFormat="1" x14ac:dyDescent="0.2">
      <c r="A359" s="49"/>
      <c r="B359" s="50"/>
      <c r="C359" s="41"/>
      <c r="D359" s="56"/>
    </row>
    <row r="360" spans="1:4" s="70" customFormat="1" x14ac:dyDescent="0.2">
      <c r="A360" s="49"/>
      <c r="B360" s="50"/>
      <c r="C360" s="41"/>
      <c r="D360" s="56"/>
    </row>
    <row r="361" spans="1:4" s="70" customFormat="1" x14ac:dyDescent="0.2">
      <c r="A361" s="49"/>
      <c r="B361" s="50"/>
      <c r="C361" s="41"/>
      <c r="D361" s="56"/>
    </row>
    <row r="362" spans="1:4" s="70" customFormat="1" x14ac:dyDescent="0.2">
      <c r="A362" s="49"/>
      <c r="B362" s="50"/>
      <c r="C362" s="41"/>
      <c r="D362" s="56"/>
    </row>
    <row r="363" spans="1:4" s="70" customFormat="1" x14ac:dyDescent="0.2">
      <c r="A363" s="49"/>
      <c r="B363" s="50"/>
      <c r="C363" s="41"/>
      <c r="D363" s="56"/>
    </row>
    <row r="364" spans="1:4" s="70" customFormat="1" x14ac:dyDescent="0.2">
      <c r="A364" s="49"/>
      <c r="B364" s="50"/>
      <c r="C364" s="41"/>
      <c r="D364" s="56"/>
    </row>
    <row r="365" spans="1:4" s="70" customFormat="1" x14ac:dyDescent="0.2">
      <c r="A365" s="49"/>
      <c r="B365" s="50"/>
      <c r="C365" s="41"/>
      <c r="D365" s="56"/>
    </row>
    <row r="366" spans="1:4" s="70" customFormat="1" x14ac:dyDescent="0.2">
      <c r="A366" s="49"/>
      <c r="B366" s="50"/>
      <c r="C366" s="41"/>
      <c r="D366" s="56"/>
    </row>
    <row r="367" spans="1:4" s="70" customFormat="1" x14ac:dyDescent="0.2">
      <c r="A367" s="49"/>
      <c r="B367" s="50"/>
      <c r="C367" s="41"/>
      <c r="D367" s="56"/>
    </row>
    <row r="368" spans="1:4" s="70" customFormat="1" x14ac:dyDescent="0.2">
      <c r="A368" s="49"/>
      <c r="B368" s="50"/>
      <c r="C368" s="41"/>
      <c r="D368" s="56"/>
    </row>
    <row r="369" spans="1:4" s="70" customFormat="1" x14ac:dyDescent="0.2">
      <c r="A369" s="49"/>
      <c r="B369" s="50"/>
      <c r="C369" s="41"/>
      <c r="D369" s="56"/>
    </row>
    <row r="370" spans="1:4" s="70" customFormat="1" x14ac:dyDescent="0.2">
      <c r="A370" s="49"/>
      <c r="B370" s="50"/>
      <c r="C370" s="41"/>
      <c r="D370" s="56"/>
    </row>
    <row r="371" spans="1:4" s="70" customFormat="1" x14ac:dyDescent="0.2">
      <c r="A371" s="49"/>
      <c r="B371" s="50"/>
      <c r="C371" s="41"/>
      <c r="D371" s="56"/>
    </row>
    <row r="372" spans="1:4" s="70" customFormat="1" x14ac:dyDescent="0.2">
      <c r="A372" s="49"/>
      <c r="B372" s="50"/>
      <c r="C372" s="41"/>
      <c r="D372" s="56"/>
    </row>
    <row r="373" spans="1:4" s="70" customFormat="1" x14ac:dyDescent="0.2">
      <c r="A373" s="49"/>
      <c r="B373" s="50"/>
      <c r="C373" s="41"/>
      <c r="D373" s="56"/>
    </row>
    <row r="374" spans="1:4" s="70" customFormat="1" x14ac:dyDescent="0.2">
      <c r="A374" s="49"/>
      <c r="B374" s="50"/>
      <c r="C374" s="41"/>
      <c r="D374" s="56"/>
    </row>
    <row r="375" spans="1:4" s="70" customFormat="1" x14ac:dyDescent="0.2">
      <c r="A375" s="49"/>
      <c r="B375" s="50"/>
      <c r="C375" s="41"/>
      <c r="D375" s="56"/>
    </row>
    <row r="376" spans="1:4" s="70" customFormat="1" x14ac:dyDescent="0.2">
      <c r="A376" s="49"/>
      <c r="B376" s="50"/>
      <c r="C376" s="41"/>
      <c r="D376" s="56"/>
    </row>
    <row r="377" spans="1:4" s="70" customFormat="1" x14ac:dyDescent="0.2">
      <c r="A377" s="49"/>
      <c r="B377" s="50"/>
      <c r="C377" s="41"/>
      <c r="D377" s="56"/>
    </row>
    <row r="378" spans="1:4" s="70" customFormat="1" x14ac:dyDescent="0.2">
      <c r="A378" s="49"/>
      <c r="B378" s="50"/>
      <c r="C378" s="41"/>
      <c r="D378" s="56"/>
    </row>
    <row r="379" spans="1:4" s="70" customFormat="1" x14ac:dyDescent="0.2">
      <c r="A379" s="49"/>
      <c r="B379" s="50"/>
      <c r="C379" s="41"/>
      <c r="D379" s="56"/>
    </row>
    <row r="380" spans="1:4" s="70" customFormat="1" x14ac:dyDescent="0.2">
      <c r="A380" s="49"/>
      <c r="B380" s="50"/>
      <c r="C380" s="41"/>
      <c r="D380" s="56"/>
    </row>
    <row r="381" spans="1:4" s="70" customFormat="1" x14ac:dyDescent="0.2">
      <c r="A381" s="49"/>
      <c r="B381" s="50"/>
      <c r="C381" s="41"/>
      <c r="D381" s="56"/>
    </row>
    <row r="382" spans="1:4" s="70" customFormat="1" x14ac:dyDescent="0.2">
      <c r="A382" s="49"/>
      <c r="B382" s="50"/>
      <c r="C382" s="41"/>
      <c r="D382" s="56"/>
    </row>
    <row r="383" spans="1:4" s="70" customFormat="1" x14ac:dyDescent="0.2">
      <c r="A383" s="49"/>
      <c r="B383" s="50"/>
      <c r="C383" s="41"/>
      <c r="D383" s="56"/>
    </row>
    <row r="384" spans="1:4" s="70" customFormat="1" x14ac:dyDescent="0.2">
      <c r="A384" s="49"/>
      <c r="B384" s="50"/>
      <c r="C384" s="41"/>
      <c r="D384" s="56"/>
    </row>
    <row r="385" spans="1:4" s="70" customFormat="1" x14ac:dyDescent="0.2">
      <c r="A385" s="49"/>
      <c r="B385" s="50"/>
      <c r="C385" s="41"/>
      <c r="D385" s="56"/>
    </row>
    <row r="386" spans="1:4" s="70" customFormat="1" x14ac:dyDescent="0.2">
      <c r="A386" s="49"/>
      <c r="B386" s="50"/>
      <c r="C386" s="41"/>
      <c r="D386" s="56"/>
    </row>
    <row r="387" spans="1:4" s="70" customFormat="1" x14ac:dyDescent="0.2">
      <c r="A387" s="49"/>
      <c r="B387" s="50"/>
      <c r="C387" s="41"/>
      <c r="D387" s="56"/>
    </row>
    <row r="388" spans="1:4" s="70" customFormat="1" x14ac:dyDescent="0.2">
      <c r="A388" s="49"/>
      <c r="B388" s="50"/>
      <c r="C388" s="41"/>
      <c r="D388" s="56"/>
    </row>
    <row r="389" spans="1:4" s="70" customFormat="1" x14ac:dyDescent="0.2">
      <c r="A389" s="49"/>
      <c r="B389" s="50"/>
      <c r="C389" s="41"/>
      <c r="D389" s="56"/>
    </row>
    <row r="390" spans="1:4" s="70" customFormat="1" x14ac:dyDescent="0.2">
      <c r="A390" s="49"/>
      <c r="B390" s="50"/>
      <c r="C390" s="41"/>
      <c r="D390" s="56"/>
    </row>
    <row r="391" spans="1:4" s="70" customFormat="1" x14ac:dyDescent="0.2">
      <c r="A391" s="49"/>
      <c r="B391" s="50"/>
      <c r="C391" s="41"/>
      <c r="D391" s="56"/>
    </row>
    <row r="392" spans="1:4" s="70" customFormat="1" x14ac:dyDescent="0.2">
      <c r="A392" s="49"/>
      <c r="B392" s="50"/>
      <c r="C392" s="41"/>
      <c r="D392" s="56"/>
    </row>
    <row r="393" spans="1:4" s="70" customFormat="1" x14ac:dyDescent="0.2">
      <c r="A393" s="49"/>
      <c r="B393" s="50"/>
      <c r="C393" s="41"/>
      <c r="D393" s="56"/>
    </row>
    <row r="394" spans="1:4" s="70" customFormat="1" x14ac:dyDescent="0.2">
      <c r="A394" s="49"/>
      <c r="B394" s="50"/>
      <c r="C394" s="41"/>
      <c r="D394" s="56"/>
    </row>
    <row r="395" spans="1:4" s="70" customFormat="1" x14ac:dyDescent="0.2">
      <c r="A395" s="49"/>
      <c r="B395" s="50"/>
      <c r="C395" s="41"/>
      <c r="D395" s="56"/>
    </row>
    <row r="396" spans="1:4" s="70" customFormat="1" x14ac:dyDescent="0.2">
      <c r="A396" s="49"/>
      <c r="B396" s="50"/>
      <c r="C396" s="41"/>
      <c r="D396" s="56"/>
    </row>
    <row r="397" spans="1:4" s="70" customFormat="1" x14ac:dyDescent="0.2">
      <c r="A397" s="49"/>
      <c r="B397" s="50"/>
      <c r="C397" s="41"/>
      <c r="D397" s="56"/>
    </row>
    <row r="398" spans="1:4" s="70" customFormat="1" x14ac:dyDescent="0.2">
      <c r="A398" s="49"/>
      <c r="B398" s="50"/>
      <c r="C398" s="41"/>
      <c r="D398" s="56"/>
    </row>
    <row r="399" spans="1:4" s="70" customFormat="1" x14ac:dyDescent="0.2">
      <c r="A399" s="49"/>
      <c r="B399" s="50"/>
      <c r="C399" s="41"/>
      <c r="D399" s="56"/>
    </row>
    <row r="400" spans="1:4" s="70" customFormat="1" x14ac:dyDescent="0.2">
      <c r="A400" s="49"/>
      <c r="B400" s="50"/>
      <c r="C400" s="41"/>
      <c r="D400" s="56"/>
    </row>
    <row r="401" spans="1:4" s="70" customFormat="1" x14ac:dyDescent="0.2">
      <c r="A401" s="49"/>
      <c r="B401" s="50"/>
      <c r="C401" s="41"/>
      <c r="D401" s="56"/>
    </row>
    <row r="402" spans="1:4" s="70" customFormat="1" x14ac:dyDescent="0.2">
      <c r="A402" s="49"/>
      <c r="B402" s="50"/>
      <c r="C402" s="41"/>
      <c r="D402" s="56"/>
    </row>
    <row r="403" spans="1:4" s="70" customFormat="1" x14ac:dyDescent="0.2">
      <c r="A403" s="49"/>
      <c r="B403" s="50"/>
      <c r="C403" s="41"/>
      <c r="D403" s="56"/>
    </row>
    <row r="404" spans="1:4" s="70" customFormat="1" x14ac:dyDescent="0.2">
      <c r="A404" s="49"/>
      <c r="B404" s="50"/>
      <c r="C404" s="41"/>
      <c r="D404" s="56"/>
    </row>
    <row r="405" spans="1:4" s="70" customFormat="1" x14ac:dyDescent="0.2">
      <c r="A405" s="49"/>
      <c r="B405" s="50"/>
      <c r="C405" s="41"/>
      <c r="D405" s="56"/>
    </row>
    <row r="406" spans="1:4" s="70" customFormat="1" x14ac:dyDescent="0.2">
      <c r="A406" s="49"/>
      <c r="B406" s="50"/>
      <c r="C406" s="41"/>
      <c r="D406" s="56"/>
    </row>
    <row r="407" spans="1:4" s="70" customFormat="1" x14ac:dyDescent="0.2">
      <c r="A407" s="49"/>
      <c r="B407" s="50"/>
      <c r="C407" s="41"/>
      <c r="D407" s="56"/>
    </row>
    <row r="408" spans="1:4" s="70" customFormat="1" x14ac:dyDescent="0.2">
      <c r="A408" s="49"/>
      <c r="B408" s="50"/>
      <c r="C408" s="41"/>
      <c r="D408" s="56"/>
    </row>
    <row r="409" spans="1:4" s="70" customFormat="1" x14ac:dyDescent="0.2">
      <c r="A409" s="49"/>
      <c r="B409" s="50"/>
      <c r="C409" s="41"/>
      <c r="D409" s="56"/>
    </row>
    <row r="410" spans="1:4" s="70" customFormat="1" x14ac:dyDescent="0.2">
      <c r="A410" s="49"/>
      <c r="B410" s="50"/>
      <c r="C410" s="41"/>
      <c r="D410" s="56"/>
    </row>
    <row r="411" spans="1:4" s="70" customFormat="1" x14ac:dyDescent="0.2">
      <c r="A411" s="49"/>
      <c r="B411" s="50"/>
      <c r="C411" s="41"/>
      <c r="D411" s="56"/>
    </row>
    <row r="412" spans="1:4" s="70" customFormat="1" x14ac:dyDescent="0.2">
      <c r="A412" s="49"/>
      <c r="B412" s="50"/>
      <c r="C412" s="41"/>
      <c r="D412" s="56"/>
    </row>
    <row r="413" spans="1:4" s="70" customFormat="1" x14ac:dyDescent="0.2">
      <c r="A413" s="49"/>
      <c r="B413" s="50"/>
      <c r="C413" s="41"/>
      <c r="D413" s="56"/>
    </row>
    <row r="414" spans="1:4" s="70" customFormat="1" x14ac:dyDescent="0.2">
      <c r="A414" s="49"/>
      <c r="B414" s="50"/>
      <c r="C414" s="41"/>
      <c r="D414" s="56"/>
    </row>
    <row r="415" spans="1:4" s="70" customFormat="1" x14ac:dyDescent="0.2">
      <c r="A415" s="49"/>
      <c r="B415" s="50"/>
      <c r="C415" s="41"/>
      <c r="D415" s="56"/>
    </row>
    <row r="416" spans="1:4" s="70" customFormat="1" x14ac:dyDescent="0.2">
      <c r="A416" s="49"/>
      <c r="B416" s="50"/>
      <c r="C416" s="41"/>
      <c r="D416" s="56"/>
    </row>
    <row r="417" spans="1:4" s="70" customFormat="1" x14ac:dyDescent="0.2">
      <c r="A417" s="49"/>
      <c r="B417" s="50"/>
      <c r="C417" s="41"/>
      <c r="D417" s="56"/>
    </row>
    <row r="418" spans="1:4" s="70" customFormat="1" x14ac:dyDescent="0.2">
      <c r="A418" s="49"/>
      <c r="B418" s="50"/>
      <c r="C418" s="41"/>
      <c r="D418" s="56"/>
    </row>
    <row r="419" spans="1:4" s="70" customFormat="1" x14ac:dyDescent="0.2">
      <c r="A419" s="49"/>
      <c r="B419" s="50"/>
      <c r="C419" s="41"/>
      <c r="D419" s="56"/>
    </row>
    <row r="420" spans="1:4" s="70" customFormat="1" x14ac:dyDescent="0.2">
      <c r="A420" s="49"/>
      <c r="B420" s="50"/>
      <c r="C420" s="41"/>
      <c r="D420" s="56"/>
    </row>
    <row r="421" spans="1:4" s="70" customFormat="1" x14ac:dyDescent="0.2">
      <c r="A421" s="49"/>
      <c r="B421" s="50"/>
      <c r="C421" s="41"/>
      <c r="D421" s="56"/>
    </row>
    <row r="422" spans="1:4" s="70" customFormat="1" x14ac:dyDescent="0.2">
      <c r="A422" s="49"/>
      <c r="B422" s="50"/>
      <c r="C422" s="41"/>
      <c r="D422" s="56"/>
    </row>
    <row r="423" spans="1:4" s="70" customFormat="1" x14ac:dyDescent="0.2">
      <c r="A423" s="49"/>
      <c r="B423" s="50"/>
      <c r="C423" s="41"/>
      <c r="D423" s="56"/>
    </row>
    <row r="424" spans="1:4" s="70" customFormat="1" x14ac:dyDescent="0.2">
      <c r="A424" s="49"/>
      <c r="B424" s="50"/>
      <c r="C424" s="41"/>
      <c r="D424" s="56"/>
    </row>
    <row r="425" spans="1:4" s="70" customFormat="1" x14ac:dyDescent="0.2">
      <c r="A425" s="49"/>
      <c r="B425" s="50"/>
      <c r="C425" s="41"/>
      <c r="D425" s="56"/>
    </row>
    <row r="426" spans="1:4" s="70" customFormat="1" x14ac:dyDescent="0.2">
      <c r="A426" s="49"/>
      <c r="B426" s="50"/>
      <c r="C426" s="41"/>
      <c r="D426" s="56"/>
    </row>
    <row r="427" spans="1:4" s="70" customFormat="1" x14ac:dyDescent="0.2">
      <c r="A427" s="49"/>
      <c r="B427" s="50"/>
      <c r="C427" s="41"/>
      <c r="D427" s="56"/>
    </row>
    <row r="428" spans="1:4" s="70" customFormat="1" x14ac:dyDescent="0.2">
      <c r="A428" s="49"/>
      <c r="B428" s="50"/>
      <c r="C428" s="41"/>
      <c r="D428" s="56"/>
    </row>
    <row r="429" spans="1:4" s="70" customFormat="1" x14ac:dyDescent="0.2">
      <c r="A429" s="49"/>
      <c r="B429" s="50"/>
      <c r="C429" s="41"/>
      <c r="D429" s="56"/>
    </row>
    <row r="430" spans="1:4" s="70" customFormat="1" x14ac:dyDescent="0.2">
      <c r="A430" s="49"/>
      <c r="B430" s="50"/>
      <c r="C430" s="41"/>
      <c r="D430" s="56"/>
    </row>
    <row r="431" spans="1:4" s="70"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2022-07-17T12:34:58Z</dcterms:modified>
</cp:coreProperties>
</file>