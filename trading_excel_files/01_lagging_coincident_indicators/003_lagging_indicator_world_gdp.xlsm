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03BBFD8D-BED1-45A4-9D0A-992782A989D7}" xr6:coauthVersionLast="47" xr6:coauthVersionMax="47" xr10:uidLastSave="{00000000-0000-0000-0000-000000000000}"/>
  <bookViews>
    <workbookView xWindow="1300" yWindow="-14330" windowWidth="14860" windowHeight="1378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4" i="10" l="1"/>
  <c r="C304" i="10"/>
  <c r="D304" i="10"/>
  <c r="B304" i="9"/>
  <c r="C304" i="9"/>
  <c r="C303" i="10"/>
  <c r="B303" i="10"/>
  <c r="D303" i="10" s="1"/>
  <c r="D302" i="10"/>
  <c r="C302" i="10"/>
  <c r="B302" i="10"/>
  <c r="B301" i="10"/>
  <c r="D301" i="10" s="1"/>
  <c r="B300" i="10"/>
  <c r="B299" i="10"/>
  <c r="B298" i="10"/>
  <c r="D298" i="10" s="1"/>
  <c r="B297" i="10"/>
  <c r="D297" i="10" s="1"/>
  <c r="B296" i="10"/>
  <c r="B295" i="10"/>
  <c r="B294" i="10"/>
  <c r="B293" i="10"/>
  <c r="D293" i="10" s="1"/>
  <c r="B292" i="10"/>
  <c r="B291" i="10"/>
  <c r="B290" i="10"/>
  <c r="D290" i="10" s="1"/>
  <c r="B289" i="10"/>
  <c r="D289" i="10" s="1"/>
  <c r="B288" i="10"/>
  <c r="C287" i="10"/>
  <c r="B287" i="10"/>
  <c r="B286" i="10"/>
  <c r="D286" i="10" s="1"/>
  <c r="B285" i="10"/>
  <c r="D285" i="10" s="1"/>
  <c r="B284" i="10"/>
  <c r="B283" i="10"/>
  <c r="C282" i="10"/>
  <c r="B282" i="10"/>
  <c r="B281" i="10"/>
  <c r="D281" i="10" s="1"/>
  <c r="B280" i="10"/>
  <c r="B279" i="10"/>
  <c r="B278" i="10"/>
  <c r="D278" i="10" s="1"/>
  <c r="B277" i="10"/>
  <c r="D277" i="10" s="1"/>
  <c r="B276" i="10"/>
  <c r="B275" i="10"/>
  <c r="C275" i="10" s="1"/>
  <c r="B274" i="10"/>
  <c r="D274" i="10" s="1"/>
  <c r="B273" i="10"/>
  <c r="D273" i="10" s="1"/>
  <c r="B272" i="10"/>
  <c r="B271" i="10"/>
  <c r="B270" i="10"/>
  <c r="B269" i="10"/>
  <c r="D269" i="10" s="1"/>
  <c r="B268" i="10"/>
  <c r="B267" i="10"/>
  <c r="B266" i="10"/>
  <c r="D266" i="10" s="1"/>
  <c r="B265" i="10"/>
  <c r="D265" i="10" s="1"/>
  <c r="B264" i="10"/>
  <c r="B263" i="10"/>
  <c r="B262" i="10"/>
  <c r="D262" i="10" s="1"/>
  <c r="B261" i="10"/>
  <c r="D261" i="10" s="1"/>
  <c r="B260" i="10"/>
  <c r="B259" i="10"/>
  <c r="B258" i="10"/>
  <c r="B257" i="10"/>
  <c r="D257" i="10" s="1"/>
  <c r="B256" i="10"/>
  <c r="B255" i="10"/>
  <c r="B254" i="10"/>
  <c r="D254" i="10" s="1"/>
  <c r="B253" i="10"/>
  <c r="D253" i="10" s="1"/>
  <c r="B252" i="10"/>
  <c r="B251" i="10"/>
  <c r="B250" i="10"/>
  <c r="D250" i="10" s="1"/>
  <c r="B249" i="10"/>
  <c r="D249" i="10" s="1"/>
  <c r="B248" i="10"/>
  <c r="B247" i="10"/>
  <c r="C246" i="10"/>
  <c r="B246" i="10"/>
  <c r="B245" i="10"/>
  <c r="D245" i="10" s="1"/>
  <c r="B244" i="10"/>
  <c r="B243" i="10"/>
  <c r="B242" i="10"/>
  <c r="D242" i="10" s="1"/>
  <c r="B241" i="10"/>
  <c r="D241" i="10" s="1"/>
  <c r="B240" i="10"/>
  <c r="B239" i="10"/>
  <c r="B238" i="10"/>
  <c r="D238" i="10" s="1"/>
  <c r="B237" i="10"/>
  <c r="B236" i="10"/>
  <c r="B235" i="10"/>
  <c r="B234" i="10"/>
  <c r="C234" i="10" s="1"/>
  <c r="B233" i="10"/>
  <c r="D233" i="10" s="1"/>
  <c r="B232" i="10"/>
  <c r="B231" i="10"/>
  <c r="B230" i="10"/>
  <c r="D230" i="10" s="1"/>
  <c r="B229" i="10"/>
  <c r="D229" i="10" s="1"/>
  <c r="B228" i="10"/>
  <c r="B227" i="10"/>
  <c r="B226" i="10"/>
  <c r="D226" i="10" s="1"/>
  <c r="B225" i="10"/>
  <c r="B224" i="10"/>
  <c r="B223" i="10"/>
  <c r="B222" i="10"/>
  <c r="B221" i="10"/>
  <c r="D221" i="10" s="1"/>
  <c r="B220" i="10"/>
  <c r="B219" i="10"/>
  <c r="B218" i="10"/>
  <c r="D218" i="10" s="1"/>
  <c r="B217" i="10"/>
  <c r="D217" i="10" s="1"/>
  <c r="B216" i="10"/>
  <c r="C215" i="10"/>
  <c r="B215" i="10"/>
  <c r="B214" i="10"/>
  <c r="D214" i="10" s="1"/>
  <c r="B213" i="10"/>
  <c r="B212" i="10"/>
  <c r="B211" i="10"/>
  <c r="B210" i="10"/>
  <c r="B209" i="10"/>
  <c r="D209" i="10" s="1"/>
  <c r="B208" i="10"/>
  <c r="B207" i="10"/>
  <c r="B206" i="10"/>
  <c r="D206" i="10" s="1"/>
  <c r="B205" i="10"/>
  <c r="D205" i="10" s="1"/>
  <c r="B204" i="10"/>
  <c r="B203" i="10"/>
  <c r="C203" i="10" s="1"/>
  <c r="B202" i="10"/>
  <c r="D202" i="10" s="1"/>
  <c r="B201" i="10"/>
  <c r="B200" i="10"/>
  <c r="B199" i="10"/>
  <c r="B198" i="10"/>
  <c r="B197" i="10"/>
  <c r="D197" i="10" s="1"/>
  <c r="B196" i="10"/>
  <c r="B195" i="10"/>
  <c r="B194" i="10"/>
  <c r="D194" i="10" s="1"/>
  <c r="B193" i="10"/>
  <c r="D193" i="10" s="1"/>
  <c r="B192" i="10"/>
  <c r="B191" i="10"/>
  <c r="B190" i="10"/>
  <c r="D190" i="10" s="1"/>
  <c r="B189" i="10"/>
  <c r="B188" i="10"/>
  <c r="B187" i="10"/>
  <c r="B186" i="10"/>
  <c r="B185" i="10"/>
  <c r="D185" i="10" s="1"/>
  <c r="B184" i="10"/>
  <c r="B183" i="10"/>
  <c r="B182" i="10"/>
  <c r="D182" i="10" s="1"/>
  <c r="B181" i="10"/>
  <c r="D181" i="10" s="1"/>
  <c r="B180" i="10"/>
  <c r="B179" i="10"/>
  <c r="B178" i="10"/>
  <c r="D178" i="10" s="1"/>
  <c r="B177" i="10"/>
  <c r="B176" i="10"/>
  <c r="B175" i="10"/>
  <c r="C174" i="10"/>
  <c r="B174" i="10"/>
  <c r="B173" i="10"/>
  <c r="D173" i="10" s="1"/>
  <c r="B172" i="10"/>
  <c r="B171" i="10"/>
  <c r="B170" i="10"/>
  <c r="D170" i="10" s="1"/>
  <c r="B169" i="10"/>
  <c r="B168" i="10"/>
  <c r="B167" i="10"/>
  <c r="B166" i="10"/>
  <c r="D166" i="10" s="1"/>
  <c r="B165" i="10"/>
  <c r="B164" i="10"/>
  <c r="B163" i="10"/>
  <c r="B162" i="10"/>
  <c r="C162" i="10" s="1"/>
  <c r="B161" i="10"/>
  <c r="D161" i="10" s="1"/>
  <c r="B160" i="10"/>
  <c r="B159" i="10"/>
  <c r="B158" i="10"/>
  <c r="D158" i="10" s="1"/>
  <c r="B157" i="10"/>
  <c r="B156" i="10"/>
  <c r="B155" i="10"/>
  <c r="B154" i="10"/>
  <c r="D154" i="10" s="1"/>
  <c r="B153" i="10"/>
  <c r="B152" i="10"/>
  <c r="B151" i="10"/>
  <c r="C150" i="10"/>
  <c r="B150" i="10"/>
  <c r="B149" i="10"/>
  <c r="D149" i="10" s="1"/>
  <c r="B148" i="10"/>
  <c r="B147" i="10"/>
  <c r="B146" i="10"/>
  <c r="D146" i="10" s="1"/>
  <c r="B145" i="10"/>
  <c r="B144" i="10"/>
  <c r="B143" i="10"/>
  <c r="C143" i="10" s="1"/>
  <c r="B142" i="10"/>
  <c r="D142" i="10" s="1"/>
  <c r="B141" i="10"/>
  <c r="B140" i="10"/>
  <c r="B139" i="10"/>
  <c r="B138" i="10"/>
  <c r="B137" i="10"/>
  <c r="D137" i="10" s="1"/>
  <c r="B136" i="10"/>
  <c r="C135" i="10"/>
  <c r="B135" i="10"/>
  <c r="B134" i="10"/>
  <c r="D134" i="10" s="1"/>
  <c r="B133" i="10"/>
  <c r="B132" i="10"/>
  <c r="B131" i="10"/>
  <c r="B130" i="10"/>
  <c r="D130" i="10" s="1"/>
  <c r="B129" i="10"/>
  <c r="B128" i="10"/>
  <c r="B127" i="10"/>
  <c r="B126" i="10"/>
  <c r="B125" i="10"/>
  <c r="D125" i="10" s="1"/>
  <c r="B124" i="10"/>
  <c r="C123" i="10"/>
  <c r="B123" i="10"/>
  <c r="B122" i="10"/>
  <c r="D122" i="10" s="1"/>
  <c r="B121" i="10"/>
  <c r="B120" i="10"/>
  <c r="B119" i="10"/>
  <c r="B118" i="10"/>
  <c r="D118" i="10" s="1"/>
  <c r="B117" i="10"/>
  <c r="B116" i="10"/>
  <c r="B115" i="10"/>
  <c r="B114" i="10"/>
  <c r="B113" i="10"/>
  <c r="D113" i="10" s="1"/>
  <c r="B112" i="10"/>
  <c r="B111" i="10"/>
  <c r="B110" i="10"/>
  <c r="D110" i="10" s="1"/>
  <c r="B109" i="10"/>
  <c r="B108" i="10"/>
  <c r="B107" i="10"/>
  <c r="B106" i="10"/>
  <c r="D106" i="10" s="1"/>
  <c r="B105" i="10"/>
  <c r="B104" i="10"/>
  <c r="B103" i="10"/>
  <c r="B102" i="10"/>
  <c r="B101" i="10"/>
  <c r="D101" i="10" s="1"/>
  <c r="B100" i="10"/>
  <c r="B99" i="10"/>
  <c r="B98" i="10"/>
  <c r="D98" i="10" s="1"/>
  <c r="B97" i="10"/>
  <c r="B96" i="10"/>
  <c r="B95" i="10"/>
  <c r="C94" i="10"/>
  <c r="B94" i="10"/>
  <c r="D94" i="10" s="1"/>
  <c r="B93" i="10"/>
  <c r="D93" i="10" s="1"/>
  <c r="B92" i="10"/>
  <c r="B91" i="10"/>
  <c r="B90" i="10"/>
  <c r="B89" i="10"/>
  <c r="D89" i="10" s="1"/>
  <c r="B88" i="10"/>
  <c r="C87" i="10"/>
  <c r="B87" i="10"/>
  <c r="B86" i="10"/>
  <c r="D86" i="10" s="1"/>
  <c r="B85" i="10"/>
  <c r="B84" i="10"/>
  <c r="B83" i="10"/>
  <c r="B82" i="10"/>
  <c r="D82" i="10" s="1"/>
  <c r="B81" i="10"/>
  <c r="D81" i="10" s="1"/>
  <c r="B80" i="10"/>
  <c r="B79" i="10"/>
  <c r="B78" i="10"/>
  <c r="B77" i="10"/>
  <c r="D77" i="10" s="1"/>
  <c r="B76" i="10"/>
  <c r="C75" i="10"/>
  <c r="B75" i="10"/>
  <c r="B74" i="10"/>
  <c r="D74" i="10" s="1"/>
  <c r="B73" i="10"/>
  <c r="B72" i="10"/>
  <c r="B71" i="10"/>
  <c r="C70" i="10"/>
  <c r="B70" i="10"/>
  <c r="D70" i="10" s="1"/>
  <c r="B69" i="10"/>
  <c r="D69" i="10" s="1"/>
  <c r="B68" i="10"/>
  <c r="B67" i="10"/>
  <c r="B66" i="10"/>
  <c r="B65" i="10"/>
  <c r="D65" i="10" s="1"/>
  <c r="B64" i="10"/>
  <c r="B63" i="10"/>
  <c r="D63" i="10" s="1"/>
  <c r="B62" i="10"/>
  <c r="B61" i="10"/>
  <c r="D61" i="10" s="1"/>
  <c r="C60" i="10"/>
  <c r="B60" i="10"/>
  <c r="C61" i="10" s="1"/>
  <c r="B59" i="10"/>
  <c r="D59" i="10" s="1"/>
  <c r="D58" i="10"/>
  <c r="C58" i="10"/>
  <c r="B58" i="10"/>
  <c r="B57" i="10"/>
  <c r="D57" i="10" s="1"/>
  <c r="D56" i="10"/>
  <c r="C56" i="10"/>
  <c r="B56" i="10"/>
  <c r="C55" i="10"/>
  <c r="B55" i="10"/>
  <c r="D55" i="10" s="1"/>
  <c r="D54" i="10"/>
  <c r="B54" i="10"/>
  <c r="D53" i="10"/>
  <c r="B53" i="10"/>
  <c r="C52" i="10"/>
  <c r="B52" i="10"/>
  <c r="C51" i="10"/>
  <c r="B51" i="10"/>
  <c r="D51" i="10" s="1"/>
  <c r="D50" i="10"/>
  <c r="C50" i="10"/>
  <c r="B50" i="10"/>
  <c r="B49" i="10"/>
  <c r="D49" i="10" s="1"/>
  <c r="D48" i="10"/>
  <c r="C48" i="10"/>
  <c r="B48" i="10"/>
  <c r="B47" i="10"/>
  <c r="D47" i="10" s="1"/>
  <c r="D46" i="10"/>
  <c r="B46" i="10"/>
  <c r="C47" i="10" s="1"/>
  <c r="B45" i="10"/>
  <c r="C46" i="10" s="1"/>
  <c r="B44" i="10"/>
  <c r="B43" i="10"/>
  <c r="D43" i="10" s="1"/>
  <c r="B42" i="10"/>
  <c r="D42" i="10" s="1"/>
  <c r="B41" i="10"/>
  <c r="D40" i="10"/>
  <c r="B40" i="10"/>
  <c r="B39" i="10"/>
  <c r="D39" i="10" s="1"/>
  <c r="B38" i="10"/>
  <c r="C39" i="10" s="1"/>
  <c r="B37" i="10"/>
  <c r="C36" i="10"/>
  <c r="B36" i="10"/>
  <c r="D35" i="10"/>
  <c r="B35" i="10"/>
  <c r="D34" i="10"/>
  <c r="C34" i="10"/>
  <c r="B34" i="10"/>
  <c r="D33" i="10"/>
  <c r="B33" i="10"/>
  <c r="B32" i="10"/>
  <c r="D31" i="10"/>
  <c r="C31" i="10"/>
  <c r="B31" i="10"/>
  <c r="D30" i="10"/>
  <c r="C30" i="10"/>
  <c r="B30" i="10"/>
  <c r="B29" i="10"/>
  <c r="D29" i="10" s="1"/>
  <c r="D28" i="10"/>
  <c r="B28" i="10"/>
  <c r="B27" i="10"/>
  <c r="C28" i="10" s="1"/>
  <c r="C26" i="10"/>
  <c r="B26" i="10"/>
  <c r="D26" i="10" s="1"/>
  <c r="D25" i="10"/>
  <c r="B25" i="10"/>
  <c r="D24" i="10"/>
  <c r="B24" i="10"/>
  <c r="C25" i="10" s="1"/>
  <c r="B23" i="10"/>
  <c r="B22" i="10"/>
  <c r="C23" i="10" s="1"/>
  <c r="B21" i="10"/>
  <c r="C22" i="10" s="1"/>
  <c r="C20" i="10"/>
  <c r="B20" i="10"/>
  <c r="D19" i="10"/>
  <c r="B19" i="10"/>
  <c r="C19" i="10" s="1"/>
  <c r="D18" i="10"/>
  <c r="B18" i="10"/>
  <c r="B17" i="10"/>
  <c r="C18" i="10" s="1"/>
  <c r="B16" i="10"/>
  <c r="D15" i="10"/>
  <c r="C15" i="10"/>
  <c r="B15" i="10"/>
  <c r="D14" i="10"/>
  <c r="C14" i="10"/>
  <c r="B14" i="10"/>
  <c r="B13" i="10"/>
  <c r="D13" i="10" s="1"/>
  <c r="D12" i="10"/>
  <c r="B12" i="10"/>
  <c r="B11" i="10"/>
  <c r="C12" i="10" s="1"/>
  <c r="C10" i="10"/>
  <c r="B10" i="10"/>
  <c r="D9" i="10"/>
  <c r="B9" i="10"/>
  <c r="D8" i="10"/>
  <c r="C8" i="10"/>
  <c r="B8" i="10"/>
  <c r="C9" i="10" s="1"/>
  <c r="B7" i="10"/>
  <c r="D7" i="10" s="1"/>
  <c r="B6" i="10"/>
  <c r="C7" i="10" s="1"/>
  <c r="B5" i="10"/>
  <c r="C6" i="10" s="1"/>
  <c r="C4" i="10"/>
  <c r="B4" i="10"/>
  <c r="D3" i="10"/>
  <c r="B3" i="10"/>
  <c r="C3" i="10" s="1"/>
  <c r="J2" i="10"/>
  <c r="D2" i="10"/>
  <c r="B2" i="10"/>
  <c r="J1" i="10"/>
  <c r="B303" i="9"/>
  <c r="C302" i="9"/>
  <c r="B302" i="9"/>
  <c r="C301" i="9"/>
  <c r="B301" i="9"/>
  <c r="B300" i="9"/>
  <c r="C299" i="9"/>
  <c r="B299" i="9"/>
  <c r="C300" i="9" s="1"/>
  <c r="C298" i="9"/>
  <c r="B298" i="9"/>
  <c r="B297" i="9"/>
  <c r="B296" i="9"/>
  <c r="C297" i="9" s="1"/>
  <c r="B295" i="9"/>
  <c r="C296" i="9" s="1"/>
  <c r="C294" i="9"/>
  <c r="B294" i="9"/>
  <c r="B293" i="9"/>
  <c r="C292" i="9"/>
  <c r="B292" i="9"/>
  <c r="C293" i="9" s="1"/>
  <c r="B291" i="9"/>
  <c r="B290" i="9"/>
  <c r="C291" i="9" s="1"/>
  <c r="B289" i="9"/>
  <c r="B288" i="9"/>
  <c r="C289" i="9" s="1"/>
  <c r="C287" i="9"/>
  <c r="B287" i="9"/>
  <c r="B286" i="9"/>
  <c r="B285" i="9"/>
  <c r="C286" i="9" s="1"/>
  <c r="B284" i="9"/>
  <c r="B283" i="9"/>
  <c r="B282" i="9"/>
  <c r="B281" i="9"/>
  <c r="C282" i="9" s="1"/>
  <c r="B280" i="9"/>
  <c r="C281" i="9" s="1"/>
  <c r="B279" i="9"/>
  <c r="C280" i="9" s="1"/>
  <c r="C278" i="9"/>
  <c r="B278" i="9"/>
  <c r="C277" i="9"/>
  <c r="B277" i="9"/>
  <c r="C276" i="9"/>
  <c r="B276" i="9"/>
  <c r="C275" i="9"/>
  <c r="B275" i="9"/>
  <c r="B274" i="9"/>
  <c r="B273" i="9"/>
  <c r="C274" i="9" s="1"/>
  <c r="C272" i="9"/>
  <c r="B272" i="9"/>
  <c r="B271" i="9"/>
  <c r="C270" i="9"/>
  <c r="B270" i="9"/>
  <c r="C271" i="9" s="1"/>
  <c r="B269" i="9"/>
  <c r="B268" i="9"/>
  <c r="B267" i="9"/>
  <c r="B266" i="9"/>
  <c r="C267" i="9" s="1"/>
  <c r="C265" i="9"/>
  <c r="B265" i="9"/>
  <c r="C264" i="9"/>
  <c r="B264" i="9"/>
  <c r="C263" i="9"/>
  <c r="B263" i="9"/>
  <c r="C262" i="9"/>
  <c r="B262" i="9"/>
  <c r="B261" i="9"/>
  <c r="B260" i="9"/>
  <c r="B259" i="9"/>
  <c r="C260" i="9" s="1"/>
  <c r="B258" i="9"/>
  <c r="C259" i="9" s="1"/>
  <c r="C257" i="9"/>
  <c r="B257" i="9"/>
  <c r="B256" i="9"/>
  <c r="B255" i="9"/>
  <c r="C256" i="9" s="1"/>
  <c r="C254" i="9"/>
  <c r="B254" i="9"/>
  <c r="B253" i="9"/>
  <c r="C253" i="9" s="1"/>
  <c r="B252" i="9"/>
  <c r="B251" i="9"/>
  <c r="C252" i="9" s="1"/>
  <c r="C250" i="9"/>
  <c r="B250" i="9"/>
  <c r="B249" i="9"/>
  <c r="C248" i="9"/>
  <c r="B248" i="9"/>
  <c r="C249" i="9" s="1"/>
  <c r="B247" i="9"/>
  <c r="B246" i="9"/>
  <c r="B245" i="9"/>
  <c r="B244" i="9"/>
  <c r="C245" i="9" s="1"/>
  <c r="B243" i="9"/>
  <c r="C244" i="9" s="1"/>
  <c r="C242" i="9"/>
  <c r="B242" i="9"/>
  <c r="B241" i="9"/>
  <c r="C240" i="9"/>
  <c r="B240" i="9"/>
  <c r="C241" i="9" s="1"/>
  <c r="B239" i="9"/>
  <c r="B238" i="9"/>
  <c r="B237" i="9"/>
  <c r="B236" i="9"/>
  <c r="C237" i="9" s="1"/>
  <c r="B235" i="9"/>
  <c r="C236" i="9" s="1"/>
  <c r="C234" i="9"/>
  <c r="B234" i="9"/>
  <c r="B233" i="9"/>
  <c r="C232" i="9"/>
  <c r="B232" i="9"/>
  <c r="C233" i="9" s="1"/>
  <c r="B231" i="9"/>
  <c r="B230" i="9"/>
  <c r="B229" i="9"/>
  <c r="B228" i="9"/>
  <c r="C229" i="9" s="1"/>
  <c r="B227" i="9"/>
  <c r="C228" i="9" s="1"/>
  <c r="C226" i="9"/>
  <c r="B226" i="9"/>
  <c r="B225" i="9"/>
  <c r="C224" i="9"/>
  <c r="B224" i="9"/>
  <c r="C225" i="9" s="1"/>
  <c r="B223" i="9"/>
  <c r="B222" i="9"/>
  <c r="B221" i="9"/>
  <c r="C222" i="9" s="1"/>
  <c r="B220" i="9"/>
  <c r="C221" i="9" s="1"/>
  <c r="B219" i="9"/>
  <c r="C220" i="9" s="1"/>
  <c r="C218" i="9"/>
  <c r="B218" i="9"/>
  <c r="B217" i="9"/>
  <c r="B216" i="9"/>
  <c r="C217" i="9" s="1"/>
  <c r="B215" i="9"/>
  <c r="B214" i="9"/>
  <c r="B213" i="9"/>
  <c r="C214" i="9" s="1"/>
  <c r="B212" i="9"/>
  <c r="C213" i="9" s="1"/>
  <c r="B211" i="9"/>
  <c r="C212" i="9" s="1"/>
  <c r="C210" i="9"/>
  <c r="B210" i="9"/>
  <c r="B209" i="9"/>
  <c r="B208" i="9"/>
  <c r="C209" i="9" s="1"/>
  <c r="B207" i="9"/>
  <c r="B206" i="9"/>
  <c r="B205" i="9"/>
  <c r="C206" i="9" s="1"/>
  <c r="B204" i="9"/>
  <c r="C205" i="9" s="1"/>
  <c r="B203" i="9"/>
  <c r="C204" i="9" s="1"/>
  <c r="C202" i="9"/>
  <c r="B202" i="9"/>
  <c r="B201" i="9"/>
  <c r="B200" i="9"/>
  <c r="C201" i="9" s="1"/>
  <c r="B199" i="9"/>
  <c r="B198" i="9"/>
  <c r="B197" i="9"/>
  <c r="C198" i="9" s="1"/>
  <c r="B196" i="9"/>
  <c r="C197" i="9" s="1"/>
  <c r="B195" i="9"/>
  <c r="C196" i="9" s="1"/>
  <c r="C194" i="9"/>
  <c r="B194" i="9"/>
  <c r="B193" i="9"/>
  <c r="B192" i="9"/>
  <c r="C193" i="9" s="1"/>
  <c r="B191" i="9"/>
  <c r="B190" i="9"/>
  <c r="B189" i="9"/>
  <c r="C190" i="9" s="1"/>
  <c r="B188" i="9"/>
  <c r="C189" i="9" s="1"/>
  <c r="B187" i="9"/>
  <c r="C188" i="9" s="1"/>
  <c r="C186" i="9"/>
  <c r="B186" i="9"/>
  <c r="B185" i="9"/>
  <c r="B184" i="9"/>
  <c r="C185" i="9" s="1"/>
  <c r="B183" i="9"/>
  <c r="B182" i="9"/>
  <c r="B181" i="9"/>
  <c r="C182" i="9" s="1"/>
  <c r="B180" i="9"/>
  <c r="C181" i="9" s="1"/>
  <c r="B179" i="9"/>
  <c r="C180" i="9" s="1"/>
  <c r="C178" i="9"/>
  <c r="B178" i="9"/>
  <c r="B177" i="9"/>
  <c r="B176" i="9"/>
  <c r="C177" i="9" s="1"/>
  <c r="B175" i="9"/>
  <c r="C176" i="9" s="1"/>
  <c r="B174" i="9"/>
  <c r="B173" i="9"/>
  <c r="C174" i="9" s="1"/>
  <c r="B172" i="9"/>
  <c r="C173" i="9" s="1"/>
  <c r="B171" i="9"/>
  <c r="C172" i="9" s="1"/>
  <c r="C170" i="9"/>
  <c r="B170" i="9"/>
  <c r="B169" i="9"/>
  <c r="B168" i="9"/>
  <c r="C169" i="9" s="1"/>
  <c r="B167" i="9"/>
  <c r="C168" i="9" s="1"/>
  <c r="B166" i="9"/>
  <c r="B165" i="9"/>
  <c r="C166" i="9" s="1"/>
  <c r="B164" i="9"/>
  <c r="C165" i="9" s="1"/>
  <c r="B163" i="9"/>
  <c r="C164" i="9" s="1"/>
  <c r="C162" i="9"/>
  <c r="B162" i="9"/>
  <c r="B161" i="9"/>
  <c r="B160" i="9"/>
  <c r="C161" i="9" s="1"/>
  <c r="B159" i="9"/>
  <c r="C160" i="9" s="1"/>
  <c r="B158" i="9"/>
  <c r="B157" i="9"/>
  <c r="C158" i="9" s="1"/>
  <c r="B156" i="9"/>
  <c r="C157" i="9" s="1"/>
  <c r="B155" i="9"/>
  <c r="C156" i="9" s="1"/>
  <c r="C154" i="9"/>
  <c r="B154" i="9"/>
  <c r="B153" i="9"/>
  <c r="B152" i="9"/>
  <c r="C153" i="9" s="1"/>
  <c r="B151" i="9"/>
  <c r="C152" i="9" s="1"/>
  <c r="B150" i="9"/>
  <c r="B149" i="9"/>
  <c r="C150" i="9" s="1"/>
  <c r="B148" i="9"/>
  <c r="C149" i="9" s="1"/>
  <c r="B147" i="9"/>
  <c r="C148" i="9" s="1"/>
  <c r="C146" i="9"/>
  <c r="B146" i="9"/>
  <c r="B145" i="9"/>
  <c r="B144" i="9"/>
  <c r="C145" i="9" s="1"/>
  <c r="B143" i="9"/>
  <c r="C144" i="9" s="1"/>
  <c r="B142" i="9"/>
  <c r="B141" i="9"/>
  <c r="C142" i="9" s="1"/>
  <c r="B140" i="9"/>
  <c r="C141" i="9" s="1"/>
  <c r="B139" i="9"/>
  <c r="C140" i="9" s="1"/>
  <c r="C138" i="9"/>
  <c r="B138" i="9"/>
  <c r="B137" i="9"/>
  <c r="B136" i="9"/>
  <c r="C137" i="9" s="1"/>
  <c r="B135" i="9"/>
  <c r="C136" i="9" s="1"/>
  <c r="B134" i="9"/>
  <c r="B133" i="9"/>
  <c r="C134" i="9" s="1"/>
  <c r="B132" i="9"/>
  <c r="C133" i="9" s="1"/>
  <c r="B131" i="9"/>
  <c r="C132" i="9" s="1"/>
  <c r="C130" i="9"/>
  <c r="B130" i="9"/>
  <c r="B129" i="9"/>
  <c r="B128" i="9"/>
  <c r="C129" i="9" s="1"/>
  <c r="B127" i="9"/>
  <c r="C128" i="9" s="1"/>
  <c r="B126" i="9"/>
  <c r="B125" i="9"/>
  <c r="C126" i="9" s="1"/>
  <c r="B124" i="9"/>
  <c r="C125" i="9" s="1"/>
  <c r="B123" i="9"/>
  <c r="C124" i="9" s="1"/>
  <c r="C122" i="9"/>
  <c r="B122" i="9"/>
  <c r="B121" i="9"/>
  <c r="B120" i="9"/>
  <c r="C121" i="9" s="1"/>
  <c r="B119" i="9"/>
  <c r="C120" i="9" s="1"/>
  <c r="B118" i="9"/>
  <c r="B117" i="9"/>
  <c r="C118" i="9" s="1"/>
  <c r="B116" i="9"/>
  <c r="C117" i="9" s="1"/>
  <c r="B115" i="9"/>
  <c r="C116" i="9" s="1"/>
  <c r="C114" i="9"/>
  <c r="B114" i="9"/>
  <c r="B113" i="9"/>
  <c r="B112" i="9"/>
  <c r="C113" i="9" s="1"/>
  <c r="B111" i="9"/>
  <c r="C112" i="9" s="1"/>
  <c r="B110" i="9"/>
  <c r="B109" i="9"/>
  <c r="C110" i="9" s="1"/>
  <c r="B108" i="9"/>
  <c r="C109" i="9" s="1"/>
  <c r="B107" i="9"/>
  <c r="C108" i="9" s="1"/>
  <c r="C106" i="9"/>
  <c r="B106" i="9"/>
  <c r="B105" i="9"/>
  <c r="B104" i="9"/>
  <c r="C105" i="9" s="1"/>
  <c r="B103" i="9"/>
  <c r="C104" i="9" s="1"/>
  <c r="B102" i="9"/>
  <c r="B101" i="9"/>
  <c r="C102" i="9" s="1"/>
  <c r="B100" i="9"/>
  <c r="C101" i="9" s="1"/>
  <c r="B99" i="9"/>
  <c r="C100" i="9" s="1"/>
  <c r="C98" i="9"/>
  <c r="B98" i="9"/>
  <c r="B97" i="9"/>
  <c r="B96" i="9"/>
  <c r="C97" i="9" s="1"/>
  <c r="B95" i="9"/>
  <c r="C96" i="9" s="1"/>
  <c r="B94" i="9"/>
  <c r="B93" i="9"/>
  <c r="C94" i="9" s="1"/>
  <c r="B92" i="9"/>
  <c r="C93" i="9" s="1"/>
  <c r="B91" i="9"/>
  <c r="C92" i="9" s="1"/>
  <c r="C90" i="9"/>
  <c r="B90" i="9"/>
  <c r="B89" i="9"/>
  <c r="B88" i="9"/>
  <c r="C89" i="9" s="1"/>
  <c r="B87" i="9"/>
  <c r="C88" i="9" s="1"/>
  <c r="B86" i="9"/>
  <c r="B85" i="9"/>
  <c r="C86" i="9" s="1"/>
  <c r="B84" i="9"/>
  <c r="C85" i="9" s="1"/>
  <c r="B83" i="9"/>
  <c r="C84" i="9" s="1"/>
  <c r="C82" i="9"/>
  <c r="B82" i="9"/>
  <c r="B81" i="9"/>
  <c r="B80" i="9"/>
  <c r="C81" i="9" s="1"/>
  <c r="B79" i="9"/>
  <c r="C80" i="9" s="1"/>
  <c r="B78" i="9"/>
  <c r="B77" i="9"/>
  <c r="C78" i="9" s="1"/>
  <c r="B76" i="9"/>
  <c r="C77" i="9" s="1"/>
  <c r="B75" i="9"/>
  <c r="C76" i="9" s="1"/>
  <c r="C74" i="9"/>
  <c r="B74" i="9"/>
  <c r="B73" i="9"/>
  <c r="B72" i="9"/>
  <c r="C73" i="9" s="1"/>
  <c r="B71" i="9"/>
  <c r="C72" i="9" s="1"/>
  <c r="B70" i="9"/>
  <c r="B69" i="9"/>
  <c r="C70" i="9" s="1"/>
  <c r="B68" i="9"/>
  <c r="C69" i="9" s="1"/>
  <c r="B67" i="9"/>
  <c r="C68" i="9" s="1"/>
  <c r="C66" i="9"/>
  <c r="B66" i="9"/>
  <c r="B65" i="9"/>
  <c r="B64" i="9"/>
  <c r="C65" i="9" s="1"/>
  <c r="C63" i="9"/>
  <c r="B63" i="9"/>
  <c r="B62" i="9"/>
  <c r="B61" i="9"/>
  <c r="C62" i="9" s="1"/>
  <c r="B60" i="9"/>
  <c r="C61" i="9" s="1"/>
  <c r="C59" i="9"/>
  <c r="B59" i="9"/>
  <c r="B58" i="9"/>
  <c r="C57" i="9"/>
  <c r="B57" i="9"/>
  <c r="C58" i="9" s="1"/>
  <c r="B56" i="9"/>
  <c r="B55" i="9"/>
  <c r="C56" i="9" s="1"/>
  <c r="B54" i="9"/>
  <c r="C55" i="9" s="1"/>
  <c r="B53" i="9"/>
  <c r="C54" i="9" s="1"/>
  <c r="C52" i="9"/>
  <c r="B52" i="9"/>
  <c r="B51" i="9"/>
  <c r="C51" i="9" s="1"/>
  <c r="C50" i="9"/>
  <c r="B50" i="9"/>
  <c r="B49" i="9"/>
  <c r="B48" i="9"/>
  <c r="C49" i="9" s="1"/>
  <c r="B47" i="9"/>
  <c r="C48" i="9" s="1"/>
  <c r="C46" i="9"/>
  <c r="B46" i="9"/>
  <c r="B45" i="9"/>
  <c r="C45" i="9" s="1"/>
  <c r="C44" i="9"/>
  <c r="B44" i="9"/>
  <c r="B43" i="9"/>
  <c r="B42" i="9"/>
  <c r="C43" i="9" s="1"/>
  <c r="B41" i="9"/>
  <c r="C42" i="9" s="1"/>
  <c r="C40" i="9"/>
  <c r="B40" i="9"/>
  <c r="B39" i="9"/>
  <c r="C39" i="9" s="1"/>
  <c r="C38" i="9"/>
  <c r="B38" i="9"/>
  <c r="B37" i="9"/>
  <c r="B36" i="9"/>
  <c r="C37" i="9" s="1"/>
  <c r="B35" i="9"/>
  <c r="C36" i="9" s="1"/>
  <c r="C34" i="9"/>
  <c r="B34" i="9"/>
  <c r="B33" i="9"/>
  <c r="C33" i="9" s="1"/>
  <c r="C32" i="9"/>
  <c r="B32" i="9"/>
  <c r="B31" i="9"/>
  <c r="B30" i="9"/>
  <c r="C31" i="9" s="1"/>
  <c r="B29" i="9"/>
  <c r="C30" i="9" s="1"/>
  <c r="C28" i="9"/>
  <c r="B28" i="9"/>
  <c r="B27" i="9"/>
  <c r="C27" i="9" s="1"/>
  <c r="C26" i="9"/>
  <c r="B26" i="9"/>
  <c r="B25" i="9"/>
  <c r="B24" i="9"/>
  <c r="C25" i="9" s="1"/>
  <c r="B23" i="9"/>
  <c r="C24" i="9" s="1"/>
  <c r="C22" i="9"/>
  <c r="B22" i="9"/>
  <c r="B21" i="9"/>
  <c r="C21" i="9" s="1"/>
  <c r="C20" i="9"/>
  <c r="B20" i="9"/>
  <c r="B19" i="9"/>
  <c r="B18" i="9"/>
  <c r="C19" i="9" s="1"/>
  <c r="B17" i="9"/>
  <c r="C18" i="9" s="1"/>
  <c r="B16" i="9"/>
  <c r="B15" i="9"/>
  <c r="C15" i="9" s="1"/>
  <c r="C14" i="9"/>
  <c r="B14" i="9"/>
  <c r="B13" i="9"/>
  <c r="B12" i="9"/>
  <c r="C13" i="9" s="1"/>
  <c r="B11" i="9"/>
  <c r="C12" i="9" s="1"/>
  <c r="B10" i="9"/>
  <c r="B9" i="9"/>
  <c r="C9" i="9" s="1"/>
  <c r="C8" i="9"/>
  <c r="B8" i="9"/>
  <c r="B7" i="9"/>
  <c r="B6" i="9"/>
  <c r="C7" i="9" s="1"/>
  <c r="B5" i="9"/>
  <c r="C6" i="9" s="1"/>
  <c r="C4" i="9"/>
  <c r="B4" i="9"/>
  <c r="J3" i="9"/>
  <c r="C3" i="9"/>
  <c r="B3" i="9"/>
  <c r="J2" i="9"/>
  <c r="B2" i="9"/>
  <c r="J1" i="9"/>
  <c r="C31" i="8"/>
  <c r="C26" i="8" s="1"/>
  <c r="E27" i="8"/>
  <c r="D27" i="8"/>
  <c r="C27" i="8"/>
  <c r="E26" i="8"/>
  <c r="D26" i="8"/>
  <c r="E25" i="8"/>
  <c r="D25" i="8"/>
  <c r="E24" i="8"/>
  <c r="D24" i="8"/>
  <c r="C24" i="8"/>
  <c r="E23" i="8"/>
  <c r="D23" i="8"/>
  <c r="C23" i="8"/>
  <c r="E22" i="8"/>
  <c r="D22" i="8"/>
  <c r="E21" i="8"/>
  <c r="D21" i="8"/>
  <c r="E20" i="8"/>
  <c r="D20" i="8"/>
  <c r="C20" i="8"/>
  <c r="E19" i="8"/>
  <c r="D19" i="8"/>
  <c r="C19" i="8"/>
  <c r="E18" i="8"/>
  <c r="D18" i="8"/>
  <c r="E17" i="8"/>
  <c r="D17" i="8"/>
  <c r="E16" i="8"/>
  <c r="D16" i="8"/>
  <c r="C16" i="8"/>
  <c r="E15" i="8"/>
  <c r="D15" i="8"/>
  <c r="C15" i="8"/>
  <c r="E14" i="8"/>
  <c r="D14" i="8"/>
  <c r="E13" i="8"/>
  <c r="D13" i="8"/>
  <c r="E12" i="8"/>
  <c r="D12" i="8"/>
  <c r="C12" i="8"/>
  <c r="E11" i="8"/>
  <c r="D11" i="8"/>
  <c r="C11" i="8"/>
  <c r="E10" i="8"/>
  <c r="D10" i="8"/>
  <c r="E9" i="8"/>
  <c r="D9" i="8"/>
  <c r="E8" i="8"/>
  <c r="D8" i="8"/>
  <c r="C8" i="8"/>
  <c r="E7" i="8"/>
  <c r="D7" i="8"/>
  <c r="C7" i="8"/>
  <c r="E6" i="8"/>
  <c r="D6" i="8"/>
  <c r="E5" i="8"/>
  <c r="D5" i="8"/>
  <c r="E4" i="8"/>
  <c r="D4" i="8"/>
  <c r="C4" i="8"/>
  <c r="E3" i="8"/>
  <c r="D3" i="8"/>
  <c r="C3" i="8"/>
  <c r="AC102" i="7"/>
  <c r="AA102" i="7"/>
  <c r="Z102" i="7"/>
  <c r="Y102" i="7"/>
  <c r="X102" i="7"/>
  <c r="W102" i="7"/>
  <c r="V102" i="7"/>
  <c r="U102" i="7"/>
  <c r="T102" i="7"/>
  <c r="S102" i="7"/>
  <c r="R102" i="7"/>
  <c r="Q102" i="7"/>
  <c r="P102" i="7"/>
  <c r="O102" i="7"/>
  <c r="N102" i="7"/>
  <c r="M102" i="7"/>
  <c r="L102" i="7"/>
  <c r="K102" i="7"/>
  <c r="J102" i="7"/>
  <c r="I102" i="7"/>
  <c r="H102" i="7"/>
  <c r="G102" i="7"/>
  <c r="F102" i="7"/>
  <c r="E102" i="7"/>
  <c r="AD102" i="7" s="1"/>
  <c r="D102" i="7"/>
  <c r="C102" i="7"/>
  <c r="AC101" i="7"/>
  <c r="AA101" i="7"/>
  <c r="Z101" i="7"/>
  <c r="Y101" i="7"/>
  <c r="X101" i="7"/>
  <c r="W101" i="7"/>
  <c r="V101" i="7"/>
  <c r="U101" i="7"/>
  <c r="T101" i="7"/>
  <c r="S101" i="7"/>
  <c r="R101" i="7"/>
  <c r="Q101" i="7"/>
  <c r="P101" i="7"/>
  <c r="O101" i="7"/>
  <c r="N101" i="7"/>
  <c r="M101" i="7"/>
  <c r="L101" i="7"/>
  <c r="K101" i="7"/>
  <c r="J101" i="7"/>
  <c r="I101" i="7"/>
  <c r="H101" i="7"/>
  <c r="G101" i="7"/>
  <c r="F101" i="7"/>
  <c r="E101" i="7"/>
  <c r="AD101" i="7" s="1"/>
  <c r="D101" i="7"/>
  <c r="C101" i="7"/>
  <c r="AC100" i="7"/>
  <c r="AD100" i="7" s="1"/>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A78" i="7"/>
  <c r="Z78" i="7"/>
  <c r="Y78" i="7"/>
  <c r="X78" i="7"/>
  <c r="W78" i="7"/>
  <c r="V78" i="7"/>
  <c r="U78" i="7"/>
  <c r="T78" i="7"/>
  <c r="S78" i="7"/>
  <c r="R78" i="7"/>
  <c r="Q78" i="7"/>
  <c r="P78" i="7"/>
  <c r="O78" i="7"/>
  <c r="N78" i="7"/>
  <c r="M78" i="7"/>
  <c r="L78" i="7"/>
  <c r="K78" i="7"/>
  <c r="J78" i="7"/>
  <c r="I78" i="7"/>
  <c r="H78" i="7"/>
  <c r="G78" i="7"/>
  <c r="F78" i="7"/>
  <c r="E78" i="7"/>
  <c r="AD78" i="7" s="1"/>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A73" i="7"/>
  <c r="Z73" i="7"/>
  <c r="Y73" i="7"/>
  <c r="X73" i="7"/>
  <c r="W73" i="7"/>
  <c r="V73" i="7"/>
  <c r="U73" i="7"/>
  <c r="T73" i="7"/>
  <c r="S73" i="7"/>
  <c r="R73" i="7"/>
  <c r="Q73" i="7"/>
  <c r="P73" i="7"/>
  <c r="O73" i="7"/>
  <c r="N73" i="7"/>
  <c r="M73" i="7"/>
  <c r="L73" i="7"/>
  <c r="K73" i="7"/>
  <c r="J73" i="7"/>
  <c r="I73" i="7"/>
  <c r="H73" i="7"/>
  <c r="G73" i="7"/>
  <c r="F73" i="7"/>
  <c r="E73" i="7"/>
  <c r="D73" i="7"/>
  <c r="C73" i="7"/>
  <c r="AC72" i="7"/>
  <c r="AD72" i="7" s="1"/>
  <c r="AA72" i="7"/>
  <c r="Z72" i="7"/>
  <c r="Y72" i="7"/>
  <c r="X72" i="7"/>
  <c r="W72" i="7"/>
  <c r="V72" i="7"/>
  <c r="U72" i="7"/>
  <c r="T72" i="7"/>
  <c r="S72" i="7"/>
  <c r="R72" i="7"/>
  <c r="Q72" i="7"/>
  <c r="P72" i="7"/>
  <c r="O72" i="7"/>
  <c r="N72" i="7"/>
  <c r="M72" i="7"/>
  <c r="L72" i="7"/>
  <c r="K72" i="7"/>
  <c r="J72" i="7"/>
  <c r="I72" i="7"/>
  <c r="H72" i="7"/>
  <c r="G72" i="7"/>
  <c r="F72" i="7"/>
  <c r="E72" i="7"/>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A70" i="7"/>
  <c r="Z70" i="7"/>
  <c r="Y70" i="7"/>
  <c r="X70" i="7"/>
  <c r="W70" i="7"/>
  <c r="V70" i="7"/>
  <c r="U70" i="7"/>
  <c r="T70" i="7"/>
  <c r="S70" i="7"/>
  <c r="R70" i="7"/>
  <c r="Q70" i="7"/>
  <c r="P70" i="7"/>
  <c r="O70" i="7"/>
  <c r="N70" i="7"/>
  <c r="M70" i="7"/>
  <c r="L70" i="7"/>
  <c r="K70" i="7"/>
  <c r="J70" i="7"/>
  <c r="I70" i="7"/>
  <c r="H70" i="7"/>
  <c r="G70" i="7"/>
  <c r="F70" i="7"/>
  <c r="E70" i="7"/>
  <c r="AD70" i="7" s="1"/>
  <c r="D70" i="7"/>
  <c r="C70" i="7"/>
  <c r="AC69" i="7"/>
  <c r="AA69" i="7"/>
  <c r="Z69" i="7"/>
  <c r="Y69" i="7"/>
  <c r="X69" i="7"/>
  <c r="W69" i="7"/>
  <c r="V69" i="7"/>
  <c r="U69" i="7"/>
  <c r="T69" i="7"/>
  <c r="S69" i="7"/>
  <c r="R69" i="7"/>
  <c r="Q69" i="7"/>
  <c r="P69" i="7"/>
  <c r="O69" i="7"/>
  <c r="N69" i="7"/>
  <c r="M69" i="7"/>
  <c r="L69" i="7"/>
  <c r="K69" i="7"/>
  <c r="J69" i="7"/>
  <c r="I69" i="7"/>
  <c r="H69" i="7"/>
  <c r="G69" i="7"/>
  <c r="F69" i="7"/>
  <c r="E69" i="7"/>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D31" i="7" s="1"/>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A21" i="7"/>
  <c r="Z21" i="7"/>
  <c r="Y21" i="7"/>
  <c r="X21" i="7"/>
  <c r="W21" i="7"/>
  <c r="V21" i="7"/>
  <c r="U21" i="7"/>
  <c r="T21" i="7"/>
  <c r="S21" i="7"/>
  <c r="R21" i="7"/>
  <c r="Q21" i="7"/>
  <c r="P21" i="7"/>
  <c r="O21" i="7"/>
  <c r="N21" i="7"/>
  <c r="M21" i="7"/>
  <c r="L21" i="7"/>
  <c r="K21" i="7"/>
  <c r="J21" i="7"/>
  <c r="I21" i="7"/>
  <c r="H21" i="7"/>
  <c r="G21" i="7"/>
  <c r="F21" i="7"/>
  <c r="E21" i="7"/>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S8" i="7"/>
  <c r="R8" i="7"/>
  <c r="Q8" i="7"/>
  <c r="G8" i="7"/>
  <c r="F8" i="7"/>
  <c r="E8" i="7"/>
  <c r="Z6" i="7"/>
  <c r="W6" i="7"/>
  <c r="T6" i="7"/>
  <c r="T7" i="7" s="1"/>
  <c r="S6" i="7"/>
  <c r="S7" i="7" s="1"/>
  <c r="Q6" i="7"/>
  <c r="N6" i="7"/>
  <c r="K6" i="7"/>
  <c r="H6" i="7"/>
  <c r="H7" i="7" s="1"/>
  <c r="G6" i="7"/>
  <c r="G7" i="7" s="1"/>
  <c r="E6" i="7"/>
  <c r="Z5" i="7"/>
  <c r="X5" i="7"/>
  <c r="W5" i="7"/>
  <c r="U5" i="7"/>
  <c r="T5" i="7"/>
  <c r="Q5" i="7"/>
  <c r="N5" i="7"/>
  <c r="L5" i="7"/>
  <c r="K5" i="7"/>
  <c r="I5" i="7"/>
  <c r="H5" i="7"/>
  <c r="E5" i="7"/>
  <c r="AE4" i="7"/>
  <c r="Z4" i="7"/>
  <c r="W4" i="7"/>
  <c r="V4" i="7"/>
  <c r="T4" i="7"/>
  <c r="Q4" i="7"/>
  <c r="N4" i="7"/>
  <c r="K4" i="7"/>
  <c r="J4" i="7"/>
  <c r="H4" i="7"/>
  <c r="E4" i="7"/>
  <c r="AE3" i="7"/>
  <c r="AE2" i="7"/>
  <c r="AC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C100" i="6"/>
  <c r="AD100" i="6" s="1"/>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D98" i="6" s="1"/>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C96" i="6"/>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D94" i="6" s="1"/>
  <c r="AA94" i="6"/>
  <c r="Z94" i="6"/>
  <c r="Y94" i="6"/>
  <c r="X94" i="6"/>
  <c r="W94" i="6"/>
  <c r="V94" i="6"/>
  <c r="U94" i="6"/>
  <c r="T94" i="6"/>
  <c r="S94" i="6"/>
  <c r="R94" i="6"/>
  <c r="Q94" i="6"/>
  <c r="P94" i="6"/>
  <c r="O94" i="6"/>
  <c r="N94" i="6"/>
  <c r="M94" i="6"/>
  <c r="L94" i="6"/>
  <c r="K94" i="6"/>
  <c r="J94" i="6"/>
  <c r="I94" i="6"/>
  <c r="H94" i="6"/>
  <c r="G94" i="6"/>
  <c r="F94" i="6"/>
  <c r="E94" i="6"/>
  <c r="D94" i="6"/>
  <c r="C94" i="6"/>
  <c r="AC93" i="6"/>
  <c r="AD93" i="6" s="1"/>
  <c r="AA93" i="6"/>
  <c r="Z93" i="6"/>
  <c r="Y93" i="6"/>
  <c r="X93" i="6"/>
  <c r="W93" i="6"/>
  <c r="V93" i="6"/>
  <c r="U93" i="6"/>
  <c r="T93" i="6"/>
  <c r="S93" i="6"/>
  <c r="R93" i="6"/>
  <c r="Q93" i="6"/>
  <c r="P93" i="6"/>
  <c r="O93" i="6"/>
  <c r="N93" i="6"/>
  <c r="M93" i="6"/>
  <c r="L93" i="6"/>
  <c r="K93" i="6"/>
  <c r="J93" i="6"/>
  <c r="I93" i="6"/>
  <c r="H93" i="6"/>
  <c r="G93" i="6"/>
  <c r="F93" i="6"/>
  <c r="E93" i="6"/>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A90" i="6"/>
  <c r="Z90" i="6"/>
  <c r="Y90" i="6"/>
  <c r="X90" i="6"/>
  <c r="W90" i="6"/>
  <c r="V90" i="6"/>
  <c r="U90" i="6"/>
  <c r="T90" i="6"/>
  <c r="S90" i="6"/>
  <c r="R90" i="6"/>
  <c r="Q90" i="6"/>
  <c r="P90" i="6"/>
  <c r="O90" i="6"/>
  <c r="N90" i="6"/>
  <c r="M90" i="6"/>
  <c r="L90" i="6"/>
  <c r="K90" i="6"/>
  <c r="J90" i="6"/>
  <c r="I90" i="6"/>
  <c r="H90" i="6"/>
  <c r="G90" i="6"/>
  <c r="F90" i="6"/>
  <c r="E90" i="6"/>
  <c r="D90" i="6"/>
  <c r="C90" i="6"/>
  <c r="AC89" i="6"/>
  <c r="AD89" i="6" s="1"/>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C83" i="6"/>
  <c r="AA83" i="6"/>
  <c r="Z83" i="6"/>
  <c r="Y83" i="6"/>
  <c r="X83" i="6"/>
  <c r="W83" i="6"/>
  <c r="V83" i="6"/>
  <c r="V6" i="6" s="1"/>
  <c r="U83" i="6"/>
  <c r="T83" i="6"/>
  <c r="S83" i="6"/>
  <c r="R83" i="6"/>
  <c r="Q83" i="6"/>
  <c r="P83" i="6"/>
  <c r="O83" i="6"/>
  <c r="N83" i="6"/>
  <c r="M83" i="6"/>
  <c r="L83" i="6"/>
  <c r="K83" i="6"/>
  <c r="J83" i="6"/>
  <c r="I83" i="6"/>
  <c r="H83" i="6"/>
  <c r="G83" i="6"/>
  <c r="F83" i="6"/>
  <c r="E83" i="6"/>
  <c r="D83" i="6"/>
  <c r="C83" i="6"/>
  <c r="AC82" i="6"/>
  <c r="AA82" i="6"/>
  <c r="Z82" i="6"/>
  <c r="Y82" i="6"/>
  <c r="X82" i="6"/>
  <c r="W82" i="6"/>
  <c r="V82" i="6"/>
  <c r="U82" i="6"/>
  <c r="T82" i="6"/>
  <c r="S82" i="6"/>
  <c r="R82" i="6"/>
  <c r="Q82" i="6"/>
  <c r="P82" i="6"/>
  <c r="O82" i="6"/>
  <c r="N82" i="6"/>
  <c r="M82" i="6"/>
  <c r="L82" i="6"/>
  <c r="L5" i="6" s="1"/>
  <c r="K82" i="6"/>
  <c r="J82" i="6"/>
  <c r="I82" i="6"/>
  <c r="H82" i="6"/>
  <c r="G82" i="6"/>
  <c r="F82" i="6"/>
  <c r="E82" i="6"/>
  <c r="D82" i="6"/>
  <c r="C82" i="6"/>
  <c r="AC81" i="6"/>
  <c r="AD81" i="6" s="1"/>
  <c r="AA81" i="6"/>
  <c r="Z81" i="6"/>
  <c r="Y81" i="6"/>
  <c r="X81" i="6"/>
  <c r="W81" i="6"/>
  <c r="V81" i="6"/>
  <c r="U81" i="6"/>
  <c r="T81" i="6"/>
  <c r="S81" i="6"/>
  <c r="R81" i="6"/>
  <c r="Q81" i="6"/>
  <c r="P81" i="6"/>
  <c r="O81" i="6"/>
  <c r="N81" i="6"/>
  <c r="M81" i="6"/>
  <c r="L81" i="6"/>
  <c r="K81" i="6"/>
  <c r="J81" i="6"/>
  <c r="I81" i="6"/>
  <c r="H81" i="6"/>
  <c r="G81" i="6"/>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D76" i="6"/>
  <c r="AC76" i="6"/>
  <c r="AA76" i="6"/>
  <c r="Z76" i="6"/>
  <c r="Y76" i="6"/>
  <c r="X76" i="6"/>
  <c r="W76" i="6"/>
  <c r="V76" i="6"/>
  <c r="U76" i="6"/>
  <c r="T76" i="6"/>
  <c r="S76" i="6"/>
  <c r="R76" i="6"/>
  <c r="Q76" i="6"/>
  <c r="P76" i="6"/>
  <c r="O76" i="6"/>
  <c r="N76" i="6"/>
  <c r="M76" i="6"/>
  <c r="L76" i="6"/>
  <c r="K76" i="6"/>
  <c r="J76" i="6"/>
  <c r="I76" i="6"/>
  <c r="H76" i="6"/>
  <c r="G76" i="6"/>
  <c r="F76" i="6"/>
  <c r="E76" i="6"/>
  <c r="D76" i="6"/>
  <c r="C76" i="6"/>
  <c r="AD75" i="6"/>
  <c r="AC75" i="6"/>
  <c r="AA75" i="6"/>
  <c r="Z75" i="6"/>
  <c r="Y75" i="6"/>
  <c r="X75" i="6"/>
  <c r="W75" i="6"/>
  <c r="V75" i="6"/>
  <c r="U75" i="6"/>
  <c r="T75" i="6"/>
  <c r="S75" i="6"/>
  <c r="R75" i="6"/>
  <c r="Q75" i="6"/>
  <c r="P75" i="6"/>
  <c r="O75" i="6"/>
  <c r="N75" i="6"/>
  <c r="M75" i="6"/>
  <c r="L75" i="6"/>
  <c r="K75" i="6"/>
  <c r="J75" i="6"/>
  <c r="I75" i="6"/>
  <c r="H75" i="6"/>
  <c r="G75" i="6"/>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D73" i="6" s="1"/>
  <c r="AA73" i="6"/>
  <c r="Z73" i="6"/>
  <c r="Z6" i="6" s="1"/>
  <c r="Y73" i="6"/>
  <c r="X73" i="6"/>
  <c r="W73" i="6"/>
  <c r="V73" i="6"/>
  <c r="U73" i="6"/>
  <c r="T73" i="6"/>
  <c r="S73" i="6"/>
  <c r="R73" i="6"/>
  <c r="Q73" i="6"/>
  <c r="P73" i="6"/>
  <c r="O73" i="6"/>
  <c r="N73" i="6"/>
  <c r="M73" i="6"/>
  <c r="L73" i="6"/>
  <c r="K73" i="6"/>
  <c r="J73" i="6"/>
  <c r="I73" i="6"/>
  <c r="H73" i="6"/>
  <c r="G73" i="6"/>
  <c r="F73" i="6"/>
  <c r="E73" i="6"/>
  <c r="D73" i="6"/>
  <c r="C73" i="6"/>
  <c r="AC72" i="6"/>
  <c r="AD72" i="6" s="1"/>
  <c r="AA72" i="6"/>
  <c r="Z72" i="6"/>
  <c r="Y72" i="6"/>
  <c r="X72" i="6"/>
  <c r="W72" i="6"/>
  <c r="V72" i="6"/>
  <c r="U72" i="6"/>
  <c r="T72" i="6"/>
  <c r="S72" i="6"/>
  <c r="R72" i="6"/>
  <c r="Q72" i="6"/>
  <c r="P72" i="6"/>
  <c r="O72" i="6"/>
  <c r="N72" i="6"/>
  <c r="M72" i="6"/>
  <c r="L72" i="6"/>
  <c r="K72" i="6"/>
  <c r="J72" i="6"/>
  <c r="I72" i="6"/>
  <c r="H72" i="6"/>
  <c r="G72" i="6"/>
  <c r="F72" i="6"/>
  <c r="E72" i="6"/>
  <c r="D72" i="6"/>
  <c r="C72" i="6"/>
  <c r="AC71" i="6"/>
  <c r="AD71" i="6" s="1"/>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D69" i="6" s="1"/>
  <c r="AA69" i="6"/>
  <c r="Z69" i="6"/>
  <c r="Y69" i="6"/>
  <c r="X69" i="6"/>
  <c r="W69" i="6"/>
  <c r="V69" i="6"/>
  <c r="U69" i="6"/>
  <c r="T69" i="6"/>
  <c r="S69" i="6"/>
  <c r="R69" i="6"/>
  <c r="Q69" i="6"/>
  <c r="P69" i="6"/>
  <c r="O69" i="6"/>
  <c r="N69" i="6"/>
  <c r="M69" i="6"/>
  <c r="L69" i="6"/>
  <c r="K69" i="6"/>
  <c r="J69" i="6"/>
  <c r="I69" i="6"/>
  <c r="H69" i="6"/>
  <c r="G69" i="6"/>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AD66" i="6" s="1"/>
  <c r="F66" i="6"/>
  <c r="E66" i="6"/>
  <c r="D66" i="6"/>
  <c r="C66" i="6"/>
  <c r="AC65" i="6"/>
  <c r="AD65" i="6" s="1"/>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AD62" i="6" s="1"/>
  <c r="F62" i="6"/>
  <c r="E62" i="6"/>
  <c r="D62" i="6"/>
  <c r="C62"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A58" i="6"/>
  <c r="Z58" i="6"/>
  <c r="Y58" i="6"/>
  <c r="X58" i="6"/>
  <c r="W58" i="6"/>
  <c r="V58" i="6"/>
  <c r="U58" i="6"/>
  <c r="T58" i="6"/>
  <c r="S58" i="6"/>
  <c r="R58" i="6"/>
  <c r="Q58" i="6"/>
  <c r="P58" i="6"/>
  <c r="O58" i="6"/>
  <c r="N58" i="6"/>
  <c r="M58" i="6"/>
  <c r="L58" i="6"/>
  <c r="K58" i="6"/>
  <c r="J58" i="6"/>
  <c r="I58" i="6"/>
  <c r="H58" i="6"/>
  <c r="G58" i="6"/>
  <c r="AD58" i="6" s="1"/>
  <c r="F58" i="6"/>
  <c r="E58" i="6"/>
  <c r="D58" i="6"/>
  <c r="C58"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D46"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D41" i="6" s="1"/>
  <c r="AA41" i="6"/>
  <c r="Z41" i="6"/>
  <c r="Y41" i="6"/>
  <c r="X41" i="6"/>
  <c r="W41" i="6"/>
  <c r="V41" i="6"/>
  <c r="U41" i="6"/>
  <c r="T41" i="6"/>
  <c r="S41" i="6"/>
  <c r="R41" i="6"/>
  <c r="Q41" i="6"/>
  <c r="P41" i="6"/>
  <c r="O41" i="6"/>
  <c r="N41" i="6"/>
  <c r="M41" i="6"/>
  <c r="L41" i="6"/>
  <c r="K41" i="6"/>
  <c r="J41" i="6"/>
  <c r="I41" i="6"/>
  <c r="H41" i="6"/>
  <c r="G41" i="6"/>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D37" i="6" s="1"/>
  <c r="AA37" i="6"/>
  <c r="Z37" i="6"/>
  <c r="Y37" i="6"/>
  <c r="X37" i="6"/>
  <c r="W37" i="6"/>
  <c r="V37" i="6"/>
  <c r="U37" i="6"/>
  <c r="T37" i="6"/>
  <c r="S37" i="6"/>
  <c r="R37" i="6"/>
  <c r="Q37" i="6"/>
  <c r="P37" i="6"/>
  <c r="O37" i="6"/>
  <c r="N37" i="6"/>
  <c r="M37" i="6"/>
  <c r="L37" i="6"/>
  <c r="K37" i="6"/>
  <c r="J37" i="6"/>
  <c r="I37" i="6"/>
  <c r="H37" i="6"/>
  <c r="G37" i="6"/>
  <c r="F37" i="6"/>
  <c r="E37" i="6"/>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A35" i="6"/>
  <c r="Z35" i="6"/>
  <c r="Y35" i="6"/>
  <c r="X35" i="6"/>
  <c r="W35" i="6"/>
  <c r="V35" i="6"/>
  <c r="U35" i="6"/>
  <c r="T35" i="6"/>
  <c r="S35" i="6"/>
  <c r="R35" i="6"/>
  <c r="Q35" i="6"/>
  <c r="P35" i="6"/>
  <c r="O35" i="6"/>
  <c r="N35" i="6"/>
  <c r="M35" i="6"/>
  <c r="L35" i="6"/>
  <c r="K35" i="6"/>
  <c r="J35" i="6"/>
  <c r="I35" i="6"/>
  <c r="H35" i="6"/>
  <c r="G35" i="6"/>
  <c r="F35" i="6"/>
  <c r="E35" i="6"/>
  <c r="D35" i="6"/>
  <c r="C35" i="6"/>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D33" i="6" s="1"/>
  <c r="AA33" i="6"/>
  <c r="Z33" i="6"/>
  <c r="Y33" i="6"/>
  <c r="X33" i="6"/>
  <c r="W33" i="6"/>
  <c r="V33" i="6"/>
  <c r="U33" i="6"/>
  <c r="T33" i="6"/>
  <c r="S33" i="6"/>
  <c r="R33" i="6"/>
  <c r="Q33" i="6"/>
  <c r="P33" i="6"/>
  <c r="O33" i="6"/>
  <c r="N33" i="6"/>
  <c r="M33" i="6"/>
  <c r="L33" i="6"/>
  <c r="K33" i="6"/>
  <c r="J33" i="6"/>
  <c r="I33" i="6"/>
  <c r="H33" i="6"/>
  <c r="G33" i="6"/>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D30"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F27" i="6"/>
  <c r="E27" i="6"/>
  <c r="D27" i="6"/>
  <c r="C27" i="6"/>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D25" i="6" s="1"/>
  <c r="AA25" i="6"/>
  <c r="Z25" i="6"/>
  <c r="Y25" i="6"/>
  <c r="X25" i="6"/>
  <c r="W25" i="6"/>
  <c r="V25" i="6"/>
  <c r="U25" i="6"/>
  <c r="T25" i="6"/>
  <c r="S25" i="6"/>
  <c r="R25" i="6"/>
  <c r="Q25" i="6"/>
  <c r="P25" i="6"/>
  <c r="O25" i="6"/>
  <c r="N25" i="6"/>
  <c r="M25" i="6"/>
  <c r="L25" i="6"/>
  <c r="K25" i="6"/>
  <c r="J25" i="6"/>
  <c r="I25" i="6"/>
  <c r="H25" i="6"/>
  <c r="G25" i="6"/>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D22"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D21" i="6" s="1"/>
  <c r="AA21" i="6"/>
  <c r="Z21" i="6"/>
  <c r="Y21" i="6"/>
  <c r="X21" i="6"/>
  <c r="W21" i="6"/>
  <c r="V21" i="6"/>
  <c r="U21" i="6"/>
  <c r="T21" i="6"/>
  <c r="S21" i="6"/>
  <c r="R21" i="6"/>
  <c r="Q21" i="6"/>
  <c r="P21" i="6"/>
  <c r="O21" i="6"/>
  <c r="N21" i="6"/>
  <c r="M21" i="6"/>
  <c r="L21" i="6"/>
  <c r="K21" i="6"/>
  <c r="J21" i="6"/>
  <c r="I21" i="6"/>
  <c r="H21" i="6"/>
  <c r="G21" i="6"/>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D19" i="6"/>
  <c r="C19" i="6"/>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D17" i="6" s="1"/>
  <c r="AA17" i="6"/>
  <c r="Z17" i="6"/>
  <c r="Y17" i="6"/>
  <c r="X17" i="6"/>
  <c r="W17" i="6"/>
  <c r="V17" i="6"/>
  <c r="U17" i="6"/>
  <c r="T17" i="6"/>
  <c r="S17" i="6"/>
  <c r="R17" i="6"/>
  <c r="Q17" i="6"/>
  <c r="P17" i="6"/>
  <c r="O17" i="6"/>
  <c r="N17" i="6"/>
  <c r="M17" i="6"/>
  <c r="L17" i="6"/>
  <c r="K17" i="6"/>
  <c r="J17" i="6"/>
  <c r="I17" i="6"/>
  <c r="H17" i="6"/>
  <c r="G17" i="6"/>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D14"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D13" i="6" s="1"/>
  <c r="AA13" i="6"/>
  <c r="Z13" i="6"/>
  <c r="Y13" i="6"/>
  <c r="X13" i="6"/>
  <c r="W13" i="6"/>
  <c r="V13" i="6"/>
  <c r="U13" i="6"/>
  <c r="T13" i="6"/>
  <c r="S13" i="6"/>
  <c r="R13" i="6"/>
  <c r="Q13" i="6"/>
  <c r="P13" i="6"/>
  <c r="O13" i="6"/>
  <c r="N13" i="6"/>
  <c r="M13" i="6"/>
  <c r="L13" i="6"/>
  <c r="K13" i="6"/>
  <c r="J13" i="6"/>
  <c r="I13" i="6"/>
  <c r="H13" i="6"/>
  <c r="G13" i="6"/>
  <c r="F13" i="6"/>
  <c r="E13" i="6"/>
  <c r="D13" i="6"/>
  <c r="C13" i="6"/>
  <c r="AC12" i="6"/>
  <c r="Z12" i="6"/>
  <c r="Y12" i="6"/>
  <c r="X12" i="6"/>
  <c r="W12" i="6"/>
  <c r="V12" i="6"/>
  <c r="U12" i="6"/>
  <c r="T12" i="6"/>
  <c r="S12" i="6"/>
  <c r="R12" i="6"/>
  <c r="Q12" i="6"/>
  <c r="P12" i="6"/>
  <c r="O12" i="6"/>
  <c r="N12" i="6"/>
  <c r="M12" i="6"/>
  <c r="L12" i="6"/>
  <c r="K12" i="6"/>
  <c r="J12" i="6"/>
  <c r="I12" i="6"/>
  <c r="H12" i="6"/>
  <c r="G12" i="6"/>
  <c r="F12" i="6"/>
  <c r="E12" i="6"/>
  <c r="D12" i="6"/>
  <c r="C12" i="6"/>
  <c r="AA12" i="6" s="1"/>
  <c r="AC11" i="6"/>
  <c r="Z11" i="6"/>
  <c r="Y11" i="6"/>
  <c r="X11" i="6"/>
  <c r="W11" i="6"/>
  <c r="V11" i="6"/>
  <c r="U11" i="6"/>
  <c r="T11" i="6"/>
  <c r="S11" i="6"/>
  <c r="R11" i="6"/>
  <c r="Q11" i="6"/>
  <c r="P11" i="6"/>
  <c r="O11" i="6"/>
  <c r="N11" i="6"/>
  <c r="M11" i="6"/>
  <c r="L11" i="6"/>
  <c r="K11" i="6"/>
  <c r="J11" i="6"/>
  <c r="I11" i="6"/>
  <c r="H11" i="6"/>
  <c r="G11" i="6"/>
  <c r="F11" i="6"/>
  <c r="E11" i="6"/>
  <c r="D11" i="6"/>
  <c r="C11" i="6"/>
  <c r="AA11" i="6" s="1"/>
  <c r="W6" i="6"/>
  <c r="K6" i="6"/>
  <c r="J6" i="6"/>
  <c r="X5" i="6"/>
  <c r="W5" i="6"/>
  <c r="K5" i="6"/>
  <c r="AE4" i="6"/>
  <c r="Z4" i="6"/>
  <c r="Y4" i="6"/>
  <c r="N4" i="6"/>
  <c r="M4" i="6"/>
  <c r="AE3" i="6"/>
  <c r="AE2" i="6"/>
  <c r="S9" i="6" s="1"/>
  <c r="AC102" i="5"/>
  <c r="AE102" i="5" s="1"/>
  <c r="AA102" i="5"/>
  <c r="Z102" i="5"/>
  <c r="Y102" i="5"/>
  <c r="X102" i="5"/>
  <c r="W102" i="5"/>
  <c r="V102" i="5"/>
  <c r="U102" i="5"/>
  <c r="T102" i="5"/>
  <c r="T8" i="5" s="1"/>
  <c r="S102" i="5"/>
  <c r="R102" i="5"/>
  <c r="Q102" i="5"/>
  <c r="P102" i="5"/>
  <c r="O102" i="5"/>
  <c r="N102" i="5"/>
  <c r="M102" i="5"/>
  <c r="L102" i="5"/>
  <c r="K102" i="5"/>
  <c r="J102" i="5"/>
  <c r="I102" i="5"/>
  <c r="AD102" i="5" s="1"/>
  <c r="H102" i="5"/>
  <c r="H8" i="5" s="1"/>
  <c r="G102" i="5"/>
  <c r="F102" i="5"/>
  <c r="E102" i="5"/>
  <c r="D102" i="5"/>
  <c r="C102" i="5"/>
  <c r="AC101" i="5"/>
  <c r="AE101" i="5" s="1"/>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E100" i="5"/>
  <c r="AF100" i="5" s="1"/>
  <c r="AC100" i="5"/>
  <c r="AD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E99" i="5"/>
  <c r="AC99" i="5"/>
  <c r="AD99" i="5" s="1"/>
  <c r="AF99" i="5" s="1"/>
  <c r="AA99" i="5"/>
  <c r="Z99" i="5"/>
  <c r="Y99" i="5"/>
  <c r="X99" i="5"/>
  <c r="X9" i="5" s="1"/>
  <c r="W99" i="5"/>
  <c r="V99" i="5"/>
  <c r="U99" i="5"/>
  <c r="T99" i="5"/>
  <c r="S99" i="5"/>
  <c r="R99" i="5"/>
  <c r="Q99" i="5"/>
  <c r="P99" i="5"/>
  <c r="O99" i="5"/>
  <c r="N99" i="5"/>
  <c r="N9" i="5" s="1"/>
  <c r="M99" i="5"/>
  <c r="L99" i="5"/>
  <c r="L9" i="5" s="1"/>
  <c r="K99" i="5"/>
  <c r="J99" i="5"/>
  <c r="I99" i="5"/>
  <c r="H99" i="5"/>
  <c r="G99" i="5"/>
  <c r="F99" i="5"/>
  <c r="E99" i="5"/>
  <c r="D99" i="5"/>
  <c r="C99" i="5"/>
  <c r="AD98" i="5"/>
  <c r="AC98" i="5"/>
  <c r="AA98" i="5"/>
  <c r="Z98" i="5"/>
  <c r="Y98" i="5"/>
  <c r="X98" i="5"/>
  <c r="W98" i="5"/>
  <c r="V98" i="5"/>
  <c r="U98" i="5"/>
  <c r="T98" i="5"/>
  <c r="S98" i="5"/>
  <c r="R98" i="5"/>
  <c r="Q98" i="5"/>
  <c r="P98" i="5"/>
  <c r="O98" i="5"/>
  <c r="N98" i="5"/>
  <c r="M98" i="5"/>
  <c r="L98" i="5"/>
  <c r="K98" i="5"/>
  <c r="J98" i="5"/>
  <c r="I98" i="5"/>
  <c r="H98" i="5"/>
  <c r="G98" i="5"/>
  <c r="F98" i="5"/>
  <c r="E98" i="5"/>
  <c r="D98" i="5"/>
  <c r="C98" i="5"/>
  <c r="AE97" i="5"/>
  <c r="AC97" i="5"/>
  <c r="AA97" i="5"/>
  <c r="Z97" i="5"/>
  <c r="Y97" i="5"/>
  <c r="X97" i="5"/>
  <c r="W97" i="5"/>
  <c r="V97" i="5"/>
  <c r="U97" i="5"/>
  <c r="T97" i="5"/>
  <c r="S97" i="5"/>
  <c r="R97" i="5"/>
  <c r="Q97" i="5"/>
  <c r="P97" i="5"/>
  <c r="O97" i="5"/>
  <c r="N97" i="5"/>
  <c r="M97" i="5"/>
  <c r="L97" i="5"/>
  <c r="K97" i="5"/>
  <c r="J97" i="5"/>
  <c r="I97" i="5"/>
  <c r="AD97" i="5" s="1"/>
  <c r="AF97" i="5" s="1"/>
  <c r="H97" i="5"/>
  <c r="G97" i="5"/>
  <c r="F97" i="5"/>
  <c r="E97" i="5"/>
  <c r="D97" i="5"/>
  <c r="C97" i="5"/>
  <c r="AC96" i="5"/>
  <c r="AE96" i="5" s="1"/>
  <c r="AA96" i="5"/>
  <c r="Z96" i="5"/>
  <c r="Y96" i="5"/>
  <c r="X96" i="5"/>
  <c r="W96" i="5"/>
  <c r="V96" i="5"/>
  <c r="U96" i="5"/>
  <c r="T96" i="5"/>
  <c r="S96" i="5"/>
  <c r="R96" i="5"/>
  <c r="Q96" i="5"/>
  <c r="P96" i="5"/>
  <c r="P8" i="5" s="1"/>
  <c r="O96" i="5"/>
  <c r="O8" i="5" s="1"/>
  <c r="N96" i="5"/>
  <c r="N8" i="5" s="1"/>
  <c r="M96" i="5"/>
  <c r="L96" i="5"/>
  <c r="K96" i="5"/>
  <c r="J96" i="5"/>
  <c r="I96" i="5"/>
  <c r="H96" i="5"/>
  <c r="G96" i="5"/>
  <c r="F96" i="5"/>
  <c r="E96" i="5"/>
  <c r="D96" i="5"/>
  <c r="D8" i="5" s="1"/>
  <c r="C96" i="5"/>
  <c r="C8" i="5" s="1"/>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A94" i="5"/>
  <c r="Z94" i="5"/>
  <c r="Y94" i="5"/>
  <c r="X94" i="5"/>
  <c r="W94" i="5"/>
  <c r="V94" i="5"/>
  <c r="U94" i="5"/>
  <c r="T94" i="5"/>
  <c r="S94" i="5"/>
  <c r="R94" i="5"/>
  <c r="Q94" i="5"/>
  <c r="P94" i="5"/>
  <c r="O94" i="5"/>
  <c r="N94" i="5"/>
  <c r="M94" i="5"/>
  <c r="L94" i="5"/>
  <c r="K94" i="5"/>
  <c r="J94" i="5"/>
  <c r="I94" i="5"/>
  <c r="H94" i="5"/>
  <c r="G94" i="5"/>
  <c r="F94" i="5"/>
  <c r="E94" i="5"/>
  <c r="D94" i="5"/>
  <c r="C94" i="5"/>
  <c r="AD93" i="5"/>
  <c r="AC93" i="5"/>
  <c r="AA93" i="5"/>
  <c r="Z93" i="5"/>
  <c r="Y93" i="5"/>
  <c r="X93" i="5"/>
  <c r="W93" i="5"/>
  <c r="V93" i="5"/>
  <c r="U93" i="5"/>
  <c r="T93" i="5"/>
  <c r="S93" i="5"/>
  <c r="R93" i="5"/>
  <c r="Q93" i="5"/>
  <c r="P93" i="5"/>
  <c r="O93" i="5"/>
  <c r="N93" i="5"/>
  <c r="M93" i="5"/>
  <c r="L93" i="5"/>
  <c r="K93" i="5"/>
  <c r="J93" i="5"/>
  <c r="I93" i="5"/>
  <c r="H93" i="5"/>
  <c r="G93" i="5"/>
  <c r="F93" i="5"/>
  <c r="E93" i="5"/>
  <c r="AE93" i="5" s="1"/>
  <c r="D93" i="5"/>
  <c r="C93" i="5"/>
  <c r="AE92" i="5"/>
  <c r="AC92" i="5"/>
  <c r="AA92" i="5"/>
  <c r="Z92" i="5"/>
  <c r="Y92" i="5"/>
  <c r="X92" i="5"/>
  <c r="W92" i="5"/>
  <c r="V92" i="5"/>
  <c r="U92" i="5"/>
  <c r="T92" i="5"/>
  <c r="S92" i="5"/>
  <c r="R92" i="5"/>
  <c r="Q92" i="5"/>
  <c r="P92" i="5"/>
  <c r="O92" i="5"/>
  <c r="N92" i="5"/>
  <c r="M92" i="5"/>
  <c r="L92" i="5"/>
  <c r="K92" i="5"/>
  <c r="J92" i="5"/>
  <c r="I92" i="5"/>
  <c r="AD92" i="5" s="1"/>
  <c r="AF92" i="5" s="1"/>
  <c r="H92" i="5"/>
  <c r="G92" i="5"/>
  <c r="F92" i="5"/>
  <c r="E92" i="5"/>
  <c r="D92" i="5"/>
  <c r="C92" i="5"/>
  <c r="AC91" i="5"/>
  <c r="AA91" i="5"/>
  <c r="Z91" i="5"/>
  <c r="Y91" i="5"/>
  <c r="X91" i="5"/>
  <c r="W91" i="5"/>
  <c r="V91" i="5"/>
  <c r="U91" i="5"/>
  <c r="T91" i="5"/>
  <c r="S91" i="5"/>
  <c r="R91" i="5"/>
  <c r="Q91" i="5"/>
  <c r="P91" i="5"/>
  <c r="O91" i="5"/>
  <c r="N91" i="5"/>
  <c r="M91" i="5"/>
  <c r="L91" i="5"/>
  <c r="K91" i="5"/>
  <c r="J91" i="5"/>
  <c r="I91" i="5"/>
  <c r="H91" i="5"/>
  <c r="G91" i="5"/>
  <c r="F91" i="5"/>
  <c r="E91" i="5"/>
  <c r="D91" i="5"/>
  <c r="C91" i="5"/>
  <c r="AC90" i="5"/>
  <c r="AE90" i="5" s="1"/>
  <c r="AA90" i="5"/>
  <c r="Z90" i="5"/>
  <c r="Y90" i="5"/>
  <c r="X90" i="5"/>
  <c r="W90" i="5"/>
  <c r="V90" i="5"/>
  <c r="U90" i="5"/>
  <c r="T90" i="5"/>
  <c r="S90" i="5"/>
  <c r="R90" i="5"/>
  <c r="Q90" i="5"/>
  <c r="P90" i="5"/>
  <c r="O90" i="5"/>
  <c r="N90" i="5"/>
  <c r="M90" i="5"/>
  <c r="L90" i="5"/>
  <c r="K90" i="5"/>
  <c r="J90" i="5"/>
  <c r="I90" i="5"/>
  <c r="AD90" i="5" s="1"/>
  <c r="AF90" i="5" s="1"/>
  <c r="H90" i="5"/>
  <c r="G90" i="5"/>
  <c r="F90" i="5"/>
  <c r="E90" i="5"/>
  <c r="D90" i="5"/>
  <c r="C90" i="5"/>
  <c r="AC89" i="5"/>
  <c r="AE89" i="5" s="1"/>
  <c r="AA89" i="5"/>
  <c r="Z89" i="5"/>
  <c r="Y89" i="5"/>
  <c r="X89" i="5"/>
  <c r="W89" i="5"/>
  <c r="V89" i="5"/>
  <c r="U89" i="5"/>
  <c r="T89" i="5"/>
  <c r="S89" i="5"/>
  <c r="R89" i="5"/>
  <c r="Q89" i="5"/>
  <c r="P89" i="5"/>
  <c r="O89" i="5"/>
  <c r="N89" i="5"/>
  <c r="M89" i="5"/>
  <c r="L89" i="5"/>
  <c r="K89" i="5"/>
  <c r="J89" i="5"/>
  <c r="I89" i="5"/>
  <c r="H89" i="5"/>
  <c r="G89" i="5"/>
  <c r="F89" i="5"/>
  <c r="E89" i="5"/>
  <c r="D89" i="5"/>
  <c r="C89" i="5"/>
  <c r="AF88" i="5"/>
  <c r="AE88" i="5"/>
  <c r="AC88" i="5"/>
  <c r="AD88" i="5" s="1"/>
  <c r="AA88" i="5"/>
  <c r="Z88" i="5"/>
  <c r="Y88" i="5"/>
  <c r="X88" i="5"/>
  <c r="W88" i="5"/>
  <c r="V88" i="5"/>
  <c r="U88" i="5"/>
  <c r="T88" i="5"/>
  <c r="S88" i="5"/>
  <c r="R88" i="5"/>
  <c r="Q88" i="5"/>
  <c r="P88" i="5"/>
  <c r="O88" i="5"/>
  <c r="N88" i="5"/>
  <c r="M88" i="5"/>
  <c r="L88" i="5"/>
  <c r="K88" i="5"/>
  <c r="J88" i="5"/>
  <c r="I88" i="5"/>
  <c r="H88" i="5"/>
  <c r="G88" i="5"/>
  <c r="F88" i="5"/>
  <c r="E88" i="5"/>
  <c r="D88" i="5"/>
  <c r="C88" i="5"/>
  <c r="AE87" i="5"/>
  <c r="AC87" i="5"/>
  <c r="AA87" i="5"/>
  <c r="Z87" i="5"/>
  <c r="Y87" i="5"/>
  <c r="X87" i="5"/>
  <c r="W87" i="5"/>
  <c r="V87" i="5"/>
  <c r="U87" i="5"/>
  <c r="T87" i="5"/>
  <c r="S87" i="5"/>
  <c r="R87" i="5"/>
  <c r="Q87" i="5"/>
  <c r="P87" i="5"/>
  <c r="O87" i="5"/>
  <c r="N87" i="5"/>
  <c r="M87" i="5"/>
  <c r="L87" i="5"/>
  <c r="K87" i="5"/>
  <c r="J87" i="5"/>
  <c r="I87" i="5"/>
  <c r="AD87" i="5" s="1"/>
  <c r="AF87" i="5" s="1"/>
  <c r="H87" i="5"/>
  <c r="G87" i="5"/>
  <c r="F87" i="5"/>
  <c r="E87" i="5"/>
  <c r="D87" i="5"/>
  <c r="C87" i="5"/>
  <c r="AD86" i="5"/>
  <c r="AC86" i="5"/>
  <c r="AA86" i="5"/>
  <c r="Z86" i="5"/>
  <c r="Y86" i="5"/>
  <c r="X86" i="5"/>
  <c r="W86" i="5"/>
  <c r="V86" i="5"/>
  <c r="U86" i="5"/>
  <c r="T86" i="5"/>
  <c r="S86" i="5"/>
  <c r="R86" i="5"/>
  <c r="Q86" i="5"/>
  <c r="P86" i="5"/>
  <c r="O86" i="5"/>
  <c r="N86" i="5"/>
  <c r="M86" i="5"/>
  <c r="L86" i="5"/>
  <c r="K86" i="5"/>
  <c r="J86" i="5"/>
  <c r="I86" i="5"/>
  <c r="H86" i="5"/>
  <c r="G86" i="5"/>
  <c r="F86" i="5"/>
  <c r="E86" i="5"/>
  <c r="D86" i="5"/>
  <c r="C86" i="5"/>
  <c r="AE85" i="5"/>
  <c r="AC85" i="5"/>
  <c r="AA85" i="5"/>
  <c r="Z85" i="5"/>
  <c r="Y85" i="5"/>
  <c r="X85" i="5"/>
  <c r="W85" i="5"/>
  <c r="V85" i="5"/>
  <c r="U85" i="5"/>
  <c r="T85" i="5"/>
  <c r="S85" i="5"/>
  <c r="R85" i="5"/>
  <c r="Q85" i="5"/>
  <c r="P85" i="5"/>
  <c r="O85" i="5"/>
  <c r="N85" i="5"/>
  <c r="M85" i="5"/>
  <c r="L85" i="5"/>
  <c r="K85" i="5"/>
  <c r="J85" i="5"/>
  <c r="I85" i="5"/>
  <c r="AD85" i="5" s="1"/>
  <c r="AF85" i="5" s="1"/>
  <c r="H85" i="5"/>
  <c r="G85" i="5"/>
  <c r="F85" i="5"/>
  <c r="E85" i="5"/>
  <c r="D85" i="5"/>
  <c r="C85" i="5"/>
  <c r="AC84" i="5"/>
  <c r="AE84" i="5" s="1"/>
  <c r="AA84" i="5"/>
  <c r="Z84" i="5"/>
  <c r="Y84" i="5"/>
  <c r="X84" i="5"/>
  <c r="W84" i="5"/>
  <c r="V84" i="5"/>
  <c r="U84" i="5"/>
  <c r="T84" i="5"/>
  <c r="S84" i="5"/>
  <c r="R84" i="5"/>
  <c r="Q84" i="5"/>
  <c r="P84" i="5"/>
  <c r="O84" i="5"/>
  <c r="N84" i="5"/>
  <c r="M84" i="5"/>
  <c r="L84" i="5"/>
  <c r="K84" i="5"/>
  <c r="J84" i="5"/>
  <c r="I84" i="5"/>
  <c r="H84" i="5"/>
  <c r="G84" i="5"/>
  <c r="F84" i="5"/>
  <c r="E84" i="5"/>
  <c r="D84" i="5"/>
  <c r="C84" i="5"/>
  <c r="AC83" i="5"/>
  <c r="AE83" i="5" s="1"/>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X5" i="5" s="1"/>
  <c r="W82" i="5"/>
  <c r="V82" i="5"/>
  <c r="U82" i="5"/>
  <c r="T82" i="5"/>
  <c r="S82" i="5"/>
  <c r="R82" i="5"/>
  <c r="Q82" i="5"/>
  <c r="P82" i="5"/>
  <c r="O82" i="5"/>
  <c r="N82" i="5"/>
  <c r="M82" i="5"/>
  <c r="L82" i="5"/>
  <c r="K82" i="5"/>
  <c r="J82" i="5"/>
  <c r="I82" i="5"/>
  <c r="H82" i="5"/>
  <c r="G82" i="5"/>
  <c r="F82" i="5"/>
  <c r="E82" i="5"/>
  <c r="D82" i="5"/>
  <c r="C82" i="5"/>
  <c r="AD81" i="5"/>
  <c r="AC81" i="5"/>
  <c r="AA81" i="5"/>
  <c r="Z81" i="5"/>
  <c r="Y81" i="5"/>
  <c r="X81" i="5"/>
  <c r="W81" i="5"/>
  <c r="V81" i="5"/>
  <c r="U81" i="5"/>
  <c r="T81" i="5"/>
  <c r="S81" i="5"/>
  <c r="R81" i="5"/>
  <c r="Q81" i="5"/>
  <c r="P81" i="5"/>
  <c r="O81" i="5"/>
  <c r="N81" i="5"/>
  <c r="M81" i="5"/>
  <c r="L81" i="5"/>
  <c r="K81" i="5"/>
  <c r="J81" i="5"/>
  <c r="I81" i="5"/>
  <c r="H81" i="5"/>
  <c r="G81" i="5"/>
  <c r="F81" i="5"/>
  <c r="E81" i="5"/>
  <c r="AE81" i="5" s="1"/>
  <c r="D81" i="5"/>
  <c r="C81" i="5"/>
  <c r="AF80" i="5"/>
  <c r="AE80" i="5"/>
  <c r="AC80" i="5"/>
  <c r="AA80" i="5"/>
  <c r="Z80" i="5"/>
  <c r="Y80" i="5"/>
  <c r="X80" i="5"/>
  <c r="W80" i="5"/>
  <c r="V80" i="5"/>
  <c r="U80" i="5"/>
  <c r="T80" i="5"/>
  <c r="S80" i="5"/>
  <c r="R80" i="5"/>
  <c r="Q80" i="5"/>
  <c r="P80" i="5"/>
  <c r="O80" i="5"/>
  <c r="N80" i="5"/>
  <c r="M80" i="5"/>
  <c r="L80" i="5"/>
  <c r="K80" i="5"/>
  <c r="J80" i="5"/>
  <c r="I80" i="5"/>
  <c r="AD80" i="5" s="1"/>
  <c r="H80" i="5"/>
  <c r="G80" i="5"/>
  <c r="F80" i="5"/>
  <c r="E80" i="5"/>
  <c r="D80" i="5"/>
  <c r="C80" i="5"/>
  <c r="AC79" i="5"/>
  <c r="AA79" i="5"/>
  <c r="Z79" i="5"/>
  <c r="Y79" i="5"/>
  <c r="X79" i="5"/>
  <c r="W79" i="5"/>
  <c r="V79" i="5"/>
  <c r="U79" i="5"/>
  <c r="T79" i="5"/>
  <c r="S79" i="5"/>
  <c r="R79" i="5"/>
  <c r="Q79" i="5"/>
  <c r="P79" i="5"/>
  <c r="O79" i="5"/>
  <c r="N79" i="5"/>
  <c r="M79" i="5"/>
  <c r="L79" i="5"/>
  <c r="K79" i="5"/>
  <c r="J79" i="5"/>
  <c r="I79" i="5"/>
  <c r="H79" i="5"/>
  <c r="G79" i="5"/>
  <c r="F79" i="5"/>
  <c r="E79" i="5"/>
  <c r="D79" i="5"/>
  <c r="C79" i="5"/>
  <c r="AD78" i="5"/>
  <c r="AC78" i="5"/>
  <c r="AE78" i="5" s="1"/>
  <c r="AA78" i="5"/>
  <c r="Z78" i="5"/>
  <c r="Y78" i="5"/>
  <c r="X78" i="5"/>
  <c r="W78" i="5"/>
  <c r="V78" i="5"/>
  <c r="U78" i="5"/>
  <c r="T78" i="5"/>
  <c r="S78" i="5"/>
  <c r="R78" i="5"/>
  <c r="Q78" i="5"/>
  <c r="P78" i="5"/>
  <c r="O78" i="5"/>
  <c r="N78" i="5"/>
  <c r="M78" i="5"/>
  <c r="L78" i="5"/>
  <c r="K78" i="5"/>
  <c r="J78" i="5"/>
  <c r="I78" i="5"/>
  <c r="H78" i="5"/>
  <c r="G78" i="5"/>
  <c r="F78" i="5"/>
  <c r="E78" i="5"/>
  <c r="D78" i="5"/>
  <c r="C78" i="5"/>
  <c r="AC77" i="5"/>
  <c r="AE77" i="5" s="1"/>
  <c r="AA77" i="5"/>
  <c r="AA5" i="5" s="1"/>
  <c r="Z77" i="5"/>
  <c r="Z5" i="5" s="1"/>
  <c r="Y77" i="5"/>
  <c r="X77" i="5"/>
  <c r="W77" i="5"/>
  <c r="V77" i="5"/>
  <c r="U77" i="5"/>
  <c r="T77" i="5"/>
  <c r="S77" i="5"/>
  <c r="R77" i="5"/>
  <c r="Q77" i="5"/>
  <c r="P77" i="5"/>
  <c r="O77" i="5"/>
  <c r="O6" i="5" s="1"/>
  <c r="O7" i="5" s="1"/>
  <c r="N77" i="5"/>
  <c r="M77" i="5"/>
  <c r="L77" i="5"/>
  <c r="K77" i="5"/>
  <c r="J77" i="5"/>
  <c r="I77" i="5"/>
  <c r="H77" i="5"/>
  <c r="G77" i="5"/>
  <c r="F77" i="5"/>
  <c r="E77" i="5"/>
  <c r="D77" i="5"/>
  <c r="C77" i="5"/>
  <c r="AE76" i="5"/>
  <c r="AF76" i="5" s="1"/>
  <c r="AC76" i="5"/>
  <c r="AD76" i="5" s="1"/>
  <c r="AA76" i="5"/>
  <c r="Z76" i="5"/>
  <c r="Y76" i="5"/>
  <c r="X76" i="5"/>
  <c r="W76" i="5"/>
  <c r="V76" i="5"/>
  <c r="U76" i="5"/>
  <c r="T76" i="5"/>
  <c r="S76" i="5"/>
  <c r="R76" i="5"/>
  <c r="Q76" i="5"/>
  <c r="P76" i="5"/>
  <c r="O76" i="5"/>
  <c r="N76" i="5"/>
  <c r="M76" i="5"/>
  <c r="L76" i="5"/>
  <c r="K76" i="5"/>
  <c r="J76" i="5"/>
  <c r="I76" i="5"/>
  <c r="H76" i="5"/>
  <c r="G76" i="5"/>
  <c r="F76" i="5"/>
  <c r="E76" i="5"/>
  <c r="D76" i="5"/>
  <c r="C76" i="5"/>
  <c r="AE75" i="5"/>
  <c r="AC75" i="5"/>
  <c r="AA75" i="5"/>
  <c r="Z75" i="5"/>
  <c r="Y75" i="5"/>
  <c r="X75" i="5"/>
  <c r="W75" i="5"/>
  <c r="W4" i="5" s="1"/>
  <c r="V75" i="5"/>
  <c r="U75" i="5"/>
  <c r="T75" i="5"/>
  <c r="S75" i="5"/>
  <c r="R75" i="5"/>
  <c r="Q75" i="5"/>
  <c r="P75" i="5"/>
  <c r="O75" i="5"/>
  <c r="N75" i="5"/>
  <c r="M75" i="5"/>
  <c r="L75" i="5"/>
  <c r="K75" i="5"/>
  <c r="K5" i="5" s="1"/>
  <c r="J75" i="5"/>
  <c r="I75" i="5"/>
  <c r="AD75" i="5" s="1"/>
  <c r="AF75" i="5" s="1"/>
  <c r="H75" i="5"/>
  <c r="G75" i="5"/>
  <c r="F75" i="5"/>
  <c r="E75" i="5"/>
  <c r="D75" i="5"/>
  <c r="C75" i="5"/>
  <c r="AE74" i="5"/>
  <c r="AC74" i="5"/>
  <c r="AD74" i="5" s="1"/>
  <c r="AF74" i="5" s="1"/>
  <c r="AA74" i="5"/>
  <c r="Z74" i="5"/>
  <c r="Y74" i="5"/>
  <c r="Y6" i="5" s="1"/>
  <c r="Y7" i="5" s="1"/>
  <c r="X74" i="5"/>
  <c r="W74" i="5"/>
  <c r="V74" i="5"/>
  <c r="U74" i="5"/>
  <c r="T74" i="5"/>
  <c r="S74" i="5"/>
  <c r="R74" i="5"/>
  <c r="Q74" i="5"/>
  <c r="P74" i="5"/>
  <c r="O74" i="5"/>
  <c r="N74" i="5"/>
  <c r="M74" i="5"/>
  <c r="M5" i="5" s="1"/>
  <c r="L74" i="5"/>
  <c r="K74" i="5"/>
  <c r="J74" i="5"/>
  <c r="I74" i="5"/>
  <c r="H74" i="5"/>
  <c r="G74" i="5"/>
  <c r="F74" i="5"/>
  <c r="E74" i="5"/>
  <c r="D74" i="5"/>
  <c r="C74" i="5"/>
  <c r="AD73" i="5"/>
  <c r="AC73" i="5"/>
  <c r="AA73" i="5"/>
  <c r="Z73" i="5"/>
  <c r="Y73" i="5"/>
  <c r="X73" i="5"/>
  <c r="W73" i="5"/>
  <c r="V73" i="5"/>
  <c r="V6" i="5" s="1"/>
  <c r="V7" i="5" s="1"/>
  <c r="U73" i="5"/>
  <c r="T73" i="5"/>
  <c r="S73" i="5"/>
  <c r="R73" i="5"/>
  <c r="Q73" i="5"/>
  <c r="P73" i="5"/>
  <c r="O73" i="5"/>
  <c r="N73" i="5"/>
  <c r="M73" i="5"/>
  <c r="L73" i="5"/>
  <c r="K73" i="5"/>
  <c r="J73" i="5"/>
  <c r="I73" i="5"/>
  <c r="H73" i="5"/>
  <c r="G73" i="5"/>
  <c r="F73" i="5"/>
  <c r="E73" i="5"/>
  <c r="AE73" i="5" s="1"/>
  <c r="D73" i="5"/>
  <c r="C73" i="5"/>
  <c r="AC72" i="5"/>
  <c r="AA72" i="5"/>
  <c r="AA4" i="5" s="1"/>
  <c r="Z72" i="5"/>
  <c r="Y72" i="5"/>
  <c r="X72" i="5"/>
  <c r="X6" i="5" s="1"/>
  <c r="X7" i="5" s="1"/>
  <c r="W72" i="5"/>
  <c r="V72" i="5"/>
  <c r="V4" i="5" s="1"/>
  <c r="U72" i="5"/>
  <c r="T72" i="5"/>
  <c r="S72" i="5"/>
  <c r="R72" i="5"/>
  <c r="Q72" i="5"/>
  <c r="P72" i="5"/>
  <c r="O72" i="5"/>
  <c r="N72" i="5"/>
  <c r="M72" i="5"/>
  <c r="L72" i="5"/>
  <c r="L5" i="5" s="1"/>
  <c r="K72" i="5"/>
  <c r="J72" i="5"/>
  <c r="J5" i="5" s="1"/>
  <c r="I72" i="5"/>
  <c r="H72" i="5"/>
  <c r="G72" i="5"/>
  <c r="F72" i="5"/>
  <c r="E72" i="5"/>
  <c r="D72" i="5"/>
  <c r="C72" i="5"/>
  <c r="C4" i="5" s="1"/>
  <c r="AD71" i="5"/>
  <c r="AC71" i="5"/>
  <c r="AA71" i="5"/>
  <c r="Z71" i="5"/>
  <c r="Y71" i="5"/>
  <c r="X71" i="5"/>
  <c r="W71" i="5"/>
  <c r="V71" i="5"/>
  <c r="U71" i="5"/>
  <c r="U4" i="5" s="1"/>
  <c r="T71" i="5"/>
  <c r="T6" i="5" s="1"/>
  <c r="T7" i="5" s="1"/>
  <c r="S71" i="5"/>
  <c r="R71" i="5"/>
  <c r="Q71" i="5"/>
  <c r="P71" i="5"/>
  <c r="O71" i="5"/>
  <c r="O4" i="5" s="1"/>
  <c r="N71" i="5"/>
  <c r="N5" i="5" s="1"/>
  <c r="M71" i="5"/>
  <c r="L71" i="5"/>
  <c r="K71" i="5"/>
  <c r="J71" i="5"/>
  <c r="I71" i="5"/>
  <c r="I4" i="5" s="1"/>
  <c r="H71" i="5"/>
  <c r="G71" i="5"/>
  <c r="F71" i="5"/>
  <c r="E71" i="5"/>
  <c r="D71" i="5"/>
  <c r="C71" i="5"/>
  <c r="C5" i="5" s="1"/>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E68" i="5"/>
  <c r="AC68" i="5"/>
  <c r="AA68" i="5"/>
  <c r="Z68" i="5"/>
  <c r="Y68" i="5"/>
  <c r="X68" i="5"/>
  <c r="W68" i="5"/>
  <c r="V68" i="5"/>
  <c r="U68" i="5"/>
  <c r="T68" i="5"/>
  <c r="S68" i="5"/>
  <c r="R68" i="5"/>
  <c r="Q68" i="5"/>
  <c r="P68" i="5"/>
  <c r="O68" i="5"/>
  <c r="N68" i="5"/>
  <c r="M68" i="5"/>
  <c r="L68" i="5"/>
  <c r="K68" i="5"/>
  <c r="J68" i="5"/>
  <c r="I68" i="5"/>
  <c r="AD68" i="5" s="1"/>
  <c r="AF68" i="5" s="1"/>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C66" i="5"/>
  <c r="AA66" i="5"/>
  <c r="Z66" i="5"/>
  <c r="Y66" i="5"/>
  <c r="X66" i="5"/>
  <c r="W66" i="5"/>
  <c r="V66" i="5"/>
  <c r="U66" i="5"/>
  <c r="T66" i="5"/>
  <c r="S66" i="5"/>
  <c r="R66" i="5"/>
  <c r="Q66" i="5"/>
  <c r="P66" i="5"/>
  <c r="O66" i="5"/>
  <c r="N66" i="5"/>
  <c r="M66" i="5"/>
  <c r="L66" i="5"/>
  <c r="K66" i="5"/>
  <c r="J66" i="5"/>
  <c r="I66" i="5"/>
  <c r="AD66" i="5" s="1"/>
  <c r="H66" i="5"/>
  <c r="G66" i="5"/>
  <c r="F66" i="5"/>
  <c r="E66" i="5"/>
  <c r="AE66" i="5" s="1"/>
  <c r="D66" i="5"/>
  <c r="C66" i="5"/>
  <c r="AC65" i="5"/>
  <c r="AD65" i="5" s="1"/>
  <c r="AA65" i="5"/>
  <c r="Z65" i="5"/>
  <c r="Y65" i="5"/>
  <c r="X65" i="5"/>
  <c r="W65" i="5"/>
  <c r="V65" i="5"/>
  <c r="U65" i="5"/>
  <c r="T65" i="5"/>
  <c r="S65" i="5"/>
  <c r="R65" i="5"/>
  <c r="Q65" i="5"/>
  <c r="P65" i="5"/>
  <c r="O65" i="5"/>
  <c r="N65" i="5"/>
  <c r="M65" i="5"/>
  <c r="L65" i="5"/>
  <c r="K65" i="5"/>
  <c r="J65" i="5"/>
  <c r="I65" i="5"/>
  <c r="H65" i="5"/>
  <c r="G65" i="5"/>
  <c r="F65" i="5"/>
  <c r="E65" i="5"/>
  <c r="D65" i="5"/>
  <c r="C65"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E63" i="5"/>
  <c r="AC63" i="5"/>
  <c r="AA63" i="5"/>
  <c r="Z63" i="5"/>
  <c r="Y63" i="5"/>
  <c r="X63" i="5"/>
  <c r="W63" i="5"/>
  <c r="V63" i="5"/>
  <c r="U63" i="5"/>
  <c r="T63" i="5"/>
  <c r="S63" i="5"/>
  <c r="R63" i="5"/>
  <c r="Q63" i="5"/>
  <c r="P63" i="5"/>
  <c r="O63" i="5"/>
  <c r="N63" i="5"/>
  <c r="M63" i="5"/>
  <c r="L63" i="5"/>
  <c r="K63" i="5"/>
  <c r="J63" i="5"/>
  <c r="I63" i="5"/>
  <c r="AD63" i="5" s="1"/>
  <c r="AF63" i="5" s="1"/>
  <c r="H63" i="5"/>
  <c r="G63" i="5"/>
  <c r="F63" i="5"/>
  <c r="E63" i="5"/>
  <c r="D63" i="5"/>
  <c r="C63" i="5"/>
  <c r="AD62" i="5"/>
  <c r="AC62" i="5"/>
  <c r="AA62" i="5"/>
  <c r="Z62" i="5"/>
  <c r="Y62" i="5"/>
  <c r="X62" i="5"/>
  <c r="W62" i="5"/>
  <c r="V62" i="5"/>
  <c r="U62" i="5"/>
  <c r="T62" i="5"/>
  <c r="S62" i="5"/>
  <c r="R62" i="5"/>
  <c r="Q62" i="5"/>
  <c r="P62" i="5"/>
  <c r="O62" i="5"/>
  <c r="N62" i="5"/>
  <c r="M62" i="5"/>
  <c r="L62" i="5"/>
  <c r="K62" i="5"/>
  <c r="J62" i="5"/>
  <c r="I62" i="5"/>
  <c r="H62" i="5"/>
  <c r="G62" i="5"/>
  <c r="F62" i="5"/>
  <c r="E62" i="5"/>
  <c r="AE62" i="5" s="1"/>
  <c r="D62" i="5"/>
  <c r="C62" i="5"/>
  <c r="AD61" i="5"/>
  <c r="AC61" i="5"/>
  <c r="AA61" i="5"/>
  <c r="Z61" i="5"/>
  <c r="Y61" i="5"/>
  <c r="X61" i="5"/>
  <c r="W61" i="5"/>
  <c r="V61" i="5"/>
  <c r="U61" i="5"/>
  <c r="T61" i="5"/>
  <c r="S61" i="5"/>
  <c r="R61" i="5"/>
  <c r="Q61" i="5"/>
  <c r="P61" i="5"/>
  <c r="O61" i="5"/>
  <c r="N61" i="5"/>
  <c r="M61" i="5"/>
  <c r="L61" i="5"/>
  <c r="K61" i="5"/>
  <c r="J61" i="5"/>
  <c r="I61" i="5"/>
  <c r="H61" i="5"/>
  <c r="G61" i="5"/>
  <c r="F61" i="5"/>
  <c r="E61" i="5"/>
  <c r="AE61" i="5" s="1"/>
  <c r="D61" i="5"/>
  <c r="C61" i="5"/>
  <c r="AC60" i="5"/>
  <c r="AA60" i="5"/>
  <c r="Z60" i="5"/>
  <c r="Y60" i="5"/>
  <c r="X60" i="5"/>
  <c r="W60" i="5"/>
  <c r="V60" i="5"/>
  <c r="U60" i="5"/>
  <c r="T60" i="5"/>
  <c r="S60" i="5"/>
  <c r="R60" i="5"/>
  <c r="Q60" i="5"/>
  <c r="P60" i="5"/>
  <c r="O60" i="5"/>
  <c r="N60" i="5"/>
  <c r="M60" i="5"/>
  <c r="L60" i="5"/>
  <c r="K60" i="5"/>
  <c r="J60" i="5"/>
  <c r="I60" i="5"/>
  <c r="H60" i="5"/>
  <c r="G60" i="5"/>
  <c r="F60" i="5"/>
  <c r="E60" i="5"/>
  <c r="D60" i="5"/>
  <c r="C60" i="5"/>
  <c r="AD59" i="5"/>
  <c r="AC59" i="5"/>
  <c r="AA59" i="5"/>
  <c r="Z59" i="5"/>
  <c r="Y59" i="5"/>
  <c r="X59" i="5"/>
  <c r="W59" i="5"/>
  <c r="V59" i="5"/>
  <c r="U59" i="5"/>
  <c r="T59" i="5"/>
  <c r="S59" i="5"/>
  <c r="R59" i="5"/>
  <c r="Q59" i="5"/>
  <c r="P59" i="5"/>
  <c r="O59" i="5"/>
  <c r="N59" i="5"/>
  <c r="M59" i="5"/>
  <c r="L59" i="5"/>
  <c r="K59" i="5"/>
  <c r="J59" i="5"/>
  <c r="I59" i="5"/>
  <c r="H59" i="5"/>
  <c r="G59" i="5"/>
  <c r="F59" i="5"/>
  <c r="E59" i="5"/>
  <c r="AE59" i="5" s="1"/>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E57" i="5" s="1"/>
  <c r="AA57" i="5"/>
  <c r="Z57" i="5"/>
  <c r="Y57" i="5"/>
  <c r="X57" i="5"/>
  <c r="W57" i="5"/>
  <c r="V57" i="5"/>
  <c r="U57" i="5"/>
  <c r="T57" i="5"/>
  <c r="S57" i="5"/>
  <c r="R57" i="5"/>
  <c r="Q57" i="5"/>
  <c r="P57" i="5"/>
  <c r="O57" i="5"/>
  <c r="N57" i="5"/>
  <c r="M57" i="5"/>
  <c r="L57" i="5"/>
  <c r="K57" i="5"/>
  <c r="J57" i="5"/>
  <c r="I57" i="5"/>
  <c r="H57" i="5"/>
  <c r="G57" i="5"/>
  <c r="F57" i="5"/>
  <c r="E57" i="5"/>
  <c r="D57" i="5"/>
  <c r="C57" i="5"/>
  <c r="AE56" i="5"/>
  <c r="AC56" i="5"/>
  <c r="AA56" i="5"/>
  <c r="Z56" i="5"/>
  <c r="Y56" i="5"/>
  <c r="X56" i="5"/>
  <c r="W56" i="5"/>
  <c r="V56" i="5"/>
  <c r="U56" i="5"/>
  <c r="T56" i="5"/>
  <c r="S56" i="5"/>
  <c r="R56" i="5"/>
  <c r="Q56" i="5"/>
  <c r="P56" i="5"/>
  <c r="O56" i="5"/>
  <c r="N56" i="5"/>
  <c r="M56" i="5"/>
  <c r="L56" i="5"/>
  <c r="K56" i="5"/>
  <c r="J56" i="5"/>
  <c r="I56" i="5"/>
  <c r="AD56" i="5" s="1"/>
  <c r="AF56" i="5" s="1"/>
  <c r="H56" i="5"/>
  <c r="G56" i="5"/>
  <c r="F56" i="5"/>
  <c r="E56" i="5"/>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C54" i="5"/>
  <c r="AA54" i="5"/>
  <c r="Z54" i="5"/>
  <c r="Y54" i="5"/>
  <c r="X54" i="5"/>
  <c r="W54" i="5"/>
  <c r="V54" i="5"/>
  <c r="U54" i="5"/>
  <c r="T54" i="5"/>
  <c r="S54" i="5"/>
  <c r="R54" i="5"/>
  <c r="Q54" i="5"/>
  <c r="P54" i="5"/>
  <c r="O54" i="5"/>
  <c r="N54" i="5"/>
  <c r="M54" i="5"/>
  <c r="L54" i="5"/>
  <c r="K54" i="5"/>
  <c r="J54" i="5"/>
  <c r="I54" i="5"/>
  <c r="AD54" i="5" s="1"/>
  <c r="AF54" i="5" s="1"/>
  <c r="H54" i="5"/>
  <c r="G54" i="5"/>
  <c r="F54" i="5"/>
  <c r="E54" i="5"/>
  <c r="AE54" i="5" s="1"/>
  <c r="D54" i="5"/>
  <c r="C54" i="5"/>
  <c r="AC53" i="5"/>
  <c r="AD53" i="5" s="1"/>
  <c r="AA53" i="5"/>
  <c r="Z53" i="5"/>
  <c r="Y53" i="5"/>
  <c r="X53" i="5"/>
  <c r="W53" i="5"/>
  <c r="V53" i="5"/>
  <c r="U53" i="5"/>
  <c r="T53" i="5"/>
  <c r="S53" i="5"/>
  <c r="R53" i="5"/>
  <c r="Q53" i="5"/>
  <c r="P53" i="5"/>
  <c r="O53" i="5"/>
  <c r="N53" i="5"/>
  <c r="M53" i="5"/>
  <c r="L53" i="5"/>
  <c r="K53" i="5"/>
  <c r="J53" i="5"/>
  <c r="I53" i="5"/>
  <c r="H53" i="5"/>
  <c r="G53" i="5"/>
  <c r="F53" i="5"/>
  <c r="E53" i="5"/>
  <c r="D53" i="5"/>
  <c r="C53" i="5"/>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E51" i="5"/>
  <c r="AC51" i="5"/>
  <c r="AA51" i="5"/>
  <c r="Z51" i="5"/>
  <c r="Y51" i="5"/>
  <c r="X51" i="5"/>
  <c r="W51" i="5"/>
  <c r="V51" i="5"/>
  <c r="U51" i="5"/>
  <c r="T51" i="5"/>
  <c r="S51" i="5"/>
  <c r="R51" i="5"/>
  <c r="Q51" i="5"/>
  <c r="P51" i="5"/>
  <c r="O51" i="5"/>
  <c r="N51" i="5"/>
  <c r="M51" i="5"/>
  <c r="L51" i="5"/>
  <c r="K51" i="5"/>
  <c r="J51" i="5"/>
  <c r="I51" i="5"/>
  <c r="AD51" i="5" s="1"/>
  <c r="AF51" i="5" s="1"/>
  <c r="H51" i="5"/>
  <c r="G51" i="5"/>
  <c r="F51" i="5"/>
  <c r="E51" i="5"/>
  <c r="D51" i="5"/>
  <c r="C51" i="5"/>
  <c r="AD50" i="5"/>
  <c r="AC50" i="5"/>
  <c r="AA50" i="5"/>
  <c r="Z50" i="5"/>
  <c r="Y50" i="5"/>
  <c r="X50" i="5"/>
  <c r="W50" i="5"/>
  <c r="V50" i="5"/>
  <c r="U50" i="5"/>
  <c r="T50" i="5"/>
  <c r="S50" i="5"/>
  <c r="R50" i="5"/>
  <c r="Q50" i="5"/>
  <c r="P50" i="5"/>
  <c r="O50" i="5"/>
  <c r="N50" i="5"/>
  <c r="M50" i="5"/>
  <c r="L50" i="5"/>
  <c r="K50" i="5"/>
  <c r="J50" i="5"/>
  <c r="I50" i="5"/>
  <c r="H50" i="5"/>
  <c r="G50" i="5"/>
  <c r="F50" i="5"/>
  <c r="E50" i="5"/>
  <c r="AE50" i="5" s="1"/>
  <c r="D50" i="5"/>
  <c r="C50" i="5"/>
  <c r="AD49" i="5"/>
  <c r="AC49" i="5"/>
  <c r="AA49" i="5"/>
  <c r="Z49" i="5"/>
  <c r="Y49" i="5"/>
  <c r="X49" i="5"/>
  <c r="W49" i="5"/>
  <c r="V49" i="5"/>
  <c r="U49" i="5"/>
  <c r="T49" i="5"/>
  <c r="S49" i="5"/>
  <c r="R49" i="5"/>
  <c r="Q49" i="5"/>
  <c r="P49" i="5"/>
  <c r="O49" i="5"/>
  <c r="N49" i="5"/>
  <c r="M49" i="5"/>
  <c r="L49" i="5"/>
  <c r="K49" i="5"/>
  <c r="J49" i="5"/>
  <c r="I49" i="5"/>
  <c r="H49" i="5"/>
  <c r="G49" i="5"/>
  <c r="F49" i="5"/>
  <c r="E49" i="5"/>
  <c r="AE49" i="5" s="1"/>
  <c r="D49" i="5"/>
  <c r="C49" i="5"/>
  <c r="AC48" i="5"/>
  <c r="AA48" i="5"/>
  <c r="Z48" i="5"/>
  <c r="Y48" i="5"/>
  <c r="X48" i="5"/>
  <c r="W48" i="5"/>
  <c r="V48" i="5"/>
  <c r="U48" i="5"/>
  <c r="T48" i="5"/>
  <c r="S48" i="5"/>
  <c r="R48" i="5"/>
  <c r="Q48" i="5"/>
  <c r="P48" i="5"/>
  <c r="O48" i="5"/>
  <c r="N48" i="5"/>
  <c r="M48" i="5"/>
  <c r="L48" i="5"/>
  <c r="K48" i="5"/>
  <c r="J48" i="5"/>
  <c r="I48" i="5"/>
  <c r="H48" i="5"/>
  <c r="G48" i="5"/>
  <c r="F48" i="5"/>
  <c r="E48" i="5"/>
  <c r="D48" i="5"/>
  <c r="C48" i="5"/>
  <c r="AD47" i="5"/>
  <c r="AC47" i="5"/>
  <c r="AA47" i="5"/>
  <c r="Z47" i="5"/>
  <c r="Y47" i="5"/>
  <c r="X47" i="5"/>
  <c r="W47" i="5"/>
  <c r="V47" i="5"/>
  <c r="U47" i="5"/>
  <c r="T47" i="5"/>
  <c r="S47" i="5"/>
  <c r="R47" i="5"/>
  <c r="Q47" i="5"/>
  <c r="P47" i="5"/>
  <c r="O47" i="5"/>
  <c r="N47" i="5"/>
  <c r="M47" i="5"/>
  <c r="L47" i="5"/>
  <c r="K47" i="5"/>
  <c r="J47" i="5"/>
  <c r="I47" i="5"/>
  <c r="H47" i="5"/>
  <c r="G47" i="5"/>
  <c r="F47" i="5"/>
  <c r="E47" i="5"/>
  <c r="AE47" i="5" s="1"/>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C45" i="5"/>
  <c r="AE45" i="5" s="1"/>
  <c r="AA45" i="5"/>
  <c r="Z45" i="5"/>
  <c r="Y45" i="5"/>
  <c r="X45" i="5"/>
  <c r="W45" i="5"/>
  <c r="V45" i="5"/>
  <c r="U45" i="5"/>
  <c r="T45" i="5"/>
  <c r="S45" i="5"/>
  <c r="R45" i="5"/>
  <c r="Q45" i="5"/>
  <c r="P45" i="5"/>
  <c r="O45" i="5"/>
  <c r="N45" i="5"/>
  <c r="M45" i="5"/>
  <c r="L45" i="5"/>
  <c r="K45" i="5"/>
  <c r="J45" i="5"/>
  <c r="I45" i="5"/>
  <c r="H45" i="5"/>
  <c r="G45" i="5"/>
  <c r="F45" i="5"/>
  <c r="E45" i="5"/>
  <c r="D45" i="5"/>
  <c r="C45" i="5"/>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E39" i="5"/>
  <c r="AC39" i="5"/>
  <c r="AD39" i="5" s="1"/>
  <c r="Z39" i="5"/>
  <c r="Y39" i="5"/>
  <c r="X39" i="5"/>
  <c r="W39" i="5"/>
  <c r="V39" i="5"/>
  <c r="U39" i="5"/>
  <c r="T39" i="5"/>
  <c r="S39" i="5"/>
  <c r="R39" i="5"/>
  <c r="Q39" i="5"/>
  <c r="P39" i="5"/>
  <c r="O39" i="5"/>
  <c r="N39" i="5"/>
  <c r="M39" i="5"/>
  <c r="L39" i="5"/>
  <c r="K39" i="5"/>
  <c r="J39" i="5"/>
  <c r="I39" i="5"/>
  <c r="H39" i="5"/>
  <c r="G39" i="5"/>
  <c r="F39" i="5"/>
  <c r="E39" i="5"/>
  <c r="D39" i="5"/>
  <c r="C39" i="5"/>
  <c r="AA39" i="5" s="1"/>
  <c r="AD38" i="5"/>
  <c r="AC38" i="5"/>
  <c r="Z38" i="5"/>
  <c r="Y38" i="5"/>
  <c r="X38" i="5"/>
  <c r="W38" i="5"/>
  <c r="V38" i="5"/>
  <c r="U38" i="5"/>
  <c r="T38" i="5"/>
  <c r="S38" i="5"/>
  <c r="R38" i="5"/>
  <c r="Q38" i="5"/>
  <c r="P38" i="5"/>
  <c r="O38" i="5"/>
  <c r="N38" i="5"/>
  <c r="M38" i="5"/>
  <c r="L38" i="5"/>
  <c r="K38" i="5"/>
  <c r="J38" i="5"/>
  <c r="I38" i="5"/>
  <c r="H38" i="5"/>
  <c r="G38" i="5"/>
  <c r="F38" i="5"/>
  <c r="E38" i="5"/>
  <c r="AE38" i="5" s="1"/>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AD36" i="5" s="1"/>
  <c r="Z36" i="5"/>
  <c r="Y36" i="5"/>
  <c r="X36" i="5"/>
  <c r="W36" i="5"/>
  <c r="V36" i="5"/>
  <c r="U36" i="5"/>
  <c r="T36" i="5"/>
  <c r="S36" i="5"/>
  <c r="R36" i="5"/>
  <c r="Q36" i="5"/>
  <c r="P36" i="5"/>
  <c r="O36" i="5"/>
  <c r="N36" i="5"/>
  <c r="M36" i="5"/>
  <c r="L36" i="5"/>
  <c r="K36" i="5"/>
  <c r="J36" i="5"/>
  <c r="I36" i="5"/>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C29" i="5"/>
  <c r="AE29" i="5" s="1"/>
  <c r="Z29" i="5"/>
  <c r="Y29" i="5"/>
  <c r="X29" i="5"/>
  <c r="W29" i="5"/>
  <c r="V29" i="5"/>
  <c r="U29" i="5"/>
  <c r="T29" i="5"/>
  <c r="S29" i="5"/>
  <c r="R29" i="5"/>
  <c r="Q29" i="5"/>
  <c r="P29" i="5"/>
  <c r="O29" i="5"/>
  <c r="N29" i="5"/>
  <c r="M29" i="5"/>
  <c r="L29" i="5"/>
  <c r="K29" i="5"/>
  <c r="J29" i="5"/>
  <c r="I29" i="5"/>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C27" i="5"/>
  <c r="AD27" i="5" s="1"/>
  <c r="Z27" i="5"/>
  <c r="Y27" i="5"/>
  <c r="X27" i="5"/>
  <c r="W27" i="5"/>
  <c r="V27" i="5"/>
  <c r="U27" i="5"/>
  <c r="T27" i="5"/>
  <c r="S27" i="5"/>
  <c r="R27" i="5"/>
  <c r="Q27" i="5"/>
  <c r="P27" i="5"/>
  <c r="O27" i="5"/>
  <c r="N27" i="5"/>
  <c r="M27" i="5"/>
  <c r="L27" i="5"/>
  <c r="K27" i="5"/>
  <c r="J27" i="5"/>
  <c r="I27" i="5"/>
  <c r="H27" i="5"/>
  <c r="G27" i="5"/>
  <c r="F27" i="5"/>
  <c r="E27" i="5"/>
  <c r="D27" i="5"/>
  <c r="C27" i="5"/>
  <c r="AA27" i="5" s="1"/>
  <c r="AD26" i="5"/>
  <c r="AC26" i="5"/>
  <c r="Z26" i="5"/>
  <c r="Y26" i="5"/>
  <c r="X26" i="5"/>
  <c r="W26" i="5"/>
  <c r="V26" i="5"/>
  <c r="U26" i="5"/>
  <c r="T26" i="5"/>
  <c r="S26" i="5"/>
  <c r="R26" i="5"/>
  <c r="Q26" i="5"/>
  <c r="P26" i="5"/>
  <c r="O26" i="5"/>
  <c r="N26" i="5"/>
  <c r="M26" i="5"/>
  <c r="L26" i="5"/>
  <c r="K26" i="5"/>
  <c r="J26" i="5"/>
  <c r="I26" i="5"/>
  <c r="H26" i="5"/>
  <c r="G26" i="5"/>
  <c r="F26" i="5"/>
  <c r="E26" i="5"/>
  <c r="AE26" i="5" s="1"/>
  <c r="D26" i="5"/>
  <c r="C26" i="5"/>
  <c r="AA26" i="5" s="1"/>
  <c r="AC25" i="5"/>
  <c r="AE25" i="5" s="1"/>
  <c r="Z25" i="5"/>
  <c r="Y25" i="5"/>
  <c r="X25" i="5"/>
  <c r="W25" i="5"/>
  <c r="V25" i="5"/>
  <c r="U25" i="5"/>
  <c r="T25" i="5"/>
  <c r="S25" i="5"/>
  <c r="R25" i="5"/>
  <c r="Q25" i="5"/>
  <c r="P25" i="5"/>
  <c r="O25" i="5"/>
  <c r="N25" i="5"/>
  <c r="M25" i="5"/>
  <c r="L25" i="5"/>
  <c r="K25" i="5"/>
  <c r="J25" i="5"/>
  <c r="I25" i="5"/>
  <c r="H25" i="5"/>
  <c r="G25" i="5"/>
  <c r="F25" i="5"/>
  <c r="E25" i="5"/>
  <c r="D25" i="5"/>
  <c r="C25" i="5"/>
  <c r="AA25" i="5" s="1"/>
  <c r="AE24" i="5"/>
  <c r="AC24" i="5"/>
  <c r="AD24" i="5" s="1"/>
  <c r="Z24" i="5"/>
  <c r="Y24" i="5"/>
  <c r="X24" i="5"/>
  <c r="W24" i="5"/>
  <c r="V24" i="5"/>
  <c r="U24" i="5"/>
  <c r="T24" i="5"/>
  <c r="S24" i="5"/>
  <c r="R24" i="5"/>
  <c r="Q24" i="5"/>
  <c r="P24" i="5"/>
  <c r="O24" i="5"/>
  <c r="N24" i="5"/>
  <c r="M24" i="5"/>
  <c r="L24" i="5"/>
  <c r="K24" i="5"/>
  <c r="J24" i="5"/>
  <c r="I24" i="5"/>
  <c r="H24" i="5"/>
  <c r="G24" i="5"/>
  <c r="F24" i="5"/>
  <c r="E24" i="5"/>
  <c r="D24" i="5"/>
  <c r="C24" i="5"/>
  <c r="AA24" i="5" s="1"/>
  <c r="AC23" i="5"/>
  <c r="AE23" i="5" s="1"/>
  <c r="Z23" i="5"/>
  <c r="Y23" i="5"/>
  <c r="X23" i="5"/>
  <c r="W23" i="5"/>
  <c r="V23" i="5"/>
  <c r="U23" i="5"/>
  <c r="T23" i="5"/>
  <c r="S23" i="5"/>
  <c r="R23" i="5"/>
  <c r="Q23" i="5"/>
  <c r="P23" i="5"/>
  <c r="O23" i="5"/>
  <c r="N23" i="5"/>
  <c r="M23" i="5"/>
  <c r="L23" i="5"/>
  <c r="K23" i="5"/>
  <c r="J23" i="5"/>
  <c r="I23" i="5"/>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E21" i="5"/>
  <c r="AC21" i="5"/>
  <c r="AD21" i="5" s="1"/>
  <c r="Z21" i="5"/>
  <c r="Y21" i="5"/>
  <c r="X21" i="5"/>
  <c r="W21" i="5"/>
  <c r="V21" i="5"/>
  <c r="U21" i="5"/>
  <c r="T21" i="5"/>
  <c r="S21" i="5"/>
  <c r="R21" i="5"/>
  <c r="Q21" i="5"/>
  <c r="P21" i="5"/>
  <c r="O21" i="5"/>
  <c r="N21" i="5"/>
  <c r="M21" i="5"/>
  <c r="L21" i="5"/>
  <c r="K21" i="5"/>
  <c r="J21" i="5"/>
  <c r="I21" i="5"/>
  <c r="H21" i="5"/>
  <c r="G21" i="5"/>
  <c r="F21" i="5"/>
  <c r="E21" i="5"/>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AE19" i="5" s="1"/>
  <c r="Z19" i="5"/>
  <c r="Y19" i="5"/>
  <c r="X19" i="5"/>
  <c r="W19" i="5"/>
  <c r="V19" i="5"/>
  <c r="U19" i="5"/>
  <c r="T19" i="5"/>
  <c r="S19" i="5"/>
  <c r="R19" i="5"/>
  <c r="Q19" i="5"/>
  <c r="P19" i="5"/>
  <c r="O19" i="5"/>
  <c r="N19" i="5"/>
  <c r="M19" i="5"/>
  <c r="L19" i="5"/>
  <c r="K19" i="5"/>
  <c r="J19" i="5"/>
  <c r="I19" i="5"/>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E15" i="5"/>
  <c r="AC15" i="5"/>
  <c r="AD15" i="5" s="1"/>
  <c r="Z15" i="5"/>
  <c r="Y15" i="5"/>
  <c r="X15" i="5"/>
  <c r="W15" i="5"/>
  <c r="V15" i="5"/>
  <c r="U15" i="5"/>
  <c r="T15" i="5"/>
  <c r="S15" i="5"/>
  <c r="R15" i="5"/>
  <c r="Q15" i="5"/>
  <c r="P15" i="5"/>
  <c r="O15" i="5"/>
  <c r="N15" i="5"/>
  <c r="M15" i="5"/>
  <c r="L15" i="5"/>
  <c r="K15" i="5"/>
  <c r="J15" i="5"/>
  <c r="I15" i="5"/>
  <c r="H15" i="5"/>
  <c r="G15" i="5"/>
  <c r="F15" i="5"/>
  <c r="E15" i="5"/>
  <c r="D15" i="5"/>
  <c r="C15" i="5"/>
  <c r="AA15" i="5" s="1"/>
  <c r="AD14" i="5"/>
  <c r="AC14" i="5"/>
  <c r="Z14" i="5"/>
  <c r="Y14" i="5"/>
  <c r="X14" i="5"/>
  <c r="W14" i="5"/>
  <c r="V14" i="5"/>
  <c r="U14" i="5"/>
  <c r="T14" i="5"/>
  <c r="S14" i="5"/>
  <c r="R14" i="5"/>
  <c r="Q14" i="5"/>
  <c r="P14" i="5"/>
  <c r="O14" i="5"/>
  <c r="N14" i="5"/>
  <c r="M14" i="5"/>
  <c r="L14" i="5"/>
  <c r="K14" i="5"/>
  <c r="J14" i="5"/>
  <c r="I14" i="5"/>
  <c r="H14" i="5"/>
  <c r="G14" i="5"/>
  <c r="F14" i="5"/>
  <c r="E14" i="5"/>
  <c r="AE14" i="5" s="1"/>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AD12" i="5" s="1"/>
  <c r="Z12" i="5"/>
  <c r="Y12" i="5"/>
  <c r="X12" i="5"/>
  <c r="W12" i="5"/>
  <c r="V12" i="5"/>
  <c r="U12" i="5"/>
  <c r="T12" i="5"/>
  <c r="S12" i="5"/>
  <c r="R12" i="5"/>
  <c r="Q12" i="5"/>
  <c r="P12" i="5"/>
  <c r="O12" i="5"/>
  <c r="N12" i="5"/>
  <c r="M12" i="5"/>
  <c r="L12" i="5"/>
  <c r="K12" i="5"/>
  <c r="J12" i="5"/>
  <c r="I12" i="5"/>
  <c r="H12" i="5"/>
  <c r="G12" i="5"/>
  <c r="F12" i="5"/>
  <c r="E12" i="5"/>
  <c r="D12" i="5"/>
  <c r="C12" i="5"/>
  <c r="AA12" i="5" s="1"/>
  <c r="AC11" i="5"/>
  <c r="AE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W9" i="5"/>
  <c r="V9" i="5"/>
  <c r="U9" i="5"/>
  <c r="S9" i="5"/>
  <c r="R9" i="5"/>
  <c r="Q9" i="5"/>
  <c r="P9" i="5"/>
  <c r="O9" i="5"/>
  <c r="M9" i="5"/>
  <c r="K9" i="5"/>
  <c r="J9" i="5"/>
  <c r="I9" i="5"/>
  <c r="H9" i="5"/>
  <c r="G9" i="5"/>
  <c r="F9" i="5"/>
  <c r="E9" i="5"/>
  <c r="D9" i="5"/>
  <c r="C9" i="5"/>
  <c r="AA8" i="5"/>
  <c r="Z8" i="5"/>
  <c r="Y8" i="5"/>
  <c r="X8" i="5"/>
  <c r="W8" i="5"/>
  <c r="V8" i="5"/>
  <c r="U8" i="5"/>
  <c r="S8" i="5"/>
  <c r="R8" i="5"/>
  <c r="Q8" i="5"/>
  <c r="M8" i="5"/>
  <c r="L8" i="5"/>
  <c r="K8" i="5"/>
  <c r="J8" i="5"/>
  <c r="I8" i="5"/>
  <c r="G8" i="5"/>
  <c r="F8" i="5"/>
  <c r="E8" i="5"/>
  <c r="AG6" i="5"/>
  <c r="Z6" i="5"/>
  <c r="Z7" i="5" s="1"/>
  <c r="L6" i="5"/>
  <c r="L7" i="5" s="1"/>
  <c r="J6" i="5"/>
  <c r="J7" i="5" s="1"/>
  <c r="I6" i="5"/>
  <c r="I7" i="5" s="1"/>
  <c r="U5" i="5"/>
  <c r="P5" i="5"/>
  <c r="O5" i="5"/>
  <c r="I5" i="5"/>
  <c r="D5" i="5"/>
  <c r="Z4" i="5"/>
  <c r="X4" i="5"/>
  <c r="P4" i="5"/>
  <c r="J4" i="5"/>
  <c r="D4" i="5"/>
  <c r="AF66" i="5" l="1"/>
  <c r="AF49" i="5"/>
  <c r="AF59" i="5"/>
  <c r="AF61" i="5"/>
  <c r="AF47" i="5"/>
  <c r="AF93" i="5"/>
  <c r="U8" i="6"/>
  <c r="E4" i="5"/>
  <c r="Y4" i="5"/>
  <c r="K6" i="5"/>
  <c r="K7" i="5" s="1"/>
  <c r="AA6" i="5"/>
  <c r="AA7" i="5" s="1"/>
  <c r="AD18" i="5"/>
  <c r="AD30" i="5"/>
  <c r="AD42" i="5"/>
  <c r="AD52" i="5"/>
  <c r="AF52" i="5" s="1"/>
  <c r="AD55" i="5"/>
  <c r="AF55" i="5" s="1"/>
  <c r="AD64" i="5"/>
  <c r="AF64" i="5" s="1"/>
  <c r="AD67" i="5"/>
  <c r="AF67" i="5" s="1"/>
  <c r="AE98" i="5"/>
  <c r="G9" i="6"/>
  <c r="AD20" i="6"/>
  <c r="AD36" i="6"/>
  <c r="AD52" i="6"/>
  <c r="AF73" i="5"/>
  <c r="O6" i="7"/>
  <c r="O5" i="7"/>
  <c r="O4" i="7"/>
  <c r="M6" i="7"/>
  <c r="M5" i="7"/>
  <c r="M4" i="7"/>
  <c r="K4" i="5"/>
  <c r="V5" i="5"/>
  <c r="M6" i="5"/>
  <c r="M7" i="5" s="1"/>
  <c r="AD11" i="5"/>
  <c r="AD35" i="5"/>
  <c r="AF81" i="5"/>
  <c r="P9" i="6"/>
  <c r="D9" i="6"/>
  <c r="Q8" i="6"/>
  <c r="E8" i="6"/>
  <c r="AA9" i="6"/>
  <c r="O9" i="6"/>
  <c r="C9" i="6"/>
  <c r="P8" i="6"/>
  <c r="D8" i="6"/>
  <c r="Z9" i="6"/>
  <c r="N9" i="6"/>
  <c r="AA8" i="6"/>
  <c r="O8" i="6"/>
  <c r="C8" i="6"/>
  <c r="Y9" i="6"/>
  <c r="M9" i="6"/>
  <c r="Z8" i="6"/>
  <c r="N8" i="6"/>
  <c r="X9" i="6"/>
  <c r="L9" i="6"/>
  <c r="Y8" i="6"/>
  <c r="M8" i="6"/>
  <c r="Z7" i="6"/>
  <c r="W9" i="6"/>
  <c r="K9" i="6"/>
  <c r="X8" i="6"/>
  <c r="L8" i="6"/>
  <c r="V9" i="6"/>
  <c r="J9" i="6"/>
  <c r="W8" i="6"/>
  <c r="K8" i="6"/>
  <c r="U9" i="6"/>
  <c r="I9" i="6"/>
  <c r="V8" i="6"/>
  <c r="J8" i="6"/>
  <c r="W7" i="6"/>
  <c r="K7" i="6"/>
  <c r="R9" i="6"/>
  <c r="F9" i="6"/>
  <c r="S8" i="6"/>
  <c r="G8" i="6"/>
  <c r="Q9" i="6"/>
  <c r="E9" i="6"/>
  <c r="R8" i="6"/>
  <c r="F8" i="6"/>
  <c r="H9" i="6"/>
  <c r="C6" i="7"/>
  <c r="C7" i="7" s="1"/>
  <c r="C5" i="7"/>
  <c r="C4" i="7"/>
  <c r="AA6" i="7"/>
  <c r="AA7" i="7" s="1"/>
  <c r="AA5" i="7"/>
  <c r="AA4" i="7"/>
  <c r="Y6" i="7"/>
  <c r="Y7" i="7" s="1"/>
  <c r="Y5" i="7"/>
  <c r="Y4" i="7"/>
  <c r="AD23" i="5"/>
  <c r="L4" i="5"/>
  <c r="W5" i="5"/>
  <c r="N6" i="5"/>
  <c r="N7" i="5" s="1"/>
  <c r="D6" i="5"/>
  <c r="D7" i="5" s="1"/>
  <c r="P6" i="5"/>
  <c r="P7" i="5" s="1"/>
  <c r="AE86" i="5"/>
  <c r="T9" i="6"/>
  <c r="AD16" i="6"/>
  <c r="AD32" i="6"/>
  <c r="AD48" i="6"/>
  <c r="J4" i="6"/>
  <c r="J5" i="6"/>
  <c r="V4" i="6"/>
  <c r="V5" i="6"/>
  <c r="L6" i="6"/>
  <c r="L7" i="6" s="1"/>
  <c r="X6" i="6"/>
  <c r="X7" i="6" s="1"/>
  <c r="AD11" i="6"/>
  <c r="AD27" i="6"/>
  <c r="AD43" i="6"/>
  <c r="M6" i="6"/>
  <c r="M7" i="6" s="1"/>
  <c r="M5" i="6"/>
  <c r="Y6" i="6"/>
  <c r="Y7" i="6" s="1"/>
  <c r="Y5" i="6"/>
  <c r="K4" i="6"/>
  <c r="W4" i="6"/>
  <c r="I4" i="6"/>
  <c r="U4" i="6"/>
  <c r="F6" i="6"/>
  <c r="F7" i="6" s="1"/>
  <c r="R6" i="6"/>
  <c r="R7" i="6" s="1"/>
  <c r="C5" i="6"/>
  <c r="O5" i="6"/>
  <c r="AA5" i="6"/>
  <c r="M4" i="5"/>
  <c r="AF50" i="5"/>
  <c r="E6" i="5"/>
  <c r="E7" i="5" s="1"/>
  <c r="E5" i="5"/>
  <c r="AF86" i="5"/>
  <c r="T9" i="5"/>
  <c r="AD20" i="5"/>
  <c r="F5" i="5"/>
  <c r="F6" i="5"/>
  <c r="F7" i="5" s="1"/>
  <c r="F4" i="5"/>
  <c r="R5" i="5"/>
  <c r="R4" i="5"/>
  <c r="R6" i="5"/>
  <c r="R7" i="5" s="1"/>
  <c r="AE71" i="5"/>
  <c r="AF71" i="5" s="1"/>
  <c r="AF78" i="5"/>
  <c r="AE91" i="5"/>
  <c r="AD91" i="5"/>
  <c r="AF102" i="5"/>
  <c r="J7" i="6"/>
  <c r="AD60" i="6"/>
  <c r="D6" i="6"/>
  <c r="D7" i="6" s="1"/>
  <c r="D5" i="6"/>
  <c r="D4" i="6"/>
  <c r="P6" i="6"/>
  <c r="P7" i="6" s="1"/>
  <c r="P5" i="6"/>
  <c r="P4" i="6"/>
  <c r="N6" i="6"/>
  <c r="N7" i="6" s="1"/>
  <c r="AF98" i="5"/>
  <c r="AF65" i="5"/>
  <c r="N4" i="5"/>
  <c r="Y5" i="5"/>
  <c r="AD32" i="5"/>
  <c r="AD44" i="5"/>
  <c r="U6" i="5"/>
  <c r="U7" i="5" s="1"/>
  <c r="G6" i="5"/>
  <c r="G7" i="5" s="1"/>
  <c r="G4" i="5"/>
  <c r="G5" i="5"/>
  <c r="S6" i="5"/>
  <c r="S7" i="5" s="1"/>
  <c r="S4" i="5"/>
  <c r="S5" i="5"/>
  <c r="AD12" i="6"/>
  <c r="AD28" i="6"/>
  <c r="AD44" i="6"/>
  <c r="G6" i="6"/>
  <c r="G7" i="6" s="1"/>
  <c r="G5" i="6"/>
  <c r="G4" i="6"/>
  <c r="S6" i="6"/>
  <c r="S7" i="6" s="1"/>
  <c r="S5" i="6"/>
  <c r="S4" i="6"/>
  <c r="E6" i="6"/>
  <c r="E7" i="6" s="1"/>
  <c r="Q6" i="6"/>
  <c r="Q7" i="6" s="1"/>
  <c r="C6" i="6"/>
  <c r="C7" i="6" s="1"/>
  <c r="O6" i="6"/>
  <c r="O7" i="6" s="1"/>
  <c r="AA6" i="6"/>
  <c r="AA7" i="6" s="1"/>
  <c r="Q6" i="5"/>
  <c r="Q7" i="5" s="1"/>
  <c r="Q5" i="5"/>
  <c r="H5" i="5"/>
  <c r="H4" i="5"/>
  <c r="AD79" i="5"/>
  <c r="AE79" i="5"/>
  <c r="V7" i="6"/>
  <c r="H5" i="6"/>
  <c r="T5" i="6"/>
  <c r="F4" i="6"/>
  <c r="R4" i="6"/>
  <c r="R9" i="7"/>
  <c r="F9" i="7"/>
  <c r="E9" i="7"/>
  <c r="D9" i="7"/>
  <c r="Q9" i="7"/>
  <c r="P9" i="7"/>
  <c r="Q4" i="5"/>
  <c r="C6" i="5"/>
  <c r="C7" i="5" s="1"/>
  <c r="AD17" i="5"/>
  <c r="AD29" i="5"/>
  <c r="AD41" i="5"/>
  <c r="AD48" i="5"/>
  <c r="AF48" i="5" s="1"/>
  <c r="AE48" i="5"/>
  <c r="AD57" i="5"/>
  <c r="AF57" i="5" s="1"/>
  <c r="AE60" i="5"/>
  <c r="AD60" i="5"/>
  <c r="AD69" i="5"/>
  <c r="AF69" i="5" s="1"/>
  <c r="AE72" i="5"/>
  <c r="AD72" i="5"/>
  <c r="AF72" i="5" s="1"/>
  <c r="H8" i="6"/>
  <c r="AF62" i="5"/>
  <c r="W6" i="5"/>
  <c r="W7" i="5" s="1"/>
  <c r="H6" i="5"/>
  <c r="H7" i="5" s="1"/>
  <c r="AD33" i="5"/>
  <c r="AD45" i="5"/>
  <c r="I8" i="6"/>
  <c r="AD24" i="6"/>
  <c r="AD40" i="6"/>
  <c r="AD56" i="6"/>
  <c r="AD68" i="6"/>
  <c r="AD97" i="6"/>
  <c r="T5" i="5"/>
  <c r="T4" i="5"/>
  <c r="T8" i="6"/>
  <c r="AD19" i="6"/>
  <c r="AD35" i="6"/>
  <c r="AD51" i="6"/>
  <c r="AD83" i="5"/>
  <c r="AF83" i="5" s="1"/>
  <c r="AD95" i="5"/>
  <c r="AF95" i="5" s="1"/>
  <c r="I5" i="6"/>
  <c r="U5" i="6"/>
  <c r="H6" i="6"/>
  <c r="H7" i="6" s="1"/>
  <c r="T6" i="6"/>
  <c r="T7" i="6" s="1"/>
  <c r="AD90" i="6"/>
  <c r="AD101" i="6"/>
  <c r="I6" i="7"/>
  <c r="I7" i="7" s="1"/>
  <c r="I4" i="7"/>
  <c r="U6" i="7"/>
  <c r="U7" i="7" s="1"/>
  <c r="U4" i="7"/>
  <c r="G4" i="7"/>
  <c r="G5" i="7"/>
  <c r="S4" i="7"/>
  <c r="S5" i="7"/>
  <c r="L4" i="6"/>
  <c r="X4" i="6"/>
  <c r="I6" i="6"/>
  <c r="I7" i="6" s="1"/>
  <c r="U6" i="6"/>
  <c r="U7" i="6" s="1"/>
  <c r="AD96" i="6"/>
  <c r="Y9" i="7"/>
  <c r="L6" i="7"/>
  <c r="L7" i="7" s="1"/>
  <c r="L4" i="7"/>
  <c r="X6" i="7"/>
  <c r="X7" i="7" s="1"/>
  <c r="X4" i="7"/>
  <c r="J6" i="7"/>
  <c r="J7" i="7" s="1"/>
  <c r="J5" i="7"/>
  <c r="V6" i="7"/>
  <c r="V7" i="7" s="1"/>
  <c r="V5" i="7"/>
  <c r="AD86" i="6"/>
  <c r="D6" i="7"/>
  <c r="D7" i="7" s="1"/>
  <c r="D5" i="7"/>
  <c r="D4" i="7"/>
  <c r="P6" i="7"/>
  <c r="P7" i="7" s="1"/>
  <c r="P5" i="7"/>
  <c r="P4" i="7"/>
  <c r="C4" i="6"/>
  <c r="O4" i="6"/>
  <c r="AA4" i="6"/>
  <c r="AD96" i="5"/>
  <c r="AF96" i="5" s="1"/>
  <c r="N5" i="6"/>
  <c r="Z5" i="6"/>
  <c r="AD84" i="5"/>
  <c r="AF84" i="5" s="1"/>
  <c r="AD89" i="5"/>
  <c r="AF89" i="5" s="1"/>
  <c r="AD101" i="5"/>
  <c r="AF101" i="5" s="1"/>
  <c r="E4" i="6"/>
  <c r="Q4" i="6"/>
  <c r="AD82" i="6"/>
  <c r="AD77" i="5"/>
  <c r="AF77" i="5" s="1"/>
  <c r="AD13" i="5"/>
  <c r="AD16" i="5"/>
  <c r="AD19" i="5"/>
  <c r="AD22" i="5"/>
  <c r="AD25" i="5"/>
  <c r="AD28" i="5"/>
  <c r="AD31" i="5"/>
  <c r="AD34" i="5"/>
  <c r="AD37" i="5"/>
  <c r="AD40" i="5"/>
  <c r="AD43" i="5"/>
  <c r="AD46" i="5"/>
  <c r="AF46" i="5" s="1"/>
  <c r="AE53" i="5"/>
  <c r="AF53" i="5" s="1"/>
  <c r="AD58" i="5"/>
  <c r="AF58" i="5" s="1"/>
  <c r="AE65" i="5"/>
  <c r="AD70" i="5"/>
  <c r="AF70" i="5" s="1"/>
  <c r="AD82" i="5"/>
  <c r="AF82" i="5" s="1"/>
  <c r="AD94" i="5"/>
  <c r="AF94" i="5" s="1"/>
  <c r="AD78" i="6"/>
  <c r="AD88" i="6"/>
  <c r="AD13" i="7"/>
  <c r="AD25" i="7"/>
  <c r="AD37" i="7"/>
  <c r="AD49" i="7"/>
  <c r="AD61" i="7"/>
  <c r="AD73" i="7"/>
  <c r="E5" i="6"/>
  <c r="Q5" i="6"/>
  <c r="AD74" i="6"/>
  <c r="AD83" i="6"/>
  <c r="H4" i="6"/>
  <c r="T4" i="6"/>
  <c r="F5" i="6"/>
  <c r="R5" i="6"/>
  <c r="AD70" i="6"/>
  <c r="AD84" i="6"/>
  <c r="AD21" i="7"/>
  <c r="AD33" i="7"/>
  <c r="AD45" i="7"/>
  <c r="AD57" i="7"/>
  <c r="AD69" i="7"/>
  <c r="F4" i="7"/>
  <c r="F6" i="7"/>
  <c r="F7" i="7" s="1"/>
  <c r="F5" i="7"/>
  <c r="R4" i="7"/>
  <c r="R6" i="7"/>
  <c r="R7" i="7" s="1"/>
  <c r="R5" i="7"/>
  <c r="C8" i="7"/>
  <c r="O8" i="7"/>
  <c r="AA8" i="7"/>
  <c r="N9" i="7"/>
  <c r="Z9" i="7"/>
  <c r="C5" i="10"/>
  <c r="D4" i="10"/>
  <c r="C37" i="10"/>
  <c r="D36" i="10"/>
  <c r="D60" i="10"/>
  <c r="C79" i="10"/>
  <c r="D78" i="10"/>
  <c r="D87" i="10"/>
  <c r="C88" i="10"/>
  <c r="C95" i="10"/>
  <c r="D105" i="10"/>
  <c r="C106" i="10"/>
  <c r="C114" i="10"/>
  <c r="D153" i="10"/>
  <c r="C154" i="10"/>
  <c r="D183" i="10"/>
  <c r="C184" i="10"/>
  <c r="C183" i="10"/>
  <c r="E7" i="7"/>
  <c r="Q7" i="7"/>
  <c r="D8" i="7"/>
  <c r="P8" i="7"/>
  <c r="C9" i="7"/>
  <c r="O9" i="7"/>
  <c r="AA9" i="7"/>
  <c r="C10" i="9"/>
  <c r="C16" i="9"/>
  <c r="C67" i="9"/>
  <c r="C75" i="9"/>
  <c r="C83" i="9"/>
  <c r="C91" i="9"/>
  <c r="C99" i="9"/>
  <c r="C107" i="9"/>
  <c r="C115" i="9"/>
  <c r="C123" i="9"/>
  <c r="C131" i="9"/>
  <c r="C139" i="9"/>
  <c r="C147" i="9"/>
  <c r="C155" i="9"/>
  <c r="C163" i="9"/>
  <c r="C171" i="9"/>
  <c r="C179" i="9"/>
  <c r="C187" i="9"/>
  <c r="C195" i="9"/>
  <c r="C203" i="9"/>
  <c r="C211" i="9"/>
  <c r="C219" i="9"/>
  <c r="C227" i="9"/>
  <c r="C235" i="9"/>
  <c r="C243" i="9"/>
  <c r="C258" i="9"/>
  <c r="C273" i="9"/>
  <c r="C295" i="9"/>
  <c r="C11" i="10"/>
  <c r="D10" i="10"/>
  <c r="C43" i="10"/>
  <c r="C78" i="10"/>
  <c r="C97" i="10"/>
  <c r="D96" i="10"/>
  <c r="D115" i="10"/>
  <c r="C116" i="10"/>
  <c r="D135" i="10"/>
  <c r="C136" i="10"/>
  <c r="C145" i="10"/>
  <c r="D144" i="10"/>
  <c r="D163" i="10"/>
  <c r="C164" i="10"/>
  <c r="C175" i="10"/>
  <c r="D174" i="10"/>
  <c r="C205" i="10"/>
  <c r="D204" i="10"/>
  <c r="D215" i="10"/>
  <c r="C216" i="10"/>
  <c r="D225" i="10"/>
  <c r="C226" i="10"/>
  <c r="C247" i="10"/>
  <c r="D246" i="10"/>
  <c r="C277" i="10"/>
  <c r="D276" i="10"/>
  <c r="D287" i="10"/>
  <c r="C288" i="10"/>
  <c r="C38" i="10"/>
  <c r="D37" i="10"/>
  <c r="C45" i="10"/>
  <c r="D44" i="10"/>
  <c r="D62" i="10"/>
  <c r="C62" i="10"/>
  <c r="D79" i="10"/>
  <c r="C80" i="10"/>
  <c r="C89" i="10"/>
  <c r="D88" i="10"/>
  <c r="D97" i="10"/>
  <c r="C98" i="10"/>
  <c r="D107" i="10"/>
  <c r="C108" i="10"/>
  <c r="C127" i="10"/>
  <c r="D126" i="10"/>
  <c r="D145" i="10"/>
  <c r="C146" i="10"/>
  <c r="D155" i="10"/>
  <c r="C156" i="10"/>
  <c r="D195" i="10"/>
  <c r="C196" i="10"/>
  <c r="C195" i="10"/>
  <c r="C5" i="9"/>
  <c r="C11" i="9"/>
  <c r="C17" i="9"/>
  <c r="C23" i="9"/>
  <c r="C29" i="9"/>
  <c r="C35" i="9"/>
  <c r="C41" i="9"/>
  <c r="C47" i="9"/>
  <c r="C53" i="9"/>
  <c r="D5" i="10"/>
  <c r="C17" i="10"/>
  <c r="C16" i="10"/>
  <c r="D21" i="10"/>
  <c r="C27" i="10"/>
  <c r="C33" i="10"/>
  <c r="C32" i="10"/>
  <c r="C44" i="10"/>
  <c r="D71" i="10"/>
  <c r="C72" i="10"/>
  <c r="C107" i="10"/>
  <c r="D117" i="10"/>
  <c r="C118" i="10"/>
  <c r="C126" i="10"/>
  <c r="C155" i="10"/>
  <c r="D165" i="10"/>
  <c r="C166" i="10"/>
  <c r="C187" i="10"/>
  <c r="D186" i="10"/>
  <c r="C217" i="10"/>
  <c r="D216" i="10"/>
  <c r="D227" i="10"/>
  <c r="C228" i="10"/>
  <c r="D237" i="10"/>
  <c r="C238" i="10"/>
  <c r="C259" i="10"/>
  <c r="D258" i="10"/>
  <c r="C289" i="10"/>
  <c r="D288" i="10"/>
  <c r="D299" i="10"/>
  <c r="C300" i="10"/>
  <c r="C60" i="9"/>
  <c r="C251" i="9"/>
  <c r="C288" i="9"/>
  <c r="D11" i="10"/>
  <c r="D16" i="10"/>
  <c r="D27" i="10"/>
  <c r="D32" i="10"/>
  <c r="D38" i="10"/>
  <c r="C63" i="10"/>
  <c r="C71" i="10"/>
  <c r="C91" i="10"/>
  <c r="D90" i="10"/>
  <c r="D99" i="10"/>
  <c r="C100" i="10"/>
  <c r="C109" i="10"/>
  <c r="D108" i="10"/>
  <c r="D127" i="10"/>
  <c r="C128" i="10"/>
  <c r="D147" i="10"/>
  <c r="C148" i="10"/>
  <c r="C157" i="10"/>
  <c r="D156" i="10"/>
  <c r="C186" i="10"/>
  <c r="D207" i="10"/>
  <c r="C208" i="10"/>
  <c r="C207" i="10"/>
  <c r="C227" i="10"/>
  <c r="C258" i="10"/>
  <c r="C299" i="10"/>
  <c r="H8" i="7"/>
  <c r="T8" i="7"/>
  <c r="G9" i="7"/>
  <c r="S9" i="7"/>
  <c r="C266" i="9"/>
  <c r="D6" i="10"/>
  <c r="D22" i="10"/>
  <c r="D45" i="10"/>
  <c r="C65" i="10"/>
  <c r="D64" i="10"/>
  <c r="C73" i="10"/>
  <c r="D72" i="10"/>
  <c r="C90" i="10"/>
  <c r="C99" i="10"/>
  <c r="D109" i="10"/>
  <c r="C110" i="10"/>
  <c r="D119" i="10"/>
  <c r="C120" i="10"/>
  <c r="C139" i="10"/>
  <c r="D138" i="10"/>
  <c r="C147" i="10"/>
  <c r="D157" i="10"/>
  <c r="C158" i="10"/>
  <c r="D167" i="10"/>
  <c r="C168" i="10"/>
  <c r="D177" i="10"/>
  <c r="C178" i="10"/>
  <c r="C199" i="10"/>
  <c r="D198" i="10"/>
  <c r="C229" i="10"/>
  <c r="D228" i="10"/>
  <c r="D239" i="10"/>
  <c r="C240" i="10"/>
  <c r="C271" i="10"/>
  <c r="D270" i="10"/>
  <c r="C301" i="10"/>
  <c r="D300" i="10"/>
  <c r="I8" i="7"/>
  <c r="U8" i="7"/>
  <c r="H9" i="7"/>
  <c r="T9" i="7"/>
  <c r="C261" i="9"/>
  <c r="D17" i="10"/>
  <c r="C24" i="10"/>
  <c r="D23" i="10"/>
  <c r="C59" i="10"/>
  <c r="C64" i="10"/>
  <c r="D73" i="10"/>
  <c r="C74" i="10"/>
  <c r="C82" i="10"/>
  <c r="D91" i="10"/>
  <c r="C92" i="10"/>
  <c r="C119" i="10"/>
  <c r="D129" i="10"/>
  <c r="C130" i="10"/>
  <c r="C138" i="10"/>
  <c r="C167" i="10"/>
  <c r="C198" i="10"/>
  <c r="D219" i="10"/>
  <c r="C220" i="10"/>
  <c r="C219" i="10"/>
  <c r="C239" i="10"/>
  <c r="C270" i="10"/>
  <c r="K7" i="7"/>
  <c r="W7" i="7"/>
  <c r="J8" i="7"/>
  <c r="V8" i="7"/>
  <c r="I9" i="7"/>
  <c r="U9" i="7"/>
  <c r="C71" i="9"/>
  <c r="C79" i="9"/>
  <c r="C87" i="9"/>
  <c r="C95" i="9"/>
  <c r="C103" i="9"/>
  <c r="C111" i="9"/>
  <c r="C119" i="9"/>
  <c r="C127" i="9"/>
  <c r="C135" i="9"/>
  <c r="C143" i="9"/>
  <c r="C151" i="9"/>
  <c r="C159" i="9"/>
  <c r="C167" i="9"/>
  <c r="C175" i="9"/>
  <c r="C183" i="9"/>
  <c r="C191" i="9"/>
  <c r="C199" i="9"/>
  <c r="C207" i="9"/>
  <c r="C215" i="9"/>
  <c r="C223" i="9"/>
  <c r="C231" i="9"/>
  <c r="C239" i="9"/>
  <c r="C247" i="9"/>
  <c r="C269" i="9"/>
  <c r="C284" i="9"/>
  <c r="C35" i="10"/>
  <c r="D83" i="10"/>
  <c r="C84" i="10"/>
  <c r="D111" i="10"/>
  <c r="C112" i="10"/>
  <c r="C121" i="10"/>
  <c r="D120" i="10"/>
  <c r="D139" i="10"/>
  <c r="C140" i="10"/>
  <c r="D159" i="10"/>
  <c r="C160" i="10"/>
  <c r="C169" i="10"/>
  <c r="D168" i="10"/>
  <c r="D179" i="10"/>
  <c r="C180" i="10"/>
  <c r="D189" i="10"/>
  <c r="C190" i="10"/>
  <c r="C211" i="10"/>
  <c r="D210" i="10"/>
  <c r="C241" i="10"/>
  <c r="D240" i="10"/>
  <c r="D251" i="10"/>
  <c r="C252" i="10"/>
  <c r="C283" i="10"/>
  <c r="D282" i="10"/>
  <c r="K8" i="7"/>
  <c r="W8" i="7"/>
  <c r="J9" i="7"/>
  <c r="V9" i="7"/>
  <c r="C5" i="8"/>
  <c r="C9" i="8"/>
  <c r="C13" i="8"/>
  <c r="C17" i="8"/>
  <c r="C21" i="8"/>
  <c r="C25" i="8"/>
  <c r="C230" i="9"/>
  <c r="C238" i="9"/>
  <c r="C246" i="9"/>
  <c r="C268" i="9"/>
  <c r="C283" i="9"/>
  <c r="C290" i="9"/>
  <c r="C40" i="10"/>
  <c r="C54" i="10"/>
  <c r="C67" i="10"/>
  <c r="D66" i="10"/>
  <c r="D75" i="10"/>
  <c r="C76" i="10"/>
  <c r="C83" i="10"/>
  <c r="C103" i="10"/>
  <c r="D102" i="10"/>
  <c r="C111" i="10"/>
  <c r="D121" i="10"/>
  <c r="C122" i="10"/>
  <c r="D131" i="10"/>
  <c r="C132" i="10"/>
  <c r="C151" i="10"/>
  <c r="D150" i="10"/>
  <c r="C159" i="10"/>
  <c r="D169" i="10"/>
  <c r="C170" i="10"/>
  <c r="C179" i="10"/>
  <c r="C210" i="10"/>
  <c r="D231" i="10"/>
  <c r="C232" i="10"/>
  <c r="C231" i="10"/>
  <c r="C251" i="10"/>
  <c r="M7" i="7"/>
  <c r="L8" i="7"/>
  <c r="X8" i="7"/>
  <c r="K9" i="7"/>
  <c r="W9" i="7"/>
  <c r="C285" i="9"/>
  <c r="C66" i="10"/>
  <c r="C85" i="10"/>
  <c r="D84" i="10"/>
  <c r="C102" i="10"/>
  <c r="C131" i="10"/>
  <c r="D141" i="10"/>
  <c r="C142" i="10"/>
  <c r="C181" i="10"/>
  <c r="D180" i="10"/>
  <c r="D191" i="10"/>
  <c r="C192" i="10"/>
  <c r="D201" i="10"/>
  <c r="C202" i="10"/>
  <c r="C223" i="10"/>
  <c r="D222" i="10"/>
  <c r="C253" i="10"/>
  <c r="D252" i="10"/>
  <c r="D263" i="10"/>
  <c r="C264" i="10"/>
  <c r="C295" i="10"/>
  <c r="D294" i="10"/>
  <c r="N7" i="7"/>
  <c r="Z7" i="7"/>
  <c r="M8" i="7"/>
  <c r="Y8" i="7"/>
  <c r="L9" i="7"/>
  <c r="X9" i="7"/>
  <c r="C42" i="10"/>
  <c r="D41" i="10"/>
  <c r="D67" i="10"/>
  <c r="C68" i="10"/>
  <c r="C77" i="10"/>
  <c r="D76" i="10"/>
  <c r="D85" i="10"/>
  <c r="C86" i="10"/>
  <c r="D103" i="10"/>
  <c r="C104" i="10"/>
  <c r="D123" i="10"/>
  <c r="C124" i="10"/>
  <c r="C133" i="10"/>
  <c r="D132" i="10"/>
  <c r="D151" i="10"/>
  <c r="C152" i="10"/>
  <c r="D171" i="10"/>
  <c r="C172" i="10"/>
  <c r="C171" i="10"/>
  <c r="C191" i="10"/>
  <c r="C222" i="10"/>
  <c r="D243" i="10"/>
  <c r="C244" i="10"/>
  <c r="C243" i="10"/>
  <c r="C263" i="10"/>
  <c r="C294" i="10"/>
  <c r="O7" i="7"/>
  <c r="N8" i="7"/>
  <c r="Z8" i="7"/>
  <c r="M9" i="7"/>
  <c r="C6" i="8"/>
  <c r="C10" i="8"/>
  <c r="C14" i="8"/>
  <c r="C18" i="8"/>
  <c r="C22" i="8"/>
  <c r="C64" i="9"/>
  <c r="C184" i="9"/>
  <c r="C192" i="9"/>
  <c r="C200" i="9"/>
  <c r="C208" i="9"/>
  <c r="C216" i="9"/>
  <c r="D95" i="10"/>
  <c r="C96" i="10"/>
  <c r="C115" i="10"/>
  <c r="D114" i="10"/>
  <c r="D133" i="10"/>
  <c r="C134" i="10"/>
  <c r="D143" i="10"/>
  <c r="C144" i="10"/>
  <c r="C163" i="10"/>
  <c r="D162" i="10"/>
  <c r="C193" i="10"/>
  <c r="D192" i="10"/>
  <c r="D203" i="10"/>
  <c r="C204" i="10"/>
  <c r="D213" i="10"/>
  <c r="C214" i="10"/>
  <c r="C235" i="10"/>
  <c r="D234" i="10"/>
  <c r="C265" i="10"/>
  <c r="D264" i="10"/>
  <c r="D275" i="10"/>
  <c r="C276" i="10"/>
  <c r="C101" i="10"/>
  <c r="C113" i="10"/>
  <c r="C125" i="10"/>
  <c r="C137" i="10"/>
  <c r="C149" i="10"/>
  <c r="C161" i="10"/>
  <c r="C173" i="10"/>
  <c r="C185" i="10"/>
  <c r="C197" i="10"/>
  <c r="C209" i="10"/>
  <c r="C221" i="10"/>
  <c r="C233" i="10"/>
  <c r="C245" i="10"/>
  <c r="C250" i="10"/>
  <c r="C257" i="10"/>
  <c r="C262" i="10"/>
  <c r="C269" i="10"/>
  <c r="C274" i="10"/>
  <c r="C281" i="10"/>
  <c r="C286" i="10"/>
  <c r="C293" i="10"/>
  <c r="C298" i="10"/>
  <c r="C303" i="9"/>
  <c r="C41" i="10"/>
  <c r="D100" i="10"/>
  <c r="D112" i="10"/>
  <c r="D124" i="10"/>
  <c r="D136" i="10"/>
  <c r="D148" i="10"/>
  <c r="D160" i="10"/>
  <c r="D172" i="10"/>
  <c r="D184" i="10"/>
  <c r="D196" i="10"/>
  <c r="D208" i="10"/>
  <c r="D220" i="10"/>
  <c r="D232" i="10"/>
  <c r="D244" i="10"/>
  <c r="D256" i="10"/>
  <c r="D268" i="10"/>
  <c r="D280" i="10"/>
  <c r="D292" i="10"/>
  <c r="C279" i="9"/>
  <c r="C29" i="10"/>
  <c r="C57" i="10"/>
  <c r="D175" i="10"/>
  <c r="C176" i="10"/>
  <c r="D187" i="10"/>
  <c r="C188" i="10"/>
  <c r="D199" i="10"/>
  <c r="C200" i="10"/>
  <c r="D211" i="10"/>
  <c r="C212" i="10"/>
  <c r="D223" i="10"/>
  <c r="C224" i="10"/>
  <c r="D235" i="10"/>
  <c r="C236" i="10"/>
  <c r="D247" i="10"/>
  <c r="C248" i="10"/>
  <c r="D259" i="10"/>
  <c r="C260" i="10"/>
  <c r="D271" i="10"/>
  <c r="C272" i="10"/>
  <c r="D283" i="10"/>
  <c r="C284" i="10"/>
  <c r="D295" i="10"/>
  <c r="C296" i="10"/>
  <c r="C21" i="10"/>
  <c r="C53" i="10"/>
  <c r="C69" i="10"/>
  <c r="C81" i="10"/>
  <c r="C93" i="10"/>
  <c r="C105" i="10"/>
  <c r="C117" i="10"/>
  <c r="C129" i="10"/>
  <c r="C141" i="10"/>
  <c r="C153" i="10"/>
  <c r="C165" i="10"/>
  <c r="C177" i="10"/>
  <c r="C182" i="10"/>
  <c r="C189" i="10"/>
  <c r="C194" i="10"/>
  <c r="C201" i="10"/>
  <c r="C206" i="10"/>
  <c r="C213" i="10"/>
  <c r="C218" i="10"/>
  <c r="C225" i="10"/>
  <c r="C230" i="10"/>
  <c r="C237" i="10"/>
  <c r="C242" i="10"/>
  <c r="C249" i="10"/>
  <c r="C254" i="10"/>
  <c r="C261" i="10"/>
  <c r="C266" i="10"/>
  <c r="C273" i="10"/>
  <c r="C278" i="10"/>
  <c r="C285" i="10"/>
  <c r="C290" i="10"/>
  <c r="C297" i="10"/>
  <c r="C255" i="9"/>
  <c r="C13" i="10"/>
  <c r="D20" i="10"/>
  <c r="C49" i="10"/>
  <c r="D52" i="10"/>
  <c r="D68" i="10"/>
  <c r="D80" i="10"/>
  <c r="D92" i="10"/>
  <c r="D104" i="10"/>
  <c r="D116" i="10"/>
  <c r="D128" i="10"/>
  <c r="D140" i="10"/>
  <c r="D152" i="10"/>
  <c r="D164" i="10"/>
  <c r="D176" i="10"/>
  <c r="D188" i="10"/>
  <c r="D200" i="10"/>
  <c r="D212" i="10"/>
  <c r="D224" i="10"/>
  <c r="D236" i="10"/>
  <c r="D248" i="10"/>
  <c r="D260" i="10"/>
  <c r="D272" i="10"/>
  <c r="D284" i="10"/>
  <c r="D296" i="10"/>
  <c r="D255" i="10"/>
  <c r="C256" i="10"/>
  <c r="D267" i="10"/>
  <c r="C268" i="10"/>
  <c r="D279" i="10"/>
  <c r="C280" i="10"/>
  <c r="D291" i="10"/>
  <c r="C292" i="10"/>
  <c r="C255" i="10"/>
  <c r="C267" i="10"/>
  <c r="C279" i="10"/>
  <c r="C291" i="10"/>
  <c r="AF60" i="5" l="1"/>
  <c r="AF91" i="5"/>
  <c r="AF79" i="5"/>
</calcChain>
</file>

<file path=xl/sharedStrings.xml><?xml version="1.0" encoding="utf-8"?>
<sst xmlns="http://schemas.openxmlformats.org/spreadsheetml/2006/main" count="1541" uniqueCount="606">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</sst>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A9E1-4895-9991-8695783E743B}"/>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A9E1-4895-9991-8695783E743B}"/>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A9E1-4895-9991-8695783E743B}"/>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A9E1-4895-9991-8695783E743B}"/>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A9E1-4895-9991-8695783E743B}"/>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A9E1-4895-9991-8695783E743B}"/>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A9E1-4895-9991-8695783E743B}"/>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A9E1-4895-9991-8695783E743B}"/>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A9E1-4895-9991-8695783E743B}"/>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pt idx="204">
                  <c:v>44927</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0.16292970300000001</c:v>
                </c:pt>
                <c:pt idx="90">
                  <c:v>0.24694941000000001</c:v>
                </c:pt>
                <c:pt idx="91">
                  <c:v>2.1333363310000002</c:v>
                </c:pt>
                <c:pt idx="92">
                  <c:v>1.0862311849999999</c:v>
                </c:pt>
                <c:pt idx="93">
                  <c:v>1.3041024139999999</c:v>
                </c:pt>
                <c:pt idx="94">
                  <c:v>2.8225685619999998</c:v>
                </c:pt>
                <c:pt idx="95">
                  <c:v>2.8445522369999998</c:v>
                </c:pt>
                <c:pt idx="96">
                  <c:v>3.5064691080000001</c:v>
                </c:pt>
                <c:pt idx="97">
                  <c:v>3.2086091410000002</c:v>
                </c:pt>
                <c:pt idx="98">
                  <c:v>3.5511128630000002</c:v>
                </c:pt>
                <c:pt idx="99">
                  <c:v>2.480862503</c:v>
                </c:pt>
                <c:pt idx="100">
                  <c:v>3.3721237510000002</c:v>
                </c:pt>
                <c:pt idx="101">
                  <c:v>2.800072524</c:v>
                </c:pt>
                <c:pt idx="102">
                  <c:v>0.74535176199999997</c:v>
                </c:pt>
                <c:pt idx="103">
                  <c:v>0.81394493599999995</c:v>
                </c:pt>
                <c:pt idx="104">
                  <c:v>-0.26216029099999999</c:v>
                </c:pt>
                <c:pt idx="105">
                  <c:v>-1.72769715</c:v>
                </c:pt>
                <c:pt idx="106">
                  <c:v>-1.4228352689999999</c:v>
                </c:pt>
                <c:pt idx="107">
                  <c:v>-1.4381442820000001</c:v>
                </c:pt>
                <c:pt idx="108">
                  <c:v>-0.68135035300000002</c:v>
                </c:pt>
                <c:pt idx="109">
                  <c:v>-0.84367141400000001</c:v>
                </c:pt>
                <c:pt idx="110">
                  <c:v>-2.7359675999999999E-2</c:v>
                </c:pt>
                <c:pt idx="111">
                  <c:v>0.32575153600000001</c:v>
                </c:pt>
                <c:pt idx="112">
                  <c:v>-0.43534105899999997</c:v>
                </c:pt>
                <c:pt idx="113">
                  <c:v>2.6653641509999999</c:v>
                </c:pt>
                <c:pt idx="114">
                  <c:v>2.7605027889999998</c:v>
                </c:pt>
                <c:pt idx="115">
                  <c:v>2.2407585220000001</c:v>
                </c:pt>
                <c:pt idx="116">
                  <c:v>3.2009074239999999</c:v>
                </c:pt>
                <c:pt idx="117">
                  <c:v>2.2261224230000001</c:v>
                </c:pt>
                <c:pt idx="118">
                  <c:v>0.98598502099999996</c:v>
                </c:pt>
                <c:pt idx="119">
                  <c:v>-0.139929106</c:v>
                </c:pt>
                <c:pt idx="120">
                  <c:v>-1.4430394929999999</c:v>
                </c:pt>
                <c:pt idx="121">
                  <c:v>-1.9999037799999999</c:v>
                </c:pt>
                <c:pt idx="122">
                  <c:v>-0.46307031700000001</c:v>
                </c:pt>
                <c:pt idx="123">
                  <c:v>0.95161777299999994</c:v>
                </c:pt>
                <c:pt idx="124">
                  <c:v>1.580458812</c:v>
                </c:pt>
                <c:pt idx="125">
                  <c:v>1.472043121</c:v>
                </c:pt>
                <c:pt idx="126">
                  <c:v>1.3463781669999999</c:v>
                </c:pt>
                <c:pt idx="127">
                  <c:v>1.3270538169999999</c:v>
                </c:pt>
                <c:pt idx="128">
                  <c:v>2.1501017939999998</c:v>
                </c:pt>
                <c:pt idx="129">
                  <c:v>2.833317412</c:v>
                </c:pt>
                <c:pt idx="130">
                  <c:v>2.1461017080000002</c:v>
                </c:pt>
                <c:pt idx="131">
                  <c:v>2.4697951859999998</c:v>
                </c:pt>
                <c:pt idx="132">
                  <c:v>1.1738321869999999</c:v>
                </c:pt>
                <c:pt idx="133">
                  <c:v>0.95255277299999996</c:v>
                </c:pt>
                <c:pt idx="134">
                  <c:v>1.7194826459999999</c:v>
                </c:pt>
                <c:pt idx="135">
                  <c:v>2.1275634700000001</c:v>
                </c:pt>
                <c:pt idx="136">
                  <c:v>2.5024919130000001</c:v>
                </c:pt>
                <c:pt idx="137">
                  <c:v>2.1382703670000001</c:v>
                </c:pt>
                <c:pt idx="138">
                  <c:v>1.5051200419999999</c:v>
                </c:pt>
                <c:pt idx="139">
                  <c:v>0.28856904999999999</c:v>
                </c:pt>
                <c:pt idx="140">
                  <c:v>1.4645123980000001</c:v>
                </c:pt>
                <c:pt idx="141">
                  <c:v>1.9766540610000001</c:v>
                </c:pt>
                <c:pt idx="142">
                  <c:v>1.8513549250000001</c:v>
                </c:pt>
                <c:pt idx="143">
                  <c:v>1.501730765</c:v>
                </c:pt>
                <c:pt idx="144">
                  <c:v>0.58931140299999996</c:v>
                </c:pt>
                <c:pt idx="145">
                  <c:v>0.28826737600000002</c:v>
                </c:pt>
                <c:pt idx="146">
                  <c:v>-0.34125048099999999</c:v>
                </c:pt>
                <c:pt idx="147">
                  <c:v>-1.042551395</c:v>
                </c:pt>
                <c:pt idx="148">
                  <c:v>-3.8985986060000002</c:v>
                </c:pt>
                <c:pt idx="149">
                  <c:v>-8.8440404990000001</c:v>
                </c:pt>
                <c:pt idx="150">
                  <c:v>-6.5174482669999998</c:v>
                </c:pt>
                <c:pt idx="151">
                  <c:v>-5.3843345280000001</c:v>
                </c:pt>
                <c:pt idx="152">
                  <c:v>-1.78662981</c:v>
                </c:pt>
                <c:pt idx="153">
                  <c:v>4.2570408720000001</c:v>
                </c:pt>
                <c:pt idx="154">
                  <c:v>3.487585261</c:v>
                </c:pt>
                <c:pt idx="155">
                  <c:v>5.4110123650000004</c:v>
                </c:pt>
                <c:pt idx="156">
                  <c:v>3.2639832370000001</c:v>
                </c:pt>
                <c:pt idx="157">
                  <c:v>1.11434415</c:v>
                </c:pt>
                <c:pt idx="158">
                  <c:v>-0.94323783900000002</c:v>
                </c:pt>
                <c:pt idx="159">
                  <c:v>-0.343511701</c:v>
                </c:pt>
                <c:pt idx="160">
                  <c:v>0.33173177300000001</c:v>
                </c:pt>
                <c:pt idx="161">
                  <c:v>2.8058835210000002</c:v>
                </c:pt>
                <c:pt idx="162">
                  <c:v>2.7643322640000001</c:v>
                </c:pt>
                <c:pt idx="163">
                  <c:v>-5.4752979E-2</c:v>
                </c:pt>
                <c:pt idx="164">
                  <c:v>8.2067000000000008E-3</c:v>
                </c:pt>
                <c:pt idx="165">
                  <c:v>6.79307E-3</c:v>
                </c:pt>
                <c:pt idx="166">
                  <c:v>1.8422019279999999</c:v>
                </c:pt>
                <c:pt idx="167">
                  <c:v>3.2068976149999999</c:v>
                </c:pt>
                <c:pt idx="168">
                  <c:v>3.151463466</c:v>
                </c:pt>
                <c:pt idx="169">
                  <c:v>2.5748770300000001</c:v>
                </c:pt>
                <c:pt idx="170">
                  <c:v>-0.175430213</c:v>
                </c:pt>
                <c:pt idx="171">
                  <c:v>-1.0417421899999999</c:v>
                </c:pt>
                <c:pt idx="172">
                  <c:v>-0.459922689</c:v>
                </c:pt>
                <c:pt idx="173">
                  <c:v>0.267122366</c:v>
                </c:pt>
                <c:pt idx="174">
                  <c:v>2.2488488470000001</c:v>
                </c:pt>
                <c:pt idx="175">
                  <c:v>2.263318012</c:v>
                </c:pt>
                <c:pt idx="176">
                  <c:v>1.622617988</c:v>
                </c:pt>
                <c:pt idx="177">
                  <c:v>0.81236666700000004</c:v>
                </c:pt>
                <c:pt idx="178">
                  <c:v>0.51548996599999997</c:v>
                </c:pt>
                <c:pt idx="179">
                  <c:v>0.61652857900000002</c:v>
                </c:pt>
                <c:pt idx="180">
                  <c:v>0.93834408199999997</c:v>
                </c:pt>
                <c:pt idx="181">
                  <c:v>1.0123043279999999</c:v>
                </c:pt>
                <c:pt idx="182">
                  <c:v>1.5089096550000001</c:v>
                </c:pt>
                <c:pt idx="183">
                  <c:v>2.173377281</c:v>
                </c:pt>
                <c:pt idx="184">
                  <c:v>2.1372811010000001</c:v>
                </c:pt>
                <c:pt idx="185">
                  <c:v>1.4169078209999999</c:v>
                </c:pt>
                <c:pt idx="186">
                  <c:v>1.3617493469999999</c:v>
                </c:pt>
                <c:pt idx="187">
                  <c:v>1.164516E-2</c:v>
                </c:pt>
                <c:pt idx="188">
                  <c:v>-0.23869598</c:v>
                </c:pt>
                <c:pt idx="189">
                  <c:v>-0.115361675</c:v>
                </c:pt>
                <c:pt idx="190">
                  <c:v>-0.108432086</c:v>
                </c:pt>
                <c:pt idx="191">
                  <c:v>0.63580583300000004</c:v>
                </c:pt>
                <c:pt idx="192">
                  <c:v>-1.9945432780000001</c:v>
                </c:pt>
                <c:pt idx="193">
                  <c:v>-1.799441029</c:v>
                </c:pt>
                <c:pt idx="194">
                  <c:v>-9.8824007989999991</c:v>
                </c:pt>
                <c:pt idx="195">
                  <c:v>-5.0316907960000004</c:v>
                </c:pt>
                <c:pt idx="196">
                  <c:v>-0.52842753499999995</c:v>
                </c:pt>
                <c:pt idx="197">
                  <c:v>-1.0937626549999999</c:v>
                </c:pt>
                <c:pt idx="198">
                  <c:v>7.8196382680000003</c:v>
                </c:pt>
                <c:pt idx="199">
                  <c:v>1.7069413250000001</c:v>
                </c:pt>
                <c:pt idx="200">
                  <c:v>0.91566553699999997</c:v>
                </c:pt>
                <c:pt idx="201">
                  <c:v>0.63336725800000004</c:v>
                </c:pt>
                <c:pt idx="202">
                  <c:v>1.4351155209999999</c:v>
                </c:pt>
                <c:pt idx="203">
                  <c:v>1.5237209810000001</c:v>
                </c:pt>
                <c:pt idx="204">
                  <c:v>0.60470879099999997</c:v>
                </c:pt>
              </c:numCache>
            </c:numRef>
          </c:val>
          <c:smooth val="0"/>
          <c:extLst>
            <c:ext xmlns:c16="http://schemas.microsoft.com/office/drawing/2014/chart" uri="{C3380CC4-5D6E-409C-BE32-E72D297353CC}">
              <c16:uniqueId val="{00000000-FE29-4603-9F2A-B66C662F376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pt idx="204">
                  <c:v>44927</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0.16292970300000001</c:v>
                </c:pt>
                <c:pt idx="90">
                  <c:v>0.24694941000000001</c:v>
                </c:pt>
                <c:pt idx="91">
                  <c:v>2.1333363310000002</c:v>
                </c:pt>
                <c:pt idx="92">
                  <c:v>1.0862311849999999</c:v>
                </c:pt>
                <c:pt idx="93">
                  <c:v>1.3041024139999999</c:v>
                </c:pt>
                <c:pt idx="94">
                  <c:v>2.8225685619999998</c:v>
                </c:pt>
                <c:pt idx="95">
                  <c:v>2.8445522369999998</c:v>
                </c:pt>
                <c:pt idx="96">
                  <c:v>3.5064691080000001</c:v>
                </c:pt>
                <c:pt idx="97">
                  <c:v>3.2086091410000002</c:v>
                </c:pt>
                <c:pt idx="98">
                  <c:v>3.5511128630000002</c:v>
                </c:pt>
                <c:pt idx="99">
                  <c:v>2.480862503</c:v>
                </c:pt>
                <c:pt idx="100">
                  <c:v>3.3721237510000002</c:v>
                </c:pt>
                <c:pt idx="101">
                  <c:v>2.800072524</c:v>
                </c:pt>
                <c:pt idx="102">
                  <c:v>0.74535176199999997</c:v>
                </c:pt>
                <c:pt idx="103">
                  <c:v>0.81394493599999995</c:v>
                </c:pt>
                <c:pt idx="104">
                  <c:v>-0.26216029099999999</c:v>
                </c:pt>
                <c:pt idx="105">
                  <c:v>-1.72769715</c:v>
                </c:pt>
                <c:pt idx="106">
                  <c:v>-1.4228352689999999</c:v>
                </c:pt>
                <c:pt idx="107">
                  <c:v>-1.4381442820000001</c:v>
                </c:pt>
                <c:pt idx="108">
                  <c:v>-0.68135035300000002</c:v>
                </c:pt>
                <c:pt idx="109">
                  <c:v>-0.84367141400000001</c:v>
                </c:pt>
                <c:pt idx="110">
                  <c:v>-2.7359675999999999E-2</c:v>
                </c:pt>
                <c:pt idx="111">
                  <c:v>0.32575153600000001</c:v>
                </c:pt>
                <c:pt idx="112">
                  <c:v>-0.43534105899999997</c:v>
                </c:pt>
                <c:pt idx="113">
                  <c:v>2.6653641509999999</c:v>
                </c:pt>
                <c:pt idx="114">
                  <c:v>2.7605027889999998</c:v>
                </c:pt>
                <c:pt idx="115">
                  <c:v>2.2407585220000001</c:v>
                </c:pt>
                <c:pt idx="116">
                  <c:v>3.2009074239999999</c:v>
                </c:pt>
                <c:pt idx="117">
                  <c:v>2.2261224230000001</c:v>
                </c:pt>
                <c:pt idx="118">
                  <c:v>0.98598502099999996</c:v>
                </c:pt>
                <c:pt idx="119">
                  <c:v>-0.139929106</c:v>
                </c:pt>
                <c:pt idx="120">
                  <c:v>-1.4430394929999999</c:v>
                </c:pt>
                <c:pt idx="121">
                  <c:v>-1.9999037799999999</c:v>
                </c:pt>
                <c:pt idx="122">
                  <c:v>-0.46307031700000001</c:v>
                </c:pt>
                <c:pt idx="123">
                  <c:v>0.95161777299999994</c:v>
                </c:pt>
                <c:pt idx="124">
                  <c:v>1.580458812</c:v>
                </c:pt>
                <c:pt idx="125">
                  <c:v>1.472043121</c:v>
                </c:pt>
                <c:pt idx="126">
                  <c:v>1.3463781669999999</c:v>
                </c:pt>
                <c:pt idx="127">
                  <c:v>1.3270538169999999</c:v>
                </c:pt>
                <c:pt idx="128">
                  <c:v>2.1501017939999998</c:v>
                </c:pt>
                <c:pt idx="129">
                  <c:v>2.833317412</c:v>
                </c:pt>
                <c:pt idx="130">
                  <c:v>2.1461017080000002</c:v>
                </c:pt>
                <c:pt idx="131">
                  <c:v>2.4697951859999998</c:v>
                </c:pt>
                <c:pt idx="132">
                  <c:v>1.1738321869999999</c:v>
                </c:pt>
                <c:pt idx="133">
                  <c:v>0.95255277299999996</c:v>
                </c:pt>
                <c:pt idx="134">
                  <c:v>1.7194826459999999</c:v>
                </c:pt>
                <c:pt idx="135">
                  <c:v>2.1275634700000001</c:v>
                </c:pt>
                <c:pt idx="136">
                  <c:v>2.5024919130000001</c:v>
                </c:pt>
                <c:pt idx="137">
                  <c:v>2.1382703670000001</c:v>
                </c:pt>
                <c:pt idx="138">
                  <c:v>1.5051200419999999</c:v>
                </c:pt>
                <c:pt idx="139">
                  <c:v>0.28856904999999999</c:v>
                </c:pt>
                <c:pt idx="140">
                  <c:v>1.4645123980000001</c:v>
                </c:pt>
                <c:pt idx="141">
                  <c:v>1.9766540610000001</c:v>
                </c:pt>
                <c:pt idx="142">
                  <c:v>1.8513549250000001</c:v>
                </c:pt>
                <c:pt idx="143">
                  <c:v>1.501730765</c:v>
                </c:pt>
                <c:pt idx="144">
                  <c:v>0.58931140299999996</c:v>
                </c:pt>
                <c:pt idx="145">
                  <c:v>0.28826737600000002</c:v>
                </c:pt>
                <c:pt idx="146">
                  <c:v>-0.34125048099999999</c:v>
                </c:pt>
                <c:pt idx="147">
                  <c:v>-1.042551395</c:v>
                </c:pt>
                <c:pt idx="148">
                  <c:v>-3.8985986060000002</c:v>
                </c:pt>
                <c:pt idx="149">
                  <c:v>-8.8440404990000001</c:v>
                </c:pt>
                <c:pt idx="150">
                  <c:v>-6.5174482669999998</c:v>
                </c:pt>
                <c:pt idx="151">
                  <c:v>-5.3843345280000001</c:v>
                </c:pt>
                <c:pt idx="152">
                  <c:v>-1.78662981</c:v>
                </c:pt>
                <c:pt idx="153">
                  <c:v>4.2570408720000001</c:v>
                </c:pt>
                <c:pt idx="154">
                  <c:v>3.487585261</c:v>
                </c:pt>
                <c:pt idx="155">
                  <c:v>5.4110123650000004</c:v>
                </c:pt>
                <c:pt idx="156">
                  <c:v>3.2639832370000001</c:v>
                </c:pt>
                <c:pt idx="157">
                  <c:v>1.11434415</c:v>
                </c:pt>
                <c:pt idx="158">
                  <c:v>-0.94323783900000002</c:v>
                </c:pt>
                <c:pt idx="159">
                  <c:v>-0.343511701</c:v>
                </c:pt>
                <c:pt idx="160">
                  <c:v>0.33173177300000001</c:v>
                </c:pt>
                <c:pt idx="161">
                  <c:v>2.8058835210000002</c:v>
                </c:pt>
                <c:pt idx="162">
                  <c:v>2.7643322640000001</c:v>
                </c:pt>
                <c:pt idx="163">
                  <c:v>-5.4752979E-2</c:v>
                </c:pt>
                <c:pt idx="164">
                  <c:v>8.2067000000000008E-3</c:v>
                </c:pt>
                <c:pt idx="165">
                  <c:v>6.79307E-3</c:v>
                </c:pt>
                <c:pt idx="166">
                  <c:v>1.8422019279999999</c:v>
                </c:pt>
                <c:pt idx="167">
                  <c:v>3.2068976149999999</c:v>
                </c:pt>
                <c:pt idx="168">
                  <c:v>3.151463466</c:v>
                </c:pt>
                <c:pt idx="169">
                  <c:v>2.5748770300000001</c:v>
                </c:pt>
                <c:pt idx="170">
                  <c:v>-0.175430213</c:v>
                </c:pt>
                <c:pt idx="171">
                  <c:v>-1.0417421899999999</c:v>
                </c:pt>
                <c:pt idx="172">
                  <c:v>-0.459922689</c:v>
                </c:pt>
                <c:pt idx="173">
                  <c:v>0.267122366</c:v>
                </c:pt>
                <c:pt idx="174">
                  <c:v>2.2488488470000001</c:v>
                </c:pt>
                <c:pt idx="175">
                  <c:v>2.263318012</c:v>
                </c:pt>
                <c:pt idx="176">
                  <c:v>1.622617988</c:v>
                </c:pt>
                <c:pt idx="177">
                  <c:v>0.81236666700000004</c:v>
                </c:pt>
                <c:pt idx="178">
                  <c:v>0.51548996599999997</c:v>
                </c:pt>
                <c:pt idx="179">
                  <c:v>0.61652857900000002</c:v>
                </c:pt>
                <c:pt idx="180">
                  <c:v>0.93834408199999997</c:v>
                </c:pt>
                <c:pt idx="181">
                  <c:v>1.0123043279999999</c:v>
                </c:pt>
                <c:pt idx="182">
                  <c:v>1.5089096550000001</c:v>
                </c:pt>
                <c:pt idx="183">
                  <c:v>2.173377281</c:v>
                </c:pt>
                <c:pt idx="184">
                  <c:v>2.1372811010000001</c:v>
                </c:pt>
                <c:pt idx="185">
                  <c:v>1.4169078209999999</c:v>
                </c:pt>
                <c:pt idx="186">
                  <c:v>1.3617493469999999</c:v>
                </c:pt>
                <c:pt idx="187">
                  <c:v>1.164516E-2</c:v>
                </c:pt>
                <c:pt idx="188">
                  <c:v>-0.23869598</c:v>
                </c:pt>
                <c:pt idx="189">
                  <c:v>-0.115361675</c:v>
                </c:pt>
                <c:pt idx="190">
                  <c:v>-0.108432086</c:v>
                </c:pt>
                <c:pt idx="191">
                  <c:v>0.63580583300000004</c:v>
                </c:pt>
                <c:pt idx="192">
                  <c:v>-1.9945432780000001</c:v>
                </c:pt>
                <c:pt idx="193">
                  <c:v>-1.799441029</c:v>
                </c:pt>
                <c:pt idx="194">
                  <c:v>-9.8824007989999991</c:v>
                </c:pt>
                <c:pt idx="195">
                  <c:v>-5.0316907960000004</c:v>
                </c:pt>
                <c:pt idx="196">
                  <c:v>-0.52842753499999995</c:v>
                </c:pt>
                <c:pt idx="197">
                  <c:v>-1.0937626549999999</c:v>
                </c:pt>
                <c:pt idx="198">
                  <c:v>7.8196382680000003</c:v>
                </c:pt>
                <c:pt idx="199">
                  <c:v>1.7069413250000001</c:v>
                </c:pt>
                <c:pt idx="200">
                  <c:v>0.91566553699999997</c:v>
                </c:pt>
                <c:pt idx="201">
                  <c:v>0.63336725800000004</c:v>
                </c:pt>
                <c:pt idx="202">
                  <c:v>1.4351155209999999</c:v>
                </c:pt>
                <c:pt idx="203">
                  <c:v>1.5237209810000001</c:v>
                </c:pt>
                <c:pt idx="204">
                  <c:v>0.60470879099999997</c:v>
                </c:pt>
              </c:numCache>
            </c:numRef>
          </c:val>
          <c:smooth val="0"/>
          <c:extLst>
            <c:ext xmlns:c16="http://schemas.microsoft.com/office/drawing/2014/chart" uri="{C3380CC4-5D6E-409C-BE32-E72D297353CC}">
              <c16:uniqueId val="{00000000-B6F8-4D60-81BC-C75C4863437A}"/>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pt idx="204">
                  <c:v>44927</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pt idx="204">
                  <c:v>0.71518529099999995</c:v>
                </c:pt>
              </c:numCache>
            </c:numRef>
          </c:val>
          <c:smooth val="0"/>
          <c:extLst>
            <c:ext xmlns:c16="http://schemas.microsoft.com/office/drawing/2014/chart" uri="{C3380CC4-5D6E-409C-BE32-E72D297353CC}">
              <c16:uniqueId val="{00000000-D914-4281-BA44-E9689E0F1548}"/>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pt idx="64">
                  <c:v>44927</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pt idx="64">
                  <c:v>2.8915771496997644E-2</c:v>
                </c:pt>
              </c:numCache>
            </c:numRef>
          </c:val>
          <c:extLst>
            <c:ext xmlns:c16="http://schemas.microsoft.com/office/drawing/2014/chart" uri="{C3380CC4-5D6E-409C-BE32-E72D297353CC}">
              <c16:uniqueId val="{00000000-E1EC-43D0-AF38-F239EEE3D421}"/>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pt idx="204">
                  <c:v>44927</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pt idx="204">
                  <c:v>0.71518529099999995</c:v>
                </c:pt>
              </c:numCache>
            </c:numRef>
          </c:val>
          <c:smooth val="0"/>
          <c:extLst>
            <c:ext xmlns:c16="http://schemas.microsoft.com/office/drawing/2014/chart" uri="{C3380CC4-5D6E-409C-BE32-E72D297353CC}">
              <c16:uniqueId val="{00000000-ABF8-47D6-A858-CED38885051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4" totalsRowShown="0" headerRowDxfId="10" dataDxfId="9">
  <autoFilter ref="A1:C304"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4" totalsRowShown="0" headerRowDxfId="5" dataDxfId="4">
  <autoFilter ref="A1:D304"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topLeftCell="A7" zoomScale="110" zoomScaleNormal="110" workbookViewId="0">
      <selection activeCell="T15" sqref="T15"/>
    </sheetView>
  </sheetViews>
  <sheetFormatPr defaultColWidth="9.1796875" defaultRowHeight="14.5" x14ac:dyDescent="0.35"/>
  <cols>
    <col min="1" max="1" width="5.1796875" style="72" customWidth="1"/>
    <col min="2" max="10" width="12.81640625" style="72" customWidth="1"/>
    <col min="11" max="11" width="6.6328125" style="72" customWidth="1"/>
    <col min="12" max="45" width="9.1796875" style="72" customWidth="1"/>
    <col min="46" max="16384" width="9.1796875" style="72"/>
  </cols>
  <sheetData>
    <row r="1" spans="2:10" ht="16" customHeight="1" thickBot="1" x14ac:dyDescent="0.4">
      <c r="B1" s="77"/>
      <c r="C1" s="74"/>
      <c r="D1" s="74"/>
      <c r="E1" s="74"/>
      <c r="F1" s="74"/>
      <c r="G1" s="74"/>
      <c r="H1" s="74"/>
      <c r="I1" s="74"/>
      <c r="J1" s="74"/>
    </row>
    <row r="2" spans="2:10" ht="16" customHeight="1" thickBot="1" x14ac:dyDescent="0.4">
      <c r="B2" s="78"/>
      <c r="C2" s="78"/>
      <c r="D2" s="78"/>
      <c r="E2" s="78"/>
      <c r="F2" s="78"/>
      <c r="G2" s="78"/>
      <c r="H2" s="78"/>
      <c r="I2" s="78"/>
      <c r="J2" s="78"/>
    </row>
    <row r="3" spans="2:10" ht="16" customHeight="1" thickBot="1" x14ac:dyDescent="0.4">
      <c r="B3" s="79" t="s">
        <v>0</v>
      </c>
      <c r="C3" s="80"/>
      <c r="D3" s="80"/>
      <c r="E3" s="80"/>
      <c r="F3" s="80"/>
      <c r="G3" s="80"/>
      <c r="H3" s="80"/>
      <c r="I3" s="80"/>
      <c r="J3" s="81"/>
    </row>
    <row r="5" spans="2:10" x14ac:dyDescent="0.35">
      <c r="B5" s="82" t="s">
        <v>1</v>
      </c>
      <c r="C5" s="83"/>
      <c r="D5" s="83"/>
      <c r="E5" s="83"/>
      <c r="F5" s="83"/>
      <c r="G5" s="83"/>
      <c r="H5" s="83"/>
      <c r="I5" s="83"/>
      <c r="J5" s="84"/>
    </row>
    <row r="7" spans="2:10" ht="132" customHeight="1" x14ac:dyDescent="0.35">
      <c r="B7" s="85" t="s">
        <v>2</v>
      </c>
      <c r="C7" s="74"/>
      <c r="D7" s="74"/>
      <c r="E7" s="74"/>
      <c r="F7" s="74"/>
      <c r="G7" s="74"/>
      <c r="H7" s="74"/>
      <c r="I7" s="74"/>
      <c r="J7" s="74"/>
    </row>
    <row r="8" spans="2:10" x14ac:dyDescent="0.35">
      <c r="B8" s="59"/>
      <c r="C8" s="57"/>
      <c r="D8" s="57"/>
      <c r="E8" s="57"/>
    </row>
    <row r="9" spans="2:10" x14ac:dyDescent="0.35">
      <c r="B9" s="82" t="s">
        <v>3</v>
      </c>
      <c r="C9" s="83"/>
      <c r="D9" s="83"/>
      <c r="E9" s="83"/>
      <c r="F9" s="83"/>
      <c r="G9" s="83"/>
      <c r="H9" s="83"/>
      <c r="I9" s="83"/>
      <c r="J9" s="84"/>
    </row>
    <row r="10" spans="2:10" ht="16" customHeight="1" x14ac:dyDescent="0.35"/>
    <row r="11" spans="2:10" ht="17" customHeight="1" x14ac:dyDescent="0.35">
      <c r="B11" s="82" t="s">
        <v>4</v>
      </c>
      <c r="C11" s="83"/>
      <c r="D11" s="83"/>
      <c r="E11" s="83"/>
      <c r="F11" s="84"/>
      <c r="G11" s="82" t="s">
        <v>5</v>
      </c>
      <c r="H11" s="83"/>
      <c r="I11" s="83"/>
      <c r="J11" s="84"/>
    </row>
    <row r="12" spans="2:10" ht="16" customHeight="1" x14ac:dyDescent="0.35"/>
    <row r="13" spans="2:10" ht="16" customHeight="1" x14ac:dyDescent="0.35">
      <c r="B13" s="76" t="s">
        <v>6</v>
      </c>
      <c r="C13" s="74"/>
      <c r="D13" s="74"/>
      <c r="E13" s="74"/>
      <c r="F13" s="74"/>
      <c r="G13" s="74" t="s">
        <v>7</v>
      </c>
      <c r="H13" s="74"/>
      <c r="I13" s="74"/>
      <c r="J13" s="74"/>
    </row>
    <row r="14" spans="2:10" ht="16" customHeight="1" x14ac:dyDescent="0.35">
      <c r="B14" s="74" t="s">
        <v>8</v>
      </c>
      <c r="C14" s="74"/>
      <c r="D14" s="74"/>
      <c r="E14" s="74"/>
      <c r="F14" s="74"/>
      <c r="G14" s="74" t="s">
        <v>9</v>
      </c>
      <c r="H14" s="74"/>
      <c r="I14" s="74"/>
      <c r="J14" s="74"/>
    </row>
    <row r="15" spans="2:10" ht="16" customHeight="1" x14ac:dyDescent="0.35">
      <c r="B15" s="74" t="s">
        <v>10</v>
      </c>
      <c r="C15" s="74"/>
      <c r="D15" s="74"/>
      <c r="E15" s="74"/>
      <c r="F15" s="74"/>
      <c r="G15" s="74" t="s">
        <v>11</v>
      </c>
      <c r="H15" s="74"/>
      <c r="I15" s="74"/>
      <c r="J15" s="74"/>
    </row>
    <row r="16" spans="2:10" ht="16" customHeight="1" x14ac:dyDescent="0.35">
      <c r="B16" s="74" t="s">
        <v>12</v>
      </c>
      <c r="C16" s="74"/>
      <c r="D16" s="74"/>
      <c r="E16" s="74"/>
      <c r="F16" s="74"/>
    </row>
    <row r="17" spans="2:10" ht="16" customHeight="1" x14ac:dyDescent="0.35">
      <c r="B17" s="74" t="s">
        <v>13</v>
      </c>
      <c r="C17" s="74"/>
      <c r="D17" s="74"/>
      <c r="E17" s="74"/>
      <c r="F17" s="74"/>
    </row>
    <row r="18" spans="2:10" ht="16" customHeight="1" x14ac:dyDescent="0.35"/>
    <row r="19" spans="2:10" ht="16" customHeight="1" x14ac:dyDescent="0.35">
      <c r="B19" s="76" t="s">
        <v>6</v>
      </c>
      <c r="C19" s="74"/>
      <c r="D19" s="74"/>
      <c r="E19" s="74"/>
      <c r="F19" s="74"/>
      <c r="G19" s="74" t="s">
        <v>14</v>
      </c>
      <c r="H19" s="74"/>
      <c r="I19" s="74"/>
      <c r="J19" s="74"/>
    </row>
    <row r="20" spans="2:10" ht="16" customHeight="1" x14ac:dyDescent="0.35">
      <c r="B20" s="74" t="s">
        <v>8</v>
      </c>
      <c r="C20" s="74"/>
      <c r="D20" s="74"/>
      <c r="E20" s="74"/>
      <c r="F20" s="74"/>
      <c r="G20" s="74" t="s">
        <v>9</v>
      </c>
      <c r="H20" s="74"/>
      <c r="I20" s="74"/>
      <c r="J20" s="74"/>
    </row>
    <row r="21" spans="2:10" ht="16" customHeight="1" x14ac:dyDescent="0.35">
      <c r="B21" s="74" t="s">
        <v>10</v>
      </c>
      <c r="C21" s="74"/>
      <c r="D21" s="74"/>
      <c r="E21" s="74"/>
      <c r="F21" s="74"/>
      <c r="G21" s="74" t="s">
        <v>15</v>
      </c>
      <c r="H21" s="74"/>
      <c r="I21" s="74"/>
      <c r="J21" s="74"/>
    </row>
    <row r="22" spans="2:10" ht="16" customHeight="1" x14ac:dyDescent="0.35">
      <c r="B22" s="74" t="s">
        <v>16</v>
      </c>
      <c r="C22" s="74"/>
      <c r="D22" s="74"/>
      <c r="E22" s="74"/>
      <c r="F22" s="74"/>
    </row>
    <row r="23" spans="2:10" ht="16" customHeight="1" x14ac:dyDescent="0.35">
      <c r="B23" s="74" t="s">
        <v>13</v>
      </c>
      <c r="C23" s="74"/>
      <c r="D23" s="74"/>
      <c r="E23" s="74"/>
      <c r="F23" s="74"/>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75"/>
      <c r="C39" s="74"/>
      <c r="D39" s="74"/>
      <c r="E39" s="74"/>
      <c r="F39" s="74"/>
      <c r="G39" s="74"/>
      <c r="H39" s="74"/>
      <c r="I39" s="74"/>
      <c r="J39" s="74"/>
    </row>
    <row r="40" spans="2:10" x14ac:dyDescent="0.35">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1.0362579999999999</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1.076870006</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1.383945392</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0.58914200000000005</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0.72436667700000001</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0.16665199999999999</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0.39310863699999998</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2.458005</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2.3808764760000001</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2.2594590000000001</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2.228998673</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1.2992782949999999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1.826574863</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1.2399051729999999</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1.2151409339999999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0.807343064</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1.614760234</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1.327615</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1.173223031</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1.580659166</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1.7154141030000001</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1.6677386649999999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1.2824603999999999</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1.0358740900000001</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0.62747256100000004</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1.1005532389999999</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0.76957013799999996</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1.4101630000000001</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1.329249905</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1.0437873259999999</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1.9847889999999999</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1.880228732</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0.94860900000000004</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1.1605182679999999</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2.1489400000000001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1.9992346780000001</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1.5742074260000001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1.3065096810000001</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1.181346215</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1.0769869999999999</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1.3099782760000001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0.70342212500000001</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0.74070400000000003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0.838871331</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1.2045977379999999</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1.428966</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1.360308074</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-0.191413</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7.2653411000000001E-2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0.89047937600000004</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1.1891769999999999</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1.220909193</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1.34186099</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0.52573862800000004</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1.5361930720000001</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1.8003367880000001</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1.2806184940000001</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1.756865342</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2.5170650000000001</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2.3266458499999998</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1.1043783979999999</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0.101344</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0.36460098099999999</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1.137272407</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-0.437258378</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0.46510822699999999</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1.7687009E-2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-0.61142790300000005</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-0.78389299999999995</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-0.52142483799999995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0.51158700000000001</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0.53073362099999999</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1.2467440000000001</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1.0960010570000001</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1.371950389</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1.6404356149999999</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1.026532161</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0.88562439699999995</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0.95451380900000005</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0.90271877300000003</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0.97222699999999995</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0.87083729700000001</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0.92249589200000004</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0.81638759400000005</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0.81854000000000005</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0.79480014200000004</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1.9816826569999999</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0.901441944</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1.315197572</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0.57257488400000001</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1.231442787</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0.48135535600000001</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0.67994492799999995</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1.1946747449999999</v>
      </c>
      <c r="U133">
        <v>0.31482199999999999</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0.57166640400000002</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-0.72727784799999995</v>
      </c>
      <c r="U134">
        <v>-1.2108319999999999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-1.0676404799999999</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0.15314380799999999</v>
      </c>
      <c r="U135">
        <v>0.25355699999999998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0.29911055199999997</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-0.20120779999999999</v>
      </c>
      <c r="U136">
        <v>1.148253</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1.1527475330000001</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0.32059448299999999</v>
      </c>
      <c r="U137">
        <v>1.148981</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1.039360828</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0.70380616399999996</v>
      </c>
      <c r="U138">
        <v>-2.4246E-2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0.213816746</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0.65156614000000002</v>
      </c>
      <c r="U139">
        <v>0.61308399999999996</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0.642161863</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0.58623910899999998</v>
      </c>
      <c r="U140">
        <v>-0.26858300000000002</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-6.2745195000000004E-2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0.836427955</v>
      </c>
      <c r="U141">
        <v>-0.361628</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-0.30525527000000002</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0.68670469999999995</v>
      </c>
      <c r="U142">
        <v>0.29364899999999999</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0.24830252899999999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-1.5567912E-2</v>
      </c>
      <c r="U143">
        <v>-0.23525499999999999</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-0.154152504</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0.59113931200000003</v>
      </c>
      <c r="U144">
        <v>0.31358999999999998</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0.19854712499999999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0.418558294</v>
      </c>
      <c r="U145">
        <v>0.94862999999999997</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0.79707732099999995</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2.9013243000000001E-2</v>
      </c>
      <c r="U146">
        <v>1.3490580000000001</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1.095273468</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9.8068655000000005E-2</v>
      </c>
      <c r="U147">
        <v>1.3730169999999999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1.3177267020000001</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0.61186707600000001</v>
      </c>
      <c r="U148">
        <v>1.5462830000000001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1.4311879759999999</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0.40808463</v>
      </c>
      <c r="U149">
        <v>1.3340510000000001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1.4276734659999999</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0.41990290200000002</v>
      </c>
      <c r="U150">
        <v>0.883606</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0.66568139900000001</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0.70286925300000003</v>
      </c>
      <c r="U151">
        <v>1.156507</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1.2287243130000001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-7.6185473000000004E-2</v>
      </c>
      <c r="U152">
        <v>0.69332199999999999</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0.61587955800000005</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0.26551230300000001</v>
      </c>
      <c r="U153">
        <v>0.94967100000000004</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0.967428485</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0.90496338499999995</v>
      </c>
      <c r="U154">
        <v>1.1879219999999999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1.0773159999999999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0.52014459099999999</v>
      </c>
      <c r="U155">
        <v>1.2046399999999999</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1.1458046660000001</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0.42663841899999999</v>
      </c>
      <c r="U156">
        <v>0.78346700000000002</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0.81960595400000003</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0.35501233599999998</v>
      </c>
      <c r="U157">
        <v>0.55761499999999997</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0.42641892300000001</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1.1106087549999999</v>
      </c>
      <c r="U158">
        <v>0.48667700000000003</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0.62996206700000001</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0.47865735399999998</v>
      </c>
      <c r="U159">
        <v>0.76227400000000001</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0.68497919299999999</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0.103115291</v>
      </c>
      <c r="U160">
        <v>0.61473999999999995</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0.58572565200000004</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0.14951031200000001</v>
      </c>
      <c r="U161">
        <v>0.244973</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0.31924605700000003</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1.4607926449999999</v>
      </c>
      <c r="U162">
        <v>1.4830909999999999</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1.6526078289999999</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0.70553550099999995</v>
      </c>
      <c r="U163">
        <v>1.128957</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1.1028274730000001</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1.438302229</v>
      </c>
      <c r="U164">
        <v>1.72984</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1.81985642</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1.2245681260000001</v>
      </c>
      <c r="U165">
        <v>0.92735900000000004</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0.82133684200000001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0.84535347500000002</v>
      </c>
      <c r="U166">
        <v>0.91915000000000002</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0.69471640400000001</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1.2896057910000001</v>
      </c>
      <c r="U167">
        <v>1.0753550000000001</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1.0502309379999999</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0.86812120400000004</v>
      </c>
      <c r="U168">
        <v>1.147624</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1.1582777019999999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1.1866521029999999</v>
      </c>
      <c r="U169">
        <v>1.2580709999999999</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1.226365726</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1.1810787570000001</v>
      </c>
      <c r="U170">
        <v>0.31986500000000001</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0.39931728700000002</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1.0770381490000001</v>
      </c>
      <c r="U171">
        <v>0.90774600000000005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0.97786363399999998</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1.316321071</v>
      </c>
      <c r="U172">
        <v>0.94127700000000003</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0.96019474800000004</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0.423247237</v>
      </c>
      <c r="U173">
        <v>0.79107300000000003</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0.96739588799999998</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0.516290633</v>
      </c>
      <c r="U174">
        <v>0.843499</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0.90908725700000004</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0.50101140499999997</v>
      </c>
      <c r="U175">
        <v>0.49280099999999999</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0.36025718499999998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-4.0625820000000003E-3</v>
      </c>
      <c r="U176">
        <v>-0.34916599999999998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0.23020539800000001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0.12645636699999999</v>
      </c>
      <c r="U177">
        <v>0.27543099999999998</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6.5161501999999996E-2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0.400279787</v>
      </c>
      <c r="U178">
        <v>0.55108699999999999</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0.63463343100000003</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0.216524775</v>
      </c>
      <c r="U179">
        <v>0.20083999999999999</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0.319613602</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0.68700237099999995</v>
      </c>
      <c r="U180">
        <v>0.54275099999999998</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0.60961563200000002</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0.77883731199999995</v>
      </c>
      <c r="U181">
        <v>0.792686</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0.87247095200000002</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7.4378794999999998E-2</v>
      </c>
      <c r="U182">
        <v>0.39506400000000003</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0.27462775</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-5.0206506999999997E-2</v>
      </c>
      <c r="U183">
        <v>0.45647399999999999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0.48751301800000002</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-0.18903338</v>
      </c>
      <c r="U184">
        <v>0.32062499999999999</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0.27695884599999998</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-0.65127018000000003</v>
      </c>
      <c r="U185">
        <v>0.201733</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0.203390246</v>
      </c>
      <c r="AN185">
        <v>-1.318634595</v>
      </c>
      <c r="AR185">
        <v>-1.6832626550000001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-3.5212959000000002E-2</v>
      </c>
      <c r="U186">
        <v>0.18878900000000001</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0.42412103000000001</v>
      </c>
      <c r="AN186">
        <v>5.0113557000000003E-2</v>
      </c>
      <c r="AP186">
        <v>1.3909376</v>
      </c>
      <c r="AR186">
        <v>1.3301586089999999</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0.186187411</v>
      </c>
      <c r="U187">
        <v>0.24255699999999999</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0.38796914500000002</v>
      </c>
      <c r="AN187">
        <v>0.69552905099999995</v>
      </c>
      <c r="AP187">
        <v>1.1598247989999999</v>
      </c>
      <c r="AR187">
        <v>0.80575306999999996</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0.22481668899999999</v>
      </c>
      <c r="U188">
        <v>0.83957800000000005</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0.868153972</v>
      </c>
      <c r="AN188">
        <v>0.335461909</v>
      </c>
      <c r="AP188">
        <v>1.5065066359999999</v>
      </c>
      <c r="AR188">
        <v>0.28763144400000001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0.66973839400000001</v>
      </c>
      <c r="U189">
        <v>0.978653</v>
      </c>
      <c r="V189">
        <v>1.0552201560000001</v>
      </c>
      <c r="W189">
        <v>-0.792530175</v>
      </c>
      <c r="Z189">
        <v>1.3507575359999999</v>
      </c>
      <c r="AA189">
        <v>1.2024590740000001</v>
      </c>
      <c r="AC189">
        <v>0.57915478099999995</v>
      </c>
      <c r="AD189">
        <v>0.89435668800000001</v>
      </c>
      <c r="AE189">
        <v>2.916855703</v>
      </c>
      <c r="AF189">
        <v>0.94974912300000003</v>
      </c>
      <c r="AH189">
        <v>1.0199494579999999</v>
      </c>
      <c r="AI189">
        <v>1.4965316099999999</v>
      </c>
      <c r="AJ189">
        <v>-1.0927292150000001</v>
      </c>
      <c r="AK189">
        <v>1.515705501</v>
      </c>
      <c r="AL189">
        <v>0.92494965399999995</v>
      </c>
      <c r="AN189">
        <v>0.33869413999999998</v>
      </c>
      <c r="AP189">
        <v>1.7882290869999999</v>
      </c>
      <c r="AR189">
        <v>1.144654925</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1.013470308</v>
      </c>
      <c r="U190">
        <v>0.80783400000000005</v>
      </c>
      <c r="V190">
        <v>1.0604046579999999</v>
      </c>
      <c r="W190">
        <v>1.2181871049999999</v>
      </c>
      <c r="Z190">
        <v>1.7295238639999999</v>
      </c>
      <c r="AA190">
        <v>0.85341513400000002</v>
      </c>
      <c r="AC190">
        <v>0.83245556499999995</v>
      </c>
      <c r="AD190">
        <v>-0.54979392800000004</v>
      </c>
      <c r="AE190">
        <v>1.6315920960000001</v>
      </c>
      <c r="AF190">
        <v>0.75336469900000003</v>
      </c>
      <c r="AH190">
        <v>2.1013221899999999</v>
      </c>
      <c r="AI190">
        <v>1.150384582</v>
      </c>
      <c r="AJ190">
        <v>2.3394643429999999</v>
      </c>
      <c r="AK190">
        <v>0.66468026599999996</v>
      </c>
      <c r="AL190">
        <v>0.55547661599999998</v>
      </c>
      <c r="AN190">
        <v>1.295817808</v>
      </c>
      <c r="AP190">
        <v>1.2185340520000001</v>
      </c>
      <c r="AR190">
        <v>1.023468804</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0.85241556299999999</v>
      </c>
      <c r="U191">
        <v>0.80130800000000002</v>
      </c>
      <c r="V191">
        <v>1.0831257439999999</v>
      </c>
      <c r="W191">
        <v>2.6822298490000001</v>
      </c>
      <c r="Z191">
        <v>2.1888918780000002</v>
      </c>
      <c r="AA191">
        <v>0.30634947600000001</v>
      </c>
      <c r="AC191">
        <v>0.83659070499999999</v>
      </c>
      <c r="AD191">
        <v>1.15036928</v>
      </c>
      <c r="AE191">
        <v>1.6821991110000001</v>
      </c>
      <c r="AF191">
        <v>0.55705723299999998</v>
      </c>
      <c r="AH191">
        <v>0.77193243099999997</v>
      </c>
      <c r="AI191">
        <v>0.75816823300000002</v>
      </c>
      <c r="AJ191">
        <v>-1.3644770690000001</v>
      </c>
      <c r="AK191">
        <v>1.71090294</v>
      </c>
      <c r="AL191">
        <v>0.92056589499999997</v>
      </c>
      <c r="AN191">
        <v>0.45218991800000002</v>
      </c>
      <c r="AP191">
        <v>1.899671272</v>
      </c>
      <c r="AR191">
        <v>0.85628263900000001</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0.92612570000000005</v>
      </c>
      <c r="U192">
        <v>0.78099300000000005</v>
      </c>
      <c r="V192">
        <v>0.48553242600000002</v>
      </c>
      <c r="W192">
        <v>-0.82163945000000005</v>
      </c>
      <c r="Z192">
        <v>2.5322760720000002</v>
      </c>
      <c r="AA192">
        <v>-0.18225076300000001</v>
      </c>
      <c r="AC192">
        <v>0.95388393299999996</v>
      </c>
      <c r="AD192">
        <v>-0.40168998</v>
      </c>
      <c r="AE192">
        <v>3.930438208</v>
      </c>
      <c r="AF192">
        <v>0.383915746</v>
      </c>
      <c r="AH192">
        <v>1.16435062</v>
      </c>
      <c r="AI192">
        <v>0.94689765800000003</v>
      </c>
      <c r="AJ192">
        <v>3.9693662540000001</v>
      </c>
      <c r="AK192">
        <v>1.3303485770000001</v>
      </c>
      <c r="AL192">
        <v>0.97454401099999999</v>
      </c>
      <c r="AN192">
        <v>1.201951322</v>
      </c>
      <c r="AP192">
        <v>1.4163547649999999</v>
      </c>
      <c r="AR192">
        <v>1.779872211</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0.31787991500000001</v>
      </c>
      <c r="U193">
        <v>0.46984100000000001</v>
      </c>
      <c r="V193">
        <v>0.25080092599999998</v>
      </c>
      <c r="W193">
        <v>-4.0633383000000002E-2</v>
      </c>
      <c r="Z193">
        <v>5.1763936599999996</v>
      </c>
      <c r="AA193">
        <v>-2.8668305959999998</v>
      </c>
      <c r="AC193">
        <v>1.0279599699999999</v>
      </c>
      <c r="AD193">
        <v>1.1118143700000001</v>
      </c>
      <c r="AE193">
        <v>2.0904894180000002</v>
      </c>
      <c r="AF193">
        <v>1.175591279</v>
      </c>
      <c r="AH193">
        <v>-5.75611067</v>
      </c>
      <c r="AI193">
        <v>0.68030274700000004</v>
      </c>
      <c r="AJ193">
        <v>-0.72479391400000004</v>
      </c>
      <c r="AK193">
        <v>1.215047655</v>
      </c>
      <c r="AL193">
        <v>0.34260010600000002</v>
      </c>
      <c r="AN193">
        <v>0.17483652899999999</v>
      </c>
      <c r="AP193">
        <v>1.5179729049999999</v>
      </c>
      <c r="AR193">
        <v>1.294014738</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0.57826100000000002</v>
      </c>
      <c r="P194">
        <v>0.62647534400000005</v>
      </c>
      <c r="Q194">
        <v>-0.98834845299999996</v>
      </c>
      <c r="R194">
        <v>0.60497500000000004</v>
      </c>
      <c r="S194">
        <v>2.686170213</v>
      </c>
      <c r="T194">
        <v>0.62753309099999999</v>
      </c>
      <c r="U194">
        <v>0.44137100000000001</v>
      </c>
      <c r="V194">
        <v>0.18281908799999999</v>
      </c>
      <c r="W194">
        <v>0.94753337699999995</v>
      </c>
      <c r="X194">
        <v>-0.17715187499999999</v>
      </c>
      <c r="Z194">
        <v>2.094989832</v>
      </c>
      <c r="AA194">
        <v>2.3880795620000002</v>
      </c>
      <c r="AB194">
        <v>2.3555220619999999</v>
      </c>
      <c r="AC194">
        <v>-6.4177360000000003E-3</v>
      </c>
      <c r="AD194">
        <v>0.94088382100000001</v>
      </c>
      <c r="AE194">
        <v>2.0218245910000001</v>
      </c>
      <c r="AF194">
        <v>1.049264784</v>
      </c>
      <c r="AG194">
        <v>0.52173906800000003</v>
      </c>
      <c r="AH194">
        <v>-4.8918609139999996</v>
      </c>
      <c r="AI194">
        <v>0.78455015500000003</v>
      </c>
      <c r="AJ194">
        <v>0.87700910399999998</v>
      </c>
      <c r="AK194">
        <v>1.2752954379999999</v>
      </c>
      <c r="AL194">
        <v>0.36464066000000001</v>
      </c>
      <c r="AM194">
        <v>1.879337713</v>
      </c>
      <c r="AN194">
        <v>1.1791211070000001</v>
      </c>
      <c r="AP194">
        <v>1.6668896259999999</v>
      </c>
      <c r="AQ194">
        <v>0.391885818</v>
      </c>
      <c r="AR194">
        <v>0.43048778599999998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0.35058099999999998</v>
      </c>
      <c r="P195">
        <v>0.40478576599999999</v>
      </c>
      <c r="Q195">
        <v>-0.33768755299999997</v>
      </c>
      <c r="R195">
        <v>0.408331</v>
      </c>
      <c r="S195">
        <v>-0.45181156300000003</v>
      </c>
      <c r="T195">
        <v>0.16951686899999999</v>
      </c>
      <c r="U195">
        <v>0.74933499999999997</v>
      </c>
      <c r="V195">
        <v>1.001778287</v>
      </c>
      <c r="W195">
        <v>0.537860114</v>
      </c>
      <c r="X195">
        <v>4.4023760000000004E-3</v>
      </c>
      <c r="Z195">
        <v>1.065169689</v>
      </c>
      <c r="AA195">
        <v>-0.89355681600000003</v>
      </c>
      <c r="AB195">
        <v>1.182092004</v>
      </c>
      <c r="AC195">
        <v>0.67419038899999995</v>
      </c>
      <c r="AD195">
        <v>1.171995436</v>
      </c>
      <c r="AE195">
        <v>2.0758731149999998</v>
      </c>
      <c r="AF195">
        <v>1.0396086950000001</v>
      </c>
      <c r="AG195">
        <v>-1.0440670649999999</v>
      </c>
      <c r="AH195">
        <v>1.8958078570000001</v>
      </c>
      <c r="AI195">
        <v>0.78569619400000001</v>
      </c>
      <c r="AJ195">
        <v>2.368342722</v>
      </c>
      <c r="AK195">
        <v>0.92056650200000001</v>
      </c>
      <c r="AL195">
        <v>0.86610029799999999</v>
      </c>
      <c r="AM195">
        <v>2.7933110060000002</v>
      </c>
      <c r="AN195">
        <v>0.43383271699999998</v>
      </c>
      <c r="AP195">
        <v>0.57659967599999995</v>
      </c>
      <c r="AQ195">
        <v>0.16749824099999999</v>
      </c>
      <c r="AR195">
        <v>0.32438287900000001</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0.359987</v>
      </c>
      <c r="P196">
        <v>0.74775839799999999</v>
      </c>
      <c r="Q196">
        <v>1.169999579</v>
      </c>
      <c r="R196">
        <v>0.42328700000000002</v>
      </c>
      <c r="S196">
        <v>4.9144311000000003E-2</v>
      </c>
      <c r="T196">
        <v>-3.78873E-4</v>
      </c>
      <c r="U196">
        <v>0.43409999999999999</v>
      </c>
      <c r="V196">
        <v>0.178658391</v>
      </c>
      <c r="W196">
        <v>0.57916797399999997</v>
      </c>
      <c r="X196">
        <v>-0.41728715199999999</v>
      </c>
      <c r="Z196">
        <v>1.4734943899999999</v>
      </c>
      <c r="AA196">
        <v>5.8323831E-2</v>
      </c>
      <c r="AB196">
        <v>0.79481288400000005</v>
      </c>
      <c r="AC196">
        <v>0.69871523499999999</v>
      </c>
      <c r="AD196">
        <v>0.239333781</v>
      </c>
      <c r="AE196">
        <v>1.8705523159999999</v>
      </c>
      <c r="AF196">
        <v>1.070725294</v>
      </c>
      <c r="AG196">
        <v>0.33014231900000002</v>
      </c>
      <c r="AH196">
        <v>1.9167845809999999</v>
      </c>
      <c r="AI196">
        <v>0.71237600300000004</v>
      </c>
      <c r="AJ196">
        <v>1.2397087170000001</v>
      </c>
      <c r="AK196">
        <v>0.67421214799999996</v>
      </c>
      <c r="AL196">
        <v>0.54521760500000005</v>
      </c>
      <c r="AM196">
        <v>1.280270225</v>
      </c>
      <c r="AN196">
        <v>0.67752244100000003</v>
      </c>
      <c r="AP196">
        <v>1.9063102359999999</v>
      </c>
      <c r="AQ196">
        <v>0.227482819</v>
      </c>
      <c r="AR196">
        <v>1.183470292</v>
      </c>
      <c r="AT196">
        <v>0.67903653600000002</v>
      </c>
      <c r="AU196">
        <v>0.33636665500000001</v>
      </c>
    </row>
    <row r="197" spans="1:47" x14ac:dyDescent="0.35">
      <c r="A197" t="s">
        <v>261</v>
      </c>
      <c r="B197" s="73">
        <v>35156</v>
      </c>
      <c r="C197">
        <v>2.7496599580000001</v>
      </c>
      <c r="D197">
        <v>1.6477357189999999</v>
      </c>
      <c r="E197">
        <v>0.77820719199999999</v>
      </c>
      <c r="F197">
        <v>-0.20149803399999999</v>
      </c>
      <c r="H197">
        <v>6.880559E-2</v>
      </c>
      <c r="I197">
        <v>0.41545094700000001</v>
      </c>
      <c r="J197">
        <v>3.0792518950000001</v>
      </c>
      <c r="L197">
        <v>2.390120762</v>
      </c>
      <c r="M197">
        <v>-0.81617073100000004</v>
      </c>
      <c r="N197">
        <v>1.5030293E-2</v>
      </c>
      <c r="O197">
        <v>0.12834899999999999</v>
      </c>
      <c r="P197">
        <v>0.59609136699999998</v>
      </c>
      <c r="Q197">
        <v>0.89931266099999996</v>
      </c>
      <c r="R197">
        <v>0.203901</v>
      </c>
      <c r="S197">
        <v>1.80299922</v>
      </c>
      <c r="T197">
        <v>0.70887430299999998</v>
      </c>
      <c r="U197">
        <v>0.49477399999999999</v>
      </c>
      <c r="V197">
        <v>0.40414093400000001</v>
      </c>
      <c r="W197">
        <v>0.542957052</v>
      </c>
      <c r="X197">
        <v>0.60276358100000005</v>
      </c>
      <c r="Z197">
        <v>2.988134246</v>
      </c>
      <c r="AA197">
        <v>4.5000166159999999</v>
      </c>
      <c r="AB197">
        <v>1.763555835</v>
      </c>
      <c r="AC197">
        <v>0.26655667500000002</v>
      </c>
      <c r="AD197">
        <v>0.82084548700000004</v>
      </c>
      <c r="AE197">
        <v>1.9081351989999999</v>
      </c>
      <c r="AF197">
        <v>1.1867050889999999</v>
      </c>
      <c r="AG197">
        <v>-0.26731296999999998</v>
      </c>
      <c r="AH197">
        <v>2.6925911949999999</v>
      </c>
      <c r="AI197">
        <v>0.41082790899999999</v>
      </c>
      <c r="AJ197">
        <v>1.4566447680000001</v>
      </c>
      <c r="AK197">
        <v>1.406060606</v>
      </c>
      <c r="AL197">
        <v>0.71992738899999997</v>
      </c>
      <c r="AM197">
        <v>2.0864195360000002</v>
      </c>
      <c r="AN197">
        <v>0.78990095000000005</v>
      </c>
      <c r="AP197">
        <v>1.6916405349999999</v>
      </c>
      <c r="AQ197">
        <v>0.520994815</v>
      </c>
      <c r="AR197">
        <v>0.68386202799999996</v>
      </c>
      <c r="AT197">
        <v>0.74897132899999996</v>
      </c>
      <c r="AU197">
        <v>1.8524983070000001</v>
      </c>
    </row>
    <row r="198" spans="1:47" x14ac:dyDescent="0.35">
      <c r="A198" t="s">
        <v>262</v>
      </c>
      <c r="B198" s="73">
        <v>35247</v>
      </c>
      <c r="C198">
        <v>2.2287660229999999</v>
      </c>
      <c r="D198">
        <v>0.63678909699999997</v>
      </c>
      <c r="E198">
        <v>0.73618093200000001</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0.70558799999999999</v>
      </c>
      <c r="S198">
        <v>0.78903300899999995</v>
      </c>
      <c r="T198">
        <v>0.10827258200000001</v>
      </c>
      <c r="U198">
        <v>1.160239</v>
      </c>
      <c r="V198">
        <v>3.9821690999999999E-2</v>
      </c>
      <c r="W198">
        <v>0.57388104200000001</v>
      </c>
      <c r="X198">
        <v>-0.60041272499999998</v>
      </c>
      <c r="Z198">
        <v>2.219999289</v>
      </c>
      <c r="AA198">
        <v>0.27026765600000002</v>
      </c>
      <c r="AB198">
        <v>1.332242328</v>
      </c>
      <c r="AC198">
        <v>-0.12978272800000001</v>
      </c>
      <c r="AD198">
        <v>1.2758619659999999</v>
      </c>
      <c r="AE198">
        <v>2.020152462</v>
      </c>
      <c r="AF198">
        <v>-7.017608955</v>
      </c>
      <c r="AG198">
        <v>-0.113853856</v>
      </c>
      <c r="AH198">
        <v>1.3071259200000001</v>
      </c>
      <c r="AI198">
        <v>1.1149671569999999</v>
      </c>
      <c r="AJ198">
        <v>-0.13780456299999999</v>
      </c>
      <c r="AK198">
        <v>0.88752091799999999</v>
      </c>
      <c r="AL198">
        <v>1.1247230020000001</v>
      </c>
      <c r="AM198">
        <v>2.002789613</v>
      </c>
      <c r="AN198">
        <v>1.1994918969999999</v>
      </c>
      <c r="AP198">
        <v>1.1757937540000001</v>
      </c>
      <c r="AQ198">
        <v>1.346772659</v>
      </c>
      <c r="AR198">
        <v>-0.83758235000000003</v>
      </c>
      <c r="AT198">
        <v>1.667883947</v>
      </c>
      <c r="AU198">
        <v>1.19135893</v>
      </c>
    </row>
    <row r="199" spans="1:47" x14ac:dyDescent="0.35">
      <c r="A199" t="s">
        <v>263</v>
      </c>
      <c r="B199" s="73">
        <v>35339</v>
      </c>
      <c r="C199">
        <v>2.2966779590000002</v>
      </c>
      <c r="D199">
        <v>0.798903374</v>
      </c>
      <c r="E199">
        <v>0.34878121400000001</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0.504104</v>
      </c>
      <c r="S199">
        <v>0.58010194000000004</v>
      </c>
      <c r="T199">
        <v>0.515849275</v>
      </c>
      <c r="U199">
        <v>0.62285900000000005</v>
      </c>
      <c r="V199">
        <v>1.0635891120000001</v>
      </c>
      <c r="W199">
        <v>1.360099317</v>
      </c>
      <c r="X199">
        <v>-0.133816299</v>
      </c>
      <c r="Y199">
        <v>0.48898000000000003</v>
      </c>
      <c r="Z199">
        <v>-0.57345807900000001</v>
      </c>
      <c r="AA199">
        <v>-1.734481027</v>
      </c>
      <c r="AB199">
        <v>1.2043598090000001</v>
      </c>
      <c r="AC199">
        <v>0.123362892</v>
      </c>
      <c r="AD199">
        <v>0.12633439399999999</v>
      </c>
      <c r="AE199">
        <v>1.758931416</v>
      </c>
      <c r="AF199">
        <v>7.7576161450000001</v>
      </c>
      <c r="AG199">
        <v>3.535154951</v>
      </c>
      <c r="AH199">
        <v>1.6862256929999999</v>
      </c>
      <c r="AI199">
        <v>1.4000731120000001</v>
      </c>
      <c r="AJ199">
        <v>3.3500270109999999</v>
      </c>
      <c r="AK199">
        <v>0.65460146299999999</v>
      </c>
      <c r="AL199">
        <v>0.73274376299999999</v>
      </c>
      <c r="AM199">
        <v>1.1047002210000001</v>
      </c>
      <c r="AN199">
        <v>1.3568094740000001</v>
      </c>
      <c r="AP199">
        <v>2.5078031329999999</v>
      </c>
      <c r="AQ199">
        <v>1.2466659040000001</v>
      </c>
      <c r="AR199">
        <v>0.35364103000000002</v>
      </c>
      <c r="AT199">
        <v>0.89701093600000004</v>
      </c>
      <c r="AU199">
        <v>1.191484164</v>
      </c>
    </row>
    <row r="200" spans="1:47" x14ac:dyDescent="0.35">
      <c r="A200" t="s">
        <v>264</v>
      </c>
      <c r="B200" s="73">
        <v>35431</v>
      </c>
      <c r="C200">
        <v>1.8222659830000001</v>
      </c>
      <c r="D200">
        <v>0.93168064900000003</v>
      </c>
      <c r="E200">
        <v>0.149836044</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0.39795799999999998</v>
      </c>
      <c r="S200">
        <v>1.8730576480000001</v>
      </c>
      <c r="T200">
        <v>0.25475652700000001</v>
      </c>
      <c r="U200">
        <v>0.85019100000000003</v>
      </c>
      <c r="V200">
        <v>0.99572411000000005</v>
      </c>
      <c r="W200">
        <v>1.0594108179999999</v>
      </c>
      <c r="X200">
        <v>1.250915936</v>
      </c>
      <c r="Y200">
        <v>1.5855699999999999</v>
      </c>
      <c r="Z200">
        <v>1.2473036740000001</v>
      </c>
      <c r="AA200">
        <v>2.2319916860000002</v>
      </c>
      <c r="AB200">
        <v>1.6577531839999999</v>
      </c>
      <c r="AC200">
        <v>-0.33328270799999998</v>
      </c>
      <c r="AD200">
        <v>1.111100779</v>
      </c>
      <c r="AE200">
        <v>1.6915792140000001</v>
      </c>
      <c r="AF200">
        <v>1.3479404450000001</v>
      </c>
      <c r="AG200">
        <v>5.2603526010000001</v>
      </c>
      <c r="AH200">
        <v>3.0203586179999999</v>
      </c>
      <c r="AI200">
        <v>0.71094114600000002</v>
      </c>
      <c r="AJ200">
        <v>-1.612266057</v>
      </c>
      <c r="AK200">
        <v>1.309516803</v>
      </c>
      <c r="AL200">
        <v>0.95207744800000005</v>
      </c>
      <c r="AM200">
        <v>-3.4498594740000001</v>
      </c>
      <c r="AN200">
        <v>0.282339693</v>
      </c>
      <c r="AP200">
        <v>1.9692465370000001</v>
      </c>
      <c r="AQ200">
        <v>1.735059683</v>
      </c>
      <c r="AR200">
        <v>0.79747523799999998</v>
      </c>
      <c r="AT200">
        <v>1.038397649</v>
      </c>
      <c r="AU200">
        <v>0.93817146600000001</v>
      </c>
    </row>
    <row r="201" spans="1:47" x14ac:dyDescent="0.35">
      <c r="A201" t="s">
        <v>265</v>
      </c>
      <c r="B201" s="73">
        <v>35521</v>
      </c>
      <c r="C201">
        <v>2.1002052839999998</v>
      </c>
      <c r="D201">
        <v>0.63005744600000002</v>
      </c>
      <c r="E201">
        <v>0.62331988500000002</v>
      </c>
      <c r="F201">
        <v>1.002376205</v>
      </c>
      <c r="G201">
        <v>1.04695239</v>
      </c>
      <c r="H201">
        <v>1.3191744510000001</v>
      </c>
      <c r="I201">
        <v>1.0294806190000001</v>
      </c>
      <c r="J201">
        <v>2.2677075790000001</v>
      </c>
      <c r="L201">
        <v>-0.45135587799999999</v>
      </c>
      <c r="M201">
        <v>-0.52268668799999995</v>
      </c>
      <c r="N201">
        <v>1.2551062850000001</v>
      </c>
      <c r="O201">
        <v>0.25519199999999997</v>
      </c>
      <c r="P201">
        <v>1.0202487600000001</v>
      </c>
      <c r="Q201">
        <v>3.625720109</v>
      </c>
      <c r="R201">
        <v>0.38690400000000003</v>
      </c>
      <c r="S201">
        <v>1.1790248999999999</v>
      </c>
      <c r="T201">
        <v>0.34666845000000002</v>
      </c>
      <c r="U201">
        <v>0.49686599999999997</v>
      </c>
      <c r="V201">
        <v>1.5324488039999999</v>
      </c>
      <c r="W201">
        <v>0.57090113099999995</v>
      </c>
      <c r="X201">
        <v>0.982355902</v>
      </c>
      <c r="Y201">
        <v>0.75236000000000003</v>
      </c>
      <c r="Z201">
        <v>4.2800355530000003</v>
      </c>
      <c r="AA201">
        <v>4.161234672</v>
      </c>
      <c r="AB201">
        <v>0.89688288900000002</v>
      </c>
      <c r="AC201">
        <v>0.35497020299999998</v>
      </c>
      <c r="AD201">
        <v>0.26291278400000001</v>
      </c>
      <c r="AE201">
        <v>0.46806386999999999</v>
      </c>
      <c r="AF201">
        <v>0.63123884100000005</v>
      </c>
      <c r="AG201">
        <v>-0.83051823700000005</v>
      </c>
      <c r="AH201">
        <v>0.17723804000000001</v>
      </c>
      <c r="AI201">
        <v>1.0909732759999999</v>
      </c>
      <c r="AJ201">
        <v>2.694030701</v>
      </c>
      <c r="AK201">
        <v>-0.37761059600000002</v>
      </c>
      <c r="AL201">
        <v>0.60940380000000005</v>
      </c>
      <c r="AM201">
        <v>6.2316664160000004</v>
      </c>
      <c r="AN201">
        <v>1.644745127</v>
      </c>
      <c r="AP201">
        <v>0.98695384100000005</v>
      </c>
      <c r="AQ201">
        <v>0.38389416999999998</v>
      </c>
      <c r="AR201">
        <v>0.89468393599999996</v>
      </c>
      <c r="AT201">
        <v>0.64556077700000003</v>
      </c>
      <c r="AU201">
        <v>0.46421678</v>
      </c>
    </row>
    <row r="202" spans="1:47" x14ac:dyDescent="0.35">
      <c r="A202" t="s">
        <v>266</v>
      </c>
      <c r="B202" s="73">
        <v>35612</v>
      </c>
      <c r="C202">
        <v>1.4875138809999999</v>
      </c>
      <c r="D202">
        <v>2.9847768710000002</v>
      </c>
      <c r="E202">
        <v>0.29721467299999998</v>
      </c>
      <c r="F202">
        <v>1.546782044</v>
      </c>
      <c r="G202">
        <v>0.53460114400000003</v>
      </c>
      <c r="H202">
        <v>1.1296315130000001</v>
      </c>
      <c r="I202">
        <v>0.264702832</v>
      </c>
      <c r="J202">
        <v>2.0812338549999998</v>
      </c>
      <c r="L202">
        <v>-0.226835869</v>
      </c>
      <c r="M202">
        <v>1.294373116</v>
      </c>
      <c r="N202">
        <v>1.7174871949999999</v>
      </c>
      <c r="O202">
        <v>1.218628</v>
      </c>
      <c r="P202">
        <v>0.91289625900000004</v>
      </c>
      <c r="Q202">
        <v>4.2028336370000003</v>
      </c>
      <c r="R202">
        <v>1.2053400000000001</v>
      </c>
      <c r="S202">
        <v>1.5184028249999999</v>
      </c>
      <c r="T202">
        <v>1.0022716739999999</v>
      </c>
      <c r="U202">
        <v>1.061223</v>
      </c>
      <c r="V202">
        <v>1.061110574</v>
      </c>
      <c r="W202">
        <v>1.714354301</v>
      </c>
      <c r="X202">
        <v>1.0387872460000001</v>
      </c>
      <c r="Y202">
        <v>0.40984999999999999</v>
      </c>
      <c r="Z202">
        <v>4.5337857230000003</v>
      </c>
      <c r="AA202">
        <v>0.659648495</v>
      </c>
      <c r="AB202">
        <v>0.60896285800000005</v>
      </c>
      <c r="AC202">
        <v>1.347884028</v>
      </c>
      <c r="AD202">
        <v>-0.74839357399999995</v>
      </c>
      <c r="AE202">
        <v>3.5505527730000002</v>
      </c>
      <c r="AF202">
        <v>1.2107655390000001</v>
      </c>
      <c r="AG202">
        <v>4.1266098250000001</v>
      </c>
      <c r="AH202">
        <v>2.287664538</v>
      </c>
      <c r="AI202">
        <v>1.041229521</v>
      </c>
      <c r="AJ202">
        <v>2.424620113</v>
      </c>
      <c r="AK202">
        <v>1.959355046</v>
      </c>
      <c r="AL202">
        <v>1.2841626930000001</v>
      </c>
      <c r="AM202">
        <v>1.3946800800000001</v>
      </c>
      <c r="AN202">
        <v>0.90861801399999997</v>
      </c>
      <c r="AP202">
        <v>1.487181919</v>
      </c>
      <c r="AQ202">
        <v>2.4510441350000001</v>
      </c>
      <c r="AR202">
        <v>1.1740314000000001</v>
      </c>
      <c r="AT202">
        <v>1.661978105</v>
      </c>
      <c r="AU202">
        <v>0.62741087299999998</v>
      </c>
    </row>
    <row r="203" spans="1:47" x14ac:dyDescent="0.35">
      <c r="A203" t="s">
        <v>267</v>
      </c>
      <c r="B203" s="73">
        <v>35704</v>
      </c>
      <c r="C203">
        <v>2.5172173440000001</v>
      </c>
      <c r="D203">
        <v>0.12777719800000001</v>
      </c>
      <c r="E203">
        <v>1.224431531</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0.76043899999999998</v>
      </c>
      <c r="S203">
        <v>2.3572537059999998</v>
      </c>
      <c r="T203">
        <v>0.98344610899999996</v>
      </c>
      <c r="U203">
        <v>0.87801600000000002</v>
      </c>
      <c r="V203">
        <v>0.93403513599999999</v>
      </c>
      <c r="W203">
        <v>1.595103859</v>
      </c>
      <c r="X203">
        <v>0.89474933800000001</v>
      </c>
      <c r="Y203">
        <v>1.1928300000000001</v>
      </c>
      <c r="Z203">
        <v>1.659864067</v>
      </c>
      <c r="AA203">
        <v>-1.0477164859999999</v>
      </c>
      <c r="AB203">
        <v>-8.5453790000000005E-3</v>
      </c>
      <c r="AC203">
        <v>0.69189273399999995</v>
      </c>
      <c r="AD203">
        <v>0.19450610600000001</v>
      </c>
      <c r="AE203">
        <v>0.79174437600000003</v>
      </c>
      <c r="AF203">
        <v>1.135210979</v>
      </c>
      <c r="AG203">
        <v>1.764928788</v>
      </c>
      <c r="AH203">
        <v>1.908865136</v>
      </c>
      <c r="AI203">
        <v>1.45275968</v>
      </c>
      <c r="AJ203">
        <v>-0.10818451699999999</v>
      </c>
      <c r="AK203">
        <v>-0.228774057</v>
      </c>
      <c r="AL203">
        <v>0.92401384900000005</v>
      </c>
      <c r="AM203">
        <v>0.43357045599999999</v>
      </c>
      <c r="AN203">
        <v>1.3009623269999999</v>
      </c>
      <c r="AP203">
        <v>1.664357039</v>
      </c>
      <c r="AQ203">
        <v>0.86347212299999998</v>
      </c>
      <c r="AR203">
        <v>0.70255473899999998</v>
      </c>
      <c r="AT203">
        <v>1.2507785730000001</v>
      </c>
      <c r="AU203">
        <v>9.9423794999999995E-2</v>
      </c>
    </row>
    <row r="204" spans="1:47" x14ac:dyDescent="0.35">
      <c r="A204" t="s">
        <v>268</v>
      </c>
      <c r="B204" s="73">
        <v>35796</v>
      </c>
      <c r="C204">
        <v>1.3514575719999999</v>
      </c>
      <c r="D204">
        <v>1.454726746</v>
      </c>
      <c r="E204">
        <v>0.99948882299999997</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1.114679</v>
      </c>
      <c r="S204">
        <v>2.9460201279999998</v>
      </c>
      <c r="T204">
        <v>0.98526104299999995</v>
      </c>
      <c r="U204">
        <v>0.83032099999999998</v>
      </c>
      <c r="V204">
        <v>1.45499958</v>
      </c>
      <c r="W204">
        <v>0.95343378199999995</v>
      </c>
      <c r="X204">
        <v>0.85548513199999998</v>
      </c>
      <c r="Y204">
        <v>1.6008599999999999</v>
      </c>
      <c r="Z204">
        <v>1.638828188</v>
      </c>
      <c r="AA204">
        <v>2.9089756200000001</v>
      </c>
      <c r="AB204">
        <v>1.776445064</v>
      </c>
      <c r="AC204">
        <v>1.7979169230000001</v>
      </c>
      <c r="AD204">
        <v>3.1823658999999997E-2</v>
      </c>
      <c r="AE204">
        <v>-0.45599433099999997</v>
      </c>
      <c r="AF204">
        <v>1.1201756650000001</v>
      </c>
      <c r="AG204">
        <v>0.27293305000000001</v>
      </c>
      <c r="AH204">
        <v>2.4795174040000001</v>
      </c>
      <c r="AI204">
        <v>1.282980368</v>
      </c>
      <c r="AJ204">
        <v>1.419936855</v>
      </c>
      <c r="AK204">
        <v>-0.174840208</v>
      </c>
      <c r="AL204">
        <v>0.94334443700000004</v>
      </c>
      <c r="AM204">
        <v>1.711591554</v>
      </c>
      <c r="AN204">
        <v>0.67232428600000005</v>
      </c>
      <c r="AP204">
        <v>-0.53651513299999998</v>
      </c>
      <c r="AQ204">
        <v>0.32421315299999998</v>
      </c>
      <c r="AR204">
        <v>2.0873460929999998</v>
      </c>
      <c r="AT204">
        <v>0.85874356299999999</v>
      </c>
      <c r="AU204">
        <v>1.3815328999999999E-2</v>
      </c>
    </row>
    <row r="205" spans="1:47" x14ac:dyDescent="0.35">
      <c r="A205" t="s">
        <v>269</v>
      </c>
      <c r="B205" s="73">
        <v>35886</v>
      </c>
      <c r="C205">
        <v>0.51742156399999994</v>
      </c>
      <c r="D205">
        <v>0.64982452499999999</v>
      </c>
      <c r="E205">
        <v>0.83890825300000005</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0.68973700000000004</v>
      </c>
      <c r="S205">
        <v>-0.72875933199999998</v>
      </c>
      <c r="T205">
        <v>0.93427573100000005</v>
      </c>
      <c r="U205">
        <v>0.46881600000000001</v>
      </c>
      <c r="V205">
        <v>0.60051480300000004</v>
      </c>
      <c r="W205">
        <v>1.2009036099999999</v>
      </c>
      <c r="X205">
        <v>0.87043920299999999</v>
      </c>
      <c r="Y205">
        <v>1.6300699999999999</v>
      </c>
      <c r="Z205">
        <v>2.3096386469999999</v>
      </c>
      <c r="AA205">
        <v>-2.578806895</v>
      </c>
      <c r="AB205">
        <v>1.4373874740000001</v>
      </c>
      <c r="AC205">
        <v>-0.75601494700000005</v>
      </c>
      <c r="AD205">
        <v>-1.2103394409999999</v>
      </c>
      <c r="AE205">
        <v>-6.8180219849999997</v>
      </c>
      <c r="AF205">
        <v>1.0722199189999999</v>
      </c>
      <c r="AG205">
        <v>5.7883758529999998</v>
      </c>
      <c r="AH205">
        <v>0.91900843399999999</v>
      </c>
      <c r="AI205">
        <v>1.3490372850000001</v>
      </c>
      <c r="AJ205">
        <v>0.96896641900000002</v>
      </c>
      <c r="AK205">
        <v>-0.53118180800000003</v>
      </c>
      <c r="AL205">
        <v>0.40793232800000001</v>
      </c>
      <c r="AM205">
        <v>1.907511996</v>
      </c>
      <c r="AN205">
        <v>1.4476665689999999</v>
      </c>
      <c r="AP205">
        <v>1.770220476</v>
      </c>
      <c r="AQ205">
        <v>0.56128534900000004</v>
      </c>
      <c r="AR205">
        <v>0.40074563200000002</v>
      </c>
      <c r="AT205">
        <v>0.999375401</v>
      </c>
      <c r="AU205">
        <v>0.26270384400000002</v>
      </c>
    </row>
    <row r="206" spans="1:47" x14ac:dyDescent="0.35">
      <c r="A206" t="s">
        <v>270</v>
      </c>
      <c r="B206" s="73">
        <v>35977</v>
      </c>
      <c r="C206">
        <v>1.9595053579999999</v>
      </c>
      <c r="D206">
        <v>0.93164420400000003</v>
      </c>
      <c r="E206">
        <v>0.99067369900000002</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0.42410799999999998</v>
      </c>
      <c r="S206">
        <v>2.0181608899999999</v>
      </c>
      <c r="T206">
        <v>0.80547088200000005</v>
      </c>
      <c r="U206">
        <v>0.45034099999999999</v>
      </c>
      <c r="V206">
        <v>0.53216760799999996</v>
      </c>
      <c r="W206">
        <v>0.44231389199999999</v>
      </c>
      <c r="X206">
        <v>1.487343678</v>
      </c>
      <c r="Y206">
        <v>1.31074</v>
      </c>
      <c r="Z206">
        <v>2.5825048829999999</v>
      </c>
      <c r="AA206">
        <v>10.067048432</v>
      </c>
      <c r="AB206">
        <v>1.0618837000000001E-2</v>
      </c>
      <c r="AC206">
        <v>0.58450155800000003</v>
      </c>
      <c r="AD206">
        <v>-0.440493682</v>
      </c>
      <c r="AE206">
        <v>-0.80793206900000003</v>
      </c>
      <c r="AF206">
        <v>3.5119039920000001</v>
      </c>
      <c r="AG206">
        <v>-0.51093459500000005</v>
      </c>
      <c r="AH206">
        <v>0.71884724300000002</v>
      </c>
      <c r="AI206">
        <v>0.715690359</v>
      </c>
      <c r="AJ206">
        <v>1.139085798</v>
      </c>
      <c r="AK206">
        <v>0.52535865800000003</v>
      </c>
      <c r="AL206">
        <v>0.45715956899999999</v>
      </c>
      <c r="AM206">
        <v>3.4419248E-2</v>
      </c>
      <c r="AN206">
        <v>1.535719128</v>
      </c>
      <c r="AP206">
        <v>9.3764750000000004E-3</v>
      </c>
      <c r="AQ206">
        <v>0.82304244299999996</v>
      </c>
      <c r="AR206">
        <v>1.3504191489999999</v>
      </c>
      <c r="AS206">
        <v>-0.79654295600000002</v>
      </c>
      <c r="AT206">
        <v>0.92582050699999996</v>
      </c>
      <c r="AU206">
        <v>0.14142531699999999</v>
      </c>
    </row>
    <row r="207" spans="1:47" x14ac:dyDescent="0.35">
      <c r="A207" t="s">
        <v>271</v>
      </c>
      <c r="B207" s="73">
        <v>36069</v>
      </c>
      <c r="C207">
        <v>-0.30461429800000001</v>
      </c>
      <c r="D207">
        <v>1.903486416</v>
      </c>
      <c r="E207">
        <v>0.73584529300000001</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0.63083800000000001</v>
      </c>
      <c r="S207">
        <v>1.2561428139999999</v>
      </c>
      <c r="T207">
        <v>0.73882180900000005</v>
      </c>
      <c r="U207">
        <v>0.78823100000000001</v>
      </c>
      <c r="V207">
        <v>0.30097738400000001</v>
      </c>
      <c r="W207">
        <v>0.34917263199999998</v>
      </c>
      <c r="X207">
        <v>0.89611810300000005</v>
      </c>
      <c r="Y207">
        <v>1.8147500000000001</v>
      </c>
      <c r="Z207">
        <v>3.7159493640000001</v>
      </c>
      <c r="AA207">
        <v>-0.34242207200000002</v>
      </c>
      <c r="AB207">
        <v>0.93321600500000002</v>
      </c>
      <c r="AC207">
        <v>0.137618776</v>
      </c>
      <c r="AD207">
        <v>0.17894591900000001</v>
      </c>
      <c r="AE207">
        <v>1.7471518049999999</v>
      </c>
      <c r="AF207">
        <v>1.8494432059999999</v>
      </c>
      <c r="AG207">
        <v>-0.94500752300000002</v>
      </c>
      <c r="AH207">
        <v>0.51769796800000001</v>
      </c>
      <c r="AI207">
        <v>0.85358416100000001</v>
      </c>
      <c r="AJ207">
        <v>-1.802816448</v>
      </c>
      <c r="AK207">
        <v>0.103374013</v>
      </c>
      <c r="AL207">
        <v>0.70613529399999997</v>
      </c>
      <c r="AM207">
        <v>0.97078036499999998</v>
      </c>
      <c r="AN207">
        <v>1.1085038810000001</v>
      </c>
      <c r="AP207">
        <v>-0.825761721</v>
      </c>
      <c r="AQ207">
        <v>0.766491174</v>
      </c>
      <c r="AR207">
        <v>0.49068959299999998</v>
      </c>
      <c r="AS207">
        <v>-1.4070748980000001</v>
      </c>
      <c r="AT207">
        <v>1.252764553</v>
      </c>
      <c r="AU207">
        <v>-0.219033432</v>
      </c>
    </row>
    <row r="208" spans="1:47" x14ac:dyDescent="0.35">
      <c r="A208" t="s">
        <v>272</v>
      </c>
      <c r="B208" s="73">
        <v>36161</v>
      </c>
      <c r="C208">
        <v>-2.5492660520000001</v>
      </c>
      <c r="D208">
        <v>1.5151032090000001</v>
      </c>
      <c r="E208">
        <v>0.35851666599999998</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0.172407</v>
      </c>
      <c r="S208">
        <v>0.88646774800000006</v>
      </c>
      <c r="T208">
        <v>0.65727501200000005</v>
      </c>
      <c r="U208">
        <v>0.95558399999999999</v>
      </c>
      <c r="V208">
        <v>0.62541786700000002</v>
      </c>
      <c r="W208">
        <v>0.78799276399999996</v>
      </c>
      <c r="X208">
        <v>6.562991E-2</v>
      </c>
      <c r="Y208">
        <v>1.31071</v>
      </c>
      <c r="Z208">
        <v>-2.4016528589999999</v>
      </c>
      <c r="AA208">
        <v>3.2679551409999998</v>
      </c>
      <c r="AB208">
        <v>0.69499234600000004</v>
      </c>
      <c r="AC208">
        <v>-0.54865422600000002</v>
      </c>
      <c r="AD208">
        <v>0.79990454</v>
      </c>
      <c r="AE208">
        <v>2.4960498219999998</v>
      </c>
      <c r="AF208">
        <v>0.61630633800000001</v>
      </c>
      <c r="AG208">
        <v>-2.6022516929999999</v>
      </c>
      <c r="AH208">
        <v>0.13348168099999999</v>
      </c>
      <c r="AI208">
        <v>0.91511237599999995</v>
      </c>
      <c r="AJ208">
        <v>0.51406921999999999</v>
      </c>
      <c r="AK208">
        <v>0.99825019400000004</v>
      </c>
      <c r="AL208">
        <v>0.84244770999999996</v>
      </c>
      <c r="AM208">
        <v>0.32830696700000001</v>
      </c>
      <c r="AN208">
        <v>0.75321015199999997</v>
      </c>
      <c r="AP208">
        <v>7.5547186579999996</v>
      </c>
      <c r="AQ208">
        <v>0.73760519899999999</v>
      </c>
      <c r="AR208">
        <v>1.2259707310000001</v>
      </c>
      <c r="AS208">
        <v>-0.25868815899999997</v>
      </c>
      <c r="AT208">
        <v>1.6161907019999999</v>
      </c>
      <c r="AU208">
        <v>9.6284365999999996E-2</v>
      </c>
    </row>
    <row r="209" spans="1:47" x14ac:dyDescent="0.35">
      <c r="A209" t="s">
        <v>273</v>
      </c>
      <c r="B209" s="73">
        <v>36251</v>
      </c>
      <c r="C209">
        <v>-1.245853391</v>
      </c>
      <c r="D209">
        <v>0.73036766099999995</v>
      </c>
      <c r="E209">
        <v>0.65028228399999999</v>
      </c>
      <c r="F209">
        <v>1.0449659899999999</v>
      </c>
      <c r="G209">
        <v>0.17755507700000001</v>
      </c>
      <c r="H209">
        <v>1.8138161740000001</v>
      </c>
      <c r="I209">
        <v>0.122291445</v>
      </c>
      <c r="J209">
        <v>1.9194374E-2</v>
      </c>
      <c r="L209">
        <v>2.0765021000000002E-2</v>
      </c>
      <c r="M209">
        <v>1.1546311460000001</v>
      </c>
      <c r="N209">
        <v>0.90603632300000003</v>
      </c>
      <c r="O209">
        <v>1.1097870000000001</v>
      </c>
      <c r="P209">
        <v>1.003493424</v>
      </c>
      <c r="Q209">
        <v>-0.75795565399999998</v>
      </c>
      <c r="R209">
        <v>1.0547599999999999</v>
      </c>
      <c r="S209">
        <v>1.649363081</v>
      </c>
      <c r="T209">
        <v>1.0663199379999999</v>
      </c>
      <c r="U209">
        <v>0.59172400000000003</v>
      </c>
      <c r="V209">
        <v>0.71753312999999996</v>
      </c>
      <c r="W209">
        <v>0.76233132400000003</v>
      </c>
      <c r="X209">
        <v>7.5788895999999994E-2</v>
      </c>
      <c r="Y209">
        <v>1.62415</v>
      </c>
      <c r="Z209">
        <v>5.6588074109999997</v>
      </c>
      <c r="AA209">
        <v>-0.31018611200000001</v>
      </c>
      <c r="AB209">
        <v>-0.79130324600000002</v>
      </c>
      <c r="AC209">
        <v>0.68951212299999998</v>
      </c>
      <c r="AD209">
        <v>-1.371795951</v>
      </c>
      <c r="AE209">
        <v>3.03463255</v>
      </c>
      <c r="AF209">
        <v>2.745075645</v>
      </c>
      <c r="AG209">
        <v>3.521149678</v>
      </c>
      <c r="AH209">
        <v>1.0112163620000001</v>
      </c>
      <c r="AI209">
        <v>1.6667538310000001</v>
      </c>
      <c r="AJ209">
        <v>0.85604586500000002</v>
      </c>
      <c r="AK209">
        <v>1.1616348089999999</v>
      </c>
      <c r="AL209">
        <v>0.67348909400000001</v>
      </c>
      <c r="AM209">
        <v>0.81635455899999998</v>
      </c>
      <c r="AN209">
        <v>1.3291963899999999</v>
      </c>
      <c r="AP209">
        <v>-3.3492551759999998</v>
      </c>
      <c r="AQ209">
        <v>1.7770725780000001</v>
      </c>
      <c r="AR209">
        <v>1.098752929</v>
      </c>
      <c r="AS209">
        <v>-1.6858202179999999</v>
      </c>
      <c r="AT209">
        <v>0.94382661499999998</v>
      </c>
      <c r="AU209">
        <v>0.96106894399999998</v>
      </c>
    </row>
    <row r="210" spans="1:47" x14ac:dyDescent="0.35">
      <c r="A210" t="s">
        <v>274</v>
      </c>
      <c r="B210" s="73">
        <v>36342</v>
      </c>
      <c r="C210">
        <v>-1.1299073589999999</v>
      </c>
      <c r="D210">
        <v>0.32460221500000003</v>
      </c>
      <c r="E210">
        <v>1.3175037300000001</v>
      </c>
      <c r="F210">
        <v>1.3681735850000001</v>
      </c>
      <c r="G210">
        <v>0.51985623299999995</v>
      </c>
      <c r="H210">
        <v>0.83654469799999998</v>
      </c>
      <c r="I210">
        <v>0.57894643599999995</v>
      </c>
      <c r="J210">
        <v>0.27283652800000002</v>
      </c>
      <c r="L210">
        <v>0.46067066600000001</v>
      </c>
      <c r="M210">
        <v>4.8799999999999999E-6</v>
      </c>
      <c r="N210">
        <v>0.51638309299999996</v>
      </c>
      <c r="O210">
        <v>0.45177600000000001</v>
      </c>
      <c r="P210">
        <v>1.1924241390000001</v>
      </c>
      <c r="Q210">
        <v>0.87741145399999998</v>
      </c>
      <c r="R210">
        <v>0.49336400000000002</v>
      </c>
      <c r="S210">
        <v>0.531208499</v>
      </c>
      <c r="T210">
        <v>0.276449114</v>
      </c>
      <c r="U210">
        <v>0.56555200000000005</v>
      </c>
      <c r="V210">
        <v>0.40412960199999998</v>
      </c>
      <c r="W210">
        <v>0.93320508999999996</v>
      </c>
      <c r="X210">
        <v>1.0361817710000001</v>
      </c>
      <c r="Y210">
        <v>2.58223</v>
      </c>
      <c r="Z210">
        <v>1.1326242360000001</v>
      </c>
      <c r="AA210">
        <v>-2.2619454870000002</v>
      </c>
      <c r="AB210">
        <v>4.0753471489999997</v>
      </c>
      <c r="AC210">
        <v>0.34668479299999999</v>
      </c>
      <c r="AD210">
        <v>0.37913724599999998</v>
      </c>
      <c r="AE210">
        <v>4.3831648489999999</v>
      </c>
      <c r="AF210">
        <v>2.1591418889999998</v>
      </c>
      <c r="AG210">
        <v>-1.5738090300000001</v>
      </c>
      <c r="AH210">
        <v>0.59309010200000001</v>
      </c>
      <c r="AI210">
        <v>1.1129019090000001</v>
      </c>
      <c r="AJ210">
        <v>4.5643771E-2</v>
      </c>
      <c r="AK210">
        <v>0.79454208500000001</v>
      </c>
      <c r="AL210">
        <v>0.71153224299999995</v>
      </c>
      <c r="AM210">
        <v>2.0703885610000001</v>
      </c>
      <c r="AN210">
        <v>0.52210511000000004</v>
      </c>
      <c r="AP210">
        <v>-1.6996212429999999</v>
      </c>
      <c r="AQ210">
        <v>4.1827591699999997</v>
      </c>
      <c r="AR210">
        <v>0.67567209699999997</v>
      </c>
      <c r="AS210">
        <v>-0.563715666</v>
      </c>
      <c r="AT210">
        <v>0.83500003</v>
      </c>
      <c r="AU210">
        <v>0.79589022200000004</v>
      </c>
    </row>
    <row r="211" spans="1:47" x14ac:dyDescent="0.35">
      <c r="A211" t="s">
        <v>275</v>
      </c>
      <c r="B211" s="73">
        <v>36434</v>
      </c>
      <c r="C211">
        <v>-0.28815049799999998</v>
      </c>
      <c r="D211">
        <v>1.15815717</v>
      </c>
      <c r="E211">
        <v>1.659397974</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1.1198330000000001</v>
      </c>
      <c r="S211">
        <v>0.53320523600000003</v>
      </c>
      <c r="T211">
        <v>1.1132150080000001</v>
      </c>
      <c r="U211">
        <v>1.162104</v>
      </c>
      <c r="V211">
        <v>1.6806309669999999</v>
      </c>
      <c r="W211">
        <v>0.38279775599999999</v>
      </c>
      <c r="X211">
        <v>1.8388786530000001</v>
      </c>
      <c r="Y211">
        <v>1.24533</v>
      </c>
      <c r="Z211">
        <v>4.0389238159999996</v>
      </c>
      <c r="AA211">
        <v>0.73977839599999995</v>
      </c>
      <c r="AB211">
        <v>0.322171816</v>
      </c>
      <c r="AC211">
        <v>0.88251902100000001</v>
      </c>
      <c r="AD211">
        <v>0.53278581999999997</v>
      </c>
      <c r="AE211">
        <v>2.7811709840000001</v>
      </c>
      <c r="AF211">
        <v>2.875859911</v>
      </c>
      <c r="AG211">
        <v>3.5785354790000001</v>
      </c>
      <c r="AH211">
        <v>0.97704630999999997</v>
      </c>
      <c r="AI211">
        <v>1.37722889</v>
      </c>
      <c r="AJ211">
        <v>2.0653281780000001</v>
      </c>
      <c r="AK211">
        <v>2.7854377320000001</v>
      </c>
      <c r="AL211">
        <v>1.160639572</v>
      </c>
      <c r="AM211">
        <v>1.9748869440000001</v>
      </c>
      <c r="AN211">
        <v>0.98039887299999995</v>
      </c>
      <c r="AP211">
        <v>-0.62265068400000001</v>
      </c>
      <c r="AQ211">
        <v>-2.6616376239999999</v>
      </c>
      <c r="AR211">
        <v>0.73959870900000002</v>
      </c>
      <c r="AS211">
        <v>-1.6866180550000001</v>
      </c>
      <c r="AT211">
        <v>1.3230270260000001</v>
      </c>
      <c r="AU211">
        <v>1.0918972440000001</v>
      </c>
    </row>
    <row r="212" spans="1:47" x14ac:dyDescent="0.35">
      <c r="A212" t="s">
        <v>276</v>
      </c>
      <c r="B212" s="73">
        <v>36526</v>
      </c>
      <c r="C212">
        <v>1.6728210139999999</v>
      </c>
      <c r="D212">
        <v>1.697206368</v>
      </c>
      <c r="E212">
        <v>0.28413225600000003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1.1717390000000001</v>
      </c>
      <c r="S212">
        <v>0.85290393499999995</v>
      </c>
      <c r="T212">
        <v>1.4286461829999999</v>
      </c>
      <c r="U212">
        <v>1.24451</v>
      </c>
      <c r="V212">
        <v>1.4495850699999999</v>
      </c>
      <c r="W212">
        <v>1.5989245139999999</v>
      </c>
      <c r="X212">
        <v>1.145142949</v>
      </c>
      <c r="Y212">
        <v>1.65076</v>
      </c>
      <c r="Z212">
        <v>2.3159724389999998</v>
      </c>
      <c r="AA212">
        <v>4.3536632150000001</v>
      </c>
      <c r="AB212">
        <v>1.737235096</v>
      </c>
      <c r="AC212">
        <v>1.462181135</v>
      </c>
      <c r="AD212">
        <v>3.5214917999999998E-2</v>
      </c>
      <c r="AE212">
        <v>2.8862553750000002</v>
      </c>
      <c r="AF212">
        <v>-0.40823526199999999</v>
      </c>
      <c r="AG212">
        <v>3.3109439940000001</v>
      </c>
      <c r="AH212">
        <v>0.91734338699999995</v>
      </c>
      <c r="AI212">
        <v>1.406875109</v>
      </c>
      <c r="AJ212">
        <v>1.7287073850000001</v>
      </c>
      <c r="AK212">
        <v>1.216769193</v>
      </c>
      <c r="AL212">
        <v>1.3276592979999999</v>
      </c>
      <c r="AM212">
        <v>1.4611992030000001</v>
      </c>
      <c r="AN212">
        <v>0.57433716000000001</v>
      </c>
      <c r="AP212">
        <v>-0.452696025</v>
      </c>
      <c r="AQ212">
        <v>1.793276246</v>
      </c>
      <c r="AR212">
        <v>1.8942042100000001</v>
      </c>
      <c r="AS212">
        <v>2.9874202940000001</v>
      </c>
      <c r="AT212">
        <v>1.642779005</v>
      </c>
      <c r="AU212">
        <v>1.0999821620000001</v>
      </c>
    </row>
    <row r="213" spans="1:47" x14ac:dyDescent="0.35">
      <c r="A213" t="s">
        <v>277</v>
      </c>
      <c r="B213" s="73">
        <v>36617</v>
      </c>
      <c r="C213">
        <v>-0.34000240700000001</v>
      </c>
      <c r="D213">
        <v>0.40178032000000002</v>
      </c>
      <c r="E213">
        <v>0.92825143700000001</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1.2177249999999999</v>
      </c>
      <c r="S213">
        <v>2.9824228929999999</v>
      </c>
      <c r="T213">
        <v>1.035587904</v>
      </c>
      <c r="U213">
        <v>0.90021099999999998</v>
      </c>
      <c r="V213">
        <v>1.1613035890000001</v>
      </c>
      <c r="W213">
        <v>0.37966255999999998</v>
      </c>
      <c r="X213">
        <v>0.84235599999999999</v>
      </c>
      <c r="Y213">
        <v>2.0995300000000001</v>
      </c>
      <c r="Z213">
        <v>0.96452769000000005</v>
      </c>
      <c r="AA213">
        <v>-7.2197056999999995E-2</v>
      </c>
      <c r="AB213">
        <v>2.1876553890000001</v>
      </c>
      <c r="AC213">
        <v>1.112893605</v>
      </c>
      <c r="AD213">
        <v>1.699745592</v>
      </c>
      <c r="AE213">
        <v>1.895051738</v>
      </c>
      <c r="AF213">
        <v>5.1756448109999997</v>
      </c>
      <c r="AG213">
        <v>0.86894701900000004</v>
      </c>
      <c r="AH213">
        <v>1.8842496550000001</v>
      </c>
      <c r="AI213">
        <v>0.62271010999999998</v>
      </c>
      <c r="AJ213">
        <v>1.512039914</v>
      </c>
      <c r="AK213">
        <v>1.4538152609999999</v>
      </c>
      <c r="AL213">
        <v>1.026508744</v>
      </c>
      <c r="AM213">
        <v>0.72739659700000003</v>
      </c>
      <c r="AN213">
        <v>2.2254685850000002</v>
      </c>
      <c r="AP213">
        <v>1.066027219</v>
      </c>
      <c r="AQ213">
        <v>1.1836151859999999</v>
      </c>
      <c r="AR213">
        <v>0.67459026200000005</v>
      </c>
      <c r="AS213">
        <v>1.5748513790000001</v>
      </c>
      <c r="AT213">
        <v>0.36444736100000003</v>
      </c>
      <c r="AU213">
        <v>1.168839972</v>
      </c>
    </row>
    <row r="214" spans="1:47" x14ac:dyDescent="0.35">
      <c r="A214" t="s">
        <v>278</v>
      </c>
      <c r="B214" s="73">
        <v>36708</v>
      </c>
      <c r="C214">
        <v>-1.6088924600000001</v>
      </c>
      <c r="D214">
        <v>0.91936039300000005</v>
      </c>
      <c r="E214">
        <v>0.79427196600000005</v>
      </c>
      <c r="F214">
        <v>0.71957438500000004</v>
      </c>
      <c r="G214">
        <v>1.4033672100000001</v>
      </c>
      <c r="H214">
        <v>1.1885847089999999</v>
      </c>
      <c r="I214">
        <v>0.443327996</v>
      </c>
      <c r="J214">
        <v>0.221694277</v>
      </c>
      <c r="L214">
        <v>0.95429668599999995</v>
      </c>
      <c r="M214">
        <v>0.809332948</v>
      </c>
      <c r="N214">
        <v>1.1384173420000001</v>
      </c>
      <c r="O214">
        <v>0.91762900000000003</v>
      </c>
      <c r="P214">
        <v>1.2583178719999999</v>
      </c>
      <c r="Q214">
        <v>2.5042493280000002</v>
      </c>
      <c r="R214">
        <v>0.97490600000000005</v>
      </c>
      <c r="S214">
        <v>0.77059324200000001</v>
      </c>
      <c r="T214">
        <v>1.0314560800000001</v>
      </c>
      <c r="U214">
        <v>1.2573209999999999</v>
      </c>
      <c r="V214">
        <v>0.65492170400000005</v>
      </c>
      <c r="W214">
        <v>0.92199407799999999</v>
      </c>
      <c r="X214">
        <v>1.076521498</v>
      </c>
      <c r="Y214">
        <v>0.13491</v>
      </c>
      <c r="Z214">
        <v>2.6193225789999999</v>
      </c>
      <c r="AA214">
        <v>1.0182608900000001</v>
      </c>
      <c r="AB214">
        <v>3.0744140870000001</v>
      </c>
      <c r="AC214">
        <v>0.816881619</v>
      </c>
      <c r="AD214">
        <v>0.47215726699999999</v>
      </c>
      <c r="AE214">
        <v>1.3325102150000001</v>
      </c>
      <c r="AF214">
        <v>-1.308913481</v>
      </c>
      <c r="AG214">
        <v>-0.26870470800000001</v>
      </c>
      <c r="AH214">
        <v>1.5052428360000001</v>
      </c>
      <c r="AI214">
        <v>1.1168028889999999</v>
      </c>
      <c r="AJ214">
        <v>-1.451450991</v>
      </c>
      <c r="AK214">
        <v>4.2224156999999998E-2</v>
      </c>
      <c r="AL214">
        <v>1.2595374290000001</v>
      </c>
      <c r="AM214">
        <v>1.102425244</v>
      </c>
      <c r="AN214">
        <v>-0.52848783099999996</v>
      </c>
      <c r="AP214">
        <v>0.99038481199999995</v>
      </c>
      <c r="AQ214">
        <v>1.315066592</v>
      </c>
      <c r="AR214">
        <v>2.5237127049999999</v>
      </c>
      <c r="AS214">
        <v>3.8933703569999998</v>
      </c>
      <c r="AT214">
        <v>1.8205830080000001</v>
      </c>
      <c r="AU214">
        <v>0.91999078599999995</v>
      </c>
    </row>
    <row r="215" spans="1:47" x14ac:dyDescent="0.35">
      <c r="A215" t="s">
        <v>279</v>
      </c>
      <c r="B215" s="73">
        <v>36800</v>
      </c>
      <c r="C215">
        <v>-0.25518508200000001</v>
      </c>
      <c r="D215">
        <v>0.277602022</v>
      </c>
      <c r="E215">
        <v>0.55046275700000002</v>
      </c>
      <c r="F215">
        <v>0.46371237700000001</v>
      </c>
      <c r="G215">
        <v>1.1637739140000001</v>
      </c>
      <c r="H215">
        <v>1.0169817880000001</v>
      </c>
      <c r="I215">
        <v>0.942006809</v>
      </c>
      <c r="J215">
        <v>1.55589961</v>
      </c>
      <c r="L215">
        <v>1.2986223240000001</v>
      </c>
      <c r="M215">
        <v>-4.7224414999999999E-2</v>
      </c>
      <c r="N215">
        <v>0.27623821399999998</v>
      </c>
      <c r="O215">
        <v>0.55781400000000003</v>
      </c>
      <c r="P215">
        <v>1.0801129709999999</v>
      </c>
      <c r="Q215">
        <v>1.2338408270000001</v>
      </c>
      <c r="R215">
        <v>0.552651</v>
      </c>
      <c r="S215">
        <v>1.5659240320000001</v>
      </c>
      <c r="T215">
        <v>0.69397016600000005</v>
      </c>
      <c r="U215">
        <v>0.22003600000000001</v>
      </c>
      <c r="V215">
        <v>0.51003696600000004</v>
      </c>
      <c r="W215">
        <v>1.8684096670000001</v>
      </c>
      <c r="X215">
        <v>0.87585771499999998</v>
      </c>
      <c r="Y215">
        <v>1.32769</v>
      </c>
      <c r="Z215">
        <v>2.1698415249999998</v>
      </c>
      <c r="AA215">
        <v>2.9852937439999998</v>
      </c>
      <c r="AB215">
        <v>3.067003573</v>
      </c>
      <c r="AC215">
        <v>0.61460372699999999</v>
      </c>
      <c r="AD215">
        <v>2.4308948E-2</v>
      </c>
      <c r="AE215">
        <v>2.754591172</v>
      </c>
      <c r="AF215">
        <v>1.7424555669999999</v>
      </c>
      <c r="AG215">
        <v>3.1032475549999998</v>
      </c>
      <c r="AH215">
        <v>1.0209344119999999</v>
      </c>
      <c r="AI215">
        <v>0.82516336300000004</v>
      </c>
      <c r="AJ215">
        <v>0.97549958699999995</v>
      </c>
      <c r="AK215">
        <v>0.38249492200000001</v>
      </c>
      <c r="AL215">
        <v>0.48383103700000002</v>
      </c>
      <c r="AM215">
        <v>0.32114440900000002</v>
      </c>
      <c r="AN215">
        <v>1.4648645250000001</v>
      </c>
      <c r="AP215">
        <v>0.60647595499999996</v>
      </c>
      <c r="AQ215">
        <v>1.1698643179999999</v>
      </c>
      <c r="AR215">
        <v>0.77771430900000005</v>
      </c>
      <c r="AS215">
        <v>1.4893164219999999</v>
      </c>
      <c r="AT215">
        <v>9.9774128000000004E-2</v>
      </c>
      <c r="AU215">
        <v>0.99039428299999999</v>
      </c>
    </row>
    <row r="216" spans="1:47" x14ac:dyDescent="0.35">
      <c r="A216" t="s">
        <v>280</v>
      </c>
      <c r="B216" s="73">
        <v>36892</v>
      </c>
      <c r="C216">
        <v>0.30685813499999998</v>
      </c>
      <c r="D216">
        <v>-0.37098335399999999</v>
      </c>
      <c r="E216">
        <v>1.280999037</v>
      </c>
      <c r="F216">
        <v>0.97766039900000001</v>
      </c>
      <c r="G216">
        <v>1.2185837020000001</v>
      </c>
      <c r="H216">
        <v>0.17120740000000001</v>
      </c>
      <c r="I216">
        <v>1.332834426</v>
      </c>
      <c r="J216">
        <v>1.173626284</v>
      </c>
      <c r="L216">
        <v>0.475647341</v>
      </c>
      <c r="M216">
        <v>-0.29530531300000001</v>
      </c>
      <c r="N216">
        <v>0.97780016700000005</v>
      </c>
      <c r="O216">
        <v>0.68317899999999998</v>
      </c>
      <c r="P216">
        <v>1.0185955010000001</v>
      </c>
      <c r="Q216">
        <v>2.2499212270000002</v>
      </c>
      <c r="R216">
        <v>0.68412499999999998</v>
      </c>
      <c r="S216">
        <v>1.0630646829999999</v>
      </c>
      <c r="T216">
        <v>0.81807315999999997</v>
      </c>
      <c r="U216">
        <v>0.61250599999999999</v>
      </c>
      <c r="V216">
        <v>0.429040478</v>
      </c>
      <c r="W216">
        <v>1.418925598</v>
      </c>
      <c r="X216">
        <v>1.868523106</v>
      </c>
      <c r="Y216">
        <v>4.1889999999999997E-2</v>
      </c>
      <c r="Z216">
        <v>1.060463135</v>
      </c>
      <c r="AA216">
        <v>-1.1129793290000001</v>
      </c>
      <c r="AB216">
        <v>-2.4754254999999999E-2</v>
      </c>
      <c r="AC216">
        <v>1.5011550119999999</v>
      </c>
      <c r="AD216">
        <v>0.97465143200000004</v>
      </c>
      <c r="AE216">
        <v>-0.32445797199999998</v>
      </c>
      <c r="AF216">
        <v>0.58756566499999996</v>
      </c>
      <c r="AG216">
        <v>-1.216758528</v>
      </c>
      <c r="AH216">
        <v>-0.86584411400000005</v>
      </c>
      <c r="AI216">
        <v>1.299729479</v>
      </c>
      <c r="AJ216">
        <v>3.9488318000000001E-2</v>
      </c>
      <c r="AK216">
        <v>0.18394912499999999</v>
      </c>
      <c r="AL216">
        <v>0.58254966799999996</v>
      </c>
      <c r="AM216">
        <v>1.7877448499999999</v>
      </c>
      <c r="AN216">
        <v>0.66940159099999996</v>
      </c>
      <c r="AP216">
        <v>0.56770391899999995</v>
      </c>
      <c r="AQ216">
        <v>0.826220858</v>
      </c>
      <c r="AR216">
        <v>-0.28280999000000001</v>
      </c>
      <c r="AS216">
        <v>1.436633405</v>
      </c>
      <c r="AT216">
        <v>0.59436175499999999</v>
      </c>
      <c r="AU216">
        <v>0.85095468600000002</v>
      </c>
    </row>
    <row r="217" spans="1:47" x14ac:dyDescent="0.35">
      <c r="A217" t="s">
        <v>281</v>
      </c>
      <c r="B217" s="73">
        <v>36982</v>
      </c>
      <c r="C217">
        <v>0.16364615900000001</v>
      </c>
      <c r="D217">
        <v>1.035857102</v>
      </c>
      <c r="E217">
        <v>-0.216946573</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0.90522199999999997</v>
      </c>
      <c r="S217">
        <v>0.489247671</v>
      </c>
      <c r="T217">
        <v>0.49241965100000001</v>
      </c>
      <c r="U217">
        <v>0.33766499999999999</v>
      </c>
      <c r="V217">
        <v>0.85636700300000002</v>
      </c>
      <c r="W217">
        <v>1.237878102</v>
      </c>
      <c r="X217">
        <v>0.71011954399999999</v>
      </c>
      <c r="Y217">
        <v>0.54066000000000003</v>
      </c>
      <c r="Z217">
        <v>1.582268617</v>
      </c>
      <c r="AA217">
        <v>0.50276186199999995</v>
      </c>
      <c r="AB217">
        <v>-1.1869114940000001</v>
      </c>
      <c r="AC217">
        <v>0.59575638399999997</v>
      </c>
      <c r="AD217">
        <v>0.739139828</v>
      </c>
      <c r="AE217">
        <v>1.2255548009999999</v>
      </c>
      <c r="AF217">
        <v>1.6312568810000001</v>
      </c>
      <c r="AG217">
        <v>2.2827680419999998</v>
      </c>
      <c r="AH217">
        <v>2.9913797999999998E-2</v>
      </c>
      <c r="AI217">
        <v>0.10852068400000001</v>
      </c>
      <c r="AJ217">
        <v>1.1838735389999999</v>
      </c>
      <c r="AK217">
        <v>0.32787745299999999</v>
      </c>
      <c r="AL217">
        <v>0.260692429</v>
      </c>
      <c r="AM217">
        <v>-0.32481869600000002</v>
      </c>
      <c r="AN217">
        <v>-0.31268365599999998</v>
      </c>
      <c r="AP217">
        <v>0.709737807</v>
      </c>
      <c r="AQ217">
        <v>1.31564382</v>
      </c>
      <c r="AR217">
        <v>0.33043160199999999</v>
      </c>
      <c r="AS217">
        <v>-5.1251296079999999</v>
      </c>
      <c r="AT217">
        <v>-0.32422100300000001</v>
      </c>
      <c r="AU217">
        <v>0.61451183300000001</v>
      </c>
    </row>
    <row r="218" spans="1:47" x14ac:dyDescent="0.35">
      <c r="A218" t="s">
        <v>282</v>
      </c>
      <c r="B218" s="73">
        <v>37073</v>
      </c>
      <c r="C218">
        <v>-0.82981777400000001</v>
      </c>
      <c r="D218">
        <v>0.81552952000000001</v>
      </c>
      <c r="E218">
        <v>-8.6548504999999998E-2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9.9440000000000001E-2</v>
      </c>
      <c r="S218">
        <v>0.119503397</v>
      </c>
      <c r="T218">
        <v>0.12915207400000001</v>
      </c>
      <c r="U218">
        <v>0.190723</v>
      </c>
      <c r="V218">
        <v>0.36600617800000002</v>
      </c>
      <c r="W218">
        <v>-0.26357386700000002</v>
      </c>
      <c r="X218">
        <v>0.81552606000000005</v>
      </c>
      <c r="Y218">
        <v>2.0813700000000002</v>
      </c>
      <c r="Z218">
        <v>1.1482959319999999</v>
      </c>
      <c r="AA218">
        <v>3.1529165369999999</v>
      </c>
      <c r="AB218">
        <v>-0.335507102</v>
      </c>
      <c r="AC218">
        <v>-0.35015618599999998</v>
      </c>
      <c r="AD218">
        <v>-0.74670223000000002</v>
      </c>
      <c r="AE218">
        <v>1.2988810260000001</v>
      </c>
      <c r="AF218">
        <v>-1.245687013</v>
      </c>
      <c r="AG218">
        <v>4.5898798809999999</v>
      </c>
      <c r="AH218">
        <v>-0.53748277099999997</v>
      </c>
      <c r="AI218">
        <v>0.50566903500000004</v>
      </c>
      <c r="AJ218">
        <v>-0.178444349</v>
      </c>
      <c r="AK218">
        <v>1.4091871680000001</v>
      </c>
      <c r="AL218">
        <v>0.14252831399999999</v>
      </c>
      <c r="AM218">
        <v>-0.29364718299999998</v>
      </c>
      <c r="AN218">
        <v>0.96744614500000004</v>
      </c>
      <c r="AP218">
        <v>1.05615975</v>
      </c>
      <c r="AQ218">
        <v>2.7669756E-2</v>
      </c>
      <c r="AR218">
        <v>4.5859187000000003E-2</v>
      </c>
      <c r="AS218">
        <v>-4.8440387170000001</v>
      </c>
      <c r="AT218">
        <v>0.62138921499999999</v>
      </c>
      <c r="AU218">
        <v>0.49970441599999998</v>
      </c>
    </row>
    <row r="219" spans="1:47" x14ac:dyDescent="0.35">
      <c r="A219" t="s">
        <v>283</v>
      </c>
      <c r="B219" s="73">
        <v>37165</v>
      </c>
      <c r="C219">
        <v>-4.6458788760000003</v>
      </c>
      <c r="D219">
        <v>1.1738472310000001</v>
      </c>
      <c r="E219">
        <v>5.0690869E-2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0.14351700000000001</v>
      </c>
      <c r="S219">
        <v>0.63216993399999999</v>
      </c>
      <c r="T219">
        <v>0.273136879</v>
      </c>
      <c r="U219">
        <v>-0.35801899999999998</v>
      </c>
      <c r="V219">
        <v>0.460117524</v>
      </c>
      <c r="W219">
        <v>1.621616296</v>
      </c>
      <c r="X219">
        <v>0.90525882300000005</v>
      </c>
      <c r="Y219">
        <v>1.2368600000000001</v>
      </c>
      <c r="Z219">
        <v>-0.508008079</v>
      </c>
      <c r="AA219">
        <v>-2.4384862190000001</v>
      </c>
      <c r="AB219">
        <v>-1.0417425220000001</v>
      </c>
      <c r="AC219">
        <v>-0.31675081999999999</v>
      </c>
      <c r="AD219">
        <v>-1.090883249</v>
      </c>
      <c r="AE219">
        <v>1.3501936240000001</v>
      </c>
      <c r="AF219">
        <v>1.4386347960000001</v>
      </c>
      <c r="AG219">
        <v>-2.1471048189999999</v>
      </c>
      <c r="AH219">
        <v>0.21918069000000001</v>
      </c>
      <c r="AI219">
        <v>0.17378780599999999</v>
      </c>
      <c r="AJ219">
        <v>1.236688161</v>
      </c>
      <c r="AK219">
        <v>0.74765391400000003</v>
      </c>
      <c r="AL219">
        <v>-9.0645226999999995E-2</v>
      </c>
      <c r="AM219">
        <v>0.48001608400000001</v>
      </c>
      <c r="AN219">
        <v>0.14634139500000001</v>
      </c>
      <c r="AP219">
        <v>0.38299500800000003</v>
      </c>
      <c r="AQ219">
        <v>0.63325655999999997</v>
      </c>
      <c r="AR219">
        <v>0.38180602899999999</v>
      </c>
      <c r="AS219">
        <v>1.2517857720000001</v>
      </c>
      <c r="AT219">
        <v>-0.400349016</v>
      </c>
      <c r="AU219">
        <v>0.26574794299999999</v>
      </c>
    </row>
    <row r="220" spans="1:47" x14ac:dyDescent="0.35">
      <c r="A220" t="s">
        <v>284</v>
      </c>
      <c r="B220" s="73">
        <v>37257</v>
      </c>
      <c r="C220">
        <v>-5.6948729309999999</v>
      </c>
      <c r="D220">
        <v>1.217177551</v>
      </c>
      <c r="E220">
        <v>0.35965286000000002</v>
      </c>
      <c r="F220">
        <v>-9.9694909999999998E-2</v>
      </c>
      <c r="G220">
        <v>-0.26377960700000003</v>
      </c>
      <c r="H220">
        <v>0.60882924699999996</v>
      </c>
      <c r="I220">
        <v>-0.31873025199999999</v>
      </c>
      <c r="J220">
        <v>0.62460033699999995</v>
      </c>
      <c r="L220">
        <v>0.74081654600000002</v>
      </c>
      <c r="M220">
        <v>-8.1492953000000007E-2</v>
      </c>
      <c r="N220">
        <v>-0.197216541</v>
      </c>
      <c r="O220">
        <v>0.10399700000000001</v>
      </c>
      <c r="P220">
        <v>0.68050729499999996</v>
      </c>
      <c r="Q220">
        <v>1.467099435</v>
      </c>
      <c r="R220">
        <v>0.13988800000000001</v>
      </c>
      <c r="S220">
        <v>-0.28115184399999998</v>
      </c>
      <c r="T220">
        <v>-6.5668629000000006E-2</v>
      </c>
      <c r="U220">
        <v>8.6995000000000003E-2</v>
      </c>
      <c r="V220">
        <v>0.16242685400000001</v>
      </c>
      <c r="W220">
        <v>0.26489864099999999</v>
      </c>
      <c r="X220">
        <v>0.73723629700000004</v>
      </c>
      <c r="Y220">
        <v>2.2958799999999999</v>
      </c>
      <c r="Z220">
        <v>1.9032509179999999</v>
      </c>
      <c r="AA220">
        <v>5.9095411479999997</v>
      </c>
      <c r="AB220">
        <v>-0.415621568</v>
      </c>
      <c r="AC220">
        <v>-0.199735202</v>
      </c>
      <c r="AD220">
        <v>-0.34300352099999998</v>
      </c>
      <c r="AE220">
        <v>1.762585517</v>
      </c>
      <c r="AF220">
        <v>2.6165375960000001</v>
      </c>
      <c r="AG220">
        <v>3.2952214359999998</v>
      </c>
      <c r="AH220">
        <v>-0.63823790000000002</v>
      </c>
      <c r="AI220">
        <v>0.32251530099999998</v>
      </c>
      <c r="AJ220">
        <v>0.87309641599999999</v>
      </c>
      <c r="AK220">
        <v>1.484211065</v>
      </c>
      <c r="AL220">
        <v>0.17142217900000001</v>
      </c>
      <c r="AM220">
        <v>1.3797992E-2</v>
      </c>
      <c r="AN220">
        <v>1.3990396789999999</v>
      </c>
      <c r="AP220">
        <v>2.1714336360000002</v>
      </c>
      <c r="AQ220">
        <v>1.142194224</v>
      </c>
      <c r="AR220">
        <v>0.83339043899999998</v>
      </c>
      <c r="AS220">
        <v>-1.6828962709999999</v>
      </c>
      <c r="AT220">
        <v>0.27731435799999998</v>
      </c>
      <c r="AU220">
        <v>0.76932292499999999</v>
      </c>
    </row>
    <row r="221" spans="1:47" x14ac:dyDescent="0.35">
      <c r="A221" t="s">
        <v>285</v>
      </c>
      <c r="B221" s="73">
        <v>37347</v>
      </c>
      <c r="C221">
        <v>-4.9310185359999998</v>
      </c>
      <c r="D221">
        <v>0.75305800700000003</v>
      </c>
      <c r="E221">
        <v>0.99432100499999998</v>
      </c>
      <c r="F221">
        <v>0.85967464599999999</v>
      </c>
      <c r="G221">
        <v>2.427443904</v>
      </c>
      <c r="H221">
        <v>1.4842260460000001</v>
      </c>
      <c r="I221">
        <v>1.5774073E-2</v>
      </c>
      <c r="J221">
        <v>0.83743443399999995</v>
      </c>
      <c r="L221">
        <v>-0.196354374</v>
      </c>
      <c r="M221">
        <v>-0.51264006200000001</v>
      </c>
      <c r="N221">
        <v>-3.3566445E-2</v>
      </c>
      <c r="O221">
        <v>0.13955200000000001</v>
      </c>
      <c r="P221">
        <v>0.43075532100000002</v>
      </c>
      <c r="Q221">
        <v>0.69699863500000003</v>
      </c>
      <c r="R221">
        <v>0.17644399999999999</v>
      </c>
      <c r="S221">
        <v>0.65419943199999997</v>
      </c>
      <c r="T221">
        <v>0.56354131799999996</v>
      </c>
      <c r="U221">
        <v>0.50991299999999995</v>
      </c>
      <c r="V221">
        <v>0.34732202699999998</v>
      </c>
      <c r="W221">
        <v>0.81704766799999995</v>
      </c>
      <c r="X221">
        <v>2.2648997999999998</v>
      </c>
      <c r="Y221">
        <v>0.80710000000000004</v>
      </c>
      <c r="Z221">
        <v>1.9629513599999999</v>
      </c>
      <c r="AA221">
        <v>-5.7655402689999997</v>
      </c>
      <c r="AB221">
        <v>0.279672056</v>
      </c>
      <c r="AC221">
        <v>0.16591288800000001</v>
      </c>
      <c r="AD221">
        <v>0.16994584099999999</v>
      </c>
      <c r="AE221">
        <v>2.5444815919999999</v>
      </c>
      <c r="AF221">
        <v>0.41817015800000001</v>
      </c>
      <c r="AG221">
        <v>-4.1796752E-2</v>
      </c>
      <c r="AH221">
        <v>-0.66974568800000001</v>
      </c>
      <c r="AI221">
        <v>-0.61017998900000003</v>
      </c>
      <c r="AJ221">
        <v>-0.89857641899999996</v>
      </c>
      <c r="AK221">
        <v>0.88002420699999995</v>
      </c>
      <c r="AL221">
        <v>0.56155349600000004</v>
      </c>
      <c r="AM221">
        <v>0.67344249199999995</v>
      </c>
      <c r="AN221">
        <v>0.17780853799999999</v>
      </c>
      <c r="AP221">
        <v>0.315983609</v>
      </c>
      <c r="AQ221">
        <v>1.414785891</v>
      </c>
      <c r="AR221">
        <v>-0.131200452</v>
      </c>
      <c r="AS221">
        <v>3.7775825539999999</v>
      </c>
      <c r="AT221">
        <v>0.82822721600000004</v>
      </c>
      <c r="AU221">
        <v>1.0860090200000001</v>
      </c>
    </row>
    <row r="222" spans="1:47" x14ac:dyDescent="0.35">
      <c r="A222" t="s">
        <v>286</v>
      </c>
      <c r="B222" s="73">
        <v>37438</v>
      </c>
      <c r="C222">
        <v>0.42398614800000001</v>
      </c>
      <c r="D222">
        <v>1.7283319610000001</v>
      </c>
      <c r="E222">
        <v>0.54088297500000004</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0.55351700000000004</v>
      </c>
      <c r="S222">
        <v>0.98914565799999998</v>
      </c>
      <c r="T222">
        <v>0.40792217400000003</v>
      </c>
      <c r="U222">
        <v>0.58570800000000001</v>
      </c>
      <c r="V222">
        <v>0.52586350900000001</v>
      </c>
      <c r="W222">
        <v>2.238306787</v>
      </c>
      <c r="X222">
        <v>0.55306458700000005</v>
      </c>
      <c r="Y222">
        <v>0.62375999999999998</v>
      </c>
      <c r="Z222">
        <v>0.46200298699999998</v>
      </c>
      <c r="AA222">
        <v>3.554913161</v>
      </c>
      <c r="AB222">
        <v>0.54726599899999995</v>
      </c>
      <c r="AC222">
        <v>0.36217187499999998</v>
      </c>
      <c r="AD222">
        <v>0.80978388800000001</v>
      </c>
      <c r="AE222">
        <v>1.8121354160000001</v>
      </c>
      <c r="AF222">
        <v>1.758029925</v>
      </c>
      <c r="AG222">
        <v>3.8652878500000001</v>
      </c>
      <c r="AH222">
        <v>0.90838121900000002</v>
      </c>
      <c r="AI222">
        <v>0.34826357800000002</v>
      </c>
      <c r="AJ222">
        <v>2.0837607249999999</v>
      </c>
      <c r="AK222">
        <v>1.3147699150000001</v>
      </c>
      <c r="AL222">
        <v>0.79134154000000001</v>
      </c>
      <c r="AM222">
        <v>0.69675149700000005</v>
      </c>
      <c r="AN222">
        <v>-0.46398581300000002</v>
      </c>
      <c r="AP222">
        <v>1.0049665780000001</v>
      </c>
      <c r="AQ222">
        <v>-0.46765529900000002</v>
      </c>
      <c r="AR222">
        <v>1.558855922</v>
      </c>
      <c r="AS222">
        <v>4.3164154459999997</v>
      </c>
      <c r="AT222">
        <v>0.61550245599999998</v>
      </c>
      <c r="AU222">
        <v>1.2688591810000001</v>
      </c>
    </row>
    <row r="223" spans="1:47" x14ac:dyDescent="0.35">
      <c r="A223" t="s">
        <v>287</v>
      </c>
      <c r="B223" s="73">
        <v>37530</v>
      </c>
      <c r="C223">
        <v>7.4497308999999998E-2</v>
      </c>
      <c r="D223">
        <v>0.29959898400000001</v>
      </c>
      <c r="E223">
        <v>0.21701014599999999</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0.39748699999999998</v>
      </c>
      <c r="S223">
        <v>-0.23402964400000001</v>
      </c>
      <c r="T223">
        <v>0.24632296100000001</v>
      </c>
      <c r="U223">
        <v>0.413657</v>
      </c>
      <c r="V223">
        <v>0.72589894399999999</v>
      </c>
      <c r="W223">
        <v>0.57704490600000002</v>
      </c>
      <c r="X223">
        <v>0.93329477800000005</v>
      </c>
      <c r="Y223">
        <v>0.59355999999999998</v>
      </c>
      <c r="Z223">
        <v>1.9541636710000001</v>
      </c>
      <c r="AA223">
        <v>-0.85355983099999999</v>
      </c>
      <c r="AB223">
        <v>4.8287699000000003E-2</v>
      </c>
      <c r="AC223">
        <v>0.204819055</v>
      </c>
      <c r="AD223">
        <v>0.31488192599999998</v>
      </c>
      <c r="AE223">
        <v>2.0218129560000002</v>
      </c>
      <c r="AF223">
        <v>-1.554092716</v>
      </c>
      <c r="AG223">
        <v>1.1964500680000001</v>
      </c>
      <c r="AH223">
        <v>0.78474696300000002</v>
      </c>
      <c r="AI223">
        <v>0.15526388299999999</v>
      </c>
      <c r="AJ223">
        <v>-1.48828962</v>
      </c>
      <c r="AK223">
        <v>1.194088767</v>
      </c>
      <c r="AL223">
        <v>0.49842037099999997</v>
      </c>
      <c r="AM223">
        <v>0.94338480700000005</v>
      </c>
      <c r="AN223">
        <v>-0.45360012799999999</v>
      </c>
      <c r="AP223">
        <v>2.2478758089999999</v>
      </c>
      <c r="AQ223">
        <v>1.3005720089999999</v>
      </c>
      <c r="AR223">
        <v>0.61071300900000003</v>
      </c>
      <c r="AS223">
        <v>1.366468032</v>
      </c>
      <c r="AT223">
        <v>0.40352870400000002</v>
      </c>
      <c r="AU223">
        <v>1.131829481</v>
      </c>
    </row>
    <row r="224" spans="1:47" x14ac:dyDescent="0.35">
      <c r="A224" t="s">
        <v>288</v>
      </c>
      <c r="B224" s="73">
        <v>37622</v>
      </c>
      <c r="C224">
        <v>1.019056942</v>
      </c>
      <c r="D224">
        <v>0.81540645099999998</v>
      </c>
      <c r="E224">
        <v>-0.32179872999999998</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0.25817600000000002</v>
      </c>
      <c r="S224">
        <v>1.138140747</v>
      </c>
      <c r="T224">
        <v>0.230087291</v>
      </c>
      <c r="U224">
        <v>0.22572500000000001</v>
      </c>
      <c r="V224">
        <v>0.83806784700000003</v>
      </c>
      <c r="W224">
        <v>0.77102046599999996</v>
      </c>
      <c r="X224">
        <v>1.221331594</v>
      </c>
      <c r="Y224">
        <v>7.8240000000000004E-2</v>
      </c>
      <c r="Z224">
        <v>1.565200886</v>
      </c>
      <c r="AA224">
        <v>1.9171470479999999</v>
      </c>
      <c r="AB224">
        <v>-0.210825281</v>
      </c>
      <c r="AC224">
        <v>0.42418502499999999</v>
      </c>
      <c r="AD224">
        <v>0.27777315000000002</v>
      </c>
      <c r="AE224">
        <v>1.0973539919999999</v>
      </c>
      <c r="AF224">
        <v>-0.35045346500000002</v>
      </c>
      <c r="AG224">
        <v>4.0348490769999996</v>
      </c>
      <c r="AH224">
        <v>0.23436239</v>
      </c>
      <c r="AI224">
        <v>0.14965119700000001</v>
      </c>
      <c r="AJ224">
        <v>1.1324807480000001</v>
      </c>
      <c r="AK224">
        <v>1.3701635910000001</v>
      </c>
      <c r="AL224">
        <v>0.34875529500000002</v>
      </c>
      <c r="AM224">
        <v>0.52946026700000004</v>
      </c>
      <c r="AN224">
        <v>-0.74644120800000002</v>
      </c>
      <c r="AP224">
        <v>0.66145417699999998</v>
      </c>
      <c r="AQ224">
        <v>1.8961547700000001</v>
      </c>
      <c r="AR224">
        <v>0.151055415</v>
      </c>
      <c r="AS224">
        <v>2.13363529</v>
      </c>
      <c r="AT224">
        <v>0.13065576700000001</v>
      </c>
      <c r="AU224">
        <v>0.83198865899999996</v>
      </c>
    </row>
    <row r="225" spans="1:47" x14ac:dyDescent="0.35">
      <c r="A225" t="s">
        <v>289</v>
      </c>
      <c r="B225" s="73">
        <v>37712</v>
      </c>
      <c r="C225">
        <v>3.695017177</v>
      </c>
      <c r="D225">
        <v>0.18863063399999999</v>
      </c>
      <c r="E225">
        <v>0.65687612900000003</v>
      </c>
      <c r="F225">
        <v>-0.26354319199999998</v>
      </c>
      <c r="G225">
        <v>-0.45661520700000002</v>
      </c>
      <c r="H225">
        <v>0.55332523499999997</v>
      </c>
      <c r="I225">
        <v>-0.47432022600000001</v>
      </c>
      <c r="J225">
        <v>1.421052776</v>
      </c>
      <c r="L225">
        <v>1.055680792</v>
      </c>
      <c r="M225">
        <v>-1.478778285</v>
      </c>
      <c r="N225">
        <v>0.53590578200000005</v>
      </c>
      <c r="O225">
        <v>-0.31858999999999998</v>
      </c>
      <c r="P225">
        <v>0.93673244700000002</v>
      </c>
      <c r="Q225">
        <v>2.293806472</v>
      </c>
      <c r="R225">
        <v>-0.20863899999999999</v>
      </c>
      <c r="S225">
        <v>-0.70655442000000002</v>
      </c>
      <c r="T225">
        <v>9.3143992999999994E-2</v>
      </c>
      <c r="U225">
        <v>0.153473</v>
      </c>
      <c r="V225">
        <v>0.63332125399999994</v>
      </c>
      <c r="W225">
        <v>2.0819525830000001</v>
      </c>
      <c r="X225">
        <v>0.753821941</v>
      </c>
      <c r="Y225">
        <v>2.25109</v>
      </c>
      <c r="Z225">
        <v>-0.245937719</v>
      </c>
      <c r="AA225">
        <v>1.6032474489999999</v>
      </c>
      <c r="AB225">
        <v>1.1281253899999999</v>
      </c>
      <c r="AC225">
        <v>-0.35457107900000001</v>
      </c>
      <c r="AD225">
        <v>6.3035573999999997E-2</v>
      </c>
      <c r="AE225">
        <v>-0.65915983499999997</v>
      </c>
      <c r="AF225">
        <v>-0.12787351499999999</v>
      </c>
      <c r="AG225">
        <v>0.629175598</v>
      </c>
      <c r="AH225">
        <v>0.23747802700000001</v>
      </c>
      <c r="AI225">
        <v>1.7344153000000001E-2</v>
      </c>
      <c r="AJ225">
        <v>-2.8625331E-2</v>
      </c>
      <c r="AK225">
        <v>0.61329036299999995</v>
      </c>
      <c r="AL225">
        <v>0.20379433799999999</v>
      </c>
      <c r="AM225">
        <v>0.39259999099999998</v>
      </c>
      <c r="AN225">
        <v>0.105061371</v>
      </c>
      <c r="AP225">
        <v>1.7789282340000001</v>
      </c>
      <c r="AQ225">
        <v>-0.12236593699999999</v>
      </c>
      <c r="AR225">
        <v>1.1655842249999999</v>
      </c>
      <c r="AS225">
        <v>8.3600699000000001E-2</v>
      </c>
      <c r="AT225">
        <v>0.51672318699999997</v>
      </c>
      <c r="AU225">
        <v>0.63476228000000001</v>
      </c>
    </row>
    <row r="226" spans="1:47" x14ac:dyDescent="0.35">
      <c r="A226" t="s">
        <v>290</v>
      </c>
      <c r="B226" s="73">
        <v>37803</v>
      </c>
      <c r="C226">
        <v>3.1643250489999999</v>
      </c>
      <c r="D226">
        <v>0.42583935699999997</v>
      </c>
      <c r="E226">
        <v>0.182638246</v>
      </c>
      <c r="F226">
        <v>0.21374045799999999</v>
      </c>
      <c r="G226">
        <v>-0.81946085700000004</v>
      </c>
      <c r="H226">
        <v>-0.14746372799999999</v>
      </c>
      <c r="I226">
        <v>-0.213060532</v>
      </c>
      <c r="J226">
        <v>1.058676682</v>
      </c>
      <c r="L226">
        <v>1.051891208</v>
      </c>
      <c r="M226">
        <v>0.10615703</v>
      </c>
      <c r="N226">
        <v>-0.93001758300000004</v>
      </c>
      <c r="O226">
        <v>8.9715000000000003E-2</v>
      </c>
      <c r="P226">
        <v>0.52695173500000003</v>
      </c>
      <c r="Q226">
        <v>2.3157523480000002</v>
      </c>
      <c r="R226">
        <v>0.117481</v>
      </c>
      <c r="S226">
        <v>1.4383043150000001</v>
      </c>
      <c r="T226">
        <v>-0.20480219699999999</v>
      </c>
      <c r="U226">
        <v>0.57662100000000005</v>
      </c>
      <c r="V226">
        <v>0.85630520300000001</v>
      </c>
      <c r="W226">
        <v>1.771173645</v>
      </c>
      <c r="X226">
        <v>1.0376051120000001</v>
      </c>
      <c r="Y226">
        <v>2.5331999999999999</v>
      </c>
      <c r="Z226">
        <v>0.62224813800000001</v>
      </c>
      <c r="AA226">
        <v>-2.9054469649999999</v>
      </c>
      <c r="AB226">
        <v>-0.19978744500000001</v>
      </c>
      <c r="AC226">
        <v>-0.13297230500000001</v>
      </c>
      <c r="AD226">
        <v>0.684939089</v>
      </c>
      <c r="AE226">
        <v>-0.154146863</v>
      </c>
      <c r="AF226">
        <v>2.5099130729999999</v>
      </c>
      <c r="AG226">
        <v>2.4126264160000002</v>
      </c>
      <c r="AH226">
        <v>0.23390764999999999</v>
      </c>
      <c r="AI226">
        <v>-0.34532982099999998</v>
      </c>
      <c r="AJ226">
        <v>-0.47697819800000002</v>
      </c>
      <c r="AK226">
        <v>0.49481283199999998</v>
      </c>
      <c r="AL226">
        <v>0.518370793</v>
      </c>
      <c r="AM226">
        <v>1.6751581579999999</v>
      </c>
      <c r="AN226">
        <v>-0.88876152200000003</v>
      </c>
      <c r="AO226">
        <v>1.1154365420000001</v>
      </c>
      <c r="AP226">
        <v>1.510186045</v>
      </c>
      <c r="AQ226">
        <v>-9.9419020000000007E-3</v>
      </c>
      <c r="AR226">
        <v>-0.58342438699999999</v>
      </c>
      <c r="AS226">
        <v>0.336326982</v>
      </c>
      <c r="AT226">
        <v>0.89337780099999997</v>
      </c>
      <c r="AU226">
        <v>0.48836950400000001</v>
      </c>
    </row>
    <row r="227" spans="1:47" x14ac:dyDescent="0.35">
      <c r="A227" t="s">
        <v>291</v>
      </c>
      <c r="B227" s="73">
        <v>37895</v>
      </c>
      <c r="C227">
        <v>2.4436381310000002</v>
      </c>
      <c r="D227">
        <v>1.741555908</v>
      </c>
      <c r="E227">
        <v>0.25483938900000003</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0.58703899999999998</v>
      </c>
      <c r="S227">
        <v>1.1961620470000001</v>
      </c>
      <c r="T227">
        <v>0.67326451600000004</v>
      </c>
      <c r="U227">
        <v>1.0541860000000001</v>
      </c>
      <c r="V227">
        <v>0.98562675600000005</v>
      </c>
      <c r="W227">
        <v>0.62731859400000001</v>
      </c>
      <c r="X227">
        <v>1.2055981689999999</v>
      </c>
      <c r="Y227">
        <v>2.6321099999999999</v>
      </c>
      <c r="Z227">
        <v>-0.103186661</v>
      </c>
      <c r="AA227">
        <v>0.191515198</v>
      </c>
      <c r="AB227">
        <v>0.91374371499999996</v>
      </c>
      <c r="AC227">
        <v>-8.3619115999999993E-2</v>
      </c>
      <c r="AD227">
        <v>0.29575425900000002</v>
      </c>
      <c r="AE227">
        <v>1.9326695089999999</v>
      </c>
      <c r="AF227">
        <v>1.0593181819999999</v>
      </c>
      <c r="AG227">
        <v>2.1533640360000001</v>
      </c>
      <c r="AH227">
        <v>-4.2120339E-2</v>
      </c>
      <c r="AI227">
        <v>8.8712713999999998E-2</v>
      </c>
      <c r="AJ227">
        <v>1.407083868</v>
      </c>
      <c r="AK227">
        <v>2.150281868</v>
      </c>
      <c r="AL227">
        <v>1.047266083</v>
      </c>
      <c r="AM227">
        <v>1.285991216</v>
      </c>
      <c r="AN227">
        <v>0.88737015500000005</v>
      </c>
      <c r="AO227">
        <v>1.6881671840000001</v>
      </c>
      <c r="AP227">
        <v>0.39331850899999998</v>
      </c>
      <c r="AQ227">
        <v>1.5912723769999999</v>
      </c>
      <c r="AR227">
        <v>1.454433241</v>
      </c>
      <c r="AS227">
        <v>2.8512124029999999</v>
      </c>
      <c r="AT227">
        <v>1.6668962700000001</v>
      </c>
      <c r="AU227">
        <v>0.54269058199999998</v>
      </c>
    </row>
    <row r="228" spans="1:47" x14ac:dyDescent="0.35">
      <c r="A228" t="s">
        <v>292</v>
      </c>
      <c r="B228" s="73">
        <v>37987</v>
      </c>
      <c r="C228">
        <v>1.8764988899999999</v>
      </c>
      <c r="D228">
        <v>1.657213568</v>
      </c>
      <c r="E228">
        <v>0.173326756</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0.76684699999999995</v>
      </c>
      <c r="S228">
        <v>0.18330840100000001</v>
      </c>
      <c r="T228">
        <v>0.67597921400000005</v>
      </c>
      <c r="U228">
        <v>0.95261700000000005</v>
      </c>
      <c r="V228">
        <v>0.77733857299999998</v>
      </c>
      <c r="W228">
        <v>2.1371795480000002</v>
      </c>
      <c r="X228">
        <v>1.040352148</v>
      </c>
      <c r="Y228">
        <v>3.28321</v>
      </c>
      <c r="Z228">
        <v>6.3104260759999997</v>
      </c>
      <c r="AA228">
        <v>3.1640473330000001</v>
      </c>
      <c r="AB228">
        <v>0.41911874999999998</v>
      </c>
      <c r="AC228">
        <v>0.88070563999999996</v>
      </c>
      <c r="AD228">
        <v>1.092298148</v>
      </c>
      <c r="AE228">
        <v>2.6394795860000002</v>
      </c>
      <c r="AF228">
        <v>3.7622261340000001</v>
      </c>
      <c r="AG228">
        <v>1.275691031</v>
      </c>
      <c r="AH228">
        <v>1.100421624</v>
      </c>
      <c r="AI228">
        <v>0.53539578399999999</v>
      </c>
      <c r="AJ228">
        <v>3.2046617999999999E-2</v>
      </c>
      <c r="AK228">
        <v>1.3202933990000001</v>
      </c>
      <c r="AL228">
        <v>1.075366947</v>
      </c>
      <c r="AM228">
        <v>0.76790269499999997</v>
      </c>
      <c r="AN228">
        <v>0.37779749600000001</v>
      </c>
      <c r="AO228">
        <v>1.8238187690000001</v>
      </c>
      <c r="AP228">
        <v>1.6861693230000001</v>
      </c>
      <c r="AQ228">
        <v>0.686809483</v>
      </c>
      <c r="AR228">
        <v>0.62614425500000004</v>
      </c>
      <c r="AS228">
        <v>3.0230130769999999</v>
      </c>
      <c r="AT228">
        <v>1.154045728</v>
      </c>
      <c r="AU228">
        <v>0.57693127200000005</v>
      </c>
    </row>
    <row r="229" spans="1:47" x14ac:dyDescent="0.35">
      <c r="A229" t="s">
        <v>293</v>
      </c>
      <c r="B229" s="73">
        <v>38078</v>
      </c>
      <c r="C229">
        <v>3.2103529489999998</v>
      </c>
      <c r="D229">
        <v>0.76573018500000001</v>
      </c>
      <c r="E229">
        <v>0.97243801299999999</v>
      </c>
      <c r="F229">
        <v>1.498661289</v>
      </c>
      <c r="G229">
        <v>1.37164643</v>
      </c>
      <c r="H229">
        <v>0.72026758700000004</v>
      </c>
      <c r="I229">
        <v>0.53282143400000004</v>
      </c>
      <c r="J229">
        <v>2.1062652650000002</v>
      </c>
      <c r="L229">
        <v>1.0657318469999999</v>
      </c>
      <c r="M229">
        <v>-0.17488757399999999</v>
      </c>
      <c r="N229">
        <v>0.48161750199999998</v>
      </c>
      <c r="O229">
        <v>0.50620299999999996</v>
      </c>
      <c r="P229">
        <v>0.60844005000000001</v>
      </c>
      <c r="Q229">
        <v>2.3190782140000001</v>
      </c>
      <c r="R229">
        <v>0.63261299999999998</v>
      </c>
      <c r="S229">
        <v>1.276604694</v>
      </c>
      <c r="T229">
        <v>0.97369937399999995</v>
      </c>
      <c r="U229">
        <v>0.52574500000000002</v>
      </c>
      <c r="V229">
        <v>0.44474420999999997</v>
      </c>
      <c r="W229">
        <v>1.8285645370000001</v>
      </c>
      <c r="X229">
        <v>1.53982262</v>
      </c>
      <c r="Y229">
        <v>0.36448999999999998</v>
      </c>
      <c r="Z229">
        <v>-0.54481811899999999</v>
      </c>
      <c r="AA229">
        <v>3.9220156199999998</v>
      </c>
      <c r="AB229">
        <v>2.2918998020000001</v>
      </c>
      <c r="AC229">
        <v>0.26344637199999998</v>
      </c>
      <c r="AD229">
        <v>0.732292163</v>
      </c>
      <c r="AE229">
        <v>1.254800591</v>
      </c>
      <c r="AF229">
        <v>-0.64223704299999995</v>
      </c>
      <c r="AG229">
        <v>3.3844804389999998</v>
      </c>
      <c r="AH229">
        <v>1.408058773</v>
      </c>
      <c r="AI229">
        <v>0.90523695299999996</v>
      </c>
      <c r="AJ229">
        <v>3.5394289589999999</v>
      </c>
      <c r="AK229">
        <v>1.719066005</v>
      </c>
      <c r="AL229">
        <v>0.76170493299999997</v>
      </c>
      <c r="AM229">
        <v>2.2418445500000002</v>
      </c>
      <c r="AN229">
        <v>0.90289461599999998</v>
      </c>
      <c r="AO229">
        <v>1.8786669309999999</v>
      </c>
      <c r="AP229">
        <v>1.298745332</v>
      </c>
      <c r="AQ229">
        <v>0.88540380100000005</v>
      </c>
      <c r="AR229">
        <v>1.854119356</v>
      </c>
      <c r="AS229">
        <v>2.7542829950000001</v>
      </c>
      <c r="AT229">
        <v>0.572916486</v>
      </c>
      <c r="AU229">
        <v>1.513781636</v>
      </c>
    </row>
    <row r="230" spans="1:47" x14ac:dyDescent="0.35">
      <c r="A230" t="s">
        <v>294</v>
      </c>
      <c r="B230" s="73">
        <v>38169</v>
      </c>
      <c r="C230">
        <v>-1.0470526449999999</v>
      </c>
      <c r="D230">
        <v>0.675671723</v>
      </c>
      <c r="E230">
        <v>0.76359436700000005</v>
      </c>
      <c r="F230">
        <v>0.96151650099999997</v>
      </c>
      <c r="G230">
        <v>2.7843378969999999</v>
      </c>
      <c r="H230">
        <v>1.1878190150000001</v>
      </c>
      <c r="I230">
        <v>0.80885678699999997</v>
      </c>
      <c r="J230">
        <v>1.922414893</v>
      </c>
      <c r="L230">
        <v>1.234532121</v>
      </c>
      <c r="M230">
        <v>0.51396004799999995</v>
      </c>
      <c r="N230">
        <v>0.59538165200000004</v>
      </c>
      <c r="O230">
        <v>0.61320200000000002</v>
      </c>
      <c r="P230">
        <v>0.983144346</v>
      </c>
      <c r="Q230">
        <v>-0.67963392099999997</v>
      </c>
      <c r="R230">
        <v>0.63495900000000005</v>
      </c>
      <c r="S230">
        <v>0.85972380900000001</v>
      </c>
      <c r="T230">
        <v>0.58523435099999999</v>
      </c>
      <c r="U230">
        <v>0.58955599999999997</v>
      </c>
      <c r="V230">
        <v>0.52907668500000005</v>
      </c>
      <c r="W230">
        <v>-1.8592187999999999E-2</v>
      </c>
      <c r="X230">
        <v>1.152037668</v>
      </c>
      <c r="Y230">
        <v>2.3781699999999999</v>
      </c>
      <c r="Z230">
        <v>2.1308077820000002</v>
      </c>
      <c r="AA230">
        <v>-0.91849024499999998</v>
      </c>
      <c r="AB230">
        <v>0.72983578800000004</v>
      </c>
      <c r="AC230">
        <v>0.39648724899999999</v>
      </c>
      <c r="AD230">
        <v>1.2080593000000001E-2</v>
      </c>
      <c r="AE230">
        <v>0.76349936900000004</v>
      </c>
      <c r="AF230">
        <v>0.117532252</v>
      </c>
      <c r="AG230">
        <v>1.3100653360000001</v>
      </c>
      <c r="AH230">
        <v>1.5479200289999999</v>
      </c>
      <c r="AI230">
        <v>0.47679610300000003</v>
      </c>
      <c r="AJ230">
        <v>0.20608548300000001</v>
      </c>
      <c r="AK230">
        <v>0.86985991900000004</v>
      </c>
      <c r="AL230">
        <v>0.69576244499999995</v>
      </c>
      <c r="AM230">
        <v>0.84304390399999996</v>
      </c>
      <c r="AN230">
        <v>0.57209478999999996</v>
      </c>
      <c r="AO230">
        <v>1.9271840410000001</v>
      </c>
      <c r="AP230">
        <v>0.66058734799999996</v>
      </c>
      <c r="AQ230">
        <v>1.2607173380000001</v>
      </c>
      <c r="AR230">
        <v>0.38567680799999998</v>
      </c>
      <c r="AS230">
        <v>2.328300885</v>
      </c>
      <c r="AT230">
        <v>0.77873875800000003</v>
      </c>
      <c r="AU230">
        <v>1.397449924</v>
      </c>
    </row>
    <row r="231" spans="1:47" x14ac:dyDescent="0.35">
      <c r="A231" t="s">
        <v>295</v>
      </c>
      <c r="B231" s="73">
        <v>38261</v>
      </c>
      <c r="C231">
        <v>5.0459779879999997</v>
      </c>
      <c r="D231">
        <v>0.76585161800000001</v>
      </c>
      <c r="E231">
        <v>1.1482647939999999</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0.28678700000000001</v>
      </c>
      <c r="S231">
        <v>1.085054253</v>
      </c>
      <c r="T231">
        <v>0.268751874</v>
      </c>
      <c r="U231">
        <v>0.61255400000000004</v>
      </c>
      <c r="V231">
        <v>0.23871430499999999</v>
      </c>
      <c r="W231">
        <v>1.334459386</v>
      </c>
      <c r="X231">
        <v>1.214213607</v>
      </c>
      <c r="Y231">
        <v>2.39764</v>
      </c>
      <c r="Z231">
        <v>-1.0652341780000001</v>
      </c>
      <c r="AA231">
        <v>4.8281812369999999</v>
      </c>
      <c r="AB231">
        <v>1.232696131</v>
      </c>
      <c r="AC231">
        <v>-5.3439977999999999E-2</v>
      </c>
      <c r="AD231">
        <v>0.61358412200000001</v>
      </c>
      <c r="AE231">
        <v>0.40558612900000002</v>
      </c>
      <c r="AF231">
        <v>2.3377391240000001</v>
      </c>
      <c r="AG231">
        <v>0.50966559</v>
      </c>
      <c r="AH231">
        <v>-0.21918364400000001</v>
      </c>
      <c r="AI231">
        <v>0.14938823900000001</v>
      </c>
      <c r="AJ231">
        <v>-1.156209367</v>
      </c>
      <c r="AK231">
        <v>0.30686527000000002</v>
      </c>
      <c r="AL231">
        <v>0.60396158</v>
      </c>
      <c r="AM231">
        <v>-4.1325304E-2</v>
      </c>
      <c r="AN231">
        <v>3.9396611999999998E-2</v>
      </c>
      <c r="AO231">
        <v>1.514535194</v>
      </c>
      <c r="AP231">
        <v>2.3195487780000001</v>
      </c>
      <c r="AQ231">
        <v>1.0337944370000001</v>
      </c>
      <c r="AR231">
        <v>0.81269277100000004</v>
      </c>
      <c r="AS231">
        <v>1.1277305360000001</v>
      </c>
      <c r="AT231">
        <v>0.94124722500000002</v>
      </c>
      <c r="AU231">
        <v>1.6351179389999999</v>
      </c>
    </row>
    <row r="232" spans="1:47" x14ac:dyDescent="0.35">
      <c r="A232" t="s">
        <v>296</v>
      </c>
      <c r="B232" s="73">
        <v>38353</v>
      </c>
      <c r="C232">
        <v>1.3228522220000001</v>
      </c>
      <c r="D232">
        <v>0.74647952299999998</v>
      </c>
      <c r="E232">
        <v>0.35758776799999997</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0.47142000000000001</v>
      </c>
      <c r="S232">
        <v>1.5052142740000001</v>
      </c>
      <c r="T232">
        <v>0.75385408200000004</v>
      </c>
      <c r="U232">
        <v>0.58743999999999996</v>
      </c>
      <c r="V232">
        <v>0.316186089</v>
      </c>
      <c r="W232">
        <v>-0.381337288</v>
      </c>
      <c r="X232">
        <v>0.42666302099999998</v>
      </c>
      <c r="Y232">
        <v>1.9366099999999999</v>
      </c>
      <c r="Z232">
        <v>3.5511341860000001</v>
      </c>
      <c r="AA232">
        <v>1.1531604129999999</v>
      </c>
      <c r="AB232">
        <v>1.3143103350000001</v>
      </c>
      <c r="AC232">
        <v>0.32013713999999999</v>
      </c>
      <c r="AD232">
        <v>-0.18624327600000001</v>
      </c>
      <c r="AE232">
        <v>0.75793377399999995</v>
      </c>
      <c r="AF232">
        <v>-1.079093839</v>
      </c>
      <c r="AG232">
        <v>2.3273114220000002</v>
      </c>
      <c r="AH232">
        <v>1.327522391</v>
      </c>
      <c r="AI232">
        <v>0.21801400900000001</v>
      </c>
      <c r="AJ232">
        <v>0.98387764700000002</v>
      </c>
      <c r="AK232">
        <v>0.36398553</v>
      </c>
      <c r="AL232">
        <v>0.69564501599999995</v>
      </c>
      <c r="AM232">
        <v>1.028408752</v>
      </c>
      <c r="AN232">
        <v>-0.295723234</v>
      </c>
      <c r="AO232">
        <v>1.1181707839999999</v>
      </c>
      <c r="AP232">
        <v>1.5334844329999999</v>
      </c>
      <c r="AQ232">
        <v>0.32090439500000001</v>
      </c>
      <c r="AR232">
        <v>0.817086639</v>
      </c>
      <c r="AS232">
        <v>1.622484668</v>
      </c>
      <c r="AT232">
        <v>1.0220273689999999</v>
      </c>
      <c r="AU232">
        <v>1.067930101</v>
      </c>
    </row>
    <row r="233" spans="1:47" x14ac:dyDescent="0.35">
      <c r="A233" t="s">
        <v>297</v>
      </c>
      <c r="B233" s="73">
        <v>38443</v>
      </c>
      <c r="C233">
        <v>2.9127299039999999</v>
      </c>
      <c r="D233">
        <v>0.759550909</v>
      </c>
      <c r="E233">
        <v>-0.185033893</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0.23850399999999999</v>
      </c>
      <c r="S233">
        <v>0.98926457300000004</v>
      </c>
      <c r="T233">
        <v>0.226712889</v>
      </c>
      <c r="U233">
        <v>0.690465</v>
      </c>
      <c r="V233">
        <v>0.75030259499999996</v>
      </c>
      <c r="W233">
        <v>-0.588090483</v>
      </c>
      <c r="X233">
        <v>0.986204054</v>
      </c>
      <c r="Y233">
        <v>1.7509699999999999</v>
      </c>
      <c r="Z233">
        <v>1.4805364809999999</v>
      </c>
      <c r="AA233">
        <v>-2.8023836110000002</v>
      </c>
      <c r="AB233">
        <v>0.77781869299999995</v>
      </c>
      <c r="AC233">
        <v>-0.25735945900000001</v>
      </c>
      <c r="AD233">
        <v>0.51197844999999997</v>
      </c>
      <c r="AE233">
        <v>0.85090336899999997</v>
      </c>
      <c r="AF233">
        <v>-0.82779179700000005</v>
      </c>
      <c r="AG233">
        <v>2.5927885740000001</v>
      </c>
      <c r="AH233">
        <v>0.165395668</v>
      </c>
      <c r="AI233">
        <v>0.322858268</v>
      </c>
      <c r="AJ233">
        <v>1.566586303</v>
      </c>
      <c r="AK233">
        <v>1.179219046</v>
      </c>
      <c r="AL233">
        <v>0.74923244499999997</v>
      </c>
      <c r="AM233">
        <v>0.70269762300000005</v>
      </c>
      <c r="AN233">
        <v>0.76901277800000001</v>
      </c>
      <c r="AO233">
        <v>1.7480820589999999</v>
      </c>
      <c r="AP233">
        <v>1.23671346</v>
      </c>
      <c r="AQ233">
        <v>0.87253027800000005</v>
      </c>
      <c r="AR233">
        <v>0.44569735700000002</v>
      </c>
      <c r="AS233">
        <v>4.6099516109999996</v>
      </c>
      <c r="AT233">
        <v>1.110882508</v>
      </c>
      <c r="AU233">
        <v>1.0165997529999999</v>
      </c>
    </row>
    <row r="234" spans="1:47" x14ac:dyDescent="0.35">
      <c r="A234" t="s">
        <v>298</v>
      </c>
      <c r="B234" s="73">
        <v>38534</v>
      </c>
      <c r="C234">
        <v>2.192770066</v>
      </c>
      <c r="D234">
        <v>0.450761352</v>
      </c>
      <c r="E234">
        <v>1.258093482</v>
      </c>
      <c r="F234">
        <v>0.59907526799999999</v>
      </c>
      <c r="G234">
        <v>1.1674602220000001</v>
      </c>
      <c r="H234">
        <v>0.72552270699999999</v>
      </c>
      <c r="I234">
        <v>1.092301309</v>
      </c>
      <c r="J234">
        <v>1.660761948</v>
      </c>
      <c r="L234">
        <v>1.5272647260000001</v>
      </c>
      <c r="M234">
        <v>0.53619039800000001</v>
      </c>
      <c r="N234">
        <v>1.968906957</v>
      </c>
      <c r="O234">
        <v>0.61543899999999996</v>
      </c>
      <c r="P234">
        <v>0.88880827100000004</v>
      </c>
      <c r="Q234">
        <v>3.9599279319999998</v>
      </c>
      <c r="R234">
        <v>0.66982299999999995</v>
      </c>
      <c r="S234">
        <v>-1.1961532349999999</v>
      </c>
      <c r="T234">
        <v>0.27621609000000003</v>
      </c>
      <c r="U234">
        <v>0.58720000000000006</v>
      </c>
      <c r="V234">
        <v>0.94649158700000002</v>
      </c>
      <c r="W234">
        <v>0.23781521799999999</v>
      </c>
      <c r="X234">
        <v>1.8966547119999999</v>
      </c>
      <c r="Y234">
        <v>3.1669</v>
      </c>
      <c r="Z234">
        <v>2.3738427209999999</v>
      </c>
      <c r="AA234">
        <v>7.1442540110000001</v>
      </c>
      <c r="AB234">
        <v>1.1517857760000001</v>
      </c>
      <c r="AC234">
        <v>0.80963993999999995</v>
      </c>
      <c r="AD234">
        <v>0.77186576200000001</v>
      </c>
      <c r="AE234">
        <v>1.8870628620000001</v>
      </c>
      <c r="AF234">
        <v>0.81425576099999997</v>
      </c>
      <c r="AG234">
        <v>2.3083013019999998</v>
      </c>
      <c r="AH234">
        <v>0.28347688599999998</v>
      </c>
      <c r="AI234">
        <v>0.703469864</v>
      </c>
      <c r="AJ234">
        <v>0.52545766199999999</v>
      </c>
      <c r="AK234">
        <v>1.614073667</v>
      </c>
      <c r="AL234">
        <v>0.68167471300000004</v>
      </c>
      <c r="AM234">
        <v>0.45837937099999998</v>
      </c>
      <c r="AN234">
        <v>0.368647118</v>
      </c>
      <c r="AO234">
        <v>1.522295172</v>
      </c>
      <c r="AP234">
        <v>2.097736684</v>
      </c>
      <c r="AQ234">
        <v>1.849438565</v>
      </c>
      <c r="AR234">
        <v>0.65815212099999998</v>
      </c>
      <c r="AS234">
        <v>0.42215947599999998</v>
      </c>
      <c r="AT234">
        <v>0.48660447800000001</v>
      </c>
      <c r="AU234">
        <v>1.794553973</v>
      </c>
    </row>
    <row r="235" spans="1:47" x14ac:dyDescent="0.35">
      <c r="A235" t="s">
        <v>299</v>
      </c>
      <c r="B235" s="73">
        <v>38626</v>
      </c>
      <c r="C235">
        <v>0.73089411199999998</v>
      </c>
      <c r="D235">
        <v>1.126512054</v>
      </c>
      <c r="E235">
        <v>0.693970105</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0.77889399999999998</v>
      </c>
      <c r="S235">
        <v>1.4479346820000001</v>
      </c>
      <c r="T235">
        <v>0.55492343600000005</v>
      </c>
      <c r="U235">
        <v>0.824901</v>
      </c>
      <c r="V235">
        <v>0.85783857100000005</v>
      </c>
      <c r="W235">
        <v>1.3908431649999999</v>
      </c>
      <c r="X235">
        <v>0.75010470699999998</v>
      </c>
      <c r="Y235">
        <v>1.3914200000000001</v>
      </c>
      <c r="Z235">
        <v>-1.8944497</v>
      </c>
      <c r="AA235">
        <v>0.35979015399999997</v>
      </c>
      <c r="AB235">
        <v>1.238779311</v>
      </c>
      <c r="AC235">
        <v>0.63499226099999995</v>
      </c>
      <c r="AD235">
        <v>1.017228274</v>
      </c>
      <c r="AE235">
        <v>1.5053308940000001</v>
      </c>
      <c r="AF235">
        <v>2.0172064760000001</v>
      </c>
      <c r="AG235">
        <v>4.9946548430000002</v>
      </c>
      <c r="AH235">
        <v>0.84166278100000003</v>
      </c>
      <c r="AI235">
        <v>1.342952261</v>
      </c>
      <c r="AJ235">
        <v>0.83125092099999998</v>
      </c>
      <c r="AK235">
        <v>0.50639485799999995</v>
      </c>
      <c r="AL235">
        <v>0.89571394699999995</v>
      </c>
      <c r="AM235">
        <v>1.900057415</v>
      </c>
      <c r="AN235">
        <v>-0.47193728299999999</v>
      </c>
      <c r="AO235">
        <v>1.762204946</v>
      </c>
      <c r="AP235">
        <v>1.6344740769999999</v>
      </c>
      <c r="AQ235">
        <v>0.85970032900000004</v>
      </c>
      <c r="AR235">
        <v>1.2021083770000001</v>
      </c>
      <c r="AS235">
        <v>1.4119712600000001</v>
      </c>
      <c r="AT235">
        <v>0.78562198000000005</v>
      </c>
      <c r="AU235">
        <v>1.3636185510000001</v>
      </c>
    </row>
    <row r="236" spans="1:47" x14ac:dyDescent="0.35">
      <c r="A236" t="s">
        <v>300</v>
      </c>
      <c r="B236" s="73">
        <v>38718</v>
      </c>
      <c r="C236">
        <v>1.8370322429999999</v>
      </c>
      <c r="D236">
        <v>0.76948456799999998</v>
      </c>
      <c r="E236">
        <v>0.87181713999999999</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0.693021</v>
      </c>
      <c r="S236">
        <v>0.28743606999999999</v>
      </c>
      <c r="T236">
        <v>0.66783649899999997</v>
      </c>
      <c r="U236">
        <v>0.53214600000000001</v>
      </c>
      <c r="V236">
        <v>1.043946134</v>
      </c>
      <c r="W236">
        <v>0.50101551600000005</v>
      </c>
      <c r="X236">
        <v>1.125625476</v>
      </c>
      <c r="Y236">
        <v>2.5279099999999999</v>
      </c>
      <c r="Z236">
        <v>3.9354149309999999</v>
      </c>
      <c r="AA236">
        <v>1.683677313</v>
      </c>
      <c r="AB236">
        <v>1.7557796429999999</v>
      </c>
      <c r="AC236">
        <v>0.15352691700000001</v>
      </c>
      <c r="AD236">
        <v>0.180190771</v>
      </c>
      <c r="AE236">
        <v>1.0124646660000001</v>
      </c>
      <c r="AF236">
        <v>5.1834518599999999</v>
      </c>
      <c r="AG236">
        <v>3.7832414380000001</v>
      </c>
      <c r="AH236">
        <v>1.6722135380000001</v>
      </c>
      <c r="AI236">
        <v>0.63055092499999998</v>
      </c>
      <c r="AJ236">
        <v>0.225499966</v>
      </c>
      <c r="AK236">
        <v>-0.42202269399999998</v>
      </c>
      <c r="AL236">
        <v>0.75471493499999998</v>
      </c>
      <c r="AM236">
        <v>1.7446989399999999</v>
      </c>
      <c r="AN236">
        <v>0.13303493999999999</v>
      </c>
      <c r="AO236">
        <v>2.0628404740000001</v>
      </c>
      <c r="AP236">
        <v>1.457714849</v>
      </c>
      <c r="AQ236">
        <v>1.7629838090000001</v>
      </c>
      <c r="AR236">
        <v>0.673629166</v>
      </c>
      <c r="AS236">
        <v>3.3068041410000002</v>
      </c>
      <c r="AT236">
        <v>0.56792823800000003</v>
      </c>
      <c r="AU236">
        <v>0.66935607399999997</v>
      </c>
    </row>
    <row r="237" spans="1:47" x14ac:dyDescent="0.35">
      <c r="A237" t="s">
        <v>301</v>
      </c>
      <c r="B237" s="73">
        <v>38808</v>
      </c>
      <c r="C237">
        <v>2.6339162370000002</v>
      </c>
      <c r="D237">
        <v>0.10349783799999999</v>
      </c>
      <c r="E237">
        <v>1.1690926239999999</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0.94479599999999997</v>
      </c>
      <c r="S237">
        <v>2.4945148349999999</v>
      </c>
      <c r="T237">
        <v>0.76615848399999997</v>
      </c>
      <c r="U237">
        <v>0.90656099999999995</v>
      </c>
      <c r="V237">
        <v>0.34474526900000002</v>
      </c>
      <c r="W237">
        <v>3.2582208709999998</v>
      </c>
      <c r="X237">
        <v>0.85549399400000004</v>
      </c>
      <c r="Y237">
        <v>2.5055700000000001</v>
      </c>
      <c r="Z237">
        <v>1.96245377</v>
      </c>
      <c r="AA237">
        <v>-0.51044919</v>
      </c>
      <c r="AB237">
        <v>1.290474543</v>
      </c>
      <c r="AC237">
        <v>0.149610197</v>
      </c>
      <c r="AD237">
        <v>0.154829785</v>
      </c>
      <c r="AE237">
        <v>1.639117138</v>
      </c>
      <c r="AF237">
        <v>8.4699513000000004E-2</v>
      </c>
      <c r="AG237">
        <v>-0.843712507</v>
      </c>
      <c r="AH237">
        <v>1.756596472</v>
      </c>
      <c r="AI237">
        <v>0.62393787499999998</v>
      </c>
      <c r="AJ237">
        <v>0.70674634000000003</v>
      </c>
      <c r="AK237">
        <v>1.606590698</v>
      </c>
      <c r="AL237">
        <v>1.021723162</v>
      </c>
      <c r="AM237">
        <v>1.531045539</v>
      </c>
      <c r="AN237">
        <v>0.81739264499999997</v>
      </c>
      <c r="AO237">
        <v>1.930605205</v>
      </c>
      <c r="AP237">
        <v>2.3776405600000001</v>
      </c>
      <c r="AQ237">
        <v>0.58120353199999997</v>
      </c>
      <c r="AR237">
        <v>1.5456477580000001</v>
      </c>
      <c r="AS237">
        <v>1.1451332700000001</v>
      </c>
      <c r="AT237">
        <v>1.3486661200000001</v>
      </c>
      <c r="AU237">
        <v>1.757168426</v>
      </c>
    </row>
    <row r="238" spans="1:47" x14ac:dyDescent="0.35">
      <c r="A238" t="s">
        <v>302</v>
      </c>
      <c r="B238" s="73">
        <v>38899</v>
      </c>
      <c r="C238">
        <v>1.287039367</v>
      </c>
      <c r="D238">
        <v>0.229233827</v>
      </c>
      <c r="E238">
        <v>0.17876743</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1.23048</v>
      </c>
      <c r="S238">
        <v>0.24492314800000001</v>
      </c>
      <c r="T238">
        <v>1.0380317569999999</v>
      </c>
      <c r="U238">
        <v>0.45390599999999998</v>
      </c>
      <c r="V238">
        <v>0.235756048</v>
      </c>
      <c r="W238">
        <v>0.30705051100000003</v>
      </c>
      <c r="X238">
        <v>1.336935118</v>
      </c>
      <c r="Y238">
        <v>1.43638</v>
      </c>
      <c r="Z238">
        <v>0.16189379400000001</v>
      </c>
      <c r="AA238">
        <v>4.4430680540000003</v>
      </c>
      <c r="AB238">
        <v>2.2008745709999999</v>
      </c>
      <c r="AC238">
        <v>0.70757194000000001</v>
      </c>
      <c r="AD238">
        <v>0.147185714</v>
      </c>
      <c r="AE238">
        <v>0.73060202799999996</v>
      </c>
      <c r="AF238">
        <v>0.28322150800000001</v>
      </c>
      <c r="AG238">
        <v>5.0077062149999998</v>
      </c>
      <c r="AH238">
        <v>0.97534232200000004</v>
      </c>
      <c r="AI238">
        <v>1.497031303</v>
      </c>
      <c r="AJ238">
        <v>0.12508978900000001</v>
      </c>
      <c r="AK238">
        <v>0.41072568599999998</v>
      </c>
      <c r="AL238">
        <v>0.67443951700000004</v>
      </c>
      <c r="AM238">
        <v>2.3195310120000001</v>
      </c>
      <c r="AN238">
        <v>0.96512187999999999</v>
      </c>
      <c r="AO238">
        <v>1.9251039539999999</v>
      </c>
      <c r="AP238">
        <v>2.3361019110000001</v>
      </c>
      <c r="AQ238">
        <v>2.3369855799999999</v>
      </c>
      <c r="AR238">
        <v>1.6334623699999999</v>
      </c>
      <c r="AS238">
        <v>3.0461220990000002</v>
      </c>
      <c r="AT238">
        <v>0.245583731</v>
      </c>
      <c r="AU238">
        <v>1.4202436039999999</v>
      </c>
    </row>
    <row r="239" spans="1:47" x14ac:dyDescent="0.35">
      <c r="A239" t="s">
        <v>303</v>
      </c>
      <c r="B239" s="73">
        <v>38991</v>
      </c>
      <c r="C239">
        <v>2.7829683040000002</v>
      </c>
      <c r="D239">
        <v>1.489792419</v>
      </c>
      <c r="E239">
        <v>1.3245600580000001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0.62645099999999998</v>
      </c>
      <c r="S239">
        <v>0.95036552500000004</v>
      </c>
      <c r="T239">
        <v>8.4148863000000004E-2</v>
      </c>
      <c r="U239">
        <v>0.18237200000000001</v>
      </c>
      <c r="V239">
        <v>0.142617665</v>
      </c>
      <c r="W239">
        <v>0.47743896299999999</v>
      </c>
      <c r="X239">
        <v>0.55399029399999999</v>
      </c>
      <c r="Y239">
        <v>3.3029999999999999</v>
      </c>
      <c r="Z239">
        <v>0.61489106900000001</v>
      </c>
      <c r="AA239">
        <v>4.2242638999999998E-2</v>
      </c>
      <c r="AB239">
        <v>-0.65346495000000004</v>
      </c>
      <c r="AC239">
        <v>0.479358063</v>
      </c>
      <c r="AD239">
        <v>-0.193475277</v>
      </c>
      <c r="AE239">
        <v>1.613954951</v>
      </c>
      <c r="AF239">
        <v>0.49382693999999999</v>
      </c>
      <c r="AG239">
        <v>3.382330176</v>
      </c>
      <c r="AH239">
        <v>0.275062048</v>
      </c>
      <c r="AI239">
        <v>0.59815274699999998</v>
      </c>
      <c r="AJ239">
        <v>1.027564479</v>
      </c>
      <c r="AK239">
        <v>0.61462815000000004</v>
      </c>
      <c r="AL239">
        <v>0.36934537299999998</v>
      </c>
      <c r="AM239">
        <v>1.599256217</v>
      </c>
      <c r="AN239">
        <v>-0.112732238</v>
      </c>
      <c r="AO239">
        <v>2.2961291660000001</v>
      </c>
      <c r="AP239">
        <v>1.9098071430000001</v>
      </c>
      <c r="AQ239">
        <v>1.6595890040000001</v>
      </c>
      <c r="AR239">
        <v>1.1946207680000001</v>
      </c>
      <c r="AS239">
        <v>-0.75348610900000002</v>
      </c>
      <c r="AT239">
        <v>0.15045618799999999</v>
      </c>
      <c r="AU239">
        <v>1.3811529840000001</v>
      </c>
    </row>
    <row r="240" spans="1:47" x14ac:dyDescent="0.35">
      <c r="A240" t="s">
        <v>304</v>
      </c>
      <c r="B240" s="73">
        <v>39083</v>
      </c>
      <c r="C240">
        <v>2.1125073630000002</v>
      </c>
      <c r="D240">
        <v>1.2790852930000001</v>
      </c>
      <c r="E240">
        <v>0.86085797200000003</v>
      </c>
      <c r="F240">
        <v>1.135413316</v>
      </c>
      <c r="G240">
        <v>1.174842205</v>
      </c>
      <c r="H240">
        <v>0.39859824199999999</v>
      </c>
      <c r="I240">
        <v>1.2852729650000001</v>
      </c>
      <c r="J240">
        <v>2.1348312370000002</v>
      </c>
      <c r="L240">
        <v>1.34905802</v>
      </c>
      <c r="M240">
        <v>1.514652417</v>
      </c>
      <c r="N240">
        <v>-0.27102131099999999</v>
      </c>
      <c r="O240">
        <v>1.1736139999999999</v>
      </c>
      <c r="P240">
        <v>0.948808227</v>
      </c>
      <c r="Q240">
        <v>2.4809643499999998</v>
      </c>
      <c r="R240">
        <v>1.05593</v>
      </c>
      <c r="S240">
        <v>0.78515074100000004</v>
      </c>
      <c r="T240">
        <v>0.72025410099999998</v>
      </c>
      <c r="U240">
        <v>0.95966600000000002</v>
      </c>
      <c r="V240">
        <v>0.43663833299999999</v>
      </c>
      <c r="W240">
        <v>2.5429404259999999</v>
      </c>
      <c r="X240">
        <v>0.92509386999999998</v>
      </c>
      <c r="Y240">
        <v>1.71129</v>
      </c>
      <c r="Z240">
        <v>0.91415199199999997</v>
      </c>
      <c r="AA240">
        <v>0.94584100500000001</v>
      </c>
      <c r="AB240">
        <v>1.453156611</v>
      </c>
      <c r="AC240">
        <v>1.2966255069999999</v>
      </c>
      <c r="AD240">
        <v>1.354863318</v>
      </c>
      <c r="AE240">
        <v>0.779357615</v>
      </c>
      <c r="AF240">
        <v>1.4587428929999999</v>
      </c>
      <c r="AG240">
        <v>4.4912188669999997</v>
      </c>
      <c r="AH240">
        <v>0.24956526800000001</v>
      </c>
      <c r="AI240">
        <v>0.82450046799999999</v>
      </c>
      <c r="AJ240">
        <v>1.8326664180000001</v>
      </c>
      <c r="AK240">
        <v>0.88681987699999998</v>
      </c>
      <c r="AL240">
        <v>0.96714522700000005</v>
      </c>
      <c r="AM240">
        <v>-1.435915404</v>
      </c>
      <c r="AN240">
        <v>0.71199907699999998</v>
      </c>
      <c r="AO240">
        <v>1.8992405130000001</v>
      </c>
      <c r="AP240">
        <v>2.8171140480000001</v>
      </c>
      <c r="AQ240">
        <v>2.14240129</v>
      </c>
      <c r="AR240">
        <v>0.65853218599999996</v>
      </c>
      <c r="AS240">
        <v>2.2587130449999999</v>
      </c>
      <c r="AT240">
        <v>0.84371169599999996</v>
      </c>
      <c r="AU240">
        <v>1.382817924</v>
      </c>
    </row>
    <row r="241" spans="1:47" x14ac:dyDescent="0.35">
      <c r="A241" t="s">
        <v>305</v>
      </c>
      <c r="B241" s="73">
        <v>39173</v>
      </c>
      <c r="C241">
        <v>2.3564819890000002</v>
      </c>
      <c r="D241">
        <v>1.385619157</v>
      </c>
      <c r="E241">
        <v>1.1498721759999999</v>
      </c>
      <c r="F241">
        <v>1.417379597</v>
      </c>
      <c r="G241">
        <v>1.9411568100000001</v>
      </c>
      <c r="H241">
        <v>0.63962664400000002</v>
      </c>
      <c r="I241">
        <v>0.56810132800000002</v>
      </c>
      <c r="J241">
        <v>1.026061307</v>
      </c>
      <c r="L241">
        <v>1.7111227849999999</v>
      </c>
      <c r="M241">
        <v>6.2645066999999999E-2</v>
      </c>
      <c r="N241">
        <v>0.33129798999999999</v>
      </c>
      <c r="O241">
        <v>0.60006400000000004</v>
      </c>
      <c r="P241">
        <v>0.92037080000000004</v>
      </c>
      <c r="Q241">
        <v>3.3156808999999998</v>
      </c>
      <c r="R241">
        <v>0.72799700000000001</v>
      </c>
      <c r="S241">
        <v>1.932458496</v>
      </c>
      <c r="T241">
        <v>0.72513090700000005</v>
      </c>
      <c r="U241">
        <v>0.39124900000000001</v>
      </c>
      <c r="V241">
        <v>1.0408251770000001</v>
      </c>
      <c r="W241">
        <v>-0.78528566200000005</v>
      </c>
      <c r="X241">
        <v>-1.1831558740000001</v>
      </c>
      <c r="Y241">
        <v>2.7934000000000001</v>
      </c>
      <c r="Z241">
        <v>5.5235951620000003</v>
      </c>
      <c r="AA241">
        <v>1.3869539280000001</v>
      </c>
      <c r="AB241">
        <v>2.0360117419999999</v>
      </c>
      <c r="AC241">
        <v>-0.27426155600000002</v>
      </c>
      <c r="AD241">
        <v>0.66036083099999998</v>
      </c>
      <c r="AE241">
        <v>1.674043596</v>
      </c>
      <c r="AF241">
        <v>5.0193538650000002</v>
      </c>
      <c r="AG241">
        <v>1.6006518970000001</v>
      </c>
      <c r="AH241">
        <v>0.70550445399999995</v>
      </c>
      <c r="AI241">
        <v>1.1456973779999999</v>
      </c>
      <c r="AJ241">
        <v>2.7707844999999998E-2</v>
      </c>
      <c r="AK241">
        <v>1.298701299</v>
      </c>
      <c r="AL241">
        <v>0.68233701700000005</v>
      </c>
      <c r="AM241">
        <v>4.4613298480000001</v>
      </c>
      <c r="AN241">
        <v>1.0522705670000001</v>
      </c>
      <c r="AO241">
        <v>1.8136509329999999</v>
      </c>
      <c r="AP241">
        <v>2.0984435619999999</v>
      </c>
      <c r="AQ241">
        <v>1.853979311</v>
      </c>
      <c r="AR241">
        <v>0.94675036899999998</v>
      </c>
      <c r="AS241">
        <v>1.8230804439999999</v>
      </c>
      <c r="AT241">
        <v>0.29359886099999999</v>
      </c>
      <c r="AU241">
        <v>1.623672013</v>
      </c>
    </row>
    <row r="242" spans="1:47" x14ac:dyDescent="0.35">
      <c r="A242" t="s">
        <v>306</v>
      </c>
      <c r="B242" s="73">
        <v>39264</v>
      </c>
      <c r="C242">
        <v>2.1774282490000001</v>
      </c>
      <c r="D242">
        <v>0.66556093699999996</v>
      </c>
      <c r="E242">
        <v>1.0095233880000001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0.718086</v>
      </c>
      <c r="S242">
        <v>1.797506864</v>
      </c>
      <c r="T242">
        <v>0.683246884</v>
      </c>
      <c r="U242">
        <v>0.55948200000000003</v>
      </c>
      <c r="V242">
        <v>0.65896333200000001</v>
      </c>
      <c r="W242">
        <v>2.9117218239999998</v>
      </c>
      <c r="X242">
        <v>-0.15993708400000001</v>
      </c>
      <c r="Y242">
        <v>2.5201500000000001</v>
      </c>
      <c r="Z242">
        <v>-1.1248154530000001</v>
      </c>
      <c r="AA242">
        <v>6.130305399</v>
      </c>
      <c r="AB242">
        <v>1.6676226359999999</v>
      </c>
      <c r="AC242">
        <v>0.271710179</v>
      </c>
      <c r="AD242">
        <v>2.4134454E-2</v>
      </c>
      <c r="AE242">
        <v>1.730290857</v>
      </c>
      <c r="AF242">
        <v>2.2097024520000002</v>
      </c>
      <c r="AG242">
        <v>2.06431684</v>
      </c>
      <c r="AH242">
        <v>0.76661557300000005</v>
      </c>
      <c r="AI242">
        <v>0.51164677300000005</v>
      </c>
      <c r="AJ242">
        <v>-1.59044E-3</v>
      </c>
      <c r="AK242">
        <v>0.90279495399999998</v>
      </c>
      <c r="AL242">
        <v>0.67080462399999996</v>
      </c>
      <c r="AM242">
        <v>1.3390382519999999</v>
      </c>
      <c r="AN242">
        <v>0.44312117400000001</v>
      </c>
      <c r="AO242">
        <v>2.5237981899999999</v>
      </c>
      <c r="AP242">
        <v>2.4752673920000001</v>
      </c>
      <c r="AQ242">
        <v>1.4245587500000001</v>
      </c>
      <c r="AR242">
        <v>0.52008739800000003</v>
      </c>
      <c r="AS242">
        <v>3.0535506E-2</v>
      </c>
      <c r="AT242">
        <v>0.63843452999999994</v>
      </c>
      <c r="AU242">
        <v>0.81955799100000004</v>
      </c>
    </row>
    <row r="243" spans="1:47" x14ac:dyDescent="0.35">
      <c r="A243" t="s">
        <v>307</v>
      </c>
      <c r="B243" s="73">
        <v>39356</v>
      </c>
      <c r="C243">
        <v>1.3346570520000001</v>
      </c>
      <c r="D243">
        <v>1.1259236610000001</v>
      </c>
      <c r="E243">
        <v>0.32110865399999999</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0.52876900000000004</v>
      </c>
      <c r="S243">
        <v>0.91841755199999997</v>
      </c>
      <c r="T243">
        <v>0.47302852499999998</v>
      </c>
      <c r="U243">
        <v>0.389042</v>
      </c>
      <c r="V243">
        <v>0.76083139600000005</v>
      </c>
      <c r="W243">
        <v>-0.62311345799999995</v>
      </c>
      <c r="X243">
        <v>0.51587301100000005</v>
      </c>
      <c r="Y243">
        <v>1.7944800000000001</v>
      </c>
      <c r="Z243">
        <v>-2.638001252</v>
      </c>
      <c r="AA243">
        <v>-1.1284557980000001</v>
      </c>
      <c r="AB243">
        <v>1.8948149990000001</v>
      </c>
      <c r="AC243">
        <v>0.20851515200000001</v>
      </c>
      <c r="AD243">
        <v>-0.53608016800000002</v>
      </c>
      <c r="AE243">
        <v>1.173831453</v>
      </c>
      <c r="AF243">
        <v>-0.734537985</v>
      </c>
      <c r="AG243">
        <v>1.8587224470000001</v>
      </c>
      <c r="AH243">
        <v>0.62915341999999996</v>
      </c>
      <c r="AI243">
        <v>1.1175019079999999</v>
      </c>
      <c r="AJ243">
        <v>1.2854938929999999</v>
      </c>
      <c r="AK243">
        <v>0.75989704599999996</v>
      </c>
      <c r="AL243">
        <v>0.52659561600000004</v>
      </c>
      <c r="AM243">
        <v>1.7382807490000001</v>
      </c>
      <c r="AN243">
        <v>0.205999342</v>
      </c>
      <c r="AO243">
        <v>2.2051103799999998</v>
      </c>
      <c r="AP243">
        <v>2.368057485</v>
      </c>
      <c r="AQ243">
        <v>1.9265564719999999</v>
      </c>
      <c r="AR243">
        <v>0.79354203199999995</v>
      </c>
      <c r="AS243">
        <v>0.58639459900000002</v>
      </c>
      <c r="AT243">
        <v>0.60230665699999997</v>
      </c>
      <c r="AU243">
        <v>1.1719351929999999</v>
      </c>
    </row>
    <row r="244" spans="1:47" x14ac:dyDescent="0.35">
      <c r="A244" t="s">
        <v>308</v>
      </c>
      <c r="B244" s="73">
        <v>39448</v>
      </c>
      <c r="C244">
        <v>3.0766174099999999</v>
      </c>
      <c r="D244">
        <v>0.40953691800000003</v>
      </c>
      <c r="E244">
        <v>0.83818773099999999</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0.602935</v>
      </c>
      <c r="S244">
        <v>1.319947274</v>
      </c>
      <c r="T244">
        <v>0.190598981</v>
      </c>
      <c r="U244">
        <v>0.47497299999999998</v>
      </c>
      <c r="V244">
        <v>0.660700654</v>
      </c>
      <c r="W244">
        <v>-0.49587677200000002</v>
      </c>
      <c r="X244">
        <v>0.30498656600000001</v>
      </c>
      <c r="Y244">
        <v>3.3768799999999999</v>
      </c>
      <c r="Z244">
        <v>3.7280655770000002</v>
      </c>
      <c r="AA244">
        <v>4.0852550430000001</v>
      </c>
      <c r="AB244">
        <v>1.365338986</v>
      </c>
      <c r="AC244">
        <v>-0.359101905</v>
      </c>
      <c r="AD244">
        <v>0.44376417699999998</v>
      </c>
      <c r="AE244">
        <v>2.156948555</v>
      </c>
      <c r="AF244">
        <v>0.79324678299999996</v>
      </c>
      <c r="AG244">
        <v>-1.1285241749999999</v>
      </c>
      <c r="AH244">
        <v>0.39340103199999998</v>
      </c>
      <c r="AI244">
        <v>1.3530236470000001</v>
      </c>
      <c r="AJ244">
        <v>1.09003592</v>
      </c>
      <c r="AK244">
        <v>0.20070551</v>
      </c>
      <c r="AL244">
        <v>0.71008800400000005</v>
      </c>
      <c r="AM244">
        <v>1.3199512040000001</v>
      </c>
      <c r="AN244">
        <v>1.118249303</v>
      </c>
      <c r="AO244">
        <v>3.193832161</v>
      </c>
      <c r="AP244">
        <v>6.379411299</v>
      </c>
      <c r="AQ244">
        <v>3.5398072000000003E-2</v>
      </c>
      <c r="AR244">
        <v>1.1304046459999999</v>
      </c>
      <c r="AS244">
        <v>3.432599138</v>
      </c>
      <c r="AT244">
        <v>0.60964400299999999</v>
      </c>
      <c r="AU244">
        <v>1.417079709</v>
      </c>
    </row>
    <row r="245" spans="1:47" x14ac:dyDescent="0.35">
      <c r="A245" t="s">
        <v>309</v>
      </c>
      <c r="B245" s="73">
        <v>39539</v>
      </c>
      <c r="C245">
        <v>0.93649040800000005</v>
      </c>
      <c r="D245">
        <v>1.004997728</v>
      </c>
      <c r="E245">
        <v>0.82137865200000004</v>
      </c>
      <c r="F245">
        <v>0.43192990399999998</v>
      </c>
      <c r="G245">
        <v>1.226133417</v>
      </c>
      <c r="H245">
        <v>7.6640567000000007E-2</v>
      </c>
      <c r="I245">
        <v>0.84504132499999995</v>
      </c>
      <c r="J245">
        <v>2.1072858989999999</v>
      </c>
      <c r="L245">
        <v>0.47042799299999999</v>
      </c>
      <c r="M245">
        <v>0.64015377699999998</v>
      </c>
      <c r="N245">
        <v>-4.1561001E-2</v>
      </c>
      <c r="O245">
        <v>0.51700199999999996</v>
      </c>
      <c r="P245">
        <v>0.22113556700000001</v>
      </c>
      <c r="Q245">
        <v>-2.2201614639999998</v>
      </c>
      <c r="R245">
        <v>0.56343699999999997</v>
      </c>
      <c r="S245">
        <v>-0.122968349</v>
      </c>
      <c r="T245">
        <v>0.48089390300000001</v>
      </c>
      <c r="U245">
        <v>7.0503999999999997E-2</v>
      </c>
      <c r="V245">
        <v>0.484699608</v>
      </c>
      <c r="W245">
        <v>0.61159760600000002</v>
      </c>
      <c r="X245">
        <v>0.93229218300000005</v>
      </c>
      <c r="Y245">
        <v>0.60589999999999999</v>
      </c>
      <c r="Z245">
        <v>-2.4978905259999999</v>
      </c>
      <c r="AA245">
        <v>-3.039920478</v>
      </c>
      <c r="AB245">
        <v>0.94428707599999995</v>
      </c>
      <c r="AC245">
        <v>1.1653364770000001</v>
      </c>
      <c r="AD245">
        <v>0.35910416699999997</v>
      </c>
      <c r="AE245">
        <v>0.40239485800000002</v>
      </c>
      <c r="AF245">
        <v>1.072631667</v>
      </c>
      <c r="AG245">
        <v>1.963610064</v>
      </c>
      <c r="AH245">
        <v>-0.183120377</v>
      </c>
      <c r="AI245">
        <v>0.327531403</v>
      </c>
      <c r="AJ245">
        <v>-1.017831138</v>
      </c>
      <c r="AK245">
        <v>-0.45523520499999998</v>
      </c>
      <c r="AL245">
        <v>0.18505292300000001</v>
      </c>
      <c r="AM245">
        <v>1.386745524</v>
      </c>
      <c r="AN245">
        <v>7.6731840000000004E-3</v>
      </c>
      <c r="AO245">
        <v>2.653171822</v>
      </c>
      <c r="AP245">
        <v>-2.8472738780000002</v>
      </c>
      <c r="AQ245">
        <v>1.7818130329999999</v>
      </c>
      <c r="AR245">
        <v>-0.79879233999999999</v>
      </c>
      <c r="AS245">
        <v>2.1064921079999999</v>
      </c>
      <c r="AT245">
        <v>-0.40742947400000001</v>
      </c>
      <c r="AU245">
        <v>0.42000527500000001</v>
      </c>
    </row>
    <row r="246" spans="1:47" x14ac:dyDescent="0.35">
      <c r="A246" t="s">
        <v>310</v>
      </c>
      <c r="B246" s="73">
        <v>39630</v>
      </c>
      <c r="C246">
        <v>0.51672484900000004</v>
      </c>
      <c r="D246">
        <v>0.329524015</v>
      </c>
      <c r="E246">
        <v>0.80298443799999997</v>
      </c>
      <c r="F246">
        <v>6.3486862000000005E-2</v>
      </c>
      <c r="G246">
        <v>2.0863139230000001</v>
      </c>
      <c r="H246">
        <v>0.36167189700000002</v>
      </c>
      <c r="I246">
        <v>1.1775059329999999</v>
      </c>
      <c r="J246">
        <v>9.8720545000000007E-2</v>
      </c>
      <c r="L246">
        <v>0.72075756000000002</v>
      </c>
      <c r="M246">
        <v>-0.243822487</v>
      </c>
      <c r="N246">
        <v>-0.92268398500000004</v>
      </c>
      <c r="O246">
        <v>-0.33751599999999998</v>
      </c>
      <c r="P246">
        <v>0.11566206699999999</v>
      </c>
      <c r="Q246">
        <v>1.015879371</v>
      </c>
      <c r="R246">
        <v>-0.25521899999999997</v>
      </c>
      <c r="S246">
        <v>-0.80295487399999999</v>
      </c>
      <c r="T246">
        <v>-0.54720995800000005</v>
      </c>
      <c r="U246">
        <v>3.8981000000000002E-2</v>
      </c>
      <c r="V246">
        <v>-0.47641411700000003</v>
      </c>
      <c r="W246">
        <v>-0.63973648299999997</v>
      </c>
      <c r="X246">
        <v>0.60081190200000001</v>
      </c>
      <c r="Y246">
        <v>1.04386</v>
      </c>
      <c r="Z246">
        <v>-1.646176047</v>
      </c>
      <c r="AA246">
        <v>4.1713414919999998</v>
      </c>
      <c r="AB246">
        <v>-8.0189582999999995E-2</v>
      </c>
      <c r="AC246">
        <v>-0.94972110200000004</v>
      </c>
      <c r="AD246">
        <v>-0.60372541800000001</v>
      </c>
      <c r="AE246">
        <v>0.52347300299999999</v>
      </c>
      <c r="AF246">
        <v>-1.1023872320000001</v>
      </c>
      <c r="AG246">
        <v>-3.6142262999999999</v>
      </c>
      <c r="AH246">
        <v>0.73892882400000004</v>
      </c>
      <c r="AI246">
        <v>0.492586831</v>
      </c>
      <c r="AJ246">
        <v>4.9825936000000001E-2</v>
      </c>
      <c r="AK246">
        <v>-0.27642276399999999</v>
      </c>
      <c r="AL246">
        <v>1.7535508000000002E-2</v>
      </c>
      <c r="AM246">
        <v>0.59744530900000004</v>
      </c>
      <c r="AN246">
        <v>-0.49260607499999998</v>
      </c>
      <c r="AO246">
        <v>0.62160239399999995</v>
      </c>
      <c r="AP246">
        <v>1.2627685369999999</v>
      </c>
      <c r="AQ246">
        <v>1.718056195</v>
      </c>
      <c r="AR246">
        <v>-4.3451842999999997E-2</v>
      </c>
      <c r="AS246">
        <v>-3.5485985709999999</v>
      </c>
      <c r="AT246">
        <v>0.57229534500000001</v>
      </c>
      <c r="AU246">
        <v>1.220887141</v>
      </c>
    </row>
    <row r="247" spans="1:47" x14ac:dyDescent="0.35">
      <c r="A247" t="s">
        <v>311</v>
      </c>
      <c r="B247" s="73">
        <v>39722</v>
      </c>
      <c r="C247">
        <v>0.77634442800000003</v>
      </c>
      <c r="D247">
        <v>0.67865999899999996</v>
      </c>
      <c r="E247">
        <v>-0.64915495499999998</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-0.48608699999999999</v>
      </c>
      <c r="S247">
        <v>0.34536722199999997</v>
      </c>
      <c r="T247">
        <v>-0.16531675500000001</v>
      </c>
      <c r="U247">
        <v>-0.68072699999999997</v>
      </c>
      <c r="V247">
        <v>-1.513153285</v>
      </c>
      <c r="W247">
        <v>-9.7483140999999995E-2</v>
      </c>
      <c r="X247">
        <v>-0.194123133</v>
      </c>
      <c r="Y247">
        <v>0.87024000000000001</v>
      </c>
      <c r="Z247">
        <v>-1.2345554910000001</v>
      </c>
      <c r="AA247">
        <v>-5.8047921679999996</v>
      </c>
      <c r="AB247">
        <v>0.25558182699999998</v>
      </c>
      <c r="AC247">
        <v>-1.26543473</v>
      </c>
      <c r="AD247">
        <v>-1.2360100620000001</v>
      </c>
      <c r="AE247">
        <v>0.81588104299999997</v>
      </c>
      <c r="AF247">
        <v>-0.82284862700000005</v>
      </c>
      <c r="AG247">
        <v>-4.0542799719999998</v>
      </c>
      <c r="AH247">
        <v>0.33101436000000001</v>
      </c>
      <c r="AI247">
        <v>-0.122148031</v>
      </c>
      <c r="AJ247">
        <v>-0.18260411500000001</v>
      </c>
      <c r="AK247">
        <v>-0.39540192400000002</v>
      </c>
      <c r="AL247">
        <v>-0.49310831500000002</v>
      </c>
      <c r="AM247">
        <v>2.7056440000000001E-2</v>
      </c>
      <c r="AN247">
        <v>-8.2530827000000001E-2</v>
      </c>
      <c r="AO247">
        <v>-1.490668597</v>
      </c>
      <c r="AP247">
        <v>1.4450863860000001</v>
      </c>
      <c r="AQ247">
        <v>-0.672094372</v>
      </c>
      <c r="AR247">
        <v>-0.490682073</v>
      </c>
      <c r="AS247">
        <v>-1.8168699740000001</v>
      </c>
      <c r="AT247">
        <v>-0.52689290200000005</v>
      </c>
      <c r="AU247">
        <v>0.23893335099999999</v>
      </c>
    </row>
    <row r="248" spans="1:47" x14ac:dyDescent="0.35">
      <c r="A248" t="s">
        <v>312</v>
      </c>
      <c r="B248" s="73">
        <v>39814</v>
      </c>
      <c r="C248">
        <v>-4.6524118440000004</v>
      </c>
      <c r="D248">
        <v>-0.41401914099999998</v>
      </c>
      <c r="E248">
        <v>-2.256556314</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-1.8428180000000001</v>
      </c>
      <c r="S248">
        <v>-2.1457381020000001</v>
      </c>
      <c r="T248">
        <v>-1.5095647910000001</v>
      </c>
      <c r="U248">
        <v>-2.108984</v>
      </c>
      <c r="V248">
        <v>-2.2356596610000001</v>
      </c>
      <c r="W248">
        <v>-1.397015176</v>
      </c>
      <c r="X248">
        <v>-3.4991878230000002</v>
      </c>
      <c r="Y248">
        <v>0.12257</v>
      </c>
      <c r="Z248">
        <v>-4.603913146</v>
      </c>
      <c r="AA248">
        <v>5.3184575059999997</v>
      </c>
      <c r="AB248">
        <v>-0.87345721300000001</v>
      </c>
      <c r="AC248">
        <v>-2.7382372130000001</v>
      </c>
      <c r="AD248">
        <v>-2.4551801329999998</v>
      </c>
      <c r="AE248">
        <v>-3.2838893470000001</v>
      </c>
      <c r="AF248">
        <v>-3.6845002689999999</v>
      </c>
      <c r="AG248">
        <v>-2.39962286</v>
      </c>
      <c r="AH248">
        <v>-1.6328167659999999</v>
      </c>
      <c r="AI248">
        <v>-0.65994078300000003</v>
      </c>
      <c r="AJ248">
        <v>0.31310319199999997</v>
      </c>
      <c r="AK248">
        <v>-0.72437077999999999</v>
      </c>
      <c r="AL248">
        <v>-2.0197526940000001</v>
      </c>
      <c r="AM248">
        <v>0.133160687</v>
      </c>
      <c r="AN248">
        <v>-1.2917566469999999</v>
      </c>
      <c r="AO248">
        <v>-3.252211484</v>
      </c>
      <c r="AP248">
        <v>1.240508755</v>
      </c>
      <c r="AQ248">
        <v>-3.8701988109999998</v>
      </c>
      <c r="AR248">
        <v>-3.5639734559999998</v>
      </c>
      <c r="AS248">
        <v>-2.5400315510000002</v>
      </c>
      <c r="AT248">
        <v>-2.1830971479999999</v>
      </c>
      <c r="AU248">
        <v>-0.56924852800000003</v>
      </c>
    </row>
    <row r="249" spans="1:47" x14ac:dyDescent="0.35">
      <c r="A249" t="s">
        <v>313</v>
      </c>
      <c r="B249" s="73">
        <v>39904</v>
      </c>
      <c r="C249">
        <v>-3.6834374350000001</v>
      </c>
      <c r="D249">
        <v>0.92168135900000003</v>
      </c>
      <c r="E249">
        <v>-1.782056713</v>
      </c>
      <c r="F249">
        <v>-0.97325393000000004</v>
      </c>
      <c r="G249">
        <v>-1.428428976</v>
      </c>
      <c r="H249">
        <v>-2.2596861829999999</v>
      </c>
      <c r="I249">
        <v>-1.7917546660000001</v>
      </c>
      <c r="J249">
        <v>-0.48636471399999998</v>
      </c>
      <c r="L249">
        <v>-3.3489163249999998</v>
      </c>
      <c r="M249">
        <v>-4.6844176649999998</v>
      </c>
      <c r="N249">
        <v>-1.423447795</v>
      </c>
      <c r="O249">
        <v>-3.093594</v>
      </c>
      <c r="P249">
        <v>-2.6003410159999998</v>
      </c>
      <c r="Q249">
        <v>-2.6519689309999999</v>
      </c>
      <c r="R249">
        <v>-2.8829600000000002</v>
      </c>
      <c r="S249">
        <v>-6.4776141279999999</v>
      </c>
      <c r="T249">
        <v>-1.706236994</v>
      </c>
      <c r="U249">
        <v>-2.3048790000000001</v>
      </c>
      <c r="V249">
        <v>-1.940930979</v>
      </c>
      <c r="W249">
        <v>-4.7477806170000001</v>
      </c>
      <c r="X249">
        <v>-4.1187065509999998</v>
      </c>
      <c r="Y249">
        <v>-1.8461399999999999</v>
      </c>
      <c r="Z249">
        <v>0.13272249</v>
      </c>
      <c r="AA249">
        <v>-9.8398343639999997</v>
      </c>
      <c r="AB249">
        <v>-0.22732619800000001</v>
      </c>
      <c r="AC249">
        <v>-2.494448191</v>
      </c>
      <c r="AD249">
        <v>-4.8054419360000002</v>
      </c>
      <c r="AE249">
        <v>8.9986722000000005E-2</v>
      </c>
      <c r="AF249">
        <v>-1.888071745</v>
      </c>
      <c r="AG249">
        <v>-3.6081553980000001</v>
      </c>
      <c r="AH249">
        <v>-5.1133986220000001</v>
      </c>
      <c r="AI249">
        <v>-3.5936407930000001</v>
      </c>
      <c r="AJ249">
        <v>-1.4752551119999999</v>
      </c>
      <c r="AK249">
        <v>-0.88630554900000003</v>
      </c>
      <c r="AL249">
        <v>-2.3262784089999999</v>
      </c>
      <c r="AM249">
        <v>1.418190426</v>
      </c>
      <c r="AN249">
        <v>-2.5166704719999999</v>
      </c>
      <c r="AO249">
        <v>-3.5269817579999998</v>
      </c>
      <c r="AP249">
        <v>-9.7399464659999992</v>
      </c>
      <c r="AQ249">
        <v>-4.2210951699999999</v>
      </c>
      <c r="AR249">
        <v>-1.47032483</v>
      </c>
      <c r="AS249">
        <v>-5.6640195660000003</v>
      </c>
      <c r="AT249">
        <v>-1.1657225309999999</v>
      </c>
      <c r="AU249">
        <v>-1.5555425949999999</v>
      </c>
    </row>
    <row r="250" spans="1:47" x14ac:dyDescent="0.35">
      <c r="A250" t="s">
        <v>314</v>
      </c>
      <c r="B250" s="73">
        <v>39995</v>
      </c>
      <c r="C250">
        <v>-2.2583202060000001</v>
      </c>
      <c r="D250">
        <v>0.72666138300000005</v>
      </c>
      <c r="E250">
        <v>-0.78925586299999995</v>
      </c>
      <c r="F250">
        <v>4.7812829000000001E-2</v>
      </c>
      <c r="G250">
        <v>1.822778384</v>
      </c>
      <c r="H250">
        <v>-1.0912585960000001</v>
      </c>
      <c r="I250">
        <v>0.58259171700000001</v>
      </c>
      <c r="J250">
        <v>-0.58235863600000004</v>
      </c>
      <c r="L250">
        <v>-0.38163602899999999</v>
      </c>
      <c r="M250">
        <v>0.15963164899999999</v>
      </c>
      <c r="N250">
        <v>-1.938341181</v>
      </c>
      <c r="O250">
        <v>-2.4799999999999999E-2</v>
      </c>
      <c r="P250">
        <v>-4.4601379999999998E-3</v>
      </c>
      <c r="Q250">
        <v>-3.374436657</v>
      </c>
      <c r="R250">
        <v>-6.7198999999999995E-2</v>
      </c>
      <c r="S250">
        <v>-0.436809528</v>
      </c>
      <c r="T250">
        <v>-1.3414673E-2</v>
      </c>
      <c r="U250">
        <v>0.105492</v>
      </c>
      <c r="V250">
        <v>-0.28678622599999998</v>
      </c>
      <c r="W250">
        <v>2.7768419029999998</v>
      </c>
      <c r="X250">
        <v>2.5319118000000002E-2</v>
      </c>
      <c r="Y250">
        <v>5.8036599999999998</v>
      </c>
      <c r="Z250">
        <v>2.8813700000000001E-2</v>
      </c>
      <c r="AA250">
        <v>4.0418968999999999E-2</v>
      </c>
      <c r="AB250">
        <v>1.1870613720000001</v>
      </c>
      <c r="AC250">
        <v>-0.49823318</v>
      </c>
      <c r="AD250">
        <v>1.933186064</v>
      </c>
      <c r="AE250">
        <v>1.332777638</v>
      </c>
      <c r="AF250">
        <v>1.23940271</v>
      </c>
      <c r="AG250">
        <v>-5.7402616780000004</v>
      </c>
      <c r="AH250">
        <v>-1.497233847</v>
      </c>
      <c r="AI250">
        <v>2.5085789999999999E-3</v>
      </c>
      <c r="AJ250">
        <v>-0.88468020599999997</v>
      </c>
      <c r="AK250">
        <v>-7.0706650999999995E-2</v>
      </c>
      <c r="AL250">
        <v>0.19787860600000001</v>
      </c>
      <c r="AM250">
        <v>0.217027267</v>
      </c>
      <c r="AN250">
        <v>8.9438207000000006E-2</v>
      </c>
      <c r="AO250">
        <v>-1.4588607810000001</v>
      </c>
      <c r="AP250">
        <v>1.7141964519999999</v>
      </c>
      <c r="AQ250">
        <v>-1.03488023</v>
      </c>
      <c r="AR250">
        <v>6.6898192999999995E-2</v>
      </c>
      <c r="AS250">
        <v>4.0069981370000001</v>
      </c>
      <c r="AT250">
        <v>-0.16923813900000001</v>
      </c>
      <c r="AU250">
        <v>-0.34321136899999999</v>
      </c>
    </row>
    <row r="251" spans="1:47" x14ac:dyDescent="0.35">
      <c r="A251" t="s">
        <v>315</v>
      </c>
      <c r="B251" s="73">
        <v>40087</v>
      </c>
      <c r="C251">
        <v>3.9639964160000001</v>
      </c>
      <c r="D251">
        <v>0.33959484899999998</v>
      </c>
      <c r="E251">
        <v>0.38196109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0.38695299999999999</v>
      </c>
      <c r="S251">
        <v>0.92466898799999997</v>
      </c>
      <c r="T251">
        <v>0.18347719800000001</v>
      </c>
      <c r="U251">
        <v>0.31457400000000002</v>
      </c>
      <c r="V251">
        <v>0.132204777</v>
      </c>
      <c r="W251">
        <v>-0.72543689099999997</v>
      </c>
      <c r="X251">
        <v>-3.8922929999999998E-3</v>
      </c>
      <c r="Y251">
        <v>2.5538799999999999</v>
      </c>
      <c r="Z251">
        <v>-1.1137779880000001</v>
      </c>
      <c r="AA251">
        <v>1.001833596</v>
      </c>
      <c r="AB251">
        <v>0.86315130200000001</v>
      </c>
      <c r="AC251">
        <v>0.63425543299999998</v>
      </c>
      <c r="AD251">
        <v>-3.8879347000000002E-2</v>
      </c>
      <c r="AE251">
        <v>2.9926747850000002</v>
      </c>
      <c r="AF251">
        <v>2.1397869109999998</v>
      </c>
      <c r="AG251">
        <v>-5.0821178910000002</v>
      </c>
      <c r="AH251">
        <v>3.3095860789999998</v>
      </c>
      <c r="AI251">
        <v>0.400707908</v>
      </c>
      <c r="AJ251">
        <v>6.4700779E-2</v>
      </c>
      <c r="AK251">
        <v>0.511945392</v>
      </c>
      <c r="AL251">
        <v>0.59735285999999999</v>
      </c>
      <c r="AM251">
        <v>0.71848820700000005</v>
      </c>
      <c r="AN251">
        <v>0.88222418300000005</v>
      </c>
      <c r="AO251">
        <v>0.41042516099999998</v>
      </c>
      <c r="AP251">
        <v>1.802022051</v>
      </c>
      <c r="AQ251">
        <v>0.115606616</v>
      </c>
      <c r="AR251">
        <v>-5.2475129000000002E-2</v>
      </c>
      <c r="AS251">
        <v>2.3957610740000002</v>
      </c>
      <c r="AT251">
        <v>0.36192999100000001</v>
      </c>
      <c r="AU251">
        <v>0.23190718799999999</v>
      </c>
    </row>
    <row r="252" spans="1:47" x14ac:dyDescent="0.35">
      <c r="A252" t="s">
        <v>316</v>
      </c>
      <c r="B252" s="73">
        <v>40179</v>
      </c>
      <c r="C252">
        <v>1.91046049</v>
      </c>
      <c r="D252">
        <v>0.76181553099999999</v>
      </c>
      <c r="E252">
        <v>0.66085446299999995</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0.42846099999999998</v>
      </c>
      <c r="S252">
        <v>-0.77194487199999995</v>
      </c>
      <c r="T252">
        <v>0.706412963</v>
      </c>
      <c r="U252">
        <v>0.93501800000000002</v>
      </c>
      <c r="V252">
        <v>0.341005222</v>
      </c>
      <c r="W252">
        <v>0.128217041</v>
      </c>
      <c r="X252">
        <v>-2.1126755000000001E-2</v>
      </c>
      <c r="Y252">
        <v>2.1267299999999998</v>
      </c>
      <c r="Z252">
        <v>-3.535382002</v>
      </c>
      <c r="AA252">
        <v>-0.134323259</v>
      </c>
      <c r="AB252">
        <v>1.4078477890000001</v>
      </c>
      <c r="AC252">
        <v>0.32998136</v>
      </c>
      <c r="AD252">
        <v>1.253903948</v>
      </c>
      <c r="AE252">
        <v>0.74686754499999997</v>
      </c>
      <c r="AF252">
        <v>0.46748151999999998</v>
      </c>
      <c r="AG252">
        <v>0.36765283700000001</v>
      </c>
      <c r="AH252">
        <v>1.6568180960000001</v>
      </c>
      <c r="AI252">
        <v>0.60232846100000004</v>
      </c>
      <c r="AJ252">
        <v>5.3704330000000002E-2</v>
      </c>
      <c r="AK252">
        <v>1.2340055489999999</v>
      </c>
      <c r="AL252">
        <v>0.87873254000000001</v>
      </c>
      <c r="AM252">
        <v>1.5130356309999999</v>
      </c>
      <c r="AN252">
        <v>4.7782666000000001E-2</v>
      </c>
      <c r="AO252">
        <v>1.0817084560000001</v>
      </c>
      <c r="AP252">
        <v>2.036413907</v>
      </c>
      <c r="AQ252">
        <v>-0.24379621400000001</v>
      </c>
      <c r="AR252">
        <v>0.45720760199999999</v>
      </c>
      <c r="AS252">
        <v>1.9523571850000001</v>
      </c>
      <c r="AT252">
        <v>1.0679619499999999</v>
      </c>
      <c r="AU252">
        <v>0.66697168900000003</v>
      </c>
    </row>
    <row r="253" spans="1:47" x14ac:dyDescent="0.35">
      <c r="A253" t="s">
        <v>317</v>
      </c>
      <c r="B253" s="73">
        <v>40269</v>
      </c>
      <c r="C253">
        <v>3.0001510489999998</v>
      </c>
      <c r="D253">
        <v>0.42713049400000003</v>
      </c>
      <c r="E253">
        <v>-0.45280182600000002</v>
      </c>
      <c r="F253">
        <v>0.51811854300000004</v>
      </c>
      <c r="G253">
        <v>2.0897500990000002</v>
      </c>
      <c r="H253">
        <v>1.206341487</v>
      </c>
      <c r="I253">
        <v>0.99160534700000003</v>
      </c>
      <c r="J253">
        <v>0.323498697</v>
      </c>
      <c r="L253">
        <v>0.68762807699999995</v>
      </c>
      <c r="M253">
        <v>0.81202584799999999</v>
      </c>
      <c r="N253">
        <v>0.86356907900000002</v>
      </c>
      <c r="O253">
        <v>0.44192799999999999</v>
      </c>
      <c r="P253">
        <v>-2.2261963999999999E-2</v>
      </c>
      <c r="Q253">
        <v>1.3781541230000001</v>
      </c>
      <c r="R253">
        <v>0.42340699999999998</v>
      </c>
      <c r="S253">
        <v>1.001905585</v>
      </c>
      <c r="T253">
        <v>0.34508019499999998</v>
      </c>
      <c r="U253">
        <v>0.65281100000000003</v>
      </c>
      <c r="V253">
        <v>0.94982691799999996</v>
      </c>
      <c r="W253">
        <v>-5.6659762300000001</v>
      </c>
      <c r="X253">
        <v>1.6738487E-2</v>
      </c>
      <c r="Y253">
        <v>2.6001799999999999</v>
      </c>
      <c r="Z253">
        <v>4.3634055939999996</v>
      </c>
      <c r="AA253">
        <v>-5.8910988309999999</v>
      </c>
      <c r="AB253">
        <v>1.5755483269999999</v>
      </c>
      <c r="AC253">
        <v>0.34068207900000003</v>
      </c>
      <c r="AD253">
        <v>1.0524627310000001</v>
      </c>
      <c r="AE253">
        <v>1.9590767389999999</v>
      </c>
      <c r="AF253">
        <v>1.527919971</v>
      </c>
      <c r="AG253">
        <v>-0.586536642</v>
      </c>
      <c r="AH253">
        <v>1.055015093</v>
      </c>
      <c r="AI253">
        <v>-0.18885859399999999</v>
      </c>
      <c r="AJ253">
        <v>2.3195294710000001</v>
      </c>
      <c r="AK253">
        <v>0.29860514599999999</v>
      </c>
      <c r="AL253">
        <v>0.62658641299999995</v>
      </c>
      <c r="AM253">
        <v>-0.42793910899999998</v>
      </c>
      <c r="AN253">
        <v>0.82301842700000005</v>
      </c>
      <c r="AO253">
        <v>2.138462021</v>
      </c>
      <c r="AP253">
        <v>2.0259540870000001</v>
      </c>
      <c r="AQ253">
        <v>2.2178745E-2</v>
      </c>
      <c r="AR253">
        <v>2.6605189239999998</v>
      </c>
      <c r="AS253">
        <v>-0.29499498200000002</v>
      </c>
      <c r="AT253">
        <v>0.50005348100000002</v>
      </c>
      <c r="AU253">
        <v>1.166724893</v>
      </c>
    </row>
    <row r="254" spans="1:47" x14ac:dyDescent="0.35">
      <c r="A254" t="s">
        <v>318</v>
      </c>
      <c r="B254" s="73">
        <v>40360</v>
      </c>
      <c r="C254">
        <v>4.432905409</v>
      </c>
      <c r="D254">
        <v>0.65356726399999998</v>
      </c>
      <c r="E254">
        <v>1.29676038</v>
      </c>
      <c r="F254">
        <v>0.98535424100000002</v>
      </c>
      <c r="G254">
        <v>1.241186031</v>
      </c>
      <c r="H254">
        <v>0.523260909</v>
      </c>
      <c r="I254">
        <v>0.63355364300000006</v>
      </c>
      <c r="J254">
        <v>3.3934173689999998</v>
      </c>
      <c r="L254">
        <v>1.2204761239999999</v>
      </c>
      <c r="M254">
        <v>2.2519437099999999</v>
      </c>
      <c r="N254">
        <v>0.68351791900000003</v>
      </c>
      <c r="O254">
        <v>0.969781</v>
      </c>
      <c r="P254">
        <v>0.156239562</v>
      </c>
      <c r="Q254">
        <v>1.267533638</v>
      </c>
      <c r="R254">
        <v>1.001733</v>
      </c>
      <c r="S254">
        <v>2.7619473669999999</v>
      </c>
      <c r="T254">
        <v>0.48775253299999999</v>
      </c>
      <c r="U254">
        <v>1.068411</v>
      </c>
      <c r="V254">
        <v>1.1437425409999999</v>
      </c>
      <c r="W254">
        <v>-3.6519183210000001</v>
      </c>
      <c r="X254">
        <v>0.81776937999999999</v>
      </c>
      <c r="Y254">
        <v>2.4025599999999998</v>
      </c>
      <c r="Z254">
        <v>0.67792367899999995</v>
      </c>
      <c r="AA254">
        <v>3.956119503</v>
      </c>
      <c r="AB254">
        <v>1.4494099119999999</v>
      </c>
      <c r="AC254">
        <v>0.69666974999999998</v>
      </c>
      <c r="AD254">
        <v>1.180881362</v>
      </c>
      <c r="AE254">
        <v>1.899801372</v>
      </c>
      <c r="AF254">
        <v>1.38126017</v>
      </c>
      <c r="AG254">
        <v>-0.74406151200000004</v>
      </c>
      <c r="AH254">
        <v>1.0890571120000001</v>
      </c>
      <c r="AI254">
        <v>0.43895060899999999</v>
      </c>
      <c r="AJ254">
        <v>-1.0654859539999999</v>
      </c>
      <c r="AK254">
        <v>0.66068515500000002</v>
      </c>
      <c r="AL254">
        <v>1.1057643509999999</v>
      </c>
      <c r="AM254">
        <v>1.4320471319999999</v>
      </c>
      <c r="AN254">
        <v>0.55242860400000005</v>
      </c>
      <c r="AO254">
        <v>0.95009906200000005</v>
      </c>
      <c r="AP254">
        <v>1.249905783</v>
      </c>
      <c r="AQ254">
        <v>1.7859074720000001</v>
      </c>
      <c r="AR254">
        <v>2.087393064</v>
      </c>
      <c r="AS254">
        <v>3.8007093269999999</v>
      </c>
      <c r="AT254">
        <v>0.96770463900000003</v>
      </c>
      <c r="AU254">
        <v>0.83941199600000005</v>
      </c>
    </row>
    <row r="255" spans="1:47" x14ac:dyDescent="0.35">
      <c r="A255" t="s">
        <v>319</v>
      </c>
      <c r="B255" s="73">
        <v>40452</v>
      </c>
      <c r="C255">
        <v>0.61226221599999997</v>
      </c>
      <c r="D255">
        <v>0.68031393799999995</v>
      </c>
      <c r="E255">
        <v>0.95378568399999997</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0.50088200000000005</v>
      </c>
      <c r="S255">
        <v>-0.41072814299999999</v>
      </c>
      <c r="T255">
        <v>0.63128844900000003</v>
      </c>
      <c r="U255">
        <v>0.88513699999999995</v>
      </c>
      <c r="V255">
        <v>0.63431983999999997</v>
      </c>
      <c r="W255">
        <v>-3.2999259759999999</v>
      </c>
      <c r="X255">
        <v>0.79960383700000004</v>
      </c>
      <c r="Y255">
        <v>2.9559799999999998</v>
      </c>
      <c r="Z255">
        <v>0.11528189</v>
      </c>
      <c r="AA255">
        <v>-2.1362177369999999</v>
      </c>
      <c r="AB255">
        <v>1.2038928040000001</v>
      </c>
      <c r="AC255">
        <v>0.44576613500000001</v>
      </c>
      <c r="AD255">
        <v>1.8190046529999999</v>
      </c>
      <c r="AE255">
        <v>1.1552150800000001</v>
      </c>
      <c r="AF255">
        <v>-1.214499102</v>
      </c>
      <c r="AG255">
        <v>-0.380712944</v>
      </c>
      <c r="AH255">
        <v>0.951456089</v>
      </c>
      <c r="AI255">
        <v>0.441811764</v>
      </c>
      <c r="AJ255">
        <v>-2.4873640109999999</v>
      </c>
      <c r="AK255">
        <v>-0.19852524099999999</v>
      </c>
      <c r="AL255">
        <v>0.83968718799999997</v>
      </c>
      <c r="AM255">
        <v>1.1859562610000001</v>
      </c>
      <c r="AN255">
        <v>8.3833036E-2</v>
      </c>
      <c r="AO255">
        <v>0.52351252500000001</v>
      </c>
      <c r="AP255">
        <v>1.1574909579999999</v>
      </c>
      <c r="AQ255">
        <v>0.24774690199999999</v>
      </c>
      <c r="AR255">
        <v>1.235741926</v>
      </c>
      <c r="AS255">
        <v>2.7707017839999999</v>
      </c>
      <c r="AT255">
        <v>0.77314415000000003</v>
      </c>
      <c r="AU255">
        <v>0.89024629399999999</v>
      </c>
    </row>
    <row r="256" spans="1:47" x14ac:dyDescent="0.35">
      <c r="A256" t="s">
        <v>320</v>
      </c>
      <c r="B256" s="73">
        <v>40544</v>
      </c>
      <c r="C256">
        <v>1.3433809560000001</v>
      </c>
      <c r="D256">
        <v>0.84965420199999997</v>
      </c>
      <c r="E256">
        <v>1.155999497</v>
      </c>
      <c r="F256">
        <v>0.505236083</v>
      </c>
      <c r="G256">
        <v>1.4175266820000001</v>
      </c>
      <c r="H256">
        <v>1.1175051540000001</v>
      </c>
      <c r="I256">
        <v>0.82096070399999999</v>
      </c>
      <c r="J256">
        <v>1.189865358</v>
      </c>
      <c r="L256">
        <v>0.448272634</v>
      </c>
      <c r="M256">
        <v>0.81107565000000004</v>
      </c>
      <c r="N256">
        <v>-0.22504965299999999</v>
      </c>
      <c r="O256">
        <v>0.59082400000000002</v>
      </c>
      <c r="P256">
        <v>5.2271008000000001E-2</v>
      </c>
      <c r="Q256">
        <v>2.1011254899999998</v>
      </c>
      <c r="R256">
        <v>0.61719599999999997</v>
      </c>
      <c r="S256">
        <v>2.1001216359999999</v>
      </c>
      <c r="T256">
        <v>0.65510421500000005</v>
      </c>
      <c r="U256">
        <v>0.36246099999999998</v>
      </c>
      <c r="V256">
        <v>0.13738593599999999</v>
      </c>
      <c r="W256">
        <v>-0.75782651199999995</v>
      </c>
      <c r="X256">
        <v>-9.1224310000000003E-3</v>
      </c>
      <c r="Y256">
        <v>2.3210700000000002</v>
      </c>
      <c r="Z256">
        <v>-1.8072434959999999</v>
      </c>
      <c r="AA256">
        <v>3.8299701860000002</v>
      </c>
      <c r="AB256">
        <v>1.579826779</v>
      </c>
      <c r="AC256">
        <v>0.53578216099999998</v>
      </c>
      <c r="AD256">
        <v>-0.80845250000000002</v>
      </c>
      <c r="AE256">
        <v>1.2193187110000001</v>
      </c>
      <c r="AF256">
        <v>0.106943919</v>
      </c>
      <c r="AG256">
        <v>0.93572950300000002</v>
      </c>
      <c r="AH256">
        <v>0.76865108199999999</v>
      </c>
      <c r="AI256">
        <v>1.1281526820000001</v>
      </c>
      <c r="AJ256">
        <v>2.814036094</v>
      </c>
      <c r="AK256">
        <v>-0.53586652099999998</v>
      </c>
      <c r="AL256">
        <v>0.56118263199999996</v>
      </c>
      <c r="AM256">
        <v>1.079004734</v>
      </c>
      <c r="AN256">
        <v>-0.194037196</v>
      </c>
      <c r="AO256">
        <v>1.25698003</v>
      </c>
      <c r="AP256">
        <v>0.69104818099999998</v>
      </c>
      <c r="AQ256">
        <v>0.45714430099999998</v>
      </c>
      <c r="AR256">
        <v>1.548930814</v>
      </c>
      <c r="AS256">
        <v>3.0231894029999999</v>
      </c>
      <c r="AT256">
        <v>0.51959515899999997</v>
      </c>
      <c r="AU256">
        <v>0.93078135500000003</v>
      </c>
    </row>
    <row r="257" spans="1:47" x14ac:dyDescent="0.35">
      <c r="A257" t="s">
        <v>321</v>
      </c>
      <c r="B257" s="73">
        <v>40634</v>
      </c>
      <c r="C257">
        <v>2.338642755</v>
      </c>
      <c r="D257">
        <v>-0.31539093200000001</v>
      </c>
      <c r="E257">
        <v>0.79659590700000005</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0.90300800000000003</v>
      </c>
      <c r="S257">
        <v>0.55844083300000003</v>
      </c>
      <c r="T257">
        <v>1.0511539299999999</v>
      </c>
      <c r="U257">
        <v>9.6513000000000002E-2</v>
      </c>
      <c r="V257">
        <v>0.25364589500000001</v>
      </c>
      <c r="W257">
        <v>-3.8889735619999999</v>
      </c>
      <c r="X257">
        <v>0.88857307500000005</v>
      </c>
      <c r="Y257">
        <v>1.83064</v>
      </c>
      <c r="Z257">
        <v>3.3779003300000001</v>
      </c>
      <c r="AA257">
        <v>-3.9154607559999999</v>
      </c>
      <c r="AB257">
        <v>1.3065743599999999</v>
      </c>
      <c r="AC257">
        <v>0.51836041499999996</v>
      </c>
      <c r="AD257">
        <v>-1.051139289</v>
      </c>
      <c r="AE257">
        <v>0.933130719</v>
      </c>
      <c r="AF257">
        <v>1.3977698599999999</v>
      </c>
      <c r="AG257">
        <v>-1.332646056</v>
      </c>
      <c r="AH257">
        <v>0.76654084499999997</v>
      </c>
      <c r="AI257">
        <v>0.57715258300000005</v>
      </c>
      <c r="AJ257">
        <v>4.9335744000000001E-2</v>
      </c>
      <c r="AK257">
        <v>1.0795477739999999</v>
      </c>
      <c r="AL257">
        <v>0.29204689099999998</v>
      </c>
      <c r="AM257">
        <v>1.5391855800000001</v>
      </c>
      <c r="AN257">
        <v>-0.66076831199999997</v>
      </c>
      <c r="AO257">
        <v>1.155158313</v>
      </c>
      <c r="AP257">
        <v>0.304069323</v>
      </c>
      <c r="AQ257">
        <v>0.74919761200000001</v>
      </c>
      <c r="AR257">
        <v>0.39421010699999998</v>
      </c>
      <c r="AS257">
        <v>2.2538581770000001</v>
      </c>
      <c r="AT257">
        <v>-0.24091606800000001</v>
      </c>
      <c r="AU257">
        <v>0.98480143200000003</v>
      </c>
    </row>
    <row r="258" spans="1:47" x14ac:dyDescent="0.35">
      <c r="A258" t="s">
        <v>322</v>
      </c>
      <c r="B258" s="73">
        <v>40725</v>
      </c>
      <c r="C258">
        <v>0.98388076899999999</v>
      </c>
      <c r="D258">
        <v>1.2769762760000001</v>
      </c>
      <c r="E258">
        <v>0.40792680599999998</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-2.2478000000000001E-2</v>
      </c>
      <c r="P258">
        <v>-0.31022249899999998</v>
      </c>
      <c r="Q258">
        <v>1.9091788789999999</v>
      </c>
      <c r="R258">
        <v>7.2235999999999995E-2</v>
      </c>
      <c r="S258">
        <v>-0.174006405</v>
      </c>
      <c r="T258">
        <v>-9.9065820999999998E-2</v>
      </c>
      <c r="U258">
        <v>0.22139600000000001</v>
      </c>
      <c r="V258">
        <v>5.5542649999999999E-2</v>
      </c>
      <c r="W258">
        <v>-1.781744835</v>
      </c>
      <c r="X258">
        <v>-4.5651708999999999E-2</v>
      </c>
      <c r="Y258">
        <v>1.2116499999999999</v>
      </c>
      <c r="Z258">
        <v>1.1795110600000001</v>
      </c>
      <c r="AA258">
        <v>2.5844824489999998</v>
      </c>
      <c r="AB258">
        <v>1.14723481</v>
      </c>
      <c r="AC258">
        <v>4.4927651999999998E-2</v>
      </c>
      <c r="AD258">
        <v>-0.87805459600000002</v>
      </c>
      <c r="AE258">
        <v>0.49079106099999997</v>
      </c>
      <c r="AF258">
        <v>-0.87923127499999998</v>
      </c>
      <c r="AG258">
        <v>3.445690736</v>
      </c>
      <c r="AH258">
        <v>0.52802433900000001</v>
      </c>
      <c r="AI258">
        <v>-8.9404209999999998E-2</v>
      </c>
      <c r="AJ258">
        <v>-0.41447888399999999</v>
      </c>
      <c r="AK258">
        <v>0.47646928199999999</v>
      </c>
      <c r="AL258">
        <v>0.366296705</v>
      </c>
      <c r="AM258">
        <v>1.237330601</v>
      </c>
      <c r="AN258">
        <v>-0.42891552799999999</v>
      </c>
      <c r="AO258">
        <v>0.94769094300000001</v>
      </c>
      <c r="AP258">
        <v>0.69093152800000002</v>
      </c>
      <c r="AQ258">
        <v>-0.61903343600000005</v>
      </c>
      <c r="AR258">
        <v>0.34132009899999999</v>
      </c>
      <c r="AS258">
        <v>2.7476908170000001</v>
      </c>
      <c r="AT258">
        <v>0.67805075100000001</v>
      </c>
      <c r="AU258">
        <v>0.55967177899999998</v>
      </c>
    </row>
    <row r="259" spans="1:47" x14ac:dyDescent="0.35">
      <c r="A259" t="s">
        <v>323</v>
      </c>
      <c r="B259" s="73">
        <v>40817</v>
      </c>
      <c r="C259">
        <v>0.84207120700000004</v>
      </c>
      <c r="D259">
        <v>1.3666879409999999</v>
      </c>
      <c r="E259">
        <v>0.50269049399999999</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0.204263</v>
      </c>
      <c r="S259">
        <v>0.122387672</v>
      </c>
      <c r="T259">
        <v>0.50181236399999996</v>
      </c>
      <c r="U259">
        <v>0.50063400000000002</v>
      </c>
      <c r="V259">
        <v>0.153660086</v>
      </c>
      <c r="W259">
        <v>-2.0193205000000001</v>
      </c>
      <c r="X259">
        <v>0.21512962599999999</v>
      </c>
      <c r="Y259">
        <v>-3.8500000000000001E-3</v>
      </c>
      <c r="Z259">
        <v>-1.4189781029999999</v>
      </c>
      <c r="AA259">
        <v>1.705437874</v>
      </c>
      <c r="AB259">
        <v>2.0386305710000001</v>
      </c>
      <c r="AC259">
        <v>-0.48821599700000001</v>
      </c>
      <c r="AD259">
        <v>2.435454424</v>
      </c>
      <c r="AE259">
        <v>0.52632363800000004</v>
      </c>
      <c r="AF259">
        <v>1.229837641</v>
      </c>
      <c r="AG259">
        <v>1.533216677</v>
      </c>
      <c r="AH259">
        <v>1.945523294</v>
      </c>
      <c r="AI259">
        <v>3.8478900000000002E-4</v>
      </c>
      <c r="AJ259">
        <v>1.615695326</v>
      </c>
      <c r="AK259">
        <v>1.046878454</v>
      </c>
      <c r="AL259">
        <v>0.59245876799999997</v>
      </c>
      <c r="AM259">
        <v>1.1228213739999999</v>
      </c>
      <c r="AN259">
        <v>-0.78083623800000002</v>
      </c>
      <c r="AO259">
        <v>1.151337174</v>
      </c>
      <c r="AP259">
        <v>0.459608984</v>
      </c>
      <c r="AQ259">
        <v>-7.9383281999999999E-2</v>
      </c>
      <c r="AR259">
        <v>1.302071548</v>
      </c>
      <c r="AS259">
        <v>2.6588431219999999</v>
      </c>
      <c r="AT259">
        <v>-3.8767163E-2</v>
      </c>
      <c r="AU259">
        <v>0.413771114</v>
      </c>
    </row>
    <row r="260" spans="1:47" x14ac:dyDescent="0.35">
      <c r="A260" t="s">
        <v>324</v>
      </c>
      <c r="B260" s="73">
        <v>40909</v>
      </c>
      <c r="C260">
        <v>-1.317625E-3</v>
      </c>
      <c r="D260">
        <v>1.079366582</v>
      </c>
      <c r="E260">
        <v>-3.5296429999999997E-2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-0.36907200000000001</v>
      </c>
      <c r="S260">
        <v>2.7781378999999998E-2</v>
      </c>
      <c r="T260">
        <v>0.166902471</v>
      </c>
      <c r="U260">
        <v>0.47179399999999999</v>
      </c>
      <c r="V260">
        <v>-4.1728046999999997E-2</v>
      </c>
      <c r="W260">
        <v>-4.4566586160000004</v>
      </c>
      <c r="X260">
        <v>1.2371703999999999</v>
      </c>
      <c r="Y260">
        <v>1.6288899999999999</v>
      </c>
      <c r="Z260">
        <v>-0.17080719599999999</v>
      </c>
      <c r="AA260">
        <v>1.4271230290000001</v>
      </c>
      <c r="AB260">
        <v>0.69405586799999996</v>
      </c>
      <c r="AC260">
        <v>-0.96685204499999999</v>
      </c>
      <c r="AD260">
        <v>-0.13635933</v>
      </c>
      <c r="AE260">
        <v>0.47229806800000002</v>
      </c>
      <c r="AF260">
        <v>-0.49801662600000002</v>
      </c>
      <c r="AG260">
        <v>0.17425459800000001</v>
      </c>
      <c r="AH260">
        <v>0.65130869800000002</v>
      </c>
      <c r="AI260">
        <v>-0.60334716899999996</v>
      </c>
      <c r="AJ260">
        <v>5.1718066E-2</v>
      </c>
      <c r="AK260">
        <v>0.56474705700000005</v>
      </c>
      <c r="AL260">
        <v>0.41798730200000001</v>
      </c>
      <c r="AM260">
        <v>0.80720659699999997</v>
      </c>
      <c r="AN260">
        <v>-1.478454706</v>
      </c>
      <c r="AO260">
        <v>1.2076822229999999</v>
      </c>
      <c r="AP260">
        <v>0.75918391600000001</v>
      </c>
      <c r="AQ260">
        <v>2.5725465999999999E-2</v>
      </c>
      <c r="AR260">
        <v>-1.436101316</v>
      </c>
      <c r="AS260">
        <v>1.357311969</v>
      </c>
      <c r="AT260">
        <v>1.121678183</v>
      </c>
      <c r="AU260">
        <v>0.68408709199999995</v>
      </c>
    </row>
    <row r="261" spans="1:47" x14ac:dyDescent="0.35">
      <c r="A261" t="s">
        <v>325</v>
      </c>
      <c r="B261" s="73">
        <v>41000</v>
      </c>
      <c r="C261">
        <v>-1.084747065</v>
      </c>
      <c r="D261">
        <v>0.95262627899999996</v>
      </c>
      <c r="E261">
        <v>0.85640715000000001</v>
      </c>
      <c r="F261">
        <v>0.21459657800000001</v>
      </c>
      <c r="G261">
        <v>-1.353348913</v>
      </c>
      <c r="H261">
        <v>6.4087343000000005E-2</v>
      </c>
      <c r="I261">
        <v>0.55515489500000004</v>
      </c>
      <c r="J261">
        <v>2.0553139800000002</v>
      </c>
      <c r="K261">
        <v>1.6</v>
      </c>
      <c r="L261">
        <v>-0.169658261</v>
      </c>
      <c r="M261">
        <v>0.20910942099999999</v>
      </c>
      <c r="N261">
        <v>-6.9457024000000006E-2</v>
      </c>
      <c r="O261">
        <v>-0.21496299999999999</v>
      </c>
      <c r="P261">
        <v>-0.93119561900000003</v>
      </c>
      <c r="Q261">
        <v>0.59375622100000003</v>
      </c>
      <c r="R261">
        <v>-0.18262300000000001</v>
      </c>
      <c r="S261">
        <v>-0.43697229999999998</v>
      </c>
      <c r="T261">
        <v>4.1552165000000002E-2</v>
      </c>
      <c r="U261">
        <v>0.61163299999999998</v>
      </c>
      <c r="V261">
        <v>0.83048178100000003</v>
      </c>
      <c r="W261">
        <v>-0.29913665499999997</v>
      </c>
      <c r="X261">
        <v>-1.759294065</v>
      </c>
      <c r="Y261">
        <v>1.3807799999999999</v>
      </c>
      <c r="Z261">
        <v>-4.4415210000000004E-3</v>
      </c>
      <c r="AA261">
        <v>-3.053491615</v>
      </c>
      <c r="AB261">
        <v>0.36489729599999998</v>
      </c>
      <c r="AC261">
        <v>-1.1351370329999999</v>
      </c>
      <c r="AD261">
        <v>1.3889112539999999</v>
      </c>
      <c r="AE261">
        <v>0.86566595300000004</v>
      </c>
      <c r="AF261">
        <v>0.51463845799999997</v>
      </c>
      <c r="AG261">
        <v>5.1210744569999997</v>
      </c>
      <c r="AH261">
        <v>0.65898266699999997</v>
      </c>
      <c r="AI261">
        <v>-0.20815329299999999</v>
      </c>
      <c r="AJ261">
        <v>2.3300062989999999</v>
      </c>
      <c r="AK261">
        <v>0.60112315100000002</v>
      </c>
      <c r="AL261">
        <v>0.49490854699999998</v>
      </c>
      <c r="AM261">
        <v>0.31526041599999999</v>
      </c>
      <c r="AN261">
        <v>-0.54580160799999999</v>
      </c>
      <c r="AO261">
        <v>1.570296481</v>
      </c>
      <c r="AP261">
        <v>0.21772416999999999</v>
      </c>
      <c r="AQ261">
        <v>-0.56741957899999995</v>
      </c>
      <c r="AR261">
        <v>0.20983584699999999</v>
      </c>
      <c r="AS261">
        <v>-0.88977375700000005</v>
      </c>
      <c r="AT261">
        <v>0.81792284500000001</v>
      </c>
      <c r="AU261">
        <v>0.56684188599999996</v>
      </c>
    </row>
    <row r="262" spans="1:47" x14ac:dyDescent="0.35">
      <c r="A262" t="s">
        <v>326</v>
      </c>
      <c r="B262" s="73">
        <v>41091</v>
      </c>
      <c r="C262">
        <v>-3.3586851719999999</v>
      </c>
      <c r="D262">
        <v>0.73370788099999995</v>
      </c>
      <c r="E262">
        <v>-0.42666976400000001</v>
      </c>
      <c r="F262">
        <v>-1.0006399999999999E-3</v>
      </c>
      <c r="G262">
        <v>1.767039241</v>
      </c>
      <c r="H262">
        <v>0.32616373700000001</v>
      </c>
      <c r="I262">
        <v>0.23019415100000001</v>
      </c>
      <c r="J262">
        <v>1.853532999</v>
      </c>
      <c r="K262">
        <v>2.2999999999999998</v>
      </c>
      <c r="L262">
        <v>-0.53614212900000002</v>
      </c>
      <c r="M262">
        <v>0.20864962200000001</v>
      </c>
      <c r="N262">
        <v>7.5250259E-2</v>
      </c>
      <c r="O262">
        <v>-0.26388800000000001</v>
      </c>
      <c r="P262">
        <v>-0.95860267899999996</v>
      </c>
      <c r="Q262">
        <v>1.2261679089999999</v>
      </c>
      <c r="R262">
        <v>-0.22823299999999999</v>
      </c>
      <c r="S262">
        <v>-1.0581715389999999</v>
      </c>
      <c r="T262">
        <v>-0.150821386</v>
      </c>
      <c r="U262">
        <v>6.5051999999999999E-2</v>
      </c>
      <c r="V262">
        <v>-5.6038575E-2</v>
      </c>
      <c r="W262">
        <v>-1.7282817500000001</v>
      </c>
      <c r="X262">
        <v>-0.62940889</v>
      </c>
      <c r="Y262">
        <v>1.15795</v>
      </c>
      <c r="Z262">
        <v>1.287154063</v>
      </c>
      <c r="AA262">
        <v>1.235637366</v>
      </c>
      <c r="AB262">
        <v>-5.1463362999999998E-2</v>
      </c>
      <c r="AC262">
        <v>-0.68827249899999998</v>
      </c>
      <c r="AD262">
        <v>-0.91811690700000004</v>
      </c>
      <c r="AE262">
        <v>0.56597461800000004</v>
      </c>
      <c r="AF262">
        <v>0.15520824</v>
      </c>
      <c r="AG262">
        <v>-0.55583570199999999</v>
      </c>
      <c r="AH262">
        <v>0.88358254999999997</v>
      </c>
      <c r="AI262">
        <v>5.0938314999999998E-2</v>
      </c>
      <c r="AJ262">
        <v>0.236072065</v>
      </c>
      <c r="AK262">
        <v>0.44028618600000002</v>
      </c>
      <c r="AL262">
        <v>0.14876566499999999</v>
      </c>
      <c r="AM262">
        <v>-0.182069538</v>
      </c>
      <c r="AN262">
        <v>-1.3479545129999999</v>
      </c>
      <c r="AO262">
        <v>0.38707392299999999</v>
      </c>
      <c r="AP262">
        <v>0.15351996700000001</v>
      </c>
      <c r="AQ262">
        <v>-1.888160429</v>
      </c>
      <c r="AR262">
        <v>0.13793597399999999</v>
      </c>
      <c r="AS262">
        <v>1.727526866</v>
      </c>
      <c r="AT262">
        <v>0.45585998700000002</v>
      </c>
      <c r="AU262">
        <v>0.83473463000000003</v>
      </c>
    </row>
    <row r="263" spans="1:47" x14ac:dyDescent="0.35">
      <c r="A263" t="s">
        <v>327</v>
      </c>
      <c r="B263" s="73">
        <v>41183</v>
      </c>
      <c r="C263">
        <v>3.0954708430000002</v>
      </c>
      <c r="D263">
        <v>0.57868424699999998</v>
      </c>
      <c r="E263">
        <v>-0.227126773</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-0.108293</v>
      </c>
      <c r="S263">
        <v>-0.38531661699999997</v>
      </c>
      <c r="T263">
        <v>0.2368739</v>
      </c>
      <c r="U263">
        <v>0.14308899999999999</v>
      </c>
      <c r="V263">
        <v>1.2425362049999999</v>
      </c>
      <c r="W263">
        <v>-1.4963780950000001</v>
      </c>
      <c r="X263">
        <v>0.31004246699999999</v>
      </c>
      <c r="Y263">
        <v>1.794</v>
      </c>
      <c r="Z263">
        <v>-0.99365560399999997</v>
      </c>
      <c r="AA263">
        <v>0.69574877300000004</v>
      </c>
      <c r="AB263">
        <v>0.94243239199999995</v>
      </c>
      <c r="AC263">
        <v>-0.51185602299999999</v>
      </c>
      <c r="AD263">
        <v>-0.37460886900000001</v>
      </c>
      <c r="AE263">
        <v>0.45177694000000002</v>
      </c>
      <c r="AF263">
        <v>1.1104363349999999</v>
      </c>
      <c r="AG263">
        <v>1.2818041099999999</v>
      </c>
      <c r="AH263">
        <v>0.53517634400000003</v>
      </c>
      <c r="AI263">
        <v>-0.42922686100000002</v>
      </c>
      <c r="AJ263">
        <v>-1.4512095519999999</v>
      </c>
      <c r="AK263">
        <v>0.193737769</v>
      </c>
      <c r="AL263">
        <v>0.17353092000000001</v>
      </c>
      <c r="AM263">
        <v>3.99148E-2</v>
      </c>
      <c r="AN263">
        <v>-1.129418955</v>
      </c>
      <c r="AO263">
        <v>0.51614756399999995</v>
      </c>
      <c r="AP263">
        <v>8.4207755999999995E-2</v>
      </c>
      <c r="AQ263">
        <v>0.33073978700000001</v>
      </c>
      <c r="AR263">
        <v>-0.114798663</v>
      </c>
      <c r="AS263">
        <v>1.7647938809999999</v>
      </c>
      <c r="AT263">
        <v>0.17488297799999999</v>
      </c>
      <c r="AU263">
        <v>0.40655783099999998</v>
      </c>
    </row>
    <row r="264" spans="1:47" x14ac:dyDescent="0.35">
      <c r="A264" t="s">
        <v>328</v>
      </c>
      <c r="B264" s="73">
        <v>41275</v>
      </c>
      <c r="C264">
        <v>1.7012875510000001</v>
      </c>
      <c r="D264">
        <v>0.481942606</v>
      </c>
      <c r="E264">
        <v>-7.3511302000000001E-2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-0.416294</v>
      </c>
      <c r="S264">
        <v>-7.7361410000000005E-2</v>
      </c>
      <c r="T264">
        <v>-0.13451901799999999</v>
      </c>
      <c r="U264">
        <v>-6.0149000000000001E-2</v>
      </c>
      <c r="V264">
        <v>-0.101464519</v>
      </c>
      <c r="W264">
        <v>-0.89773026300000003</v>
      </c>
      <c r="X264">
        <v>-0.127575518</v>
      </c>
      <c r="Y264">
        <v>1.1868700000000001</v>
      </c>
      <c r="Z264">
        <v>2.1387059999999999E-2</v>
      </c>
      <c r="AA264">
        <v>1.450186091</v>
      </c>
      <c r="AB264">
        <v>0.52342361400000004</v>
      </c>
      <c r="AC264">
        <v>-0.74107759799999995</v>
      </c>
      <c r="AD264">
        <v>-7.3451058E-2</v>
      </c>
      <c r="AE264">
        <v>0.50224872499999995</v>
      </c>
      <c r="AF264">
        <v>1.6790991850000001</v>
      </c>
      <c r="AG264">
        <v>0.48390511600000002</v>
      </c>
      <c r="AH264">
        <v>0.86192297299999998</v>
      </c>
      <c r="AI264">
        <v>-0.69974853400000003</v>
      </c>
      <c r="AJ264">
        <v>0.81819980599999997</v>
      </c>
      <c r="AK264">
        <v>1.4375280770000001</v>
      </c>
      <c r="AL264">
        <v>4.9267671999999998E-2</v>
      </c>
      <c r="AM264">
        <v>-6.9318518999999995E-2</v>
      </c>
      <c r="AN264">
        <v>-1.5804573770000001</v>
      </c>
      <c r="AO264">
        <v>6.7384631E-2</v>
      </c>
      <c r="AP264">
        <v>-0.12287176299999999</v>
      </c>
      <c r="AQ264">
        <v>-2.0796514359999998</v>
      </c>
      <c r="AR264">
        <v>-0.75481785499999998</v>
      </c>
      <c r="AS264">
        <v>1.602891829</v>
      </c>
      <c r="AT264">
        <v>0.109838067</v>
      </c>
      <c r="AU264">
        <v>0.47694278299999998</v>
      </c>
    </row>
    <row r="265" spans="1:47" x14ac:dyDescent="0.35">
      <c r="A265" t="s">
        <v>329</v>
      </c>
      <c r="B265" s="73">
        <v>41365</v>
      </c>
      <c r="C265">
        <v>-3.6290431999999997E-2</v>
      </c>
      <c r="D265">
        <v>0.44795945999999998</v>
      </c>
      <c r="E265">
        <v>-9.1732043999999999E-2</v>
      </c>
      <c r="F265">
        <v>-0.27463747900000002</v>
      </c>
      <c r="G265">
        <v>0.51209124800000005</v>
      </c>
      <c r="H265">
        <v>0.89700485500000005</v>
      </c>
      <c r="I265">
        <v>0.37659458600000001</v>
      </c>
      <c r="J265">
        <v>0.87408886299999999</v>
      </c>
      <c r="K265">
        <v>1.8</v>
      </c>
      <c r="L265">
        <v>-0.42478578299999997</v>
      </c>
      <c r="M265">
        <v>-0.45626323299999999</v>
      </c>
      <c r="N265">
        <v>0.563835211</v>
      </c>
      <c r="O265">
        <v>-0.332403</v>
      </c>
      <c r="P265">
        <v>-0.30752821299999999</v>
      </c>
      <c r="Q265">
        <v>0.47925561799999999</v>
      </c>
      <c r="R265">
        <v>-0.25019400000000003</v>
      </c>
      <c r="S265">
        <v>-0.85729931800000003</v>
      </c>
      <c r="T265">
        <v>9.2748127999999999E-2</v>
      </c>
      <c r="U265">
        <v>0.57944399999999996</v>
      </c>
      <c r="V265">
        <v>0.23437079799999999</v>
      </c>
      <c r="W265">
        <v>-0.83562040199999998</v>
      </c>
      <c r="X265">
        <v>0.19860355399999999</v>
      </c>
      <c r="Y265">
        <v>1.59873</v>
      </c>
      <c r="Z265">
        <v>-0.78196541900000005</v>
      </c>
      <c r="AA265">
        <v>0.85445554800000001</v>
      </c>
      <c r="AB265">
        <v>1.3260361679999999</v>
      </c>
      <c r="AC265">
        <v>-0.97126961499999998</v>
      </c>
      <c r="AD265">
        <v>1.387478108</v>
      </c>
      <c r="AE265">
        <v>0.85942490599999999</v>
      </c>
      <c r="AF265">
        <v>1.0154303E-2</v>
      </c>
      <c r="AG265">
        <v>0.35039778300000002</v>
      </c>
      <c r="AH265">
        <v>0.25779852800000003</v>
      </c>
      <c r="AI265">
        <v>0.32290144300000001</v>
      </c>
      <c r="AJ265">
        <v>8.4622423000000002E-2</v>
      </c>
      <c r="AK265">
        <v>-0.18292095899999999</v>
      </c>
      <c r="AL265">
        <v>0.57542520500000005</v>
      </c>
      <c r="AM265">
        <v>-0.15805172100000001</v>
      </c>
      <c r="AN265">
        <v>0.41614735800000002</v>
      </c>
      <c r="AO265">
        <v>0.74066342200000002</v>
      </c>
      <c r="AP265">
        <v>3.4026765E-2</v>
      </c>
      <c r="AQ265">
        <v>0.23368781699999999</v>
      </c>
      <c r="AR265">
        <v>1.4225799770000001</v>
      </c>
      <c r="AS265">
        <v>2.9298856400000002</v>
      </c>
      <c r="AT265">
        <v>0.86778954799999997</v>
      </c>
      <c r="AU265">
        <v>0.77602407399999995</v>
      </c>
    </row>
    <row r="266" spans="1:47" x14ac:dyDescent="0.35">
      <c r="A266" t="s">
        <v>330</v>
      </c>
      <c r="B266" s="73">
        <v>41456</v>
      </c>
      <c r="C266">
        <v>0.61604703999999999</v>
      </c>
      <c r="D266">
        <v>0.39446971199999997</v>
      </c>
      <c r="E266">
        <v>4.7824731000000002E-2</v>
      </c>
      <c r="F266">
        <v>0.58383488400000005</v>
      </c>
      <c r="G266">
        <v>1.4411558</v>
      </c>
      <c r="H266">
        <v>0.58035719100000005</v>
      </c>
      <c r="I266">
        <v>0.72457448599999996</v>
      </c>
      <c r="J266">
        <v>0.77698986000000003</v>
      </c>
      <c r="K266">
        <v>1.7</v>
      </c>
      <c r="L266">
        <v>0.36711851000000001</v>
      </c>
      <c r="M266">
        <v>1.0686154889999999</v>
      </c>
      <c r="N266">
        <v>7.4281939000000005E-2</v>
      </c>
      <c r="O266">
        <v>0.51473100000000005</v>
      </c>
      <c r="P266">
        <v>-8.8247811999999995E-2</v>
      </c>
      <c r="Q266">
        <v>-0.25655010900000003</v>
      </c>
      <c r="R266">
        <v>0.50036599999999998</v>
      </c>
      <c r="S266">
        <v>0.46092604199999998</v>
      </c>
      <c r="T266">
        <v>0.65732002</v>
      </c>
      <c r="U266">
        <v>0.43833800000000001</v>
      </c>
      <c r="V266">
        <v>0.67897349100000004</v>
      </c>
      <c r="W266">
        <v>1.3523288E-2</v>
      </c>
      <c r="X266">
        <v>0.99613987199999998</v>
      </c>
      <c r="Y266">
        <v>1.40381</v>
      </c>
      <c r="Z266">
        <v>1.667846741</v>
      </c>
      <c r="AA266">
        <v>1.4346802949999999</v>
      </c>
      <c r="AB266">
        <v>1.9752057199999999</v>
      </c>
      <c r="AC266">
        <v>3.7708852000000001E-2</v>
      </c>
      <c r="AD266">
        <v>0.90031722400000003</v>
      </c>
      <c r="AE266">
        <v>1.1661529509999999</v>
      </c>
      <c r="AF266">
        <v>1.863573345</v>
      </c>
      <c r="AG266">
        <v>-6.7156915999999997E-2</v>
      </c>
      <c r="AH266">
        <v>-0.52764894900000003</v>
      </c>
      <c r="AI266">
        <v>-0.18070392699999999</v>
      </c>
      <c r="AJ266">
        <v>0.72377585899999997</v>
      </c>
      <c r="AK266">
        <v>1.1670524689999999</v>
      </c>
      <c r="AL266">
        <v>0.52263311499999998</v>
      </c>
      <c r="AM266">
        <v>0.75936670500000003</v>
      </c>
      <c r="AN266">
        <v>0.75837043999999998</v>
      </c>
      <c r="AO266">
        <v>0.34051066600000002</v>
      </c>
      <c r="AP266">
        <v>0.31651694400000002</v>
      </c>
      <c r="AQ266">
        <v>0.21786672200000001</v>
      </c>
      <c r="AR266">
        <v>-9.2089230999999994E-2</v>
      </c>
      <c r="AS266">
        <v>2.9357761130000002</v>
      </c>
      <c r="AT266">
        <v>0.13938522</v>
      </c>
      <c r="AU266">
        <v>0.72737922200000005</v>
      </c>
    </row>
    <row r="267" spans="1:47" x14ac:dyDescent="0.35">
      <c r="A267" t="s">
        <v>331</v>
      </c>
      <c r="B267" s="73">
        <v>41548</v>
      </c>
      <c r="C267">
        <v>0.54369003699999996</v>
      </c>
      <c r="D267">
        <v>0.809111943</v>
      </c>
      <c r="E267">
        <v>0.415186744</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0.34577799999999997</v>
      </c>
      <c r="S267">
        <v>0.34884823199999998</v>
      </c>
      <c r="T267">
        <v>-8.7236647E-2</v>
      </c>
      <c r="U267">
        <v>0.68779199999999996</v>
      </c>
      <c r="V267">
        <v>0.74900839399999997</v>
      </c>
      <c r="W267">
        <v>0.11169834200000001</v>
      </c>
      <c r="X267">
        <v>1.5280630239999999</v>
      </c>
      <c r="Y267">
        <v>1.6011200000000001</v>
      </c>
      <c r="Z267">
        <v>3.123538667</v>
      </c>
      <c r="AA267">
        <v>9.1937189999999995E-3</v>
      </c>
      <c r="AB267">
        <v>1.010436332</v>
      </c>
      <c r="AC267">
        <v>0.216738076</v>
      </c>
      <c r="AD267">
        <v>0.960381331</v>
      </c>
      <c r="AE267">
        <v>0.85615175899999996</v>
      </c>
      <c r="AF267">
        <v>0.22931467699999999</v>
      </c>
      <c r="AG267">
        <v>1.3870697139999999</v>
      </c>
      <c r="AH267">
        <v>0.86783453499999996</v>
      </c>
      <c r="AI267">
        <v>0.60303723099999995</v>
      </c>
      <c r="AJ267">
        <v>0.98254130799999995</v>
      </c>
      <c r="AK267">
        <v>0.56630756000000004</v>
      </c>
      <c r="AL267">
        <v>0.706287318</v>
      </c>
      <c r="AM267">
        <v>0.73661720600000002</v>
      </c>
      <c r="AN267">
        <v>-0.13929644699999999</v>
      </c>
      <c r="AO267">
        <v>4.0528552000000002E-2</v>
      </c>
      <c r="AP267">
        <v>0.45495287699999998</v>
      </c>
      <c r="AQ267">
        <v>8.6128337999999999E-2</v>
      </c>
      <c r="AR267">
        <v>0.45651540000000002</v>
      </c>
      <c r="AS267">
        <v>1.4659761549999999</v>
      </c>
      <c r="AT267">
        <v>0.79165341099999997</v>
      </c>
      <c r="AU267">
        <v>0.474459609</v>
      </c>
    </row>
    <row r="268" spans="1:47" x14ac:dyDescent="0.35">
      <c r="A268" t="s">
        <v>332</v>
      </c>
      <c r="B268" s="73">
        <v>41640</v>
      </c>
      <c r="C268">
        <v>-0.95535691300000003</v>
      </c>
      <c r="D268">
        <v>0.80979009999999996</v>
      </c>
      <c r="E268">
        <v>0.43940970099999999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0.341283</v>
      </c>
      <c r="S268">
        <v>-0.17948572600000001</v>
      </c>
      <c r="T268">
        <v>0.64021262999999995</v>
      </c>
      <c r="U268">
        <v>0.490956</v>
      </c>
      <c r="V268">
        <v>0.64272765600000004</v>
      </c>
      <c r="W268">
        <v>0.62787752600000002</v>
      </c>
      <c r="X268">
        <v>0.88175729800000002</v>
      </c>
      <c r="Y268">
        <v>2.20112</v>
      </c>
      <c r="Z268">
        <v>-1.1833119080000001</v>
      </c>
      <c r="AA268">
        <v>3.2014879070000002</v>
      </c>
      <c r="AB268">
        <v>0.75089405399999998</v>
      </c>
      <c r="AC268">
        <v>-0.20437999500000001</v>
      </c>
      <c r="AD268">
        <v>-0.12712327600000001</v>
      </c>
      <c r="AE268">
        <v>0.87491575300000002</v>
      </c>
      <c r="AF268">
        <v>-0.92215681800000004</v>
      </c>
      <c r="AG268">
        <v>0.84645374100000004</v>
      </c>
      <c r="AH268">
        <v>0.59166840700000001</v>
      </c>
      <c r="AI268">
        <v>0.63473019200000003</v>
      </c>
      <c r="AJ268">
        <v>-0.17752027500000001</v>
      </c>
      <c r="AK268">
        <v>0.28819536600000001</v>
      </c>
      <c r="AL268">
        <v>0.50543745600000001</v>
      </c>
      <c r="AM268">
        <v>0.58391388200000005</v>
      </c>
      <c r="AN268">
        <v>1.0949673310000001</v>
      </c>
      <c r="AO268">
        <v>0.57735481700000002</v>
      </c>
      <c r="AP268">
        <v>0.57478578999999996</v>
      </c>
      <c r="AQ268">
        <v>1.941490025</v>
      </c>
      <c r="AR268">
        <v>0.65620735500000005</v>
      </c>
      <c r="AS268">
        <v>0.19382951800000001</v>
      </c>
      <c r="AT268">
        <v>0.71117100200000005</v>
      </c>
      <c r="AU268">
        <v>0.53835203600000003</v>
      </c>
    </row>
    <row r="269" spans="1:47" x14ac:dyDescent="0.35">
      <c r="A269" t="s">
        <v>333</v>
      </c>
      <c r="B269" s="73">
        <v>41730</v>
      </c>
      <c r="C269">
        <v>-1.4958600040000001</v>
      </c>
      <c r="D269">
        <v>0.75481682100000003</v>
      </c>
      <c r="E269">
        <v>-0.16569239499999999</v>
      </c>
      <c r="F269">
        <v>0.429826386</v>
      </c>
      <c r="G269">
        <v>0.833057567</v>
      </c>
      <c r="H269">
        <v>0.163447761</v>
      </c>
      <c r="I269">
        <v>0.51621172599999998</v>
      </c>
      <c r="J269">
        <v>0.36869163700000002</v>
      </c>
      <c r="K269">
        <v>1.8</v>
      </c>
      <c r="L269">
        <v>-0.54767266699999995</v>
      </c>
      <c r="M269">
        <v>0.973900086</v>
      </c>
      <c r="N269">
        <v>0.25325559199999997</v>
      </c>
      <c r="O269">
        <v>0.414157</v>
      </c>
      <c r="P269">
        <v>0.36728831200000001</v>
      </c>
      <c r="Q269">
        <v>1.641611766</v>
      </c>
      <c r="R269">
        <v>0.45119500000000001</v>
      </c>
      <c r="S269">
        <v>-0.772230003</v>
      </c>
      <c r="T269">
        <v>2.5536627999999999E-2</v>
      </c>
      <c r="U269">
        <v>0.14050599999999999</v>
      </c>
      <c r="V269">
        <v>0.93721318600000003</v>
      </c>
      <c r="W269">
        <v>-0.15980578000000001</v>
      </c>
      <c r="X269">
        <v>0.795716745</v>
      </c>
      <c r="Y269">
        <v>1.1590199999999999</v>
      </c>
      <c r="Z269">
        <v>3.827656996</v>
      </c>
      <c r="AA269">
        <v>-2.5874542119999999</v>
      </c>
      <c r="AB269">
        <v>1.097096734</v>
      </c>
      <c r="AC269">
        <v>0.17137200699999999</v>
      </c>
      <c r="AD269">
        <v>0.82075183200000001</v>
      </c>
      <c r="AE269">
        <v>0.85697468899999996</v>
      </c>
      <c r="AF269">
        <v>2.0933621919999998</v>
      </c>
      <c r="AG269">
        <v>-2.2843591999999999E-2</v>
      </c>
      <c r="AH269">
        <v>0.692449486</v>
      </c>
      <c r="AI269">
        <v>-9.4817586999999995E-2</v>
      </c>
      <c r="AJ269">
        <v>1.0219924650000001</v>
      </c>
      <c r="AK269">
        <v>1.578628956</v>
      </c>
      <c r="AL269">
        <v>0.37060295700000001</v>
      </c>
      <c r="AM269">
        <v>1.260559161</v>
      </c>
      <c r="AN269">
        <v>-0.64183926700000005</v>
      </c>
      <c r="AO269">
        <v>-7.460833E-3</v>
      </c>
      <c r="AP269">
        <v>0.61270823200000002</v>
      </c>
      <c r="AQ269">
        <v>1.7342604000000001E-2</v>
      </c>
      <c r="AR269">
        <v>0.87860761200000004</v>
      </c>
      <c r="AS269">
        <v>2.901075638</v>
      </c>
      <c r="AT269">
        <v>-0.35010973699999998</v>
      </c>
      <c r="AU269">
        <v>-0.13793565199999999</v>
      </c>
    </row>
    <row r="270" spans="1:47" x14ac:dyDescent="0.35">
      <c r="A270" t="s">
        <v>334</v>
      </c>
      <c r="B270" s="73">
        <v>41821</v>
      </c>
      <c r="C270">
        <v>-0.60052000299999997</v>
      </c>
      <c r="D270">
        <v>0.47641849800000002</v>
      </c>
      <c r="E270">
        <v>0.497564067</v>
      </c>
      <c r="F270">
        <v>0.26527291600000003</v>
      </c>
      <c r="G270">
        <v>-1.4780832530000001</v>
      </c>
      <c r="H270">
        <v>0.913329104</v>
      </c>
      <c r="I270">
        <v>0.81234123800000002</v>
      </c>
      <c r="J270">
        <v>0.62821966399999996</v>
      </c>
      <c r="K270">
        <v>1.8</v>
      </c>
      <c r="L270">
        <v>0.93476293799999999</v>
      </c>
      <c r="M270">
        <v>0</v>
      </c>
      <c r="N270">
        <v>-7.2441775E-2</v>
      </c>
      <c r="O270">
        <v>0.19500899999999999</v>
      </c>
      <c r="P270">
        <v>0.47133307099999999</v>
      </c>
      <c r="Q270">
        <v>0.40810270799999998</v>
      </c>
      <c r="R270">
        <v>0.26797500000000002</v>
      </c>
      <c r="S270">
        <v>0.16213329300000001</v>
      </c>
      <c r="T270">
        <v>8.5709553999999993E-2</v>
      </c>
      <c r="U270">
        <v>0.47219100000000003</v>
      </c>
      <c r="V270">
        <v>0.87423441899999998</v>
      </c>
      <c r="W270">
        <v>-8.1055556000000001E-2</v>
      </c>
      <c r="X270">
        <v>1.324002532</v>
      </c>
      <c r="Y270">
        <v>2.2896700000000001</v>
      </c>
      <c r="Z270">
        <v>3.1016232490000002</v>
      </c>
      <c r="AA270">
        <v>-0.15265915999999999</v>
      </c>
      <c r="AB270">
        <v>0.75090515999999996</v>
      </c>
      <c r="AC270">
        <v>-4.7938067000000001E-2</v>
      </c>
      <c r="AD270">
        <v>-1.805090584</v>
      </c>
      <c r="AE270">
        <v>0.87785840999999998</v>
      </c>
      <c r="AF270">
        <v>-1.339134</v>
      </c>
      <c r="AG270">
        <v>0.50355788599999995</v>
      </c>
      <c r="AH270">
        <v>1.316572479</v>
      </c>
      <c r="AI270">
        <v>0.58547979800000005</v>
      </c>
      <c r="AJ270">
        <v>0.73667339899999995</v>
      </c>
      <c r="AK270">
        <v>0.41690707100000002</v>
      </c>
      <c r="AL270">
        <v>0.48173744099999999</v>
      </c>
      <c r="AM270">
        <v>1.1087143509999999</v>
      </c>
      <c r="AN270">
        <v>0.33271702800000003</v>
      </c>
      <c r="AO270">
        <v>0.48161520000000002</v>
      </c>
      <c r="AP270">
        <v>0.75591736300000001</v>
      </c>
      <c r="AQ270">
        <v>0.91033944700000002</v>
      </c>
      <c r="AR270">
        <v>0.80598464700000005</v>
      </c>
      <c r="AS270">
        <v>-1.62240622</v>
      </c>
      <c r="AT270">
        <v>1.2841289069999999</v>
      </c>
      <c r="AU270">
        <v>0.394667298</v>
      </c>
    </row>
    <row r="271" spans="1:47" x14ac:dyDescent="0.35">
      <c r="A271" t="s">
        <v>335</v>
      </c>
      <c r="B271" s="73">
        <v>41913</v>
      </c>
      <c r="C271">
        <v>-0.85928762700000005</v>
      </c>
      <c r="D271">
        <v>0.44319309899999998</v>
      </c>
      <c r="E271">
        <v>2.5192330999999998E-2</v>
      </c>
      <c r="F271">
        <v>0.69044200099999997</v>
      </c>
      <c r="G271">
        <v>-3.3011564E-2</v>
      </c>
      <c r="H271">
        <v>0.95905130800000005</v>
      </c>
      <c r="I271">
        <v>0.588292276</v>
      </c>
      <c r="J271">
        <v>-0.44678588499999999</v>
      </c>
      <c r="K271">
        <v>1.8</v>
      </c>
      <c r="L271">
        <v>1.1888070820000001</v>
      </c>
      <c r="M271">
        <v>0.50895373600000005</v>
      </c>
      <c r="N271">
        <v>1.673875429</v>
      </c>
      <c r="O271">
        <v>0.49391499999999999</v>
      </c>
      <c r="P271">
        <v>0.73426099700000003</v>
      </c>
      <c r="Q271">
        <v>1.3404200660000001</v>
      </c>
      <c r="R271">
        <v>0.56611100000000003</v>
      </c>
      <c r="S271">
        <v>0.38658566799999999</v>
      </c>
      <c r="T271">
        <v>0.57008786499999997</v>
      </c>
      <c r="U271">
        <v>0.79138200000000003</v>
      </c>
      <c r="V271">
        <v>0.75964094800000004</v>
      </c>
      <c r="W271">
        <v>1.054152553</v>
      </c>
      <c r="X271">
        <v>0.93794383100000001</v>
      </c>
      <c r="Y271">
        <v>1.82579</v>
      </c>
      <c r="Z271">
        <v>1.7633122210000001</v>
      </c>
      <c r="AA271">
        <v>3.6981990890000001</v>
      </c>
      <c r="AB271">
        <v>0.91252185900000005</v>
      </c>
      <c r="AC271">
        <v>0.13806750300000001</v>
      </c>
      <c r="AD271">
        <v>8.4212389999999998E-2</v>
      </c>
      <c r="AE271">
        <v>0.31131726599999998</v>
      </c>
      <c r="AF271">
        <v>2.0056232330000001</v>
      </c>
      <c r="AG271">
        <v>0.46459906000000001</v>
      </c>
      <c r="AH271">
        <v>0.245016607</v>
      </c>
      <c r="AI271">
        <v>0.24999317099999999</v>
      </c>
      <c r="AJ271">
        <v>0.41900456800000002</v>
      </c>
      <c r="AK271">
        <v>1.291865142</v>
      </c>
      <c r="AL271">
        <v>0.78122184100000003</v>
      </c>
      <c r="AM271">
        <v>0.80045023299999996</v>
      </c>
      <c r="AN271">
        <v>9.4687166000000003E-2</v>
      </c>
      <c r="AO271">
        <v>-0.318118911</v>
      </c>
      <c r="AP271">
        <v>0.95423968100000001</v>
      </c>
      <c r="AQ271">
        <v>0.61370006600000004</v>
      </c>
      <c r="AR271">
        <v>0.72050139000000002</v>
      </c>
      <c r="AS271">
        <v>2.4581843989999999</v>
      </c>
      <c r="AT271">
        <v>1.1649616439999999</v>
      </c>
      <c r="AU271">
        <v>0.48057925200000001</v>
      </c>
    </row>
    <row r="272" spans="1:47" x14ac:dyDescent="0.35">
      <c r="A272" t="s">
        <v>336</v>
      </c>
      <c r="B272" s="73">
        <v>42005</v>
      </c>
      <c r="C272">
        <v>0.56393037099999999</v>
      </c>
      <c r="D272">
        <v>0.37564228700000002</v>
      </c>
      <c r="E272">
        <v>0.145402746</v>
      </c>
      <c r="F272">
        <v>0.52258341799999997</v>
      </c>
      <c r="G272">
        <v>0.52124898799999997</v>
      </c>
      <c r="H272">
        <v>0.69197566799999999</v>
      </c>
      <c r="I272">
        <v>0.65040139600000002</v>
      </c>
      <c r="J272">
        <v>1.1808767469999999</v>
      </c>
      <c r="K272">
        <v>1.8</v>
      </c>
      <c r="L272">
        <v>1.146457887</v>
      </c>
      <c r="M272">
        <v>0.81021447099999999</v>
      </c>
      <c r="N272">
        <v>0.35869336200000002</v>
      </c>
      <c r="O272">
        <v>0.35585899999999998</v>
      </c>
      <c r="P272">
        <v>0.85916726899999996</v>
      </c>
      <c r="Q272">
        <v>1.4976567009999999</v>
      </c>
      <c r="R272">
        <v>0.410638</v>
      </c>
      <c r="S272">
        <v>-0.23902568599999999</v>
      </c>
      <c r="T272">
        <v>-4.6280788000000003E-2</v>
      </c>
      <c r="U272">
        <v>0.42743500000000001</v>
      </c>
      <c r="V272">
        <v>0.65065962499999996</v>
      </c>
      <c r="W272">
        <v>-1.0006811920000001</v>
      </c>
      <c r="X272">
        <v>0.57323168899999999</v>
      </c>
      <c r="Y272">
        <v>1.5339400000000001</v>
      </c>
      <c r="Z272">
        <v>-0.28204026599999998</v>
      </c>
      <c r="AA272">
        <v>-0.51990121199999995</v>
      </c>
      <c r="AB272">
        <v>1.4472799780000001</v>
      </c>
      <c r="AC272">
        <v>-0.35990453100000003</v>
      </c>
      <c r="AD272">
        <v>0.46007367599999999</v>
      </c>
      <c r="AE272">
        <v>0.49063874800000001</v>
      </c>
      <c r="AF272">
        <v>2.6044163810000001</v>
      </c>
      <c r="AG272">
        <v>0.49597338400000002</v>
      </c>
      <c r="AH272">
        <v>1.114546485</v>
      </c>
      <c r="AI272">
        <v>0.89567438200000005</v>
      </c>
      <c r="AJ272">
        <v>1.2187564049999999</v>
      </c>
      <c r="AK272">
        <v>1.6175663309999999</v>
      </c>
      <c r="AL272">
        <v>0.547643993</v>
      </c>
      <c r="AM272">
        <v>0.85450554700000003</v>
      </c>
      <c r="AN272">
        <v>0.80896891900000001</v>
      </c>
      <c r="AO272">
        <v>-0.23528992500000001</v>
      </c>
      <c r="AP272">
        <v>1.0897228459999999</v>
      </c>
      <c r="AQ272">
        <v>6.1492878000000001E-2</v>
      </c>
      <c r="AR272">
        <v>0.75234081900000005</v>
      </c>
      <c r="AS272">
        <v>1.3475593850000001</v>
      </c>
      <c r="AT272">
        <v>0.44899340199999999</v>
      </c>
      <c r="AU272">
        <v>0.74877564299999999</v>
      </c>
    </row>
    <row r="273" spans="1:47" x14ac:dyDescent="0.35">
      <c r="A273" t="s">
        <v>337</v>
      </c>
      <c r="B273" s="73">
        <v>42095</v>
      </c>
      <c r="C273">
        <v>1.4740722850000001</v>
      </c>
      <c r="D273">
        <v>0.90857999300000003</v>
      </c>
      <c r="E273">
        <v>0.225043463</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0.73150800000000005</v>
      </c>
      <c r="S273">
        <v>-0.77774397200000001</v>
      </c>
      <c r="T273">
        <v>0.54279989399999995</v>
      </c>
      <c r="U273">
        <v>0.63818200000000003</v>
      </c>
      <c r="V273">
        <v>0.41269648599999997</v>
      </c>
      <c r="W273">
        <v>0.57018382300000003</v>
      </c>
      <c r="X273">
        <v>1.6613758279999999</v>
      </c>
      <c r="Y273">
        <v>1.6842600000000001</v>
      </c>
      <c r="Z273">
        <v>21.052280592999999</v>
      </c>
      <c r="AA273">
        <v>-1.449360201</v>
      </c>
      <c r="AB273">
        <v>0.14630109099999999</v>
      </c>
      <c r="AC273">
        <v>0.354522324</v>
      </c>
      <c r="AD273">
        <v>1.55715099</v>
      </c>
      <c r="AE273">
        <v>0.77536404000000003</v>
      </c>
      <c r="AF273">
        <v>-0.65117988699999996</v>
      </c>
      <c r="AG273">
        <v>1.5388309019999999</v>
      </c>
      <c r="AH273">
        <v>0.55095205999999997</v>
      </c>
      <c r="AI273">
        <v>0.59541208000000001</v>
      </c>
      <c r="AJ273">
        <v>-0.21848303399999999</v>
      </c>
      <c r="AK273">
        <v>0.31692296599999997</v>
      </c>
      <c r="AL273">
        <v>0.80983881300000005</v>
      </c>
      <c r="AM273">
        <v>1.6198628820000001</v>
      </c>
      <c r="AN273">
        <v>0.64483628199999998</v>
      </c>
      <c r="AO273">
        <v>-1.0172225079999999</v>
      </c>
      <c r="AP273">
        <v>1.9072597069999999</v>
      </c>
      <c r="AQ273">
        <v>0.447375409</v>
      </c>
      <c r="AR273">
        <v>1.4302975360000001</v>
      </c>
      <c r="AS273">
        <v>1.890749754</v>
      </c>
      <c r="AT273">
        <v>0.81331362600000001</v>
      </c>
      <c r="AU273">
        <v>0.72235292600000001</v>
      </c>
    </row>
    <row r="274" spans="1:47" x14ac:dyDescent="0.35">
      <c r="A274" t="s">
        <v>338</v>
      </c>
      <c r="B274" s="73">
        <v>42186</v>
      </c>
      <c r="C274">
        <v>2.2681449219999998</v>
      </c>
      <c r="D274">
        <v>8.5700901999999995E-2</v>
      </c>
      <c r="E274">
        <v>0.143871993</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0.48728100000000002</v>
      </c>
      <c r="S274">
        <v>1.5216849690000001</v>
      </c>
      <c r="T274">
        <v>0.104493246</v>
      </c>
      <c r="U274">
        <v>0.45175300000000002</v>
      </c>
      <c r="V274">
        <v>0.63287807399999996</v>
      </c>
      <c r="W274">
        <v>-0.11261674300000001</v>
      </c>
      <c r="X274">
        <v>0.109997368</v>
      </c>
      <c r="Y274">
        <v>2.1417199999999998</v>
      </c>
      <c r="Z274">
        <v>-2.587305277</v>
      </c>
      <c r="AA274">
        <v>5.9005969690000004</v>
      </c>
      <c r="AB274">
        <v>8.9049244E-2</v>
      </c>
      <c r="AC274">
        <v>0.38350088399999999</v>
      </c>
      <c r="AD274">
        <v>0.13567970700000001</v>
      </c>
      <c r="AE274">
        <v>0.483265163</v>
      </c>
      <c r="AF274">
        <v>0.60654440700000001</v>
      </c>
      <c r="AG274">
        <v>1.462527648</v>
      </c>
      <c r="AH274">
        <v>1.2141726310000001</v>
      </c>
      <c r="AI274">
        <v>0.30808108099999998</v>
      </c>
      <c r="AJ274">
        <v>0.52832646400000005</v>
      </c>
      <c r="AK274">
        <v>0.80236941299999998</v>
      </c>
      <c r="AL274">
        <v>0.54640034800000004</v>
      </c>
      <c r="AM274">
        <v>0.55214643600000002</v>
      </c>
      <c r="AN274">
        <v>0.29763900999999998</v>
      </c>
      <c r="AO274">
        <v>-0.66980761700000002</v>
      </c>
      <c r="AP274">
        <v>1.2343979410000001</v>
      </c>
      <c r="AQ274">
        <v>0.81413118600000001</v>
      </c>
      <c r="AR274">
        <v>0.99542410400000003</v>
      </c>
      <c r="AS274">
        <v>1.5237694049999999</v>
      </c>
      <c r="AT274">
        <v>0.58000143199999998</v>
      </c>
      <c r="AU274">
        <v>-0.84426337100000004</v>
      </c>
    </row>
    <row r="275" spans="1:47" x14ac:dyDescent="0.35">
      <c r="A275" t="s">
        <v>339</v>
      </c>
      <c r="B275" s="73">
        <v>42278</v>
      </c>
      <c r="C275">
        <v>-1.6367776000000001E-2</v>
      </c>
      <c r="D275">
        <v>1.031412574</v>
      </c>
      <c r="E275">
        <v>0.700351426</v>
      </c>
      <c r="F275">
        <v>0.19108708399999999</v>
      </c>
      <c r="G275">
        <v>-1.588204883</v>
      </c>
      <c r="H275">
        <v>0.35370182900000002</v>
      </c>
      <c r="I275">
        <v>0.62211198099999998</v>
      </c>
      <c r="J275">
        <v>-0.420338875</v>
      </c>
      <c r="K275">
        <v>1.7</v>
      </c>
      <c r="L275">
        <v>1.210334064</v>
      </c>
      <c r="M275">
        <v>0.45108163299999998</v>
      </c>
      <c r="N275">
        <v>0.30165290099999997</v>
      </c>
      <c r="O275">
        <v>0.416819</v>
      </c>
      <c r="P275">
        <v>0.905855831</v>
      </c>
      <c r="Q275">
        <v>0.744766873</v>
      </c>
      <c r="R275">
        <v>0.52256499999999995</v>
      </c>
      <c r="S275">
        <v>-9.4387710000000003E-3</v>
      </c>
      <c r="T275">
        <v>0.22458803399999999</v>
      </c>
      <c r="U275">
        <v>0.298259</v>
      </c>
      <c r="V275">
        <v>0.43089000900000002</v>
      </c>
      <c r="W275">
        <v>-1.957845139</v>
      </c>
      <c r="X275">
        <v>0.75793141500000005</v>
      </c>
      <c r="Y275">
        <v>1.84623</v>
      </c>
      <c r="Z275">
        <v>3.548912509</v>
      </c>
      <c r="AA275">
        <v>-0.27917658899999998</v>
      </c>
      <c r="AB275">
        <v>0.29928332400000002</v>
      </c>
      <c r="AC275">
        <v>0.17510073800000001</v>
      </c>
      <c r="AD275">
        <v>9.8375239000000003E-2</v>
      </c>
      <c r="AE275">
        <v>1.4429687099999999</v>
      </c>
      <c r="AF275">
        <v>-0.53514644899999997</v>
      </c>
      <c r="AG275">
        <v>0.740994072</v>
      </c>
      <c r="AH275">
        <v>1.1693679210000001</v>
      </c>
      <c r="AI275">
        <v>0.34429598700000003</v>
      </c>
      <c r="AJ275">
        <v>1.167740813</v>
      </c>
      <c r="AK275">
        <v>0.97405488200000001</v>
      </c>
      <c r="AL275">
        <v>0.50875976999999994</v>
      </c>
      <c r="AM275">
        <v>1.3324000009999999</v>
      </c>
      <c r="AN275">
        <v>0.113767651</v>
      </c>
      <c r="AO275">
        <v>0.19352587500000001</v>
      </c>
      <c r="AP275">
        <v>1.1485938339999999</v>
      </c>
      <c r="AQ275">
        <v>0.59684505600000004</v>
      </c>
      <c r="AR275">
        <v>1.3777095580000001</v>
      </c>
      <c r="AS275">
        <v>1.401513902</v>
      </c>
      <c r="AT275">
        <v>0.323372673</v>
      </c>
      <c r="AU275">
        <v>0.45042400900000001</v>
      </c>
    </row>
    <row r="276" spans="1:47" x14ac:dyDescent="0.35">
      <c r="A276" t="s">
        <v>340</v>
      </c>
      <c r="B276" s="73">
        <v>42370</v>
      </c>
      <c r="C276">
        <v>-1.1346718229999999</v>
      </c>
      <c r="D276">
        <v>0.61291410700000004</v>
      </c>
      <c r="E276">
        <v>0.15655993100000001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0.46210400000000001</v>
      </c>
      <c r="P276">
        <v>0.97305720900000003</v>
      </c>
      <c r="Q276">
        <v>-0.185241553</v>
      </c>
      <c r="R276">
        <v>0.48648200000000003</v>
      </c>
      <c r="S276">
        <v>0.56071590400000004</v>
      </c>
      <c r="T276">
        <v>0.18895150899999999</v>
      </c>
      <c r="U276">
        <v>0.20011499999999999</v>
      </c>
      <c r="V276">
        <v>0.73866869899999998</v>
      </c>
      <c r="W276">
        <v>1.74856842</v>
      </c>
      <c r="X276">
        <v>1.0422261829999999</v>
      </c>
      <c r="Y276">
        <v>2.0325799999999998</v>
      </c>
      <c r="Z276">
        <v>1.069351945</v>
      </c>
      <c r="AA276">
        <v>0.94720555100000003</v>
      </c>
      <c r="AB276">
        <v>1.0401797880000001</v>
      </c>
      <c r="AC276">
        <v>0.51638497699999997</v>
      </c>
      <c r="AD276">
        <v>-0.16932866399999999</v>
      </c>
      <c r="AE276">
        <v>0.70394753200000004</v>
      </c>
      <c r="AF276">
        <v>0.61623449299999999</v>
      </c>
      <c r="AG276">
        <v>-0.17443839799999999</v>
      </c>
      <c r="AH276">
        <v>-0.22472990100000001</v>
      </c>
      <c r="AI276">
        <v>1.6409277999999999E-2</v>
      </c>
      <c r="AJ276">
        <v>-0.87516502699999998</v>
      </c>
      <c r="AK276">
        <v>1.0158013539999999</v>
      </c>
      <c r="AL276">
        <v>0.31091181099999998</v>
      </c>
      <c r="AM276">
        <v>0.79936444200000001</v>
      </c>
      <c r="AN276">
        <v>0.47925993700000002</v>
      </c>
      <c r="AO276">
        <v>-0.25779131700000002</v>
      </c>
      <c r="AP276">
        <v>0.72363531000000003</v>
      </c>
      <c r="AQ276">
        <v>-1.5452257E-2</v>
      </c>
      <c r="AR276">
        <v>0.73817210700000002</v>
      </c>
      <c r="AS276">
        <v>1.166866867</v>
      </c>
      <c r="AT276">
        <v>0.14623434699999999</v>
      </c>
      <c r="AU276">
        <v>0.433466201</v>
      </c>
    </row>
    <row r="277" spans="1:47" x14ac:dyDescent="0.35">
      <c r="A277" t="s">
        <v>341</v>
      </c>
      <c r="B277" s="73">
        <v>42461</v>
      </c>
      <c r="C277">
        <v>-0.87751952</v>
      </c>
      <c r="D277">
        <v>0.88501959500000005</v>
      </c>
      <c r="E277">
        <v>0.733006406</v>
      </c>
      <c r="F277">
        <v>5.7265569000000002E-2</v>
      </c>
      <c r="G277">
        <v>-1.5049900430000001</v>
      </c>
      <c r="H277">
        <v>0.54850083999999999</v>
      </c>
      <c r="I277">
        <v>0.38678903599999997</v>
      </c>
      <c r="J277">
        <v>1.3414274859999999</v>
      </c>
      <c r="K277">
        <v>1.4</v>
      </c>
      <c r="L277">
        <v>0.157393173</v>
      </c>
      <c r="M277">
        <v>0.839568541</v>
      </c>
      <c r="N277">
        <v>1.152059046</v>
      </c>
      <c r="O277">
        <v>0.55583000000000005</v>
      </c>
      <c r="P277">
        <v>0.68024474199999996</v>
      </c>
      <c r="Q277">
        <v>1.6236699130000001</v>
      </c>
      <c r="R277">
        <v>0.50348499999999996</v>
      </c>
      <c r="S277">
        <v>1.233455365</v>
      </c>
      <c r="T277">
        <v>0.64875779899999997</v>
      </c>
      <c r="U277">
        <v>0.61093399999999998</v>
      </c>
      <c r="V277">
        <v>0.365381448</v>
      </c>
      <c r="W277">
        <v>-0.870290271</v>
      </c>
      <c r="X277">
        <v>-0.54305288600000001</v>
      </c>
      <c r="Y277">
        <v>2.9025099999999999</v>
      </c>
      <c r="Z277">
        <v>-3.5097902830000001</v>
      </c>
      <c r="AA277">
        <v>-2.656924295</v>
      </c>
      <c r="AB277">
        <v>0.849768933</v>
      </c>
      <c r="AC277">
        <v>0.37799029899999997</v>
      </c>
      <c r="AD277">
        <v>0.74742164499999997</v>
      </c>
      <c r="AE277">
        <v>0.28595575299999998</v>
      </c>
      <c r="AF277">
        <v>3.0999840060000001</v>
      </c>
      <c r="AG277">
        <v>1.8618416019999999</v>
      </c>
      <c r="AH277">
        <v>0.58173746800000004</v>
      </c>
      <c r="AI277">
        <v>0.91887866399999996</v>
      </c>
      <c r="AJ277">
        <v>0.49562471400000002</v>
      </c>
      <c r="AK277">
        <v>1.1696927370000001</v>
      </c>
      <c r="AL277">
        <v>0.551559833</v>
      </c>
      <c r="AM277">
        <v>-0.174701984</v>
      </c>
      <c r="AN277">
        <v>0.46678752499999998</v>
      </c>
      <c r="AO277">
        <v>0.19005752400000001</v>
      </c>
      <c r="AP277">
        <v>-5.177643E-3</v>
      </c>
      <c r="AQ277">
        <v>1.1651295829999999</v>
      </c>
      <c r="AR277">
        <v>-5.5222253999999998E-2</v>
      </c>
      <c r="AS277">
        <v>0.36153796799999999</v>
      </c>
      <c r="AT277">
        <v>0.58917986899999997</v>
      </c>
      <c r="AU277">
        <v>0.238864308</v>
      </c>
    </row>
    <row r="278" spans="1:47" x14ac:dyDescent="0.35">
      <c r="A278" t="s">
        <v>342</v>
      </c>
      <c r="B278" s="73">
        <v>42552</v>
      </c>
      <c r="C278">
        <v>-1.6703048700000001</v>
      </c>
      <c r="D278">
        <v>0.63075758199999998</v>
      </c>
      <c r="E278">
        <v>0.348031013</v>
      </c>
      <c r="F278">
        <v>0.54943482600000004</v>
      </c>
      <c r="G278">
        <v>0.34985765800000002</v>
      </c>
      <c r="H278">
        <v>-0.49171172400000002</v>
      </c>
      <c r="I278">
        <v>0.671791692</v>
      </c>
      <c r="J278">
        <v>-0.71448873599999996</v>
      </c>
      <c r="K278">
        <v>1.9</v>
      </c>
      <c r="L278">
        <v>0.33140235200000001</v>
      </c>
      <c r="M278">
        <v>0.44339266900000002</v>
      </c>
      <c r="N278">
        <v>1.352637774</v>
      </c>
      <c r="O278">
        <v>0.23383599999999999</v>
      </c>
      <c r="P278">
        <v>0.414833758</v>
      </c>
      <c r="Q278">
        <v>-0.17840165499999999</v>
      </c>
      <c r="R278">
        <v>0.31698599999999999</v>
      </c>
      <c r="S278">
        <v>0.15578057200000001</v>
      </c>
      <c r="T278">
        <v>-0.32213314199999998</v>
      </c>
      <c r="U278">
        <v>0.187419</v>
      </c>
      <c r="V278">
        <v>0.62945762500000002</v>
      </c>
      <c r="W278">
        <v>-0.32838884899999998</v>
      </c>
      <c r="X278">
        <v>1.347753556</v>
      </c>
      <c r="Y278">
        <v>1.78105</v>
      </c>
      <c r="Z278">
        <v>1.3706197120000001</v>
      </c>
      <c r="AA278">
        <v>6.6376517220000002</v>
      </c>
      <c r="AB278">
        <v>2.2166304750000001</v>
      </c>
      <c r="AC278">
        <v>0.160116386</v>
      </c>
      <c r="AD278">
        <v>-0.15920425599999999</v>
      </c>
      <c r="AE278">
        <v>1.2064653649999999</v>
      </c>
      <c r="AF278">
        <v>1.358304065</v>
      </c>
      <c r="AG278">
        <v>-0.89370392399999998</v>
      </c>
      <c r="AH278">
        <v>0.43575380600000002</v>
      </c>
      <c r="AI278">
        <v>0.23547738200000001</v>
      </c>
      <c r="AJ278">
        <v>-3.1783269000000003E-2</v>
      </c>
      <c r="AK278">
        <v>1.037100949</v>
      </c>
      <c r="AL278">
        <v>0.36287773299999998</v>
      </c>
      <c r="AM278">
        <v>1.4602612939999999</v>
      </c>
      <c r="AN278">
        <v>0.29956189700000002</v>
      </c>
      <c r="AO278">
        <v>5.3848740999999999E-2</v>
      </c>
      <c r="AP278">
        <v>0.24847408700000001</v>
      </c>
      <c r="AQ278">
        <v>1.2876820090000001</v>
      </c>
      <c r="AR278">
        <v>5.3795335999999999E-2</v>
      </c>
      <c r="AS278">
        <v>1.4308864020000001</v>
      </c>
      <c r="AT278">
        <v>0.30238880699999998</v>
      </c>
      <c r="AU278">
        <v>9.6214305E-2</v>
      </c>
    </row>
    <row r="279" spans="1:47" x14ac:dyDescent="0.35">
      <c r="A279" t="s">
        <v>343</v>
      </c>
      <c r="B279" s="73">
        <v>42644</v>
      </c>
      <c r="C279">
        <v>0.40925253299999997</v>
      </c>
      <c r="D279">
        <v>9.9068050000000005E-2</v>
      </c>
      <c r="E279">
        <v>0.49021377100000002</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0.48401699999999998</v>
      </c>
      <c r="S279">
        <v>1.1295041290000001</v>
      </c>
      <c r="T279">
        <v>0.29396091299999999</v>
      </c>
      <c r="U279">
        <v>0.486738</v>
      </c>
      <c r="V279">
        <v>0.441599466</v>
      </c>
      <c r="W279">
        <v>0.38832013100000001</v>
      </c>
      <c r="X279">
        <v>0.53109295099999998</v>
      </c>
      <c r="Y279">
        <v>2.2915299999999998</v>
      </c>
      <c r="Z279">
        <v>0.427921889</v>
      </c>
      <c r="AA279">
        <v>2.5793615399999998</v>
      </c>
      <c r="AB279">
        <v>1.062645093</v>
      </c>
      <c r="AC279">
        <v>0.53008616200000003</v>
      </c>
      <c r="AD279">
        <v>0.19899456500000001</v>
      </c>
      <c r="AE279">
        <v>0.41594062300000001</v>
      </c>
      <c r="AF279">
        <v>0.680241176</v>
      </c>
      <c r="AG279">
        <v>0.14367017500000001</v>
      </c>
      <c r="AH279">
        <v>0.91111856000000002</v>
      </c>
      <c r="AI279">
        <v>1.1162999440000001</v>
      </c>
      <c r="AJ279">
        <v>-0.307016018</v>
      </c>
      <c r="AK279">
        <v>0.87786715900000001</v>
      </c>
      <c r="AL279">
        <v>0.39982656300000002</v>
      </c>
      <c r="AM279">
        <v>0.57237430600000005</v>
      </c>
      <c r="AN279">
        <v>1.17409239</v>
      </c>
      <c r="AO279">
        <v>0.10071646400000001</v>
      </c>
      <c r="AP279">
        <v>0.36502819199999997</v>
      </c>
      <c r="AQ279">
        <v>0.93200393100000001</v>
      </c>
      <c r="AR279">
        <v>0.29284243900000001</v>
      </c>
      <c r="AS279">
        <v>-2.8676734260000001</v>
      </c>
      <c r="AT279">
        <v>0.60111537900000001</v>
      </c>
      <c r="AU279">
        <v>-1.2183121999999999E-2</v>
      </c>
    </row>
    <row r="280" spans="1:47" x14ac:dyDescent="0.35">
      <c r="A280" t="s">
        <v>344</v>
      </c>
      <c r="B280" s="73">
        <v>42736</v>
      </c>
      <c r="C280">
        <v>0.57715330399999998</v>
      </c>
      <c r="D280">
        <v>1.053592047</v>
      </c>
      <c r="E280">
        <v>0.92241204099999996</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0.75712800000000002</v>
      </c>
      <c r="P280">
        <v>0.54375701700000001</v>
      </c>
      <c r="Q280">
        <v>1.2088196179999999</v>
      </c>
      <c r="R280">
        <v>0.81667000000000001</v>
      </c>
      <c r="S280">
        <v>0.30760216800000001</v>
      </c>
      <c r="T280">
        <v>0.58333690299999996</v>
      </c>
      <c r="U280">
        <v>0.44292500000000001</v>
      </c>
      <c r="V280">
        <v>0.64995375</v>
      </c>
      <c r="W280">
        <v>0.67128346500000002</v>
      </c>
      <c r="X280">
        <v>0.85985922100000001</v>
      </c>
      <c r="Y280">
        <v>1.3636200000000001</v>
      </c>
      <c r="Z280">
        <v>10.875741347</v>
      </c>
      <c r="AA280">
        <v>2.6454312839999998</v>
      </c>
      <c r="AB280">
        <v>1.248760721</v>
      </c>
      <c r="AC280">
        <v>0.30678363600000003</v>
      </c>
      <c r="AD280">
        <v>0.14997332599999999</v>
      </c>
      <c r="AE280">
        <v>0.606194491</v>
      </c>
      <c r="AF280">
        <v>0.46681982300000002</v>
      </c>
      <c r="AG280">
        <v>1.185813869</v>
      </c>
      <c r="AH280">
        <v>1.1786454550000001</v>
      </c>
      <c r="AI280">
        <v>0.83750838999999999</v>
      </c>
      <c r="AJ280">
        <v>1.3394339959999999</v>
      </c>
      <c r="AK280">
        <v>0.35215440599999998</v>
      </c>
      <c r="AL280">
        <v>0.80761311800000002</v>
      </c>
      <c r="AM280">
        <v>1.9170375900000001</v>
      </c>
      <c r="AN280">
        <v>0.93197542899999997</v>
      </c>
      <c r="AO280">
        <v>0.82510593799999998</v>
      </c>
      <c r="AP280">
        <v>0.59971419599999998</v>
      </c>
      <c r="AQ280">
        <v>0.76620747600000005</v>
      </c>
      <c r="AR280">
        <v>0.88217514200000002</v>
      </c>
      <c r="AS280">
        <v>5.5096115960000001</v>
      </c>
      <c r="AT280">
        <v>0.49688879600000002</v>
      </c>
      <c r="AU280">
        <v>8.4913574000000006E-2</v>
      </c>
    </row>
    <row r="281" spans="1:47" x14ac:dyDescent="0.35">
      <c r="A281" t="s">
        <v>345</v>
      </c>
      <c r="B281" s="73">
        <v>42826</v>
      </c>
      <c r="C281">
        <v>0.91358988799999996</v>
      </c>
      <c r="D281">
        <v>0.31468307499999998</v>
      </c>
      <c r="E281">
        <v>0.28942874800000001</v>
      </c>
      <c r="F281">
        <v>0.65198138299999997</v>
      </c>
      <c r="G281">
        <v>1.084753707</v>
      </c>
      <c r="H281">
        <v>1.08691958</v>
      </c>
      <c r="I281">
        <v>0.125245304</v>
      </c>
      <c r="J281">
        <v>-0.31966610899999998</v>
      </c>
      <c r="K281">
        <v>1.8</v>
      </c>
      <c r="L281">
        <v>1.6502049510000001</v>
      </c>
      <c r="M281">
        <v>1.2040455290000001</v>
      </c>
      <c r="N281">
        <v>0.65439062699999995</v>
      </c>
      <c r="O281">
        <v>0.68295399999999995</v>
      </c>
      <c r="P281">
        <v>0.78518248999999996</v>
      </c>
      <c r="Q281">
        <v>2.0711212159999999</v>
      </c>
      <c r="R281">
        <v>0.76536700000000002</v>
      </c>
      <c r="S281">
        <v>1.0203709110000001</v>
      </c>
      <c r="T281">
        <v>0.75559086499999994</v>
      </c>
      <c r="U281">
        <v>0.65163400000000005</v>
      </c>
      <c r="V281">
        <v>0.73915971000000003</v>
      </c>
      <c r="W281">
        <v>-0.220852404</v>
      </c>
      <c r="X281">
        <v>1.4012563060000001</v>
      </c>
      <c r="Y281">
        <v>0.79928999999999994</v>
      </c>
      <c r="Z281">
        <v>-4.2462781500000002</v>
      </c>
      <c r="AA281">
        <v>-3.8317994529999999</v>
      </c>
      <c r="AB281">
        <v>0.18568770100000001</v>
      </c>
      <c r="AC281">
        <v>0.51818460099999997</v>
      </c>
      <c r="AD281">
        <v>0.821241997</v>
      </c>
      <c r="AE281">
        <v>0.98478546300000003</v>
      </c>
      <c r="AF281">
        <v>-1.2556191699999999</v>
      </c>
      <c r="AG281">
        <v>1.534823488</v>
      </c>
      <c r="AH281">
        <v>0.47515269199999999</v>
      </c>
      <c r="AI281">
        <v>0.52469808600000001</v>
      </c>
      <c r="AJ281">
        <v>1.133149186</v>
      </c>
      <c r="AK281">
        <v>1.0426332389999999</v>
      </c>
      <c r="AL281">
        <v>0.64376896900000002</v>
      </c>
      <c r="AM281">
        <v>1.2098006530000001</v>
      </c>
      <c r="AN281">
        <v>1.170816047</v>
      </c>
      <c r="AO281">
        <v>0.20168498200000001</v>
      </c>
      <c r="AP281">
        <v>0.78878073000000004</v>
      </c>
      <c r="AQ281">
        <v>1.7316812669999999</v>
      </c>
      <c r="AR281">
        <v>0.49363836100000003</v>
      </c>
      <c r="AS281">
        <v>1.368865306</v>
      </c>
      <c r="AT281">
        <v>0.42966311400000001</v>
      </c>
      <c r="AU281">
        <v>0.472126567</v>
      </c>
    </row>
    <row r="282" spans="1:47" x14ac:dyDescent="0.35">
      <c r="A282" t="s">
        <v>346</v>
      </c>
      <c r="B282" s="73">
        <v>42917</v>
      </c>
      <c r="C282">
        <v>1.0411978550000001</v>
      </c>
      <c r="D282">
        <v>0.60246919700000001</v>
      </c>
      <c r="E282">
        <v>0.71147839499999999</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0.84638400000000003</v>
      </c>
      <c r="S282">
        <v>1.2738738409999999</v>
      </c>
      <c r="T282">
        <v>0.78652592799999999</v>
      </c>
      <c r="U282">
        <v>0.56066000000000005</v>
      </c>
      <c r="V282">
        <v>0.536199019</v>
      </c>
      <c r="W282">
        <v>0.524190249</v>
      </c>
      <c r="X282">
        <v>1.1880433450000001</v>
      </c>
      <c r="Y282">
        <v>2.05809</v>
      </c>
      <c r="Z282">
        <v>1.7688250969999999</v>
      </c>
      <c r="AA282">
        <v>3.045936625</v>
      </c>
      <c r="AB282">
        <v>1.327934495</v>
      </c>
      <c r="AC282">
        <v>0.43046338899999997</v>
      </c>
      <c r="AD282">
        <v>0.33164160100000001</v>
      </c>
      <c r="AE282">
        <v>0.71464772700000001</v>
      </c>
      <c r="AF282">
        <v>1.3135537740000001</v>
      </c>
      <c r="AG282">
        <v>0.86005450800000005</v>
      </c>
      <c r="AH282">
        <v>0.32200755599999997</v>
      </c>
      <c r="AI282">
        <v>0.87942019800000004</v>
      </c>
      <c r="AJ282">
        <v>0.96345787999999999</v>
      </c>
      <c r="AK282">
        <v>1.028535172</v>
      </c>
      <c r="AL282">
        <v>0.70137242899999996</v>
      </c>
      <c r="AM282">
        <v>0.98377474300000001</v>
      </c>
      <c r="AN282">
        <v>0.50524784899999997</v>
      </c>
      <c r="AO282">
        <v>0.690456285</v>
      </c>
      <c r="AP282">
        <v>0.94025583899999998</v>
      </c>
      <c r="AQ282">
        <v>1.2332339510000001</v>
      </c>
      <c r="AR282">
        <v>1.2790749219999999</v>
      </c>
      <c r="AS282">
        <v>2.2803188200000002</v>
      </c>
      <c r="AT282">
        <v>0.50379298100000003</v>
      </c>
      <c r="AU282">
        <v>0.54530204999999998</v>
      </c>
    </row>
    <row r="283" spans="1:47" x14ac:dyDescent="0.35">
      <c r="A283" t="s">
        <v>347</v>
      </c>
      <c r="B283" s="73">
        <v>43009</v>
      </c>
      <c r="C283">
        <v>1.268777995</v>
      </c>
      <c r="D283">
        <v>0.96206802700000005</v>
      </c>
      <c r="E283">
        <v>0.61590800400000001</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0.79058399999999995</v>
      </c>
      <c r="S283">
        <v>0.37289466199999999</v>
      </c>
      <c r="T283">
        <v>0.85105653999999997</v>
      </c>
      <c r="U283">
        <v>0.75588100000000003</v>
      </c>
      <c r="V283">
        <v>0.51593165799999996</v>
      </c>
      <c r="W283">
        <v>1.012215364</v>
      </c>
      <c r="X283">
        <v>0.95708910700000005</v>
      </c>
      <c r="Y283">
        <v>1.6490800000000001</v>
      </c>
      <c r="Z283">
        <v>5.2848482690000003</v>
      </c>
      <c r="AA283">
        <v>0.75357710700000002</v>
      </c>
      <c r="AB283">
        <v>1.4866603119999999</v>
      </c>
      <c r="AC283">
        <v>0.438108742</v>
      </c>
      <c r="AD283">
        <v>0.85488761199999996</v>
      </c>
      <c r="AE283">
        <v>1.4418384179999999</v>
      </c>
      <c r="AF283">
        <v>1.0989466510000001</v>
      </c>
      <c r="AG283">
        <v>0.35678087400000003</v>
      </c>
      <c r="AH283">
        <v>-0.408071656</v>
      </c>
      <c r="AI283">
        <v>0.715432289</v>
      </c>
      <c r="AJ283">
        <v>0.68525572099999998</v>
      </c>
      <c r="AK283">
        <v>0.85114118999999999</v>
      </c>
      <c r="AL283">
        <v>0.795815618</v>
      </c>
      <c r="AM283">
        <v>1.4785154709999999</v>
      </c>
      <c r="AN283">
        <v>0.69498998999999995</v>
      </c>
      <c r="AO283">
        <v>0.67948449200000005</v>
      </c>
      <c r="AP283">
        <v>0.83425034899999995</v>
      </c>
      <c r="AQ283">
        <v>0.91239055000000002</v>
      </c>
      <c r="AR283">
        <v>0.90620105900000003</v>
      </c>
      <c r="AS283">
        <v>1.5159185209999999</v>
      </c>
      <c r="AT283">
        <v>0.82748871499999999</v>
      </c>
      <c r="AU283">
        <v>0.18389597199999999</v>
      </c>
    </row>
    <row r="284" spans="1:47" x14ac:dyDescent="0.35">
      <c r="A284" t="s">
        <v>348</v>
      </c>
      <c r="B284" s="73">
        <v>43101</v>
      </c>
      <c r="C284">
        <v>0.97444799299999996</v>
      </c>
      <c r="D284">
        <v>0.47857951100000001</v>
      </c>
      <c r="E284">
        <v>0.61518032899999997</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0.81285499999999999</v>
      </c>
      <c r="S284">
        <v>0.64703059200000002</v>
      </c>
      <c r="T284">
        <v>0.59984290399999995</v>
      </c>
      <c r="U284">
        <v>0.76299499999999998</v>
      </c>
      <c r="V284">
        <v>0.62732598799999995</v>
      </c>
      <c r="W284">
        <v>-0.93579818000000003</v>
      </c>
      <c r="X284">
        <v>1.418604967</v>
      </c>
      <c r="Y284">
        <v>1.88093</v>
      </c>
      <c r="Z284">
        <v>5.050924749</v>
      </c>
      <c r="AA284">
        <v>2.5090836419999998</v>
      </c>
      <c r="AB284">
        <v>1.5438492800000001</v>
      </c>
      <c r="AC284">
        <v>0.53751721399999997</v>
      </c>
      <c r="AD284">
        <v>0.114591981</v>
      </c>
      <c r="AE284">
        <v>-0.319868975</v>
      </c>
      <c r="AF284">
        <v>0.109057063</v>
      </c>
      <c r="AG284">
        <v>0.68461492199999996</v>
      </c>
      <c r="AH284">
        <v>1.450433029</v>
      </c>
      <c r="AI284">
        <v>0.75727079900000005</v>
      </c>
      <c r="AJ284">
        <v>-0.56970118400000003</v>
      </c>
      <c r="AK284">
        <v>0.86034544899999998</v>
      </c>
      <c r="AL284">
        <v>0.81728914399999997</v>
      </c>
      <c r="AM284">
        <v>1.352166779</v>
      </c>
      <c r="AN284">
        <v>0.82544668200000004</v>
      </c>
      <c r="AO284">
        <v>2.0994643E-2</v>
      </c>
      <c r="AP284">
        <v>1.1879814390000001</v>
      </c>
      <c r="AQ284">
        <v>2.289779555</v>
      </c>
      <c r="AR284">
        <v>0.20182367900000001</v>
      </c>
      <c r="AS284">
        <v>1.882761165</v>
      </c>
      <c r="AT284">
        <v>1.005660086</v>
      </c>
      <c r="AU284">
        <v>0.39336109899999999</v>
      </c>
    </row>
    <row r="285" spans="1:47" x14ac:dyDescent="0.35">
      <c r="A285" t="s">
        <v>349</v>
      </c>
      <c r="B285" s="73">
        <v>43191</v>
      </c>
      <c r="C285">
        <v>-0.314413887</v>
      </c>
      <c r="D285">
        <v>0.94412354700000001</v>
      </c>
      <c r="E285">
        <v>0.71550188699999995</v>
      </c>
      <c r="F285">
        <v>0.37264662500000001</v>
      </c>
      <c r="G285">
        <v>0.654027688</v>
      </c>
      <c r="H285">
        <v>0.87523928100000004</v>
      </c>
      <c r="I285">
        <v>1.113469386</v>
      </c>
      <c r="J285">
        <v>1.387383595</v>
      </c>
      <c r="K285">
        <v>1.9</v>
      </c>
      <c r="L285">
        <v>0.54169234300000002</v>
      </c>
      <c r="M285">
        <v>-0.58023882800000004</v>
      </c>
      <c r="N285">
        <v>0.51205513599999997</v>
      </c>
      <c r="O285">
        <v>-3.4710000000000001E-3</v>
      </c>
      <c r="P285">
        <v>0.42700115700000002</v>
      </c>
      <c r="Q285">
        <v>0.68753054700000005</v>
      </c>
      <c r="R285">
        <v>0.14577000000000001</v>
      </c>
      <c r="S285">
        <v>0.29141131399999998</v>
      </c>
      <c r="T285">
        <v>8.1843914000000004E-2</v>
      </c>
      <c r="U285">
        <v>0.343642</v>
      </c>
      <c r="V285">
        <v>0.14976610500000001</v>
      </c>
      <c r="W285">
        <v>1.237052246</v>
      </c>
      <c r="X285">
        <v>1.7405864</v>
      </c>
      <c r="Y285">
        <v>2.1428600000000002</v>
      </c>
      <c r="Z285">
        <v>-0.187586638</v>
      </c>
      <c r="AA285">
        <v>0.338681593</v>
      </c>
      <c r="AB285">
        <v>1.247326559</v>
      </c>
      <c r="AC285">
        <v>-0.10754749399999999</v>
      </c>
      <c r="AD285">
        <v>0.110150729</v>
      </c>
      <c r="AE285">
        <v>1.2058517710000001</v>
      </c>
      <c r="AF285">
        <v>0.21294793100000001</v>
      </c>
      <c r="AG285">
        <v>1.248932908</v>
      </c>
      <c r="AH285">
        <v>1.1316123549999999</v>
      </c>
      <c r="AI285">
        <v>0.447809287</v>
      </c>
      <c r="AJ285">
        <v>0.49001783300000001</v>
      </c>
      <c r="AK285">
        <v>0.80426340799999996</v>
      </c>
      <c r="AL285">
        <v>0.54312643500000002</v>
      </c>
      <c r="AM285">
        <v>1.8163594970000001</v>
      </c>
      <c r="AN285">
        <v>0.72736810900000004</v>
      </c>
      <c r="AO285">
        <v>1.3560321909999999</v>
      </c>
      <c r="AP285">
        <v>0.90957793799999997</v>
      </c>
      <c r="AQ285">
        <v>1.7303938000000001E-2</v>
      </c>
      <c r="AR285">
        <v>0.41916378500000001</v>
      </c>
      <c r="AS285">
        <v>1.468743124</v>
      </c>
      <c r="AT285">
        <v>0.69265386100000004</v>
      </c>
      <c r="AU285">
        <v>0.41965914700000001</v>
      </c>
    </row>
    <row r="286" spans="1:47" x14ac:dyDescent="0.35">
      <c r="A286" t="s">
        <v>350</v>
      </c>
      <c r="B286" s="73">
        <v>43282</v>
      </c>
      <c r="C286">
        <v>-4.5620052409999996</v>
      </c>
      <c r="D286">
        <v>0.74815460499999997</v>
      </c>
      <c r="E286">
        <v>0.29487033899999998</v>
      </c>
      <c r="F286">
        <v>0.45253465599999998</v>
      </c>
      <c r="G286">
        <v>-4.8829812E-2</v>
      </c>
      <c r="H286">
        <v>0.78510534099999996</v>
      </c>
      <c r="I286">
        <v>0.98180800000000001</v>
      </c>
      <c r="J286">
        <v>0.98480590899999998</v>
      </c>
      <c r="K286">
        <v>1.7</v>
      </c>
      <c r="L286">
        <v>0.60171178700000005</v>
      </c>
      <c r="M286">
        <v>0.70888626700000001</v>
      </c>
      <c r="N286">
        <v>0.50259883100000002</v>
      </c>
      <c r="O286">
        <v>0.53931300000000004</v>
      </c>
      <c r="P286">
        <v>0.58588025099999996</v>
      </c>
      <c r="Q286">
        <v>0.86980534399999998</v>
      </c>
      <c r="R286">
        <v>0.61612599999999995</v>
      </c>
      <c r="S286">
        <v>-9.5093861000000002E-2</v>
      </c>
      <c r="T286">
        <v>0.431767713</v>
      </c>
      <c r="U286">
        <v>0.56684699999999999</v>
      </c>
      <c r="V286">
        <v>0.45484211200000002</v>
      </c>
      <c r="W286">
        <v>0.348357888</v>
      </c>
      <c r="X286">
        <v>0.94646979899999995</v>
      </c>
      <c r="Y286">
        <v>1.3455999999999999</v>
      </c>
      <c r="Z286">
        <v>2.186192922</v>
      </c>
      <c r="AA286">
        <v>1.509800764</v>
      </c>
      <c r="AB286">
        <v>0.20193153899999999</v>
      </c>
      <c r="AC286">
        <v>4.4690858999999999E-2</v>
      </c>
      <c r="AD286">
        <v>0.27707337999999998</v>
      </c>
      <c r="AE286">
        <v>0.63659708500000001</v>
      </c>
      <c r="AF286">
        <v>-0.61668046499999996</v>
      </c>
      <c r="AG286">
        <v>1.5728664800000001</v>
      </c>
      <c r="AH286">
        <v>-6.2931575000000003E-2</v>
      </c>
      <c r="AI286">
        <v>0.64175715</v>
      </c>
      <c r="AJ286">
        <v>0.300808205</v>
      </c>
      <c r="AK286">
        <v>1.313626253</v>
      </c>
      <c r="AL286">
        <v>0.58967909799999996</v>
      </c>
      <c r="AM286">
        <v>1.4089642959999999</v>
      </c>
      <c r="AN286">
        <v>0.77953652299999998</v>
      </c>
      <c r="AO286">
        <v>0.55794653999999999</v>
      </c>
      <c r="AP286">
        <v>1.184308774</v>
      </c>
      <c r="AQ286">
        <v>1.3617500259999999</v>
      </c>
      <c r="AR286">
        <v>1.0003899300000001</v>
      </c>
      <c r="AS286">
        <v>0.65752179700000002</v>
      </c>
      <c r="AT286">
        <v>0.69734292099999995</v>
      </c>
      <c r="AU286">
        <v>-0.20919102000000001</v>
      </c>
    </row>
    <row r="287" spans="1:47" x14ac:dyDescent="0.35">
      <c r="A287" t="s">
        <v>351</v>
      </c>
      <c r="B287" s="73">
        <v>43374</v>
      </c>
      <c r="C287">
        <v>-0.231590671</v>
      </c>
      <c r="D287">
        <v>0.46417387399999999</v>
      </c>
      <c r="E287">
        <v>0.38277586200000002</v>
      </c>
      <c r="F287">
        <v>0.39073633099999999</v>
      </c>
      <c r="G287">
        <v>1.0169010650000001</v>
      </c>
      <c r="H287">
        <v>0.690122507</v>
      </c>
      <c r="I287">
        <v>-0.318907147</v>
      </c>
      <c r="J287">
        <v>-0.37102878900000003</v>
      </c>
      <c r="K287">
        <v>1.4</v>
      </c>
      <c r="L287">
        <v>0.71256224000000001</v>
      </c>
      <c r="M287">
        <v>-0.78836500799999998</v>
      </c>
      <c r="N287">
        <v>0.60213307800000004</v>
      </c>
      <c r="O287">
        <v>8.6669999999999994E-3</v>
      </c>
      <c r="P287">
        <v>0.52041550999999997</v>
      </c>
      <c r="Q287">
        <v>0.86293033200000002</v>
      </c>
      <c r="R287">
        <v>9.3988000000000002E-2</v>
      </c>
      <c r="S287">
        <v>-0.119861806</v>
      </c>
      <c r="T287">
        <v>0.38390517200000002</v>
      </c>
      <c r="U287">
        <v>0.31780599999999998</v>
      </c>
      <c r="V287">
        <v>0.55578708300000002</v>
      </c>
      <c r="W287">
        <v>-0.108884076</v>
      </c>
      <c r="X287">
        <v>1.514149322</v>
      </c>
      <c r="Y287">
        <v>1.37079</v>
      </c>
      <c r="Z287">
        <v>0.347118812</v>
      </c>
      <c r="AA287">
        <v>0.20640039199999999</v>
      </c>
      <c r="AB287">
        <v>0.88077981599999999</v>
      </c>
      <c r="AC287">
        <v>0.126191204</v>
      </c>
      <c r="AD287">
        <v>-0.48846534800000002</v>
      </c>
      <c r="AE287">
        <v>0.73084833199999999</v>
      </c>
      <c r="AF287">
        <v>0.925753139</v>
      </c>
      <c r="AG287">
        <v>1.1448902999999999</v>
      </c>
      <c r="AH287">
        <v>0.282094915</v>
      </c>
      <c r="AI287">
        <v>0.24368500900000001</v>
      </c>
      <c r="AJ287">
        <v>0.63001019999999996</v>
      </c>
      <c r="AK287">
        <v>0.15431853300000001</v>
      </c>
      <c r="AL287">
        <v>0.28377374599999999</v>
      </c>
      <c r="AM287">
        <v>1.243429412</v>
      </c>
      <c r="AN287">
        <v>0.52572394200000006</v>
      </c>
      <c r="AO287">
        <v>0.24136882100000001</v>
      </c>
      <c r="AP287">
        <v>1.0017924899999999</v>
      </c>
      <c r="AQ287">
        <v>1.360489482</v>
      </c>
      <c r="AR287">
        <v>-0.80707214000000005</v>
      </c>
      <c r="AS287">
        <v>-1.627935541</v>
      </c>
      <c r="AT287">
        <v>0.722035914</v>
      </c>
      <c r="AU287">
        <v>1.2827117299999999</v>
      </c>
    </row>
    <row r="288" spans="1:47" x14ac:dyDescent="0.35">
      <c r="A288" t="s">
        <v>352</v>
      </c>
      <c r="B288" s="73">
        <v>43466</v>
      </c>
      <c r="C288">
        <v>-1.417682449</v>
      </c>
      <c r="D288">
        <v>0.236249247</v>
      </c>
      <c r="E288">
        <v>1.2806385579999999</v>
      </c>
      <c r="F288">
        <v>0.97715991700000004</v>
      </c>
      <c r="G288">
        <v>-0.40895556300000002</v>
      </c>
      <c r="H288">
        <v>0.34086954200000003</v>
      </c>
      <c r="I288">
        <v>0.22732730400000001</v>
      </c>
      <c r="J288">
        <v>1.1874131189999999</v>
      </c>
      <c r="K288">
        <v>1.4</v>
      </c>
      <c r="L288">
        <v>0.73877354299999998</v>
      </c>
      <c r="M288">
        <v>0.794634591</v>
      </c>
      <c r="N288">
        <v>0.49934343599999997</v>
      </c>
      <c r="O288">
        <v>0.64662299999999995</v>
      </c>
      <c r="P288">
        <v>0.65925895599999995</v>
      </c>
      <c r="Q288">
        <v>1.107363251</v>
      </c>
      <c r="R288">
        <v>0.68512200000000001</v>
      </c>
      <c r="S288">
        <v>-4.0590145000000001E-2</v>
      </c>
      <c r="T288">
        <v>0.58380125400000005</v>
      </c>
      <c r="U288">
        <v>0.25745800000000002</v>
      </c>
      <c r="V288">
        <v>0.25717362399999999</v>
      </c>
      <c r="W288">
        <v>0.65082542099999996</v>
      </c>
      <c r="X288">
        <v>0.99702367999999997</v>
      </c>
      <c r="Y288">
        <v>1.45431</v>
      </c>
      <c r="Z288">
        <v>0.96733770100000005</v>
      </c>
      <c r="AA288">
        <v>0.98053330400000005</v>
      </c>
      <c r="AB288">
        <v>0.81654500100000005</v>
      </c>
      <c r="AC288">
        <v>0.291912901</v>
      </c>
      <c r="AD288">
        <v>-0.13600684699999999</v>
      </c>
      <c r="AE288">
        <v>0.70031295599999999</v>
      </c>
      <c r="AF288">
        <v>0.34242541500000001</v>
      </c>
      <c r="AG288">
        <v>0.89835415299999999</v>
      </c>
      <c r="AH288">
        <v>-5.6680308999999998E-2</v>
      </c>
      <c r="AI288">
        <v>0.41229004299999999</v>
      </c>
      <c r="AJ288">
        <v>3.3674237000000003E-2</v>
      </c>
      <c r="AK288">
        <v>1.2914191310000001</v>
      </c>
      <c r="AL288">
        <v>0.22037368500000001</v>
      </c>
      <c r="AM288">
        <v>0.98156347099999997</v>
      </c>
      <c r="AN288">
        <v>0.60899499199999996</v>
      </c>
      <c r="AO288">
        <v>0.66396654799999999</v>
      </c>
      <c r="AP288">
        <v>0.52098207600000002</v>
      </c>
      <c r="AQ288">
        <v>1.197778768</v>
      </c>
      <c r="AR288">
        <v>1.314728238</v>
      </c>
      <c r="AS288">
        <v>-3.1841153480000002</v>
      </c>
      <c r="AT288">
        <v>0.18178319800000001</v>
      </c>
      <c r="AU288">
        <v>0.35277657499999998</v>
      </c>
    </row>
    <row r="289" spans="1:47" x14ac:dyDescent="0.35">
      <c r="A289" t="s">
        <v>353</v>
      </c>
      <c r="B289" s="73">
        <v>43556</v>
      </c>
      <c r="C289">
        <v>7.8556317000000001E-2</v>
      </c>
      <c r="D289">
        <v>0.51020709799999997</v>
      </c>
      <c r="E289">
        <v>0.37462301999999997</v>
      </c>
      <c r="F289">
        <v>0.25757067300000003</v>
      </c>
      <c r="G289">
        <v>0.30138000100000001</v>
      </c>
      <c r="H289">
        <v>7.0759269999999999E-2</v>
      </c>
      <c r="I289">
        <v>0.15212499600000001</v>
      </c>
      <c r="J289">
        <v>-6.8093582E-2</v>
      </c>
      <c r="K289">
        <v>1.7</v>
      </c>
      <c r="L289">
        <v>0.91197197399999996</v>
      </c>
      <c r="M289">
        <v>0.71562698000000002</v>
      </c>
      <c r="N289">
        <v>-0.21815322600000001</v>
      </c>
      <c r="O289">
        <v>0.62850899999999998</v>
      </c>
      <c r="P289">
        <v>0.60886152699999996</v>
      </c>
      <c r="Q289">
        <v>1.52625079</v>
      </c>
      <c r="R289">
        <v>0.67197899999999999</v>
      </c>
      <c r="S289">
        <v>0.76976042099999997</v>
      </c>
      <c r="T289">
        <v>0.67613437300000001</v>
      </c>
      <c r="U289">
        <v>0.49691400000000002</v>
      </c>
      <c r="V289">
        <v>0.63036359600000003</v>
      </c>
      <c r="W289">
        <v>0.815928184</v>
      </c>
      <c r="X289">
        <v>1.9000037809999999</v>
      </c>
      <c r="Y289">
        <v>1.0260800000000001</v>
      </c>
      <c r="Z289">
        <v>1.607940666</v>
      </c>
      <c r="AA289">
        <v>0.66202137699999997</v>
      </c>
      <c r="AB289">
        <v>1.713848958</v>
      </c>
      <c r="AC289">
        <v>0.188370498</v>
      </c>
      <c r="AD289">
        <v>0.23391630999999999</v>
      </c>
      <c r="AE289">
        <v>-0.19857931700000001</v>
      </c>
      <c r="AF289">
        <v>0.30544069299999999</v>
      </c>
      <c r="AG289">
        <v>0.37341719099999998</v>
      </c>
      <c r="AH289">
        <v>4.3774499000000001E-2</v>
      </c>
      <c r="AI289">
        <v>0.700361236</v>
      </c>
      <c r="AJ289">
        <v>-0.443113704</v>
      </c>
      <c r="AK289">
        <v>0.633556542</v>
      </c>
      <c r="AL289">
        <v>0.55382780200000004</v>
      </c>
      <c r="AM289">
        <v>1.394995845</v>
      </c>
      <c r="AN289">
        <v>0.88298775500000004</v>
      </c>
      <c r="AO289">
        <v>-3.8077851000000003E-2</v>
      </c>
      <c r="AP289">
        <v>0.84678367300000001</v>
      </c>
      <c r="AQ289">
        <v>0.60034168399999999</v>
      </c>
      <c r="AR289">
        <v>0.60985741100000002</v>
      </c>
      <c r="AS289">
        <v>1.901026683</v>
      </c>
      <c r="AT289">
        <v>0.54271060999999998</v>
      </c>
      <c r="AU289">
        <v>-0.90593617100000001</v>
      </c>
    </row>
    <row r="290" spans="1:47" x14ac:dyDescent="0.35">
      <c r="A290" t="s">
        <v>354</v>
      </c>
      <c r="B290" s="73">
        <v>43647</v>
      </c>
      <c r="C290">
        <v>0.78368406400000001</v>
      </c>
      <c r="D290">
        <v>0.432131443</v>
      </c>
      <c r="E290">
        <v>-0.27880599</v>
      </c>
      <c r="F290">
        <v>0.54547921700000002</v>
      </c>
      <c r="G290">
        <v>0.66168735700000003</v>
      </c>
      <c r="H290">
        <v>0.98811012399999998</v>
      </c>
      <c r="I290">
        <v>0.44297064600000002</v>
      </c>
      <c r="J290">
        <v>0.87828350499999996</v>
      </c>
      <c r="K290">
        <v>1.4</v>
      </c>
      <c r="L290">
        <v>0.673307922</v>
      </c>
      <c r="M290">
        <v>-0.16774414400000001</v>
      </c>
      <c r="N290">
        <v>1.005162313</v>
      </c>
      <c r="O290">
        <v>0.313552</v>
      </c>
      <c r="P290">
        <v>0.34620021699999998</v>
      </c>
      <c r="Q290">
        <v>0.16689965500000001</v>
      </c>
      <c r="R290">
        <v>0.37949500000000003</v>
      </c>
      <c r="S290">
        <v>0.80943287100000005</v>
      </c>
      <c r="T290">
        <v>0.68779285999999995</v>
      </c>
      <c r="U290">
        <v>0.47374899999999998</v>
      </c>
      <c r="V290">
        <v>0.109963441</v>
      </c>
      <c r="W290">
        <v>1.0364554020000001</v>
      </c>
      <c r="X290">
        <v>0.40067484399999997</v>
      </c>
      <c r="Y290">
        <v>1.3315900000000001</v>
      </c>
      <c r="Z290">
        <v>1.6472265429999999</v>
      </c>
      <c r="AA290">
        <v>-0.112179031</v>
      </c>
      <c r="AB290">
        <v>0.40444361400000001</v>
      </c>
      <c r="AC290">
        <v>0.228368346</v>
      </c>
      <c r="AD290">
        <v>0.28403019499999999</v>
      </c>
      <c r="AE290">
        <v>1.0599055340000001</v>
      </c>
      <c r="AF290">
        <v>1.761085703</v>
      </c>
      <c r="AG290">
        <v>0.530024575</v>
      </c>
      <c r="AH290">
        <v>-0.41153141999999998</v>
      </c>
      <c r="AI290">
        <v>0.41875481799999997</v>
      </c>
      <c r="AJ290">
        <v>0.85992443900000004</v>
      </c>
      <c r="AK290">
        <v>0.61086783700000002</v>
      </c>
      <c r="AL290">
        <v>0.55530628699999995</v>
      </c>
      <c r="AM290">
        <v>0.904398233</v>
      </c>
      <c r="AN290">
        <v>0.571006817</v>
      </c>
      <c r="AO290">
        <v>2.2617195539999999</v>
      </c>
      <c r="AP290">
        <v>0.29794224200000002</v>
      </c>
      <c r="AQ290">
        <v>-0.34884218900000002</v>
      </c>
      <c r="AR290">
        <v>0.50405643099999997</v>
      </c>
      <c r="AS290">
        <v>2.3799511469999999</v>
      </c>
      <c r="AT290">
        <v>0.67300894</v>
      </c>
      <c r="AU290">
        <v>0.40828392600000002</v>
      </c>
    </row>
    <row r="291" spans="1:47" x14ac:dyDescent="0.35">
      <c r="A291" t="s">
        <v>355</v>
      </c>
      <c r="B291" s="73">
        <v>43739</v>
      </c>
      <c r="C291">
        <v>0.16302913399999999</v>
      </c>
      <c r="D291">
        <v>0.73267295799999999</v>
      </c>
      <c r="E291">
        <v>0.41788324500000001</v>
      </c>
      <c r="F291">
        <v>0.72785835099999996</v>
      </c>
      <c r="G291">
        <v>0.189434769</v>
      </c>
      <c r="H291">
        <v>0.37402653499999999</v>
      </c>
      <c r="I291">
        <v>0.56217448699999994</v>
      </c>
      <c r="J291">
        <v>0.33461546399999997</v>
      </c>
      <c r="K291">
        <v>1.3</v>
      </c>
      <c r="L291">
        <v>0.67160157099999995</v>
      </c>
      <c r="M291">
        <v>0.112016509</v>
      </c>
      <c r="N291">
        <v>0.45731937</v>
      </c>
      <c r="O291">
        <v>0.20713599999999999</v>
      </c>
      <c r="P291">
        <v>0.29500010100000001</v>
      </c>
      <c r="Q291">
        <v>0.29478254199999998</v>
      </c>
      <c r="R291">
        <v>0.25810699999999998</v>
      </c>
      <c r="S291">
        <v>4.6924695000000002E-2</v>
      </c>
      <c r="T291">
        <v>2.1200843E-2</v>
      </c>
      <c r="U291">
        <v>0.56001199999999995</v>
      </c>
      <c r="V291">
        <v>0.61085417399999997</v>
      </c>
      <c r="W291">
        <v>-0.397980112</v>
      </c>
      <c r="X291">
        <v>1.3993126739999999</v>
      </c>
      <c r="Y291">
        <v>0.42005999999999999</v>
      </c>
      <c r="Z291">
        <v>1.8040441869999999</v>
      </c>
      <c r="AA291">
        <v>-0.40505450799999998</v>
      </c>
      <c r="AB291">
        <v>1.1638560899999999</v>
      </c>
      <c r="AC291">
        <v>7.2463517000000005E-2</v>
      </c>
      <c r="AD291">
        <v>0.25294114899999998</v>
      </c>
      <c r="AE291">
        <v>0.527437881</v>
      </c>
      <c r="AF291">
        <v>-9.6615529999999998E-3</v>
      </c>
      <c r="AG291">
        <v>7.7160906000000001E-2</v>
      </c>
      <c r="AH291">
        <v>0.24325513600000001</v>
      </c>
      <c r="AI291">
        <v>0.39284544100000002</v>
      </c>
      <c r="AJ291">
        <v>0.56820514200000005</v>
      </c>
      <c r="AK291">
        <v>0.92622709599999997</v>
      </c>
      <c r="AL291">
        <v>0.52630104600000005</v>
      </c>
      <c r="AM291">
        <v>0.74318165999999997</v>
      </c>
      <c r="AN291">
        <v>0.45188073099999998</v>
      </c>
      <c r="AO291">
        <v>-0.97835560099999996</v>
      </c>
      <c r="AP291">
        <v>0.23910211200000001</v>
      </c>
      <c r="AQ291">
        <v>1.6375625519999999</v>
      </c>
      <c r="AR291">
        <v>0.159612538</v>
      </c>
      <c r="AS291">
        <v>5.0625441E-2</v>
      </c>
      <c r="AT291">
        <v>0.88996647299999998</v>
      </c>
      <c r="AU291">
        <v>0.13850583299999999</v>
      </c>
    </row>
    <row r="292" spans="1:47" x14ac:dyDescent="0.35">
      <c r="A292" t="s">
        <v>356</v>
      </c>
      <c r="B292" s="73">
        <v>43831</v>
      </c>
      <c r="C292">
        <v>-1.531483889</v>
      </c>
      <c r="D292">
        <v>0.53315296700000003</v>
      </c>
      <c r="E292">
        <v>-0.47668651899999998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1.5422E-2</v>
      </c>
      <c r="P292">
        <v>0.21716943599999999</v>
      </c>
      <c r="Q292">
        <v>1.1552874630000001</v>
      </c>
      <c r="R292">
        <v>6.0492999999999998E-2</v>
      </c>
      <c r="S292">
        <v>-0.258833339</v>
      </c>
      <c r="T292">
        <v>-0.26886885300000002</v>
      </c>
      <c r="U292">
        <v>-0.15917999999999999</v>
      </c>
      <c r="V292">
        <v>-2.5112203E-2</v>
      </c>
      <c r="W292">
        <v>-0.27085347999999998</v>
      </c>
      <c r="X292">
        <v>0.60000092599999999</v>
      </c>
      <c r="Y292">
        <v>0.44248999999999999</v>
      </c>
      <c r="Z292">
        <v>1.2732359230000001</v>
      </c>
      <c r="AA292">
        <v>3.2558668549999998</v>
      </c>
      <c r="AB292">
        <v>0.85240965300000004</v>
      </c>
      <c r="AC292">
        <v>-0.83269242200000004</v>
      </c>
      <c r="AD292">
        <v>-2.746182852</v>
      </c>
      <c r="AE292">
        <v>1.2711157769999999</v>
      </c>
      <c r="AF292">
        <v>0.50646811599999997</v>
      </c>
      <c r="AG292">
        <v>0.24570400000000001</v>
      </c>
      <c r="AH292">
        <v>-0.50431692400000006</v>
      </c>
      <c r="AI292">
        <v>0.39391805099999999</v>
      </c>
      <c r="AJ292">
        <v>0.82895385799999999</v>
      </c>
      <c r="AK292">
        <v>0.451190129</v>
      </c>
      <c r="AL292">
        <v>3.6109887E-2</v>
      </c>
      <c r="AM292">
        <v>0.65372382200000001</v>
      </c>
      <c r="AN292">
        <v>0.82078459800000003</v>
      </c>
      <c r="AO292">
        <v>-0.45248773399999997</v>
      </c>
      <c r="AP292">
        <v>0.50054066799999997</v>
      </c>
      <c r="AQ292">
        <v>1.1954929990000001</v>
      </c>
      <c r="AR292">
        <v>0.436567335</v>
      </c>
      <c r="AS292">
        <v>1.3646299630000001</v>
      </c>
      <c r="AT292">
        <v>0.44304689400000002</v>
      </c>
      <c r="AU292">
        <v>-3.4571232E-2</v>
      </c>
    </row>
    <row r="293" spans="1:47" x14ac:dyDescent="0.35">
      <c r="A293" t="s">
        <v>357</v>
      </c>
      <c r="B293" s="73">
        <v>43922</v>
      </c>
      <c r="C293">
        <v>-4.2660278710000004</v>
      </c>
      <c r="D293">
        <v>-0.22284852899999999</v>
      </c>
      <c r="E293">
        <v>-2.5050063319999998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-3.3656009999999998</v>
      </c>
      <c r="P293">
        <v>-5.4872551700000001</v>
      </c>
      <c r="Q293">
        <v>0.71607565399999995</v>
      </c>
      <c r="R293">
        <v>-2.9248120000000002</v>
      </c>
      <c r="S293">
        <v>-0.191580891</v>
      </c>
      <c r="T293">
        <v>-5.570557741</v>
      </c>
      <c r="U293">
        <v>-1.8052919999999999</v>
      </c>
      <c r="V293">
        <v>-2.6408284480000002</v>
      </c>
      <c r="W293">
        <v>-1.940874558</v>
      </c>
      <c r="X293">
        <v>-0.59999785299999997</v>
      </c>
      <c r="Y293">
        <v>-2.5069999999999999E-2</v>
      </c>
      <c r="Z293">
        <v>2.6336027180000001</v>
      </c>
      <c r="AA293">
        <v>-6.6221419709999996</v>
      </c>
      <c r="AB293">
        <v>-1.2187700450000001</v>
      </c>
      <c r="AC293">
        <v>-5.8570645309999998</v>
      </c>
      <c r="AD293">
        <v>0.43345481699999999</v>
      </c>
      <c r="AE293">
        <v>-1.3374557170000001</v>
      </c>
      <c r="AF293">
        <v>-1.2338126460000001</v>
      </c>
      <c r="AG293">
        <v>-0.37745903400000003</v>
      </c>
      <c r="AH293">
        <v>-0.99224989200000002</v>
      </c>
      <c r="AI293">
        <v>-1.4795695959999999</v>
      </c>
      <c r="AJ293">
        <v>-1.255304937</v>
      </c>
      <c r="AK293">
        <v>-1.052631579</v>
      </c>
      <c r="AL293">
        <v>-1.6303932729999999</v>
      </c>
      <c r="AM293">
        <v>0.740482537</v>
      </c>
      <c r="AN293">
        <v>-4.3554877049999998</v>
      </c>
      <c r="AO293">
        <v>-0.196323318</v>
      </c>
      <c r="AP293">
        <v>-2.7733496390000001</v>
      </c>
      <c r="AQ293">
        <v>-4.7508146959999999</v>
      </c>
      <c r="AR293">
        <v>-7.6791524E-2</v>
      </c>
      <c r="AS293">
        <v>0.51983281000000003</v>
      </c>
      <c r="AT293">
        <v>-1.175154201</v>
      </c>
      <c r="AU293">
        <v>6.9568199999999998E-4</v>
      </c>
    </row>
    <row r="294" spans="1:47" x14ac:dyDescent="0.35">
      <c r="A294" t="s">
        <v>358</v>
      </c>
      <c r="B294" s="73">
        <v>44013</v>
      </c>
      <c r="C294">
        <v>-14.975655895999999</v>
      </c>
      <c r="D294">
        <v>-6.757576577</v>
      </c>
      <c r="E294">
        <v>-11.321361903</v>
      </c>
      <c r="F294">
        <v>-11.39783177</v>
      </c>
      <c r="G294">
        <v>-8.7092558340000004</v>
      </c>
      <c r="H294">
        <v>-10.928273390999999</v>
      </c>
      <c r="I294">
        <v>-7.0472095579999996</v>
      </c>
      <c r="J294">
        <v>-12.951958513999999</v>
      </c>
      <c r="K294">
        <v>11.6</v>
      </c>
      <c r="L294">
        <v>-8.8487394629999994</v>
      </c>
      <c r="M294">
        <v>-9.4811335119999995</v>
      </c>
      <c r="N294">
        <v>-6.3188743350000003</v>
      </c>
      <c r="O294">
        <v>-11.450771</v>
      </c>
      <c r="P294">
        <v>-17.826255917000001</v>
      </c>
      <c r="Q294">
        <v>-6.7561927449999999</v>
      </c>
      <c r="R294">
        <v>-11.075597999999999</v>
      </c>
      <c r="S294">
        <v>-6.2400753829999998</v>
      </c>
      <c r="T294">
        <v>-13.546783366</v>
      </c>
      <c r="U294">
        <v>-10.199574999999999</v>
      </c>
      <c r="V294">
        <v>-20.991372605999999</v>
      </c>
      <c r="W294">
        <v>-13.354608133999999</v>
      </c>
      <c r="X294">
        <v>-14.400000154000001</v>
      </c>
      <c r="Y294">
        <v>-23.058240000000001</v>
      </c>
      <c r="Z294">
        <v>-5.5838926769999997</v>
      </c>
      <c r="AA294">
        <v>-6.5273831009999999</v>
      </c>
      <c r="AB294">
        <v>-8.7604649370000001</v>
      </c>
      <c r="AC294">
        <v>-12.113348631999999</v>
      </c>
      <c r="AD294">
        <v>-7.9704216140000002</v>
      </c>
      <c r="AE294">
        <v>-3.026935758</v>
      </c>
      <c r="AF294">
        <v>-5.5592997930000001</v>
      </c>
      <c r="AG294">
        <v>-7.0816959329999998</v>
      </c>
      <c r="AH294">
        <v>-17.755667377999998</v>
      </c>
      <c r="AI294">
        <v>-7.8981937540000002</v>
      </c>
      <c r="AJ294">
        <v>-5.4674679389999996</v>
      </c>
      <c r="AK294">
        <v>-10.136491369</v>
      </c>
      <c r="AL294">
        <v>-10.328829289</v>
      </c>
      <c r="AM294">
        <v>-9.2055979600000004</v>
      </c>
      <c r="AN294">
        <v>-15.119496960999999</v>
      </c>
      <c r="AO294">
        <v>-4.4850020739999996</v>
      </c>
      <c r="AP294">
        <v>-7.4062370160000004</v>
      </c>
      <c r="AQ294">
        <v>-9.7366075240000001</v>
      </c>
      <c r="AR294">
        <v>-8.2371713839999998</v>
      </c>
      <c r="AS294">
        <v>-10.371752592</v>
      </c>
      <c r="AT294">
        <v>-8.4843361539999993</v>
      </c>
      <c r="AU294">
        <v>-17.094183365999999</v>
      </c>
    </row>
    <row r="295" spans="1:47" x14ac:dyDescent="0.35">
      <c r="A295" t="s">
        <v>359</v>
      </c>
      <c r="B295" s="73">
        <v>44105</v>
      </c>
      <c r="C295">
        <v>11.893161342000001</v>
      </c>
      <c r="D295">
        <v>3.855111623</v>
      </c>
      <c r="E295">
        <v>11.302099448</v>
      </c>
      <c r="F295">
        <v>11.731267216000001</v>
      </c>
      <c r="G295">
        <v>8.0950294710000001</v>
      </c>
      <c r="H295">
        <v>9.0179213639999993</v>
      </c>
      <c r="I295">
        <v>7.323282517</v>
      </c>
      <c r="J295">
        <v>5.4511509309999999</v>
      </c>
      <c r="K295">
        <v>3.2</v>
      </c>
      <c r="L295">
        <v>6.953208665</v>
      </c>
      <c r="M295">
        <v>9.0046949089999995</v>
      </c>
      <c r="N295">
        <v>5.8576653800000003</v>
      </c>
      <c r="O295">
        <v>12.351077999999999</v>
      </c>
      <c r="P295">
        <v>16.637933628999999</v>
      </c>
      <c r="Q295">
        <v>4.7791880320000004</v>
      </c>
      <c r="R295">
        <v>11.495735</v>
      </c>
      <c r="S295">
        <v>4.9543094300000003</v>
      </c>
      <c r="T295">
        <v>18.373992991000001</v>
      </c>
      <c r="U295">
        <v>9.5049399999999995</v>
      </c>
      <c r="V295">
        <v>16.608614292999999</v>
      </c>
      <c r="W295">
        <v>5.3364999150000001</v>
      </c>
      <c r="X295">
        <v>11.899999403000001</v>
      </c>
      <c r="Y295">
        <v>21.398409999999998</v>
      </c>
      <c r="Z295">
        <v>12.894430309000001</v>
      </c>
      <c r="AA295">
        <v>2.7188038809999999</v>
      </c>
      <c r="AB295">
        <v>8.8633036989999994</v>
      </c>
      <c r="AC295">
        <v>14.459447416</v>
      </c>
      <c r="AD295">
        <v>5.6492005790000004</v>
      </c>
      <c r="AE295">
        <v>2.3477855380000001</v>
      </c>
      <c r="AF295">
        <v>8.2903374559999996</v>
      </c>
      <c r="AG295">
        <v>5.962102979</v>
      </c>
      <c r="AH295">
        <v>13.151112296000001</v>
      </c>
      <c r="AI295">
        <v>6.348572441</v>
      </c>
      <c r="AJ295">
        <v>4.3269850490000001</v>
      </c>
      <c r="AK295">
        <v>14.144086871000001</v>
      </c>
      <c r="AL295">
        <v>9.450085584</v>
      </c>
      <c r="AM295">
        <v>6.7617179089999997</v>
      </c>
      <c r="AN295">
        <v>14.588001222000001</v>
      </c>
      <c r="AO295">
        <v>2.7780786000000002</v>
      </c>
      <c r="AP295">
        <v>9.2075326410000002</v>
      </c>
      <c r="AQ295">
        <v>12.975616642</v>
      </c>
      <c r="AR295">
        <v>7.3748910009999999</v>
      </c>
      <c r="AS295">
        <v>15.649317805000001</v>
      </c>
      <c r="AT295">
        <v>7.854483117</v>
      </c>
      <c r="AU295">
        <v>13.764967337</v>
      </c>
    </row>
    <row r="296" spans="1:47" x14ac:dyDescent="0.35">
      <c r="A296" t="s">
        <v>360</v>
      </c>
      <c r="B296" s="73">
        <v>44197</v>
      </c>
      <c r="C296">
        <v>4.5393972299999996</v>
      </c>
      <c r="D296">
        <v>3.3818092580000001</v>
      </c>
      <c r="E296">
        <v>-1.9229851039999999</v>
      </c>
      <c r="F296">
        <v>-0.52723915099999996</v>
      </c>
      <c r="G296">
        <v>3.2063812939999998</v>
      </c>
      <c r="H296">
        <v>2.1305008550000002</v>
      </c>
      <c r="I296">
        <v>0.25928192799999999</v>
      </c>
      <c r="J296">
        <v>6.6652781719999998</v>
      </c>
      <c r="K296">
        <v>2.4</v>
      </c>
      <c r="L296">
        <v>1.140550376</v>
      </c>
      <c r="M296">
        <v>0.62147154299999996</v>
      </c>
      <c r="N296">
        <v>5.9704568999999999E-2</v>
      </c>
      <c r="O296">
        <v>-0.26243100000000003</v>
      </c>
      <c r="P296">
        <v>-5.8975087000000002E-2</v>
      </c>
      <c r="Q296">
        <v>2.6660140320000001</v>
      </c>
      <c r="R296">
        <v>-0.113152</v>
      </c>
      <c r="S296">
        <v>0.70044154400000003</v>
      </c>
      <c r="T296">
        <v>-0.91523009799999999</v>
      </c>
      <c r="U296">
        <v>0.84696000000000005</v>
      </c>
      <c r="V296">
        <v>1.2138809829999999</v>
      </c>
      <c r="W296">
        <v>4.1112363209999998</v>
      </c>
      <c r="X296">
        <v>1.6000016909999999</v>
      </c>
      <c r="Y296">
        <v>7.7878699999999998</v>
      </c>
      <c r="Z296">
        <v>-4.6458915540000003</v>
      </c>
      <c r="AA296">
        <v>5.2221042889999998</v>
      </c>
      <c r="AB296">
        <v>2.3036843079999998</v>
      </c>
      <c r="AC296">
        <v>-0.78670607199999998</v>
      </c>
      <c r="AD296">
        <v>1.865455971</v>
      </c>
      <c r="AE296">
        <v>1.2137428459999999</v>
      </c>
      <c r="AF296">
        <v>-0.36867904400000001</v>
      </c>
      <c r="AG296">
        <v>1.6113696689999999</v>
      </c>
      <c r="AH296">
        <v>4.2135386989999999</v>
      </c>
      <c r="AI296">
        <v>-6.0463078000000003E-2</v>
      </c>
      <c r="AJ296">
        <v>1.4293120989999999</v>
      </c>
      <c r="AK296">
        <v>-0.55544684099999997</v>
      </c>
      <c r="AL296">
        <v>1.0413630540000001</v>
      </c>
      <c r="AM296">
        <v>0.121471225</v>
      </c>
      <c r="AN296">
        <v>0.37056324499999999</v>
      </c>
      <c r="AO296">
        <v>0.73974322400000003</v>
      </c>
      <c r="AP296">
        <v>0.43895342199999998</v>
      </c>
      <c r="AQ296">
        <v>-1.262466085</v>
      </c>
      <c r="AR296">
        <v>8.8641155999999999E-2</v>
      </c>
      <c r="AS296">
        <v>1.084647787</v>
      </c>
      <c r="AT296">
        <v>0.96321327899999998</v>
      </c>
      <c r="AU296">
        <v>2.6969503989999999</v>
      </c>
    </row>
    <row r="297" spans="1:47" x14ac:dyDescent="0.35">
      <c r="A297" t="s">
        <v>361</v>
      </c>
      <c r="B297" s="73">
        <v>44287</v>
      </c>
      <c r="C297">
        <v>3.4525612059999999</v>
      </c>
      <c r="D297">
        <v>2.0568896539999999</v>
      </c>
      <c r="E297">
        <v>-1.0082028949999999</v>
      </c>
      <c r="F297">
        <v>1.364535083</v>
      </c>
      <c r="G297">
        <v>1.0534919220000001</v>
      </c>
      <c r="H297">
        <v>1.308902555</v>
      </c>
      <c r="I297">
        <v>-0.133696121</v>
      </c>
      <c r="J297">
        <v>3.6635876920000001</v>
      </c>
      <c r="K297">
        <v>0.8</v>
      </c>
      <c r="L297">
        <v>-0.49515535700000002</v>
      </c>
      <c r="M297">
        <v>-1.468048603</v>
      </c>
      <c r="N297">
        <v>1.0328808190000001</v>
      </c>
      <c r="O297">
        <v>-6.0974E-2</v>
      </c>
      <c r="P297">
        <v>-0.22866331500000001</v>
      </c>
      <c r="Q297">
        <v>2.6144887040000002</v>
      </c>
      <c r="R297">
        <v>0.20733399999999999</v>
      </c>
      <c r="S297">
        <v>-0.140874833</v>
      </c>
      <c r="T297">
        <v>8.0926611999999995E-2</v>
      </c>
      <c r="U297">
        <v>0.59998499999999999</v>
      </c>
      <c r="V297">
        <v>-1.0529393410000001</v>
      </c>
      <c r="W297">
        <v>3.0616529859999999</v>
      </c>
      <c r="X297">
        <v>1.0999940539999999</v>
      </c>
      <c r="Y297">
        <v>0.75983000000000001</v>
      </c>
      <c r="Z297">
        <v>8.9422876819999999</v>
      </c>
      <c r="AA297">
        <v>-3.83936637</v>
      </c>
      <c r="AB297">
        <v>-0.31039538300000002</v>
      </c>
      <c r="AC297">
        <v>0.266741006</v>
      </c>
      <c r="AD297">
        <v>-0.137347049</v>
      </c>
      <c r="AE297">
        <v>1.724067239</v>
      </c>
      <c r="AF297">
        <v>2.0217350619999999</v>
      </c>
      <c r="AG297">
        <v>-0.69841934900000002</v>
      </c>
      <c r="AH297">
        <v>0.450530388</v>
      </c>
      <c r="AI297">
        <v>1.9217218000000001E-2</v>
      </c>
      <c r="AJ297">
        <v>-0.61100491899999998</v>
      </c>
      <c r="AK297">
        <v>2.0843424559999999</v>
      </c>
      <c r="AL297">
        <v>0.85409490899999996</v>
      </c>
      <c r="AM297">
        <v>2.5717948750000001</v>
      </c>
      <c r="AN297">
        <v>-2.5703857389999998</v>
      </c>
      <c r="AO297">
        <v>0.68078932599999997</v>
      </c>
      <c r="AP297">
        <v>-1.4428354059999999</v>
      </c>
      <c r="AQ297">
        <v>1.7220261320000001</v>
      </c>
      <c r="AR297">
        <v>1.453311461</v>
      </c>
      <c r="AS297">
        <v>2.6166590589999998</v>
      </c>
      <c r="AT297">
        <v>1.5427919990000001</v>
      </c>
      <c r="AU297">
        <v>0.82292430299999997</v>
      </c>
    </row>
    <row r="298" spans="1:47" x14ac:dyDescent="0.35">
      <c r="A298" t="s">
        <v>362</v>
      </c>
      <c r="B298" s="73">
        <v>44378</v>
      </c>
      <c r="C298">
        <v>-0.787434564</v>
      </c>
      <c r="D298">
        <v>0.64464400899999996</v>
      </c>
      <c r="E298">
        <v>4.1101865120000003</v>
      </c>
      <c r="F298">
        <v>1.7271220430000001</v>
      </c>
      <c r="G298">
        <v>-0.264462894</v>
      </c>
      <c r="H298">
        <v>-0.58859631099999998</v>
      </c>
      <c r="I298">
        <v>2.013748831</v>
      </c>
      <c r="J298">
        <v>1.348715839</v>
      </c>
      <c r="K298">
        <v>1.4</v>
      </c>
      <c r="L298">
        <v>1.389823598</v>
      </c>
      <c r="M298">
        <v>1.928643933</v>
      </c>
      <c r="N298">
        <v>1.8541308249999999</v>
      </c>
      <c r="O298">
        <v>1.985673</v>
      </c>
      <c r="P298">
        <v>1.3522055589999999</v>
      </c>
      <c r="Q298">
        <v>2.8521731099999998</v>
      </c>
      <c r="R298">
        <v>1.9330160000000001</v>
      </c>
      <c r="S298">
        <v>1.5271213939999999</v>
      </c>
      <c r="T298">
        <v>1.075591336</v>
      </c>
      <c r="U298">
        <v>1.806009</v>
      </c>
      <c r="V298">
        <v>6.5284429499999996</v>
      </c>
      <c r="W298">
        <v>1.3228741740000001</v>
      </c>
      <c r="X298">
        <v>2.3000003819999999</v>
      </c>
      <c r="Y298">
        <v>-8.6488399999999999</v>
      </c>
      <c r="Z298">
        <v>1.931800848</v>
      </c>
      <c r="AA298">
        <v>4.7902804889999997</v>
      </c>
      <c r="AB298">
        <v>3.975902064</v>
      </c>
      <c r="AC298">
        <v>2.469963441</v>
      </c>
      <c r="AD298">
        <v>0.32325683300000002</v>
      </c>
      <c r="AE298">
        <v>0.83334792899999999</v>
      </c>
      <c r="AF298">
        <v>0.58173743700000002</v>
      </c>
      <c r="AG298">
        <v>2.2448757810000002</v>
      </c>
      <c r="AH298">
        <v>0.72770476500000003</v>
      </c>
      <c r="AI298">
        <v>3.7457010569999998</v>
      </c>
      <c r="AJ298">
        <v>1.3045490259999999</v>
      </c>
      <c r="AK298">
        <v>2.3709612849999999</v>
      </c>
      <c r="AL298">
        <v>1.706633391</v>
      </c>
      <c r="AM298">
        <v>2.173567115</v>
      </c>
      <c r="AN298">
        <v>4.4247429800000004</v>
      </c>
      <c r="AO298">
        <v>3.1909337409999998</v>
      </c>
      <c r="AP298">
        <v>1.913642675</v>
      </c>
      <c r="AQ298">
        <v>1.985756447</v>
      </c>
      <c r="AR298">
        <v>0.56177984999999997</v>
      </c>
      <c r="AS298">
        <v>1.994956988</v>
      </c>
      <c r="AT298">
        <v>1.707015905</v>
      </c>
      <c r="AU298">
        <v>1.3879124949999999</v>
      </c>
    </row>
    <row r="299" spans="1:47" x14ac:dyDescent="0.35">
      <c r="A299" t="s">
        <v>363</v>
      </c>
      <c r="B299" s="73">
        <v>44470</v>
      </c>
      <c r="C299">
        <v>3.862045315</v>
      </c>
      <c r="D299">
        <v>-1.934133492</v>
      </c>
      <c r="E299">
        <v>4.3148713650000001</v>
      </c>
      <c r="F299">
        <v>2.3234460100000001</v>
      </c>
      <c r="G299">
        <v>0.44497863900000001</v>
      </c>
      <c r="H299">
        <v>1.4308671070000001</v>
      </c>
      <c r="I299">
        <v>1.799396215</v>
      </c>
      <c r="J299">
        <v>4.6113396880000002</v>
      </c>
      <c r="K299">
        <v>0.4</v>
      </c>
      <c r="L299">
        <v>1.6977640039999999</v>
      </c>
      <c r="M299">
        <v>0.78523687499999995</v>
      </c>
      <c r="N299">
        <v>0.90318139200000003</v>
      </c>
      <c r="O299">
        <v>2.2495980000000002</v>
      </c>
      <c r="P299">
        <v>3.1081884460000002</v>
      </c>
      <c r="Q299">
        <v>0.710336729</v>
      </c>
      <c r="R299">
        <v>2.164898</v>
      </c>
      <c r="S299">
        <v>0.95876611</v>
      </c>
      <c r="T299">
        <v>3.3111899579999999</v>
      </c>
      <c r="U299">
        <v>1.002858</v>
      </c>
      <c r="V299">
        <v>1.7335132870000001</v>
      </c>
      <c r="W299">
        <v>3.58576804</v>
      </c>
      <c r="X299">
        <v>1.499999952</v>
      </c>
      <c r="Y299">
        <v>8.6877399999999998</v>
      </c>
      <c r="Z299">
        <v>3.7974186369999998</v>
      </c>
      <c r="AA299">
        <v>0.92805134899999997</v>
      </c>
      <c r="AB299">
        <v>2.0393940929999999</v>
      </c>
      <c r="AC299">
        <v>2.790192314</v>
      </c>
      <c r="AD299">
        <v>-0.34044616700000002</v>
      </c>
      <c r="AE299">
        <v>0.21323898299999999</v>
      </c>
      <c r="AF299">
        <v>-0.19410308800000001</v>
      </c>
      <c r="AG299">
        <v>1.3642121659999999</v>
      </c>
      <c r="AH299">
        <v>-1.054308885</v>
      </c>
      <c r="AI299">
        <v>1.8119623650000001</v>
      </c>
      <c r="AJ299">
        <v>3.3115825110000001</v>
      </c>
      <c r="AK299">
        <v>-3.883256083</v>
      </c>
      <c r="AL299">
        <v>1.18136335</v>
      </c>
      <c r="AM299">
        <v>2.0887695669999999</v>
      </c>
      <c r="AN299">
        <v>2.7819234320000001</v>
      </c>
      <c r="AO299">
        <v>-0.79450589500000002</v>
      </c>
      <c r="AP299">
        <v>0.33862479600000001</v>
      </c>
      <c r="AQ299">
        <v>2.8857855859999999</v>
      </c>
      <c r="AR299">
        <v>1.772230218</v>
      </c>
      <c r="AS299">
        <v>2.7144828259999998</v>
      </c>
      <c r="AT299">
        <v>0.65669449099999999</v>
      </c>
      <c r="AU299">
        <v>-1.801676582</v>
      </c>
    </row>
    <row r="300" spans="1:47" x14ac:dyDescent="0.35">
      <c r="A300" t="s">
        <v>364</v>
      </c>
      <c r="B300" s="73">
        <v>44562</v>
      </c>
      <c r="C300">
        <v>1.961825186</v>
      </c>
      <c r="D300">
        <v>3.819640031</v>
      </c>
      <c r="E300">
        <v>-1.3546539390000001</v>
      </c>
      <c r="F300">
        <v>0.57009131999999996</v>
      </c>
      <c r="G300">
        <v>0.85729362200000003</v>
      </c>
      <c r="H300">
        <v>1.671567869</v>
      </c>
      <c r="I300">
        <v>8.7540646999999999E-2</v>
      </c>
      <c r="J300">
        <v>1.6921215549999999</v>
      </c>
      <c r="K300">
        <v>1.3</v>
      </c>
      <c r="L300">
        <v>0.84993988399999998</v>
      </c>
      <c r="M300">
        <v>-2.8155110000000001E-2</v>
      </c>
      <c r="N300">
        <v>2.6046939610000002</v>
      </c>
      <c r="O300">
        <v>0.53577799999999998</v>
      </c>
      <c r="P300">
        <v>2.2652908900000002</v>
      </c>
      <c r="Q300">
        <v>0.82982534399999996</v>
      </c>
      <c r="R300">
        <v>0.68386199999999997</v>
      </c>
      <c r="S300">
        <v>0.61418298199999999</v>
      </c>
      <c r="T300">
        <v>0.56629275199999995</v>
      </c>
      <c r="U300">
        <v>1.276656</v>
      </c>
      <c r="V300">
        <v>1.5250134040000001</v>
      </c>
      <c r="W300">
        <v>0.57729348599999997</v>
      </c>
      <c r="X300">
        <v>2.4000016610000001</v>
      </c>
      <c r="Y300">
        <v>4.9893599999999996</v>
      </c>
      <c r="Z300">
        <v>-1.1054416840000001</v>
      </c>
      <c r="AA300">
        <v>3.1747823199999998</v>
      </c>
      <c r="AB300">
        <v>4.4483644179999997</v>
      </c>
      <c r="AC300">
        <v>0.90320039799999996</v>
      </c>
      <c r="AD300">
        <v>1.0729469460000001</v>
      </c>
      <c r="AE300">
        <v>1.3377757400000001</v>
      </c>
      <c r="AF300">
        <v>1.633183727</v>
      </c>
      <c r="AG300">
        <v>-0.43181424099999999</v>
      </c>
      <c r="AH300">
        <v>0.98926413199999996</v>
      </c>
      <c r="AI300">
        <v>0.50020292499999996</v>
      </c>
      <c r="AJ300">
        <v>0.65087080100000005</v>
      </c>
      <c r="AK300">
        <v>2.8571859129999999</v>
      </c>
      <c r="AL300">
        <v>1.3885118970000001</v>
      </c>
      <c r="AM300">
        <v>1.634625676</v>
      </c>
      <c r="AN300">
        <v>1.9387339589999999</v>
      </c>
      <c r="AP300">
        <v>0.354040839</v>
      </c>
      <c r="AQ300">
        <v>3.3852085079999998</v>
      </c>
      <c r="AR300">
        <v>2.2183294259999999</v>
      </c>
      <c r="AS300">
        <v>1.575638393</v>
      </c>
      <c r="AT300">
        <v>1.6956940199999999</v>
      </c>
      <c r="AU300">
        <v>1.369403562</v>
      </c>
    </row>
    <row r="301" spans="1:47" x14ac:dyDescent="0.35">
      <c r="A301" t="s">
        <v>365</v>
      </c>
      <c r="B301" s="73">
        <v>44652</v>
      </c>
      <c r="C301">
        <v>1.039519439</v>
      </c>
      <c r="D301">
        <v>0.43774337000000002</v>
      </c>
      <c r="E301">
        <v>1.230730659</v>
      </c>
      <c r="F301">
        <v>0.56773448599999998</v>
      </c>
      <c r="G301">
        <v>1.3490371139999999</v>
      </c>
      <c r="H301">
        <v>0.68209390299999995</v>
      </c>
      <c r="I301">
        <v>0.31034984599999998</v>
      </c>
      <c r="J301">
        <v>-0.68622058399999997</v>
      </c>
      <c r="K301">
        <v>1.6</v>
      </c>
      <c r="L301">
        <v>0.61493790400000004</v>
      </c>
      <c r="M301">
        <v>0.80050502099999998</v>
      </c>
      <c r="N301">
        <v>-0.48750227000000002</v>
      </c>
      <c r="O301">
        <v>0.63563800000000004</v>
      </c>
      <c r="P301">
        <v>-1.1760433000000001E-2</v>
      </c>
      <c r="Q301">
        <v>1.3246175000000001E-2</v>
      </c>
      <c r="R301">
        <v>0.75996300000000006</v>
      </c>
      <c r="S301">
        <v>-3.419797E-3</v>
      </c>
      <c r="T301">
        <v>-0.23408446199999999</v>
      </c>
      <c r="U301">
        <v>-0.117567</v>
      </c>
      <c r="V301">
        <v>0.45780531000000002</v>
      </c>
      <c r="W301">
        <v>2.1791437679999999</v>
      </c>
      <c r="X301">
        <v>1.3999991519999999</v>
      </c>
      <c r="Y301">
        <v>-7.6910000000000006E-2</v>
      </c>
      <c r="Z301">
        <v>6.9712807650000004</v>
      </c>
      <c r="AA301">
        <v>-1.0147827119999999</v>
      </c>
      <c r="AB301">
        <v>-0.76564561399999997</v>
      </c>
      <c r="AC301">
        <v>0.12966260299999999</v>
      </c>
      <c r="AD301">
        <v>-0.41669966400000003</v>
      </c>
      <c r="AE301">
        <v>0.63396788500000001</v>
      </c>
      <c r="AF301">
        <v>0.745967202</v>
      </c>
      <c r="AG301">
        <v>1.7</v>
      </c>
      <c r="AH301">
        <v>1.225600174</v>
      </c>
      <c r="AI301">
        <v>0.35404927899999999</v>
      </c>
      <c r="AJ301">
        <v>-0.80346133200000003</v>
      </c>
      <c r="AK301">
        <v>-0.43952824000000001</v>
      </c>
      <c r="AL301">
        <v>0.21701293199999999</v>
      </c>
      <c r="AM301">
        <v>4.2555020109999999</v>
      </c>
      <c r="AN301">
        <v>2.3558136260000002</v>
      </c>
      <c r="AP301">
        <v>0.27179955700000002</v>
      </c>
      <c r="AQ301">
        <v>1.037738005</v>
      </c>
      <c r="AR301">
        <v>-0.43849136799999999</v>
      </c>
      <c r="AS301">
        <v>0.58941380200000004</v>
      </c>
      <c r="AT301">
        <v>-0.41033818500000002</v>
      </c>
      <c r="AU301">
        <v>1.74312424</v>
      </c>
    </row>
    <row r="302" spans="1:47" x14ac:dyDescent="0.35">
      <c r="A302" t="s">
        <v>366</v>
      </c>
      <c r="B302" s="73">
        <v>44743</v>
      </c>
      <c r="C302">
        <v>1.006364289</v>
      </c>
      <c r="D302">
        <v>0.87332473399999999</v>
      </c>
      <c r="E302">
        <v>1.9367023990000001</v>
      </c>
      <c r="F302">
        <v>0.54365317499999999</v>
      </c>
      <c r="G302">
        <v>0.98005555099999997</v>
      </c>
      <c r="H302">
        <v>0.79495348300000002</v>
      </c>
      <c r="I302">
        <v>0.10277130600000001</v>
      </c>
      <c r="J302">
        <v>0.13832718199999999</v>
      </c>
      <c r="K302">
        <v>-2.7</v>
      </c>
      <c r="L302">
        <v>0.302580511</v>
      </c>
      <c r="M302">
        <v>0.102467391</v>
      </c>
      <c r="N302">
        <v>0.81599424700000001</v>
      </c>
      <c r="O302">
        <v>0.85013799999999995</v>
      </c>
      <c r="P302">
        <v>2.2430475560000001</v>
      </c>
      <c r="Q302">
        <v>-1.343134517</v>
      </c>
      <c r="R302">
        <v>0.71306599999999998</v>
      </c>
      <c r="S302">
        <v>1.0020348489999999</v>
      </c>
      <c r="T302">
        <v>0.49169964500000002</v>
      </c>
      <c r="U302">
        <v>0.220443</v>
      </c>
      <c r="V302">
        <v>0.103523569</v>
      </c>
      <c r="W302">
        <v>0.58729169400000003</v>
      </c>
      <c r="X302">
        <v>0.60000267299999999</v>
      </c>
      <c r="Y302">
        <v>-1.5859999999999999E-2</v>
      </c>
      <c r="Z302">
        <v>2.1645848569999999</v>
      </c>
      <c r="AA302">
        <v>3.6976313850000002</v>
      </c>
      <c r="AB302">
        <v>1.516090605</v>
      </c>
      <c r="AC302">
        <v>1.1489783010000001</v>
      </c>
      <c r="AD302">
        <v>1.1225344399999999</v>
      </c>
      <c r="AE302">
        <v>0.73926675799999997</v>
      </c>
      <c r="AF302">
        <v>-0.49723316299999998</v>
      </c>
      <c r="AG302">
        <v>-0.10000000100000001</v>
      </c>
      <c r="AH302">
        <v>1.144173256</v>
      </c>
      <c r="AI302">
        <v>2.4523730100000001</v>
      </c>
      <c r="AJ302">
        <v>1.1284100859999999</v>
      </c>
      <c r="AK302">
        <v>1.885071003</v>
      </c>
      <c r="AL302">
        <v>0.46929281499999997</v>
      </c>
      <c r="AM302">
        <v>-2.3356423479999999</v>
      </c>
      <c r="AN302">
        <v>0.132242585</v>
      </c>
      <c r="AP302">
        <v>0.33417765300000002</v>
      </c>
      <c r="AQ302">
        <v>0.79802590600000001</v>
      </c>
      <c r="AR302">
        <v>0.33617335300000001</v>
      </c>
      <c r="AS302">
        <v>1.874313763</v>
      </c>
      <c r="AT302">
        <v>-0.144633973</v>
      </c>
      <c r="AU302">
        <v>-0.73867936199999995</v>
      </c>
    </row>
    <row r="303" spans="1:47" x14ac:dyDescent="0.35">
      <c r="A303" t="s">
        <v>367</v>
      </c>
      <c r="B303" s="73">
        <v>44835</v>
      </c>
      <c r="C303">
        <v>1.7000615750000001</v>
      </c>
      <c r="D303">
        <v>0.64700042800000002</v>
      </c>
      <c r="E303">
        <v>0.21430557</v>
      </c>
      <c r="F303">
        <v>0.21109457700000001</v>
      </c>
      <c r="G303">
        <v>0.39591020300000002</v>
      </c>
      <c r="H303">
        <v>0.72812909400000003</v>
      </c>
      <c r="I303">
        <v>0.243612991</v>
      </c>
      <c r="J303">
        <v>-1.180470028</v>
      </c>
      <c r="K303">
        <v>3.9</v>
      </c>
      <c r="L303">
        <v>-0.24826458600000001</v>
      </c>
      <c r="M303">
        <v>0.474594034</v>
      </c>
      <c r="N303">
        <v>0.26909726499999997</v>
      </c>
      <c r="O303">
        <v>0.30274400000000001</v>
      </c>
      <c r="P303">
        <v>0.21451168100000001</v>
      </c>
      <c r="Q303">
        <v>-1.7827658500000001</v>
      </c>
      <c r="R303">
        <v>0.336895</v>
      </c>
      <c r="S303">
        <v>-0.242097957</v>
      </c>
      <c r="T303">
        <v>0.16553290300000001</v>
      </c>
      <c r="U303">
        <v>0.497442</v>
      </c>
      <c r="V303">
        <v>-0.16399671599999999</v>
      </c>
      <c r="W303">
        <v>-0.53899532999999999</v>
      </c>
      <c r="X303">
        <v>-0.70000309999999999</v>
      </c>
      <c r="Y303">
        <v>0.75570000000000004</v>
      </c>
      <c r="Z303">
        <v>2.3164391979999999</v>
      </c>
      <c r="AA303">
        <v>-0.50556511199999998</v>
      </c>
      <c r="AB303">
        <v>0.52930562599999997</v>
      </c>
      <c r="AC303">
        <v>0.50716299799999998</v>
      </c>
      <c r="AD303">
        <v>-0.253391694</v>
      </c>
      <c r="AE303">
        <v>0.32282936800000001</v>
      </c>
      <c r="AF303">
        <v>1.1103202510000001</v>
      </c>
      <c r="AG303">
        <v>-1.6999999990000001</v>
      </c>
      <c r="AH303">
        <v>0.89035689200000001</v>
      </c>
      <c r="AI303">
        <v>-0.15172266000000001</v>
      </c>
      <c r="AJ303">
        <v>1.2942373920000001</v>
      </c>
      <c r="AK303">
        <v>2.014847767</v>
      </c>
      <c r="AL303">
        <v>0.44759979700000002</v>
      </c>
      <c r="AM303">
        <v>0.95899777500000005</v>
      </c>
      <c r="AN303">
        <v>0.36550871499999998</v>
      </c>
      <c r="AP303">
        <v>0.32399478900000001</v>
      </c>
      <c r="AQ303">
        <v>-1.2773602180000001</v>
      </c>
      <c r="AR303">
        <v>0.180865262</v>
      </c>
      <c r="AS303">
        <v>-0.12469848</v>
      </c>
      <c r="AT303">
        <v>0.80115520900000003</v>
      </c>
      <c r="AU303">
        <v>1.620785411</v>
      </c>
    </row>
    <row r="304" spans="1:47" x14ac:dyDescent="0.35">
      <c r="A304" t="s">
        <v>368</v>
      </c>
      <c r="B304" s="73">
        <v>44927</v>
      </c>
      <c r="E304">
        <v>-0.68389852500000003</v>
      </c>
      <c r="F304">
        <v>0.10014503800000001</v>
      </c>
      <c r="H304">
        <v>0.4</v>
      </c>
      <c r="K304">
        <v>0</v>
      </c>
      <c r="L304">
        <v>-0.30317043199999999</v>
      </c>
      <c r="M304">
        <v>-0.24080310699999999</v>
      </c>
      <c r="N304">
        <v>1.100061207</v>
      </c>
      <c r="O304">
        <v>0.107629</v>
      </c>
      <c r="P304">
        <v>0.22451880399999999</v>
      </c>
      <c r="R304">
        <v>8.652E-3</v>
      </c>
      <c r="S304">
        <v>-0.20025795900000001</v>
      </c>
      <c r="T304">
        <v>0.12251985899999999</v>
      </c>
      <c r="U304">
        <v>0.37957099999999999</v>
      </c>
      <c r="V304">
        <v>-2.2261198999999999E-2</v>
      </c>
      <c r="X304">
        <v>-0.40000039999999998</v>
      </c>
      <c r="Z304">
        <v>3.498323804</v>
      </c>
      <c r="AB304">
        <v>1.4218188570000001</v>
      </c>
      <c r="AC304">
        <v>-0.117860337</v>
      </c>
      <c r="AD304">
        <v>0.158015249</v>
      </c>
      <c r="AE304">
        <v>-0.37392623400000002</v>
      </c>
      <c r="AG304">
        <v>0.30000000599999999</v>
      </c>
      <c r="AH304">
        <v>0.40000020800000002</v>
      </c>
      <c r="AI304">
        <v>0.61892392399999996</v>
      </c>
      <c r="AJ304">
        <v>0.19486544</v>
      </c>
      <c r="AM304">
        <v>-2.4000048450000002</v>
      </c>
      <c r="AN304">
        <v>0.19899360299999999</v>
      </c>
      <c r="AP304">
        <v>0.26964410799999999</v>
      </c>
      <c r="AQ304">
        <v>0.78609463599999996</v>
      </c>
      <c r="AR304">
        <v>-0.624293875</v>
      </c>
      <c r="AT304">
        <v>0.71518529099999995</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3.1174397570000001</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3.6237775939999999</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4.5684728000000003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4.9606420660000001</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5.5658977309999997</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5.8355077529999999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6.1751637119999998</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6.4395925949999997</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8.0496945909999997</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7.959393736</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6.6332817720000001</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6.7562533220000001</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5.523061835</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5.6974964620000002</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4.9973288839999999</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5.1842023570000002</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4.7109349959999998</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4.9654033569999996</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4.9312217609999998</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4.8962673969999999</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5.4795948000000001</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5.275079281</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6.5833281000000001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6.223395622</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6.8571746549999997</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6.2787768359999996</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6.500324312</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6.393526703</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5.7631464890000004</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5.8229298399999996</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4.4962621870000001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4.6910545729999997</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3.6091066020000002</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4.1070026300000002</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3.385020854</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3.5798090010000001</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3.7848224519999998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3.880571588</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4.3451868769999997</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4.3103450350000001</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5.3073516420000004</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5.1147740620000004</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5.4931542130000004</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5.5225799530000002</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6.2616756310000001</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6.2202908490000004</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6.6900744080000001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6.7778845299999997</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5.9900757770000004</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6.176585266</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6.1524554140000003</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6.1984459709999999</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5.0384899670000003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5.4808135399999998</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4.0522981649999998</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4.5765373040000004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3.4618102309999998</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4.093804263</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3.4591971699999999</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4.1177250719999998</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3.8194717900000001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4.1694497300000002</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3.107226255</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3.5169711110000001</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3.328942434</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3.5699497739999999</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3.4193571340000002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3.5866424590000001</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3.2624937420000002</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3.567790193</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3.8883922019999999</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4.0366998619999999</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4.4268414260000002</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4.7025498240000001</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5.1103497459999998</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5.3019076759999999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5.0710889559999996</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5.238272061</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6.4258585269999999</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6.5271126089999996</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7.5128436250000004</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7.3564193769999999</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6.7021665449999999</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6.622476807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5.5048969379999999</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5.6581456499999998</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4.7429040110000003</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5.0147979950000003</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1.307561156</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2.1782851619999999</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0.70974203899999999</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1.5322248140000001</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0.52354769999999995</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1.1812749069999999</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-1.2922977760000001</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-0.56818622200000002</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-1.2311929230000001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-0.65224200099999996</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-1.207033483</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-0.58734647699999998</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0.108479012</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0.48444456299999999</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2.3160132259999999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2.4896918650000002</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4.8680515360000003</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4.7169896659999999</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5.2968013730000001</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5.2334340279999996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4.8574527090000004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5.0144475389999998</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4.5007621609999999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4.582011627</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3.8931900970000002</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3.8229445210000002</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3.9443542699999998</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3.6629400259999998</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4.0513700989999997</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3.7008265690000002</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3.7624882070000001</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3.5589428409999999</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3.4740353740000001</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3.4481832940000001</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4.8162821769999997</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4.587411812</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4.8769024820000002</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4.5655933080000004</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5.444678068</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5.0829532589999999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5.1228183840000003</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4.851273784</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4.0643273320000004</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4.07992344</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3.581581678</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3.6466037650000001</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2.8798490569999999</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2.9967330579999998</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3.526442313</v>
      </c>
      <c r="V133">
        <v>2.6792511729999999</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2.9958026800000002</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1.8003141920000001</v>
      </c>
      <c r="V134">
        <v>0.18157069200000001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0.65664875700000003</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0.803926633</v>
      </c>
      <c r="V135">
        <v>-8.1989214000000005E-2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0.47408602100000002</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0.410114276</v>
      </c>
      <c r="V136">
        <v>0.49225986799999999</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0.94592189299999996</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-0.45718925799999999</v>
      </c>
      <c r="V137">
        <v>1.3278936800000001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1.41535674</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0.97778826600000002</v>
      </c>
      <c r="V138">
        <v>2.54497215</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2.7289758879999999</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1.480314525</v>
      </c>
      <c r="V139">
        <v>2.912716707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3.0803380250000001</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2.2810292259999998</v>
      </c>
      <c r="V140">
        <v>1.471165021</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1.841682582</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2.8069429600000002</v>
      </c>
      <c r="V141">
        <v>-4.4255099999999999E-2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0.48638931099999999</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2.7894843429999998</v>
      </c>
      <c r="V142">
        <v>0.27357717300000001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0.52096889199999996</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2.10817984</v>
      </c>
      <c r="V143">
        <v>-0.57189951500000002</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-0.274386556</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2.113154186</v>
      </c>
      <c r="V144">
        <v>8.5035830000000003E-3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-1.3647586E-2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1.6899937270000001</v>
      </c>
      <c r="V145">
        <v>1.3236286580000001</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1.0919093339999999</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1.0257487270000001</v>
      </c>
      <c r="V146">
        <v>2.3898755550000002</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1.9460076799999999</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1.140568794</v>
      </c>
      <c r="V147">
        <v>4.040466715</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3.4488464319999999</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1.161409774</v>
      </c>
      <c r="V148">
        <v>5.3189568090000003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4.7214724109999997</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1.1508586300000001</v>
      </c>
      <c r="V149">
        <v>5.721063988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5.3766199459999999</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1.546132195</v>
      </c>
      <c r="V150">
        <v>5.2355334129999997</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4.9288348160000002</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2.1596821099999999</v>
      </c>
      <c r="V151">
        <v>5.0107741040000002</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4.836660255</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1.4610445460000001</v>
      </c>
      <c r="V152">
        <v>4.1287119710000004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3.9939784980000002</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1.316977091</v>
      </c>
      <c r="V153">
        <v>3.7337313540000001</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3.5220884799999999</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1.806370732</v>
      </c>
      <c r="V154">
        <v>4.0466453390000003</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3.9454032890000001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1.621643773</v>
      </c>
      <c r="V155">
        <v>4.0961527159999997</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3.8602583240000001</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2.1330112649999999</v>
      </c>
      <c r="V156">
        <v>4.1893446580000004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4.0705539179999999</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2.2241782849999998</v>
      </c>
      <c r="V157">
        <v>3.7847066150000002</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3.5129170090000001</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2.4325122289999999</v>
      </c>
      <c r="V158">
        <v>3.065465578</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3.0547834489999999</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2.3902357090000002</v>
      </c>
      <c r="V159">
        <v>2.614966398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2.5852605710000001</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2.060386877</v>
      </c>
      <c r="V160">
        <v>2.443173104</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2.3472843220000001</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1.851392672</v>
      </c>
      <c r="V161">
        <v>2.124668496</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2.2380615499999998</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2.2041421730000001</v>
      </c>
      <c r="V162">
        <v>3.13732422</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3.2770495230000001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2.4349164189999999</v>
      </c>
      <c r="V163">
        <v>3.512650227</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3.7056550399999999</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3.8012051910000002</v>
      </c>
      <c r="V164">
        <v>4.6598667730000001</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4.978065601</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4.9154622290000001</v>
      </c>
      <c r="V165">
        <v>5.372305485</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5.5034734509999996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4.2790677820000003</v>
      </c>
      <c r="V166">
        <v>4.7867526170000003</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4.5092946039999999</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4.883863786</v>
      </c>
      <c r="V167">
        <v>4.7312122900000002</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4.4549259289999998</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4.2943153829999998</v>
      </c>
      <c r="V168">
        <v>4.131819267</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3.7762257379999999</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4.255249515</v>
      </c>
      <c r="V169">
        <v>4.4730314350000002</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4.193125277</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4.6023267170000004</v>
      </c>
      <c r="V170">
        <v>3.8526419019999998</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3.8874631900000001</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4.3828069569999997</v>
      </c>
      <c r="V171">
        <v>3.6804266370000001</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3.813063997</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4.8466240640000002</v>
      </c>
      <c r="V172">
        <v>3.468912451</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3.6097825760000002</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4.0556064620000001</v>
      </c>
      <c r="V173">
        <v>2.9917189199999998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3.3447151860000002</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3.3719318820000002</v>
      </c>
      <c r="V174">
        <v>3.5292989320000001</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3.8694401919999999</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2.7828267950000001</v>
      </c>
      <c r="V175">
        <v>3.1035743660000001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3.234148121</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1.4433312149999999</v>
      </c>
      <c r="V176">
        <v>1.785488272</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2.487717027</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1.143525589</v>
      </c>
      <c r="V177">
        <v>1.264758066</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1.571897206</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1.02679082</v>
      </c>
      <c r="V178">
        <v>0.97112513</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1.295640661</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0.74081587400000004</v>
      </c>
      <c r="V179">
        <v>0.67777440600000005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1.2546182690000001</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1.437028631</v>
      </c>
      <c r="V180">
        <v>1.5788830359999999</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1.637906302</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2.0979486999999999</v>
      </c>
      <c r="V181">
        <v>2.1028621369999998</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2.457904402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1.7665370460000001</v>
      </c>
      <c r="V182">
        <v>1.944431419</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2.0913762349999998</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1.4956803299999999</v>
      </c>
      <c r="V183">
        <v>2.2045136950000002</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2.2622409540000001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0.61260860800000005</v>
      </c>
      <c r="V184">
        <v>1.978716607</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1.9241199090000001</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-0.81514000600000003</v>
      </c>
      <c r="V185">
        <v>1.3808097800000001</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1.2480636810000001</v>
      </c>
      <c r="AP185">
        <v>-2.7195940840000001</v>
      </c>
      <c r="AT185">
        <v>-4.9268679359999998</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-0.92375764500000002</v>
      </c>
      <c r="V186">
        <v>1.172509166</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1.3990081969999999</v>
      </c>
      <c r="AP186">
        <v>-1.7677233299999999</v>
      </c>
      <c r="AT186">
        <v>-3.1648530290000001</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-0.68942978700000002</v>
      </c>
      <c r="V187">
        <v>0.95706730200000001</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1.2985613890000001</v>
      </c>
      <c r="AP187">
        <v>-0.741093157</v>
      </c>
      <c r="AT187">
        <v>-0.950929307</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-0.27765453099999998</v>
      </c>
      <c r="V188">
        <v>1.47931218</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1.895779498</v>
      </c>
      <c r="AP188">
        <v>-0.24897242</v>
      </c>
      <c r="AT188">
        <v>0.71609370699999997</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1.0483218919999999</v>
      </c>
      <c r="V189">
        <v>2.2661380100000001</v>
      </c>
      <c r="X189">
        <v>2.8255751889999998</v>
      </c>
      <c r="Y189">
        <v>1.4485328369999999</v>
      </c>
      <c r="AB189">
        <v>3.643862215</v>
      </c>
      <c r="AC189">
        <v>4.7413433720000002</v>
      </c>
      <c r="AE189">
        <v>0.91601226099999999</v>
      </c>
      <c r="AF189">
        <v>0.16292970300000001</v>
      </c>
      <c r="AG189">
        <v>9.5604005710000006</v>
      </c>
      <c r="AH189">
        <v>4.9292080460000003</v>
      </c>
      <c r="AJ189">
        <v>3.6784922660000001</v>
      </c>
      <c r="AK189">
        <v>1.9453249690000001</v>
      </c>
      <c r="AL189">
        <v>6.3177382409999998</v>
      </c>
      <c r="AM189">
        <v>6.8502256590000004</v>
      </c>
      <c r="AN189">
        <v>2.6295257140000001</v>
      </c>
      <c r="AP189">
        <v>1.4263210209999999</v>
      </c>
      <c r="AR189">
        <v>5.9738342690000001</v>
      </c>
      <c r="AT189">
        <v>3.6130247849999999</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2.1083720100000001</v>
      </c>
      <c r="V190">
        <v>2.8980179279999998</v>
      </c>
      <c r="X190">
        <v>3.5062109320000001</v>
      </c>
      <c r="Y190">
        <v>0.95861763700000002</v>
      </c>
      <c r="AB190">
        <v>4.8797148640000003</v>
      </c>
      <c r="AC190">
        <v>4.6878555559999997</v>
      </c>
      <c r="AE190">
        <v>1.928126212</v>
      </c>
      <c r="AF190">
        <v>0.24694941000000001</v>
      </c>
      <c r="AG190">
        <v>8.5629789229999993</v>
      </c>
      <c r="AH190">
        <v>4.26791433</v>
      </c>
      <c r="AJ190">
        <v>5.5761400569999999</v>
      </c>
      <c r="AK190">
        <v>2.861042796</v>
      </c>
      <c r="AL190">
        <v>6.9390759409999996</v>
      </c>
      <c r="AM190">
        <v>5.23361287</v>
      </c>
      <c r="AN190">
        <v>2.7637659870000002</v>
      </c>
      <c r="AP190">
        <v>2.6891601600000001</v>
      </c>
      <c r="AR190">
        <v>5.7936380359999999</v>
      </c>
      <c r="AT190">
        <v>3.2994255689999998</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2.7873824979999999</v>
      </c>
      <c r="V191">
        <v>3.4715706439999998</v>
      </c>
      <c r="X191">
        <v>3.8394085329999998</v>
      </c>
      <c r="Y191">
        <v>3.3148751029999999</v>
      </c>
      <c r="AB191">
        <v>6.4162312000000004</v>
      </c>
      <c r="AC191">
        <v>3.7524366150000001</v>
      </c>
      <c r="AE191">
        <v>3.0266599090000001</v>
      </c>
      <c r="AF191">
        <v>2.1333363310000002</v>
      </c>
      <c r="AG191">
        <v>8.3908405330000004</v>
      </c>
      <c r="AH191">
        <v>3.4659694010000002</v>
      </c>
      <c r="AJ191">
        <v>5.3144619860000004</v>
      </c>
      <c r="AK191">
        <v>2.8007548450000002</v>
      </c>
      <c r="AL191">
        <v>3.4092901850000001</v>
      </c>
      <c r="AM191">
        <v>4.9082430300000004</v>
      </c>
      <c r="AN191">
        <v>3.308967252</v>
      </c>
      <c r="AP191">
        <v>2.4410032510000002</v>
      </c>
      <c r="AR191">
        <v>6.5673745480000001</v>
      </c>
      <c r="AT191">
        <v>3.3512051079999998</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3.506622701</v>
      </c>
      <c r="V192">
        <v>3.4114572449999998</v>
      </c>
      <c r="X192">
        <v>3.7342058100000002</v>
      </c>
      <c r="Y192">
        <v>2.2622029910000001</v>
      </c>
      <c r="AB192">
        <v>8.0284883219999994</v>
      </c>
      <c r="AC192">
        <v>2.1922290769999999</v>
      </c>
      <c r="AE192">
        <v>3.2403601750000002</v>
      </c>
      <c r="AF192">
        <v>1.0862311849999999</v>
      </c>
      <c r="AG192">
        <v>10.5357919</v>
      </c>
      <c r="AH192">
        <v>2.6695102519999998</v>
      </c>
      <c r="AJ192">
        <v>5.1491092360000001</v>
      </c>
      <c r="AK192">
        <v>4.4219934969999999</v>
      </c>
      <c r="AL192">
        <v>3.8030479650000002</v>
      </c>
      <c r="AM192">
        <v>5.3215888319999998</v>
      </c>
      <c r="AN192">
        <v>3.4179317230000001</v>
      </c>
      <c r="AP192">
        <v>3.3256759589999998</v>
      </c>
      <c r="AR192">
        <v>6.4727279229999999</v>
      </c>
      <c r="AT192">
        <v>4.8890306539999999</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3.1448488120000002</v>
      </c>
      <c r="V193">
        <v>2.8903869879999999</v>
      </c>
      <c r="X193">
        <v>2.908461333</v>
      </c>
      <c r="Y193">
        <v>3.03725171</v>
      </c>
      <c r="AB193">
        <v>12.106185396000001</v>
      </c>
      <c r="AC193">
        <v>-1.9168586460000001</v>
      </c>
      <c r="AE193">
        <v>3.7010402180000002</v>
      </c>
      <c r="AF193">
        <v>1.3041024139999999</v>
      </c>
      <c r="AG193">
        <v>9.6482497079999998</v>
      </c>
      <c r="AH193">
        <v>2.8991998130000001</v>
      </c>
      <c r="AJ193">
        <v>-1.903920294</v>
      </c>
      <c r="AK193">
        <v>3.5822382500000001</v>
      </c>
      <c r="AL193">
        <v>4.189195571</v>
      </c>
      <c r="AM193">
        <v>5.0096591469999998</v>
      </c>
      <c r="AN193">
        <v>2.821197357</v>
      </c>
      <c r="AP193">
        <v>3.1569404720000001</v>
      </c>
      <c r="AR193">
        <v>6.1900340089999997</v>
      </c>
      <c r="AT193">
        <v>5.0439197690000004</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2.7507683410000001</v>
      </c>
      <c r="V194">
        <v>2.5163532979999998</v>
      </c>
      <c r="X194">
        <v>2.0148276589999998</v>
      </c>
      <c r="Y194">
        <v>2.76173387</v>
      </c>
      <c r="AB194">
        <v>12.508929792</v>
      </c>
      <c r="AC194">
        <v>-0.42434886999999999</v>
      </c>
      <c r="AE194">
        <v>2.8383017920000002</v>
      </c>
      <c r="AF194">
        <v>2.8225685619999998</v>
      </c>
      <c r="AG194">
        <v>10.069263578999999</v>
      </c>
      <c r="AH194">
        <v>3.201401948</v>
      </c>
      <c r="AJ194">
        <v>-8.6227740009999998</v>
      </c>
      <c r="AK194">
        <v>3.207608445</v>
      </c>
      <c r="AL194">
        <v>2.7003072330000002</v>
      </c>
      <c r="AM194">
        <v>5.6466302370000001</v>
      </c>
      <c r="AN194">
        <v>2.6260614759999998</v>
      </c>
      <c r="AP194">
        <v>3.0380996850000002</v>
      </c>
      <c r="AR194">
        <v>6.6604112390000001</v>
      </c>
      <c r="AT194">
        <v>4.4273397680000004</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2.0550153930000001</v>
      </c>
      <c r="V195">
        <v>2.4634960600000002</v>
      </c>
      <c r="X195">
        <v>1.9327304080000001</v>
      </c>
      <c r="Y195">
        <v>0.61570380899999999</v>
      </c>
      <c r="AB195">
        <v>11.271723100000001</v>
      </c>
      <c r="AC195">
        <v>-1.615514245</v>
      </c>
      <c r="AE195">
        <v>2.6726776609999998</v>
      </c>
      <c r="AF195">
        <v>2.8445522369999998</v>
      </c>
      <c r="AG195">
        <v>10.495409042</v>
      </c>
      <c r="AH195">
        <v>3.6966430450000001</v>
      </c>
      <c r="AJ195">
        <v>-7.6036745730000002</v>
      </c>
      <c r="AK195">
        <v>3.2358056130000001</v>
      </c>
      <c r="AL195">
        <v>6.5869570729999998</v>
      </c>
      <c r="AM195">
        <v>4.8257115449999999</v>
      </c>
      <c r="AN195">
        <v>2.5706754439999999</v>
      </c>
      <c r="AP195">
        <v>3.0192699209999998</v>
      </c>
      <c r="AR195">
        <v>5.275525901</v>
      </c>
      <c r="AT195">
        <v>3.876606829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1.118147582</v>
      </c>
      <c r="V196">
        <v>2.1108110500000001</v>
      </c>
      <c r="X196">
        <v>1.621436756</v>
      </c>
      <c r="Y196">
        <v>2.036812447</v>
      </c>
      <c r="AB196">
        <v>10.122695042</v>
      </c>
      <c r="AC196">
        <v>-1.378394015</v>
      </c>
      <c r="AE196">
        <v>2.4131645800000001</v>
      </c>
      <c r="AF196">
        <v>3.5064691080000001</v>
      </c>
      <c r="AG196">
        <v>8.3054064000000007</v>
      </c>
      <c r="AH196">
        <v>4.4061177049999998</v>
      </c>
      <c r="AJ196">
        <v>-6.9164548889999997</v>
      </c>
      <c r="AK196">
        <v>2.9959663249999999</v>
      </c>
      <c r="AL196">
        <v>3.7885761530000002</v>
      </c>
      <c r="AM196">
        <v>4.1469418669999998</v>
      </c>
      <c r="AN196">
        <v>2.1345625620000002</v>
      </c>
      <c r="AP196">
        <v>2.4854236890000001</v>
      </c>
      <c r="AR196">
        <v>5.7841255250000003</v>
      </c>
      <c r="AT196">
        <v>3.267918624</v>
      </c>
      <c r="AV196">
        <v>2.1995799090000001</v>
      </c>
      <c r="AW196">
        <v>1.5456032310000001</v>
      </c>
    </row>
    <row r="197" spans="1:49" x14ac:dyDescent="0.35">
      <c r="A197" t="s">
        <v>261</v>
      </c>
      <c r="B197" s="73">
        <v>35156</v>
      </c>
      <c r="C197">
        <v>-0.77166357100000005</v>
      </c>
      <c r="D197">
        <v>4.3606677749999996</v>
      </c>
      <c r="E197">
        <v>1.784818389</v>
      </c>
      <c r="F197">
        <v>1.026925133</v>
      </c>
      <c r="H197">
        <v>0.65194081800000003</v>
      </c>
      <c r="I197">
        <v>1.0056642870000001</v>
      </c>
      <c r="J197">
        <v>8.3984463900000002</v>
      </c>
      <c r="K197">
        <v>10.9</v>
      </c>
      <c r="L197">
        <v>4.9805952429999998</v>
      </c>
      <c r="M197">
        <v>0.130783017</v>
      </c>
      <c r="N197">
        <v>0.87755667599999998</v>
      </c>
      <c r="O197">
        <v>1.424217091</v>
      </c>
      <c r="P197">
        <v>2.3960428390000001</v>
      </c>
      <c r="Q197">
        <v>0.72962578300000003</v>
      </c>
      <c r="R197">
        <v>1.6502064400000001</v>
      </c>
      <c r="T197">
        <v>4.1164302599999996</v>
      </c>
      <c r="U197">
        <v>1.5122610569999999</v>
      </c>
      <c r="V197">
        <v>2.1361515500000001</v>
      </c>
      <c r="X197">
        <v>1.77687324</v>
      </c>
      <c r="Y197">
        <v>2.6325315859999998</v>
      </c>
      <c r="Z197">
        <v>9.8877979999999997E-3</v>
      </c>
      <c r="AB197">
        <v>7.8315247919999997</v>
      </c>
      <c r="AC197">
        <v>6.101340328</v>
      </c>
      <c r="AD197">
        <v>6.2295615360000003</v>
      </c>
      <c r="AE197">
        <v>1.6413216079999999</v>
      </c>
      <c r="AF197">
        <v>3.2086091410000002</v>
      </c>
      <c r="AG197">
        <v>8.1119510849999994</v>
      </c>
      <c r="AH197">
        <v>4.4175863770000001</v>
      </c>
      <c r="AI197">
        <v>-0.46615540700000002</v>
      </c>
      <c r="AJ197">
        <v>1.4282253519999999</v>
      </c>
      <c r="AK197">
        <v>2.7202935209999999</v>
      </c>
      <c r="AL197">
        <v>6.0691900509999996</v>
      </c>
      <c r="AM197">
        <v>4.3434878860000001</v>
      </c>
      <c r="AN197">
        <v>2.5186283230000002</v>
      </c>
      <c r="AO197">
        <v>8.2788891630000006</v>
      </c>
      <c r="AP197">
        <v>3.1146749059999999</v>
      </c>
      <c r="AR197">
        <v>5.9650912969999998</v>
      </c>
      <c r="AS197">
        <v>1.313901684</v>
      </c>
      <c r="AT197">
        <v>2.6458759440000001</v>
      </c>
      <c r="AV197">
        <v>2.6011039930000002</v>
      </c>
      <c r="AW197">
        <v>3.1688665930000002</v>
      </c>
    </row>
    <row r="198" spans="1:49" x14ac:dyDescent="0.35">
      <c r="A198" t="s">
        <v>262</v>
      </c>
      <c r="B198" s="73">
        <v>35247</v>
      </c>
      <c r="C198">
        <v>5.4362585990000003</v>
      </c>
      <c r="D198">
        <v>4.5877476570000004</v>
      </c>
      <c r="E198">
        <v>2.1011846360000002</v>
      </c>
      <c r="F198">
        <v>1.309798977</v>
      </c>
      <c r="H198">
        <v>1.311865775</v>
      </c>
      <c r="I198">
        <v>0.47077419500000001</v>
      </c>
      <c r="J198">
        <v>6.7390280679999996</v>
      </c>
      <c r="K198">
        <v>9.4</v>
      </c>
      <c r="L198">
        <v>5.2612569669999996</v>
      </c>
      <c r="M198">
        <v>0.74006466900000001</v>
      </c>
      <c r="N198">
        <v>3.90660937</v>
      </c>
      <c r="O198">
        <v>1.5387101679999999</v>
      </c>
      <c r="P198">
        <v>2.516054263</v>
      </c>
      <c r="Q198">
        <v>3.4673073169999999</v>
      </c>
      <c r="R198">
        <v>1.7518642900000001</v>
      </c>
      <c r="T198">
        <v>2.1928688599999999</v>
      </c>
      <c r="U198">
        <v>0.98843515400000004</v>
      </c>
      <c r="V198">
        <v>2.8671499919999999</v>
      </c>
      <c r="X198">
        <v>1.631600546</v>
      </c>
      <c r="Y198">
        <v>2.252642313</v>
      </c>
      <c r="Z198">
        <v>-0.414166123</v>
      </c>
      <c r="AB198">
        <v>7.9635583060000004</v>
      </c>
      <c r="AC198">
        <v>3.9067227249999998</v>
      </c>
      <c r="AD198">
        <v>5.1675518340000002</v>
      </c>
      <c r="AE198">
        <v>1.515923752</v>
      </c>
      <c r="AF198">
        <v>3.5511128630000002</v>
      </c>
      <c r="AG198">
        <v>8.1101791399999996</v>
      </c>
      <c r="AH198">
        <v>-3.9181841720000001</v>
      </c>
      <c r="AI198">
        <v>-1.095501933</v>
      </c>
      <c r="AJ198">
        <v>8.0391446660000003</v>
      </c>
      <c r="AK198">
        <v>3.057056759</v>
      </c>
      <c r="AL198">
        <v>5.0021435079999996</v>
      </c>
      <c r="AM198">
        <v>3.9439655170000001</v>
      </c>
      <c r="AN198">
        <v>3.295023263</v>
      </c>
      <c r="AO198">
        <v>8.4100956950000008</v>
      </c>
      <c r="AP198">
        <v>3.135435389</v>
      </c>
      <c r="AR198">
        <v>5.4532332170000002</v>
      </c>
      <c r="AS198">
        <v>2.277558365</v>
      </c>
      <c r="AT198">
        <v>1.34983355</v>
      </c>
      <c r="AV198">
        <v>4.0021270639999997</v>
      </c>
      <c r="AW198">
        <v>4.0987108829999999</v>
      </c>
    </row>
    <row r="199" spans="1:49" x14ac:dyDescent="0.35">
      <c r="A199" t="s">
        <v>263</v>
      </c>
      <c r="B199" s="73">
        <v>35339</v>
      </c>
      <c r="C199">
        <v>8.2760598040000009</v>
      </c>
      <c r="D199">
        <v>3.0927876470000002</v>
      </c>
      <c r="E199">
        <v>2.22543413</v>
      </c>
      <c r="F199">
        <v>1.1697046499999999</v>
      </c>
      <c r="H199">
        <v>2.0526832650000002</v>
      </c>
      <c r="I199">
        <v>-9.8137805999999994E-2</v>
      </c>
      <c r="J199">
        <v>7.463833953</v>
      </c>
      <c r="K199">
        <v>9.1999999999999993</v>
      </c>
      <c r="L199">
        <v>2.8100257420000001</v>
      </c>
      <c r="M199">
        <v>0.90732426399999999</v>
      </c>
      <c r="N199">
        <v>3.7677123140000002</v>
      </c>
      <c r="O199">
        <v>1.7061939260000001</v>
      </c>
      <c r="P199">
        <v>2.978766115</v>
      </c>
      <c r="Q199">
        <v>7.1198534909999998</v>
      </c>
      <c r="R199">
        <v>1.848919475</v>
      </c>
      <c r="T199">
        <v>3.25219704</v>
      </c>
      <c r="U199">
        <v>1.3375989399999999</v>
      </c>
      <c r="V199">
        <v>2.7380153580000002</v>
      </c>
      <c r="X199">
        <v>1.6937968080000001</v>
      </c>
      <c r="Y199">
        <v>3.088905697</v>
      </c>
      <c r="Z199">
        <v>-0.55180628399999998</v>
      </c>
      <c r="AB199">
        <v>6.2130829930000004</v>
      </c>
      <c r="AC199">
        <v>3.0250678500000001</v>
      </c>
      <c r="AD199">
        <v>5.1906967460000004</v>
      </c>
      <c r="AE199">
        <v>0.96049080600000003</v>
      </c>
      <c r="AF199">
        <v>2.480862503</v>
      </c>
      <c r="AG199">
        <v>7.7745011499999999</v>
      </c>
      <c r="AH199">
        <v>2.470185329</v>
      </c>
      <c r="AI199">
        <v>3.481339915</v>
      </c>
      <c r="AJ199">
        <v>7.8169267140000001</v>
      </c>
      <c r="AK199">
        <v>3.6852796049999998</v>
      </c>
      <c r="AL199">
        <v>6.0090852229999996</v>
      </c>
      <c r="AM199">
        <v>3.6700326429999999</v>
      </c>
      <c r="AN199">
        <v>3.1584554140000001</v>
      </c>
      <c r="AO199">
        <v>6.6292166180000001</v>
      </c>
      <c r="AP199">
        <v>4.0832396019999999</v>
      </c>
      <c r="AR199">
        <v>7.4780744739999996</v>
      </c>
      <c r="AS199">
        <v>3.3794590370000002</v>
      </c>
      <c r="AT199">
        <v>1.3793907590000001</v>
      </c>
      <c r="AV199">
        <v>4.0499213899999997</v>
      </c>
      <c r="AW199">
        <v>4.6447513850000002</v>
      </c>
    </row>
    <row r="200" spans="1:49" x14ac:dyDescent="0.35">
      <c r="A200" t="s">
        <v>264</v>
      </c>
      <c r="B200" s="73">
        <v>35431</v>
      </c>
      <c r="C200">
        <v>9.410196998</v>
      </c>
      <c r="D200">
        <v>4.0729326959999996</v>
      </c>
      <c r="E200">
        <v>2.026844504</v>
      </c>
      <c r="F200">
        <v>1.7578966380000001</v>
      </c>
      <c r="H200">
        <v>2.4547085740000001</v>
      </c>
      <c r="I200">
        <v>0.499259762</v>
      </c>
      <c r="J200">
        <v>6.9195036290000003</v>
      </c>
      <c r="K200">
        <v>10.3</v>
      </c>
      <c r="L200">
        <v>3.6462400370000001</v>
      </c>
      <c r="M200">
        <v>1.6193820480000001</v>
      </c>
      <c r="N200">
        <v>3.049006173</v>
      </c>
      <c r="O200">
        <v>1.820795253</v>
      </c>
      <c r="P200">
        <v>2.7474443339999999</v>
      </c>
      <c r="Q200">
        <v>8.0325961170000006</v>
      </c>
      <c r="R200">
        <v>1.8232308960000001</v>
      </c>
      <c r="T200">
        <v>5.134502586</v>
      </c>
      <c r="U200">
        <v>1.5961480079999999</v>
      </c>
      <c r="V200">
        <v>3.163651336</v>
      </c>
      <c r="X200">
        <v>2.523220126</v>
      </c>
      <c r="Y200">
        <v>3.5811319720000001</v>
      </c>
      <c r="Z200">
        <v>1.114143348</v>
      </c>
      <c r="AB200">
        <v>5.9763274400000004</v>
      </c>
      <c r="AC200">
        <v>5.2631852769999998</v>
      </c>
      <c r="AD200">
        <v>6.091271774</v>
      </c>
      <c r="AE200">
        <v>-7.4189910999999997E-2</v>
      </c>
      <c r="AF200">
        <v>3.3721237510000002</v>
      </c>
      <c r="AG200">
        <v>7.5851555900000003</v>
      </c>
      <c r="AH200">
        <v>2.7512388959999998</v>
      </c>
      <c r="AI200">
        <v>8.5663996420000004</v>
      </c>
      <c r="AJ200">
        <v>8.9843885950000004</v>
      </c>
      <c r="AK200">
        <v>3.6838023940000002</v>
      </c>
      <c r="AL200">
        <v>3.022754655</v>
      </c>
      <c r="AM200">
        <v>4.3242424240000004</v>
      </c>
      <c r="AN200">
        <v>3.5758898170000002</v>
      </c>
      <c r="AO200">
        <v>1.6492731089999999</v>
      </c>
      <c r="AP200">
        <v>3.6746886189999999</v>
      </c>
      <c r="AR200">
        <v>7.5444518399999998</v>
      </c>
      <c r="AS200">
        <v>4.9344465140000002</v>
      </c>
      <c r="AT200">
        <v>0.99264830699999995</v>
      </c>
      <c r="AV200">
        <v>4.4213144519999998</v>
      </c>
      <c r="AW200">
        <v>5.2723973409999996</v>
      </c>
    </row>
    <row r="201" spans="1:49" x14ac:dyDescent="0.35">
      <c r="A201" t="s">
        <v>265</v>
      </c>
      <c r="B201" s="73">
        <v>35521</v>
      </c>
      <c r="C201">
        <v>8.7186427490000007</v>
      </c>
      <c r="D201">
        <v>3.030973801</v>
      </c>
      <c r="E201">
        <v>1.8700381509999999</v>
      </c>
      <c r="F201">
        <v>2.9854071520000001</v>
      </c>
      <c r="G201">
        <v>4.9889746700000002</v>
      </c>
      <c r="H201">
        <v>3.7348895089999998</v>
      </c>
      <c r="I201">
        <v>1.1138019159999999</v>
      </c>
      <c r="J201">
        <v>5.809965161</v>
      </c>
      <c r="K201">
        <v>10.1</v>
      </c>
      <c r="L201">
        <v>0.76990423699999999</v>
      </c>
      <c r="M201">
        <v>1.920072869</v>
      </c>
      <c r="N201">
        <v>4.3267001179999998</v>
      </c>
      <c r="O201">
        <v>1.9497829259999999</v>
      </c>
      <c r="P201">
        <v>3.1806727769999998</v>
      </c>
      <c r="Q201">
        <v>10.951752521</v>
      </c>
      <c r="R201">
        <v>2.0091911759999999</v>
      </c>
      <c r="T201">
        <v>4.4901087049999999</v>
      </c>
      <c r="U201">
        <v>1.2307510180000001</v>
      </c>
      <c r="V201">
        <v>3.165798025</v>
      </c>
      <c r="X201">
        <v>3.6753414919999998</v>
      </c>
      <c r="Y201">
        <v>3.6099204560000002</v>
      </c>
      <c r="Z201">
        <v>1.4956651969999999</v>
      </c>
      <c r="AB201">
        <v>7.3057131689999997</v>
      </c>
      <c r="AC201">
        <v>4.9219291920000003</v>
      </c>
      <c r="AD201">
        <v>5.1877416800000002</v>
      </c>
      <c r="AE201">
        <v>1.3923151999999999E-2</v>
      </c>
      <c r="AF201">
        <v>2.800072524</v>
      </c>
      <c r="AG201">
        <v>6.0648618689999996</v>
      </c>
      <c r="AH201">
        <v>2.1871841120000002</v>
      </c>
      <c r="AI201">
        <v>7.9533090900000003</v>
      </c>
      <c r="AJ201">
        <v>6.3149241050000002</v>
      </c>
      <c r="AK201">
        <v>4.3861176650000004</v>
      </c>
      <c r="AL201">
        <v>4.2792411850000001</v>
      </c>
      <c r="AM201">
        <v>2.4892421709999999</v>
      </c>
      <c r="AN201">
        <v>3.4622322780000001</v>
      </c>
      <c r="AO201">
        <v>5.776769539</v>
      </c>
      <c r="AP201">
        <v>4.5539999690000004</v>
      </c>
      <c r="AR201">
        <v>6.7992072569999999</v>
      </c>
      <c r="AS201">
        <v>4.7913263600000002</v>
      </c>
      <c r="AT201">
        <v>1.2041167820000001</v>
      </c>
      <c r="AV201">
        <v>4.3141345409999996</v>
      </c>
      <c r="AW201">
        <v>3.8375015160000001</v>
      </c>
    </row>
    <row r="202" spans="1:49" x14ac:dyDescent="0.35">
      <c r="A202" t="s">
        <v>266</v>
      </c>
      <c r="B202" s="73">
        <v>35612</v>
      </c>
      <c r="C202">
        <v>7.9303330599999997</v>
      </c>
      <c r="D202">
        <v>5.4348210320000003</v>
      </c>
      <c r="E202">
        <v>1.4261310149999999</v>
      </c>
      <c r="F202">
        <v>3.849557522</v>
      </c>
      <c r="G202">
        <v>4.357090393</v>
      </c>
      <c r="H202">
        <v>4.1813046429999998</v>
      </c>
      <c r="I202">
        <v>1.7493095519999999</v>
      </c>
      <c r="J202">
        <v>6.9480524770000001</v>
      </c>
      <c r="K202">
        <v>10</v>
      </c>
      <c r="L202">
        <v>-0.12189744700000001</v>
      </c>
      <c r="M202">
        <v>1.868803931</v>
      </c>
      <c r="N202">
        <v>3.320563274</v>
      </c>
      <c r="O202">
        <v>2.4831936290000001</v>
      </c>
      <c r="P202">
        <v>3.3532306250000001</v>
      </c>
      <c r="Q202">
        <v>13.679319289</v>
      </c>
      <c r="R202">
        <v>2.5154131999999998</v>
      </c>
      <c r="T202">
        <v>5.2462617219999998</v>
      </c>
      <c r="U202">
        <v>2.1347742040000002</v>
      </c>
      <c r="V202">
        <v>3.064819006</v>
      </c>
      <c r="X202">
        <v>4.7337447560000001</v>
      </c>
      <c r="Y202">
        <v>4.7848213590000004</v>
      </c>
      <c r="Z202">
        <v>3.169431618</v>
      </c>
      <c r="AA202">
        <v>3.2718699999999998</v>
      </c>
      <c r="AB202">
        <v>9.7346165649999996</v>
      </c>
      <c r="AC202">
        <v>5.3293738890000002</v>
      </c>
      <c r="AD202">
        <v>4.4369427999999997</v>
      </c>
      <c r="AE202">
        <v>1.4937161619999999</v>
      </c>
      <c r="AF202">
        <v>0.74535176199999997</v>
      </c>
      <c r="AG202">
        <v>7.6559367079999996</v>
      </c>
      <c r="AH202">
        <v>11.230126650000001</v>
      </c>
      <c r="AI202">
        <v>12.536247806</v>
      </c>
      <c r="AJ202">
        <v>7.3439325560000004</v>
      </c>
      <c r="AK202">
        <v>4.3099945569999996</v>
      </c>
      <c r="AL202">
        <v>6.9550055180000001</v>
      </c>
      <c r="AM202">
        <v>3.5780930660000001</v>
      </c>
      <c r="AN202">
        <v>3.6253574359999998</v>
      </c>
      <c r="AO202">
        <v>5.1461606880000001</v>
      </c>
      <c r="AP202">
        <v>4.2534843499999999</v>
      </c>
      <c r="AR202">
        <v>7.1279025709999999</v>
      </c>
      <c r="AS202">
        <v>5.9331295930000003</v>
      </c>
      <c r="AT202">
        <v>3.257148543</v>
      </c>
      <c r="AV202">
        <v>4.3080749789999997</v>
      </c>
      <c r="AW202">
        <v>3.258806281</v>
      </c>
    </row>
    <row r="203" spans="1:49" x14ac:dyDescent="0.35">
      <c r="A203" t="s">
        <v>267</v>
      </c>
      <c r="B203" s="73">
        <v>35704</v>
      </c>
      <c r="C203">
        <v>8.1630179300000005</v>
      </c>
      <c r="D203">
        <v>4.7328285919999997</v>
      </c>
      <c r="E203">
        <v>2.3111823600000001</v>
      </c>
      <c r="F203">
        <v>4.2847508019999996</v>
      </c>
      <c r="G203">
        <v>1.8788420260000001</v>
      </c>
      <c r="H203">
        <v>4.5112719959999996</v>
      </c>
      <c r="I203">
        <v>2.8916041909999999</v>
      </c>
      <c r="J203">
        <v>8.2844879690000006</v>
      </c>
      <c r="K203">
        <v>8.6</v>
      </c>
      <c r="L203">
        <v>-1.218810406</v>
      </c>
      <c r="M203">
        <v>1.8368702750000001</v>
      </c>
      <c r="N203">
        <v>2.7383265689999998</v>
      </c>
      <c r="O203">
        <v>2.7874946199999999</v>
      </c>
      <c r="P203">
        <v>3.6945386020000002</v>
      </c>
      <c r="Q203">
        <v>13.142515742000001</v>
      </c>
      <c r="R203">
        <v>2.7768773549999999</v>
      </c>
      <c r="T203">
        <v>7.1058599549999997</v>
      </c>
      <c r="U203">
        <v>2.6099022299999999</v>
      </c>
      <c r="V203">
        <v>3.326167893</v>
      </c>
      <c r="X203">
        <v>4.5994859860000004</v>
      </c>
      <c r="Y203">
        <v>5.0277661580000004</v>
      </c>
      <c r="Z203">
        <v>4.2320188539999997</v>
      </c>
      <c r="AA203">
        <v>3.9952100000000002</v>
      </c>
      <c r="AB203">
        <v>12.199479010999999</v>
      </c>
      <c r="AC203">
        <v>6.0655067660000004</v>
      </c>
      <c r="AD203">
        <v>3.1852960330000002</v>
      </c>
      <c r="AE203">
        <v>2.0700272719999999</v>
      </c>
      <c r="AF203">
        <v>0.81394493599999995</v>
      </c>
      <c r="AG203">
        <v>6.632700464</v>
      </c>
      <c r="AH203">
        <v>4.394313167</v>
      </c>
      <c r="AI203">
        <v>10.612122514999999</v>
      </c>
      <c r="AJ203">
        <v>7.5789594080000002</v>
      </c>
      <c r="AK203">
        <v>4.364193094</v>
      </c>
      <c r="AL203">
        <v>3.3761672370000002</v>
      </c>
      <c r="AM203">
        <v>2.669060091</v>
      </c>
      <c r="AN203">
        <v>3.8221199810000002</v>
      </c>
      <c r="AO203">
        <v>4.4482038370000003</v>
      </c>
      <c r="AP203">
        <v>4.1960411479999999</v>
      </c>
      <c r="AR203">
        <v>6.2464417619999999</v>
      </c>
      <c r="AS203">
        <v>5.5321986970000001</v>
      </c>
      <c r="AT203">
        <v>3.6161572870000001</v>
      </c>
      <c r="AV203">
        <v>4.6738025749999998</v>
      </c>
      <c r="AW203">
        <v>2.1444353330000001</v>
      </c>
    </row>
    <row r="204" spans="1:49" x14ac:dyDescent="0.35">
      <c r="A204" t="s">
        <v>268</v>
      </c>
      <c r="B204" s="73">
        <v>35796</v>
      </c>
      <c r="C204">
        <v>7.6628909869999999</v>
      </c>
      <c r="D204">
        <v>5.2755729200000001</v>
      </c>
      <c r="E204">
        <v>3.179171604</v>
      </c>
      <c r="F204">
        <v>4.0450113349999999</v>
      </c>
      <c r="G204">
        <v>3.7245151070000002</v>
      </c>
      <c r="H204">
        <v>4.6802185999999999</v>
      </c>
      <c r="I204">
        <v>3.1497416679999999</v>
      </c>
      <c r="J204">
        <v>9.0268368030000001</v>
      </c>
      <c r="K204">
        <v>8.6</v>
      </c>
      <c r="L204">
        <v>-1.560838508</v>
      </c>
      <c r="M204">
        <v>1.835793338</v>
      </c>
      <c r="N204">
        <v>2.6893725270000002</v>
      </c>
      <c r="O204">
        <v>3.4518080449999999</v>
      </c>
      <c r="P204">
        <v>4.5658017360000001</v>
      </c>
      <c r="Q204">
        <v>14.362157887</v>
      </c>
      <c r="R204">
        <v>3.51058089</v>
      </c>
      <c r="T204">
        <v>8.2339361289999999</v>
      </c>
      <c r="U204">
        <v>3.357567473</v>
      </c>
      <c r="V204">
        <v>3.305810702</v>
      </c>
      <c r="X204">
        <v>5.0751494709999996</v>
      </c>
      <c r="Y204">
        <v>4.9176276630000002</v>
      </c>
      <c r="Z204">
        <v>3.8249454900000002</v>
      </c>
      <c r="AA204">
        <v>4.0108499999999996</v>
      </c>
      <c r="AB204">
        <v>12.633355715</v>
      </c>
      <c r="AC204">
        <v>6.7678763750000002</v>
      </c>
      <c r="AD204">
        <v>3.3057714169999999</v>
      </c>
      <c r="AE204">
        <v>4.2526175119999996</v>
      </c>
      <c r="AF204">
        <v>-0.26216029099999999</v>
      </c>
      <c r="AG204">
        <v>4.3807778529999997</v>
      </c>
      <c r="AH204">
        <v>4.1597021070000002</v>
      </c>
      <c r="AI204">
        <v>5.3711267490000001</v>
      </c>
      <c r="AJ204">
        <v>7.0141862340000003</v>
      </c>
      <c r="AK204">
        <v>4.9569828249999999</v>
      </c>
      <c r="AL204">
        <v>6.5621082350000002</v>
      </c>
      <c r="AM204">
        <v>1.164783455</v>
      </c>
      <c r="AN204">
        <v>3.813138693</v>
      </c>
      <c r="AO204">
        <v>10.031875554999999</v>
      </c>
      <c r="AP204">
        <v>4.6012456019999997</v>
      </c>
      <c r="AR204">
        <v>3.63557358</v>
      </c>
      <c r="AS204">
        <v>4.0686940140000001</v>
      </c>
      <c r="AT204">
        <v>4.9420978529999999</v>
      </c>
      <c r="AV204">
        <v>4.4876844580000004</v>
      </c>
      <c r="AW204">
        <v>1.2090326570000001</v>
      </c>
    </row>
    <row r="205" spans="1:49" x14ac:dyDescent="0.35">
      <c r="A205" t="s">
        <v>269</v>
      </c>
      <c r="B205" s="73">
        <v>35886</v>
      </c>
      <c r="C205">
        <v>5.993873078</v>
      </c>
      <c r="D205">
        <v>5.2962525319999996</v>
      </c>
      <c r="E205">
        <v>3.4002359580000001</v>
      </c>
      <c r="F205">
        <v>3.2801514329999999</v>
      </c>
      <c r="G205">
        <v>0.62222559799999999</v>
      </c>
      <c r="H205">
        <v>4.7765522340000004</v>
      </c>
      <c r="I205">
        <v>3.0717733819999999</v>
      </c>
      <c r="J205">
        <v>7.4656713049999999</v>
      </c>
      <c r="K205">
        <v>7.3</v>
      </c>
      <c r="L205">
        <v>-1.1201704770000001</v>
      </c>
      <c r="M205">
        <v>3.3320481810000002</v>
      </c>
      <c r="N205">
        <v>2.9456331389999999</v>
      </c>
      <c r="O205">
        <v>3.8532472950000001</v>
      </c>
      <c r="P205">
        <v>4.4221078729999999</v>
      </c>
      <c r="Q205">
        <v>11.264362952999999</v>
      </c>
      <c r="R205">
        <v>3.8228371700000001</v>
      </c>
      <c r="T205">
        <v>6.1931278010000002</v>
      </c>
      <c r="U205">
        <v>3.9628058949999998</v>
      </c>
      <c r="V205">
        <v>3.276976967</v>
      </c>
      <c r="X205">
        <v>4.1106981500000002</v>
      </c>
      <c r="Y205">
        <v>5.5748591770000004</v>
      </c>
      <c r="Z205">
        <v>3.7098784060000001</v>
      </c>
      <c r="AA205">
        <v>4.9169499999999999</v>
      </c>
      <c r="AB205">
        <v>10.505120771</v>
      </c>
      <c r="AC205">
        <v>-0.14083517200000001</v>
      </c>
      <c r="AD205">
        <v>3.8591804179999998</v>
      </c>
      <c r="AE205">
        <v>3.0984832459999998</v>
      </c>
      <c r="AF205">
        <v>-1.72769715</v>
      </c>
      <c r="AG205">
        <v>-3.1890635450000002</v>
      </c>
      <c r="AH205">
        <v>4.6161454370000001</v>
      </c>
      <c r="AI205">
        <v>12.403938818</v>
      </c>
      <c r="AJ205">
        <v>7.8065813589999999</v>
      </c>
      <c r="AK205">
        <v>5.2249159440000001</v>
      </c>
      <c r="AL205">
        <v>4.7720676109999998</v>
      </c>
      <c r="AM205">
        <v>1.0088345919999999</v>
      </c>
      <c r="AN205">
        <v>3.6052517050000001</v>
      </c>
      <c r="AO205">
        <v>5.5530338219999997</v>
      </c>
      <c r="AP205">
        <v>4.398434698</v>
      </c>
      <c r="AR205">
        <v>4.4393832199999999</v>
      </c>
      <c r="AS205">
        <v>4.2525967050000002</v>
      </c>
      <c r="AT205">
        <v>4.4283450980000003</v>
      </c>
      <c r="AV205">
        <v>4.8550058829999996</v>
      </c>
      <c r="AW205">
        <v>1.0060257560000001</v>
      </c>
    </row>
    <row r="206" spans="1:49" x14ac:dyDescent="0.35">
      <c r="A206" t="s">
        <v>270</v>
      </c>
      <c r="B206" s="73">
        <v>35977</v>
      </c>
      <c r="C206">
        <v>6.4868224349999997</v>
      </c>
      <c r="D206">
        <v>3.1970376549999999</v>
      </c>
      <c r="E206">
        <v>4.1151493989999999</v>
      </c>
      <c r="F206">
        <v>2.0451640389999999</v>
      </c>
      <c r="G206">
        <v>1.780204565</v>
      </c>
      <c r="H206">
        <v>3.661507904</v>
      </c>
      <c r="I206">
        <v>3.9307372749999998</v>
      </c>
      <c r="J206">
        <v>7.060494104</v>
      </c>
      <c r="K206">
        <v>6.9</v>
      </c>
      <c r="L206">
        <v>-0.62373177899999999</v>
      </c>
      <c r="M206">
        <v>1.5688211439999999</v>
      </c>
      <c r="N206">
        <v>0.44307299100000003</v>
      </c>
      <c r="O206">
        <v>3.0533502530000001</v>
      </c>
      <c r="P206">
        <v>4.6510644819999998</v>
      </c>
      <c r="Q206">
        <v>6.1731221339999998</v>
      </c>
      <c r="R206">
        <v>3.0213990320000002</v>
      </c>
      <c r="T206">
        <v>6.7158987530000003</v>
      </c>
      <c r="U206">
        <v>3.760236565</v>
      </c>
      <c r="V206">
        <v>2.6527011690000002</v>
      </c>
      <c r="X206">
        <v>3.5657939710000002</v>
      </c>
      <c r="Y206">
        <v>4.2545392660000001</v>
      </c>
      <c r="Z206">
        <v>4.1702930079999998</v>
      </c>
      <c r="AA206">
        <v>5.8582799999999997</v>
      </c>
      <c r="AB206">
        <v>8.4423759530000009</v>
      </c>
      <c r="AC206">
        <v>9.191753555</v>
      </c>
      <c r="AD206">
        <v>3.2415066260000001</v>
      </c>
      <c r="AE206">
        <v>2.32191474</v>
      </c>
      <c r="AF206">
        <v>-1.4228352689999999</v>
      </c>
      <c r="AG206">
        <v>-7.263875197</v>
      </c>
      <c r="AH206">
        <v>6.9947089599999996</v>
      </c>
      <c r="AI206">
        <v>7.3977424169999999</v>
      </c>
      <c r="AJ206">
        <v>6.1531187440000004</v>
      </c>
      <c r="AK206">
        <v>4.8858975940000002</v>
      </c>
      <c r="AL206">
        <v>3.4570704170000002</v>
      </c>
      <c r="AM206">
        <v>-0.411793303</v>
      </c>
      <c r="AN206">
        <v>2.759296478</v>
      </c>
      <c r="AO206">
        <v>4.1369865749999999</v>
      </c>
      <c r="AP206">
        <v>5.0472234340000002</v>
      </c>
      <c r="AR206">
        <v>2.9185893009999999</v>
      </c>
      <c r="AS206">
        <v>2.5959673830000001</v>
      </c>
      <c r="AT206">
        <v>4.610406448</v>
      </c>
      <c r="AV206">
        <v>4.0957268410000003</v>
      </c>
      <c r="AW206">
        <v>0.51821165899999999</v>
      </c>
    </row>
    <row r="207" spans="1:49" x14ac:dyDescent="0.35">
      <c r="A207" t="s">
        <v>271</v>
      </c>
      <c r="B207" s="73">
        <v>36069</v>
      </c>
      <c r="C207">
        <v>3.5557256609999999</v>
      </c>
      <c r="D207">
        <v>5.0271784630000003</v>
      </c>
      <c r="E207">
        <v>3.6126103550000002</v>
      </c>
      <c r="F207">
        <v>1.4491988490000001</v>
      </c>
      <c r="G207">
        <v>0.51231233200000004</v>
      </c>
      <c r="H207">
        <v>3.381592962</v>
      </c>
      <c r="I207">
        <v>2.8191732009999999</v>
      </c>
      <c r="J207">
        <v>3.9922085159999998</v>
      </c>
      <c r="K207">
        <v>7.8</v>
      </c>
      <c r="L207">
        <v>-8.0120039999999997E-3</v>
      </c>
      <c r="M207">
        <v>1.7406574210000001</v>
      </c>
      <c r="N207">
        <v>2.5781058319999999</v>
      </c>
      <c r="O207">
        <v>2.8378250399999998</v>
      </c>
      <c r="P207">
        <v>4.3973660710000004</v>
      </c>
      <c r="Q207">
        <v>3.2834233460000002</v>
      </c>
      <c r="R207">
        <v>2.8888900909999999</v>
      </c>
      <c r="T207">
        <v>5.5678996209999996</v>
      </c>
      <c r="U207">
        <v>3.5088857130000002</v>
      </c>
      <c r="V207">
        <v>2.5613365589999999</v>
      </c>
      <c r="X207">
        <v>2.9162298419999999</v>
      </c>
      <c r="Y207">
        <v>2.975993538</v>
      </c>
      <c r="Z207">
        <v>4.17170621</v>
      </c>
      <c r="AA207">
        <v>6.5088699999999999</v>
      </c>
      <c r="AB207">
        <v>10.635638524000001</v>
      </c>
      <c r="AC207">
        <v>9.9700310349999999</v>
      </c>
      <c r="AD207">
        <v>4.2138783599999998</v>
      </c>
      <c r="AE207">
        <v>1.7586680770000001</v>
      </c>
      <c r="AF207">
        <v>-1.4381442820000001</v>
      </c>
      <c r="AG207">
        <v>-6.3848271839999997</v>
      </c>
      <c r="AH207">
        <v>7.750321853</v>
      </c>
      <c r="AI207">
        <v>4.5378078070000001</v>
      </c>
      <c r="AJ207">
        <v>4.7040128839999999</v>
      </c>
      <c r="AK207">
        <v>4.2664461139999998</v>
      </c>
      <c r="AL207">
        <v>1.7019551040000001</v>
      </c>
      <c r="AM207">
        <v>-8.0254520999999995E-2</v>
      </c>
      <c r="AN207">
        <v>2.5374558459999998</v>
      </c>
      <c r="AO207">
        <v>4.6940057150000003</v>
      </c>
      <c r="AP207">
        <v>4.847647587</v>
      </c>
      <c r="AR207">
        <v>0.39774996899999998</v>
      </c>
      <c r="AS207">
        <v>2.4973206270000001</v>
      </c>
      <c r="AT207">
        <v>4.3903196869999999</v>
      </c>
      <c r="AV207">
        <v>4.0977686230000003</v>
      </c>
      <c r="AW207">
        <v>0.19842209599999999</v>
      </c>
    </row>
    <row r="208" spans="1:49" x14ac:dyDescent="0.35">
      <c r="A208" t="s">
        <v>272</v>
      </c>
      <c r="B208" s="73">
        <v>36161</v>
      </c>
      <c r="C208">
        <v>-0.42983384800000002</v>
      </c>
      <c r="D208">
        <v>5.0896809190000001</v>
      </c>
      <c r="E208">
        <v>2.955054568</v>
      </c>
      <c r="F208">
        <v>1.1130361740000001</v>
      </c>
      <c r="G208">
        <v>-1.4684845339999999</v>
      </c>
      <c r="H208">
        <v>3.7833187339999998</v>
      </c>
      <c r="I208">
        <v>1.9132703209999999</v>
      </c>
      <c r="J208">
        <v>-1.471066787</v>
      </c>
      <c r="K208">
        <v>9.1</v>
      </c>
      <c r="L208">
        <v>0.36819944599999999</v>
      </c>
      <c r="M208">
        <v>0.56335124700000005</v>
      </c>
      <c r="N208">
        <v>2.9211877319999999</v>
      </c>
      <c r="O208">
        <v>1.8222166879999999</v>
      </c>
      <c r="P208">
        <v>4.1093773340000004</v>
      </c>
      <c r="Q208">
        <v>-1.6764219149999999</v>
      </c>
      <c r="R208">
        <v>1.9300848289999999</v>
      </c>
      <c r="T208">
        <v>3.4558935549999998</v>
      </c>
      <c r="U208">
        <v>3.1727033019999999</v>
      </c>
      <c r="V208">
        <v>2.6887495110000001</v>
      </c>
      <c r="X208">
        <v>2.0746998759999999</v>
      </c>
      <c r="Y208">
        <v>2.8072379789999999</v>
      </c>
      <c r="Z208">
        <v>3.3558798219999999</v>
      </c>
      <c r="AA208">
        <v>6.2047100000000004</v>
      </c>
      <c r="AB208">
        <v>6.2375043799999998</v>
      </c>
      <c r="AC208">
        <v>10.353641782</v>
      </c>
      <c r="AD208">
        <v>3.1065260449999998</v>
      </c>
      <c r="AE208">
        <v>-0.58699833599999995</v>
      </c>
      <c r="AF208">
        <v>-0.68135035300000002</v>
      </c>
      <c r="AG208">
        <v>-3.6086065399999998</v>
      </c>
      <c r="AH208">
        <v>7.2134153269999999</v>
      </c>
      <c r="AI208">
        <v>1.5403338040000001</v>
      </c>
      <c r="AJ208">
        <v>2.30705239</v>
      </c>
      <c r="AK208">
        <v>3.887741933</v>
      </c>
      <c r="AL208">
        <v>0.793568524</v>
      </c>
      <c r="AM208">
        <v>1.0939473989999999</v>
      </c>
      <c r="AN208">
        <v>2.4349657429999998</v>
      </c>
      <c r="AO208">
        <v>3.2701600919999998</v>
      </c>
      <c r="AP208">
        <v>4.9318881450000003</v>
      </c>
      <c r="AR208">
        <v>8.5649850920000006</v>
      </c>
      <c r="AS208">
        <v>2.9196670949999999</v>
      </c>
      <c r="AT208">
        <v>3.5095126840000002</v>
      </c>
      <c r="AV208">
        <v>4.8795407759999998</v>
      </c>
      <c r="AW208">
        <v>0.28104335499999999</v>
      </c>
    </row>
    <row r="209" spans="1:49" x14ac:dyDescent="0.35">
      <c r="A209" t="s">
        <v>273</v>
      </c>
      <c r="B209" s="73">
        <v>36251</v>
      </c>
      <c r="C209">
        <v>-2.1764920640000001</v>
      </c>
      <c r="D209">
        <v>5.1737769660000001</v>
      </c>
      <c r="E209">
        <v>2.762470204</v>
      </c>
      <c r="F209">
        <v>1.9047993089999999</v>
      </c>
      <c r="G209">
        <v>0.69545424</v>
      </c>
      <c r="H209">
        <v>4.1941041669999999</v>
      </c>
      <c r="I209">
        <v>1.0745448980000001</v>
      </c>
      <c r="J209">
        <v>-2.2375069710000002</v>
      </c>
      <c r="K209">
        <v>8.9</v>
      </c>
      <c r="L209">
        <v>0.39478470100000002</v>
      </c>
      <c r="M209">
        <v>0.77826434200000005</v>
      </c>
      <c r="N209">
        <v>2.3110575400000002</v>
      </c>
      <c r="O209">
        <v>2.2932256500000001</v>
      </c>
      <c r="P209">
        <v>4.2353493880000004</v>
      </c>
      <c r="Q209">
        <v>-3.214104941</v>
      </c>
      <c r="R209">
        <v>2.2996039939999999</v>
      </c>
      <c r="T209">
        <v>5.934262693</v>
      </c>
      <c r="U209">
        <v>3.3076758640000001</v>
      </c>
      <c r="V209">
        <v>2.8143728339999998</v>
      </c>
      <c r="X209">
        <v>2.1934329720000001</v>
      </c>
      <c r="Y209">
        <v>2.3617043550000001</v>
      </c>
      <c r="Z209">
        <v>2.5416493870000001</v>
      </c>
      <c r="AA209">
        <v>6.1985200000000003</v>
      </c>
      <c r="AB209">
        <v>9.715254238</v>
      </c>
      <c r="AC209">
        <v>12.923416974</v>
      </c>
      <c r="AD209">
        <v>0.84116252000000002</v>
      </c>
      <c r="AE209">
        <v>0.86099052600000003</v>
      </c>
      <c r="AF209">
        <v>-0.84367141400000001</v>
      </c>
      <c r="AG209">
        <v>6.5833975389999999</v>
      </c>
      <c r="AH209">
        <v>8.9879145509999994</v>
      </c>
      <c r="AI209">
        <v>-0.63584955099999996</v>
      </c>
      <c r="AJ209">
        <v>2.4005285500000002</v>
      </c>
      <c r="AK209">
        <v>4.2134169999999997</v>
      </c>
      <c r="AL209">
        <v>0.68084412900000002</v>
      </c>
      <c r="AM209">
        <v>2.8144213840000001</v>
      </c>
      <c r="AN209">
        <v>2.705883563</v>
      </c>
      <c r="AO209">
        <v>2.1644123309999999</v>
      </c>
      <c r="AP209">
        <v>4.809349106</v>
      </c>
      <c r="AR209">
        <v>3.103703833</v>
      </c>
      <c r="AS209">
        <v>4.1639671900000002</v>
      </c>
      <c r="AT209">
        <v>4.2291327900000004</v>
      </c>
      <c r="AU209">
        <v>-4.0900212749999998</v>
      </c>
      <c r="AV209">
        <v>4.8218579320000003</v>
      </c>
      <c r="AW209">
        <v>0.97953619599999997</v>
      </c>
    </row>
    <row r="210" spans="1:49" x14ac:dyDescent="0.35">
      <c r="A210" t="s">
        <v>274</v>
      </c>
      <c r="B210" s="73">
        <v>36342</v>
      </c>
      <c r="C210">
        <v>-5.1405824490000001</v>
      </c>
      <c r="D210">
        <v>4.541221148</v>
      </c>
      <c r="E210">
        <v>3.0950341940000001</v>
      </c>
      <c r="F210">
        <v>2.956680585</v>
      </c>
      <c r="G210">
        <v>-0.46478372699999998</v>
      </c>
      <c r="H210">
        <v>5.0096612140000003</v>
      </c>
      <c r="I210">
        <v>0.55335041900000004</v>
      </c>
      <c r="J210">
        <v>-3.6059627249999999</v>
      </c>
      <c r="K210">
        <v>7.9</v>
      </c>
      <c r="L210">
        <v>0.58159202200000004</v>
      </c>
      <c r="M210">
        <v>1.217638475</v>
      </c>
      <c r="N210">
        <v>3.6219454010000001</v>
      </c>
      <c r="O210">
        <v>2.3062131250000002</v>
      </c>
      <c r="P210">
        <v>4.2954016429999999</v>
      </c>
      <c r="Q210">
        <v>-1.809839835</v>
      </c>
      <c r="R210">
        <v>2.3701541669999999</v>
      </c>
      <c r="T210">
        <v>4.3902316719999996</v>
      </c>
      <c r="U210">
        <v>2.7655226580000001</v>
      </c>
      <c r="V210">
        <v>2.9322954409999999</v>
      </c>
      <c r="X210">
        <v>2.0632791749999999</v>
      </c>
      <c r="Y210">
        <v>2.8619761800000001</v>
      </c>
      <c r="Z210">
        <v>2.085800565</v>
      </c>
      <c r="AA210">
        <v>7.5313600000000003</v>
      </c>
      <c r="AB210">
        <v>8.1645607340000002</v>
      </c>
      <c r="AC210">
        <v>0.274471254</v>
      </c>
      <c r="AD210">
        <v>4.9396465909999998</v>
      </c>
      <c r="AE210">
        <v>0.62252004500000002</v>
      </c>
      <c r="AF210">
        <v>-2.7359675999999999E-2</v>
      </c>
      <c r="AG210">
        <v>12.161310752</v>
      </c>
      <c r="AH210">
        <v>7.5635883159999997</v>
      </c>
      <c r="AI210">
        <v>-1.6973894780000001</v>
      </c>
      <c r="AJ210">
        <v>2.2726716680000001</v>
      </c>
      <c r="AK210">
        <v>4.6244231960000004</v>
      </c>
      <c r="AL210">
        <v>-0.40764372300000001</v>
      </c>
      <c r="AM210">
        <v>3.0897343859999999</v>
      </c>
      <c r="AN210">
        <v>2.9659503460000001</v>
      </c>
      <c r="AO210">
        <v>4.2437327290000004</v>
      </c>
      <c r="AP210">
        <v>3.7630549900000001</v>
      </c>
      <c r="AR210">
        <v>1.341829089</v>
      </c>
      <c r="AS210">
        <v>7.6350132359999998</v>
      </c>
      <c r="AT210">
        <v>3.5352205130000001</v>
      </c>
      <c r="AU210">
        <v>-3.8649236720000002</v>
      </c>
      <c r="AV210">
        <v>4.7275315129999997</v>
      </c>
      <c r="AW210">
        <v>1.639478496</v>
      </c>
    </row>
    <row r="211" spans="1:49" x14ac:dyDescent="0.35">
      <c r="A211" t="s">
        <v>275</v>
      </c>
      <c r="B211" s="73">
        <v>36434</v>
      </c>
      <c r="C211">
        <v>-5.1249172659999997</v>
      </c>
      <c r="D211">
        <v>3.7765993249999998</v>
      </c>
      <c r="E211">
        <v>4.0402160690000004</v>
      </c>
      <c r="F211">
        <v>4.1475853459999996</v>
      </c>
      <c r="G211">
        <v>-0.444884432</v>
      </c>
      <c r="H211">
        <v>5.6907144110000001</v>
      </c>
      <c r="I211">
        <v>1.18041215</v>
      </c>
      <c r="J211">
        <v>-0.90690603400000003</v>
      </c>
      <c r="K211">
        <v>7.6</v>
      </c>
      <c r="L211">
        <v>1.470524326</v>
      </c>
      <c r="M211">
        <v>1.868955232</v>
      </c>
      <c r="N211">
        <v>2.3813169689999998</v>
      </c>
      <c r="O211">
        <v>2.845702942</v>
      </c>
      <c r="P211">
        <v>4.6928302039999998</v>
      </c>
      <c r="Q211">
        <v>-0.69614755699999997</v>
      </c>
      <c r="R211">
        <v>2.8676017329999999</v>
      </c>
      <c r="T211">
        <v>3.6449176670000001</v>
      </c>
      <c r="U211">
        <v>3.1474480370000002</v>
      </c>
      <c r="V211">
        <v>3.3141215389999998</v>
      </c>
      <c r="X211">
        <v>3.4671734590000001</v>
      </c>
      <c r="Y211">
        <v>2.8964432969999998</v>
      </c>
      <c r="Z211">
        <v>3.039677357</v>
      </c>
      <c r="AA211">
        <v>6.92997</v>
      </c>
      <c r="AB211">
        <v>8.5013882899999995</v>
      </c>
      <c r="AC211">
        <v>1.3633706830000001</v>
      </c>
      <c r="AD211">
        <v>4.3043476890000001</v>
      </c>
      <c r="AE211">
        <v>1.371027357</v>
      </c>
      <c r="AF211">
        <v>0.32575153600000001</v>
      </c>
      <c r="AG211">
        <v>13.301165229</v>
      </c>
      <c r="AH211">
        <v>8.6475909410000007</v>
      </c>
      <c r="AI211">
        <v>2.7917945080000002</v>
      </c>
      <c r="AJ211">
        <v>2.7400399329999998</v>
      </c>
      <c r="AK211">
        <v>5.1676466049999998</v>
      </c>
      <c r="AL211">
        <v>3.5154589949999999</v>
      </c>
      <c r="AM211">
        <v>5.8518114800000003</v>
      </c>
      <c r="AN211">
        <v>3.4306535610000002</v>
      </c>
      <c r="AO211">
        <v>5.2803872690000002</v>
      </c>
      <c r="AP211">
        <v>3.6315866510000001</v>
      </c>
      <c r="AR211">
        <v>1.5493794000000001</v>
      </c>
      <c r="AS211">
        <v>3.973213721</v>
      </c>
      <c r="AT211">
        <v>3.7916707409999999</v>
      </c>
      <c r="AU211">
        <v>-4.1374980250000002</v>
      </c>
      <c r="AV211">
        <v>4.8002052370000001</v>
      </c>
      <c r="AW211">
        <v>2.9748264569999998</v>
      </c>
    </row>
    <row r="212" spans="1:49" x14ac:dyDescent="0.35">
      <c r="A212" t="s">
        <v>276</v>
      </c>
      <c r="B212" s="73">
        <v>36526</v>
      </c>
      <c r="C212">
        <v>-1.0144211869999999</v>
      </c>
      <c r="D212">
        <v>3.9627592749999998</v>
      </c>
      <c r="E212">
        <v>3.9631028320000001</v>
      </c>
      <c r="F212">
        <v>5.145646191</v>
      </c>
      <c r="G212">
        <v>2.1377448750000001</v>
      </c>
      <c r="H212">
        <v>5.7387065660000003</v>
      </c>
      <c r="I212">
        <v>3.7836317190000002</v>
      </c>
      <c r="J212">
        <v>5.1052534270000001</v>
      </c>
      <c r="K212">
        <v>6.7</v>
      </c>
      <c r="L212">
        <v>2.5454116089999999</v>
      </c>
      <c r="M212">
        <v>3.1214648820000002</v>
      </c>
      <c r="N212">
        <v>3.4814985630000002</v>
      </c>
      <c r="O212">
        <v>3.9030102979999999</v>
      </c>
      <c r="P212">
        <v>4.7294823199999998</v>
      </c>
      <c r="Q212">
        <v>3.7650010649999999</v>
      </c>
      <c r="R212">
        <v>3.893821548</v>
      </c>
      <c r="T212">
        <v>3.6104361489999999</v>
      </c>
      <c r="U212">
        <v>3.9379022570000002</v>
      </c>
      <c r="V212">
        <v>3.6097973030000001</v>
      </c>
      <c r="X212">
        <v>4.3146159119999998</v>
      </c>
      <c r="Y212">
        <v>3.7243394639999998</v>
      </c>
      <c r="Z212">
        <v>4.1512745689999999</v>
      </c>
      <c r="AA212">
        <v>7.2888799999999998</v>
      </c>
      <c r="AB212">
        <v>13.746035450999999</v>
      </c>
      <c r="AC212">
        <v>2.4290549010000002</v>
      </c>
      <c r="AD212">
        <v>5.3839490440000004</v>
      </c>
      <c r="AE212">
        <v>3.4206773109999999</v>
      </c>
      <c r="AF212">
        <v>-0.43534105899999997</v>
      </c>
      <c r="AG212">
        <v>13.732506182</v>
      </c>
      <c r="AH212">
        <v>7.5412695039999997</v>
      </c>
      <c r="AI212">
        <v>9.0324726179999999</v>
      </c>
      <c r="AJ212">
        <v>3.5443062140000001</v>
      </c>
      <c r="AK212">
        <v>5.6801320799999999</v>
      </c>
      <c r="AL212">
        <v>4.7663667350000001</v>
      </c>
      <c r="AM212">
        <v>6.0808316060000003</v>
      </c>
      <c r="AN212">
        <v>3.9283185110000001</v>
      </c>
      <c r="AO212">
        <v>6.4691976550000003</v>
      </c>
      <c r="AP212">
        <v>3.4476035110000001</v>
      </c>
      <c r="AR212">
        <v>-6.010939681</v>
      </c>
      <c r="AS212">
        <v>5.0627920489999996</v>
      </c>
      <c r="AT212">
        <v>4.4768414419999996</v>
      </c>
      <c r="AU212">
        <v>-1.0176265069999999</v>
      </c>
      <c r="AV212">
        <v>4.82762665</v>
      </c>
      <c r="AW212">
        <v>4.007388325</v>
      </c>
    </row>
    <row r="213" spans="1:49" x14ac:dyDescent="0.35">
      <c r="A213" t="s">
        <v>277</v>
      </c>
      <c r="B213" s="73">
        <v>36617</v>
      </c>
      <c r="C213">
        <v>-0.106447324</v>
      </c>
      <c r="D213">
        <v>3.6236277160000001</v>
      </c>
      <c r="E213">
        <v>4.25022111</v>
      </c>
      <c r="F213">
        <v>4.7982425710000003</v>
      </c>
      <c r="G213">
        <v>3.0330507610000002</v>
      </c>
      <c r="H213">
        <v>5.516373336</v>
      </c>
      <c r="I213">
        <v>4.3056181340000004</v>
      </c>
      <c r="J213">
        <v>6.0779062550000003</v>
      </c>
      <c r="K213">
        <v>8.6999999999999993</v>
      </c>
      <c r="L213">
        <v>3.883609758</v>
      </c>
      <c r="M213">
        <v>3.4027264559999999</v>
      </c>
      <c r="N213">
        <v>3.5523246369999999</v>
      </c>
      <c r="O213">
        <v>4.03928464</v>
      </c>
      <c r="P213">
        <v>5.353171143</v>
      </c>
      <c r="Q213">
        <v>8.5286290610000002</v>
      </c>
      <c r="R213">
        <v>4.061364878</v>
      </c>
      <c r="T213">
        <v>4.969214053</v>
      </c>
      <c r="U213">
        <v>3.9062970369999999</v>
      </c>
      <c r="V213">
        <v>3.927540746</v>
      </c>
      <c r="X213">
        <v>4.7742354389999999</v>
      </c>
      <c r="Y213">
        <v>3.3304217739999999</v>
      </c>
      <c r="Z213">
        <v>4.9490593460000003</v>
      </c>
      <c r="AA213">
        <v>7.7907500000000001</v>
      </c>
      <c r="AB213">
        <v>8.6924509870000009</v>
      </c>
      <c r="AC213">
        <v>2.673583335</v>
      </c>
      <c r="AD213">
        <v>8.5483331679999992</v>
      </c>
      <c r="AE213">
        <v>3.8555428570000001</v>
      </c>
      <c r="AF213">
        <v>2.6653641509999999</v>
      </c>
      <c r="AG213">
        <v>12.474605041</v>
      </c>
      <c r="AH213">
        <v>10.085298909</v>
      </c>
      <c r="AI213">
        <v>6.239070355</v>
      </c>
      <c r="AJ213">
        <v>4.4392328360000004</v>
      </c>
      <c r="AK213">
        <v>4.5948738799999997</v>
      </c>
      <c r="AL213">
        <v>5.4477945319999996</v>
      </c>
      <c r="AM213">
        <v>6.387219945</v>
      </c>
      <c r="AN213">
        <v>4.2927514819999999</v>
      </c>
      <c r="AO213">
        <v>6.3752517580000001</v>
      </c>
      <c r="AP213">
        <v>4.3626133400000002</v>
      </c>
      <c r="AR213">
        <v>-1.717250645</v>
      </c>
      <c r="AS213">
        <v>4.4501757790000003</v>
      </c>
      <c r="AT213">
        <v>4.0385059099999996</v>
      </c>
      <c r="AU213">
        <v>2.2652062910000001</v>
      </c>
      <c r="AV213">
        <v>4.2259558589999999</v>
      </c>
      <c r="AW213">
        <v>4.2214284720000004</v>
      </c>
    </row>
    <row r="214" spans="1:49" x14ac:dyDescent="0.35">
      <c r="A214" t="s">
        <v>278</v>
      </c>
      <c r="B214" s="73">
        <v>36708</v>
      </c>
      <c r="C214">
        <v>-0.59039067000000001</v>
      </c>
      <c r="D214">
        <v>4.2379436320000003</v>
      </c>
      <c r="E214">
        <v>3.7118439780000001</v>
      </c>
      <c r="F214">
        <v>4.1276962460000002</v>
      </c>
      <c r="G214">
        <v>3.9386512539999998</v>
      </c>
      <c r="H214">
        <v>5.8847515399999999</v>
      </c>
      <c r="I214">
        <v>4.1649747320000001</v>
      </c>
      <c r="J214">
        <v>6.0238032390000003</v>
      </c>
      <c r="K214">
        <v>9.1</v>
      </c>
      <c r="L214">
        <v>4.3940548159999997</v>
      </c>
      <c r="M214">
        <v>4.2395937039999998</v>
      </c>
      <c r="N214">
        <v>4.1931464649999999</v>
      </c>
      <c r="O214">
        <v>4.5217751350000004</v>
      </c>
      <c r="P214">
        <v>5.4217742400000004</v>
      </c>
      <c r="Q214">
        <v>10.278857199999999</v>
      </c>
      <c r="R214">
        <v>4.5600031139999997</v>
      </c>
      <c r="T214">
        <v>5.2191665670000003</v>
      </c>
      <c r="U214">
        <v>4.6886340540000004</v>
      </c>
      <c r="V214">
        <v>4.6424361840000001</v>
      </c>
      <c r="X214">
        <v>5.0359433080000002</v>
      </c>
      <c r="Y214">
        <v>3.3189444950000002</v>
      </c>
      <c r="Z214">
        <v>4.9909613290000001</v>
      </c>
      <c r="AA214">
        <v>5.2191700000000001</v>
      </c>
      <c r="AB214">
        <v>10.290282428999999</v>
      </c>
      <c r="AC214">
        <v>6.119431981</v>
      </c>
      <c r="AD214">
        <v>7.504381661</v>
      </c>
      <c r="AE214">
        <v>4.3421812209999997</v>
      </c>
      <c r="AF214">
        <v>2.7605027889999998</v>
      </c>
      <c r="AG214">
        <v>9.1874736769999998</v>
      </c>
      <c r="AH214">
        <v>6.3481697109999997</v>
      </c>
      <c r="AI214">
        <v>7.647771316</v>
      </c>
      <c r="AJ214">
        <v>5.3862614210000004</v>
      </c>
      <c r="AK214">
        <v>4.5989091970000002</v>
      </c>
      <c r="AL214">
        <v>3.869861352</v>
      </c>
      <c r="AM214">
        <v>5.5931589649999998</v>
      </c>
      <c r="AN214">
        <v>4.8602432809999998</v>
      </c>
      <c r="AO214">
        <v>5.3664641639999999</v>
      </c>
      <c r="AP214">
        <v>3.2718818559999998</v>
      </c>
      <c r="AR214">
        <v>0.97227297899999998</v>
      </c>
      <c r="AS214">
        <v>1.5751223990000001</v>
      </c>
      <c r="AT214">
        <v>5.9482759639999996</v>
      </c>
      <c r="AU214">
        <v>6.8490946040000003</v>
      </c>
      <c r="AV214">
        <v>5.2446827689999997</v>
      </c>
      <c r="AW214">
        <v>4.3497465819999999</v>
      </c>
    </row>
    <row r="215" spans="1:49" x14ac:dyDescent="0.35">
      <c r="A215" t="s">
        <v>279</v>
      </c>
      <c r="B215" s="73">
        <v>36800</v>
      </c>
      <c r="C215">
        <v>-0.55752517599999996</v>
      </c>
      <c r="D215">
        <v>3.3305797539999999</v>
      </c>
      <c r="E215">
        <v>2.5805199829999999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3.9260468739999999</v>
      </c>
      <c r="P215">
        <v>5.1613920420000001</v>
      </c>
      <c r="Q215">
        <v>10.499842051</v>
      </c>
      <c r="R215">
        <v>3.9735248740000002</v>
      </c>
      <c r="T215">
        <v>6.3000215019999999</v>
      </c>
      <c r="U215">
        <v>4.2545644830000002</v>
      </c>
      <c r="V215">
        <v>3.667958273</v>
      </c>
      <c r="X215">
        <v>3.8267214140000001</v>
      </c>
      <c r="Y215">
        <v>4.848009813</v>
      </c>
      <c r="Z215">
        <v>3.9981332909999998</v>
      </c>
      <c r="AA215">
        <v>5.3047599999999999</v>
      </c>
      <c r="AB215">
        <v>8.3088930970000003</v>
      </c>
      <c r="AC215">
        <v>8.4848611789999993</v>
      </c>
      <c r="AD215">
        <v>10.445719907000001</v>
      </c>
      <c r="AE215">
        <v>4.0650780480000002</v>
      </c>
      <c r="AF215">
        <v>2.2407585220000001</v>
      </c>
      <c r="AG215">
        <v>9.1592371569999997</v>
      </c>
      <c r="AH215">
        <v>5.1765102220000001</v>
      </c>
      <c r="AI215">
        <v>7.1538110039999996</v>
      </c>
      <c r="AJ215">
        <v>5.4320659210000004</v>
      </c>
      <c r="AK215">
        <v>4.0292995060000001</v>
      </c>
      <c r="AL215">
        <v>2.760764397</v>
      </c>
      <c r="AM215">
        <v>3.1245765699999999</v>
      </c>
      <c r="AN215">
        <v>4.1586827939999997</v>
      </c>
      <c r="AO215">
        <v>3.6577198960000001</v>
      </c>
      <c r="AP215">
        <v>3.7673411749999999</v>
      </c>
      <c r="AR215">
        <v>2.221126076</v>
      </c>
      <c r="AS215">
        <v>5.5733947060000002</v>
      </c>
      <c r="AT215">
        <v>5.988362306</v>
      </c>
      <c r="AU215">
        <v>10.300768391</v>
      </c>
      <c r="AV215">
        <v>3.9740844960000001</v>
      </c>
      <c r="AW215">
        <v>4.2449725249999997</v>
      </c>
    </row>
    <row r="216" spans="1:49" x14ac:dyDescent="0.35">
      <c r="A216" t="s">
        <v>280</v>
      </c>
      <c r="B216" s="73">
        <v>36892</v>
      </c>
      <c r="C216">
        <v>-1.8935236049999999</v>
      </c>
      <c r="D216">
        <v>1.2291725410000001</v>
      </c>
      <c r="E216">
        <v>3.6002138320000001</v>
      </c>
      <c r="F216">
        <v>2.9024691360000001</v>
      </c>
      <c r="G216">
        <v>4.9296870620000002</v>
      </c>
      <c r="H216">
        <v>4.0306702640000003</v>
      </c>
      <c r="I216">
        <v>3.3838822660000001</v>
      </c>
      <c r="J216">
        <v>3.9484653110000001</v>
      </c>
      <c r="K216">
        <v>7.5</v>
      </c>
      <c r="L216">
        <v>4.1142394299999996</v>
      </c>
      <c r="M216">
        <v>1.9013399289999999</v>
      </c>
      <c r="N216">
        <v>3.4080580610000002</v>
      </c>
      <c r="O216">
        <v>3.443261004</v>
      </c>
      <c r="P216">
        <v>5.0540509890000003</v>
      </c>
      <c r="Q216">
        <v>10.133563129000001</v>
      </c>
      <c r="R216">
        <v>3.4724073600000001</v>
      </c>
      <c r="T216">
        <v>6.5215331409999999</v>
      </c>
      <c r="U216">
        <v>3.6269801959999999</v>
      </c>
      <c r="V216">
        <v>3.0208269670000001</v>
      </c>
      <c r="X216">
        <v>2.7822637270000001</v>
      </c>
      <c r="Y216">
        <v>4.6622546160000002</v>
      </c>
      <c r="Z216">
        <v>4.7419177560000003</v>
      </c>
      <c r="AA216">
        <v>3.6380599999999998</v>
      </c>
      <c r="AB216">
        <v>6.9798452490000003</v>
      </c>
      <c r="AC216">
        <v>2.8018028250000002</v>
      </c>
      <c r="AD216">
        <v>8.5329081210000002</v>
      </c>
      <c r="AE216">
        <v>4.1050517549999999</v>
      </c>
      <c r="AF216">
        <v>3.2009074239999999</v>
      </c>
      <c r="AG216">
        <v>5.752766405</v>
      </c>
      <c r="AH216">
        <v>6.228152058</v>
      </c>
      <c r="AI216">
        <v>2.457691101</v>
      </c>
      <c r="AJ216">
        <v>3.5691042550000001</v>
      </c>
      <c r="AK216">
        <v>3.919383045</v>
      </c>
      <c r="AL216">
        <v>1.0544078830000001</v>
      </c>
      <c r="AM216">
        <v>2.0722891570000002</v>
      </c>
      <c r="AN216">
        <v>3.392755325</v>
      </c>
      <c r="AO216">
        <v>3.991334889</v>
      </c>
      <c r="AP216">
        <v>3.8654236829999999</v>
      </c>
      <c r="AR216">
        <v>3.2689337730000001</v>
      </c>
      <c r="AS216">
        <v>4.570427477</v>
      </c>
      <c r="AT216">
        <v>3.723874629</v>
      </c>
      <c r="AU216">
        <v>8.6398569419999998</v>
      </c>
      <c r="AV216">
        <v>2.9016204719999998</v>
      </c>
      <c r="AW216">
        <v>3.9881983710000002</v>
      </c>
    </row>
    <row r="217" spans="1:49" x14ac:dyDescent="0.35">
      <c r="A217" t="s">
        <v>281</v>
      </c>
      <c r="B217" s="73">
        <v>36982</v>
      </c>
      <c r="C217">
        <v>-1.397726021</v>
      </c>
      <c r="D217">
        <v>1.868474631</v>
      </c>
      <c r="E217">
        <v>2.4246979870000001</v>
      </c>
      <c r="F217">
        <v>2.2335000489999999</v>
      </c>
      <c r="G217">
        <v>4.2645860449999997</v>
      </c>
      <c r="H217">
        <v>2.9349821249999999</v>
      </c>
      <c r="I217">
        <v>2.5583403929999999</v>
      </c>
      <c r="J217">
        <v>3.6930304669999998</v>
      </c>
      <c r="K217">
        <v>9.5</v>
      </c>
      <c r="L217">
        <v>3.9705325299999998</v>
      </c>
      <c r="M217">
        <v>2.4963678759999999</v>
      </c>
      <c r="N217">
        <v>1.297581844</v>
      </c>
      <c r="O217">
        <v>3.1931014129999999</v>
      </c>
      <c r="P217">
        <v>4.4975796209999999</v>
      </c>
      <c r="Q217">
        <v>7.6345762580000001</v>
      </c>
      <c r="R217">
        <v>3.152942957</v>
      </c>
      <c r="T217">
        <v>3.9426770640000002</v>
      </c>
      <c r="U217">
        <v>3.0698805939999998</v>
      </c>
      <c r="V217">
        <v>2.446458137</v>
      </c>
      <c r="X217">
        <v>2.4724409839999999</v>
      </c>
      <c r="Y217">
        <v>5.5570850160000003</v>
      </c>
      <c r="Z217">
        <v>4.6045677319999996</v>
      </c>
      <c r="AA217">
        <v>2.0556999999999999</v>
      </c>
      <c r="AB217">
        <v>7.6343902689999998</v>
      </c>
      <c r="AC217">
        <v>3.3932980000000001</v>
      </c>
      <c r="AD217">
        <v>4.9488004700000001</v>
      </c>
      <c r="AE217">
        <v>3.5726112799999998</v>
      </c>
      <c r="AF217">
        <v>2.2261224230000001</v>
      </c>
      <c r="AG217">
        <v>5.0579225250000004</v>
      </c>
      <c r="AH217">
        <v>2.6482949480000002</v>
      </c>
      <c r="AI217">
        <v>3.8937806199999998</v>
      </c>
      <c r="AJ217">
        <v>1.684103342</v>
      </c>
      <c r="AK217">
        <v>3.3883473799999999</v>
      </c>
      <c r="AL217">
        <v>0.72772093299999996</v>
      </c>
      <c r="AM217">
        <v>0.93948750400000003</v>
      </c>
      <c r="AN217">
        <v>2.6090020319999998</v>
      </c>
      <c r="AO217">
        <v>2.9050239489999998</v>
      </c>
      <c r="AP217">
        <v>1.2865530599999999</v>
      </c>
      <c r="AR217">
        <v>2.9048784250000002</v>
      </c>
      <c r="AS217">
        <v>4.7068753660000002</v>
      </c>
      <c r="AT217">
        <v>3.369291912</v>
      </c>
      <c r="AU217">
        <v>1.4738609680000001</v>
      </c>
      <c r="AV217">
        <v>2.195542847</v>
      </c>
      <c r="AW217">
        <v>3.4184222970000002</v>
      </c>
    </row>
    <row r="218" spans="1:49" x14ac:dyDescent="0.35">
      <c r="A218" t="s">
        <v>282</v>
      </c>
      <c r="B218" s="73">
        <v>37073</v>
      </c>
      <c r="C218">
        <v>-0.61697928899999999</v>
      </c>
      <c r="D218">
        <v>1.763667262</v>
      </c>
      <c r="E218">
        <v>1.529629557</v>
      </c>
      <c r="F218">
        <v>1.521366065</v>
      </c>
      <c r="G218">
        <v>2.2994290180000001</v>
      </c>
      <c r="H218">
        <v>2.0000249349999999</v>
      </c>
      <c r="I218">
        <v>2.5574672270000001</v>
      </c>
      <c r="J218">
        <v>4.4659499660000002</v>
      </c>
      <c r="K218">
        <v>8.6</v>
      </c>
      <c r="L218">
        <v>3.2263072909999999</v>
      </c>
      <c r="M218">
        <v>1.6262679600000001</v>
      </c>
      <c r="N218">
        <v>0.64632245799999999</v>
      </c>
      <c r="O218">
        <v>2.3443492190000002</v>
      </c>
      <c r="P218">
        <v>3.9682211660000002</v>
      </c>
      <c r="Q218">
        <v>5.1354704230000001</v>
      </c>
      <c r="R218">
        <v>2.2585940440000001</v>
      </c>
      <c r="T218">
        <v>3.2710920379999999</v>
      </c>
      <c r="U218">
        <v>2.1493715789999999</v>
      </c>
      <c r="V218">
        <v>1.367334533</v>
      </c>
      <c r="X218">
        <v>2.1783085290000002</v>
      </c>
      <c r="Y218">
        <v>4.3170669449999997</v>
      </c>
      <c r="Z218">
        <v>4.3344623259999997</v>
      </c>
      <c r="AA218">
        <v>4.0395099999999999</v>
      </c>
      <c r="AB218">
        <v>6.0914736700000001</v>
      </c>
      <c r="AC218">
        <v>5.5781414680000001</v>
      </c>
      <c r="AD218">
        <v>1.476870586</v>
      </c>
      <c r="AE218">
        <v>2.3736736519999999</v>
      </c>
      <c r="AF218">
        <v>0.98598502099999996</v>
      </c>
      <c r="AG218">
        <v>5.0230569850000002</v>
      </c>
      <c r="AH218">
        <v>2.7140566019999999</v>
      </c>
      <c r="AI218">
        <v>8.9551479670000003</v>
      </c>
      <c r="AJ218">
        <v>-0.36222171399999997</v>
      </c>
      <c r="AK218">
        <v>2.7634846720000001</v>
      </c>
      <c r="AL218">
        <v>2.028877155</v>
      </c>
      <c r="AM218">
        <v>2.3187105959999998</v>
      </c>
      <c r="AN218">
        <v>1.4771067710000001</v>
      </c>
      <c r="AO218">
        <v>1.4840603450000001</v>
      </c>
      <c r="AP218">
        <v>2.8097831050000002</v>
      </c>
      <c r="AR218">
        <v>2.971900271</v>
      </c>
      <c r="AS218">
        <v>3.3763792760000002</v>
      </c>
      <c r="AT218">
        <v>0.87100193699999995</v>
      </c>
      <c r="AU218">
        <v>-7.0600679099999999</v>
      </c>
      <c r="AV218">
        <v>0.99193295699999995</v>
      </c>
      <c r="AW218">
        <v>2.9877310829999999</v>
      </c>
    </row>
    <row r="219" spans="1:49" x14ac:dyDescent="0.35">
      <c r="A219" t="s">
        <v>283</v>
      </c>
      <c r="B219" s="73">
        <v>37165</v>
      </c>
      <c r="C219">
        <v>-4.9917471659999997</v>
      </c>
      <c r="D219">
        <v>2.6731943880000002</v>
      </c>
      <c r="E219">
        <v>1.0249908590000001</v>
      </c>
      <c r="F219">
        <v>0.86014731499999997</v>
      </c>
      <c r="G219">
        <v>0.57776500600000003</v>
      </c>
      <c r="H219">
        <v>0.90588392600000001</v>
      </c>
      <c r="I219">
        <v>1.5648427620000001</v>
      </c>
      <c r="J219">
        <v>2.6236346130000001</v>
      </c>
      <c r="K219">
        <v>8</v>
      </c>
      <c r="L219">
        <v>2.3431123739999999</v>
      </c>
      <c r="M219">
        <v>1.461672775</v>
      </c>
      <c r="N219">
        <v>1.270204581</v>
      </c>
      <c r="O219">
        <v>1.860613933</v>
      </c>
      <c r="P219">
        <v>3.8158713720000002</v>
      </c>
      <c r="Q219">
        <v>5.9987887960000004</v>
      </c>
      <c r="R219">
        <v>1.842519145</v>
      </c>
      <c r="T219">
        <v>2.3216613480000001</v>
      </c>
      <c r="U219">
        <v>1.7224556900000001</v>
      </c>
      <c r="V219">
        <v>0.78266153999999999</v>
      </c>
      <c r="X219">
        <v>2.1275605209999999</v>
      </c>
      <c r="Y219">
        <v>4.0643412909999999</v>
      </c>
      <c r="Z219">
        <v>4.3648714719999999</v>
      </c>
      <c r="AA219">
        <v>3.94624</v>
      </c>
      <c r="AB219">
        <v>3.310838929</v>
      </c>
      <c r="AC219">
        <v>1.7807681999999998E-2</v>
      </c>
      <c r="AD219">
        <v>-2.5684851659999999</v>
      </c>
      <c r="AE219">
        <v>1.4260360030000001</v>
      </c>
      <c r="AF219">
        <v>-0.139929106</v>
      </c>
      <c r="AG219">
        <v>3.5876551980000002</v>
      </c>
      <c r="AH219">
        <v>2.40733446</v>
      </c>
      <c r="AI219">
        <v>3.40679781</v>
      </c>
      <c r="AJ219">
        <v>-1.152998003</v>
      </c>
      <c r="AK219">
        <v>2.0995866950000002</v>
      </c>
      <c r="AL219">
        <v>2.2927904510000001</v>
      </c>
      <c r="AM219">
        <v>2.690912913</v>
      </c>
      <c r="AN219">
        <v>0.89695184800000005</v>
      </c>
      <c r="AO219">
        <v>1.6447736500000001</v>
      </c>
      <c r="AP219">
        <v>1.4737829280000001</v>
      </c>
      <c r="AR219">
        <v>2.7431649180000002</v>
      </c>
      <c r="AS219">
        <v>2.828068102</v>
      </c>
      <c r="AT219">
        <v>0.474727173</v>
      </c>
      <c r="AU219">
        <v>-7.2775891540000002</v>
      </c>
      <c r="AV219">
        <v>0.48735236700000001</v>
      </c>
      <c r="AW219">
        <v>2.2487530549999999</v>
      </c>
    </row>
    <row r="220" spans="1:49" x14ac:dyDescent="0.35">
      <c r="A220" t="s">
        <v>284</v>
      </c>
      <c r="B220" s="73">
        <v>37257</v>
      </c>
      <c r="C220">
        <v>-10.676443041000001</v>
      </c>
      <c r="D220">
        <v>4.3098817580000004</v>
      </c>
      <c r="E220">
        <v>0.105973571</v>
      </c>
      <c r="F220">
        <v>-0.215954218</v>
      </c>
      <c r="G220">
        <v>-0.89521340400000005</v>
      </c>
      <c r="H220">
        <v>1.346715383</v>
      </c>
      <c r="I220">
        <v>-9.0503285000000003E-2</v>
      </c>
      <c r="J220">
        <v>2.0667400919999999</v>
      </c>
      <c r="K220">
        <v>7.5</v>
      </c>
      <c r="L220">
        <v>2.6132100779999998</v>
      </c>
      <c r="M220">
        <v>1.679252897</v>
      </c>
      <c r="N220">
        <v>9.1785342000000006E-2</v>
      </c>
      <c r="O220">
        <v>1.274658442</v>
      </c>
      <c r="P220">
        <v>3.468421266</v>
      </c>
      <c r="Q220">
        <v>5.187265805</v>
      </c>
      <c r="R220">
        <v>1.2920198860000001</v>
      </c>
      <c r="T220">
        <v>0.96070451700000004</v>
      </c>
      <c r="U220">
        <v>0.83078634799999995</v>
      </c>
      <c r="V220">
        <v>0.25626155699999997</v>
      </c>
      <c r="X220">
        <v>1.8564377569999999</v>
      </c>
      <c r="Y220">
        <v>2.8802126440000002</v>
      </c>
      <c r="Z220">
        <v>3.2058618110000001</v>
      </c>
      <c r="AA220">
        <v>6.2881999999999998</v>
      </c>
      <c r="AB220">
        <v>4.1723935890000003</v>
      </c>
      <c r="AC220">
        <v>7.1206316689999998</v>
      </c>
      <c r="AD220">
        <v>-2.949407404</v>
      </c>
      <c r="AE220">
        <v>-0.27359541500000001</v>
      </c>
      <c r="AF220">
        <v>-1.4430394929999999</v>
      </c>
      <c r="AG220">
        <v>5.7566119650000003</v>
      </c>
      <c r="AH220">
        <v>4.4730133109999999</v>
      </c>
      <c r="AI220">
        <v>8.129961303</v>
      </c>
      <c r="AJ220">
        <v>-0.926051077</v>
      </c>
      <c r="AK220">
        <v>1.1146564859999999</v>
      </c>
      <c r="AL220">
        <v>3.145174844</v>
      </c>
      <c r="AM220">
        <v>4.0237120969999998</v>
      </c>
      <c r="AN220">
        <v>0.48453925199999998</v>
      </c>
      <c r="AO220">
        <v>-0.12668151999999999</v>
      </c>
      <c r="AP220">
        <v>2.2092510619999999</v>
      </c>
      <c r="AR220">
        <v>4.3815862049999996</v>
      </c>
      <c r="AS220">
        <v>3.1503149399999999</v>
      </c>
      <c r="AT220">
        <v>1.599407217</v>
      </c>
      <c r="AU220">
        <v>-10.129126144000001</v>
      </c>
      <c r="AV220">
        <v>0.170642236</v>
      </c>
      <c r="AW220">
        <v>2.1659898750000002</v>
      </c>
    </row>
    <row r="221" spans="1:49" x14ac:dyDescent="0.35">
      <c r="A221" t="s">
        <v>285</v>
      </c>
      <c r="B221" s="73">
        <v>37347</v>
      </c>
      <c r="C221">
        <v>-15.219743824</v>
      </c>
      <c r="D221">
        <v>4.0179186769999999</v>
      </c>
      <c r="E221">
        <v>1.32116108</v>
      </c>
      <c r="F221">
        <v>0.58514592700000001</v>
      </c>
      <c r="G221">
        <v>1.09083814</v>
      </c>
      <c r="H221">
        <v>2.309048819</v>
      </c>
      <c r="I221">
        <v>0.10309526400000001</v>
      </c>
      <c r="J221">
        <v>2.209362343</v>
      </c>
      <c r="K221">
        <v>8.9</v>
      </c>
      <c r="L221">
        <v>1.2111991639999999</v>
      </c>
      <c r="M221">
        <v>-0.84765621899999999</v>
      </c>
      <c r="N221">
        <v>1.156465893</v>
      </c>
      <c r="O221">
        <v>0.41429545200000001</v>
      </c>
      <c r="P221">
        <v>2.8172711939999999</v>
      </c>
      <c r="Q221">
        <v>4.4139326030000001</v>
      </c>
      <c r="R221">
        <v>0.56044865300000002</v>
      </c>
      <c r="T221">
        <v>1.126430168</v>
      </c>
      <c r="U221">
        <v>0.90214748700000003</v>
      </c>
      <c r="V221">
        <v>0.42836904599999998</v>
      </c>
      <c r="X221">
        <v>1.342345197</v>
      </c>
      <c r="Y221">
        <v>2.4525552749999999</v>
      </c>
      <c r="Z221">
        <v>4.7991717679999999</v>
      </c>
      <c r="AA221">
        <v>6.5698699999999999</v>
      </c>
      <c r="AB221">
        <v>4.5627829059999998</v>
      </c>
      <c r="AC221">
        <v>0.439576629</v>
      </c>
      <c r="AD221">
        <v>-1.508982813</v>
      </c>
      <c r="AE221">
        <v>-0.69972418999999997</v>
      </c>
      <c r="AF221">
        <v>-1.9999037799999999</v>
      </c>
      <c r="AG221">
        <v>7.1345765419999996</v>
      </c>
      <c r="AH221">
        <v>3.226006935</v>
      </c>
      <c r="AI221">
        <v>5.6725082430000002</v>
      </c>
      <c r="AJ221">
        <v>-1.619024064</v>
      </c>
      <c r="AK221">
        <v>0.38873254600000001</v>
      </c>
      <c r="AL221">
        <v>1.022359641</v>
      </c>
      <c r="AM221">
        <v>4.5961985930000004</v>
      </c>
      <c r="AN221">
        <v>0.78607203599999997</v>
      </c>
      <c r="AO221">
        <v>0.87356404099999996</v>
      </c>
      <c r="AP221">
        <v>2.7121519489999999</v>
      </c>
      <c r="AR221">
        <v>3.973475841</v>
      </c>
      <c r="AS221">
        <v>3.251252322</v>
      </c>
      <c r="AT221">
        <v>1.131936458</v>
      </c>
      <c r="AU221">
        <v>-1.6959707850000001</v>
      </c>
      <c r="AV221">
        <v>1.3288120480000001</v>
      </c>
      <c r="AW221">
        <v>2.6447575589999999</v>
      </c>
    </row>
    <row r="222" spans="1:49" x14ac:dyDescent="0.35">
      <c r="A222" t="s">
        <v>286</v>
      </c>
      <c r="B222" s="73">
        <v>37438</v>
      </c>
      <c r="C222">
        <v>-14.147871056</v>
      </c>
      <c r="D222">
        <v>4.9597161410000004</v>
      </c>
      <c r="E222">
        <v>1.9574326230000001</v>
      </c>
      <c r="F222">
        <v>1.42783499</v>
      </c>
      <c r="G222">
        <v>1.930705637</v>
      </c>
      <c r="H222">
        <v>2.6354387780000001</v>
      </c>
      <c r="I222">
        <v>-7.9377788000000005E-2</v>
      </c>
      <c r="J222">
        <v>2.0521740610000001</v>
      </c>
      <c r="K222">
        <v>8.8000000000000007</v>
      </c>
      <c r="L222">
        <v>1.48364568</v>
      </c>
      <c r="M222">
        <v>-0.371752743</v>
      </c>
      <c r="N222">
        <v>0.65505192400000001</v>
      </c>
      <c r="O222">
        <v>0.84671759199999996</v>
      </c>
      <c r="P222">
        <v>2.894485768</v>
      </c>
      <c r="Q222">
        <v>7.9312116359999996</v>
      </c>
      <c r="R222">
        <v>1.016616236</v>
      </c>
      <c r="T222">
        <v>2.0048186380000002</v>
      </c>
      <c r="U222">
        <v>1.1830696869999999</v>
      </c>
      <c r="V222">
        <v>0.82429059500000001</v>
      </c>
      <c r="X222">
        <v>1.5037575860000001</v>
      </c>
      <c r="Y222">
        <v>5.0225698220000004</v>
      </c>
      <c r="Z222">
        <v>4.5263393379999997</v>
      </c>
      <c r="AA222">
        <v>5.0481699999999998</v>
      </c>
      <c r="AB222">
        <v>3.853322608</v>
      </c>
      <c r="AC222">
        <v>0.83099911199999998</v>
      </c>
      <c r="AD222">
        <v>-0.63660371199999999</v>
      </c>
      <c r="AE222">
        <v>1.0105050000000001E-2</v>
      </c>
      <c r="AF222">
        <v>-0.46307031700000001</v>
      </c>
      <c r="AG222">
        <v>7.6773988439999998</v>
      </c>
      <c r="AH222">
        <v>6.3657351770000004</v>
      </c>
      <c r="AI222">
        <v>4.9404158310000001</v>
      </c>
      <c r="AJ222">
        <v>-0.188882194</v>
      </c>
      <c r="AK222">
        <v>0.23151022800000001</v>
      </c>
      <c r="AL222">
        <v>3.3117779239999998</v>
      </c>
      <c r="AM222">
        <v>4.4988140659999996</v>
      </c>
      <c r="AN222">
        <v>1.439054716</v>
      </c>
      <c r="AO222">
        <v>1.875556811</v>
      </c>
      <c r="AP222">
        <v>1.2559850130000001</v>
      </c>
      <c r="AR222">
        <v>3.920804811</v>
      </c>
      <c r="AS222">
        <v>2.739964472</v>
      </c>
      <c r="AT222">
        <v>2.661357974</v>
      </c>
      <c r="AU222">
        <v>7.7675409220000002</v>
      </c>
      <c r="AV222">
        <v>1.3228839020000001</v>
      </c>
      <c r="AW222">
        <v>3.4303290679999998</v>
      </c>
    </row>
    <row r="223" spans="1:49" x14ac:dyDescent="0.35">
      <c r="A223" t="s">
        <v>287</v>
      </c>
      <c r="B223" s="73">
        <v>37530</v>
      </c>
      <c r="C223">
        <v>-9.897878081</v>
      </c>
      <c r="D223">
        <v>4.0527540130000004</v>
      </c>
      <c r="E223">
        <v>2.1269215720000001</v>
      </c>
      <c r="F223">
        <v>2.1656617100000002</v>
      </c>
      <c r="G223">
        <v>3.8851654849999999</v>
      </c>
      <c r="H223">
        <v>3.5927041059999998</v>
      </c>
      <c r="I223">
        <v>-9.1811608000000003E-2</v>
      </c>
      <c r="J223">
        <v>3.406971333</v>
      </c>
      <c r="K223">
        <v>9.6</v>
      </c>
      <c r="L223">
        <v>1.690923749</v>
      </c>
      <c r="M223">
        <v>0.30267800099999997</v>
      </c>
      <c r="N223">
        <v>9.8620025E-2</v>
      </c>
      <c r="O223">
        <v>1.127149044</v>
      </c>
      <c r="P223">
        <v>2.573236589</v>
      </c>
      <c r="Q223">
        <v>7.8670740620000004</v>
      </c>
      <c r="R223">
        <v>1.2728000960000001</v>
      </c>
      <c r="T223">
        <v>1.126803875</v>
      </c>
      <c r="U223">
        <v>1.156012445</v>
      </c>
      <c r="V223">
        <v>1.605123627</v>
      </c>
      <c r="X223">
        <v>1.7723001030000001</v>
      </c>
      <c r="Y223">
        <v>3.943039937</v>
      </c>
      <c r="Z223">
        <v>4.55538139</v>
      </c>
      <c r="AA223">
        <v>4.3806500000000002</v>
      </c>
      <c r="AB223">
        <v>6.4234261119999996</v>
      </c>
      <c r="AC223">
        <v>2.4690396159999999</v>
      </c>
      <c r="AD223">
        <v>0.45788913399999998</v>
      </c>
      <c r="AE223">
        <v>0.53338512400000004</v>
      </c>
      <c r="AF223">
        <v>0.95161777299999994</v>
      </c>
      <c r="AG223">
        <v>8.3909467919999994</v>
      </c>
      <c r="AH223">
        <v>3.2276442259999998</v>
      </c>
      <c r="AI223">
        <v>8.5261456100000004</v>
      </c>
      <c r="AJ223">
        <v>0.37438125900000002</v>
      </c>
      <c r="AK223">
        <v>0.212975631</v>
      </c>
      <c r="AL223">
        <v>0.530945161</v>
      </c>
      <c r="AM223">
        <v>4.9618711299999996</v>
      </c>
      <c r="AN223">
        <v>2.037139426</v>
      </c>
      <c r="AO223">
        <v>2.3453611410000001</v>
      </c>
      <c r="AP223">
        <v>0.64939600500000005</v>
      </c>
      <c r="AR223">
        <v>5.8514098270000003</v>
      </c>
      <c r="AS223">
        <v>3.4212498419999999</v>
      </c>
      <c r="AT223">
        <v>2.895463162</v>
      </c>
      <c r="AU223">
        <v>7.8896032150000002</v>
      </c>
      <c r="AV223">
        <v>2.1406699900000001</v>
      </c>
      <c r="AW223">
        <v>4.3237458149999997</v>
      </c>
    </row>
    <row r="224" spans="1:49" x14ac:dyDescent="0.35">
      <c r="A224" t="s">
        <v>288</v>
      </c>
      <c r="B224" s="73">
        <v>37622</v>
      </c>
      <c r="C224">
        <v>-3.4831756490000001</v>
      </c>
      <c r="D224">
        <v>3.6397273860000001</v>
      </c>
      <c r="E224">
        <v>1.433470059</v>
      </c>
      <c r="F224">
        <v>2.6499621260000001</v>
      </c>
      <c r="G224">
        <v>5.2071531699999998</v>
      </c>
      <c r="H224">
        <v>3.5307100930000002</v>
      </c>
      <c r="I224">
        <v>-0.183354867</v>
      </c>
      <c r="J224">
        <v>4.2585701150000004</v>
      </c>
      <c r="K224">
        <v>9.1</v>
      </c>
      <c r="L224">
        <v>1.6123357620000001</v>
      </c>
      <c r="M224">
        <v>0.25632850099999999</v>
      </c>
      <c r="N224">
        <v>-3.4579327999999999E-2</v>
      </c>
      <c r="O224">
        <v>1.2659236190000001</v>
      </c>
      <c r="P224">
        <v>2.6423426829999999</v>
      </c>
      <c r="Q224">
        <v>7.0856313489999998</v>
      </c>
      <c r="R224">
        <v>1.392427036</v>
      </c>
      <c r="T224">
        <v>2.5661358179999998</v>
      </c>
      <c r="U224">
        <v>1.455383933</v>
      </c>
      <c r="V224">
        <v>1.7459576139999999</v>
      </c>
      <c r="X224">
        <v>2.4588004219999999</v>
      </c>
      <c r="Y224">
        <v>4.4677284549999996</v>
      </c>
      <c r="Z224">
        <v>5.0578248779999999</v>
      </c>
      <c r="AA224">
        <v>2.11781</v>
      </c>
      <c r="AB224">
        <v>6.0703810200000001</v>
      </c>
      <c r="AC224">
        <v>-1.3936604269999999</v>
      </c>
      <c r="AD224">
        <v>0.66448180400000001</v>
      </c>
      <c r="AE224">
        <v>1.1618885919999999</v>
      </c>
      <c r="AF224">
        <v>1.580458812</v>
      </c>
      <c r="AG224">
        <v>7.6823850499999997</v>
      </c>
      <c r="AH224">
        <v>0.242984006</v>
      </c>
      <c r="AI224">
        <v>9.3032283820000004</v>
      </c>
      <c r="AJ224">
        <v>1.2558744239999999</v>
      </c>
      <c r="AK224">
        <v>4.0300272999999998E-2</v>
      </c>
      <c r="AL224">
        <v>0.78944968699999996</v>
      </c>
      <c r="AM224">
        <v>4.8439154770000004</v>
      </c>
      <c r="AN224">
        <v>2.2177754150000002</v>
      </c>
      <c r="AO224">
        <v>2.8730447479999999</v>
      </c>
      <c r="AP224">
        <v>-1.4802233300000001</v>
      </c>
      <c r="AR224">
        <v>4.2870444369999996</v>
      </c>
      <c r="AS224">
        <v>4.19219952</v>
      </c>
      <c r="AT224">
        <v>2.1991741839999999</v>
      </c>
      <c r="AU224">
        <v>12.077725729999999</v>
      </c>
      <c r="AV224">
        <v>1.9912861850000001</v>
      </c>
      <c r="AW224">
        <v>4.388621949</v>
      </c>
    </row>
    <row r="225" spans="1:49" x14ac:dyDescent="0.35">
      <c r="A225" t="s">
        <v>289</v>
      </c>
      <c r="B225" s="73">
        <v>37712</v>
      </c>
      <c r="C225">
        <v>5.274229353</v>
      </c>
      <c r="D225">
        <v>3.059128641</v>
      </c>
      <c r="E225">
        <v>1.0945578869999999</v>
      </c>
      <c r="F225">
        <v>1.5068068569999999</v>
      </c>
      <c r="G225">
        <v>2.244825525</v>
      </c>
      <c r="H225">
        <v>2.5810371669999999</v>
      </c>
      <c r="I225">
        <v>-0.6724734</v>
      </c>
      <c r="J225">
        <v>4.8619890149999998</v>
      </c>
      <c r="K225">
        <v>11.1</v>
      </c>
      <c r="L225">
        <v>2.887060918</v>
      </c>
      <c r="M225">
        <v>-0.71727730300000003</v>
      </c>
      <c r="N225">
        <v>0.53488712900000002</v>
      </c>
      <c r="O225">
        <v>0.80262883900000004</v>
      </c>
      <c r="P225">
        <v>3.1594619389999998</v>
      </c>
      <c r="Q225">
        <v>8.783747258</v>
      </c>
      <c r="R225">
        <v>1.002669502</v>
      </c>
      <c r="T225">
        <v>1.1795343140000001</v>
      </c>
      <c r="U225">
        <v>0.98081491399999998</v>
      </c>
      <c r="V225">
        <v>1.385134981</v>
      </c>
      <c r="X225">
        <v>2.7508175590000001</v>
      </c>
      <c r="Y225">
        <v>5.7784367750000003</v>
      </c>
      <c r="Z225">
        <v>3.505478439</v>
      </c>
      <c r="AA225">
        <v>3.5805899999999999</v>
      </c>
      <c r="AB225">
        <v>3.772510048</v>
      </c>
      <c r="AC225">
        <v>6.3169921950000001</v>
      </c>
      <c r="AD225">
        <v>1.516190964</v>
      </c>
      <c r="AE225">
        <v>0.63622931800000004</v>
      </c>
      <c r="AF225">
        <v>1.472043121</v>
      </c>
      <c r="AG225">
        <v>4.3182279120000002</v>
      </c>
      <c r="AH225">
        <v>-0.30210705700000001</v>
      </c>
      <c r="AI225">
        <v>10.036929485</v>
      </c>
      <c r="AJ225">
        <v>2.180685612</v>
      </c>
      <c r="AK225">
        <v>0.67193139499999999</v>
      </c>
      <c r="AL225">
        <v>1.674218929</v>
      </c>
      <c r="AM225">
        <v>4.566700827</v>
      </c>
      <c r="AN225">
        <v>1.8541240590000001</v>
      </c>
      <c r="AO225">
        <v>2.5860661519999999</v>
      </c>
      <c r="AP225">
        <v>-1.5517664680000001</v>
      </c>
      <c r="AR225">
        <v>5.8079004919999999</v>
      </c>
      <c r="AS225">
        <v>2.6129502160000002</v>
      </c>
      <c r="AT225">
        <v>3.5262185029999999</v>
      </c>
      <c r="AU225">
        <v>8.0882987750000002</v>
      </c>
      <c r="AV225">
        <v>1.6761889400000001</v>
      </c>
      <c r="AW225">
        <v>3.9226323839999999</v>
      </c>
    </row>
    <row r="226" spans="1:49" x14ac:dyDescent="0.35">
      <c r="A226" t="s">
        <v>290</v>
      </c>
      <c r="B226" s="73">
        <v>37803</v>
      </c>
      <c r="C226">
        <v>8.1469202010000004</v>
      </c>
      <c r="D226">
        <v>1.739596999</v>
      </c>
      <c r="E226">
        <v>0.73434031799999999</v>
      </c>
      <c r="F226">
        <v>0.86047940999999994</v>
      </c>
      <c r="G226">
        <v>1.0847884750000001</v>
      </c>
      <c r="H226">
        <v>1.8296107960000001</v>
      </c>
      <c r="I226">
        <v>-1.140524002</v>
      </c>
      <c r="J226">
        <v>5.1170549340000004</v>
      </c>
      <c r="K226">
        <v>9.1</v>
      </c>
      <c r="L226">
        <v>3.4505458400000002</v>
      </c>
      <c r="M226">
        <v>-1.040675899</v>
      </c>
      <c r="N226">
        <v>-0.39022355600000003</v>
      </c>
      <c r="O226">
        <v>0.37252465000000001</v>
      </c>
      <c r="P226">
        <v>2.8585656089999998</v>
      </c>
      <c r="Q226">
        <v>7.5421194089999997</v>
      </c>
      <c r="R226">
        <v>0.56468559500000004</v>
      </c>
      <c r="T226">
        <v>1.629539742</v>
      </c>
      <c r="U226">
        <v>0.36459455000000002</v>
      </c>
      <c r="V226">
        <v>1.3759759309999999</v>
      </c>
      <c r="X226">
        <v>3.0885729689999999</v>
      </c>
      <c r="Y226">
        <v>5.2951285600000002</v>
      </c>
      <c r="Z226">
        <v>4.0042459199999998</v>
      </c>
      <c r="AA226">
        <v>5.5461299999999998</v>
      </c>
      <c r="AB226">
        <v>3.9380357300000002</v>
      </c>
      <c r="AC226">
        <v>-0.31568254800000001</v>
      </c>
      <c r="AD226">
        <v>0.76193853</v>
      </c>
      <c r="AE226">
        <v>0.13973305499999999</v>
      </c>
      <c r="AF226">
        <v>1.3463781669999999</v>
      </c>
      <c r="AG226">
        <v>2.3035458499999999</v>
      </c>
      <c r="AH226">
        <v>0.434553878</v>
      </c>
      <c r="AI226">
        <v>8.4979513820000001</v>
      </c>
      <c r="AJ226">
        <v>1.4977079369999999</v>
      </c>
      <c r="AK226">
        <v>-2.3899152E-2</v>
      </c>
      <c r="AL226">
        <v>-0.87624676800000001</v>
      </c>
      <c r="AM226">
        <v>3.720425332</v>
      </c>
      <c r="AN226">
        <v>1.578275004</v>
      </c>
      <c r="AO226">
        <v>3.5828300880000001</v>
      </c>
      <c r="AP226">
        <v>-1.9719000099999999</v>
      </c>
      <c r="AR226">
        <v>6.3371438830000004</v>
      </c>
      <c r="AS226">
        <v>3.0848302080000001</v>
      </c>
      <c r="AT226">
        <v>1.34243869</v>
      </c>
      <c r="AU226">
        <v>3.9642978769999999</v>
      </c>
      <c r="AV226">
        <v>1.956993642</v>
      </c>
      <c r="AW226">
        <v>3.1216897989999999</v>
      </c>
    </row>
    <row r="227" spans="1:49" x14ac:dyDescent="0.35">
      <c r="A227" t="s">
        <v>291</v>
      </c>
      <c r="B227" s="73">
        <v>37895</v>
      </c>
      <c r="C227">
        <v>10.707165721999999</v>
      </c>
      <c r="D227">
        <v>3.202256051</v>
      </c>
      <c r="E227">
        <v>0.77236483899999997</v>
      </c>
      <c r="F227">
        <v>0.733625686</v>
      </c>
      <c r="G227">
        <v>0.65950594500000004</v>
      </c>
      <c r="H227">
        <v>1.3331146899999999</v>
      </c>
      <c r="I227">
        <v>-6.2376800000000003E-2</v>
      </c>
      <c r="J227">
        <v>4.6698054369999999</v>
      </c>
      <c r="K227">
        <v>10</v>
      </c>
      <c r="L227">
        <v>3.9011962050000002</v>
      </c>
      <c r="M227">
        <v>-0.74571463299999996</v>
      </c>
      <c r="N227">
        <v>-0.38683434</v>
      </c>
      <c r="O227">
        <v>0.52834518699999999</v>
      </c>
      <c r="P227">
        <v>2.90247711</v>
      </c>
      <c r="Q227">
        <v>6.465869337</v>
      </c>
      <c r="R227">
        <v>0.75455304099999998</v>
      </c>
      <c r="T227">
        <v>3.0864465679999999</v>
      </c>
      <c r="U227">
        <v>0.79203981499999998</v>
      </c>
      <c r="V227">
        <v>2.0226432820000002</v>
      </c>
      <c r="X227">
        <v>3.3543930789999998</v>
      </c>
      <c r="Y227">
        <v>5.3477605940000004</v>
      </c>
      <c r="Z227">
        <v>4.2848342920000002</v>
      </c>
      <c r="AA227">
        <v>7.6850500000000004</v>
      </c>
      <c r="AB227">
        <v>1.840652508</v>
      </c>
      <c r="AC227">
        <v>0.73506209600000005</v>
      </c>
      <c r="AD227">
        <v>1.633567899</v>
      </c>
      <c r="AE227">
        <v>-0.14851776699999999</v>
      </c>
      <c r="AF227">
        <v>1.3270538169999999</v>
      </c>
      <c r="AG227">
        <v>2.2141562349999999</v>
      </c>
      <c r="AH227">
        <v>3.100756718</v>
      </c>
      <c r="AI227">
        <v>9.5239083719999993</v>
      </c>
      <c r="AJ227">
        <v>0.66499129700000004</v>
      </c>
      <c r="AK227">
        <v>-9.0331270000000005E-2</v>
      </c>
      <c r="AL227">
        <v>2.0371153689999999</v>
      </c>
      <c r="AM227">
        <v>4.7004900410000001</v>
      </c>
      <c r="AN227">
        <v>2.1330180580000002</v>
      </c>
      <c r="AO227">
        <v>3.9343948950000001</v>
      </c>
      <c r="AP227">
        <v>-0.65138245100000003</v>
      </c>
      <c r="AR227">
        <v>4.4084160260000003</v>
      </c>
      <c r="AS227">
        <v>3.3806508289999999</v>
      </c>
      <c r="AT227">
        <v>2.192295165</v>
      </c>
      <c r="AU227">
        <v>5.4870934240000002</v>
      </c>
      <c r="AV227">
        <v>3.2399083019999999</v>
      </c>
      <c r="AW227">
        <v>2.52095906</v>
      </c>
    </row>
    <row r="228" spans="1:49" x14ac:dyDescent="0.35">
      <c r="A228" t="s">
        <v>292</v>
      </c>
      <c r="B228" s="73">
        <v>37987</v>
      </c>
      <c r="C228">
        <v>11.646839589000001</v>
      </c>
      <c r="D228">
        <v>4.0639933260000003</v>
      </c>
      <c r="E228">
        <v>1.2729252980000001</v>
      </c>
      <c r="F228">
        <v>1.0565153730000001</v>
      </c>
      <c r="G228">
        <v>0.68412945700000005</v>
      </c>
      <c r="H228">
        <v>1.475555706</v>
      </c>
      <c r="I228">
        <v>1.5430707880000001</v>
      </c>
      <c r="J228">
        <v>3.7302712379999998</v>
      </c>
      <c r="K228">
        <v>10</v>
      </c>
      <c r="L228">
        <v>4.0560623920000003</v>
      </c>
      <c r="M228">
        <v>-0.33994105000000002</v>
      </c>
      <c r="N228">
        <v>1.8049206820000001</v>
      </c>
      <c r="O228">
        <v>1.0260818199999999</v>
      </c>
      <c r="P228">
        <v>3.0088083339999998</v>
      </c>
      <c r="Q228">
        <v>8.4519277030000008</v>
      </c>
      <c r="R228">
        <v>1.265742449</v>
      </c>
      <c r="T228">
        <v>2.113220514</v>
      </c>
      <c r="U228">
        <v>1.2404316870000001</v>
      </c>
      <c r="V228">
        <v>2.7625673690000001</v>
      </c>
      <c r="X228">
        <v>3.292148359</v>
      </c>
      <c r="Y228">
        <v>6.7759668309999999</v>
      </c>
      <c r="Z228">
        <v>4.0983774339999997</v>
      </c>
      <c r="AA228">
        <v>11.133620000000001</v>
      </c>
      <c r="AB228">
        <v>6.5987470669999997</v>
      </c>
      <c r="AC228">
        <v>1.9675002210000001</v>
      </c>
      <c r="AD228">
        <v>2.2751551210000001</v>
      </c>
      <c r="AE228">
        <v>0.30539938500000002</v>
      </c>
      <c r="AF228">
        <v>2.1501017939999998</v>
      </c>
      <c r="AG228">
        <v>3.7733173820000001</v>
      </c>
      <c r="AH228">
        <v>7.3558727079999997</v>
      </c>
      <c r="AI228">
        <v>6.619172356</v>
      </c>
      <c r="AJ228">
        <v>1.5347713119999999</v>
      </c>
      <c r="AK228">
        <v>0.29448898000000001</v>
      </c>
      <c r="AL228">
        <v>0.92683780599999999</v>
      </c>
      <c r="AM228">
        <v>4.6489814569999997</v>
      </c>
      <c r="AN228">
        <v>2.8725493129999999</v>
      </c>
      <c r="AO228">
        <v>4.180913372</v>
      </c>
      <c r="AP228">
        <v>0.47393297699999998</v>
      </c>
      <c r="AR228">
        <v>5.4712745570000001</v>
      </c>
      <c r="AS228">
        <v>2.153686934</v>
      </c>
      <c r="AT228">
        <v>2.6770670810000001</v>
      </c>
      <c r="AU228">
        <v>6.405673062</v>
      </c>
      <c r="AV228">
        <v>4.2950765200000003</v>
      </c>
      <c r="AW228">
        <v>2.261629374</v>
      </c>
    </row>
    <row r="229" spans="1:49" x14ac:dyDescent="0.35">
      <c r="A229" t="s">
        <v>293</v>
      </c>
      <c r="B229" s="73">
        <v>38078</v>
      </c>
      <c r="C229">
        <v>11.125009024000001</v>
      </c>
      <c r="D229">
        <v>4.6634154700000003</v>
      </c>
      <c r="E229">
        <v>1.5904185120000001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1.8620013150000001</v>
      </c>
      <c r="P229">
        <v>2.673776599</v>
      </c>
      <c r="Q229">
        <v>8.4787208120000006</v>
      </c>
      <c r="R229">
        <v>2.1194239079999999</v>
      </c>
      <c r="T229">
        <v>4.152698172</v>
      </c>
      <c r="U229">
        <v>2.1310801709999998</v>
      </c>
      <c r="V229">
        <v>3.144536607</v>
      </c>
      <c r="X229">
        <v>3.0985889320000002</v>
      </c>
      <c r="Y229">
        <v>6.5109272929999999</v>
      </c>
      <c r="Z229">
        <v>4.9104696580000002</v>
      </c>
      <c r="AA229">
        <v>9.0831300000000006</v>
      </c>
      <c r="AB229">
        <v>6.2793588089999997</v>
      </c>
      <c r="AC229">
        <v>4.2945812930000002</v>
      </c>
      <c r="AD229">
        <v>3.4521294600000001</v>
      </c>
      <c r="AE229">
        <v>0.92751008199999996</v>
      </c>
      <c r="AF229">
        <v>2.833317412</v>
      </c>
      <c r="AG229">
        <v>5.7726765809999998</v>
      </c>
      <c r="AH229">
        <v>6.8029662330000003</v>
      </c>
      <c r="AI229">
        <v>9.5384879520000005</v>
      </c>
      <c r="AJ229">
        <v>2.7205019460000002</v>
      </c>
      <c r="AK229">
        <v>1.184842103</v>
      </c>
      <c r="AL229">
        <v>4.5289933019999999</v>
      </c>
      <c r="AM229">
        <v>5.7991107709999996</v>
      </c>
      <c r="AN229">
        <v>3.445318892</v>
      </c>
      <c r="AO229">
        <v>6.0999391489999999</v>
      </c>
      <c r="AP229">
        <v>1.2747061150000001</v>
      </c>
      <c r="AQ229">
        <v>6.6646506250000002</v>
      </c>
      <c r="AR229">
        <v>4.9736715309999999</v>
      </c>
      <c r="AS229">
        <v>3.1844221460000002</v>
      </c>
      <c r="AT229">
        <v>3.3758893959999998</v>
      </c>
      <c r="AU229">
        <v>9.2450567899999996</v>
      </c>
      <c r="AV229">
        <v>4.3533820859999999</v>
      </c>
      <c r="AW229">
        <v>3.154859005</v>
      </c>
    </row>
    <row r="230" spans="1:49" x14ac:dyDescent="0.35">
      <c r="A230" t="s">
        <v>294</v>
      </c>
      <c r="B230" s="73">
        <v>38169</v>
      </c>
      <c r="C230">
        <v>6.5886600089999998</v>
      </c>
      <c r="D230">
        <v>4.9237897820000001</v>
      </c>
      <c r="E230">
        <v>2.1795383089999998</v>
      </c>
      <c r="F230">
        <v>3.6094313969999998</v>
      </c>
      <c r="G230">
        <v>6.2589679230000002</v>
      </c>
      <c r="H230">
        <v>3.0032687450000002</v>
      </c>
      <c r="I230">
        <v>3.6210523110000001</v>
      </c>
      <c r="J230">
        <v>5.3236469179999997</v>
      </c>
      <c r="K230">
        <v>11.6</v>
      </c>
      <c r="L230">
        <v>4.2545012160000004</v>
      </c>
      <c r="M230">
        <v>1.390380548</v>
      </c>
      <c r="N230">
        <v>3.3166103059999998</v>
      </c>
      <c r="O230">
        <v>2.3947579540000001</v>
      </c>
      <c r="P230">
        <v>3.1397115289999999</v>
      </c>
      <c r="Q230">
        <v>5.3029080620000002</v>
      </c>
      <c r="R230">
        <v>2.6472496780000001</v>
      </c>
      <c r="T230">
        <v>3.558635394</v>
      </c>
      <c r="U230">
        <v>2.9396089160000001</v>
      </c>
      <c r="V230">
        <v>3.157801697</v>
      </c>
      <c r="X230">
        <v>2.7640853179999998</v>
      </c>
      <c r="Y230">
        <v>4.637807316</v>
      </c>
      <c r="Z230">
        <v>5.0292885199999997</v>
      </c>
      <c r="AA230">
        <v>8.9182000000000006</v>
      </c>
      <c r="AB230">
        <v>7.8727315930000001</v>
      </c>
      <c r="AC230">
        <v>6.4288804129999999</v>
      </c>
      <c r="AD230">
        <v>4.4157697230000004</v>
      </c>
      <c r="AE230">
        <v>1.4625919380000001</v>
      </c>
      <c r="AF230">
        <v>2.1461017080000002</v>
      </c>
      <c r="AG230">
        <v>6.7447940510000004</v>
      </c>
      <c r="AH230">
        <v>4.3103939499999999</v>
      </c>
      <c r="AI230">
        <v>8.3592107690000006</v>
      </c>
      <c r="AJ230">
        <v>4.0671122320000004</v>
      </c>
      <c r="AK230">
        <v>2.0195915609999999</v>
      </c>
      <c r="AL230">
        <v>5.2464148359999996</v>
      </c>
      <c r="AM230">
        <v>6.1939535220000002</v>
      </c>
      <c r="AN230">
        <v>3.6278759300000001</v>
      </c>
      <c r="AO230">
        <v>5.2316122800000002</v>
      </c>
      <c r="AP230">
        <v>2.7674509939999998</v>
      </c>
      <c r="AQ230">
        <v>7.5209468179999996</v>
      </c>
      <c r="AR230">
        <v>4.0950848789999998</v>
      </c>
      <c r="AS230">
        <v>4.4956749030000003</v>
      </c>
      <c r="AT230">
        <v>4.3835855199999996</v>
      </c>
      <c r="AU230">
        <v>11.413895422</v>
      </c>
      <c r="AV230">
        <v>4.2348116490000001</v>
      </c>
      <c r="AW230">
        <v>4.088062152</v>
      </c>
    </row>
    <row r="231" spans="1:49" x14ac:dyDescent="0.35">
      <c r="A231" t="s">
        <v>295</v>
      </c>
      <c r="B231" s="73">
        <v>38261</v>
      </c>
      <c r="C231">
        <v>9.2962944039999993</v>
      </c>
      <c r="D231">
        <v>3.9175677819999999</v>
      </c>
      <c r="E231">
        <v>3.0901157530000001</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2.0976951509999999</v>
      </c>
      <c r="P231">
        <v>3.4280170320000001</v>
      </c>
      <c r="Q231">
        <v>6.6352675909999999</v>
      </c>
      <c r="R231">
        <v>2.3408479990000002</v>
      </c>
      <c r="T231">
        <v>3.4449337350000002</v>
      </c>
      <c r="U231">
        <v>2.525989934</v>
      </c>
      <c r="V231">
        <v>2.70697594</v>
      </c>
      <c r="X231">
        <v>2.0040189860000002</v>
      </c>
      <c r="Y231">
        <v>5.3731311120000003</v>
      </c>
      <c r="Z231">
        <v>5.0382294610000002</v>
      </c>
      <c r="AA231">
        <v>8.6693599999999993</v>
      </c>
      <c r="AB231">
        <v>6.8338726940000001</v>
      </c>
      <c r="AC231">
        <v>11.354199433</v>
      </c>
      <c r="AD231">
        <v>4.7457907969999997</v>
      </c>
      <c r="AE231">
        <v>1.4932380999999999</v>
      </c>
      <c r="AF231">
        <v>2.4697951859999998</v>
      </c>
      <c r="AG231">
        <v>5.1456188139999997</v>
      </c>
      <c r="AH231">
        <v>5.6299416620000002</v>
      </c>
      <c r="AI231">
        <v>6.6156571609999997</v>
      </c>
      <c r="AJ231">
        <v>3.8827699180000002</v>
      </c>
      <c r="AK231">
        <v>2.0814376179999998</v>
      </c>
      <c r="AL231">
        <v>2.586073834</v>
      </c>
      <c r="AM231">
        <v>4.2775643260000002</v>
      </c>
      <c r="AN231">
        <v>3.1732500319999999</v>
      </c>
      <c r="AO231">
        <v>3.8525898139999999</v>
      </c>
      <c r="AP231">
        <v>1.903675089</v>
      </c>
      <c r="AQ231">
        <v>7.3373553889999998</v>
      </c>
      <c r="AR231">
        <v>6.0923403379999996</v>
      </c>
      <c r="AS231">
        <v>3.9222591740000001</v>
      </c>
      <c r="AT231">
        <v>3.7233169730000002</v>
      </c>
      <c r="AU231">
        <v>9.5469283340000004</v>
      </c>
      <c r="AV231">
        <v>3.4908340689999999</v>
      </c>
      <c r="AW231">
        <v>5.219011064</v>
      </c>
    </row>
    <row r="232" spans="1:49" x14ac:dyDescent="0.35">
      <c r="A232" t="s">
        <v>296</v>
      </c>
      <c r="B232" s="73">
        <v>38353</v>
      </c>
      <c r="C232">
        <v>8.7023249430000007</v>
      </c>
      <c r="D232">
        <v>2.9865835110000001</v>
      </c>
      <c r="E232">
        <v>3.279741971</v>
      </c>
      <c r="F232">
        <v>3.736801233</v>
      </c>
      <c r="G232">
        <v>6.30747634</v>
      </c>
      <c r="H232">
        <v>3.860541692</v>
      </c>
      <c r="I232">
        <v>1.5418138809999999</v>
      </c>
      <c r="J232">
        <v>8.5263564130000002</v>
      </c>
      <c r="K232">
        <v>8.8000000000000007</v>
      </c>
      <c r="L232">
        <v>5.7383848589999999</v>
      </c>
      <c r="M232">
        <v>3.5001867999999998E-2</v>
      </c>
      <c r="N232">
        <v>2.4131564349999999</v>
      </c>
      <c r="O232">
        <v>1.752505778</v>
      </c>
      <c r="P232">
        <v>3.2428210239999999</v>
      </c>
      <c r="Q232">
        <v>6.0817642770000004</v>
      </c>
      <c r="R232">
        <v>2.0408065689999999</v>
      </c>
      <c r="T232">
        <v>4.8098763350000002</v>
      </c>
      <c r="U232">
        <v>2.6052958230000001</v>
      </c>
      <c r="V232">
        <v>2.3354527960000002</v>
      </c>
      <c r="X232">
        <v>1.537253269</v>
      </c>
      <c r="Y232">
        <v>2.7748216029999999</v>
      </c>
      <c r="Z232">
        <v>4.4002584139999996</v>
      </c>
      <c r="AA232">
        <v>7.2525399999999998</v>
      </c>
      <c r="AB232">
        <v>4.0609947220000002</v>
      </c>
      <c r="AC232">
        <v>9.1836690109999992</v>
      </c>
      <c r="AD232">
        <v>5.6795527310000002</v>
      </c>
      <c r="AE232">
        <v>0.92926591199999997</v>
      </c>
      <c r="AF232">
        <v>1.1738321869999999</v>
      </c>
      <c r="AG232">
        <v>3.2181314620000001</v>
      </c>
      <c r="AH232">
        <v>0.70147814100000005</v>
      </c>
      <c r="AI232">
        <v>7.7227263690000001</v>
      </c>
      <c r="AJ232">
        <v>4.1161206420000003</v>
      </c>
      <c r="AK232">
        <v>1.7591751200000001</v>
      </c>
      <c r="AL232">
        <v>3.5622070990000001</v>
      </c>
      <c r="AM232">
        <v>3.2933443649999998</v>
      </c>
      <c r="AN232">
        <v>2.7856467330000001</v>
      </c>
      <c r="AO232">
        <v>4.1210704309999997</v>
      </c>
      <c r="AP232">
        <v>1.219915938</v>
      </c>
      <c r="AQ232">
        <v>6.5934981119999998</v>
      </c>
      <c r="AR232">
        <v>5.9330394469999996</v>
      </c>
      <c r="AS232">
        <v>3.5445961650000002</v>
      </c>
      <c r="AT232">
        <v>3.9201363730000001</v>
      </c>
      <c r="AU232">
        <v>8.057711694</v>
      </c>
      <c r="AV232">
        <v>3.3557659160000002</v>
      </c>
      <c r="AW232">
        <v>5.7326717079999998</v>
      </c>
    </row>
    <row r="233" spans="1:49" x14ac:dyDescent="0.35">
      <c r="A233" t="s">
        <v>297</v>
      </c>
      <c r="B233" s="73">
        <v>38443</v>
      </c>
      <c r="C233">
        <v>8.388864946</v>
      </c>
      <c r="D233">
        <v>2.9802680459999999</v>
      </c>
      <c r="E233">
        <v>2.095820872</v>
      </c>
      <c r="F233">
        <v>2.7429484980000001</v>
      </c>
      <c r="G233">
        <v>5.7332665159999996</v>
      </c>
      <c r="H233">
        <v>3.4746737969999999</v>
      </c>
      <c r="I233">
        <v>1.8108505319999999</v>
      </c>
      <c r="J233">
        <v>6.4079034229999996</v>
      </c>
      <c r="K233">
        <v>11.1</v>
      </c>
      <c r="L233">
        <v>6.4209813660000004</v>
      </c>
      <c r="M233">
        <v>0.21317998899999999</v>
      </c>
      <c r="N233">
        <v>1.552318238</v>
      </c>
      <c r="O233">
        <v>1.4505033919999999</v>
      </c>
      <c r="P233">
        <v>3.6257023190000002</v>
      </c>
      <c r="Q233">
        <v>5.4982480779999996</v>
      </c>
      <c r="R233">
        <v>1.6411829469999999</v>
      </c>
      <c r="T233">
        <v>4.5125116810000003</v>
      </c>
      <c r="U233">
        <v>1.8462390609999999</v>
      </c>
      <c r="V233">
        <v>2.5031389079999999</v>
      </c>
      <c r="X233">
        <v>1.8461351260000001</v>
      </c>
      <c r="Y233">
        <v>0.33570945699999999</v>
      </c>
      <c r="Z233">
        <v>3.8310440909999999</v>
      </c>
      <c r="AA233">
        <v>8.7341800000000003</v>
      </c>
      <c r="AB233">
        <v>6.1801443770000004</v>
      </c>
      <c r="AC233">
        <v>2.1188081589999999</v>
      </c>
      <c r="AD233">
        <v>4.1153290269999996</v>
      </c>
      <c r="AE233">
        <v>0.40500156599999998</v>
      </c>
      <c r="AF233">
        <v>0.95255277299999996</v>
      </c>
      <c r="AG233">
        <v>2.806402673</v>
      </c>
      <c r="AH233">
        <v>0.51341394299999998</v>
      </c>
      <c r="AI233">
        <v>6.8978133279999998</v>
      </c>
      <c r="AJ233">
        <v>2.8402727140000001</v>
      </c>
      <c r="AK233">
        <v>1.171867896</v>
      </c>
      <c r="AL233">
        <v>1.5889304280000001</v>
      </c>
      <c r="AM233">
        <v>2.7451423410000002</v>
      </c>
      <c r="AN233">
        <v>2.7729237179999999</v>
      </c>
      <c r="AO233">
        <v>2.553633671</v>
      </c>
      <c r="AP233">
        <v>1.0856134639999999</v>
      </c>
      <c r="AQ233">
        <v>6.4568699169999997</v>
      </c>
      <c r="AR233">
        <v>5.8681696920000004</v>
      </c>
      <c r="AS233">
        <v>3.5313833149999998</v>
      </c>
      <c r="AT233">
        <v>2.4831458319999999</v>
      </c>
      <c r="AU233">
        <v>10.009156426000001</v>
      </c>
      <c r="AV233">
        <v>3.9086174410000001</v>
      </c>
      <c r="AW233">
        <v>5.2148270559999998</v>
      </c>
    </row>
    <row r="234" spans="1:49" x14ac:dyDescent="0.35">
      <c r="A234" t="s">
        <v>298</v>
      </c>
      <c r="B234" s="73">
        <v>38534</v>
      </c>
      <c r="C234">
        <v>11.937629441</v>
      </c>
      <c r="D234">
        <v>2.7502091860000002</v>
      </c>
      <c r="E234">
        <v>2.5968579119999999</v>
      </c>
      <c r="F234">
        <v>2.3741121110000001</v>
      </c>
      <c r="G234">
        <v>4.0699998969999998</v>
      </c>
      <c r="H234">
        <v>3.0019295459999999</v>
      </c>
      <c r="I234">
        <v>2.0971123629999999</v>
      </c>
      <c r="J234">
        <v>6.1347354310000002</v>
      </c>
      <c r="K234">
        <v>11.1</v>
      </c>
      <c r="L234">
        <v>6.7287112520000001</v>
      </c>
      <c r="M234">
        <v>0.23534381600000001</v>
      </c>
      <c r="N234">
        <v>2.938909518</v>
      </c>
      <c r="O234">
        <v>1.4527585110000001</v>
      </c>
      <c r="P234">
        <v>3.5288976289999998</v>
      </c>
      <c r="Q234">
        <v>10.42639793</v>
      </c>
      <c r="R234">
        <v>1.676395195</v>
      </c>
      <c r="T234">
        <v>2.3821779319999998</v>
      </c>
      <c r="U234">
        <v>1.533346737</v>
      </c>
      <c r="V234">
        <v>2.5007383540000001</v>
      </c>
      <c r="X234">
        <v>2.2690186940000001</v>
      </c>
      <c r="Y234">
        <v>0.59302548799999999</v>
      </c>
      <c r="Z234">
        <v>4.5953822779999998</v>
      </c>
      <c r="AA234">
        <v>9.5718700000000005</v>
      </c>
      <c r="AB234">
        <v>6.4328152950000002</v>
      </c>
      <c r="AC234">
        <v>10.428712156</v>
      </c>
      <c r="AD234">
        <v>4.5514606000000004</v>
      </c>
      <c r="AE234">
        <v>0.81818929600000001</v>
      </c>
      <c r="AF234">
        <v>1.7194826459999999</v>
      </c>
      <c r="AG234">
        <v>3.9527455599999999</v>
      </c>
      <c r="AH234">
        <v>1.212892415</v>
      </c>
      <c r="AI234">
        <v>7.9511069140000004</v>
      </c>
      <c r="AJ234">
        <v>1.559737597</v>
      </c>
      <c r="AK234">
        <v>1.4001097259999999</v>
      </c>
      <c r="AL234">
        <v>1.9127099460000001</v>
      </c>
      <c r="AM234">
        <v>3.5031918470000001</v>
      </c>
      <c r="AN234">
        <v>2.758545383</v>
      </c>
      <c r="AO234">
        <v>2.1624441160000001</v>
      </c>
      <c r="AP234">
        <v>0.88112699299999997</v>
      </c>
      <c r="AQ234">
        <v>6.0339876200000004</v>
      </c>
      <c r="AR234">
        <v>7.3796686200000003</v>
      </c>
      <c r="AS234">
        <v>4.1333060010000002</v>
      </c>
      <c r="AT234">
        <v>2.761314273</v>
      </c>
      <c r="AU234">
        <v>7.9599383059999997</v>
      </c>
      <c r="AV234">
        <v>3.6074103659999999</v>
      </c>
      <c r="AW234">
        <v>5.6268811449999996</v>
      </c>
    </row>
    <row r="235" spans="1:49" x14ac:dyDescent="0.35">
      <c r="A235" t="s">
        <v>299</v>
      </c>
      <c r="B235" s="73">
        <v>38626</v>
      </c>
      <c r="C235">
        <v>7.3394499660000001</v>
      </c>
      <c r="D235">
        <v>3.1179720209999999</v>
      </c>
      <c r="E235">
        <v>2.1360570490000002</v>
      </c>
      <c r="F235">
        <v>1.890494825</v>
      </c>
      <c r="G235">
        <v>2.135472713</v>
      </c>
      <c r="H235">
        <v>3.033425786</v>
      </c>
      <c r="I235">
        <v>3.284852398</v>
      </c>
      <c r="J235">
        <v>5.9414792719999996</v>
      </c>
      <c r="K235">
        <v>10.8</v>
      </c>
      <c r="L235">
        <v>6.7723871539999996</v>
      </c>
      <c r="M235">
        <v>1.2955956369999999</v>
      </c>
      <c r="N235">
        <v>2.8112668150000002</v>
      </c>
      <c r="O235">
        <v>1.966723285</v>
      </c>
      <c r="P235">
        <v>3.5557230299999998</v>
      </c>
      <c r="Q235">
        <v>10.570552229</v>
      </c>
      <c r="R235">
        <v>2.175320658</v>
      </c>
      <c r="T235">
        <v>2.7497148440000001</v>
      </c>
      <c r="U235">
        <v>1.8231275090000001</v>
      </c>
      <c r="V235">
        <v>2.7170711980000002</v>
      </c>
      <c r="X235">
        <v>2.9006831320000002</v>
      </c>
      <c r="Y235">
        <v>0.64899672399999997</v>
      </c>
      <c r="Z235">
        <v>4.1157693259999997</v>
      </c>
      <c r="AA235">
        <v>8.4951500000000006</v>
      </c>
      <c r="AB235">
        <v>5.5407553429999998</v>
      </c>
      <c r="AC235">
        <v>5.7215936410000001</v>
      </c>
      <c r="AD235">
        <v>4.5577432079999998</v>
      </c>
      <c r="AE235">
        <v>1.5126253199999999</v>
      </c>
      <c r="AF235">
        <v>2.1275634700000001</v>
      </c>
      <c r="AG235">
        <v>5.0913424469999997</v>
      </c>
      <c r="AH235">
        <v>0.89588290599999998</v>
      </c>
      <c r="AI235">
        <v>12.768151638000001</v>
      </c>
      <c r="AJ235">
        <v>2.6394970999999998</v>
      </c>
      <c r="AK235">
        <v>2.608579642</v>
      </c>
      <c r="AL235">
        <v>3.961877249</v>
      </c>
      <c r="AM235">
        <v>3.7090795409999999</v>
      </c>
      <c r="AN235">
        <v>3.0565460619999998</v>
      </c>
      <c r="AO235">
        <v>4.146628121</v>
      </c>
      <c r="AP235">
        <v>0.36549073900000001</v>
      </c>
      <c r="AQ235">
        <v>6.2926836909999997</v>
      </c>
      <c r="AR235">
        <v>6.6607141749999998</v>
      </c>
      <c r="AS235">
        <v>3.953871039</v>
      </c>
      <c r="AT235">
        <v>3.158256943</v>
      </c>
      <c r="AU235">
        <v>8.2633823839999998</v>
      </c>
      <c r="AV235">
        <v>3.447674589</v>
      </c>
      <c r="AW235">
        <v>5.344718501</v>
      </c>
    </row>
    <row r="236" spans="1:49" x14ac:dyDescent="0.35">
      <c r="A236" t="s">
        <v>300</v>
      </c>
      <c r="B236" s="73">
        <v>38718</v>
      </c>
      <c r="C236">
        <v>7.8841622339999997</v>
      </c>
      <c r="D236">
        <v>3.1415185870000002</v>
      </c>
      <c r="E236">
        <v>2.659399246</v>
      </c>
      <c r="F236">
        <v>2.3072367909999998</v>
      </c>
      <c r="G236">
        <v>2.6127768119999999</v>
      </c>
      <c r="H236">
        <v>3.309946552</v>
      </c>
      <c r="I236">
        <v>4.1229698409999997</v>
      </c>
      <c r="J236">
        <v>5.5037012699999996</v>
      </c>
      <c r="K236">
        <v>12.4</v>
      </c>
      <c r="L236">
        <v>6.7522092020000004</v>
      </c>
      <c r="M236">
        <v>1.8679872070000001</v>
      </c>
      <c r="N236">
        <v>2.0421723510000001</v>
      </c>
      <c r="O236">
        <v>2.2125015819999998</v>
      </c>
      <c r="P236">
        <v>3.8947489979999999</v>
      </c>
      <c r="Q236">
        <v>10.820482529</v>
      </c>
      <c r="R236">
        <v>2.4006789500000001</v>
      </c>
      <c r="T236">
        <v>1.51700612</v>
      </c>
      <c r="U236">
        <v>1.7361970449999999</v>
      </c>
      <c r="V236">
        <v>2.6606071729999998</v>
      </c>
      <c r="X236">
        <v>3.6471928299999998</v>
      </c>
      <c r="Y236">
        <v>1.54047551</v>
      </c>
      <c r="Z236">
        <v>4.840407699</v>
      </c>
      <c r="AA236">
        <v>9.1244899999999998</v>
      </c>
      <c r="AB236">
        <v>5.932419619</v>
      </c>
      <c r="AC236">
        <v>6.2760705550000004</v>
      </c>
      <c r="AD236">
        <v>5.0133455250000001</v>
      </c>
      <c r="AE236">
        <v>1.3440346299999999</v>
      </c>
      <c r="AF236">
        <v>2.5024919130000001</v>
      </c>
      <c r="AG236">
        <v>5.3568202319999996</v>
      </c>
      <c r="AH236">
        <v>7.2834616509999996</v>
      </c>
      <c r="AI236">
        <v>14.372635666000001</v>
      </c>
      <c r="AJ236">
        <v>2.9886512600000001</v>
      </c>
      <c r="AK236">
        <v>3.0309570699999999</v>
      </c>
      <c r="AL236">
        <v>3.1811351220000001</v>
      </c>
      <c r="AM236">
        <v>2.8968739569999999</v>
      </c>
      <c r="AN236">
        <v>3.1170009279999999</v>
      </c>
      <c r="AO236">
        <v>4.8850264460000004</v>
      </c>
      <c r="AP236">
        <v>0.79709233000000002</v>
      </c>
      <c r="AQ236">
        <v>7.2856948949999998</v>
      </c>
      <c r="AR236">
        <v>6.5811183839999998</v>
      </c>
      <c r="AS236">
        <v>5.4481731330000001</v>
      </c>
      <c r="AT236">
        <v>3.0114681069999998</v>
      </c>
      <c r="AU236">
        <v>10.057769952999999</v>
      </c>
      <c r="AV236">
        <v>2.9826720510000002</v>
      </c>
      <c r="AW236">
        <v>4.9292784239999996</v>
      </c>
    </row>
    <row r="237" spans="1:49" x14ac:dyDescent="0.35">
      <c r="A237" t="s">
        <v>301</v>
      </c>
      <c r="B237" s="73">
        <v>38808</v>
      </c>
      <c r="C237">
        <v>7.591879842</v>
      </c>
      <c r="D237">
        <v>2.4699563439999999</v>
      </c>
      <c r="E237">
        <v>4.0521143889999998</v>
      </c>
      <c r="F237">
        <v>2.3974125279999998</v>
      </c>
      <c r="G237">
        <v>3.48368017</v>
      </c>
      <c r="H237">
        <v>3.7886077760000001</v>
      </c>
      <c r="I237">
        <v>4.5459876049999997</v>
      </c>
      <c r="J237">
        <v>6.3375428500000002</v>
      </c>
      <c r="K237">
        <v>12.5</v>
      </c>
      <c r="L237">
        <v>6.879772021</v>
      </c>
      <c r="M237">
        <v>2.8441545750000001</v>
      </c>
      <c r="N237">
        <v>3.7009154070000001</v>
      </c>
      <c r="O237">
        <v>2.8910148790000001</v>
      </c>
      <c r="P237">
        <v>4.0686440739999998</v>
      </c>
      <c r="Q237">
        <v>11.409671842</v>
      </c>
      <c r="R237">
        <v>3.1222051070000001</v>
      </c>
      <c r="T237">
        <v>3.030122397</v>
      </c>
      <c r="U237">
        <v>2.2837670659999998</v>
      </c>
      <c r="V237">
        <v>2.880931178</v>
      </c>
      <c r="X237">
        <v>3.2299744459999999</v>
      </c>
      <c r="Y237">
        <v>5.469142465</v>
      </c>
      <c r="Z237">
        <v>4.7047090049999998</v>
      </c>
      <c r="AA237">
        <v>9.9337700000000009</v>
      </c>
      <c r="AB237">
        <v>6.4354782970000004</v>
      </c>
      <c r="AC237">
        <v>8.7820762909999992</v>
      </c>
      <c r="AD237">
        <v>5.5475474619999998</v>
      </c>
      <c r="AE237">
        <v>1.757538289</v>
      </c>
      <c r="AF237">
        <v>2.1382703670000001</v>
      </c>
      <c r="AG237">
        <v>6.1802505989999998</v>
      </c>
      <c r="AH237">
        <v>8.2705852429999993</v>
      </c>
      <c r="AI237">
        <v>10.541550738</v>
      </c>
      <c r="AJ237">
        <v>4.6247015500000002</v>
      </c>
      <c r="AK237">
        <v>3.3401639699999999</v>
      </c>
      <c r="AL237">
        <v>2.3076267499999998</v>
      </c>
      <c r="AM237">
        <v>3.331500825</v>
      </c>
      <c r="AN237">
        <v>3.3958956140000001</v>
      </c>
      <c r="AO237">
        <v>5.7477768500000002</v>
      </c>
      <c r="AP237">
        <v>0.84548567900000005</v>
      </c>
      <c r="AQ237">
        <v>7.4781518159999996</v>
      </c>
      <c r="AR237">
        <v>7.7822763650000004</v>
      </c>
      <c r="AS237">
        <v>5.1436316189999998</v>
      </c>
      <c r="AT237">
        <v>4.1395154859999996</v>
      </c>
      <c r="AU237">
        <v>6.4125127470000001</v>
      </c>
      <c r="AV237">
        <v>3.2248575719999999</v>
      </c>
      <c r="AW237">
        <v>5.6985315639999996</v>
      </c>
    </row>
    <row r="238" spans="1:49" x14ac:dyDescent="0.35">
      <c r="A238" t="s">
        <v>302</v>
      </c>
      <c r="B238" s="73">
        <v>38899</v>
      </c>
      <c r="C238">
        <v>6.638297036</v>
      </c>
      <c r="D238">
        <v>2.243975818</v>
      </c>
      <c r="E238">
        <v>2.9430064250000001</v>
      </c>
      <c r="F238">
        <v>2.148910077</v>
      </c>
      <c r="G238">
        <v>2.592134588</v>
      </c>
      <c r="H238">
        <v>3.0942387280000001</v>
      </c>
      <c r="I238">
        <v>4.2572493939999996</v>
      </c>
      <c r="J238">
        <v>6.771667034</v>
      </c>
      <c r="K238">
        <v>13.7</v>
      </c>
      <c r="L238">
        <v>7.3190908590000001</v>
      </c>
      <c r="M238">
        <v>4.0579717960000004</v>
      </c>
      <c r="N238">
        <v>4.7316381200000004</v>
      </c>
      <c r="O238">
        <v>3.390839384</v>
      </c>
      <c r="P238">
        <v>4.1582633710000003</v>
      </c>
      <c r="Q238">
        <v>9.4108712509999997</v>
      </c>
      <c r="R238">
        <v>3.69652088</v>
      </c>
      <c r="T238">
        <v>4.5328399629999998</v>
      </c>
      <c r="U238">
        <v>3.0608344440000002</v>
      </c>
      <c r="V238">
        <v>2.744597218</v>
      </c>
      <c r="X238">
        <v>2.5031615540000001</v>
      </c>
      <c r="Y238">
        <v>5.5419910899999998</v>
      </c>
      <c r="Z238">
        <v>4.1295647339999997</v>
      </c>
      <c r="AA238">
        <v>8.0897500000000004</v>
      </c>
      <c r="AB238">
        <v>4.1357713040000004</v>
      </c>
      <c r="AC238">
        <v>6.0395996209999998</v>
      </c>
      <c r="AD238">
        <v>6.6422265979999997</v>
      </c>
      <c r="AE238">
        <v>1.6545105579999999</v>
      </c>
      <c r="AF238">
        <v>1.5051200419999999</v>
      </c>
      <c r="AG238">
        <v>4.9750602859999997</v>
      </c>
      <c r="AH238">
        <v>7.700275134</v>
      </c>
      <c r="AI238">
        <v>13.458189967999999</v>
      </c>
      <c r="AJ238">
        <v>5.3465175150000004</v>
      </c>
      <c r="AK238">
        <v>4.154503032</v>
      </c>
      <c r="AL238">
        <v>1.900160941</v>
      </c>
      <c r="AM238">
        <v>2.107814495</v>
      </c>
      <c r="AN238">
        <v>3.3884653689999999</v>
      </c>
      <c r="AO238">
        <v>7.7069230119999999</v>
      </c>
      <c r="AP238">
        <v>1.444794216</v>
      </c>
      <c r="AQ238">
        <v>7.9045915779999998</v>
      </c>
      <c r="AR238">
        <v>8.0339131550000005</v>
      </c>
      <c r="AS238">
        <v>5.6469477340000003</v>
      </c>
      <c r="AT238">
        <v>5.1485578199999997</v>
      </c>
      <c r="AU238">
        <v>9.1929992210000009</v>
      </c>
      <c r="AV238">
        <v>2.9772690260000001</v>
      </c>
      <c r="AW238">
        <v>5.3098658160000003</v>
      </c>
    </row>
    <row r="239" spans="1:49" x14ac:dyDescent="0.35">
      <c r="A239" t="s">
        <v>303</v>
      </c>
      <c r="B239" s="73">
        <v>38991</v>
      </c>
      <c r="C239">
        <v>8.8107159260000003</v>
      </c>
      <c r="D239">
        <v>2.6112704880000002</v>
      </c>
      <c r="E239">
        <v>3.5876808339999999</v>
      </c>
      <c r="F239">
        <v>2.6422652389999999</v>
      </c>
      <c r="G239">
        <v>4.9048471390000001</v>
      </c>
      <c r="H239">
        <v>2.1447687110000002</v>
      </c>
      <c r="I239">
        <v>3.8077141170000002</v>
      </c>
      <c r="J239">
        <v>5.6563614419999997</v>
      </c>
      <c r="K239">
        <v>12.2</v>
      </c>
      <c r="L239">
        <v>7.0214257250000003</v>
      </c>
      <c r="M239">
        <v>3.989424214</v>
      </c>
      <c r="N239">
        <v>3.9175672810000002</v>
      </c>
      <c r="O239">
        <v>3.2488478980000002</v>
      </c>
      <c r="P239">
        <v>4.1195848670000004</v>
      </c>
      <c r="Q239">
        <v>9.2990847179999996</v>
      </c>
      <c r="R239">
        <v>3.5396650570000001</v>
      </c>
      <c r="T239">
        <v>4.020140348</v>
      </c>
      <c r="U239">
        <v>2.5783277839999998</v>
      </c>
      <c r="V239">
        <v>2.0898342749999999</v>
      </c>
      <c r="X239">
        <v>1.776273043</v>
      </c>
      <c r="Y239">
        <v>4.5911902570000001</v>
      </c>
      <c r="Z239">
        <v>3.9268720560000001</v>
      </c>
      <c r="AA239">
        <v>10.12762</v>
      </c>
      <c r="AB239">
        <v>6.7993528809999999</v>
      </c>
      <c r="AC239">
        <v>5.7040806719999999</v>
      </c>
      <c r="AD239">
        <v>4.6489870240000002</v>
      </c>
      <c r="AE239">
        <v>1.497299653</v>
      </c>
      <c r="AF239">
        <v>0.28856904999999999</v>
      </c>
      <c r="AG239">
        <v>5.0873974100000003</v>
      </c>
      <c r="AH239">
        <v>6.0920327509999996</v>
      </c>
      <c r="AI239">
        <v>11.715897098999999</v>
      </c>
      <c r="AJ239">
        <v>4.7546052799999998</v>
      </c>
      <c r="AK239">
        <v>3.389040595</v>
      </c>
      <c r="AL239">
        <v>2.098555615</v>
      </c>
      <c r="AM239">
        <v>2.2177723230000002</v>
      </c>
      <c r="AN239">
        <v>2.849092218</v>
      </c>
      <c r="AO239">
        <v>7.3889803890000003</v>
      </c>
      <c r="AP239">
        <v>1.810916905</v>
      </c>
      <c r="AQ239">
        <v>8.4707435689999997</v>
      </c>
      <c r="AR239">
        <v>8.3265826329999992</v>
      </c>
      <c r="AS239">
        <v>6.484802663</v>
      </c>
      <c r="AT239">
        <v>5.1407782270000002</v>
      </c>
      <c r="AU239">
        <v>6.861392983</v>
      </c>
      <c r="AV239">
        <v>2.3282911519999998</v>
      </c>
      <c r="AW239">
        <v>5.3280828930000004</v>
      </c>
    </row>
    <row r="240" spans="1:49" x14ac:dyDescent="0.35">
      <c r="A240" t="s">
        <v>304</v>
      </c>
      <c r="B240" s="73">
        <v>39083</v>
      </c>
      <c r="C240">
        <v>9.1050552669999991</v>
      </c>
      <c r="D240">
        <v>3.1301852970000001</v>
      </c>
      <c r="E240">
        <v>3.5764266029999998</v>
      </c>
      <c r="F240">
        <v>3.017495577</v>
      </c>
      <c r="G240">
        <v>4.8513101919999997</v>
      </c>
      <c r="H240">
        <v>1.547877248</v>
      </c>
      <c r="I240">
        <v>4.027423218</v>
      </c>
      <c r="J240">
        <v>6.6299017490000001</v>
      </c>
      <c r="K240">
        <v>12.5</v>
      </c>
      <c r="L240">
        <v>6.4957671279999998</v>
      </c>
      <c r="M240">
        <v>5.0692339390000001</v>
      </c>
      <c r="N240">
        <v>3.3004877010000002</v>
      </c>
      <c r="O240">
        <v>3.7972364220000001</v>
      </c>
      <c r="P240">
        <v>4.0653242059999997</v>
      </c>
      <c r="Q240">
        <v>9.4825437959999999</v>
      </c>
      <c r="R240">
        <v>3.9128336400000001</v>
      </c>
      <c r="T240">
        <v>4.5363799890000003</v>
      </c>
      <c r="U240">
        <v>2.6317401760000001</v>
      </c>
      <c r="V240">
        <v>2.5239785719999999</v>
      </c>
      <c r="X240">
        <v>1.1645637129999999</v>
      </c>
      <c r="Y240">
        <v>6.7162171089999996</v>
      </c>
      <c r="Z240">
        <v>3.720785593</v>
      </c>
      <c r="AA240">
        <v>9.25047</v>
      </c>
      <c r="AB240">
        <v>3.6948391119999999</v>
      </c>
      <c r="AC240">
        <v>4.9370715440000001</v>
      </c>
      <c r="AD240">
        <v>4.3377595549999999</v>
      </c>
      <c r="AE240">
        <v>2.6557353429999999</v>
      </c>
      <c r="AF240">
        <v>1.4645123980000001</v>
      </c>
      <c r="AG240">
        <v>4.8448866129999999</v>
      </c>
      <c r="AH240">
        <v>2.335149527</v>
      </c>
      <c r="AI240">
        <v>12.477988671</v>
      </c>
      <c r="AJ240">
        <v>3.2888266490000002</v>
      </c>
      <c r="AK240">
        <v>3.5883066910000001</v>
      </c>
      <c r="AL240">
        <v>3.7357574589999998</v>
      </c>
      <c r="AM240">
        <v>3.561312085</v>
      </c>
      <c r="AN240">
        <v>3.0659382759999998</v>
      </c>
      <c r="AO240">
        <v>4.0319216430000004</v>
      </c>
      <c r="AP240">
        <v>2.3995824699999999</v>
      </c>
      <c r="AQ240">
        <v>8.2968721649999999</v>
      </c>
      <c r="AR240">
        <v>9.7780155759999996</v>
      </c>
      <c r="AS240">
        <v>6.8818251760000004</v>
      </c>
      <c r="AT240">
        <v>5.1250113539999997</v>
      </c>
      <c r="AU240">
        <v>5.7772390839999996</v>
      </c>
      <c r="AV240">
        <v>2.6089019840000001</v>
      </c>
      <c r="AW240">
        <v>6.0745619790000003</v>
      </c>
    </row>
    <row r="241" spans="1:49" x14ac:dyDescent="0.35">
      <c r="A241" t="s">
        <v>305</v>
      </c>
      <c r="B241" s="73">
        <v>39173</v>
      </c>
      <c r="C241">
        <v>8.8101285980000004</v>
      </c>
      <c r="D241">
        <v>4.4510722989999998</v>
      </c>
      <c r="E241">
        <v>3.5567488009999999</v>
      </c>
      <c r="F241">
        <v>3.8391820170000002</v>
      </c>
      <c r="G241">
        <v>5.1207990089999997</v>
      </c>
      <c r="H241">
        <v>1.375255855</v>
      </c>
      <c r="I241">
        <v>3.3689844569999998</v>
      </c>
      <c r="J241">
        <v>6.7584968869999997</v>
      </c>
      <c r="K241">
        <v>13.8</v>
      </c>
      <c r="L241">
        <v>6.3612995550000004</v>
      </c>
      <c r="M241">
        <v>4.1341054149999996</v>
      </c>
      <c r="N241">
        <v>2.3564465540000001</v>
      </c>
      <c r="O241">
        <v>3.516278695</v>
      </c>
      <c r="P241">
        <v>3.8284908830000002</v>
      </c>
      <c r="Q241">
        <v>10.572500509999999</v>
      </c>
      <c r="R241">
        <v>3.6896603419999998</v>
      </c>
      <c r="T241">
        <v>3.9631265309999999</v>
      </c>
      <c r="U241">
        <v>2.5899530159999999</v>
      </c>
      <c r="V241">
        <v>2.0004065010000001</v>
      </c>
      <c r="X241">
        <v>1.8663306070000001</v>
      </c>
      <c r="Y241">
        <v>2.5372983040000001</v>
      </c>
      <c r="Z241">
        <v>1.6242179450000001</v>
      </c>
      <c r="AA241">
        <v>9.5572300000000006</v>
      </c>
      <c r="AB241">
        <v>7.3164858070000003</v>
      </c>
      <c r="AC241">
        <v>6.938366405</v>
      </c>
      <c r="AD241">
        <v>5.1057259540000004</v>
      </c>
      <c r="AE241">
        <v>2.2212567019999998</v>
      </c>
      <c r="AF241">
        <v>1.9766540610000001</v>
      </c>
      <c r="AG241">
        <v>4.8809146759999997</v>
      </c>
      <c r="AH241">
        <v>7.3807618279999998</v>
      </c>
      <c r="AI241">
        <v>15.250754762</v>
      </c>
      <c r="AJ241">
        <v>2.221907501</v>
      </c>
      <c r="AK241">
        <v>4.1254371650000001</v>
      </c>
      <c r="AL241">
        <v>3.0362951570000001</v>
      </c>
      <c r="AM241">
        <v>3.247499468</v>
      </c>
      <c r="AN241">
        <v>2.7196845160000001</v>
      </c>
      <c r="AO241">
        <v>7.0343836580000003</v>
      </c>
      <c r="AP241">
        <v>2.6381464760000002</v>
      </c>
      <c r="AQ241">
        <v>8.1726132949999997</v>
      </c>
      <c r="AR241">
        <v>9.4786368030000006</v>
      </c>
      <c r="AS241">
        <v>8.2343303500000005</v>
      </c>
      <c r="AT241">
        <v>4.5050035419999999</v>
      </c>
      <c r="AU241">
        <v>6.486233951</v>
      </c>
      <c r="AV241">
        <v>1.5407153250000001</v>
      </c>
      <c r="AW241">
        <v>5.9354015269999998</v>
      </c>
    </row>
    <row r="242" spans="1:49" x14ac:dyDescent="0.35">
      <c r="A242" t="s">
        <v>306</v>
      </c>
      <c r="B242" s="73">
        <v>39264</v>
      </c>
      <c r="C242">
        <v>9.7666510649999996</v>
      </c>
      <c r="D242">
        <v>4.905778304</v>
      </c>
      <c r="E242">
        <v>4.4155174629999996</v>
      </c>
      <c r="F242">
        <v>3.9445790430000001</v>
      </c>
      <c r="G242">
        <v>6.5451428949999997</v>
      </c>
      <c r="H242">
        <v>2.3046514180000002</v>
      </c>
      <c r="I242">
        <v>4.1190535280000002</v>
      </c>
      <c r="J242">
        <v>5.6508191480000001</v>
      </c>
      <c r="K242">
        <v>15</v>
      </c>
      <c r="L242">
        <v>5.1791864749999998</v>
      </c>
      <c r="M242">
        <v>3.2284179329999998</v>
      </c>
      <c r="N242">
        <v>-1.0530040570000001</v>
      </c>
      <c r="O242">
        <v>3.125036175</v>
      </c>
      <c r="P242">
        <v>3.7532224350000001</v>
      </c>
      <c r="Q242">
        <v>8.7264895899999999</v>
      </c>
      <c r="R242">
        <v>3.1648180469999998</v>
      </c>
      <c r="T242">
        <v>5.5732974219999996</v>
      </c>
      <c r="U242">
        <v>2.2297187279999999</v>
      </c>
      <c r="V242">
        <v>2.1076074569999999</v>
      </c>
      <c r="X242">
        <v>2.2964223709999998</v>
      </c>
      <c r="Y242">
        <v>5.1998824199999998</v>
      </c>
      <c r="Z242">
        <v>0.12310222</v>
      </c>
      <c r="AA242">
        <v>10.72776</v>
      </c>
      <c r="AB242">
        <v>5.9378665589999997</v>
      </c>
      <c r="AC242">
        <v>8.6659143299999997</v>
      </c>
      <c r="AD242">
        <v>4.5573174200000004</v>
      </c>
      <c r="AE242">
        <v>1.778843723</v>
      </c>
      <c r="AF242">
        <v>1.8513549250000001</v>
      </c>
      <c r="AG242">
        <v>5.9217927870000002</v>
      </c>
      <c r="AH242">
        <v>9.4435893699999998</v>
      </c>
      <c r="AI242">
        <v>12.020250456999999</v>
      </c>
      <c r="AJ242">
        <v>2.01060397</v>
      </c>
      <c r="AK242">
        <v>3.1145347409999999</v>
      </c>
      <c r="AL242">
        <v>2.905931614</v>
      </c>
      <c r="AM242">
        <v>3.75347053</v>
      </c>
      <c r="AN242">
        <v>2.7159757779999998</v>
      </c>
      <c r="AO242">
        <v>6.0087100930000004</v>
      </c>
      <c r="AP242">
        <v>2.10749605</v>
      </c>
      <c r="AQ242">
        <v>8.808004554</v>
      </c>
      <c r="AR242">
        <v>9.6275153210000006</v>
      </c>
      <c r="AS242">
        <v>7.269323355</v>
      </c>
      <c r="AT242">
        <v>3.3601713910000002</v>
      </c>
      <c r="AU242">
        <v>3.3699744269999998</v>
      </c>
      <c r="AV242">
        <v>1.938641595</v>
      </c>
      <c r="AW242">
        <v>5.3079738130000003</v>
      </c>
    </row>
    <row r="243" spans="1:49" x14ac:dyDescent="0.35">
      <c r="A243" t="s">
        <v>307</v>
      </c>
      <c r="B243" s="73">
        <v>39356</v>
      </c>
      <c r="C243">
        <v>8.2199329809999995</v>
      </c>
      <c r="D243">
        <v>4.5296622989999999</v>
      </c>
      <c r="E243">
        <v>3.3814552619999998</v>
      </c>
      <c r="F243">
        <v>3.832958079</v>
      </c>
      <c r="G243">
        <v>5.8851627290000001</v>
      </c>
      <c r="H243">
        <v>2.4481004830000002</v>
      </c>
      <c r="I243">
        <v>4.3120704160000001</v>
      </c>
      <c r="J243">
        <v>4.5184173559999996</v>
      </c>
      <c r="K243">
        <v>14.3</v>
      </c>
      <c r="L243">
        <v>5.3808221779999998</v>
      </c>
      <c r="M243">
        <v>2.9601913620000002</v>
      </c>
      <c r="N243">
        <v>0.54708885699999998</v>
      </c>
      <c r="O243">
        <v>2.9783748110000001</v>
      </c>
      <c r="P243">
        <v>3.5862868959999998</v>
      </c>
      <c r="Q243">
        <v>6.505878858</v>
      </c>
      <c r="R243">
        <v>3.0646719729999998</v>
      </c>
      <c r="T243">
        <v>5.5398864200000002</v>
      </c>
      <c r="U243">
        <v>2.626935059</v>
      </c>
      <c r="V243">
        <v>2.3182494889999998</v>
      </c>
      <c r="X243">
        <v>2.9279322560000001</v>
      </c>
      <c r="Y243">
        <v>4.0476039930000001</v>
      </c>
      <c r="Z243">
        <v>8.5148274999999995E-2</v>
      </c>
      <c r="AA243">
        <v>9.1108200000000004</v>
      </c>
      <c r="AB243">
        <v>2.5128817579999998</v>
      </c>
      <c r="AC243">
        <v>7.3943013320000004</v>
      </c>
      <c r="AD243">
        <v>7.2392561049999999</v>
      </c>
      <c r="AE243">
        <v>1.5044980379999999</v>
      </c>
      <c r="AF243">
        <v>1.501730765</v>
      </c>
      <c r="AG243">
        <v>5.4630106239999998</v>
      </c>
      <c r="AH243">
        <v>8.1058289269999992</v>
      </c>
      <c r="AI243">
        <v>10.369340489000001</v>
      </c>
      <c r="AJ243">
        <v>2.370823889</v>
      </c>
      <c r="AK243">
        <v>3.646875004</v>
      </c>
      <c r="AL243">
        <v>3.1686566119999999</v>
      </c>
      <c r="AM243">
        <v>3.9032713330000002</v>
      </c>
      <c r="AN243">
        <v>2.8769025240000001</v>
      </c>
      <c r="AO243">
        <v>6.1537683520000002</v>
      </c>
      <c r="AP243">
        <v>2.4333121850000001</v>
      </c>
      <c r="AQ243">
        <v>8.7111917759999997</v>
      </c>
      <c r="AR243">
        <v>10.120469314999999</v>
      </c>
      <c r="AS243">
        <v>7.5510225030000004</v>
      </c>
      <c r="AT243">
        <v>2.9505096260000001</v>
      </c>
      <c r="AU243">
        <v>4.7655240450000003</v>
      </c>
      <c r="AV243">
        <v>2.3985598499999998</v>
      </c>
      <c r="AW243">
        <v>5.090652339</v>
      </c>
    </row>
    <row r="244" spans="1:49" x14ac:dyDescent="0.35">
      <c r="A244" t="s">
        <v>308</v>
      </c>
      <c r="B244" s="73">
        <v>39448</v>
      </c>
      <c r="C244">
        <v>9.241707173</v>
      </c>
      <c r="D244">
        <v>3.6322055560000002</v>
      </c>
      <c r="E244">
        <v>3.3582184719999999</v>
      </c>
      <c r="F244">
        <v>3.0838872460000002</v>
      </c>
      <c r="G244">
        <v>6.290050334</v>
      </c>
      <c r="H244">
        <v>2.1573017800000001</v>
      </c>
      <c r="I244">
        <v>3.903077417</v>
      </c>
      <c r="J244">
        <v>4.2573731029999999</v>
      </c>
      <c r="K244">
        <v>13.9</v>
      </c>
      <c r="L244">
        <v>5.3338570540000001</v>
      </c>
      <c r="M244">
        <v>2.0774087290000001</v>
      </c>
      <c r="N244">
        <v>1.834574414</v>
      </c>
      <c r="O244">
        <v>2.3019901890000001</v>
      </c>
      <c r="P244">
        <v>3.259416399</v>
      </c>
      <c r="Q244">
        <v>3.3035584839999999</v>
      </c>
      <c r="R244">
        <v>2.6026734390000001</v>
      </c>
      <c r="T244">
        <v>6.0999130199999998</v>
      </c>
      <c r="U244">
        <v>2.087253322</v>
      </c>
      <c r="V244">
        <v>1.8270339369999999</v>
      </c>
      <c r="X244">
        <v>3.1575523599999999</v>
      </c>
      <c r="Y244">
        <v>0.96419671900000004</v>
      </c>
      <c r="Z244">
        <v>-0.52979820799999999</v>
      </c>
      <c r="AA244">
        <v>10.897589999999999</v>
      </c>
      <c r="AB244">
        <v>5.371374694</v>
      </c>
      <c r="AC244">
        <v>10.734262383000001</v>
      </c>
      <c r="AD244">
        <v>7.1464300449999998</v>
      </c>
      <c r="AE244">
        <v>-0.15462712000000001</v>
      </c>
      <c r="AF244">
        <v>0.58931140299999996</v>
      </c>
      <c r="AG244">
        <v>6.9046241779999997</v>
      </c>
      <c r="AH244">
        <v>7.3967327310000002</v>
      </c>
      <c r="AI244">
        <v>4.4334605180000004</v>
      </c>
      <c r="AJ244">
        <v>2.5177031859999999</v>
      </c>
      <c r="AK244">
        <v>4.1901931030000004</v>
      </c>
      <c r="AL244">
        <v>2.4162831979999999</v>
      </c>
      <c r="AM244">
        <v>3.1966425859999998</v>
      </c>
      <c r="AN244">
        <v>2.6149831560000001</v>
      </c>
      <c r="AO244">
        <v>9.1218436579999995</v>
      </c>
      <c r="AP244">
        <v>2.8465058129999998</v>
      </c>
      <c r="AQ244">
        <v>10.092326711</v>
      </c>
      <c r="AR244">
        <v>13.935805396999999</v>
      </c>
      <c r="AS244">
        <v>5.3324497290000004</v>
      </c>
      <c r="AT244">
        <v>3.433126541</v>
      </c>
      <c r="AU244">
        <v>5.9681872509999998</v>
      </c>
      <c r="AV244">
        <v>2.160883208</v>
      </c>
      <c r="AW244">
        <v>5.1261671660000001</v>
      </c>
    </row>
    <row r="245" spans="1:49" x14ac:dyDescent="0.35">
      <c r="A245" t="s">
        <v>309</v>
      </c>
      <c r="B245" s="73">
        <v>39539</v>
      </c>
      <c r="C245">
        <v>7.7261968559999996</v>
      </c>
      <c r="D245">
        <v>3.2431500029999998</v>
      </c>
      <c r="E245">
        <v>3.0225531399999999</v>
      </c>
      <c r="F245">
        <v>2.0822444760000001</v>
      </c>
      <c r="G245">
        <v>5.5445234550000002</v>
      </c>
      <c r="H245">
        <v>1.585825708</v>
      </c>
      <c r="I245">
        <v>4.1892011240000002</v>
      </c>
      <c r="J245">
        <v>5.3731805899999996</v>
      </c>
      <c r="K245">
        <v>11.5</v>
      </c>
      <c r="L245">
        <v>4.0489713470000002</v>
      </c>
      <c r="M245">
        <v>2.6665455900000001</v>
      </c>
      <c r="N245">
        <v>1.4561288299999999</v>
      </c>
      <c r="O245">
        <v>2.2175239019999999</v>
      </c>
      <c r="P245">
        <v>2.543974892</v>
      </c>
      <c r="Q245">
        <v>-2.2316343380000001</v>
      </c>
      <c r="R245">
        <v>2.4350513930000002</v>
      </c>
      <c r="T245">
        <v>3.9604511389999999</v>
      </c>
      <c r="U245">
        <v>1.8397134610000001</v>
      </c>
      <c r="V245">
        <v>1.501701376</v>
      </c>
      <c r="X245">
        <v>2.5897763899999999</v>
      </c>
      <c r="Y245">
        <v>2.385711643</v>
      </c>
      <c r="Z245">
        <v>1.599636778</v>
      </c>
      <c r="AA245">
        <v>8.5376300000000001</v>
      </c>
      <c r="AB245">
        <v>-2.6385397959999999</v>
      </c>
      <c r="AC245">
        <v>5.899254987</v>
      </c>
      <c r="AD245">
        <v>6.0000269409999998</v>
      </c>
      <c r="AE245">
        <v>1.286697905</v>
      </c>
      <c r="AF245">
        <v>0.28826737600000002</v>
      </c>
      <c r="AG245">
        <v>5.5675559789999998</v>
      </c>
      <c r="AH245">
        <v>3.360666487</v>
      </c>
      <c r="AI245">
        <v>4.8065386109999997</v>
      </c>
      <c r="AJ245">
        <v>1.6130875229999999</v>
      </c>
      <c r="AK245">
        <v>3.3474002490000001</v>
      </c>
      <c r="AL245">
        <v>1.3457776459999999</v>
      </c>
      <c r="AM245">
        <v>1.4098441749999999</v>
      </c>
      <c r="AN245">
        <v>2.108153454</v>
      </c>
      <c r="AO245">
        <v>5.9100875909999999</v>
      </c>
      <c r="AP245">
        <v>1.7833610639999999</v>
      </c>
      <c r="AQ245">
        <v>11.000110756</v>
      </c>
      <c r="AR245">
        <v>8.4166781700000008</v>
      </c>
      <c r="AS245">
        <v>5.2578188619999997</v>
      </c>
      <c r="AT245">
        <v>1.644590118</v>
      </c>
      <c r="AU245">
        <v>6.2631362949999998</v>
      </c>
      <c r="AV245">
        <v>1.4468030009999999</v>
      </c>
      <c r="AW245">
        <v>3.881015637</v>
      </c>
    </row>
    <row r="246" spans="1:49" x14ac:dyDescent="0.35">
      <c r="A246" t="s">
        <v>310</v>
      </c>
      <c r="B246" s="73">
        <v>39630</v>
      </c>
      <c r="C246">
        <v>5.9753085779999999</v>
      </c>
      <c r="D246">
        <v>2.8985086980000001</v>
      </c>
      <c r="E246">
        <v>2.8118980530000002</v>
      </c>
      <c r="F246">
        <v>1.682569743</v>
      </c>
      <c r="G246">
        <v>5.9925095439999998</v>
      </c>
      <c r="H246">
        <v>0.97488014300000003</v>
      </c>
      <c r="I246">
        <v>3.8125214170000001</v>
      </c>
      <c r="J246">
        <v>4.4156110149999996</v>
      </c>
      <c r="K246">
        <v>10.9</v>
      </c>
      <c r="L246">
        <v>3.955255518</v>
      </c>
      <c r="M246">
        <v>1.565052917</v>
      </c>
      <c r="N246">
        <v>0.97225072400000001</v>
      </c>
      <c r="O246">
        <v>1.142192573</v>
      </c>
      <c r="P246">
        <v>1.7443479580000001</v>
      </c>
      <c r="Q246">
        <v>-1.622401295</v>
      </c>
      <c r="R246">
        <v>1.4451550929999999</v>
      </c>
      <c r="T246">
        <v>1.3047360459999999</v>
      </c>
      <c r="U246">
        <v>0.59512336300000002</v>
      </c>
      <c r="V246">
        <v>0.97632335400000003</v>
      </c>
      <c r="X246">
        <v>1.432620437</v>
      </c>
      <c r="Y246">
        <v>-1.147594182</v>
      </c>
      <c r="Z246">
        <v>2.3737931470000002</v>
      </c>
      <c r="AA246">
        <v>6.9746899999999998</v>
      </c>
      <c r="AB246">
        <v>-3.1519186480000001</v>
      </c>
      <c r="AC246">
        <v>3.9445558310000002</v>
      </c>
      <c r="AD246">
        <v>4.1777344799999998</v>
      </c>
      <c r="AE246">
        <v>5.290284E-2</v>
      </c>
      <c r="AF246">
        <v>-0.34125048099999999</v>
      </c>
      <c r="AG246">
        <v>4.3152169730000001</v>
      </c>
      <c r="AH246">
        <v>1.1279991E-2</v>
      </c>
      <c r="AI246">
        <v>-1.0245732729999999</v>
      </c>
      <c r="AJ246">
        <v>1.5851681959999999</v>
      </c>
      <c r="AK246">
        <v>3.3278025649999998</v>
      </c>
      <c r="AL246">
        <v>1.3978868010000001</v>
      </c>
      <c r="AM246">
        <v>0.22470073900000001</v>
      </c>
      <c r="AN246">
        <v>1.44555715</v>
      </c>
      <c r="AO246">
        <v>5.1350439860000003</v>
      </c>
      <c r="AP246">
        <v>0.83514815200000003</v>
      </c>
      <c r="AQ246">
        <v>8.9406479999999995</v>
      </c>
      <c r="AR246">
        <v>7.133879877</v>
      </c>
      <c r="AS246">
        <v>5.5624088089999999</v>
      </c>
      <c r="AT246">
        <v>1.07474665</v>
      </c>
      <c r="AU246">
        <v>2.4609971750000001</v>
      </c>
      <c r="AV246">
        <v>1.380132559</v>
      </c>
      <c r="AW246">
        <v>4.2945314320000003</v>
      </c>
    </row>
    <row r="247" spans="1:49" x14ac:dyDescent="0.35">
      <c r="A247" t="s">
        <v>311</v>
      </c>
      <c r="B247" s="73">
        <v>39722</v>
      </c>
      <c r="C247">
        <v>5.391427857</v>
      </c>
      <c r="D247">
        <v>2.4434051779999999</v>
      </c>
      <c r="E247">
        <v>1.8175445750000001</v>
      </c>
      <c r="F247">
        <v>0.31390365999999997</v>
      </c>
      <c r="G247">
        <v>6.6325925339999996</v>
      </c>
      <c r="H247">
        <v>1.377281448</v>
      </c>
      <c r="I247">
        <v>3.433611746</v>
      </c>
      <c r="J247">
        <v>3.2807901899999998</v>
      </c>
      <c r="K247">
        <v>9.5</v>
      </c>
      <c r="L247">
        <v>2.767976993</v>
      </c>
      <c r="M247">
        <v>0.39731239499999998</v>
      </c>
      <c r="N247">
        <v>-0.55189543900000004</v>
      </c>
      <c r="O247">
        <v>0.155598242</v>
      </c>
      <c r="P247">
        <v>0.78495414799999996</v>
      </c>
      <c r="Q247">
        <v>-1.772981648</v>
      </c>
      <c r="R247">
        <v>0.42104750699999999</v>
      </c>
      <c r="T247">
        <v>0.729492064</v>
      </c>
      <c r="U247">
        <v>-4.3997635E-2</v>
      </c>
      <c r="V247">
        <v>-9.9704475000000001E-2</v>
      </c>
      <c r="X247">
        <v>-0.85652527499999997</v>
      </c>
      <c r="Y247">
        <v>-0.624737981</v>
      </c>
      <c r="Z247">
        <v>1.650673542</v>
      </c>
      <c r="AA247">
        <v>6.0034200000000002</v>
      </c>
      <c r="AB247">
        <v>-1.7558808610000001</v>
      </c>
      <c r="AC247">
        <v>-0.97171922899999996</v>
      </c>
      <c r="AD247">
        <v>2.5017748329999998</v>
      </c>
      <c r="AE247">
        <v>-1.4187581680000001</v>
      </c>
      <c r="AF247">
        <v>-1.042551395</v>
      </c>
      <c r="AG247">
        <v>3.9461524219999999</v>
      </c>
      <c r="AH247">
        <v>-7.7694161999999997E-2</v>
      </c>
      <c r="AI247">
        <v>-6.7701974439999999</v>
      </c>
      <c r="AJ247">
        <v>1.284196704</v>
      </c>
      <c r="AK247">
        <v>2.0610554470000002</v>
      </c>
      <c r="AL247">
        <v>-7.1840302999999994E-2</v>
      </c>
      <c r="AM247">
        <v>-0.92446174400000003</v>
      </c>
      <c r="AN247">
        <v>0.41653161900000002</v>
      </c>
      <c r="AO247">
        <v>3.366686573</v>
      </c>
      <c r="AP247">
        <v>0.54480643100000004</v>
      </c>
      <c r="AQ247">
        <v>5.0013092029999999</v>
      </c>
      <c r="AR247">
        <v>6.1679391580000003</v>
      </c>
      <c r="AS247">
        <v>2.8710607220000002</v>
      </c>
      <c r="AT247">
        <v>-0.213060321</v>
      </c>
      <c r="AU247">
        <v>1.2943583E-2</v>
      </c>
      <c r="AV247">
        <v>0.242202378</v>
      </c>
      <c r="AW247">
        <v>3.3327331839999998</v>
      </c>
    </row>
    <row r="248" spans="1:49" x14ac:dyDescent="0.35">
      <c r="A248" t="s">
        <v>312</v>
      </c>
      <c r="B248" s="73">
        <v>39814</v>
      </c>
      <c r="C248">
        <v>-2.5111736200000001</v>
      </c>
      <c r="D248">
        <v>1.6031673909999999</v>
      </c>
      <c r="E248">
        <v>-1.307256126</v>
      </c>
      <c r="F248">
        <v>-2.2583763549999998</v>
      </c>
      <c r="G248">
        <v>1.0340571780000001</v>
      </c>
      <c r="H248">
        <v>8.8076009999999996E-2</v>
      </c>
      <c r="I248">
        <v>-0.59703348700000003</v>
      </c>
      <c r="J248">
        <v>0.56111214899999995</v>
      </c>
      <c r="K248">
        <v>7.1</v>
      </c>
      <c r="L248">
        <v>-0.55907276500000003</v>
      </c>
      <c r="M248">
        <v>-1.8350476979999999</v>
      </c>
      <c r="N248">
        <v>-3.867425881</v>
      </c>
      <c r="O248">
        <v>-2.1662617160000002</v>
      </c>
      <c r="P248">
        <v>-1.475901573</v>
      </c>
      <c r="Q248">
        <v>-12.838646636</v>
      </c>
      <c r="R248">
        <v>-2.020284057</v>
      </c>
      <c r="T248">
        <v>-2.7159965779999999</v>
      </c>
      <c r="U248">
        <v>-1.7401804679999999</v>
      </c>
      <c r="V248">
        <v>-2.6688824750000002</v>
      </c>
      <c r="X248">
        <v>-3.7092296939999998</v>
      </c>
      <c r="Y248">
        <v>-1.52470938</v>
      </c>
      <c r="Z248">
        <v>-2.2045374720000002</v>
      </c>
      <c r="AA248">
        <v>2.6664300000000001</v>
      </c>
      <c r="AB248">
        <v>-9.6473604319999993</v>
      </c>
      <c r="AC248">
        <v>0.20156818700000001</v>
      </c>
      <c r="AD248">
        <v>0.237878849</v>
      </c>
      <c r="AE248">
        <v>-3.7725919609999998</v>
      </c>
      <c r="AF248">
        <v>-3.8985986060000002</v>
      </c>
      <c r="AG248">
        <v>-1.5899777559999999</v>
      </c>
      <c r="AH248">
        <v>-4.5167496009999999</v>
      </c>
      <c r="AI248">
        <v>-7.9687663779999998</v>
      </c>
      <c r="AJ248">
        <v>-0.75999982600000004</v>
      </c>
      <c r="AK248">
        <v>3.4028852999999998E-2</v>
      </c>
      <c r="AL248">
        <v>-0.83984337099999995</v>
      </c>
      <c r="AM248">
        <v>-1.8391502280000001</v>
      </c>
      <c r="AN248">
        <v>-2.3053519609999999</v>
      </c>
      <c r="AO248">
        <v>2.1559220410000002</v>
      </c>
      <c r="AP248">
        <v>-1.8515323450000001</v>
      </c>
      <c r="AQ248">
        <v>-1.557639212</v>
      </c>
      <c r="AR248">
        <v>1.0392522630000001</v>
      </c>
      <c r="AS248">
        <v>-1.145246523</v>
      </c>
      <c r="AT248">
        <v>-4.845076046</v>
      </c>
      <c r="AU248">
        <v>-5.762221898</v>
      </c>
      <c r="AV248">
        <v>-2.5403392600000001</v>
      </c>
      <c r="AW248">
        <v>1.308885463</v>
      </c>
    </row>
    <row r="249" spans="1:49" x14ac:dyDescent="0.35">
      <c r="A249" t="s">
        <v>313</v>
      </c>
      <c r="B249" s="73">
        <v>39904</v>
      </c>
      <c r="C249">
        <v>-6.9732996710000004</v>
      </c>
      <c r="D249">
        <v>1.519357608</v>
      </c>
      <c r="E249">
        <v>-3.8557253419999999</v>
      </c>
      <c r="F249">
        <v>-3.6259190239999999</v>
      </c>
      <c r="G249">
        <v>-1.615468192</v>
      </c>
      <c r="H249">
        <v>-2.2485177049999998</v>
      </c>
      <c r="I249">
        <v>-3.1961235370000001</v>
      </c>
      <c r="J249">
        <v>-1.9932637499999999</v>
      </c>
      <c r="K249">
        <v>6.4</v>
      </c>
      <c r="L249">
        <v>-4.3392810109999997</v>
      </c>
      <c r="M249">
        <v>-7.0286635860000004</v>
      </c>
      <c r="N249">
        <v>-5.1964215720000002</v>
      </c>
      <c r="O249">
        <v>-5.6804744720000002</v>
      </c>
      <c r="P249">
        <v>-4.2496023000000003</v>
      </c>
      <c r="Q249">
        <v>-13.223561602</v>
      </c>
      <c r="R249">
        <v>-5.3781346579999996</v>
      </c>
      <c r="T249">
        <v>-8.9056617239999998</v>
      </c>
      <c r="U249">
        <v>-3.8789660499999998</v>
      </c>
      <c r="V249">
        <v>-4.9792398560000004</v>
      </c>
      <c r="X249">
        <v>-6.0336217520000002</v>
      </c>
      <c r="Y249">
        <v>-6.7702908109999997</v>
      </c>
      <c r="Z249">
        <v>-7.0985584700000004</v>
      </c>
      <c r="AA249">
        <v>0.16417000000000001</v>
      </c>
      <c r="AB249">
        <v>-7.2096405609999996</v>
      </c>
      <c r="AC249">
        <v>-6.8256747600000001</v>
      </c>
      <c r="AD249">
        <v>-0.92553547400000002</v>
      </c>
      <c r="AE249">
        <v>-7.2537407890000001</v>
      </c>
      <c r="AF249">
        <v>-8.8440404990000001</v>
      </c>
      <c r="AG249">
        <v>-1.896186505</v>
      </c>
      <c r="AH249">
        <v>-7.3137242179999999</v>
      </c>
      <c r="AI249">
        <v>-12.997780637</v>
      </c>
      <c r="AJ249">
        <v>-5.66178413</v>
      </c>
      <c r="AK249">
        <v>-3.8756721729999999</v>
      </c>
      <c r="AL249">
        <v>-1.2980898750000001</v>
      </c>
      <c r="AM249">
        <v>-2.2642276419999998</v>
      </c>
      <c r="AN249">
        <v>-4.7542564980000002</v>
      </c>
      <c r="AO249">
        <v>2.1876055010000002</v>
      </c>
      <c r="AP249">
        <v>-4.3289468649999998</v>
      </c>
      <c r="AQ249">
        <v>-7.4842842210000002</v>
      </c>
      <c r="AR249">
        <v>-6.1291568200000004</v>
      </c>
      <c r="AS249">
        <v>-6.9755220199999997</v>
      </c>
      <c r="AT249">
        <v>-5.4892176289999997</v>
      </c>
      <c r="AU249">
        <v>-12.933908435999999</v>
      </c>
      <c r="AV249">
        <v>-3.2823924440000001</v>
      </c>
      <c r="AW249">
        <v>-0.684149216</v>
      </c>
    </row>
    <row r="250" spans="1:49" x14ac:dyDescent="0.35">
      <c r="A250" t="s">
        <v>314</v>
      </c>
      <c r="B250" s="73">
        <v>39995</v>
      </c>
      <c r="C250">
        <v>-9.5415616700000001</v>
      </c>
      <c r="D250">
        <v>1.9212047299999999</v>
      </c>
      <c r="E250">
        <v>-5.3743786800000004</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-5.3845233620000004</v>
      </c>
      <c r="P250">
        <v>-4.3644869120000003</v>
      </c>
      <c r="Q250">
        <v>-16.995008137999999</v>
      </c>
      <c r="R250">
        <v>-5.1997720589999998</v>
      </c>
      <c r="T250">
        <v>-8.5694242079999992</v>
      </c>
      <c r="U250">
        <v>-3.363053378</v>
      </c>
      <c r="V250">
        <v>-4.9160647849999997</v>
      </c>
      <c r="X250">
        <v>-5.8545823219999997</v>
      </c>
      <c r="Y250">
        <v>-3.564516207</v>
      </c>
      <c r="Z250">
        <v>-7.6300065589999999</v>
      </c>
      <c r="AA250">
        <v>4.8825200000000004</v>
      </c>
      <c r="AB250">
        <v>-5.6293979790000002</v>
      </c>
      <c r="AC250">
        <v>-10.520509761</v>
      </c>
      <c r="AD250">
        <v>0.33099423</v>
      </c>
      <c r="AE250">
        <v>-6.8309876559999996</v>
      </c>
      <c r="AF250">
        <v>-6.5174482669999998</v>
      </c>
      <c r="AG250">
        <v>-1.106362311</v>
      </c>
      <c r="AH250">
        <v>-5.1190121079999997</v>
      </c>
      <c r="AI250">
        <v>-14.916837664000001</v>
      </c>
      <c r="AJ250">
        <v>-7.7558663220000001</v>
      </c>
      <c r="AK250">
        <v>-4.3444474729999998</v>
      </c>
      <c r="AL250">
        <v>-2.220005934</v>
      </c>
      <c r="AM250">
        <v>-2.0626120979999998</v>
      </c>
      <c r="AN250">
        <v>-4.5825174889999998</v>
      </c>
      <c r="AO250">
        <v>1.8011741290000001</v>
      </c>
      <c r="AP250">
        <v>-3.7693423250000002</v>
      </c>
      <c r="AQ250">
        <v>-9.3971492049999998</v>
      </c>
      <c r="AR250">
        <v>-5.7106819980000001</v>
      </c>
      <c r="AS250">
        <v>-9.4931721160000002</v>
      </c>
      <c r="AT250">
        <v>-5.3848796109999997</v>
      </c>
      <c r="AU250">
        <v>-6.1135173890000001</v>
      </c>
      <c r="AV250">
        <v>-3.995504779</v>
      </c>
      <c r="AW250">
        <v>-2.2188104769999999</v>
      </c>
    </row>
    <row r="251" spans="1:49" x14ac:dyDescent="0.35">
      <c r="A251" t="s">
        <v>315</v>
      </c>
      <c r="B251" s="73">
        <v>40087</v>
      </c>
      <c r="C251">
        <v>-6.6802749029999999</v>
      </c>
      <c r="D251">
        <v>1.577954944</v>
      </c>
      <c r="E251">
        <v>-4.3923035270000002</v>
      </c>
      <c r="F251">
        <v>-1.849735973</v>
      </c>
      <c r="G251">
        <v>-1.1461782840000001</v>
      </c>
      <c r="H251">
        <v>-4.0173066549999996</v>
      </c>
      <c r="I251">
        <v>-2.9008758939999999</v>
      </c>
      <c r="J251">
        <v>-0.68624026400000004</v>
      </c>
      <c r="K251">
        <v>10.6</v>
      </c>
      <c r="L251">
        <v>-5.1683925650000004</v>
      </c>
      <c r="M251">
        <v>-5.5295601190000001</v>
      </c>
      <c r="N251">
        <v>-5.2906003520000002</v>
      </c>
      <c r="O251">
        <v>-4.4989763930000004</v>
      </c>
      <c r="P251">
        <v>-3.9846582289999999</v>
      </c>
      <c r="Q251">
        <v>-18.666625132</v>
      </c>
      <c r="R251">
        <v>-4.3680849559999997</v>
      </c>
      <c r="T251">
        <v>-8.0415882409999995</v>
      </c>
      <c r="U251">
        <v>-3.0254314070000001</v>
      </c>
      <c r="V251">
        <v>-3.9632072059999999</v>
      </c>
      <c r="X251">
        <v>-4.2817537950000002</v>
      </c>
      <c r="Y251">
        <v>-4.1706773479999999</v>
      </c>
      <c r="Z251">
        <v>-7.4539485750000001</v>
      </c>
      <c r="AA251">
        <v>6.63314</v>
      </c>
      <c r="AB251">
        <v>-5.5139948060000004</v>
      </c>
      <c r="AC251">
        <v>-4.0546457580000004</v>
      </c>
      <c r="AD251">
        <v>0.93902072000000003</v>
      </c>
      <c r="AE251">
        <v>-5.0383808239999999</v>
      </c>
      <c r="AF251">
        <v>-5.3843345280000001</v>
      </c>
      <c r="AG251">
        <v>1.028926786</v>
      </c>
      <c r="AH251">
        <v>-2.2847122450000001</v>
      </c>
      <c r="AI251">
        <v>-15.828308238</v>
      </c>
      <c r="AJ251">
        <v>-5.0173734479999998</v>
      </c>
      <c r="AK251">
        <v>-3.8436950759999999</v>
      </c>
      <c r="AL251">
        <v>-1.9777488519999999</v>
      </c>
      <c r="AM251">
        <v>-1.17045222</v>
      </c>
      <c r="AN251">
        <v>-3.5368707170000002</v>
      </c>
      <c r="AO251">
        <v>2.5048693910000002</v>
      </c>
      <c r="AP251">
        <v>-2.8401853930000001</v>
      </c>
      <c r="AQ251">
        <v>-7.6486395800000002</v>
      </c>
      <c r="AR251">
        <v>-5.378923983</v>
      </c>
      <c r="AS251">
        <v>-8.7754250000000003</v>
      </c>
      <c r="AT251">
        <v>-4.9682251339999999</v>
      </c>
      <c r="AU251">
        <v>-2.085237668</v>
      </c>
      <c r="AV251">
        <v>-3.137675003</v>
      </c>
      <c r="AW251">
        <v>-2.2256643660000002</v>
      </c>
    </row>
    <row r="252" spans="1:49" x14ac:dyDescent="0.35">
      <c r="A252" t="s">
        <v>316</v>
      </c>
      <c r="B252" s="73">
        <v>40179</v>
      </c>
      <c r="C252">
        <v>-0.25698246499999999</v>
      </c>
      <c r="D252">
        <v>2.777309314</v>
      </c>
      <c r="E252">
        <v>-1.538639756</v>
      </c>
      <c r="F252">
        <v>1.131078891</v>
      </c>
      <c r="G252">
        <v>5.3682468229999998</v>
      </c>
      <c r="H252">
        <v>-1.7588737109999999</v>
      </c>
      <c r="I252">
        <v>0.69837962600000003</v>
      </c>
      <c r="J252">
        <v>1.3492223640000001</v>
      </c>
      <c r="K252">
        <v>11.9</v>
      </c>
      <c r="L252">
        <v>-3.1905430099999998</v>
      </c>
      <c r="M252">
        <v>-3.2932683549999999</v>
      </c>
      <c r="N252">
        <v>-2.9119422089999998</v>
      </c>
      <c r="O252">
        <v>-2.3160846639999999</v>
      </c>
      <c r="P252">
        <v>-2.4309188260000001</v>
      </c>
      <c r="Q252">
        <v>-7.3549506759999996</v>
      </c>
      <c r="R252">
        <v>-2.1552385040000002</v>
      </c>
      <c r="T252">
        <v>-6.7505678900000001</v>
      </c>
      <c r="U252">
        <v>-0.84355977400000004</v>
      </c>
      <c r="V252">
        <v>-0.97686416600000003</v>
      </c>
      <c r="X252">
        <v>-1.7590155160000001</v>
      </c>
      <c r="Y252">
        <v>-2.6883492979999999</v>
      </c>
      <c r="Z252">
        <v>-4.1184241259999999</v>
      </c>
      <c r="AA252">
        <v>8.7676200000000009</v>
      </c>
      <c r="AB252">
        <v>-4.4556574830000004</v>
      </c>
      <c r="AC252">
        <v>-9.0221414329999998</v>
      </c>
      <c r="AD252">
        <v>3.2620382120000002</v>
      </c>
      <c r="AE252">
        <v>-2.0427225569999998</v>
      </c>
      <c r="AF252">
        <v>-1.78662981</v>
      </c>
      <c r="AG252">
        <v>5.2394253290000004</v>
      </c>
      <c r="AH252">
        <v>1.9276117989999999</v>
      </c>
      <c r="AI252">
        <v>-13.441777737000001</v>
      </c>
      <c r="AJ252">
        <v>-1.8409262900000001</v>
      </c>
      <c r="AK252">
        <v>-2.62188036</v>
      </c>
      <c r="AL252">
        <v>-2.2312238180000001</v>
      </c>
      <c r="AM252">
        <v>0.77912441300000002</v>
      </c>
      <c r="AN252">
        <v>-0.68326538800000003</v>
      </c>
      <c r="AO252">
        <v>3.9174274269999998</v>
      </c>
      <c r="AP252">
        <v>-1.521659332</v>
      </c>
      <c r="AQ252">
        <v>-3.5116623069999999</v>
      </c>
      <c r="AR252">
        <v>-4.6350576910000001</v>
      </c>
      <c r="AS252">
        <v>-5.334067256</v>
      </c>
      <c r="AT252">
        <v>-1.00559844</v>
      </c>
      <c r="AU252">
        <v>2.4281146589999998</v>
      </c>
      <c r="AV252">
        <v>8.1657584000000005E-2</v>
      </c>
      <c r="AW252">
        <v>-1.0100383289999999</v>
      </c>
    </row>
    <row r="253" spans="1:49" x14ac:dyDescent="0.35">
      <c r="A253" t="s">
        <v>317</v>
      </c>
      <c r="B253" s="73">
        <v>40269</v>
      </c>
      <c r="C253">
        <v>6.6643742110000002</v>
      </c>
      <c r="D253">
        <v>2.2736652340000001</v>
      </c>
      <c r="E253">
        <v>-0.20609052999999999</v>
      </c>
      <c r="F253">
        <v>2.6541432469999999</v>
      </c>
      <c r="G253">
        <v>9.1290102690000001</v>
      </c>
      <c r="H253">
        <v>1.7249135680000001</v>
      </c>
      <c r="I253">
        <v>3.5523135520000002</v>
      </c>
      <c r="J253">
        <v>2.1740241779999998</v>
      </c>
      <c r="K253">
        <v>12.2</v>
      </c>
      <c r="L253">
        <v>0.85261570900000005</v>
      </c>
      <c r="M253">
        <v>2.2833968119999999</v>
      </c>
      <c r="N253">
        <v>-0.65945902199999995</v>
      </c>
      <c r="O253">
        <v>1.2478037959999999</v>
      </c>
      <c r="P253">
        <v>0.15164467600000001</v>
      </c>
      <c r="Q253">
        <v>-3.5195269389999999</v>
      </c>
      <c r="R253">
        <v>1.1759038429999999</v>
      </c>
      <c r="T253">
        <v>0.70712215</v>
      </c>
      <c r="U253">
        <v>1.2257608419999999</v>
      </c>
      <c r="V253">
        <v>2.0210307360000002</v>
      </c>
      <c r="X253">
        <v>1.1371052049999999</v>
      </c>
      <c r="Y253">
        <v>-3.626397055</v>
      </c>
      <c r="Z253">
        <v>1.7033093999999999E-2</v>
      </c>
      <c r="AA253">
        <v>13.69473</v>
      </c>
      <c r="AB253">
        <v>-0.41883689600000001</v>
      </c>
      <c r="AC253">
        <v>-5.0375934859999996</v>
      </c>
      <c r="AD253">
        <v>5.1279649340000004</v>
      </c>
      <c r="AE253">
        <v>0.80554236000000001</v>
      </c>
      <c r="AF253">
        <v>4.2570408720000001</v>
      </c>
      <c r="AG253">
        <v>7.2046764559999996</v>
      </c>
      <c r="AH253">
        <v>5.4764552850000001</v>
      </c>
      <c r="AI253">
        <v>-10.728415948</v>
      </c>
      <c r="AJ253">
        <v>4.5402251859999998</v>
      </c>
      <c r="AK253">
        <v>0.81722148999999999</v>
      </c>
      <c r="AL253">
        <v>1.534443832</v>
      </c>
      <c r="AM253">
        <v>1.983945431</v>
      </c>
      <c r="AN253">
        <v>2.3192708849999999</v>
      </c>
      <c r="AO253">
        <v>2.0258039320000001</v>
      </c>
      <c r="AP253">
        <v>1.8521177310000001</v>
      </c>
      <c r="AQ253">
        <v>2.1546811180000001</v>
      </c>
      <c r="AR253">
        <v>7.7962935379999996</v>
      </c>
      <c r="AS253">
        <v>-1.1401011240000001</v>
      </c>
      <c r="AT253">
        <v>3.1447289070000002</v>
      </c>
      <c r="AU253">
        <v>8.2576938200000001</v>
      </c>
      <c r="AV253">
        <v>1.768457232</v>
      </c>
      <c r="AW253">
        <v>1.7273138939999999</v>
      </c>
    </row>
    <row r="254" spans="1:49" x14ac:dyDescent="0.35">
      <c r="A254" t="s">
        <v>318</v>
      </c>
      <c r="B254" s="73">
        <v>40360</v>
      </c>
      <c r="C254">
        <v>13.966431986</v>
      </c>
      <c r="D254">
        <v>2.1994485039999998</v>
      </c>
      <c r="E254">
        <v>1.8921874139999999</v>
      </c>
      <c r="F254">
        <v>3.6161084090000002</v>
      </c>
      <c r="G254">
        <v>8.5056861080000008</v>
      </c>
      <c r="H254">
        <v>3.3854023660000001</v>
      </c>
      <c r="I254">
        <v>3.6047801399999999</v>
      </c>
      <c r="J254">
        <v>6.2600297210000004</v>
      </c>
      <c r="K254">
        <v>10.8</v>
      </c>
      <c r="L254">
        <v>2.474577713</v>
      </c>
      <c r="M254">
        <v>4.4200738480000004</v>
      </c>
      <c r="N254">
        <v>1.996593348</v>
      </c>
      <c r="O254">
        <v>2.255045639</v>
      </c>
      <c r="P254">
        <v>0.31259524700000002</v>
      </c>
      <c r="Q254">
        <v>1.1154731019999999</v>
      </c>
      <c r="R254">
        <v>2.258133317</v>
      </c>
      <c r="T254">
        <v>3.9426311749999998</v>
      </c>
      <c r="U254">
        <v>1.733139223</v>
      </c>
      <c r="V254">
        <v>3.002375099</v>
      </c>
      <c r="X254">
        <v>2.5880617340000001</v>
      </c>
      <c r="Y254">
        <v>-9.6546303980000001</v>
      </c>
      <c r="Z254">
        <v>0.80941770999999996</v>
      </c>
      <c r="AA254">
        <v>10.03998</v>
      </c>
      <c r="AB254">
        <v>0.22736817500000001</v>
      </c>
      <c r="AC254">
        <v>-1.320652377</v>
      </c>
      <c r="AD254">
        <v>5.4005310870000001</v>
      </c>
      <c r="AE254">
        <v>2.01610215</v>
      </c>
      <c r="AF254">
        <v>3.487585261</v>
      </c>
      <c r="AG254">
        <v>7.8045573380000004</v>
      </c>
      <c r="AH254">
        <v>5.6242497370000004</v>
      </c>
      <c r="AI254">
        <v>-5.9966109269999999</v>
      </c>
      <c r="AJ254">
        <v>7.2850358120000003</v>
      </c>
      <c r="AK254">
        <v>1.2572191800000001</v>
      </c>
      <c r="AL254">
        <v>1.3492251280000001</v>
      </c>
      <c r="AM254">
        <v>2.7303754269999998</v>
      </c>
      <c r="AN254">
        <v>3.246378413</v>
      </c>
      <c r="AO254">
        <v>3.262753199</v>
      </c>
      <c r="AP254">
        <v>2.3232618719999998</v>
      </c>
      <c r="AQ254">
        <v>4.6519784560000002</v>
      </c>
      <c r="AR254">
        <v>7.3042401679999998</v>
      </c>
      <c r="AS254">
        <v>1.677687484</v>
      </c>
      <c r="AT254">
        <v>5.2273696159999998</v>
      </c>
      <c r="AU254">
        <v>8.0429741260000007</v>
      </c>
      <c r="AV254">
        <v>2.9274678449999998</v>
      </c>
      <c r="AW254">
        <v>2.9345081049999999</v>
      </c>
    </row>
    <row r="255" spans="1:49" x14ac:dyDescent="0.35">
      <c r="A255" t="s">
        <v>319</v>
      </c>
      <c r="B255" s="73">
        <v>40452</v>
      </c>
      <c r="C255">
        <v>10.292225521000001</v>
      </c>
      <c r="D255">
        <v>2.546483023</v>
      </c>
      <c r="E255">
        <v>2.4726149930000001</v>
      </c>
      <c r="F255">
        <v>2.7498112259999998</v>
      </c>
      <c r="G255">
        <v>6.9641241840000001</v>
      </c>
      <c r="H255">
        <v>3.6517204460000001</v>
      </c>
      <c r="I255">
        <v>2.7242440449999998</v>
      </c>
      <c r="J255">
        <v>7.4686119370000004</v>
      </c>
      <c r="K255">
        <v>9.9</v>
      </c>
      <c r="L255">
        <v>2.7341262739999999</v>
      </c>
      <c r="M255">
        <v>4.6899328929999999</v>
      </c>
      <c r="N255">
        <v>3.256597062</v>
      </c>
      <c r="O255">
        <v>2.2707675410000001</v>
      </c>
      <c r="P255">
        <v>5.0071770000000002E-2</v>
      </c>
      <c r="Q255">
        <v>4.6562901999999999</v>
      </c>
      <c r="R255">
        <v>2.3741857849999999</v>
      </c>
      <c r="T255">
        <v>2.5673015069999998</v>
      </c>
      <c r="U255">
        <v>2.1878773260000002</v>
      </c>
      <c r="V255">
        <v>3.5882260619999999</v>
      </c>
      <c r="X255">
        <v>3.1024917429999999</v>
      </c>
      <c r="Y255">
        <v>-11.997558543</v>
      </c>
      <c r="Z255">
        <v>1.619449009</v>
      </c>
      <c r="AA255">
        <v>10.47142</v>
      </c>
      <c r="AB255">
        <v>1.4730971989999999</v>
      </c>
      <c r="AC255">
        <v>-4.3865458100000003</v>
      </c>
      <c r="AD255">
        <v>5.7566010179999996</v>
      </c>
      <c r="AE255">
        <v>1.8250246349999999</v>
      </c>
      <c r="AF255">
        <v>5.4110123650000004</v>
      </c>
      <c r="AG255">
        <v>5.881250359</v>
      </c>
      <c r="AH255">
        <v>2.1555334390000001</v>
      </c>
      <c r="AI255">
        <v>-1.3405019979999999</v>
      </c>
      <c r="AJ255">
        <v>4.8361627690000004</v>
      </c>
      <c r="AK255">
        <v>1.29867369</v>
      </c>
      <c r="AL255">
        <v>-1.2356003600000001</v>
      </c>
      <c r="AM255">
        <v>2.004223777</v>
      </c>
      <c r="AN255">
        <v>3.4950941200000001</v>
      </c>
      <c r="AO255">
        <v>3.7420300339999999</v>
      </c>
      <c r="AP255">
        <v>1.5134662210000001</v>
      </c>
      <c r="AQ255">
        <v>4.7698428740000001</v>
      </c>
      <c r="AR255">
        <v>6.6248733160000004</v>
      </c>
      <c r="AS255">
        <v>1.8118895239999999</v>
      </c>
      <c r="AT255">
        <v>6.5836382420000001</v>
      </c>
      <c r="AU255">
        <v>8.4385931349999996</v>
      </c>
      <c r="AV255">
        <v>3.3491938139999999</v>
      </c>
      <c r="AW255">
        <v>3.6105983230000001</v>
      </c>
    </row>
    <row r="256" spans="1:49" x14ac:dyDescent="0.35">
      <c r="A256" t="s">
        <v>320</v>
      </c>
      <c r="B256" s="73">
        <v>40544</v>
      </c>
      <c r="C256">
        <v>9.6785057569999999</v>
      </c>
      <c r="D256">
        <v>2.6358774700000001</v>
      </c>
      <c r="E256">
        <v>2.9766719739999998</v>
      </c>
      <c r="F256">
        <v>2.4470176970000002</v>
      </c>
      <c r="G256">
        <v>5.761353336</v>
      </c>
      <c r="H256">
        <v>3.6018732419999999</v>
      </c>
      <c r="I256">
        <v>3.000376417</v>
      </c>
      <c r="J256">
        <v>7.4259778619999999</v>
      </c>
      <c r="K256">
        <v>9.9</v>
      </c>
      <c r="L256">
        <v>3.123834569</v>
      </c>
      <c r="M256">
        <v>4.7680839119999998</v>
      </c>
      <c r="N256">
        <v>2.9308156689999998</v>
      </c>
      <c r="O256">
        <v>2.4415438890000001</v>
      </c>
      <c r="P256">
        <v>0.13765314400000001</v>
      </c>
      <c r="Q256">
        <v>6.3566215809999997</v>
      </c>
      <c r="R256">
        <v>2.5665775790000001</v>
      </c>
      <c r="T256">
        <v>5.536019488</v>
      </c>
      <c r="U256">
        <v>2.1358137890000002</v>
      </c>
      <c r="V256">
        <v>3.0006192110000001</v>
      </c>
      <c r="X256">
        <v>2.8932686460000001</v>
      </c>
      <c r="Y256">
        <v>-12.776300022999999</v>
      </c>
      <c r="Z256">
        <v>1.6316503149999999</v>
      </c>
      <c r="AA256">
        <v>10.68164</v>
      </c>
      <c r="AB256">
        <v>3.2909613059999998</v>
      </c>
      <c r="AC256">
        <v>-0.59104967900000005</v>
      </c>
      <c r="AD256">
        <v>5.9359551189999999</v>
      </c>
      <c r="AE256">
        <v>2.0338921280000002</v>
      </c>
      <c r="AF256">
        <v>3.2639832370000001</v>
      </c>
      <c r="AG256">
        <v>6.3777791490000002</v>
      </c>
      <c r="AH256">
        <v>1.788938095</v>
      </c>
      <c r="AI256">
        <v>-0.78209341600000004</v>
      </c>
      <c r="AJ256">
        <v>3.920218089</v>
      </c>
      <c r="AK256">
        <v>1.828137541</v>
      </c>
      <c r="AL256">
        <v>1.4891614200000001</v>
      </c>
      <c r="AM256">
        <v>0.220885998</v>
      </c>
      <c r="AN256">
        <v>3.1693083290000001</v>
      </c>
      <c r="AO256">
        <v>3.2984688100000001</v>
      </c>
      <c r="AP256">
        <v>1.268103738</v>
      </c>
      <c r="AQ256">
        <v>4.9515095230000004</v>
      </c>
      <c r="AR256">
        <v>5.2190080510000003</v>
      </c>
      <c r="AS256">
        <v>2.5272743879999999</v>
      </c>
      <c r="AT256">
        <v>7.741940713</v>
      </c>
      <c r="AU256">
        <v>9.5775519819999992</v>
      </c>
      <c r="AV256">
        <v>2.7884496909999998</v>
      </c>
      <c r="AW256">
        <v>3.8821221100000001</v>
      </c>
    </row>
    <row r="257" spans="1:49" x14ac:dyDescent="0.35">
      <c r="A257" t="s">
        <v>321</v>
      </c>
      <c r="B257" s="73">
        <v>40634</v>
      </c>
      <c r="C257">
        <v>8.9741063899999993</v>
      </c>
      <c r="D257">
        <v>1.8770253779999999</v>
      </c>
      <c r="E257">
        <v>4.2691123729999996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2.918508391</v>
      </c>
      <c r="P257">
        <v>9.6489990000000001E-3</v>
      </c>
      <c r="Q257">
        <v>7.0378228759999999</v>
      </c>
      <c r="R257">
        <v>3.0564130899999999</v>
      </c>
      <c r="T257">
        <v>5.0726469959999996</v>
      </c>
      <c r="U257">
        <v>2.8544879430000001</v>
      </c>
      <c r="V257">
        <v>2.4313453960000002</v>
      </c>
      <c r="X257">
        <v>2.183685052</v>
      </c>
      <c r="Y257">
        <v>-11.133236986</v>
      </c>
      <c r="Z257">
        <v>2.5175619060000001</v>
      </c>
      <c r="AA257">
        <v>9.8514900000000001</v>
      </c>
      <c r="AB257">
        <v>2.3155831500000001</v>
      </c>
      <c r="AC257">
        <v>1.495852886</v>
      </c>
      <c r="AD257">
        <v>5.655434713</v>
      </c>
      <c r="AE257">
        <v>2.2145687170000001</v>
      </c>
      <c r="AF257">
        <v>1.11434415</v>
      </c>
      <c r="AG257">
        <v>5.3073706820000002</v>
      </c>
      <c r="AH257">
        <v>1.658453382</v>
      </c>
      <c r="AI257">
        <v>-1.526735154</v>
      </c>
      <c r="AJ257">
        <v>3.6235647590000002</v>
      </c>
      <c r="AK257">
        <v>2.6096283680000001</v>
      </c>
      <c r="AL257">
        <v>-0.76260868500000001</v>
      </c>
      <c r="AM257">
        <v>1.001223491</v>
      </c>
      <c r="AN257">
        <v>2.8263153660000002</v>
      </c>
      <c r="AO257">
        <v>5.3392116300000003</v>
      </c>
      <c r="AP257">
        <v>-0.22223320899999999</v>
      </c>
      <c r="AQ257">
        <v>3.9411241459999999</v>
      </c>
      <c r="AR257">
        <v>3.4432343429999999</v>
      </c>
      <c r="AS257">
        <v>3.2725017350000001</v>
      </c>
      <c r="AT257">
        <v>5.3634556570000003</v>
      </c>
      <c r="AU257">
        <v>12.378786377999999</v>
      </c>
      <c r="AV257">
        <v>2.0306081909999998</v>
      </c>
      <c r="AW257">
        <v>3.6953156759999999</v>
      </c>
    </row>
    <row r="258" spans="1:49" x14ac:dyDescent="0.35">
      <c r="A258" t="s">
        <v>322</v>
      </c>
      <c r="B258" s="73">
        <v>40725</v>
      </c>
      <c r="C258">
        <v>5.3751030249999996</v>
      </c>
      <c r="D258">
        <v>2.508012012</v>
      </c>
      <c r="E258">
        <v>3.3541977460000001</v>
      </c>
      <c r="F258">
        <v>1.6204249390000001</v>
      </c>
      <c r="G258">
        <v>4.7447406980000002</v>
      </c>
      <c r="H258">
        <v>2.80319874</v>
      </c>
      <c r="I258">
        <v>2.5168053380000002</v>
      </c>
      <c r="J258">
        <v>6.2777655589999997</v>
      </c>
      <c r="K258">
        <v>10</v>
      </c>
      <c r="L258">
        <v>2.088883901</v>
      </c>
      <c r="M258">
        <v>3.7042221880000001</v>
      </c>
      <c r="N258">
        <v>2.5956930520000001</v>
      </c>
      <c r="O258">
        <v>1.907098336</v>
      </c>
      <c r="P258">
        <v>-0.45613034000000002</v>
      </c>
      <c r="Q258">
        <v>7.7160294760000001</v>
      </c>
      <c r="R258">
        <v>2.1080071760000001</v>
      </c>
      <c r="T258">
        <v>2.070675525</v>
      </c>
      <c r="U258">
        <v>2.2538485640000001</v>
      </c>
      <c r="V258">
        <v>1.5729087260000001</v>
      </c>
      <c r="X258">
        <v>1.0842964770000001</v>
      </c>
      <c r="Y258">
        <v>-9.4082803380000009</v>
      </c>
      <c r="Z258">
        <v>1.6395834949999999</v>
      </c>
      <c r="AA258">
        <v>8.5739400000000003</v>
      </c>
      <c r="AB258">
        <v>2.8253295129999998</v>
      </c>
      <c r="AC258">
        <v>0.15667753600000001</v>
      </c>
      <c r="AD258">
        <v>5.3407316329999999</v>
      </c>
      <c r="AE258">
        <v>1.5530022750000001</v>
      </c>
      <c r="AF258">
        <v>-0.94323783900000002</v>
      </c>
      <c r="AG258">
        <v>3.8512425129999999</v>
      </c>
      <c r="AH258">
        <v>-0.60821862299999996</v>
      </c>
      <c r="AI258">
        <v>2.6299791849999998</v>
      </c>
      <c r="AJ258">
        <v>3.0484657570000002</v>
      </c>
      <c r="AK258">
        <v>2.0698547920000001</v>
      </c>
      <c r="AL258">
        <v>-0.109608627</v>
      </c>
      <c r="AM258">
        <v>0.81638440999999995</v>
      </c>
      <c r="AN258">
        <v>2.074263948</v>
      </c>
      <c r="AO258">
        <v>5.1369946149999999</v>
      </c>
      <c r="AP258">
        <v>-1.196017007</v>
      </c>
      <c r="AQ258">
        <v>3.9386446780000002</v>
      </c>
      <c r="AR258">
        <v>2.872151294</v>
      </c>
      <c r="AS258">
        <v>0.83243640299999999</v>
      </c>
      <c r="AT258">
        <v>3.5613498739999998</v>
      </c>
      <c r="AU258">
        <v>11.238746556000001</v>
      </c>
      <c r="AV258">
        <v>1.737905069</v>
      </c>
      <c r="AW258">
        <v>3.4076528499999998</v>
      </c>
    </row>
    <row r="259" spans="1:49" x14ac:dyDescent="0.35">
      <c r="A259" t="s">
        <v>323</v>
      </c>
      <c r="B259" s="73">
        <v>40817</v>
      </c>
      <c r="C259">
        <v>5.6157908460000003</v>
      </c>
      <c r="D259">
        <v>3.2068460920000001</v>
      </c>
      <c r="E259">
        <v>2.8923767140000001</v>
      </c>
      <c r="F259">
        <v>1.4881499170000001</v>
      </c>
      <c r="G259">
        <v>3.600335308</v>
      </c>
      <c r="H259">
        <v>3.4880974490000001</v>
      </c>
      <c r="I259">
        <v>1.672969114</v>
      </c>
      <c r="J259">
        <v>4.5062581760000002</v>
      </c>
      <c r="K259">
        <v>9.4</v>
      </c>
      <c r="L259">
        <v>1.1580376370000001</v>
      </c>
      <c r="M259">
        <v>3.7714824770000002</v>
      </c>
      <c r="N259">
        <v>-0.26152291599999999</v>
      </c>
      <c r="O259">
        <v>1.6380320880000001</v>
      </c>
      <c r="P259">
        <v>-1.0509809160000001</v>
      </c>
      <c r="Q259">
        <v>7.9334044099999996</v>
      </c>
      <c r="R259">
        <v>1.806644822</v>
      </c>
      <c r="T259">
        <v>2.6170746540000001</v>
      </c>
      <c r="U259">
        <v>2.1222848320000001</v>
      </c>
      <c r="V259">
        <v>1.185784698</v>
      </c>
      <c r="X259">
        <v>0.60148749999999995</v>
      </c>
      <c r="Y259">
        <v>-8.2085682030000005</v>
      </c>
      <c r="Z259">
        <v>1.050238765</v>
      </c>
      <c r="AA259">
        <v>5.4526000000000003</v>
      </c>
      <c r="AB259">
        <v>1.249538222</v>
      </c>
      <c r="AC259">
        <v>4.0883410519999996</v>
      </c>
      <c r="AD259">
        <v>6.2095903750000003</v>
      </c>
      <c r="AE259">
        <v>0.60872464900000001</v>
      </c>
      <c r="AF259">
        <v>-0.343511701</v>
      </c>
      <c r="AG259">
        <v>3.2055896160000001</v>
      </c>
      <c r="AH259">
        <v>1.8511198529999999</v>
      </c>
      <c r="AI259">
        <v>4.6017515490000003</v>
      </c>
      <c r="AJ259">
        <v>4.0631821800000001</v>
      </c>
      <c r="AK259">
        <v>1.6212728080000001</v>
      </c>
      <c r="AL259">
        <v>4.093500015</v>
      </c>
      <c r="AM259">
        <v>2.0744529699999998</v>
      </c>
      <c r="AN259">
        <v>1.8240087199999999</v>
      </c>
      <c r="AO259">
        <v>5.0713944819999996</v>
      </c>
      <c r="AP259">
        <v>-2.049629081</v>
      </c>
      <c r="AQ259">
        <v>4.5877987060000001</v>
      </c>
      <c r="AR259">
        <v>2.162439939</v>
      </c>
      <c r="AS259">
        <v>0.50339825000000005</v>
      </c>
      <c r="AT259">
        <v>3.6292032330000001</v>
      </c>
      <c r="AU259">
        <v>11.117671024</v>
      </c>
      <c r="AV259">
        <v>0.91822084800000003</v>
      </c>
      <c r="AW259">
        <v>2.919288694</v>
      </c>
    </row>
    <row r="260" spans="1:49" x14ac:dyDescent="0.35">
      <c r="A260" t="s">
        <v>324</v>
      </c>
      <c r="B260" s="73">
        <v>40909</v>
      </c>
      <c r="C260">
        <v>4.2144027849999999</v>
      </c>
      <c r="D260">
        <v>3.441927615</v>
      </c>
      <c r="E260">
        <v>1.680631786</v>
      </c>
      <c r="F260">
        <v>1.272481695</v>
      </c>
      <c r="G260">
        <v>3.0299960989999999</v>
      </c>
      <c r="H260">
        <v>3.150369226</v>
      </c>
      <c r="I260">
        <v>0.88401567199999997</v>
      </c>
      <c r="J260">
        <v>5.5235333539999996</v>
      </c>
      <c r="K260">
        <v>8.8000000000000007</v>
      </c>
      <c r="L260">
        <v>0.81070903999999999</v>
      </c>
      <c r="M260">
        <v>2.6040520649999999</v>
      </c>
      <c r="N260">
        <v>0.78033347500000005</v>
      </c>
      <c r="O260">
        <v>0.61316382899999999</v>
      </c>
      <c r="P260">
        <v>-1.758500717</v>
      </c>
      <c r="Q260">
        <v>5.677474685</v>
      </c>
      <c r="R260">
        <v>0.80871708499999995</v>
      </c>
      <c r="T260">
        <v>0.53424172999999997</v>
      </c>
      <c r="U260">
        <v>1.626966905</v>
      </c>
      <c r="V260">
        <v>1.2960148760000001</v>
      </c>
      <c r="X260">
        <v>0.42154338699999999</v>
      </c>
      <c r="Y260">
        <v>-11.629705435</v>
      </c>
      <c r="Z260">
        <v>2.3097355429999999</v>
      </c>
      <c r="AA260">
        <v>4.7392500000000002</v>
      </c>
      <c r="AB260">
        <v>2.93691747</v>
      </c>
      <c r="AC260">
        <v>1.679514642</v>
      </c>
      <c r="AD260">
        <v>5.2834481609999999</v>
      </c>
      <c r="AE260">
        <v>-0.89499977500000005</v>
      </c>
      <c r="AF260">
        <v>0.33173177300000001</v>
      </c>
      <c r="AG260">
        <v>2.4439098600000002</v>
      </c>
      <c r="AH260">
        <v>1.2356190039999999</v>
      </c>
      <c r="AI260">
        <v>3.8126196010000002</v>
      </c>
      <c r="AJ260">
        <v>3.9420034030000002</v>
      </c>
      <c r="AK260">
        <v>-0.11867016599999999</v>
      </c>
      <c r="AL260">
        <v>1.2968064640000001</v>
      </c>
      <c r="AM260">
        <v>3.2039508589999999</v>
      </c>
      <c r="AN260">
        <v>1.679015173</v>
      </c>
      <c r="AO260">
        <v>4.7888609390000001</v>
      </c>
      <c r="AP260">
        <v>-3.3101667080000001</v>
      </c>
      <c r="AQ260">
        <v>4.5368792630000003</v>
      </c>
      <c r="AR260">
        <v>2.231571336</v>
      </c>
      <c r="AS260">
        <v>7.1780775000000005E-2</v>
      </c>
      <c r="AT260">
        <v>0.58302146899999996</v>
      </c>
      <c r="AU260">
        <v>9.3209064149999996</v>
      </c>
      <c r="AV260">
        <v>1.5226915240000001</v>
      </c>
      <c r="AW260">
        <v>2.667734136</v>
      </c>
    </row>
    <row r="261" spans="1:49" x14ac:dyDescent="0.35">
      <c r="A261" t="s">
        <v>325</v>
      </c>
      <c r="B261" s="73">
        <v>41000</v>
      </c>
      <c r="C261">
        <v>0.72826581899999998</v>
      </c>
      <c r="D261">
        <v>4.757739011</v>
      </c>
      <c r="E261">
        <v>1.7409676039999999</v>
      </c>
      <c r="F261">
        <v>1.0036081379999999</v>
      </c>
      <c r="G261">
        <v>0.256962258</v>
      </c>
      <c r="H261">
        <v>2.442677819</v>
      </c>
      <c r="I261">
        <v>0.916862591</v>
      </c>
      <c r="J261">
        <v>6.4515151810000004</v>
      </c>
      <c r="K261">
        <v>8.1</v>
      </c>
      <c r="L261">
        <v>6.6262848999999999E-2</v>
      </c>
      <c r="M261">
        <v>0.86290537899999997</v>
      </c>
      <c r="N261">
        <v>0.49142101599999999</v>
      </c>
      <c r="O261">
        <v>-0.50807826700000003</v>
      </c>
      <c r="P261">
        <v>-2.5270516989999998</v>
      </c>
      <c r="Q261">
        <v>4.1924712749999999</v>
      </c>
      <c r="R261">
        <v>-0.27589913700000002</v>
      </c>
      <c r="T261">
        <v>-0.46093186000000003</v>
      </c>
      <c r="U261">
        <v>0.611612194</v>
      </c>
      <c r="V261">
        <v>1.8173076429999999</v>
      </c>
      <c r="X261">
        <v>0.99934531500000001</v>
      </c>
      <c r="Y261">
        <v>-8.3289921190000005</v>
      </c>
      <c r="Z261">
        <v>-0.37543066200000003</v>
      </c>
      <c r="AA261">
        <v>4.2765399999999998</v>
      </c>
      <c r="AB261">
        <v>-0.43099620199999999</v>
      </c>
      <c r="AC261">
        <v>2.5916760010000002</v>
      </c>
      <c r="AD261">
        <v>4.3048047809999996</v>
      </c>
      <c r="AE261">
        <v>-2.5252478639999998</v>
      </c>
      <c r="AF261">
        <v>2.8058835210000002</v>
      </c>
      <c r="AG261">
        <v>2.3754352729999999</v>
      </c>
      <c r="AH261">
        <v>0.35389986699999998</v>
      </c>
      <c r="AI261">
        <v>10.602886147</v>
      </c>
      <c r="AJ261">
        <v>3.8310557360000002</v>
      </c>
      <c r="AK261">
        <v>-0.89854306100000003</v>
      </c>
      <c r="AL261">
        <v>3.6059136879999998</v>
      </c>
      <c r="AM261">
        <v>2.715471119</v>
      </c>
      <c r="AN261">
        <v>1.884682263</v>
      </c>
      <c r="AO261">
        <v>3.5257650900000002</v>
      </c>
      <c r="AP261">
        <v>-3.19826619</v>
      </c>
      <c r="AQ261">
        <v>4.965895927</v>
      </c>
      <c r="AR261">
        <v>2.1435669239999999</v>
      </c>
      <c r="AS261">
        <v>-1.235983754</v>
      </c>
      <c r="AT261">
        <v>0.39830045600000002</v>
      </c>
      <c r="AU261">
        <v>5.9600093440000004</v>
      </c>
      <c r="AV261">
        <v>2.600249298</v>
      </c>
      <c r="AW261">
        <v>2.2428092080000002</v>
      </c>
    </row>
    <row r="262" spans="1:49" x14ac:dyDescent="0.35">
      <c r="A262" t="s">
        <v>326</v>
      </c>
      <c r="B262" s="73">
        <v>41091</v>
      </c>
      <c r="C262">
        <v>-3.6033080239999999</v>
      </c>
      <c r="D262">
        <v>4.1957991620000001</v>
      </c>
      <c r="E262">
        <v>0.89529071999999998</v>
      </c>
      <c r="F262">
        <v>0.79376285999999996</v>
      </c>
      <c r="G262">
        <v>1.0435457159999999</v>
      </c>
      <c r="H262">
        <v>2.5769820449999998</v>
      </c>
      <c r="I262">
        <v>0.51732785199999998</v>
      </c>
      <c r="J262">
        <v>6.8888457189999999</v>
      </c>
      <c r="K262">
        <v>7.7</v>
      </c>
      <c r="L262">
        <v>-0.78653013999999999</v>
      </c>
      <c r="M262">
        <v>0.97772291600000005</v>
      </c>
      <c r="N262">
        <v>-0.43096579600000001</v>
      </c>
      <c r="O262">
        <v>-0.74831555500000002</v>
      </c>
      <c r="P262">
        <v>-3.1610136679999998</v>
      </c>
      <c r="Q262">
        <v>3.4941573290000001</v>
      </c>
      <c r="R262">
        <v>-0.57532287199999999</v>
      </c>
      <c r="T262">
        <v>-1.342555677</v>
      </c>
      <c r="U262">
        <v>0.55948844799999997</v>
      </c>
      <c r="V262">
        <v>1.658473584</v>
      </c>
      <c r="X262">
        <v>0.88671156900000003</v>
      </c>
      <c r="Y262">
        <v>-8.2790928929999996</v>
      </c>
      <c r="Z262">
        <v>-0.95726185600000002</v>
      </c>
      <c r="AA262">
        <v>4.2212199999999998</v>
      </c>
      <c r="AB262">
        <v>-0.32506658799999999</v>
      </c>
      <c r="AC262">
        <v>1.242736332</v>
      </c>
      <c r="AD262">
        <v>3.0686861749999998</v>
      </c>
      <c r="AE262">
        <v>-3.2396119460000001</v>
      </c>
      <c r="AF262">
        <v>2.7643322640000001</v>
      </c>
      <c r="AG262">
        <v>2.4520288529999998</v>
      </c>
      <c r="AH262">
        <v>1.4012085270000001</v>
      </c>
      <c r="AI262">
        <v>6.3245022930000001</v>
      </c>
      <c r="AJ262">
        <v>4.1982964599999999</v>
      </c>
      <c r="AK262">
        <v>-0.759337119</v>
      </c>
      <c r="AL262">
        <v>4.2827281959999999</v>
      </c>
      <c r="AM262">
        <v>2.6784817250000001</v>
      </c>
      <c r="AN262">
        <v>1.6638603169999999</v>
      </c>
      <c r="AO262">
        <v>2.0742799070000002</v>
      </c>
      <c r="AP262">
        <v>-4.0917441290000003</v>
      </c>
      <c r="AQ262">
        <v>4.3829636450000002</v>
      </c>
      <c r="AR262">
        <v>1.5984023000000001</v>
      </c>
      <c r="AS262">
        <v>-2.497232092</v>
      </c>
      <c r="AT262">
        <v>0.194800836</v>
      </c>
      <c r="AU262">
        <v>4.9079508409999999</v>
      </c>
      <c r="AV262">
        <v>2.3738163499999998</v>
      </c>
      <c r="AW262">
        <v>2.5224759780000001</v>
      </c>
    </row>
    <row r="263" spans="1:49" x14ac:dyDescent="0.35">
      <c r="A263" t="s">
        <v>327</v>
      </c>
      <c r="B263" s="73">
        <v>41183</v>
      </c>
      <c r="C263">
        <v>-1.4492440710000001</v>
      </c>
      <c r="D263">
        <v>3.385802542</v>
      </c>
      <c r="E263">
        <v>0.16262251999999999</v>
      </c>
      <c r="F263">
        <v>0.75026148500000001</v>
      </c>
      <c r="G263">
        <v>2.975144604</v>
      </c>
      <c r="H263">
        <v>1.318874171</v>
      </c>
      <c r="I263">
        <v>1.7185454179999999</v>
      </c>
      <c r="J263">
        <v>7.0330178989999999</v>
      </c>
      <c r="K263">
        <v>7.5</v>
      </c>
      <c r="L263">
        <v>-0.96106413000000002</v>
      </c>
      <c r="M263">
        <v>0.37516860899999999</v>
      </c>
      <c r="N263">
        <v>0.91764258600000004</v>
      </c>
      <c r="O263">
        <v>-0.997925273</v>
      </c>
      <c r="P263">
        <v>-3.0380685839999999</v>
      </c>
      <c r="Q263">
        <v>2.302596292</v>
      </c>
      <c r="R263">
        <v>-0.885447231</v>
      </c>
      <c r="T263">
        <v>-1.8428314779999999</v>
      </c>
      <c r="U263">
        <v>0.294397941</v>
      </c>
      <c r="V263">
        <v>1.2968088170000001</v>
      </c>
      <c r="X263">
        <v>1.983557464</v>
      </c>
      <c r="Y263">
        <v>-7.7895601399999999</v>
      </c>
      <c r="Z263">
        <v>-0.863459376</v>
      </c>
      <c r="AA263">
        <v>6.0950300000000004</v>
      </c>
      <c r="AB263">
        <v>0.104975534</v>
      </c>
      <c r="AC263">
        <v>0.23764073899999999</v>
      </c>
      <c r="AD263">
        <v>1.961422137</v>
      </c>
      <c r="AE263">
        <v>-3.2625983509999998</v>
      </c>
      <c r="AF263">
        <v>-5.4752979E-2</v>
      </c>
      <c r="AG263">
        <v>2.3760541210000001</v>
      </c>
      <c r="AH263">
        <v>1.2816050880000001</v>
      </c>
      <c r="AI263">
        <v>6.0612257329999997</v>
      </c>
      <c r="AJ263">
        <v>2.7567839260000002</v>
      </c>
      <c r="AK263">
        <v>-1.1856849279999999</v>
      </c>
      <c r="AL263">
        <v>1.1353285070000001</v>
      </c>
      <c r="AM263">
        <v>1.811565383</v>
      </c>
      <c r="AN263">
        <v>1.2404705039999999</v>
      </c>
      <c r="AO263">
        <v>0.98118433000000005</v>
      </c>
      <c r="AP263">
        <v>-4.4286947659999996</v>
      </c>
      <c r="AQ263">
        <v>3.7274807239999999</v>
      </c>
      <c r="AR263">
        <v>1.218745586</v>
      </c>
      <c r="AS263">
        <v>-2.097033057</v>
      </c>
      <c r="AT263">
        <v>-1.206582437</v>
      </c>
      <c r="AU263">
        <v>3.9943142659999999</v>
      </c>
      <c r="AV263">
        <v>2.592622977</v>
      </c>
      <c r="AW263">
        <v>2.5151112150000001</v>
      </c>
    </row>
    <row r="264" spans="1:49" x14ac:dyDescent="0.35">
      <c r="A264" t="s">
        <v>328</v>
      </c>
      <c r="B264" s="73">
        <v>41275</v>
      </c>
      <c r="C264">
        <v>0.22870831</v>
      </c>
      <c r="D264">
        <v>2.774746505</v>
      </c>
      <c r="E264">
        <v>0.124331987</v>
      </c>
      <c r="F264">
        <v>0.41114297700000002</v>
      </c>
      <c r="G264">
        <v>2.1525984930000002</v>
      </c>
      <c r="H264">
        <v>0.73508072999999996</v>
      </c>
      <c r="I264">
        <v>1.6581397069999999</v>
      </c>
      <c r="J264">
        <v>5.3766126610000002</v>
      </c>
      <c r="K264">
        <v>8.1</v>
      </c>
      <c r="L264">
        <v>-1.1845567530000001</v>
      </c>
      <c r="M264">
        <v>0.25092577700000002</v>
      </c>
      <c r="N264">
        <v>-6.2150336E-2</v>
      </c>
      <c r="O264">
        <v>-1.019215923</v>
      </c>
      <c r="P264">
        <v>-3.1137914260000001</v>
      </c>
      <c r="Q264">
        <v>3.2452003519999999</v>
      </c>
      <c r="R264">
        <v>-0.932424484</v>
      </c>
      <c r="T264">
        <v>-1.9460079990000001</v>
      </c>
      <c r="U264">
        <v>-7.4072069999999999E-3</v>
      </c>
      <c r="V264">
        <v>0.76049792400000005</v>
      </c>
      <c r="X264">
        <v>1.9226106519999999</v>
      </c>
      <c r="Y264">
        <v>-4.3547802369999999</v>
      </c>
      <c r="Z264">
        <v>-2.1998873759999999</v>
      </c>
      <c r="AA264">
        <v>5.6335699999999997</v>
      </c>
      <c r="AB264">
        <v>0.29770073600000002</v>
      </c>
      <c r="AC264">
        <v>0.26043333000000002</v>
      </c>
      <c r="AD264">
        <v>1.7886422529999999</v>
      </c>
      <c r="AE264">
        <v>-3.0420577149999999</v>
      </c>
      <c r="AF264">
        <v>8.2067000000000008E-3</v>
      </c>
      <c r="AG264">
        <v>2.4065722859999998</v>
      </c>
      <c r="AH264">
        <v>3.4976592439999998</v>
      </c>
      <c r="AI264">
        <v>6.3890735779999996</v>
      </c>
      <c r="AJ264">
        <v>2.9718039369999998</v>
      </c>
      <c r="AK264">
        <v>-1.2815215040000001</v>
      </c>
      <c r="AL264">
        <v>1.9101116300000001</v>
      </c>
      <c r="AM264">
        <v>2.6951672860000002</v>
      </c>
      <c r="AN264">
        <v>0.86873084099999998</v>
      </c>
      <c r="AO264">
        <v>0.10314646700000001</v>
      </c>
      <c r="AP264">
        <v>-4.5276429540000001</v>
      </c>
      <c r="AQ264">
        <v>2.5587927939999999</v>
      </c>
      <c r="AR264">
        <v>0.33266686000000001</v>
      </c>
      <c r="AS264">
        <v>-4.1577293849999997</v>
      </c>
      <c r="AT264">
        <v>-0.52371251900000004</v>
      </c>
      <c r="AU264">
        <v>4.2462833499999997</v>
      </c>
      <c r="AV264">
        <v>1.5660643460000001</v>
      </c>
      <c r="AW264">
        <v>2.304199814</v>
      </c>
    </row>
    <row r="265" spans="1:49" x14ac:dyDescent="0.35">
      <c r="A265" t="s">
        <v>329</v>
      </c>
      <c r="B265" s="73">
        <v>41365</v>
      </c>
      <c r="C265">
        <v>1.2910869709999999</v>
      </c>
      <c r="D265">
        <v>2.2609708230000001</v>
      </c>
      <c r="E265">
        <v>-0.81692505500000001</v>
      </c>
      <c r="F265">
        <v>-7.9050592000000003E-2</v>
      </c>
      <c r="G265">
        <v>4.0843372569999996</v>
      </c>
      <c r="H265">
        <v>1.573583484</v>
      </c>
      <c r="I265">
        <v>1.4776207779999999</v>
      </c>
      <c r="J265">
        <v>4.1569456320000002</v>
      </c>
      <c r="K265">
        <v>7.9</v>
      </c>
      <c r="L265">
        <v>-1.437090588</v>
      </c>
      <c r="M265">
        <v>-0.41472453100000001</v>
      </c>
      <c r="N265">
        <v>0.57118820299999995</v>
      </c>
      <c r="O265">
        <v>-1.1357095150000001</v>
      </c>
      <c r="P265">
        <v>-2.5038641049999999</v>
      </c>
      <c r="Q265">
        <v>3.1276817490000002</v>
      </c>
      <c r="R265">
        <v>-0.99948793400000002</v>
      </c>
      <c r="T265">
        <v>-2.3599642940000001</v>
      </c>
      <c r="U265">
        <v>4.3763701000000002E-2</v>
      </c>
      <c r="V265">
        <v>0.728261249</v>
      </c>
      <c r="X265">
        <v>1.320042991</v>
      </c>
      <c r="Y265">
        <v>-4.8694408339999997</v>
      </c>
      <c r="Z265">
        <v>-0.25077060400000001</v>
      </c>
      <c r="AA265">
        <v>5.8606699999999998</v>
      </c>
      <c r="AB265">
        <v>-0.48217249499999998</v>
      </c>
      <c r="AC265">
        <v>4.3019659499999996</v>
      </c>
      <c r="AD265">
        <v>2.7634155389999999</v>
      </c>
      <c r="AE265">
        <v>-2.8813509970000002</v>
      </c>
      <c r="AF265">
        <v>6.79307E-3</v>
      </c>
      <c r="AG265">
        <v>2.4002358959999999</v>
      </c>
      <c r="AH265">
        <v>2.9782032730000001</v>
      </c>
      <c r="AI265">
        <v>1.560851698</v>
      </c>
      <c r="AJ265">
        <v>2.5614018710000002</v>
      </c>
      <c r="AK265">
        <v>-0.75617883100000005</v>
      </c>
      <c r="AL265">
        <v>-0.32605867500000002</v>
      </c>
      <c r="AM265">
        <v>1.894803051</v>
      </c>
      <c r="AN265">
        <v>0.94954700599999997</v>
      </c>
      <c r="AO265">
        <v>-0.36916486399999998</v>
      </c>
      <c r="AP265">
        <v>-3.6042074770000001</v>
      </c>
      <c r="AQ265">
        <v>1.7210856299999999</v>
      </c>
      <c r="AR265">
        <v>0.14875876800000001</v>
      </c>
      <c r="AS265">
        <v>-3.38554836</v>
      </c>
      <c r="AT265">
        <v>0.680154174</v>
      </c>
      <c r="AU265">
        <v>8.2638838620000001</v>
      </c>
      <c r="AV265">
        <v>1.6163010950000001</v>
      </c>
      <c r="AW265">
        <v>2.5169957599999999</v>
      </c>
    </row>
    <row r="266" spans="1:49" x14ac:dyDescent="0.35">
      <c r="A266" t="s">
        <v>330</v>
      </c>
      <c r="B266" s="73">
        <v>41456</v>
      </c>
      <c r="C266">
        <v>5.4570582940000003</v>
      </c>
      <c r="D266">
        <v>1.916589332</v>
      </c>
      <c r="E266">
        <v>-0.34429023399999997</v>
      </c>
      <c r="F266">
        <v>0.50532846399999998</v>
      </c>
      <c r="G266">
        <v>3.7510332489999998</v>
      </c>
      <c r="H266">
        <v>1.8309374890000001</v>
      </c>
      <c r="I266">
        <v>1.978153982</v>
      </c>
      <c r="J266">
        <v>3.056056522</v>
      </c>
      <c r="K266">
        <v>7.6</v>
      </c>
      <c r="L266">
        <v>-0.54201172900000005</v>
      </c>
      <c r="M266">
        <v>0.439891694</v>
      </c>
      <c r="N266">
        <v>0.57021508499999995</v>
      </c>
      <c r="O266">
        <v>-0.36389623500000001</v>
      </c>
      <c r="P266">
        <v>-1.64708867</v>
      </c>
      <c r="Q266">
        <v>1.617111162</v>
      </c>
      <c r="R266">
        <v>-0.27652179100000002</v>
      </c>
      <c r="T266">
        <v>-0.86085371099999997</v>
      </c>
      <c r="U266">
        <v>0.85348000499999999</v>
      </c>
      <c r="V266">
        <v>1.1040211120000001</v>
      </c>
      <c r="X266">
        <v>2.0651750930000001</v>
      </c>
      <c r="Y266">
        <v>-3.1833108860000001</v>
      </c>
      <c r="Z266">
        <v>1.380972093</v>
      </c>
      <c r="AA266">
        <v>6.1179600000000001</v>
      </c>
      <c r="AB266">
        <v>-0.10812991700000001</v>
      </c>
      <c r="AC266">
        <v>4.5070376960000003</v>
      </c>
      <c r="AD266">
        <v>4.8471622769999998</v>
      </c>
      <c r="AE266">
        <v>-2.171401329</v>
      </c>
      <c r="AF266">
        <v>1.8422019279999999</v>
      </c>
      <c r="AG266">
        <v>3.0113611100000002</v>
      </c>
      <c r="AH266">
        <v>4.7347207029999998</v>
      </c>
      <c r="AI266">
        <v>2.0599321019999999</v>
      </c>
      <c r="AJ266">
        <v>1.126699838</v>
      </c>
      <c r="AK266">
        <v>-0.98595240100000003</v>
      </c>
      <c r="AL266">
        <v>0.158910042</v>
      </c>
      <c r="AM266">
        <v>2.6320939330000002</v>
      </c>
      <c r="AN266">
        <v>1.32640387</v>
      </c>
      <c r="AO266">
        <v>0.57050678200000005</v>
      </c>
      <c r="AP266">
        <v>-1.546055897</v>
      </c>
      <c r="AQ266">
        <v>1.6739036089999999</v>
      </c>
      <c r="AR266">
        <v>0.311747997</v>
      </c>
      <c r="AS266">
        <v>-1.311663504</v>
      </c>
      <c r="AT266">
        <v>0.44888344800000002</v>
      </c>
      <c r="AU266">
        <v>9.5497674400000001</v>
      </c>
      <c r="AV266">
        <v>1.29617049</v>
      </c>
      <c r="AW266">
        <v>2.4078493050000001</v>
      </c>
    </row>
    <row r="267" spans="1:49" x14ac:dyDescent="0.35">
      <c r="A267" t="s">
        <v>331</v>
      </c>
      <c r="B267" s="73">
        <v>41548</v>
      </c>
      <c r="C267">
        <v>2.8468243520000001</v>
      </c>
      <c r="D267">
        <v>2.1500821939999999</v>
      </c>
      <c r="E267">
        <v>0.297269014</v>
      </c>
      <c r="F267">
        <v>0.57198187199999995</v>
      </c>
      <c r="G267">
        <v>2.4821500250000001</v>
      </c>
      <c r="H267">
        <v>2.5211811590000002</v>
      </c>
      <c r="I267">
        <v>1.8396828009999999</v>
      </c>
      <c r="J267">
        <v>2.844030429</v>
      </c>
      <c r="K267">
        <v>7.9</v>
      </c>
      <c r="L267">
        <v>0.24717662600000001</v>
      </c>
      <c r="M267">
        <v>0.71897991299999997</v>
      </c>
      <c r="N267">
        <v>1.1122699899999999</v>
      </c>
      <c r="O267">
        <v>3.7991972999999998E-2</v>
      </c>
      <c r="P267">
        <v>-1.1696109800000001</v>
      </c>
      <c r="Q267">
        <v>0.86017889000000003</v>
      </c>
      <c r="R267">
        <v>0.17678496799999999</v>
      </c>
      <c r="T267">
        <v>-0.130193592</v>
      </c>
      <c r="U267">
        <v>0.527375696</v>
      </c>
      <c r="V267">
        <v>1.6539514310000001</v>
      </c>
      <c r="X267">
        <v>1.5676371579999999</v>
      </c>
      <c r="Y267">
        <v>-1.602773709</v>
      </c>
      <c r="Z267">
        <v>2.6119964759999998</v>
      </c>
      <c r="AA267">
        <v>5.9168900000000004</v>
      </c>
      <c r="AB267">
        <v>4.0458890780000001</v>
      </c>
      <c r="AC267">
        <v>3.7944968399999999</v>
      </c>
      <c r="AD267">
        <v>4.9177967960000002</v>
      </c>
      <c r="AE267">
        <v>-1.4549607870000001</v>
      </c>
      <c r="AF267">
        <v>3.2068976149999999</v>
      </c>
      <c r="AG267">
        <v>3.4260396929999999</v>
      </c>
      <c r="AH267">
        <v>3.8220154059999998</v>
      </c>
      <c r="AI267">
        <v>2.1660064409999999</v>
      </c>
      <c r="AJ267">
        <v>1.4613153059999999</v>
      </c>
      <c r="AK267">
        <v>4.0540039999999999E-2</v>
      </c>
      <c r="AL267">
        <v>2.6324242510000002</v>
      </c>
      <c r="AM267">
        <v>3.0137307369999999</v>
      </c>
      <c r="AN267">
        <v>1.865291633</v>
      </c>
      <c r="AO267">
        <v>1.2709043600000001</v>
      </c>
      <c r="AP267">
        <v>-0.56010572800000002</v>
      </c>
      <c r="AQ267">
        <v>1.192806365</v>
      </c>
      <c r="AR267">
        <v>0.68333600299999997</v>
      </c>
      <c r="AS267">
        <v>-1.5522706909999999</v>
      </c>
      <c r="AT267">
        <v>1.023421608</v>
      </c>
      <c r="AU267">
        <v>9.2280902559999998</v>
      </c>
      <c r="AV267">
        <v>1.9198446199999999</v>
      </c>
      <c r="AW267">
        <v>2.4771044930000001</v>
      </c>
    </row>
    <row r="268" spans="1:49" x14ac:dyDescent="0.35">
      <c r="A268" t="s">
        <v>332</v>
      </c>
      <c r="B268" s="73">
        <v>41640</v>
      </c>
      <c r="C268">
        <v>0.16025613799999999</v>
      </c>
      <c r="D268">
        <v>2.4833724099999999</v>
      </c>
      <c r="E268">
        <v>0.812093226</v>
      </c>
      <c r="F268">
        <v>0.83789398000000004</v>
      </c>
      <c r="G268">
        <v>2.5808313049999998</v>
      </c>
      <c r="H268">
        <v>3.3844473329999998</v>
      </c>
      <c r="I268">
        <v>2.0690637930000002</v>
      </c>
      <c r="J268">
        <v>2.6913856429999998</v>
      </c>
      <c r="K268">
        <v>7.7</v>
      </c>
      <c r="L268">
        <v>1.5822802579999999</v>
      </c>
      <c r="M268">
        <v>1.462650998</v>
      </c>
      <c r="N268">
        <v>1.479632236</v>
      </c>
      <c r="O268">
        <v>0.77432394699999996</v>
      </c>
      <c r="P268">
        <v>-0.26665421</v>
      </c>
      <c r="Q268">
        <v>-7.7655272999999997E-2</v>
      </c>
      <c r="R268">
        <v>0.93887443800000003</v>
      </c>
      <c r="T268">
        <v>-0.23226391199999999</v>
      </c>
      <c r="U268">
        <v>1.3072421590000001</v>
      </c>
      <c r="V268">
        <v>2.214508618</v>
      </c>
      <c r="X268">
        <v>2.3242632730000001</v>
      </c>
      <c r="Y268">
        <v>-8.8019554999999999E-2</v>
      </c>
      <c r="Z268">
        <v>3.6490160120000001</v>
      </c>
      <c r="AA268">
        <v>6.9785599999999999</v>
      </c>
      <c r="AB268">
        <v>2.792717342</v>
      </c>
      <c r="AC268">
        <v>5.5862677349999998</v>
      </c>
      <c r="AD268">
        <v>5.1552110879999997</v>
      </c>
      <c r="AE268">
        <v>-0.92212318400000004</v>
      </c>
      <c r="AF268">
        <v>3.151463466</v>
      </c>
      <c r="AG268">
        <v>3.809548274</v>
      </c>
      <c r="AH268">
        <v>1.1659371860000001</v>
      </c>
      <c r="AI268">
        <v>2.5346241319999998</v>
      </c>
      <c r="AJ268">
        <v>1.189454698</v>
      </c>
      <c r="AK268">
        <v>1.3849673760000001</v>
      </c>
      <c r="AL268">
        <v>1.6187861779999999</v>
      </c>
      <c r="AM268">
        <v>1.8465389430000001</v>
      </c>
      <c r="AN268">
        <v>2.32974149</v>
      </c>
      <c r="AO268">
        <v>1.9328976040000001</v>
      </c>
      <c r="AP268">
        <v>2.1430560930000002</v>
      </c>
      <c r="AQ268">
        <v>1.708512002</v>
      </c>
      <c r="AR268">
        <v>1.3866250440000001</v>
      </c>
      <c r="AS268">
        <v>2.490527889</v>
      </c>
      <c r="AT268">
        <v>2.4597290599999999</v>
      </c>
      <c r="AU268">
        <v>7.7132791860000003</v>
      </c>
      <c r="AV268">
        <v>2.5320497780000002</v>
      </c>
      <c r="AW268">
        <v>2.5397362000000001</v>
      </c>
    </row>
    <row r="269" spans="1:49" x14ac:dyDescent="0.35">
      <c r="A269" t="s">
        <v>333</v>
      </c>
      <c r="B269" s="73">
        <v>41730</v>
      </c>
      <c r="C269">
        <v>-1.3021832090000001</v>
      </c>
      <c r="D269">
        <v>2.7964477310000002</v>
      </c>
      <c r="E269">
        <v>0.73746378800000001</v>
      </c>
      <c r="F269">
        <v>1.55021681</v>
      </c>
      <c r="G269">
        <v>2.908403753</v>
      </c>
      <c r="H269">
        <v>2.6328056470000001</v>
      </c>
      <c r="I269">
        <v>2.2110350439999999</v>
      </c>
      <c r="J269">
        <v>2.1768834350000001</v>
      </c>
      <c r="K269">
        <v>7.5</v>
      </c>
      <c r="L269">
        <v>1.4569164299999999</v>
      </c>
      <c r="M269">
        <v>2.9203837140000002</v>
      </c>
      <c r="N269">
        <v>1.1662242860000001</v>
      </c>
      <c r="O269">
        <v>1.529174451</v>
      </c>
      <c r="P269">
        <v>0.40843899</v>
      </c>
      <c r="Q269">
        <v>1.078258462</v>
      </c>
      <c r="R269">
        <v>1.6486243540000001</v>
      </c>
      <c r="T269">
        <v>-0.146658286</v>
      </c>
      <c r="U269">
        <v>1.239215135</v>
      </c>
      <c r="V269">
        <v>1.76843536</v>
      </c>
      <c r="X269">
        <v>3.0417599649999998</v>
      </c>
      <c r="Y269">
        <v>0.59289003799999995</v>
      </c>
      <c r="Z269">
        <v>4.2666912339999996</v>
      </c>
      <c r="AA269">
        <v>6.5155599999999998</v>
      </c>
      <c r="AB269">
        <v>7.5684178080000004</v>
      </c>
      <c r="AC269">
        <v>1.982873087</v>
      </c>
      <c r="AD269">
        <v>4.9176198879999999</v>
      </c>
      <c r="AE269">
        <v>0.22108551300000001</v>
      </c>
      <c r="AF269">
        <v>2.5748770300000001</v>
      </c>
      <c r="AG269">
        <v>3.8070263889999998</v>
      </c>
      <c r="AH269">
        <v>3.2732199909999999</v>
      </c>
      <c r="AI269">
        <v>2.1532587859999999</v>
      </c>
      <c r="AJ269">
        <v>1.6281446959999999</v>
      </c>
      <c r="AK269">
        <v>0.96282617400000003</v>
      </c>
      <c r="AL269">
        <v>2.5705248520000001</v>
      </c>
      <c r="AM269">
        <v>3.6439043209999999</v>
      </c>
      <c r="AN269">
        <v>2.12134657</v>
      </c>
      <c r="AO269">
        <v>3.3812178770000001</v>
      </c>
      <c r="AP269">
        <v>1.066874721</v>
      </c>
      <c r="AQ269">
        <v>0.95320027200000002</v>
      </c>
      <c r="AR269">
        <v>1.973131084</v>
      </c>
      <c r="AS269">
        <v>2.2693114940000001</v>
      </c>
      <c r="AT269">
        <v>1.9101940239999999</v>
      </c>
      <c r="AU269">
        <v>7.6831303159999997</v>
      </c>
      <c r="AV269">
        <v>1.294055859</v>
      </c>
      <c r="AW269">
        <v>1.609780985</v>
      </c>
    </row>
    <row r="270" spans="1:49" x14ac:dyDescent="0.35">
      <c r="A270" t="s">
        <v>334</v>
      </c>
      <c r="B270" s="73">
        <v>41821</v>
      </c>
      <c r="C270">
        <v>-2.4955565790000001</v>
      </c>
      <c r="D270">
        <v>2.8803571749999999</v>
      </c>
      <c r="E270">
        <v>1.1903032200000001</v>
      </c>
      <c r="F270">
        <v>1.228594186</v>
      </c>
      <c r="G270">
        <v>-5.3059262000000003E-2</v>
      </c>
      <c r="H270">
        <v>2.972572204</v>
      </c>
      <c r="I270">
        <v>2.3000970289999998</v>
      </c>
      <c r="J270">
        <v>2.0260466720000001</v>
      </c>
      <c r="K270">
        <v>7.6</v>
      </c>
      <c r="L270">
        <v>2.0307244080000002</v>
      </c>
      <c r="M270">
        <v>1.832189168</v>
      </c>
      <c r="N270">
        <v>1.017899621</v>
      </c>
      <c r="O270">
        <v>1.2062251960000001</v>
      </c>
      <c r="P270">
        <v>0.97080169299999997</v>
      </c>
      <c r="Q270">
        <v>1.751805941</v>
      </c>
      <c r="R270">
        <v>1.413578217</v>
      </c>
      <c r="T270">
        <v>-0.44364394699999998</v>
      </c>
      <c r="U270">
        <v>0.66430021699999997</v>
      </c>
      <c r="V270">
        <v>1.802737134</v>
      </c>
      <c r="X270">
        <v>3.2416033780000002</v>
      </c>
      <c r="Y270">
        <v>0.49776331000000001</v>
      </c>
      <c r="Z270">
        <v>4.60517105</v>
      </c>
      <c r="AA270">
        <v>7.4460699999999997</v>
      </c>
      <c r="AB270">
        <v>9.0854074499999999</v>
      </c>
      <c r="AC270">
        <v>0.38695502700000001</v>
      </c>
      <c r="AD270">
        <v>3.6579931010000002</v>
      </c>
      <c r="AE270">
        <v>0.135281596</v>
      </c>
      <c r="AF270">
        <v>-0.175430213</v>
      </c>
      <c r="AG270">
        <v>3.5112061159999999</v>
      </c>
      <c r="AH270">
        <v>2.6191742E-2</v>
      </c>
      <c r="AI270">
        <v>2.7366543459999999</v>
      </c>
      <c r="AJ270">
        <v>3.5123346259999999</v>
      </c>
      <c r="AK270">
        <v>1.737787301</v>
      </c>
      <c r="AL270">
        <v>2.583658867</v>
      </c>
      <c r="AM270">
        <v>2.8753932689999999</v>
      </c>
      <c r="AN270">
        <v>2.0798004899999998</v>
      </c>
      <c r="AO270">
        <v>3.73965587</v>
      </c>
      <c r="AP270">
        <v>0.63991803300000005</v>
      </c>
      <c r="AQ270">
        <v>1.0951664050000001</v>
      </c>
      <c r="AR270">
        <v>2.419787704</v>
      </c>
      <c r="AS270">
        <v>2.975959032</v>
      </c>
      <c r="AT270">
        <v>2.8262664599999998</v>
      </c>
      <c r="AU270">
        <v>2.9147265529999999</v>
      </c>
      <c r="AV270">
        <v>2.451999168</v>
      </c>
      <c r="AW270">
        <v>1.274154405</v>
      </c>
    </row>
    <row r="271" spans="1:49" x14ac:dyDescent="0.35">
      <c r="A271" t="s">
        <v>335</v>
      </c>
      <c r="B271" s="73">
        <v>41913</v>
      </c>
      <c r="C271">
        <v>-3.8561248670000001</v>
      </c>
      <c r="D271">
        <v>2.506920086</v>
      </c>
      <c r="E271">
        <v>0.79729839400000002</v>
      </c>
      <c r="F271">
        <v>1.6128872169999999</v>
      </c>
      <c r="G271">
        <v>-0.54126543900000001</v>
      </c>
      <c r="H271">
        <v>3.1197336029999998</v>
      </c>
      <c r="I271">
        <v>2.137222768</v>
      </c>
      <c r="J271">
        <v>0.99474370300000003</v>
      </c>
      <c r="K271">
        <v>7.2</v>
      </c>
      <c r="L271">
        <v>2.8020098249999998</v>
      </c>
      <c r="M271">
        <v>1.7807423099999999</v>
      </c>
      <c r="N271">
        <v>2.0623688850000002</v>
      </c>
      <c r="O271">
        <v>1.3979666340000001</v>
      </c>
      <c r="P271">
        <v>1.7495709150000001</v>
      </c>
      <c r="Q271">
        <v>3.372776843</v>
      </c>
      <c r="R271">
        <v>1.6362551759999999</v>
      </c>
      <c r="T271">
        <v>-0.406204538</v>
      </c>
      <c r="U271">
        <v>1.3265690779999999</v>
      </c>
      <c r="V271">
        <v>1.9074738099999999</v>
      </c>
      <c r="X271">
        <v>3.2524989880000001</v>
      </c>
      <c r="Y271">
        <v>1.4438519460000001</v>
      </c>
      <c r="Z271">
        <v>3.9971665509999998</v>
      </c>
      <c r="AA271">
        <v>7.6836700000000002</v>
      </c>
      <c r="AB271">
        <v>7.646542395</v>
      </c>
      <c r="AC271">
        <v>4.0898947510000001</v>
      </c>
      <c r="AD271">
        <v>3.5575122189999999</v>
      </c>
      <c r="AE271">
        <v>5.6674967E-2</v>
      </c>
      <c r="AF271">
        <v>-1.0417421899999999</v>
      </c>
      <c r="AG271">
        <v>2.9520287679999999</v>
      </c>
      <c r="AH271">
        <v>1.798900462</v>
      </c>
      <c r="AI271">
        <v>1.8019044909999999</v>
      </c>
      <c r="AJ271">
        <v>2.8731879839999999</v>
      </c>
      <c r="AK271">
        <v>1.380761087</v>
      </c>
      <c r="AL271">
        <v>2.011187032</v>
      </c>
      <c r="AM271">
        <v>3.6176102540000001</v>
      </c>
      <c r="AN271">
        <v>2.1557570300000002</v>
      </c>
      <c r="AO271">
        <v>3.8053918100000002</v>
      </c>
      <c r="AP271">
        <v>0.87572742400000003</v>
      </c>
      <c r="AQ271">
        <v>0.73273804300000001</v>
      </c>
      <c r="AR271">
        <v>2.92884024</v>
      </c>
      <c r="AS271">
        <v>3.51876357</v>
      </c>
      <c r="AT271">
        <v>3.096479832</v>
      </c>
      <c r="AU271">
        <v>3.921101733</v>
      </c>
      <c r="AV271">
        <v>2.831456926</v>
      </c>
      <c r="AW271">
        <v>1.280322755</v>
      </c>
    </row>
    <row r="272" spans="1:49" x14ac:dyDescent="0.35">
      <c r="A272" t="s">
        <v>336</v>
      </c>
      <c r="B272" s="73">
        <v>42005</v>
      </c>
      <c r="C272">
        <v>-2.3813336779999998</v>
      </c>
      <c r="D272">
        <v>2.0654634060000001</v>
      </c>
      <c r="E272">
        <v>0.50224382499999998</v>
      </c>
      <c r="F272">
        <v>1.9213437520000001</v>
      </c>
      <c r="G272">
        <v>-0.17248186300000001</v>
      </c>
      <c r="H272">
        <v>2.7538071400000002</v>
      </c>
      <c r="I272">
        <v>2.5918259369999999</v>
      </c>
      <c r="J272">
        <v>1.735324884</v>
      </c>
      <c r="K272">
        <v>7.3</v>
      </c>
      <c r="L272">
        <v>2.7398370609999998</v>
      </c>
      <c r="M272">
        <v>2.3100794499999999</v>
      </c>
      <c r="N272">
        <v>2.2228855059999999</v>
      </c>
      <c r="O272">
        <v>1.466699199</v>
      </c>
      <c r="P272">
        <v>2.4535327589999998</v>
      </c>
      <c r="Q272">
        <v>4.9733410219999996</v>
      </c>
      <c r="R272">
        <v>1.706504652</v>
      </c>
      <c r="T272">
        <v>-0.46560926699999999</v>
      </c>
      <c r="U272">
        <v>0.63539384099999996</v>
      </c>
      <c r="V272">
        <v>1.8430572860000001</v>
      </c>
      <c r="X272">
        <v>3.2606366420000001</v>
      </c>
      <c r="Y272">
        <v>-0.197912479</v>
      </c>
      <c r="Z272">
        <v>3.6791131190000002</v>
      </c>
      <c r="AA272">
        <v>6.9806999999999997</v>
      </c>
      <c r="AB272">
        <v>8.6283479780000008</v>
      </c>
      <c r="AC272">
        <v>0.33647016899999999</v>
      </c>
      <c r="AD272">
        <v>4.2732973699999999</v>
      </c>
      <c r="AE272">
        <v>-9.9256405000000006E-2</v>
      </c>
      <c r="AF272">
        <v>-0.459922689</v>
      </c>
      <c r="AG272">
        <v>2.5598391239999998</v>
      </c>
      <c r="AH272">
        <v>5.4223268759999996</v>
      </c>
      <c r="AI272">
        <v>1.4481035739999999</v>
      </c>
      <c r="AJ272">
        <v>3.40792546</v>
      </c>
      <c r="AK272">
        <v>1.6436397220000001</v>
      </c>
      <c r="AL272">
        <v>3.4380784690000001</v>
      </c>
      <c r="AM272">
        <v>4.9911143039999999</v>
      </c>
      <c r="AN272">
        <v>2.1986566070000002</v>
      </c>
      <c r="AO272">
        <v>4.0846499219999997</v>
      </c>
      <c r="AP272">
        <v>0.590349244</v>
      </c>
      <c r="AQ272">
        <v>-8.1162163999999995E-2</v>
      </c>
      <c r="AR272">
        <v>3.4558299180000001</v>
      </c>
      <c r="AS272">
        <v>1.6096784639999999</v>
      </c>
      <c r="AT272">
        <v>3.19494392</v>
      </c>
      <c r="AU272">
        <v>5.117751062</v>
      </c>
      <c r="AV272">
        <v>2.5637596660000002</v>
      </c>
      <c r="AW272">
        <v>1.4922992829999999</v>
      </c>
    </row>
    <row r="273" spans="1:49" x14ac:dyDescent="0.35">
      <c r="A273" t="s">
        <v>337</v>
      </c>
      <c r="B273" s="73">
        <v>42095</v>
      </c>
      <c r="C273">
        <v>0.56190128800000005</v>
      </c>
      <c r="D273">
        <v>2.2212267720000001</v>
      </c>
      <c r="E273">
        <v>0.89559387999999995</v>
      </c>
      <c r="F273">
        <v>2.0127212659999998</v>
      </c>
      <c r="G273">
        <v>-1.815205323</v>
      </c>
      <c r="H273">
        <v>2.0224016960000002</v>
      </c>
      <c r="I273">
        <v>1.8764383849999999</v>
      </c>
      <c r="J273">
        <v>2.1195576969999999</v>
      </c>
      <c r="K273">
        <v>7.1</v>
      </c>
      <c r="L273">
        <v>5.2625680839999998</v>
      </c>
      <c r="M273">
        <v>0.80418888300000002</v>
      </c>
      <c r="N273">
        <v>2.6627859950000001</v>
      </c>
      <c r="O273">
        <v>1.6925788909999999</v>
      </c>
      <c r="P273">
        <v>3.2499426389999999</v>
      </c>
      <c r="Q273">
        <v>1.8353174350000001</v>
      </c>
      <c r="R273">
        <v>1.990321239</v>
      </c>
      <c r="T273">
        <v>-0.47114027400000003</v>
      </c>
      <c r="U273">
        <v>1.155810869</v>
      </c>
      <c r="V273">
        <v>2.3491945799999998</v>
      </c>
      <c r="X273">
        <v>2.7240463529999999</v>
      </c>
      <c r="Y273">
        <v>0.53179850500000003</v>
      </c>
      <c r="Z273">
        <v>4.5695355380000002</v>
      </c>
      <c r="AA273">
        <v>7.5361700000000003</v>
      </c>
      <c r="AB273">
        <v>26.649388421000001</v>
      </c>
      <c r="AC273">
        <v>1.5087250860000001</v>
      </c>
      <c r="AD273">
        <v>3.2926302679999999</v>
      </c>
      <c r="AE273">
        <v>8.3399103000000002E-2</v>
      </c>
      <c r="AF273">
        <v>0.267122366</v>
      </c>
      <c r="AG273">
        <v>2.4768505649999999</v>
      </c>
      <c r="AH273">
        <v>2.588293341</v>
      </c>
      <c r="AI273">
        <v>3.032754723</v>
      </c>
      <c r="AJ273">
        <v>3.2626121289999999</v>
      </c>
      <c r="AK273">
        <v>2.3458801249999999</v>
      </c>
      <c r="AL273">
        <v>2.1679352160000001</v>
      </c>
      <c r="AM273">
        <v>3.687021906</v>
      </c>
      <c r="AN273">
        <v>2.6458922820000002</v>
      </c>
      <c r="AO273">
        <v>4.4539743879999998</v>
      </c>
      <c r="AP273">
        <v>1.892981477</v>
      </c>
      <c r="AQ273">
        <v>-1.0901795750000001</v>
      </c>
      <c r="AR273">
        <v>4.7869629290000004</v>
      </c>
      <c r="AS273">
        <v>2.0465576479999998</v>
      </c>
      <c r="AT273">
        <v>3.7593015379999999</v>
      </c>
      <c r="AU273">
        <v>4.0856609300000004</v>
      </c>
      <c r="AV273">
        <v>3.7612027729999999</v>
      </c>
      <c r="AW273">
        <v>2.3666319580000001</v>
      </c>
    </row>
    <row r="274" spans="1:49" x14ac:dyDescent="0.35">
      <c r="A274" t="s">
        <v>338</v>
      </c>
      <c r="B274" s="73">
        <v>42186</v>
      </c>
      <c r="C274">
        <v>3.4641136440000002</v>
      </c>
      <c r="D274">
        <v>1.8237242279999999</v>
      </c>
      <c r="E274">
        <v>0.54050097600000002</v>
      </c>
      <c r="F274">
        <v>2.4263823590000002</v>
      </c>
      <c r="G274">
        <v>-2.6884756489999999</v>
      </c>
      <c r="H274">
        <v>0.82387143900000004</v>
      </c>
      <c r="I274">
        <v>1.524492462</v>
      </c>
      <c r="J274">
        <v>2.2666704690000001</v>
      </c>
      <c r="K274">
        <v>7.1</v>
      </c>
      <c r="L274">
        <v>5.703998414</v>
      </c>
      <c r="M274">
        <v>1.547263222</v>
      </c>
      <c r="N274">
        <v>3.2177876630000002</v>
      </c>
      <c r="O274">
        <v>1.9622323859999999</v>
      </c>
      <c r="P274">
        <v>3.8745137500000002</v>
      </c>
      <c r="Q274">
        <v>3.421863063</v>
      </c>
      <c r="R274">
        <v>2.2133946760000001</v>
      </c>
      <c r="T274">
        <v>0.87981565799999994</v>
      </c>
      <c r="U274">
        <v>1.174795394</v>
      </c>
      <c r="V274">
        <v>2.3283745709999999</v>
      </c>
      <c r="X274">
        <v>2.4782640640000002</v>
      </c>
      <c r="Y274">
        <v>0.50004373700000004</v>
      </c>
      <c r="Z274">
        <v>3.316644288</v>
      </c>
      <c r="AA274">
        <v>7.38063</v>
      </c>
      <c r="AB274">
        <v>19.661144241999999</v>
      </c>
      <c r="AC274">
        <v>7.6627028189999997</v>
      </c>
      <c r="AD274">
        <v>2.6140771740000002</v>
      </c>
      <c r="AE274">
        <v>0.51540496599999996</v>
      </c>
      <c r="AF274">
        <v>2.2488488470000001</v>
      </c>
      <c r="AG274">
        <v>2.07600271</v>
      </c>
      <c r="AH274">
        <v>4.6114240439999996</v>
      </c>
      <c r="AI274">
        <v>4.0158571959999998</v>
      </c>
      <c r="AJ274">
        <v>3.1582454329999998</v>
      </c>
      <c r="AK274">
        <v>2.0636265050000002</v>
      </c>
      <c r="AL274">
        <v>1.9566280979999999</v>
      </c>
      <c r="AM274">
        <v>4.0850369769999997</v>
      </c>
      <c r="AN274">
        <v>2.7119478849999998</v>
      </c>
      <c r="AO274">
        <v>3.8789919930000001</v>
      </c>
      <c r="AP274">
        <v>1.857357964</v>
      </c>
      <c r="AQ274">
        <v>-2.2235911339999999</v>
      </c>
      <c r="AR274">
        <v>5.2845865710000002</v>
      </c>
      <c r="AS274">
        <v>1.949266113</v>
      </c>
      <c r="AT274">
        <v>3.9542910099999999</v>
      </c>
      <c r="AU274">
        <v>7.4143840340000002</v>
      </c>
      <c r="AV274">
        <v>3.039854675</v>
      </c>
      <c r="AW274">
        <v>1.1033660569999999</v>
      </c>
    </row>
    <row r="275" spans="1:49" x14ac:dyDescent="0.35">
      <c r="A275" t="s">
        <v>339</v>
      </c>
      <c r="B275" s="73">
        <v>42278</v>
      </c>
      <c r="C275">
        <v>4.3437921639999999</v>
      </c>
      <c r="D275">
        <v>2.4200284249999999</v>
      </c>
      <c r="E275">
        <v>1.2191383490000001</v>
      </c>
      <c r="F275">
        <v>1.918418379</v>
      </c>
      <c r="G275">
        <v>-4.2023577300000001</v>
      </c>
      <c r="H275">
        <v>0.21933249699999999</v>
      </c>
      <c r="I275">
        <v>1.5586269349999999</v>
      </c>
      <c r="J275">
        <v>2.2938383290000002</v>
      </c>
      <c r="K275">
        <v>7</v>
      </c>
      <c r="L275">
        <v>5.7264859609999998</v>
      </c>
      <c r="M275">
        <v>1.4887932699999999</v>
      </c>
      <c r="N275">
        <v>1.824728012</v>
      </c>
      <c r="O275">
        <v>1.8840098139999999</v>
      </c>
      <c r="P275">
        <v>4.0514578180000003</v>
      </c>
      <c r="Q275">
        <v>2.8139756789999999</v>
      </c>
      <c r="R275">
        <v>2.1691354820000002</v>
      </c>
      <c r="T275">
        <v>0.48184543000000002</v>
      </c>
      <c r="U275">
        <v>0.82721814299999996</v>
      </c>
      <c r="V275">
        <v>1.8277320180000001</v>
      </c>
      <c r="X275">
        <v>2.1439057309999998</v>
      </c>
      <c r="Y275">
        <v>-2.4954383099999999</v>
      </c>
      <c r="Z275">
        <v>3.1323897060000001</v>
      </c>
      <c r="AA275">
        <v>7.40219</v>
      </c>
      <c r="AB275">
        <v>21.760790656000001</v>
      </c>
      <c r="AC275">
        <v>3.5332674050000001</v>
      </c>
      <c r="AD275">
        <v>1.9904984020000001</v>
      </c>
      <c r="AE275">
        <v>0.55257774800000004</v>
      </c>
      <c r="AF275">
        <v>2.263318012</v>
      </c>
      <c r="AG275">
        <v>3.2275622639999999</v>
      </c>
      <c r="AH275">
        <v>2.0057487279999999</v>
      </c>
      <c r="AI275">
        <v>4.3020223160000004</v>
      </c>
      <c r="AJ275">
        <v>4.1094593980000003</v>
      </c>
      <c r="AK275">
        <v>2.159635363</v>
      </c>
      <c r="AL275">
        <v>2.7168290490000002</v>
      </c>
      <c r="AM275">
        <v>3.7584629459999999</v>
      </c>
      <c r="AN275">
        <v>2.4342660949999999</v>
      </c>
      <c r="AO275">
        <v>4.4271880140000004</v>
      </c>
      <c r="AP275">
        <v>1.876774457</v>
      </c>
      <c r="AQ275">
        <v>-1.72172671</v>
      </c>
      <c r="AR275">
        <v>5.4872773810000002</v>
      </c>
      <c r="AS275">
        <v>1.932187366</v>
      </c>
      <c r="AT275">
        <v>4.6325998769999996</v>
      </c>
      <c r="AU275">
        <v>6.306599319</v>
      </c>
      <c r="AV275">
        <v>2.1826685110000001</v>
      </c>
      <c r="AW275">
        <v>1.0730239100000001</v>
      </c>
    </row>
    <row r="276" spans="1:49" x14ac:dyDescent="0.35">
      <c r="A276" t="s">
        <v>340</v>
      </c>
      <c r="B276" s="73">
        <v>42370</v>
      </c>
      <c r="C276">
        <v>2.5813451949999999</v>
      </c>
      <c r="D276">
        <v>2.6621328430000002</v>
      </c>
      <c r="E276">
        <v>1.2304151590000001</v>
      </c>
      <c r="F276">
        <v>1.811273819</v>
      </c>
      <c r="G276">
        <v>-5.4600673119999996</v>
      </c>
      <c r="H276">
        <v>-0.39486916599999999</v>
      </c>
      <c r="I276">
        <v>1.377938543</v>
      </c>
      <c r="J276">
        <v>1.894852086</v>
      </c>
      <c r="K276">
        <v>6.9</v>
      </c>
      <c r="L276">
        <v>5.1485031350000003</v>
      </c>
      <c r="M276">
        <v>1.115160562</v>
      </c>
      <c r="N276">
        <v>1.6868750180000001</v>
      </c>
      <c r="O276">
        <v>1.991873435</v>
      </c>
      <c r="P276">
        <v>4.1689524850000002</v>
      </c>
      <c r="Q276">
        <v>1.109251985</v>
      </c>
      <c r="R276">
        <v>2.2463080089999998</v>
      </c>
      <c r="T276">
        <v>1.2873659390000001</v>
      </c>
      <c r="U276">
        <v>1.0645061440000001</v>
      </c>
      <c r="V276">
        <v>1.5972422660000001</v>
      </c>
      <c r="X276">
        <v>2.2332205009999999</v>
      </c>
      <c r="Y276">
        <v>0.21230131499999999</v>
      </c>
      <c r="Z276">
        <v>3.6133181009999999</v>
      </c>
      <c r="AA276">
        <v>7.92964</v>
      </c>
      <c r="AB276">
        <v>23.410910499</v>
      </c>
      <c r="AC276">
        <v>5.0601492500000003</v>
      </c>
      <c r="AD276">
        <v>1.581218319</v>
      </c>
      <c r="AE276">
        <v>1.4368921240000001</v>
      </c>
      <c r="AF276">
        <v>1.622617988</v>
      </c>
      <c r="AG276">
        <v>3.4466806430000001</v>
      </c>
      <c r="AH276">
        <v>2.9167317000000002E-2</v>
      </c>
      <c r="AI276">
        <v>3.606220263</v>
      </c>
      <c r="AJ276">
        <v>2.7305149700000002</v>
      </c>
      <c r="AK276">
        <v>1.2693553500000001</v>
      </c>
      <c r="AL276">
        <v>0.59191685500000002</v>
      </c>
      <c r="AM276">
        <v>3.1440198800000001</v>
      </c>
      <c r="AN276">
        <v>2.1930919969999998</v>
      </c>
      <c r="AO276">
        <v>4.3700935830000001</v>
      </c>
      <c r="AP276">
        <v>1.5435730759999999</v>
      </c>
      <c r="AQ276">
        <v>-1.7438928440000001</v>
      </c>
      <c r="AR276">
        <v>5.1052644880000004</v>
      </c>
      <c r="AS276">
        <v>1.853803707</v>
      </c>
      <c r="AT276">
        <v>4.6178854879999998</v>
      </c>
      <c r="AU276">
        <v>6.1170653310000001</v>
      </c>
      <c r="AV276">
        <v>1.874684059</v>
      </c>
      <c r="AW276">
        <v>0.75669968200000004</v>
      </c>
    </row>
    <row r="277" spans="1:49" x14ac:dyDescent="0.35">
      <c r="A277" t="s">
        <v>341</v>
      </c>
      <c r="B277" s="73">
        <v>42461</v>
      </c>
      <c r="C277">
        <v>0.204093102</v>
      </c>
      <c r="D277">
        <v>2.6381630220000001</v>
      </c>
      <c r="E277">
        <v>1.7434735509999999</v>
      </c>
      <c r="F277">
        <v>1.3427295400000001</v>
      </c>
      <c r="G277">
        <v>-6.1071290940000003</v>
      </c>
      <c r="H277">
        <v>0.70485855600000002</v>
      </c>
      <c r="I277">
        <v>1.958376731</v>
      </c>
      <c r="J277">
        <v>2.495275924</v>
      </c>
      <c r="K277">
        <v>6.9</v>
      </c>
      <c r="L277">
        <v>3.356089114</v>
      </c>
      <c r="M277">
        <v>2.4891676359999999</v>
      </c>
      <c r="N277">
        <v>2.1589061780000001</v>
      </c>
      <c r="O277">
        <v>1.9089079419999999</v>
      </c>
      <c r="P277">
        <v>3.6877589450000001</v>
      </c>
      <c r="Q277">
        <v>4.2065042339999996</v>
      </c>
      <c r="R277">
        <v>2.0148551979999998</v>
      </c>
      <c r="T277">
        <v>3.3404243089999999</v>
      </c>
      <c r="U277">
        <v>1.1710138539999999</v>
      </c>
      <c r="V277">
        <v>1.5697337769999999</v>
      </c>
      <c r="X277">
        <v>2.1850476219999999</v>
      </c>
      <c r="Y277">
        <v>-1.223046801</v>
      </c>
      <c r="Z277">
        <v>1.366563405</v>
      </c>
      <c r="AA277">
        <v>9.2227099999999993</v>
      </c>
      <c r="AB277">
        <v>-1.629737357</v>
      </c>
      <c r="AC277">
        <v>3.77282261</v>
      </c>
      <c r="AD277">
        <v>2.2947655949999999</v>
      </c>
      <c r="AE277">
        <v>1.460613213</v>
      </c>
      <c r="AF277">
        <v>0.81236666700000004</v>
      </c>
      <c r="AG277">
        <v>2.9442992979999998</v>
      </c>
      <c r="AH277">
        <v>3.8060194260000002</v>
      </c>
      <c r="AI277">
        <v>3.9358076469999999</v>
      </c>
      <c r="AJ277">
        <v>2.7619676879999999</v>
      </c>
      <c r="AK277">
        <v>1.594989013</v>
      </c>
      <c r="AL277">
        <v>1.3118244029999999</v>
      </c>
      <c r="AM277">
        <v>4.0208221149999996</v>
      </c>
      <c r="AN277">
        <v>1.931269066</v>
      </c>
      <c r="AO277">
        <v>2.5269607779999999</v>
      </c>
      <c r="AP277">
        <v>1.3639343829999999</v>
      </c>
      <c r="AQ277">
        <v>-0.54547591600000001</v>
      </c>
      <c r="AR277">
        <v>3.1328119459999999</v>
      </c>
      <c r="AS277">
        <v>2.5816076190000001</v>
      </c>
      <c r="AT277">
        <v>3.085681176</v>
      </c>
      <c r="AU277">
        <v>4.5244235330000002</v>
      </c>
      <c r="AV277">
        <v>1.648190603</v>
      </c>
      <c r="AW277">
        <v>0.27304619200000002</v>
      </c>
    </row>
    <row r="278" spans="1:49" x14ac:dyDescent="0.35">
      <c r="A278" t="s">
        <v>342</v>
      </c>
      <c r="B278" s="73">
        <v>42552</v>
      </c>
      <c r="C278">
        <v>-3.6548679650000002</v>
      </c>
      <c r="D278">
        <v>3.1971201549999999</v>
      </c>
      <c r="E278">
        <v>1.9508936109999999</v>
      </c>
      <c r="F278">
        <v>1.219500485</v>
      </c>
      <c r="G278">
        <v>-3.5068492779999998</v>
      </c>
      <c r="H278">
        <v>0.48316809100000002</v>
      </c>
      <c r="I278">
        <v>2.1691866769999999</v>
      </c>
      <c r="J278">
        <v>0.982180634</v>
      </c>
      <c r="K278">
        <v>6.8</v>
      </c>
      <c r="L278">
        <v>2.309209407</v>
      </c>
      <c r="M278">
        <v>2.190305049</v>
      </c>
      <c r="N278">
        <v>3.0586654449999999</v>
      </c>
      <c r="O278">
        <v>1.6787818969999999</v>
      </c>
      <c r="P278">
        <v>3.0063532880000001</v>
      </c>
      <c r="Q278">
        <v>2.00856784</v>
      </c>
      <c r="R278">
        <v>1.841971553</v>
      </c>
      <c r="T278">
        <v>1.9500500249999999</v>
      </c>
      <c r="U278">
        <v>0.739842157</v>
      </c>
      <c r="V278">
        <v>1.302458355</v>
      </c>
      <c r="X278">
        <v>2.181574415</v>
      </c>
      <c r="Y278">
        <v>-1.4364202079999999</v>
      </c>
      <c r="Z278">
        <v>2.6198557280000001</v>
      </c>
      <c r="AA278">
        <v>8.83704</v>
      </c>
      <c r="AB278">
        <v>2.3670940809999998</v>
      </c>
      <c r="AC278">
        <v>4.495068324</v>
      </c>
      <c r="AD278">
        <v>4.4692334809999998</v>
      </c>
      <c r="AE278">
        <v>1.234831805</v>
      </c>
      <c r="AF278">
        <v>0.51548996599999997</v>
      </c>
      <c r="AG278">
        <v>3.6852121050000002</v>
      </c>
      <c r="AH278">
        <v>4.5816864370000001</v>
      </c>
      <c r="AI278">
        <v>1.5221398909999999</v>
      </c>
      <c r="AJ278">
        <v>1.9716450679999999</v>
      </c>
      <c r="AK278">
        <v>1.521453841</v>
      </c>
      <c r="AL278">
        <v>0.74734928499999997</v>
      </c>
      <c r="AM278">
        <v>4.2630482399999998</v>
      </c>
      <c r="AN278">
        <v>1.7452187159999999</v>
      </c>
      <c r="AO278">
        <v>3.4529107419999998</v>
      </c>
      <c r="AP278">
        <v>1.3658777129999999</v>
      </c>
      <c r="AQ278">
        <v>0.17908624300000001</v>
      </c>
      <c r="AR278">
        <v>2.1283994000000002</v>
      </c>
      <c r="AS278">
        <v>3.06346075</v>
      </c>
      <c r="AT278">
        <v>2.1245639390000002</v>
      </c>
      <c r="AU278">
        <v>4.4287952639999997</v>
      </c>
      <c r="AV278">
        <v>1.36762965</v>
      </c>
      <c r="AW278">
        <v>1.224121386</v>
      </c>
    </row>
    <row r="279" spans="1:49" x14ac:dyDescent="0.35">
      <c r="A279" t="s">
        <v>343</v>
      </c>
      <c r="B279" s="73">
        <v>42644</v>
      </c>
      <c r="C279">
        <v>-3.244736386</v>
      </c>
      <c r="D279">
        <v>2.2447899100000002</v>
      </c>
      <c r="E279">
        <v>1.738146371</v>
      </c>
      <c r="F279">
        <v>1.2037569480000001</v>
      </c>
      <c r="G279">
        <v>-2.4225397229999999</v>
      </c>
      <c r="H279">
        <v>1.1615540019999999</v>
      </c>
      <c r="I279">
        <v>2.266452981</v>
      </c>
      <c r="J279">
        <v>2.0138775500000001</v>
      </c>
      <c r="K279">
        <v>6.8</v>
      </c>
      <c r="L279">
        <v>1.9918709299999999</v>
      </c>
      <c r="M279">
        <v>1.990878004</v>
      </c>
      <c r="N279">
        <v>3.6204224250000001</v>
      </c>
      <c r="O279">
        <v>1.7395896639999999</v>
      </c>
      <c r="P279">
        <v>2.9560997950000001</v>
      </c>
      <c r="Q279">
        <v>2.3530050349999998</v>
      </c>
      <c r="R279">
        <v>1.802918072</v>
      </c>
      <c r="T279">
        <v>3.1113124910000001</v>
      </c>
      <c r="U279">
        <v>0.80957168099999999</v>
      </c>
      <c r="V279">
        <v>1.492823832</v>
      </c>
      <c r="X279">
        <v>2.192470556</v>
      </c>
      <c r="Y279">
        <v>0.92222284899999996</v>
      </c>
      <c r="Z279">
        <v>2.3888254739999999</v>
      </c>
      <c r="AA279">
        <v>9.3129100000000005</v>
      </c>
      <c r="AB279">
        <v>-0.71827623100000004</v>
      </c>
      <c r="AC279">
        <v>7.4904621330000003</v>
      </c>
      <c r="AD279">
        <v>5.2643320720000002</v>
      </c>
      <c r="AE279">
        <v>1.5935725439999999</v>
      </c>
      <c r="AF279">
        <v>0.61652857900000002</v>
      </c>
      <c r="AG279">
        <v>2.6354831160000001</v>
      </c>
      <c r="AH279">
        <v>5.8595980110000001</v>
      </c>
      <c r="AI279">
        <v>0.92018434400000004</v>
      </c>
      <c r="AJ279">
        <v>1.711347779</v>
      </c>
      <c r="AK279">
        <v>2.3025143219999999</v>
      </c>
      <c r="AL279">
        <v>-0.72127935399999998</v>
      </c>
      <c r="AM279">
        <v>4.1637274270000004</v>
      </c>
      <c r="AN279">
        <v>1.6349454130000001</v>
      </c>
      <c r="AO279">
        <v>2.676980532</v>
      </c>
      <c r="AP279">
        <v>2.4394637970000002</v>
      </c>
      <c r="AQ279">
        <v>8.6290206999999994E-2</v>
      </c>
      <c r="AR279">
        <v>1.337243519</v>
      </c>
      <c r="AS279">
        <v>3.4068376580000002</v>
      </c>
      <c r="AT279">
        <v>1.031704553</v>
      </c>
      <c r="AU279">
        <v>3.2153910000000001E-2</v>
      </c>
      <c r="AV279">
        <v>1.648263356</v>
      </c>
      <c r="AW279">
        <v>0.75795112499999995</v>
      </c>
    </row>
    <row r="280" spans="1:49" x14ac:dyDescent="0.35">
      <c r="A280" t="s">
        <v>344</v>
      </c>
      <c r="B280" s="73">
        <v>42736</v>
      </c>
      <c r="C280">
        <v>-1.5694464299999999</v>
      </c>
      <c r="D280">
        <v>2.6926153589999999</v>
      </c>
      <c r="E280">
        <v>2.5160921599999999</v>
      </c>
      <c r="F280">
        <v>1.300882844</v>
      </c>
      <c r="G280">
        <v>-1.8657085090000001</v>
      </c>
      <c r="H280">
        <v>1.6534435869999999</v>
      </c>
      <c r="I280">
        <v>1.9363794919999999</v>
      </c>
      <c r="J280">
        <v>1.1251477620000001</v>
      </c>
      <c r="K280">
        <v>6.9</v>
      </c>
      <c r="L280">
        <v>2.1722133690000001</v>
      </c>
      <c r="M280">
        <v>1.9126448899999999</v>
      </c>
      <c r="N280">
        <v>4.1349655670000001</v>
      </c>
      <c r="O280">
        <v>2.038364412</v>
      </c>
      <c r="P280">
        <v>2.5183684369999999</v>
      </c>
      <c r="Q280">
        <v>3.7825165859999998</v>
      </c>
      <c r="R280">
        <v>2.1374321310000002</v>
      </c>
      <c r="T280">
        <v>2.8517788419999999</v>
      </c>
      <c r="U280">
        <v>1.2064000939999999</v>
      </c>
      <c r="V280">
        <v>1.7387657990000001</v>
      </c>
      <c r="X280">
        <v>2.1024753249999999</v>
      </c>
      <c r="Y280">
        <v>-0.146312995</v>
      </c>
      <c r="Z280">
        <v>2.20402809</v>
      </c>
      <c r="AA280">
        <v>8.5962200000000006</v>
      </c>
      <c r="AB280">
        <v>8.9146661500000004</v>
      </c>
      <c r="AC280">
        <v>9.2987644809999992</v>
      </c>
      <c r="AD280">
        <v>5.4816330769999997</v>
      </c>
      <c r="AE280">
        <v>1.3817250029999999</v>
      </c>
      <c r="AF280">
        <v>0.93834408199999997</v>
      </c>
      <c r="AG280">
        <v>2.5358551390000001</v>
      </c>
      <c r="AH280">
        <v>5.7023969680000004</v>
      </c>
      <c r="AI280">
        <v>2.2953522610000001</v>
      </c>
      <c r="AJ280">
        <v>3.1419547689999998</v>
      </c>
      <c r="AK280">
        <v>3.1423815419999999</v>
      </c>
      <c r="AL280">
        <v>1.4967577080000001</v>
      </c>
      <c r="AM280">
        <v>3.479399441</v>
      </c>
      <c r="AN280">
        <v>2.1382028289999999</v>
      </c>
      <c r="AO280">
        <v>3.8154728699999998</v>
      </c>
      <c r="AP280">
        <v>2.9010111080000001</v>
      </c>
      <c r="AQ280">
        <v>1.1729231419999999</v>
      </c>
      <c r="AR280">
        <v>1.212567478</v>
      </c>
      <c r="AS280">
        <v>4.215252188</v>
      </c>
      <c r="AT280">
        <v>1.1761271870000001</v>
      </c>
      <c r="AU280">
        <v>4.3261893249999996</v>
      </c>
      <c r="AV280">
        <v>2.0041770460000001</v>
      </c>
      <c r="AW280">
        <v>0.40827237799999999</v>
      </c>
    </row>
    <row r="281" spans="1:49" x14ac:dyDescent="0.35">
      <c r="A281" t="s">
        <v>345</v>
      </c>
      <c r="B281" s="73">
        <v>42826</v>
      </c>
      <c r="C281">
        <v>0.20916009499999999</v>
      </c>
      <c r="D281">
        <v>2.1120599000000002</v>
      </c>
      <c r="E281">
        <v>2.0646626860000001</v>
      </c>
      <c r="F281">
        <v>1.902990414</v>
      </c>
      <c r="G281">
        <v>0.714550817</v>
      </c>
      <c r="H281">
        <v>2.1977790920000002</v>
      </c>
      <c r="I281">
        <v>1.6707985190000001</v>
      </c>
      <c r="J281">
        <v>-0.53240077900000005</v>
      </c>
      <c r="K281">
        <v>7</v>
      </c>
      <c r="L281">
        <v>3.695055354</v>
      </c>
      <c r="M281">
        <v>2.2810004309999998</v>
      </c>
      <c r="N281">
        <v>3.6226212389999999</v>
      </c>
      <c r="O281">
        <v>2.1673621249999999</v>
      </c>
      <c r="P281">
        <v>2.625222038</v>
      </c>
      <c r="Q281">
        <v>4.23947334</v>
      </c>
      <c r="R281">
        <v>2.4035716169999999</v>
      </c>
      <c r="T281">
        <v>2.6352880089999999</v>
      </c>
      <c r="U281">
        <v>1.3138250659999999</v>
      </c>
      <c r="V281">
        <v>1.7799225540000001</v>
      </c>
      <c r="X281">
        <v>2.4827228290000001</v>
      </c>
      <c r="Y281">
        <v>0.50786793200000002</v>
      </c>
      <c r="Z281">
        <v>4.2020406680000004</v>
      </c>
      <c r="AA281">
        <v>6.3766299999999996</v>
      </c>
      <c r="AB281">
        <v>8.0833452270000006</v>
      </c>
      <c r="AC281">
        <v>7.979591009</v>
      </c>
      <c r="AD281">
        <v>4.7870516859999999</v>
      </c>
      <c r="AE281">
        <v>1.5233211849999999</v>
      </c>
      <c r="AF281">
        <v>1.0123043279999999</v>
      </c>
      <c r="AG281">
        <v>3.2503629809999999</v>
      </c>
      <c r="AH281">
        <v>1.2368512119999999</v>
      </c>
      <c r="AI281">
        <v>1.9669424010000001</v>
      </c>
      <c r="AJ281">
        <v>3.032656974</v>
      </c>
      <c r="AK281">
        <v>2.73951615</v>
      </c>
      <c r="AL281">
        <v>2.1406331710000002</v>
      </c>
      <c r="AM281">
        <v>3.3494391719999999</v>
      </c>
      <c r="AN281">
        <v>2.2318669689999999</v>
      </c>
      <c r="AO281">
        <v>5.2553162640000002</v>
      </c>
      <c r="AP281">
        <v>3.6220976340000002</v>
      </c>
      <c r="AQ281">
        <v>1.1846646649999999</v>
      </c>
      <c r="AR281">
        <v>2.01619474</v>
      </c>
      <c r="AS281">
        <v>4.7988853709999999</v>
      </c>
      <c r="AT281">
        <v>1.7317499279999999</v>
      </c>
      <c r="AU281">
        <v>5.3733098119999996</v>
      </c>
      <c r="AV281">
        <v>1.8424163549999999</v>
      </c>
      <c r="AW281">
        <v>0.64192886000000005</v>
      </c>
    </row>
    <row r="282" spans="1:49" x14ac:dyDescent="0.35">
      <c r="A282" t="s">
        <v>346</v>
      </c>
      <c r="B282" s="73">
        <v>42917</v>
      </c>
      <c r="C282">
        <v>2.9724902389999999</v>
      </c>
      <c r="D282">
        <v>2.0833551049999999</v>
      </c>
      <c r="E282">
        <v>2.434327482</v>
      </c>
      <c r="F282">
        <v>1.5909155589999999</v>
      </c>
      <c r="G282">
        <v>1.169695631</v>
      </c>
      <c r="H282">
        <v>3.75347556</v>
      </c>
      <c r="I282">
        <v>1.16320183</v>
      </c>
      <c r="J282">
        <v>1.12683617</v>
      </c>
      <c r="K282">
        <v>7</v>
      </c>
      <c r="L282">
        <v>5.9155029959999998</v>
      </c>
      <c r="M282">
        <v>2.6927048450000002</v>
      </c>
      <c r="N282">
        <v>3.3825010080000002</v>
      </c>
      <c r="O282">
        <v>2.7329835619999998</v>
      </c>
      <c r="P282">
        <v>3.2481650160000002</v>
      </c>
      <c r="Q282">
        <v>6.2611311990000003</v>
      </c>
      <c r="R282">
        <v>2.9439807820000001</v>
      </c>
      <c r="T282">
        <v>3.7810613640000001</v>
      </c>
      <c r="U282">
        <v>2.4406799490000002</v>
      </c>
      <c r="V282">
        <v>2.1590961850000001</v>
      </c>
      <c r="X282">
        <v>2.3877467050000001</v>
      </c>
      <c r="Y282">
        <v>1.3676002709999999</v>
      </c>
      <c r="Z282">
        <v>4.0378324900000004</v>
      </c>
      <c r="AA282">
        <v>6.6661799999999998</v>
      </c>
      <c r="AB282">
        <v>8.5079196279999998</v>
      </c>
      <c r="AC282">
        <v>4.3426773949999999</v>
      </c>
      <c r="AD282">
        <v>3.8760078459999998</v>
      </c>
      <c r="AE282">
        <v>1.7973476799999999</v>
      </c>
      <c r="AF282">
        <v>1.5089096550000001</v>
      </c>
      <c r="AG282">
        <v>2.7486129250000002</v>
      </c>
      <c r="AH282">
        <v>1.1921545440000001</v>
      </c>
      <c r="AI282">
        <v>3.7713220619999999</v>
      </c>
      <c r="AJ282">
        <v>2.9159696610000001</v>
      </c>
      <c r="AK282">
        <v>3.3995456630000001</v>
      </c>
      <c r="AL282">
        <v>3.1575019769999999</v>
      </c>
      <c r="AM282">
        <v>3.3406773580000002</v>
      </c>
      <c r="AN282">
        <v>2.5766652200000002</v>
      </c>
      <c r="AO282">
        <v>4.7610070440000003</v>
      </c>
      <c r="AP282">
        <v>3.8345971639999998</v>
      </c>
      <c r="AQ282">
        <v>1.828467195</v>
      </c>
      <c r="AR282">
        <v>2.7201749519999998</v>
      </c>
      <c r="AS282">
        <v>4.7425498350000002</v>
      </c>
      <c r="AT282">
        <v>2.9775780950000001</v>
      </c>
      <c r="AU282">
        <v>6.2557580340000003</v>
      </c>
      <c r="AV282">
        <v>2.0469128589999999</v>
      </c>
      <c r="AW282">
        <v>1.0934649860000001</v>
      </c>
    </row>
    <row r="283" spans="1:49" x14ac:dyDescent="0.35">
      <c r="A283" t="s">
        <v>347</v>
      </c>
      <c r="B283" s="73">
        <v>43009</v>
      </c>
      <c r="C283">
        <v>3.8539575849999999</v>
      </c>
      <c r="D283">
        <v>2.9634625300000002</v>
      </c>
      <c r="E283">
        <v>2.562453434</v>
      </c>
      <c r="F283">
        <v>1.3475889240000001</v>
      </c>
      <c r="G283">
        <v>1.9803804140000001</v>
      </c>
      <c r="H283">
        <v>3.12771636</v>
      </c>
      <c r="I283">
        <v>0.99685373700000002</v>
      </c>
      <c r="J283">
        <v>2.4301959000000002</v>
      </c>
      <c r="K283">
        <v>6.9</v>
      </c>
      <c r="L283">
        <v>5.8516788699999998</v>
      </c>
      <c r="M283">
        <v>3.1848497670000002</v>
      </c>
      <c r="N283">
        <v>2.1368106280000001</v>
      </c>
      <c r="O283">
        <v>3.0388700399999999</v>
      </c>
      <c r="P283">
        <v>3.0157711059999999</v>
      </c>
      <c r="Q283">
        <v>5.49032155</v>
      </c>
      <c r="R283">
        <v>3.2580525100000002</v>
      </c>
      <c r="T283">
        <v>3.0046140330000002</v>
      </c>
      <c r="U283">
        <v>3.009699801</v>
      </c>
      <c r="V283">
        <v>2.4327185670000002</v>
      </c>
      <c r="X283">
        <v>2.4635191509999999</v>
      </c>
      <c r="Y283">
        <v>1.9975815530000001</v>
      </c>
      <c r="Z283">
        <v>4.4786883030000002</v>
      </c>
      <c r="AA283">
        <v>5.9962499999999999</v>
      </c>
      <c r="AB283">
        <v>13.755613371000001</v>
      </c>
      <c r="AC283">
        <v>2.4855081440000002</v>
      </c>
      <c r="AD283">
        <v>4.31182672</v>
      </c>
      <c r="AE283">
        <v>1.7042108119999999</v>
      </c>
      <c r="AF283">
        <v>2.173377281</v>
      </c>
      <c r="AG283">
        <v>3.7983424289999999</v>
      </c>
      <c r="AH283">
        <v>1.612988946</v>
      </c>
      <c r="AI283">
        <v>3.9921525849999999</v>
      </c>
      <c r="AJ283">
        <v>1.57057044</v>
      </c>
      <c r="AK283">
        <v>2.989626259</v>
      </c>
      <c r="AL283">
        <v>4.1842570170000002</v>
      </c>
      <c r="AM283">
        <v>3.3132989080000002</v>
      </c>
      <c r="AN283">
        <v>2.9812399900000002</v>
      </c>
      <c r="AO283">
        <v>5.7048871270000001</v>
      </c>
      <c r="AP283">
        <v>3.3428961410000002</v>
      </c>
      <c r="AQ283">
        <v>2.4172248299999999</v>
      </c>
      <c r="AR283">
        <v>3.200407786</v>
      </c>
      <c r="AS283">
        <v>4.7221959780000002</v>
      </c>
      <c r="AT283">
        <v>3.6073556899999999</v>
      </c>
      <c r="AU283">
        <v>11.051091386</v>
      </c>
      <c r="AV283">
        <v>2.2765395380000002</v>
      </c>
      <c r="AW283">
        <v>1.2917122889999999</v>
      </c>
    </row>
    <row r="284" spans="1:49" x14ac:dyDescent="0.35">
      <c r="A284" t="s">
        <v>348</v>
      </c>
      <c r="B284" s="73">
        <v>43101</v>
      </c>
      <c r="C284">
        <v>4.2641961369999999</v>
      </c>
      <c r="D284">
        <v>2.3775824980000002</v>
      </c>
      <c r="E284">
        <v>2.250229048</v>
      </c>
      <c r="F284">
        <v>1.638432983</v>
      </c>
      <c r="G284">
        <v>2.6259008349999999</v>
      </c>
      <c r="H284">
        <v>3.0831140669999999</v>
      </c>
      <c r="I284">
        <v>1.888450628</v>
      </c>
      <c r="J284">
        <v>3.2983539240000002</v>
      </c>
      <c r="K284">
        <v>6.8</v>
      </c>
      <c r="L284">
        <v>5.895675336</v>
      </c>
      <c r="M284">
        <v>3.7485309409999998</v>
      </c>
      <c r="N284">
        <v>2.171760752</v>
      </c>
      <c r="O284">
        <v>3.092051401</v>
      </c>
      <c r="P284">
        <v>3.01123371</v>
      </c>
      <c r="Q284">
        <v>5.8205009519999997</v>
      </c>
      <c r="R284">
        <v>3.2541441720000002</v>
      </c>
      <c r="T284">
        <v>3.3531688079999999</v>
      </c>
      <c r="U284">
        <v>3.026603975</v>
      </c>
      <c r="V284">
        <v>2.7591299710000001</v>
      </c>
      <c r="X284">
        <v>2.4404836699999999</v>
      </c>
      <c r="Y284">
        <v>0.36932734299999997</v>
      </c>
      <c r="Z284">
        <v>5.0574817200000002</v>
      </c>
      <c r="AA284">
        <v>6.5372000000000003</v>
      </c>
      <c r="AB284">
        <v>7.7795037479999998</v>
      </c>
      <c r="AC284">
        <v>2.3493729339999998</v>
      </c>
      <c r="AD284">
        <v>4.6158425550000004</v>
      </c>
      <c r="AE284">
        <v>1.9381588620000001</v>
      </c>
      <c r="AF284">
        <v>2.1372811010000001</v>
      </c>
      <c r="AG284">
        <v>2.8428957659999998</v>
      </c>
      <c r="AH284">
        <v>1.251144673</v>
      </c>
      <c r="AI284">
        <v>3.4770531309999999</v>
      </c>
      <c r="AJ284">
        <v>1.8434108090000001</v>
      </c>
      <c r="AK284">
        <v>2.9076762029999998</v>
      </c>
      <c r="AL284">
        <v>2.2215281720000002</v>
      </c>
      <c r="AM284">
        <v>3.8364854149999998</v>
      </c>
      <c r="AN284">
        <v>2.9911246519999999</v>
      </c>
      <c r="AO284">
        <v>5.1190223220000002</v>
      </c>
      <c r="AP284">
        <v>3.2338227869999998</v>
      </c>
      <c r="AQ284">
        <v>1.6004158959999999</v>
      </c>
      <c r="AR284">
        <v>3.8038828549999999</v>
      </c>
      <c r="AS284">
        <v>6.305582094</v>
      </c>
      <c r="AT284">
        <v>2.9086255539999999</v>
      </c>
      <c r="AU284">
        <v>7.2337548180000004</v>
      </c>
      <c r="AV284">
        <v>2.7943204119999998</v>
      </c>
      <c r="AW284">
        <v>1.603878997</v>
      </c>
    </row>
    <row r="285" spans="1:49" x14ac:dyDescent="0.35">
      <c r="A285" t="s">
        <v>349</v>
      </c>
      <c r="B285" s="73">
        <v>43191</v>
      </c>
      <c r="C285">
        <v>2.9954192900000001</v>
      </c>
      <c r="D285">
        <v>3.0199669619999998</v>
      </c>
      <c r="E285">
        <v>2.684632519</v>
      </c>
      <c r="F285">
        <v>1.3563605729999999</v>
      </c>
      <c r="G285">
        <v>2.1886079289999998</v>
      </c>
      <c r="H285">
        <v>2.8672536530000001</v>
      </c>
      <c r="I285">
        <v>2.8940773339999999</v>
      </c>
      <c r="J285">
        <v>5.0673630919999999</v>
      </c>
      <c r="K285">
        <v>6.9</v>
      </c>
      <c r="L285">
        <v>4.7408651590000002</v>
      </c>
      <c r="M285">
        <v>1.9193858720000001</v>
      </c>
      <c r="N285">
        <v>2.0272795459999999</v>
      </c>
      <c r="O285">
        <v>2.3892020949999999</v>
      </c>
      <c r="P285">
        <v>2.6451411949999999</v>
      </c>
      <c r="Q285">
        <v>4.38608683</v>
      </c>
      <c r="R285">
        <v>2.6192444199999998</v>
      </c>
      <c r="T285">
        <v>2.6073758200000001</v>
      </c>
      <c r="U285">
        <v>2.3376708869999998</v>
      </c>
      <c r="V285">
        <v>2.4446885460000001</v>
      </c>
      <c r="X285">
        <v>1.841136146</v>
      </c>
      <c r="Y285">
        <v>1.8358552960000001</v>
      </c>
      <c r="Z285">
        <v>5.409047041</v>
      </c>
      <c r="AA285">
        <v>7.9572500000000002</v>
      </c>
      <c r="AB285">
        <v>12.347929378</v>
      </c>
      <c r="AC285">
        <v>6.7879099710000004</v>
      </c>
      <c r="AD285">
        <v>5.7244264869999997</v>
      </c>
      <c r="AE285">
        <v>1.3035873360000001</v>
      </c>
      <c r="AF285">
        <v>1.4169078209999999</v>
      </c>
      <c r="AG285">
        <v>3.0680296739999999</v>
      </c>
      <c r="AH285">
        <v>2.7569933990000002</v>
      </c>
      <c r="AI285">
        <v>3.1856938349999999</v>
      </c>
      <c r="AJ285">
        <v>2.508810059</v>
      </c>
      <c r="AK285">
        <v>2.8289647250000001</v>
      </c>
      <c r="AL285">
        <v>1.5714755410000001</v>
      </c>
      <c r="AM285">
        <v>3.5915246029999999</v>
      </c>
      <c r="AN285">
        <v>2.8881347900000001</v>
      </c>
      <c r="AO285">
        <v>5.7490094599999999</v>
      </c>
      <c r="AP285">
        <v>2.7813323579999998</v>
      </c>
      <c r="AQ285">
        <v>2.770876817</v>
      </c>
      <c r="AR285">
        <v>3.9282937200000001</v>
      </c>
      <c r="AS285">
        <v>4.514125612</v>
      </c>
      <c r="AT285">
        <v>2.832361261</v>
      </c>
      <c r="AU285">
        <v>7.3394112570000001</v>
      </c>
      <c r="AV285">
        <v>3.0635033840000001</v>
      </c>
      <c r="AW285">
        <v>1.5508205669999999</v>
      </c>
    </row>
    <row r="286" spans="1:49" x14ac:dyDescent="0.35">
      <c r="A286" t="s">
        <v>350</v>
      </c>
      <c r="B286" s="73">
        <v>43282</v>
      </c>
      <c r="C286">
        <v>-2.7161544489999998</v>
      </c>
      <c r="D286">
        <v>3.1691532200000001</v>
      </c>
      <c r="E286">
        <v>2.2598622169999998</v>
      </c>
      <c r="F286">
        <v>1.5697370390000001</v>
      </c>
      <c r="G286">
        <v>1.324712919</v>
      </c>
      <c r="H286">
        <v>2.6249711279999999</v>
      </c>
      <c r="I286">
        <v>3.7288085249999998</v>
      </c>
      <c r="J286">
        <v>5.1122196000000004</v>
      </c>
      <c r="K286">
        <v>6.9</v>
      </c>
      <c r="L286">
        <v>2.8213163630000002</v>
      </c>
      <c r="M286">
        <v>1.7790967040000001</v>
      </c>
      <c r="N286">
        <v>1.4065674850000001</v>
      </c>
      <c r="O286">
        <v>2.1358016599999998</v>
      </c>
      <c r="P286">
        <v>2.1996272060000002</v>
      </c>
      <c r="Q286">
        <v>3.4753857570000002</v>
      </c>
      <c r="R286">
        <v>2.3849390119999998</v>
      </c>
      <c r="T286">
        <v>1.2203825290000001</v>
      </c>
      <c r="U286">
        <v>1.977452802</v>
      </c>
      <c r="V286">
        <v>2.4509915809999998</v>
      </c>
      <c r="X286">
        <v>1.7587232450000001</v>
      </c>
      <c r="Y286">
        <v>1.65772863</v>
      </c>
      <c r="Z286">
        <v>5.1573963870000004</v>
      </c>
      <c r="AA286">
        <v>7.2035799999999997</v>
      </c>
      <c r="AB286">
        <v>12.808683552</v>
      </c>
      <c r="AC286">
        <v>5.1959914210000004</v>
      </c>
      <c r="AD286">
        <v>4.5495676749999996</v>
      </c>
      <c r="AE286">
        <v>0.91446097100000001</v>
      </c>
      <c r="AF286">
        <v>1.3617493469999999</v>
      </c>
      <c r="AG286">
        <v>2.9881552349999998</v>
      </c>
      <c r="AH286">
        <v>0.79925862800000003</v>
      </c>
      <c r="AI286">
        <v>3.9149418840000001</v>
      </c>
      <c r="AJ286">
        <v>2.115480088</v>
      </c>
      <c r="AK286">
        <v>2.5867087209999999</v>
      </c>
      <c r="AL286">
        <v>0.90483528599999996</v>
      </c>
      <c r="AM286">
        <v>3.8838481499999999</v>
      </c>
      <c r="AN286">
        <v>2.7740160020000002</v>
      </c>
      <c r="AO286">
        <v>6.1942629089999999</v>
      </c>
      <c r="AP286">
        <v>3.0618326900000001</v>
      </c>
      <c r="AQ286">
        <v>2.6356292149999998</v>
      </c>
      <c r="AR286">
        <v>4.1795711200000003</v>
      </c>
      <c r="AS286">
        <v>4.6468067949999998</v>
      </c>
      <c r="AT286">
        <v>2.5494021619999998</v>
      </c>
      <c r="AU286">
        <v>5.6363458079999997</v>
      </c>
      <c r="AV286">
        <v>3.2619828069999999</v>
      </c>
      <c r="AW286">
        <v>0.78878207499999997</v>
      </c>
    </row>
    <row r="287" spans="1:49" x14ac:dyDescent="0.35">
      <c r="A287" t="s">
        <v>351</v>
      </c>
      <c r="B287" s="73">
        <v>43374</v>
      </c>
      <c r="C287">
        <v>-4.1574835190000003</v>
      </c>
      <c r="D287">
        <v>2.6603748330000001</v>
      </c>
      <c r="E287">
        <v>2.0229209500000001</v>
      </c>
      <c r="F287">
        <v>2.0323493959999999</v>
      </c>
      <c r="G287">
        <v>2.03356534</v>
      </c>
      <c r="H287">
        <v>2.8991055860000001</v>
      </c>
      <c r="I287">
        <v>2.8300900659999999</v>
      </c>
      <c r="J287">
        <v>2.7760955489999999</v>
      </c>
      <c r="K287">
        <v>6.7</v>
      </c>
      <c r="L287">
        <v>2.6958511980000002</v>
      </c>
      <c r="M287">
        <v>0.239433443</v>
      </c>
      <c r="N287">
        <v>2.392719949</v>
      </c>
      <c r="O287">
        <v>1.3580734619999999</v>
      </c>
      <c r="P287">
        <v>2.088722846</v>
      </c>
      <c r="Q287">
        <v>4.0025554420000002</v>
      </c>
      <c r="R287">
        <v>1.6773243040000001</v>
      </c>
      <c r="T287">
        <v>0.72346552399999997</v>
      </c>
      <c r="U287">
        <v>1.5050838630000001</v>
      </c>
      <c r="V287">
        <v>2.0055465749999999</v>
      </c>
      <c r="X287">
        <v>1.799071447</v>
      </c>
      <c r="Y287">
        <v>0.52946486299999995</v>
      </c>
      <c r="Z287">
        <v>5.7376330250000001</v>
      </c>
      <c r="AA287">
        <v>6.9100799999999998</v>
      </c>
      <c r="AB287">
        <v>7.5180955039999997</v>
      </c>
      <c r="AC287">
        <v>4.6246886570000001</v>
      </c>
      <c r="AD287">
        <v>3.9254014669999999</v>
      </c>
      <c r="AE287">
        <v>0.60106408899999997</v>
      </c>
      <c r="AF287">
        <v>1.164516E-2</v>
      </c>
      <c r="AG287">
        <v>2.2663272550000002</v>
      </c>
      <c r="AH287">
        <v>0.62657851399999998</v>
      </c>
      <c r="AI287">
        <v>4.730993818</v>
      </c>
      <c r="AJ287">
        <v>2.8231347329999998</v>
      </c>
      <c r="AK287">
        <v>2.1061964529999999</v>
      </c>
      <c r="AL287">
        <v>0.84946928399999999</v>
      </c>
      <c r="AM287">
        <v>3.1660712530000001</v>
      </c>
      <c r="AN287">
        <v>2.2519248890000001</v>
      </c>
      <c r="AO287">
        <v>5.9482523069999997</v>
      </c>
      <c r="AP287">
        <v>2.8885880319999999</v>
      </c>
      <c r="AQ287">
        <v>2.1890012080000001</v>
      </c>
      <c r="AR287">
        <v>4.3526717130000003</v>
      </c>
      <c r="AS287">
        <v>5.1114883080000002</v>
      </c>
      <c r="AT287">
        <v>0.808229266</v>
      </c>
      <c r="AU287">
        <v>2.3648859259999999</v>
      </c>
      <c r="AV287">
        <v>3.1539838329999998</v>
      </c>
      <c r="AW287">
        <v>1.8942322170000001</v>
      </c>
    </row>
    <row r="288" spans="1:49" x14ac:dyDescent="0.35">
      <c r="A288" t="s">
        <v>352</v>
      </c>
      <c r="B288" s="73">
        <v>43466</v>
      </c>
      <c r="C288">
        <v>-6.4280361770000001</v>
      </c>
      <c r="D288">
        <v>2.412782601</v>
      </c>
      <c r="E288">
        <v>2.697689827</v>
      </c>
      <c r="F288">
        <v>2.2099242659999998</v>
      </c>
      <c r="G288">
        <v>1.21231752</v>
      </c>
      <c r="H288">
        <v>2.717788724</v>
      </c>
      <c r="I288">
        <v>2.0119605790000001</v>
      </c>
      <c r="J288">
        <v>3.2172038399999998</v>
      </c>
      <c r="K288">
        <v>6.5</v>
      </c>
      <c r="L288">
        <v>2.619965863</v>
      </c>
      <c r="M288">
        <v>0.124539175</v>
      </c>
      <c r="N288">
        <v>2.1329458849999998</v>
      </c>
      <c r="O288">
        <v>1.194680347</v>
      </c>
      <c r="P288">
        <v>2.2105015269999999</v>
      </c>
      <c r="Q288">
        <v>3.5741167279999999</v>
      </c>
      <c r="R288">
        <v>1.548496098</v>
      </c>
      <c r="T288">
        <v>3.5322582999999998E-2</v>
      </c>
      <c r="U288">
        <v>1.488897863</v>
      </c>
      <c r="V288">
        <v>1.493774924</v>
      </c>
      <c r="X288">
        <v>1.4246088779999999</v>
      </c>
      <c r="Y288">
        <v>2.1395562849999998</v>
      </c>
      <c r="Z288">
        <v>5.2980982140000004</v>
      </c>
      <c r="AA288">
        <v>6.4623999999999997</v>
      </c>
      <c r="AB288">
        <v>3.3386034800000002</v>
      </c>
      <c r="AC288">
        <v>3.0645917599999999</v>
      </c>
      <c r="AD288">
        <v>3.1810394030000002</v>
      </c>
      <c r="AE288">
        <v>0.355304536</v>
      </c>
      <c r="AF288">
        <v>-0.23869598</v>
      </c>
      <c r="AG288">
        <v>3.3129777570000001</v>
      </c>
      <c r="AH288">
        <v>0.86115328199999996</v>
      </c>
      <c r="AI288">
        <v>4.9533229409999997</v>
      </c>
      <c r="AJ288">
        <v>1.2956290020000001</v>
      </c>
      <c r="AK288">
        <v>1.7565971380000001</v>
      </c>
      <c r="AL288">
        <v>1.461456694</v>
      </c>
      <c r="AM288">
        <v>3.6069995289999999</v>
      </c>
      <c r="AN288">
        <v>1.6465152890000001</v>
      </c>
      <c r="AO288">
        <v>5.5608430000000002</v>
      </c>
      <c r="AP288">
        <v>2.6677071969999999</v>
      </c>
      <c r="AQ288">
        <v>2.8459098599999999</v>
      </c>
      <c r="AR288">
        <v>3.664811705</v>
      </c>
      <c r="AS288">
        <v>3.989364197</v>
      </c>
      <c r="AT288">
        <v>1.9278689470000001</v>
      </c>
      <c r="AU288">
        <v>-2.7259678190000001</v>
      </c>
      <c r="AV288">
        <v>2.3125836280000001</v>
      </c>
      <c r="AW288">
        <v>1.853040958</v>
      </c>
    </row>
    <row r="289" spans="1:49" x14ac:dyDescent="0.35">
      <c r="A289" t="s">
        <v>353</v>
      </c>
      <c r="B289" s="73">
        <v>43556</v>
      </c>
      <c r="C289">
        <v>-6.0591664620000003</v>
      </c>
      <c r="D289">
        <v>1.972553003</v>
      </c>
      <c r="E289">
        <v>2.3501021030000002</v>
      </c>
      <c r="F289">
        <v>2.0927418979999999</v>
      </c>
      <c r="G289">
        <v>0.85771383000000001</v>
      </c>
      <c r="H289">
        <v>1.8986143820000001</v>
      </c>
      <c r="I289">
        <v>1.0420737120000001</v>
      </c>
      <c r="J289">
        <v>1.735458487</v>
      </c>
      <c r="K289">
        <v>6.3</v>
      </c>
      <c r="L289">
        <v>2.9978994559999999</v>
      </c>
      <c r="M289">
        <v>1.429591262</v>
      </c>
      <c r="N289">
        <v>1.39096194</v>
      </c>
      <c r="O289">
        <v>1.8342332880000001</v>
      </c>
      <c r="P289">
        <v>2.3955915870000002</v>
      </c>
      <c r="Q289">
        <v>4.4368820360000001</v>
      </c>
      <c r="R289">
        <v>2.082075568</v>
      </c>
      <c r="T289">
        <v>0.51245025200000005</v>
      </c>
      <c r="U289">
        <v>2.0915434720000001</v>
      </c>
      <c r="V289">
        <v>1.648804562</v>
      </c>
      <c r="X289">
        <v>1.91132407</v>
      </c>
      <c r="Y289">
        <v>1.7146780020000001</v>
      </c>
      <c r="Z289">
        <v>5.4630898620000004</v>
      </c>
      <c r="AA289">
        <v>5.2983900000000004</v>
      </c>
      <c r="AB289">
        <v>5.1975634810000004</v>
      </c>
      <c r="AC289">
        <v>3.3967157459999999</v>
      </c>
      <c r="AD289">
        <v>3.6564718690000002</v>
      </c>
      <c r="AE289">
        <v>0.65259366500000004</v>
      </c>
      <c r="AF289">
        <v>-0.115361675</v>
      </c>
      <c r="AG289">
        <v>1.879306135</v>
      </c>
      <c r="AH289">
        <v>0.95424431399999998</v>
      </c>
      <c r="AI289">
        <v>4.0457747709999996</v>
      </c>
      <c r="AJ289">
        <v>0.206026875</v>
      </c>
      <c r="AK289">
        <v>2.0124397200000002</v>
      </c>
      <c r="AL289">
        <v>0.519304557</v>
      </c>
      <c r="AM289">
        <v>3.4315463720000001</v>
      </c>
      <c r="AN289">
        <v>1.657334096</v>
      </c>
      <c r="AO289">
        <v>5.123982926</v>
      </c>
      <c r="AP289">
        <v>2.8263245879999999</v>
      </c>
      <c r="AQ289">
        <v>1.4313071719999999</v>
      </c>
      <c r="AR289">
        <v>3.6003029070000001</v>
      </c>
      <c r="AS289">
        <v>4.5955565470000002</v>
      </c>
      <c r="AT289">
        <v>2.1214275690000002</v>
      </c>
      <c r="AU289">
        <v>-2.3115548330000002</v>
      </c>
      <c r="AV289">
        <v>2.1602281090000002</v>
      </c>
      <c r="AW289">
        <v>0.50852420300000001</v>
      </c>
    </row>
    <row r="290" spans="1:49" x14ac:dyDescent="0.35">
      <c r="A290" t="s">
        <v>354</v>
      </c>
      <c r="B290" s="73">
        <v>43647</v>
      </c>
      <c r="C290">
        <v>-0.79733640800000005</v>
      </c>
      <c r="D290">
        <v>1.652689192</v>
      </c>
      <c r="E290">
        <v>1.76467006</v>
      </c>
      <c r="F290">
        <v>2.1872040749999999</v>
      </c>
      <c r="G290">
        <v>1.574675295</v>
      </c>
      <c r="H290">
        <v>2.103862034</v>
      </c>
      <c r="I290">
        <v>0.50291478099999998</v>
      </c>
      <c r="J290">
        <v>1.628144268</v>
      </c>
      <c r="K290">
        <v>6</v>
      </c>
      <c r="L290">
        <v>3.0712009079999998</v>
      </c>
      <c r="M290">
        <v>0.54668740400000004</v>
      </c>
      <c r="N290">
        <v>1.8979676830000001</v>
      </c>
      <c r="O290">
        <v>1.6055647179999999</v>
      </c>
      <c r="P290">
        <v>2.1515993010000001</v>
      </c>
      <c r="Q290">
        <v>3.7091193690000002</v>
      </c>
      <c r="R290">
        <v>1.8419967610000001</v>
      </c>
      <c r="T290">
        <v>1.4224776139999999</v>
      </c>
      <c r="U290">
        <v>2.3517997940000002</v>
      </c>
      <c r="V290">
        <v>1.5547041720000001</v>
      </c>
      <c r="X290">
        <v>1.561445046</v>
      </c>
      <c r="Y290">
        <v>2.412144493</v>
      </c>
      <c r="Z290">
        <v>4.8928745530000004</v>
      </c>
      <c r="AA290">
        <v>5.28383</v>
      </c>
      <c r="AB290">
        <v>4.6427140610000004</v>
      </c>
      <c r="AC290">
        <v>1.7445857789999999</v>
      </c>
      <c r="AD290">
        <v>3.865965707</v>
      </c>
      <c r="AE290">
        <v>0.83738723500000001</v>
      </c>
      <c r="AF290">
        <v>-0.108432086</v>
      </c>
      <c r="AG290">
        <v>2.3078417999999998</v>
      </c>
      <c r="AH290">
        <v>3.3695951769999999</v>
      </c>
      <c r="AI290">
        <v>2.9775436790000001</v>
      </c>
      <c r="AJ290">
        <v>-0.143511149</v>
      </c>
      <c r="AK290">
        <v>1.786400226</v>
      </c>
      <c r="AL290">
        <v>1.0796387759999999</v>
      </c>
      <c r="AM290">
        <v>2.7140970769999999</v>
      </c>
      <c r="AN290">
        <v>1.622596455</v>
      </c>
      <c r="AO290">
        <v>4.600932577</v>
      </c>
      <c r="AP290">
        <v>2.613559736</v>
      </c>
      <c r="AQ290">
        <v>3.1498777059999998</v>
      </c>
      <c r="AR290">
        <v>2.6927724569999998</v>
      </c>
      <c r="AS290">
        <v>2.8303902509999999</v>
      </c>
      <c r="AT290">
        <v>1.619585096</v>
      </c>
      <c r="AU290">
        <v>-0.63993166800000001</v>
      </c>
      <c r="AV290">
        <v>2.1355406160000001</v>
      </c>
      <c r="AW290">
        <v>1.1304401500000001</v>
      </c>
    </row>
    <row r="291" spans="1:49" x14ac:dyDescent="0.35">
      <c r="A291" t="s">
        <v>355</v>
      </c>
      <c r="B291" s="73">
        <v>43739</v>
      </c>
      <c r="C291">
        <v>-0.40495432999999997</v>
      </c>
      <c r="D291">
        <v>1.924364685</v>
      </c>
      <c r="E291">
        <v>1.8002607390000001</v>
      </c>
      <c r="F291">
        <v>2.5303588110000002</v>
      </c>
      <c r="G291">
        <v>0.74264006699999996</v>
      </c>
      <c r="H291">
        <v>1.783327917</v>
      </c>
      <c r="I291">
        <v>1.391260503</v>
      </c>
      <c r="J291">
        <v>2.3479481070000001</v>
      </c>
      <c r="K291">
        <v>5.9</v>
      </c>
      <c r="L291">
        <v>3.029280961</v>
      </c>
      <c r="M291">
        <v>1.4591850049999999</v>
      </c>
      <c r="N291">
        <v>1.751288661</v>
      </c>
      <c r="O291">
        <v>1.807202875</v>
      </c>
      <c r="P291">
        <v>1.9225259880000001</v>
      </c>
      <c r="Q291">
        <v>3.1249393649999999</v>
      </c>
      <c r="R291">
        <v>2.0089820399999998</v>
      </c>
      <c r="T291">
        <v>1.5918396159999999</v>
      </c>
      <c r="U291">
        <v>1.9819851230000001</v>
      </c>
      <c r="V291">
        <v>1.799896487</v>
      </c>
      <c r="X291">
        <v>1.617062864</v>
      </c>
      <c r="Y291">
        <v>2.1157523189999998</v>
      </c>
      <c r="Z291">
        <v>4.7742157629999999</v>
      </c>
      <c r="AA291">
        <v>4.2964000000000002</v>
      </c>
      <c r="AB291">
        <v>6.1620065650000004</v>
      </c>
      <c r="AC291">
        <v>1.1237449420000001</v>
      </c>
      <c r="AD291">
        <v>4.1574185549999996</v>
      </c>
      <c r="AE291">
        <v>0.78327791999999996</v>
      </c>
      <c r="AF291">
        <v>0.63580583300000004</v>
      </c>
      <c r="AG291">
        <v>2.1012468540000002</v>
      </c>
      <c r="AH291">
        <v>2.4115301140000001</v>
      </c>
      <c r="AI291">
        <v>1.890468</v>
      </c>
      <c r="AJ291">
        <v>-0.182186088</v>
      </c>
      <c r="AK291">
        <v>1.9378561839999999</v>
      </c>
      <c r="AL291">
        <v>1.0175575640000001</v>
      </c>
      <c r="AM291">
        <v>3.5057343460000001</v>
      </c>
      <c r="AN291">
        <v>1.868361578</v>
      </c>
      <c r="AO291">
        <v>4.0840952699999997</v>
      </c>
      <c r="AP291">
        <v>2.5381828620000002</v>
      </c>
      <c r="AQ291">
        <v>1.894762912</v>
      </c>
      <c r="AR291">
        <v>1.9173130570000001</v>
      </c>
      <c r="AS291">
        <v>3.1114813560000001</v>
      </c>
      <c r="AT291">
        <v>2.6099187619999999</v>
      </c>
      <c r="AU291">
        <v>1.0554880099999999</v>
      </c>
      <c r="AV291">
        <v>2.3058278649999999</v>
      </c>
      <c r="AW291">
        <v>-1.2045512E-2</v>
      </c>
    </row>
    <row r="292" spans="1:49" x14ac:dyDescent="0.35">
      <c r="A292" t="s">
        <v>356</v>
      </c>
      <c r="B292" s="73">
        <v>43831</v>
      </c>
      <c r="C292">
        <v>-0.51992484299999997</v>
      </c>
      <c r="D292">
        <v>2.2262686700000001</v>
      </c>
      <c r="E292">
        <v>3.3919673999999997E-2</v>
      </c>
      <c r="F292">
        <v>2.1512592850000001</v>
      </c>
      <c r="G292">
        <v>1.693658712</v>
      </c>
      <c r="H292">
        <v>1.7691254830000001</v>
      </c>
      <c r="I292">
        <v>1.718427591</v>
      </c>
      <c r="J292">
        <v>-2.8402534570000002</v>
      </c>
      <c r="K292">
        <v>5.8</v>
      </c>
      <c r="L292">
        <v>2.7680914240000001</v>
      </c>
      <c r="M292">
        <v>0.922106651</v>
      </c>
      <c r="N292">
        <v>0.93778172000000004</v>
      </c>
      <c r="O292">
        <v>1.1687230280000001</v>
      </c>
      <c r="P292">
        <v>1.474888274</v>
      </c>
      <c r="Q292">
        <v>3.1738198949999998</v>
      </c>
      <c r="R292">
        <v>1.376140827</v>
      </c>
      <c r="T292">
        <v>1.3700323089999999</v>
      </c>
      <c r="U292">
        <v>1.1174623159999999</v>
      </c>
      <c r="V292">
        <v>1.37684863</v>
      </c>
      <c r="X292">
        <v>1.3309481089999999</v>
      </c>
      <c r="Y292">
        <v>1.180658802</v>
      </c>
      <c r="Z292">
        <v>4.362344738</v>
      </c>
      <c r="AA292">
        <v>3.25624</v>
      </c>
      <c r="AB292">
        <v>6.4836429449999997</v>
      </c>
      <c r="AC292">
        <v>3.402305395</v>
      </c>
      <c r="AD292">
        <v>4.1944716949999998</v>
      </c>
      <c r="AE292">
        <v>-0.34683723700000002</v>
      </c>
      <c r="AF292">
        <v>-1.9945432780000001</v>
      </c>
      <c r="AG292">
        <v>2.679990632</v>
      </c>
      <c r="AH292">
        <v>2.5789554469999998</v>
      </c>
      <c r="AI292">
        <v>1.231400464</v>
      </c>
      <c r="AJ292">
        <v>-0.62926057400000002</v>
      </c>
      <c r="AK292">
        <v>1.9192050650000001</v>
      </c>
      <c r="AL292">
        <v>1.8206591750000001</v>
      </c>
      <c r="AM292">
        <v>2.6471372340000001</v>
      </c>
      <c r="AN292">
        <v>1.681067812</v>
      </c>
      <c r="AO292">
        <v>3.7461831590000001</v>
      </c>
      <c r="AP292">
        <v>2.754033556</v>
      </c>
      <c r="AQ292">
        <v>0.76465798799999996</v>
      </c>
      <c r="AR292">
        <v>1.8965876989999999</v>
      </c>
      <c r="AS292">
        <v>3.1091523630000002</v>
      </c>
      <c r="AT292">
        <v>1.7205315969999999</v>
      </c>
      <c r="AU292">
        <v>5.8034245589999998</v>
      </c>
      <c r="AV292">
        <v>2.5726308480000002</v>
      </c>
      <c r="AW292">
        <v>-0.39798515699999998</v>
      </c>
    </row>
    <row r="293" spans="1:49" x14ac:dyDescent="0.35">
      <c r="A293" t="s">
        <v>357</v>
      </c>
      <c r="B293" s="73">
        <v>43922</v>
      </c>
      <c r="C293">
        <v>-4.838527923</v>
      </c>
      <c r="D293">
        <v>1.4806972140000001</v>
      </c>
      <c r="E293">
        <v>-2.8359353010000001</v>
      </c>
      <c r="F293">
        <v>-1.037586503</v>
      </c>
      <c r="G293">
        <v>-0.85030427799999997</v>
      </c>
      <c r="H293">
        <v>-0.46729374600000001</v>
      </c>
      <c r="I293">
        <v>3.6836603000000002E-2</v>
      </c>
      <c r="J293">
        <v>-0.59445461700000002</v>
      </c>
      <c r="K293">
        <v>-6.9</v>
      </c>
      <c r="L293">
        <v>-1.462892348</v>
      </c>
      <c r="M293">
        <v>-1.220669794</v>
      </c>
      <c r="N293">
        <v>0.89325988599999995</v>
      </c>
      <c r="O293">
        <v>-2.8468296259999999</v>
      </c>
      <c r="P293">
        <v>-4.673702928</v>
      </c>
      <c r="Q293">
        <v>2.350497228</v>
      </c>
      <c r="R293">
        <v>-2.2458082259999999</v>
      </c>
      <c r="T293">
        <v>0.40296441599999999</v>
      </c>
      <c r="U293">
        <v>-5.1566130489999997</v>
      </c>
      <c r="V293">
        <v>-0.94551569700000004</v>
      </c>
      <c r="X293">
        <v>-1.963017842</v>
      </c>
      <c r="Y293">
        <v>-1.5861174659999999</v>
      </c>
      <c r="Z293">
        <v>1.8019323460000001</v>
      </c>
      <c r="AA293">
        <v>2.18188</v>
      </c>
      <c r="AB293">
        <v>7.5585218469999997</v>
      </c>
      <c r="AC293">
        <v>-4.080151968</v>
      </c>
      <c r="AD293">
        <v>1.1903312479999999</v>
      </c>
      <c r="AE293">
        <v>-6.359977464</v>
      </c>
      <c r="AF293">
        <v>-1.799441029</v>
      </c>
      <c r="AG293">
        <v>1.5082656480000001</v>
      </c>
      <c r="AH293">
        <v>1.004813519</v>
      </c>
      <c r="AI293">
        <v>0.47410581499999999</v>
      </c>
      <c r="AJ293">
        <v>-1.6583152080000001</v>
      </c>
      <c r="AK293">
        <v>-0.28711092799999999</v>
      </c>
      <c r="AL293">
        <v>0.98999994199999997</v>
      </c>
      <c r="AM293">
        <v>0.92721010999999998</v>
      </c>
      <c r="AN293">
        <v>-0.52763906800000004</v>
      </c>
      <c r="AO293">
        <v>3.0764927379999998</v>
      </c>
      <c r="AP293">
        <v>-2.5815983010000001</v>
      </c>
      <c r="AQ293">
        <v>0.60514174399999998</v>
      </c>
      <c r="AR293">
        <v>-1.7612308059999999</v>
      </c>
      <c r="AS293">
        <v>-2.375453249</v>
      </c>
      <c r="AT293">
        <v>1.026302458</v>
      </c>
      <c r="AU293">
        <v>4.3693365369999997</v>
      </c>
      <c r="AV293">
        <v>0.82008298099999999</v>
      </c>
      <c r="AW293">
        <v>0.513294044</v>
      </c>
    </row>
    <row r="294" spans="1:49" x14ac:dyDescent="0.35">
      <c r="A294" t="s">
        <v>358</v>
      </c>
      <c r="B294" s="73">
        <v>44013</v>
      </c>
      <c r="C294">
        <v>-19.718734013999999</v>
      </c>
      <c r="D294">
        <v>-5.7840752469999996</v>
      </c>
      <c r="E294">
        <v>-13.595329308</v>
      </c>
      <c r="F294">
        <v>-12.792852773</v>
      </c>
      <c r="G294">
        <v>-10.080490960000001</v>
      </c>
      <c r="H294">
        <v>-12.211942682</v>
      </c>
      <c r="I294">
        <v>-7.4230575869999997</v>
      </c>
      <c r="J294">
        <v>-14.222786730999999</v>
      </c>
      <c r="K294">
        <v>3.1</v>
      </c>
      <c r="L294">
        <v>-10.782890147</v>
      </c>
      <c r="M294">
        <v>-10.435831326000001</v>
      </c>
      <c r="N294">
        <v>-6.4226625479999999</v>
      </c>
      <c r="O294">
        <v>-14.240517854</v>
      </c>
      <c r="P294">
        <v>-21.937066645000002</v>
      </c>
      <c r="Q294">
        <v>-4.7235157640000001</v>
      </c>
      <c r="R294">
        <v>-13.401307404000001</v>
      </c>
      <c r="T294">
        <v>-6.6181198840000004</v>
      </c>
      <c r="U294">
        <v>-18.564945705</v>
      </c>
      <c r="V294">
        <v>-11.468071247999999</v>
      </c>
      <c r="X294">
        <v>-22.627407624</v>
      </c>
      <c r="Y294">
        <v>-15.603636497</v>
      </c>
      <c r="Z294">
        <v>-13.205310555000001</v>
      </c>
      <c r="AA294">
        <v>-22.412600000000001</v>
      </c>
      <c r="AB294">
        <v>-9.3123172000000004E-2</v>
      </c>
      <c r="AC294">
        <v>-10.240516599999999</v>
      </c>
      <c r="AD294">
        <v>-8.0463130550000006</v>
      </c>
      <c r="AE294">
        <v>-17.890432114999999</v>
      </c>
      <c r="AF294">
        <v>-9.8824007989999991</v>
      </c>
      <c r="AG294">
        <v>-2.5967072330000001</v>
      </c>
      <c r="AH294">
        <v>-6.261168037</v>
      </c>
      <c r="AI294">
        <v>-7.133380754</v>
      </c>
      <c r="AJ294">
        <v>-18.785313702</v>
      </c>
      <c r="AK294">
        <v>-8.5455978199999993</v>
      </c>
      <c r="AL294">
        <v>-5.3455526520000003</v>
      </c>
      <c r="AM294">
        <v>-9.8539411119999993</v>
      </c>
      <c r="AN294">
        <v>-11.294556324</v>
      </c>
      <c r="AO294">
        <v>-7.2511338810000003</v>
      </c>
      <c r="AP294">
        <v>-17.780250957</v>
      </c>
      <c r="AQ294">
        <v>-6.0322870870000003</v>
      </c>
      <c r="AR294">
        <v>-9.3072389399999995</v>
      </c>
      <c r="AS294">
        <v>-11.572299084999999</v>
      </c>
      <c r="AT294">
        <v>-7.7603471209999997</v>
      </c>
      <c r="AU294">
        <v>-8.6301506089999993</v>
      </c>
      <c r="AV294">
        <v>-8.3506401560000008</v>
      </c>
      <c r="AW294">
        <v>-17.007477874999999</v>
      </c>
    </row>
    <row r="295" spans="1:49" x14ac:dyDescent="0.35">
      <c r="A295" t="s">
        <v>359</v>
      </c>
      <c r="B295" s="73">
        <v>44105</v>
      </c>
      <c r="C295">
        <v>-10.316963002</v>
      </c>
      <c r="D295">
        <v>-2.8636380369999999</v>
      </c>
      <c r="E295">
        <v>-4.2299943070000001</v>
      </c>
      <c r="F295">
        <v>-3.2664326479999999</v>
      </c>
      <c r="G295">
        <v>-2.9852598530000001</v>
      </c>
      <c r="H295">
        <v>-4.651911857</v>
      </c>
      <c r="I295">
        <v>-1.1988215659999999</v>
      </c>
      <c r="J295">
        <v>-9.8486018899999994</v>
      </c>
      <c r="K295">
        <v>4.8</v>
      </c>
      <c r="L295">
        <v>-5.2160091059999996</v>
      </c>
      <c r="M295">
        <v>-2.4800895889999999</v>
      </c>
      <c r="N295">
        <v>-1.3921679650000001</v>
      </c>
      <c r="O295">
        <v>-3.8474635080000001</v>
      </c>
      <c r="P295">
        <v>-9.2168180829999997</v>
      </c>
      <c r="Q295">
        <v>-0.46348968600000001</v>
      </c>
      <c r="R295">
        <v>-3.6947219329999998</v>
      </c>
      <c r="T295">
        <v>-2.037661119</v>
      </c>
      <c r="U295">
        <v>-3.6225073779999999</v>
      </c>
      <c r="V295">
        <v>-3.5930550280000002</v>
      </c>
      <c r="X295">
        <v>-10.324677638000001</v>
      </c>
      <c r="Y295">
        <v>-10.744605912000001</v>
      </c>
      <c r="Z295">
        <v>-4.2170460439999999</v>
      </c>
      <c r="AA295">
        <v>-6.2041300000000001</v>
      </c>
      <c r="AB295">
        <v>10.790588268</v>
      </c>
      <c r="AC295">
        <v>-7.4251536939999996</v>
      </c>
      <c r="AD295">
        <v>-1.0478392679999999</v>
      </c>
      <c r="AE295">
        <v>-6.085895786</v>
      </c>
      <c r="AF295">
        <v>-5.0316907960000004</v>
      </c>
      <c r="AG295">
        <v>-0.83293149700000002</v>
      </c>
      <c r="AH295">
        <v>1.5199058599999999</v>
      </c>
      <c r="AI295">
        <v>-1.672447711</v>
      </c>
      <c r="AJ295">
        <v>-8.3276767409999994</v>
      </c>
      <c r="AK295">
        <v>-3.1201369720000001</v>
      </c>
      <c r="AL295">
        <v>-1.807801985</v>
      </c>
      <c r="AM295">
        <v>1.952087905</v>
      </c>
      <c r="AN295">
        <v>-3.4201169149999999</v>
      </c>
      <c r="AO295">
        <v>-1.7101890390000001</v>
      </c>
      <c r="AP295">
        <v>-6.2098525650000003</v>
      </c>
      <c r="AQ295">
        <v>-2.467576233</v>
      </c>
      <c r="AR295">
        <v>-1.1929231709999999</v>
      </c>
      <c r="AS295">
        <v>-1.7078549679999999</v>
      </c>
      <c r="AT295">
        <v>-1.115605153</v>
      </c>
      <c r="AU295">
        <v>5.6151393709999997</v>
      </c>
      <c r="AV295">
        <v>-2.0240101209999999</v>
      </c>
      <c r="AW295">
        <v>-5.7141756780000001</v>
      </c>
    </row>
    <row r="296" spans="1:49" x14ac:dyDescent="0.35">
      <c r="A296" t="s">
        <v>360</v>
      </c>
      <c r="B296" s="73">
        <v>44197</v>
      </c>
      <c r="C296">
        <v>-4.787733179</v>
      </c>
      <c r="D296">
        <v>-0.111231489</v>
      </c>
      <c r="E296">
        <v>-5.6217488500000004</v>
      </c>
      <c r="F296">
        <v>-4.3539637579999999</v>
      </c>
      <c r="G296">
        <v>-0.403645168</v>
      </c>
      <c r="H296">
        <v>-2.9377857139999999</v>
      </c>
      <c r="I296">
        <v>-1.485206995</v>
      </c>
      <c r="J296">
        <v>0.106392351</v>
      </c>
      <c r="K296">
        <v>6.4</v>
      </c>
      <c r="L296">
        <v>-4.596123382</v>
      </c>
      <c r="M296">
        <v>-2.1295454679999999</v>
      </c>
      <c r="N296">
        <v>-1.032280171</v>
      </c>
      <c r="O296">
        <v>-4.1145846659999998</v>
      </c>
      <c r="P296">
        <v>-9.4669676190000001</v>
      </c>
      <c r="Q296">
        <v>1.0230608889999999</v>
      </c>
      <c r="R296">
        <v>-3.8618508569999999</v>
      </c>
      <c r="T296">
        <v>-1.0954943660000001</v>
      </c>
      <c r="U296">
        <v>-4.2471335640000003</v>
      </c>
      <c r="V296">
        <v>-2.6215197130000001</v>
      </c>
      <c r="X296">
        <v>-9.2133274190000005</v>
      </c>
      <c r="Y296">
        <v>-6.8227318590000001</v>
      </c>
      <c r="Z296">
        <v>-3.264928485</v>
      </c>
      <c r="AA296">
        <v>0.65517999999999998</v>
      </c>
      <c r="AB296">
        <v>4.3151990979999999</v>
      </c>
      <c r="AC296">
        <v>-5.6623083100000002</v>
      </c>
      <c r="AD296">
        <v>0.37609064599999997</v>
      </c>
      <c r="AE296">
        <v>-6.0423454779999997</v>
      </c>
      <c r="AF296">
        <v>-0.52842753499999995</v>
      </c>
      <c r="AG296">
        <v>-0.88911242599999996</v>
      </c>
      <c r="AH296">
        <v>0.63593432100000002</v>
      </c>
      <c r="AI296">
        <v>-0.33291337500000001</v>
      </c>
      <c r="AJ296">
        <v>-3.980786782</v>
      </c>
      <c r="AK296">
        <v>-3.5586135479999998</v>
      </c>
      <c r="AL296">
        <v>-1.223143581</v>
      </c>
      <c r="AM296">
        <v>0.93041020500000005</v>
      </c>
      <c r="AN296">
        <v>-2.4495950350000002</v>
      </c>
      <c r="AO296">
        <v>-2.2299413659999998</v>
      </c>
      <c r="AP296">
        <v>-6.6286781799999996</v>
      </c>
      <c r="AQ296">
        <v>-1.2994789870000001</v>
      </c>
      <c r="AR296">
        <v>-1.2534726540000001</v>
      </c>
      <c r="AS296">
        <v>-4.0952940099999999</v>
      </c>
      <c r="AT296">
        <v>-1.458154392</v>
      </c>
      <c r="AU296">
        <v>5.3234167399999999</v>
      </c>
      <c r="AV296">
        <v>-1.5166199330000001</v>
      </c>
      <c r="AW296">
        <v>-3.137847324</v>
      </c>
    </row>
    <row r="297" spans="1:49" x14ac:dyDescent="0.35">
      <c r="A297" t="s">
        <v>361</v>
      </c>
      <c r="B297" s="73">
        <v>44287</v>
      </c>
      <c r="C297">
        <v>2.8887932030000001</v>
      </c>
      <c r="D297">
        <v>2.1710569529999999</v>
      </c>
      <c r="E297">
        <v>-4.1727955720000001</v>
      </c>
      <c r="F297">
        <v>-0.181904605</v>
      </c>
      <c r="G297">
        <v>2.9177652809999999</v>
      </c>
      <c r="H297">
        <v>0.47102677900000001</v>
      </c>
      <c r="I297">
        <v>-0.11507554</v>
      </c>
      <c r="J297">
        <v>1.4985023150000001</v>
      </c>
      <c r="K297">
        <v>18.7</v>
      </c>
      <c r="L297">
        <v>-1.8871173889999999</v>
      </c>
      <c r="M297">
        <v>-2.1745039080000002</v>
      </c>
      <c r="N297">
        <v>0.25276628699999998</v>
      </c>
      <c r="O297">
        <v>-0.83557015400000001</v>
      </c>
      <c r="P297">
        <v>-4.4298028690000004</v>
      </c>
      <c r="Q297">
        <v>2.9272603510000001</v>
      </c>
      <c r="R297">
        <v>-0.75993863699999997</v>
      </c>
      <c r="T297">
        <v>-1.045247526</v>
      </c>
      <c r="U297">
        <v>1.483556077</v>
      </c>
      <c r="V297">
        <v>-0.23623633399999999</v>
      </c>
      <c r="X297">
        <v>-7.7326331389999998</v>
      </c>
      <c r="Y297">
        <v>-2.0692543190000001</v>
      </c>
      <c r="Z297">
        <v>-1.6105136440000001</v>
      </c>
      <c r="AA297">
        <v>1.4454199999999999</v>
      </c>
      <c r="AB297">
        <v>10.727248470999999</v>
      </c>
      <c r="AC297">
        <v>-2.8509284799999999</v>
      </c>
      <c r="AD297">
        <v>1.299131364</v>
      </c>
      <c r="AE297">
        <v>6.9407913000000002E-2</v>
      </c>
      <c r="AF297">
        <v>-1.0937626549999999</v>
      </c>
      <c r="AG297">
        <v>2.1863227329999999</v>
      </c>
      <c r="AH297">
        <v>3.9531129429999998</v>
      </c>
      <c r="AI297">
        <v>-0.65401720500000005</v>
      </c>
      <c r="AJ297">
        <v>-2.5815566489999999</v>
      </c>
      <c r="AK297">
        <v>-2.0914551349999999</v>
      </c>
      <c r="AL297">
        <v>-0.57863371399999997</v>
      </c>
      <c r="AM297">
        <v>4.1302535279999999</v>
      </c>
      <c r="AN297">
        <v>1.4202843E-2</v>
      </c>
      <c r="AO297">
        <v>-0.45262692199999999</v>
      </c>
      <c r="AP297">
        <v>-4.8860028690000004</v>
      </c>
      <c r="AQ297">
        <v>-0.43206129399999998</v>
      </c>
      <c r="AR297">
        <v>9.7840588000000006E-2</v>
      </c>
      <c r="AS297">
        <v>2.4220939819999998</v>
      </c>
      <c r="AT297">
        <v>5.0796075000000003E-2</v>
      </c>
      <c r="AU297">
        <v>7.5204449159999998</v>
      </c>
      <c r="AV297">
        <v>1.1919350500000001</v>
      </c>
      <c r="AW297">
        <v>-2.3414245220000001</v>
      </c>
    </row>
    <row r="298" spans="1:49" x14ac:dyDescent="0.35">
      <c r="A298" t="s">
        <v>362</v>
      </c>
      <c r="B298" s="73">
        <v>44378</v>
      </c>
      <c r="C298">
        <v>20.058099075000001</v>
      </c>
      <c r="D298">
        <v>10.282093467999999</v>
      </c>
      <c r="E298">
        <v>12.502721512999999</v>
      </c>
      <c r="F298">
        <v>14.604504328000001</v>
      </c>
      <c r="G298">
        <v>12.438108504000001</v>
      </c>
      <c r="H298">
        <v>12.133964192000001</v>
      </c>
      <c r="I298">
        <v>9.6216213350000004</v>
      </c>
      <c r="J298">
        <v>18.173168444000002</v>
      </c>
      <c r="K298">
        <v>8.3000000000000007</v>
      </c>
      <c r="L298">
        <v>9.1334096979999995</v>
      </c>
      <c r="M298">
        <v>10.156264054999999</v>
      </c>
      <c r="N298">
        <v>8.9990998770000008</v>
      </c>
      <c r="O298">
        <v>14.211623479</v>
      </c>
      <c r="P298">
        <v>17.875245591999999</v>
      </c>
      <c r="Q298">
        <v>13.533463627</v>
      </c>
      <c r="R298">
        <v>13.757737537000001</v>
      </c>
      <c r="T298">
        <v>7.1522956950000003</v>
      </c>
      <c r="U298">
        <v>18.648106347999999</v>
      </c>
      <c r="V298">
        <v>13.101364735000001</v>
      </c>
      <c r="X298">
        <v>24.405387753999999</v>
      </c>
      <c r="Y298">
        <v>14.519934745</v>
      </c>
      <c r="Z298">
        <v>17.584632125999999</v>
      </c>
      <c r="AA298">
        <v>20.44378</v>
      </c>
      <c r="AB298">
        <v>19.541338439</v>
      </c>
      <c r="AC298">
        <v>8.9118802010000007</v>
      </c>
      <c r="AD298">
        <v>15.439743907</v>
      </c>
      <c r="AE298">
        <v>16.674243594</v>
      </c>
      <c r="AF298">
        <v>7.8196382680000003</v>
      </c>
      <c r="AG298">
        <v>6.2541347370000002</v>
      </c>
      <c r="AH298">
        <v>10.712697904000001</v>
      </c>
      <c r="AI298">
        <v>9.3177256320000001</v>
      </c>
      <c r="AJ298">
        <v>19.312004701999999</v>
      </c>
      <c r="AK298">
        <v>10.286551812000001</v>
      </c>
      <c r="AL298">
        <v>6.5436041500000002</v>
      </c>
      <c r="AM298">
        <v>18.623391350999999</v>
      </c>
      <c r="AN298">
        <v>13.437884012</v>
      </c>
      <c r="AO298">
        <v>12.023538629000001</v>
      </c>
      <c r="AP298">
        <v>17.014559863999999</v>
      </c>
      <c r="AQ298">
        <v>7.5695837170000004</v>
      </c>
      <c r="AR298">
        <v>10.173031417000001</v>
      </c>
      <c r="AS298">
        <v>15.723489281000001</v>
      </c>
      <c r="AT298">
        <v>9.6444636730000006</v>
      </c>
      <c r="AU298">
        <v>22.355880781</v>
      </c>
      <c r="AV298">
        <v>12.460854405999999</v>
      </c>
      <c r="AW298">
        <v>19.429486458</v>
      </c>
    </row>
    <row r="299" spans="1:49" x14ac:dyDescent="0.35">
      <c r="A299" t="s">
        <v>363</v>
      </c>
      <c r="B299" s="73">
        <v>44470</v>
      </c>
      <c r="C299">
        <v>11.440945783</v>
      </c>
      <c r="D299">
        <v>4.1345860329999997</v>
      </c>
      <c r="E299">
        <v>5.4401218040000003</v>
      </c>
      <c r="F299">
        <v>4.9547553090000003</v>
      </c>
      <c r="G299">
        <v>4.4806913169999998</v>
      </c>
      <c r="H299">
        <v>4.3300503050000003</v>
      </c>
      <c r="I299">
        <v>3.9794404550000002</v>
      </c>
      <c r="J299">
        <v>17.232039261000001</v>
      </c>
      <c r="K299">
        <v>5.2</v>
      </c>
      <c r="L299">
        <v>3.7708347689999999</v>
      </c>
      <c r="M299">
        <v>1.849972384</v>
      </c>
      <c r="N299">
        <v>3.8975865089999999</v>
      </c>
      <c r="O299">
        <v>3.942862163</v>
      </c>
      <c r="P299">
        <v>4.2019749280000003</v>
      </c>
      <c r="Q299">
        <v>9.1246607900000001</v>
      </c>
      <c r="R299">
        <v>4.237598406</v>
      </c>
      <c r="T299">
        <v>3.073076446</v>
      </c>
      <c r="U299">
        <v>3.5504230560000001</v>
      </c>
      <c r="V299">
        <v>4.3200530869999998</v>
      </c>
      <c r="X299">
        <v>8.5356964820000005</v>
      </c>
      <c r="Y299">
        <v>12.616570761</v>
      </c>
      <c r="Z299">
        <v>6.656302223</v>
      </c>
      <c r="AA299">
        <v>7.8330700000000002</v>
      </c>
      <c r="AB299">
        <v>9.9087201769999993</v>
      </c>
      <c r="AC299">
        <v>7.0131604159999998</v>
      </c>
      <c r="AD299">
        <v>8.2036014179999999</v>
      </c>
      <c r="AE299">
        <v>4.7791878069999996</v>
      </c>
      <c r="AF299">
        <v>1.7069413250000001</v>
      </c>
      <c r="AG299">
        <v>4.0381180829999996</v>
      </c>
      <c r="AH299">
        <v>2.0384678209999998</v>
      </c>
      <c r="AI299">
        <v>4.5742281709999997</v>
      </c>
      <c r="AJ299">
        <v>4.3331216460000004</v>
      </c>
      <c r="AK299">
        <v>5.5819556830000003</v>
      </c>
      <c r="AL299">
        <v>5.5066275139999998</v>
      </c>
      <c r="AM299">
        <v>-0.111390423</v>
      </c>
      <c r="AN299">
        <v>4.8678920510000001</v>
      </c>
      <c r="AO299">
        <v>7.1202809880000002</v>
      </c>
      <c r="AP299">
        <v>4.9584721280000004</v>
      </c>
      <c r="AQ299">
        <v>3.830445643</v>
      </c>
      <c r="AR299">
        <v>1.225713965</v>
      </c>
      <c r="AS299">
        <v>5.3882462369999997</v>
      </c>
      <c r="AT299">
        <v>3.9233799920000001</v>
      </c>
      <c r="AU299">
        <v>8.6709481190000002</v>
      </c>
      <c r="AV299">
        <v>4.9556544809999998</v>
      </c>
      <c r="AW299">
        <v>3.0877572529999999</v>
      </c>
    </row>
    <row r="300" spans="1:49" x14ac:dyDescent="0.35">
      <c r="A300" t="s">
        <v>364</v>
      </c>
      <c r="B300" s="73">
        <v>44562</v>
      </c>
      <c r="C300">
        <v>8.6932059450000008</v>
      </c>
      <c r="D300">
        <v>4.5756048800000002</v>
      </c>
      <c r="E300">
        <v>6.0511202869999998</v>
      </c>
      <c r="F300">
        <v>6.1125602209999998</v>
      </c>
      <c r="G300">
        <v>2.1025989840000001</v>
      </c>
      <c r="H300">
        <v>3.8612334370000001</v>
      </c>
      <c r="I300">
        <v>3.8013266479999999</v>
      </c>
      <c r="J300">
        <v>11.766218501999999</v>
      </c>
      <c r="K300">
        <v>4.3</v>
      </c>
      <c r="L300">
        <v>3.4726665940000001</v>
      </c>
      <c r="M300">
        <v>1.1924143519999999</v>
      </c>
      <c r="N300">
        <v>6.5401913089999999</v>
      </c>
      <c r="O300">
        <v>4.7747266189999999</v>
      </c>
      <c r="P300">
        <v>6.6253351580000004</v>
      </c>
      <c r="Q300">
        <v>7.1729587629999996</v>
      </c>
      <c r="R300">
        <v>5.0693285640000001</v>
      </c>
      <c r="T300">
        <v>2.9847855179999998</v>
      </c>
      <c r="U300">
        <v>5.0987166840000002</v>
      </c>
      <c r="V300">
        <v>4.7645478490000004</v>
      </c>
      <c r="X300">
        <v>8.8693362320000002</v>
      </c>
      <c r="Y300">
        <v>8.793923586</v>
      </c>
      <c r="Z300">
        <v>7.4961155809999998</v>
      </c>
      <c r="AA300">
        <v>5.0333800000000002</v>
      </c>
      <c r="AB300">
        <v>13.989575426</v>
      </c>
      <c r="AC300">
        <v>4.9309896049999997</v>
      </c>
      <c r="AD300">
        <v>10.471966564000001</v>
      </c>
      <c r="AE300">
        <v>6.5638985090000004</v>
      </c>
      <c r="AF300">
        <v>0.91566553699999997</v>
      </c>
      <c r="AG300">
        <v>4.1656121209999997</v>
      </c>
      <c r="AH300">
        <v>4.0886966850000004</v>
      </c>
      <c r="AI300">
        <v>2.4714676130000002</v>
      </c>
      <c r="AJ300">
        <v>1.1051472879999999</v>
      </c>
      <c r="AK300">
        <v>6.1742759490000001</v>
      </c>
      <c r="AL300">
        <v>4.6968939729999999</v>
      </c>
      <c r="AM300">
        <v>3.3164809879999999</v>
      </c>
      <c r="AN300">
        <v>5.228187739</v>
      </c>
      <c r="AO300">
        <v>8.7392097549999992</v>
      </c>
      <c r="AP300">
        <v>6.5983234629999998</v>
      </c>
      <c r="AR300">
        <v>1.1401362429999999</v>
      </c>
      <c r="AS300">
        <v>10.348976518000001</v>
      </c>
      <c r="AT300">
        <v>6.1346639180000002</v>
      </c>
      <c r="AU300">
        <v>9.1987870730000001</v>
      </c>
      <c r="AV300">
        <v>5.7171000909999998</v>
      </c>
      <c r="AW300">
        <v>1.7551585190000001</v>
      </c>
    </row>
    <row r="301" spans="1:49" x14ac:dyDescent="0.35">
      <c r="A301" t="s">
        <v>365</v>
      </c>
      <c r="B301" s="73">
        <v>44652</v>
      </c>
      <c r="C301">
        <v>6.1579255939999999</v>
      </c>
      <c r="D301">
        <v>2.91649884</v>
      </c>
      <c r="E301">
        <v>8.4497171259999995</v>
      </c>
      <c r="F301">
        <v>5.2784366159999996</v>
      </c>
      <c r="G301">
        <v>2.4012124379999999</v>
      </c>
      <c r="H301">
        <v>3.2186332499999999</v>
      </c>
      <c r="I301">
        <v>4.2628693179999999</v>
      </c>
      <c r="J301">
        <v>7.0764172600000004</v>
      </c>
      <c r="K301">
        <v>4.8</v>
      </c>
      <c r="L301">
        <v>4.6270255630000001</v>
      </c>
      <c r="M301">
        <v>3.5222212329999998</v>
      </c>
      <c r="N301">
        <v>4.9369320160000001</v>
      </c>
      <c r="O301">
        <v>5.5050452720000003</v>
      </c>
      <c r="P301">
        <v>6.8571386319999998</v>
      </c>
      <c r="Q301">
        <v>4.4561605609999999</v>
      </c>
      <c r="R301">
        <v>5.6487706800000002</v>
      </c>
      <c r="T301">
        <v>3.1265429920000001</v>
      </c>
      <c r="U301">
        <v>4.7679117959999999</v>
      </c>
      <c r="V301">
        <v>4.0172918920000003</v>
      </c>
      <c r="X301">
        <v>10.531576286</v>
      </c>
      <c r="Y301">
        <v>7.8623293639999998</v>
      </c>
      <c r="Z301">
        <v>7.8151005910000002</v>
      </c>
      <c r="AA301">
        <v>4.1611599999999997</v>
      </c>
      <c r="AB301">
        <v>11.927251911999999</v>
      </c>
      <c r="AC301">
        <v>8.0131901620000008</v>
      </c>
      <c r="AD301">
        <v>9.9674767670000008</v>
      </c>
      <c r="AE301">
        <v>6.4182110269999999</v>
      </c>
      <c r="AF301">
        <v>0.63336725800000004</v>
      </c>
      <c r="AG301">
        <v>3.0493485900000001</v>
      </c>
      <c r="AH301">
        <v>2.7870817520000002</v>
      </c>
      <c r="AI301">
        <v>4.9464488659999999</v>
      </c>
      <c r="AJ301">
        <v>1.8852680550000001</v>
      </c>
      <c r="AK301">
        <v>6.52971316</v>
      </c>
      <c r="AL301">
        <v>4.494159368</v>
      </c>
      <c r="AM301">
        <v>0.76214765500000003</v>
      </c>
      <c r="AN301">
        <v>4.5634751949999997</v>
      </c>
      <c r="AO301">
        <v>10.524154472999999</v>
      </c>
      <c r="AP301">
        <v>11.988107639000001</v>
      </c>
      <c r="AR301">
        <v>2.8997081059999998</v>
      </c>
      <c r="AS301">
        <v>9.6066545520000002</v>
      </c>
      <c r="AT301">
        <v>4.1555677739999997</v>
      </c>
      <c r="AU301">
        <v>7.0415084659999998</v>
      </c>
      <c r="AV301">
        <v>3.6836789579999998</v>
      </c>
      <c r="AW301">
        <v>2.6838668569999999</v>
      </c>
    </row>
    <row r="302" spans="1:49" x14ac:dyDescent="0.35">
      <c r="A302" t="s">
        <v>366</v>
      </c>
      <c r="B302" s="73">
        <v>44743</v>
      </c>
      <c r="C302">
        <v>8.0772990549999992</v>
      </c>
      <c r="D302">
        <v>3.1503415829999999</v>
      </c>
      <c r="E302">
        <v>6.1856376439999998</v>
      </c>
      <c r="F302">
        <v>4.0536526080000002</v>
      </c>
      <c r="G302">
        <v>3.6789936719999998</v>
      </c>
      <c r="H302">
        <v>4.6551698400000001</v>
      </c>
      <c r="I302">
        <v>2.309760034</v>
      </c>
      <c r="J302">
        <v>5.7976237419999999</v>
      </c>
      <c r="K302">
        <v>0.4</v>
      </c>
      <c r="L302">
        <v>3.5050686820000001</v>
      </c>
      <c r="M302">
        <v>1.6674937999999999</v>
      </c>
      <c r="N302">
        <v>3.86737434</v>
      </c>
      <c r="O302">
        <v>4.3303247239999996</v>
      </c>
      <c r="P302">
        <v>7.7963666070000004</v>
      </c>
      <c r="Q302">
        <v>0.19542679399999999</v>
      </c>
      <c r="R302">
        <v>4.3843503630000003</v>
      </c>
      <c r="T302">
        <v>2.5931844239999999</v>
      </c>
      <c r="U302">
        <v>4.1626903730000002</v>
      </c>
      <c r="V302">
        <v>2.3972872700000001</v>
      </c>
      <c r="X302">
        <v>3.8652208309999998</v>
      </c>
      <c r="Y302">
        <v>7.079271833</v>
      </c>
      <c r="Z302">
        <v>6.023454224</v>
      </c>
      <c r="AA302">
        <v>14.004720000000001</v>
      </c>
      <c r="AB302">
        <v>12.182862763999999</v>
      </c>
      <c r="AC302">
        <v>6.8869357520000003</v>
      </c>
      <c r="AD302">
        <v>7.3659195400000002</v>
      </c>
      <c r="AE302">
        <v>5.0463272989999997</v>
      </c>
      <c r="AF302">
        <v>1.4351155209999999</v>
      </c>
      <c r="AG302">
        <v>2.953199809</v>
      </c>
      <c r="AH302">
        <v>1.6844537589999999</v>
      </c>
      <c r="AI302">
        <v>2.539615424</v>
      </c>
      <c r="AJ302">
        <v>2.3065226050000001</v>
      </c>
      <c r="AK302">
        <v>5.2016787019999997</v>
      </c>
      <c r="AL302">
        <v>4.3124746299999996</v>
      </c>
      <c r="AM302">
        <v>0.28389339499999999</v>
      </c>
      <c r="AN302">
        <v>3.2913789090000001</v>
      </c>
      <c r="AO302">
        <v>5.6464098930000004</v>
      </c>
      <c r="AP302">
        <v>7.3847063520000003</v>
      </c>
      <c r="AR302">
        <v>1.3049609710000001</v>
      </c>
      <c r="AS302">
        <v>8.3301707</v>
      </c>
      <c r="AT302">
        <v>3.9218987520000002</v>
      </c>
      <c r="AU302">
        <v>6.914896003</v>
      </c>
      <c r="AV302">
        <v>1.796042498</v>
      </c>
      <c r="AW302">
        <v>0.53009260800000002</v>
      </c>
    </row>
    <row r="303" spans="1:49" x14ac:dyDescent="0.35">
      <c r="A303" t="s">
        <v>367</v>
      </c>
      <c r="B303" s="73">
        <v>44835</v>
      </c>
      <c r="C303">
        <v>5.8275709429999996</v>
      </c>
      <c r="D303">
        <v>5.8653009770000004</v>
      </c>
      <c r="E303">
        <v>2.0115329549999998</v>
      </c>
      <c r="F303">
        <v>1.905583024</v>
      </c>
      <c r="G303">
        <v>3.6283453840000002</v>
      </c>
      <c r="H303">
        <v>3.9300930639999998</v>
      </c>
      <c r="I303">
        <v>0.74617700499999995</v>
      </c>
      <c r="J303">
        <v>-5.9864622999999999E-2</v>
      </c>
      <c r="K303">
        <v>3.9</v>
      </c>
      <c r="L303">
        <v>1.524456574</v>
      </c>
      <c r="M303">
        <v>1.354131644</v>
      </c>
      <c r="N303">
        <v>3.2146629739999999</v>
      </c>
      <c r="O303">
        <v>2.3438525069999998</v>
      </c>
      <c r="P303">
        <v>4.7711186019999996</v>
      </c>
      <c r="Q303">
        <v>-2.2849290959999999</v>
      </c>
      <c r="R303">
        <v>2.5166355820000001</v>
      </c>
      <c r="T303">
        <v>1.3728796059999999</v>
      </c>
      <c r="U303">
        <v>0.99110652200000005</v>
      </c>
      <c r="V303">
        <v>1.8848927289999999</v>
      </c>
      <c r="X303">
        <v>1.927950711</v>
      </c>
      <c r="Y303">
        <v>2.815397881</v>
      </c>
      <c r="Z303">
        <v>3.7254057220000001</v>
      </c>
      <c r="AA303">
        <v>5.6846399999999999</v>
      </c>
      <c r="AB303">
        <v>10.582239980000001</v>
      </c>
      <c r="AC303">
        <v>5.3686772649999996</v>
      </c>
      <c r="AD303">
        <v>5.777003433</v>
      </c>
      <c r="AE303">
        <v>2.7131879259999998</v>
      </c>
      <c r="AF303">
        <v>1.5237209810000001</v>
      </c>
      <c r="AG303">
        <v>3.0657865389999999</v>
      </c>
      <c r="AH303">
        <v>3.0134290880000001</v>
      </c>
      <c r="AI303">
        <v>-0.56012885700000004</v>
      </c>
      <c r="AJ303">
        <v>4.3172417279999999</v>
      </c>
      <c r="AK303">
        <v>3.172614963</v>
      </c>
      <c r="AL303">
        <v>2.2755852860000001</v>
      </c>
      <c r="AM303">
        <v>6.437710032</v>
      </c>
      <c r="AN303">
        <v>2.5423136</v>
      </c>
      <c r="AO303">
        <v>4.4772672509999998</v>
      </c>
      <c r="AP303">
        <v>4.8600796839999996</v>
      </c>
      <c r="AR303">
        <v>1.2901900660000001</v>
      </c>
      <c r="AS303">
        <v>3.9467246</v>
      </c>
      <c r="AT303">
        <v>2.2969204300000001</v>
      </c>
      <c r="AU303">
        <v>3.9596090199999998</v>
      </c>
      <c r="AV303">
        <v>1.942138388</v>
      </c>
      <c r="AW303">
        <v>4.0338227040000003</v>
      </c>
    </row>
    <row r="304" spans="1:49" x14ac:dyDescent="0.35">
      <c r="A304" t="s">
        <v>368</v>
      </c>
      <c r="B304" s="73">
        <v>44927</v>
      </c>
      <c r="E304">
        <v>2.7051773159999999</v>
      </c>
      <c r="F304">
        <v>1.429396224</v>
      </c>
      <c r="H304">
        <v>2.630278675</v>
      </c>
      <c r="K304">
        <v>2.9</v>
      </c>
      <c r="L304">
        <v>0.36363388600000002</v>
      </c>
      <c r="M304">
        <v>1.1385434139999999</v>
      </c>
      <c r="N304">
        <v>1.701085411</v>
      </c>
      <c r="O304">
        <v>1.908003509</v>
      </c>
      <c r="P304">
        <v>2.6803410529999998</v>
      </c>
      <c r="R304">
        <v>1.8291340780000001</v>
      </c>
      <c r="T304">
        <v>0.55229724899999999</v>
      </c>
      <c r="U304">
        <v>0.54545903600000001</v>
      </c>
      <c r="V304">
        <v>0.98242006500000001</v>
      </c>
      <c r="X304">
        <v>0.37453521000000001</v>
      </c>
      <c r="Z304">
        <v>0.88916211700000003</v>
      </c>
      <c r="AB304">
        <v>15.730093499000001</v>
      </c>
      <c r="AD304">
        <v>2.711958595</v>
      </c>
      <c r="AE304">
        <v>1.673811546</v>
      </c>
      <c r="AF304">
        <v>0.60470879099999997</v>
      </c>
      <c r="AG304">
        <v>1.32489664</v>
      </c>
      <c r="AI304">
        <v>0.17074229299999999</v>
      </c>
      <c r="AJ304">
        <v>3.7085593330000002</v>
      </c>
      <c r="AK304">
        <v>3.2944928849999999</v>
      </c>
      <c r="AL304">
        <v>1.8122190499999999</v>
      </c>
      <c r="AO304">
        <v>0.32979124599999998</v>
      </c>
      <c r="AP304">
        <v>3.0704820970000002</v>
      </c>
      <c r="AR304">
        <v>1.205006043</v>
      </c>
      <c r="AS304">
        <v>1.333494161</v>
      </c>
      <c r="AT304">
        <v>-0.54788843499999995</v>
      </c>
      <c r="AV304">
        <v>0.95925354299999999</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zoomScale="110" zoomScaleNormal="110" workbookViewId="0">
      <pane ySplit="1" topLeftCell="A166" activePane="bottomLeft" state="frozen"/>
      <selection activeCell="T15" sqref="T15"/>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5.2</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7.2</v>
      </c>
      <c r="J3">
        <v>3.1E-2</v>
      </c>
      <c r="K3">
        <v>2.75</v>
      </c>
      <c r="L3">
        <v>5.0000000000000001E-3</v>
      </c>
      <c r="M3">
        <v>10.8</v>
      </c>
      <c r="N3">
        <v>0.11600000000000001</v>
      </c>
      <c r="O3">
        <v>2.83</v>
      </c>
    </row>
    <row r="4" spans="1:15" x14ac:dyDescent="0.35">
      <c r="A4" t="s">
        <v>392</v>
      </c>
      <c r="B4">
        <v>134.37</v>
      </c>
      <c r="C4">
        <v>-2.8</v>
      </c>
      <c r="D4">
        <v>62.5</v>
      </c>
      <c r="E4">
        <v>163</v>
      </c>
      <c r="F4">
        <v>8.0000000000000002E-3</v>
      </c>
      <c r="G4">
        <v>2.8000000000000001E-2</v>
      </c>
      <c r="H4">
        <v>-7.2</v>
      </c>
      <c r="I4">
        <v>9.3000000000000007</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12.55</v>
      </c>
      <c r="J5">
        <v>0.26979999999999998</v>
      </c>
      <c r="K5">
        <v>18</v>
      </c>
      <c r="L5">
        <v>0.2</v>
      </c>
      <c r="M5">
        <v>30.2</v>
      </c>
      <c r="N5">
        <v>0.34100000000000003</v>
      </c>
      <c r="O5">
        <v>33</v>
      </c>
    </row>
    <row r="6" spans="1:15" x14ac:dyDescent="0.35">
      <c r="A6" t="s">
        <v>394</v>
      </c>
      <c r="B6">
        <v>96.12</v>
      </c>
      <c r="C6">
        <v>1</v>
      </c>
      <c r="D6">
        <v>80.5</v>
      </c>
      <c r="E6">
        <v>487</v>
      </c>
      <c r="F6">
        <v>1.7000000000000001E-2</v>
      </c>
      <c r="G6">
        <v>5.8999999999999997E-2</v>
      </c>
      <c r="H6">
        <v>-4.5</v>
      </c>
      <c r="I6">
        <v>98.8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8.1</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7.8</v>
      </c>
      <c r="J8">
        <v>0.03</v>
      </c>
      <c r="K8">
        <v>3.35</v>
      </c>
      <c r="L8">
        <v>1E-3</v>
      </c>
      <c r="M8">
        <v>3.7</v>
      </c>
      <c r="N8">
        <v>4.5999999999999999E-2</v>
      </c>
      <c r="O8">
        <v>25.77</v>
      </c>
    </row>
    <row r="9" spans="1:15" x14ac:dyDescent="0.35">
      <c r="A9" t="s">
        <v>397</v>
      </c>
      <c r="B9">
        <v>1.1100000000000001</v>
      </c>
      <c r="C9">
        <v>-0.5</v>
      </c>
      <c r="D9">
        <v>82.8</v>
      </c>
      <c r="E9">
        <v>480</v>
      </c>
      <c r="F9">
        <v>-6.9999999999999993E-3</v>
      </c>
      <c r="G9">
        <v>2.7E-2</v>
      </c>
      <c r="H9">
        <v>-5.9</v>
      </c>
      <c r="I9">
        <v>11.1</v>
      </c>
      <c r="J9">
        <v>4.2999999999999997E-2</v>
      </c>
      <c r="K9">
        <v>3</v>
      </c>
      <c r="L9">
        <v>0</v>
      </c>
      <c r="M9">
        <v>7.6</v>
      </c>
      <c r="N9">
        <v>7.0000000000000007E-2</v>
      </c>
      <c r="O9">
        <v>8.93</v>
      </c>
    </row>
    <row r="10" spans="1:15" x14ac:dyDescent="0.35">
      <c r="A10" t="s">
        <v>398</v>
      </c>
      <c r="B10">
        <v>1.7</v>
      </c>
      <c r="C10">
        <v>15.2</v>
      </c>
      <c r="D10">
        <v>18.2</v>
      </c>
      <c r="E10">
        <v>55</v>
      </c>
      <c r="G10">
        <v>4.5999999999999999E-2</v>
      </c>
      <c r="H10">
        <v>-1</v>
      </c>
      <c r="I10">
        <v>13.6</v>
      </c>
      <c r="J10">
        <v>6.2E-2</v>
      </c>
      <c r="K10">
        <v>8.5</v>
      </c>
      <c r="L10">
        <v>7.2499999999999995E-2</v>
      </c>
      <c r="M10">
        <v>6</v>
      </c>
      <c r="N10">
        <v>6.2699999999999992E-2</v>
      </c>
      <c r="O10">
        <v>10.16</v>
      </c>
    </row>
    <row r="11" spans="1:15" x14ac:dyDescent="0.35">
      <c r="A11" t="s">
        <v>399</v>
      </c>
      <c r="B11">
        <v>1</v>
      </c>
      <c r="C11">
        <v>-20.9</v>
      </c>
      <c r="D11">
        <v>95.6</v>
      </c>
      <c r="E11">
        <v>11</v>
      </c>
      <c r="G11">
        <v>0.02</v>
      </c>
      <c r="H11">
        <v>-13.3</v>
      </c>
      <c r="I11">
        <v>5.48</v>
      </c>
      <c r="J11">
        <v>2.7E-2</v>
      </c>
      <c r="K11">
        <v>4</v>
      </c>
      <c r="L11">
        <v>0.04</v>
      </c>
      <c r="M11">
        <v>13.2</v>
      </c>
      <c r="N11">
        <v>0.25600000000000001</v>
      </c>
      <c r="O11">
        <v>0.4</v>
      </c>
    </row>
    <row r="12" spans="1:15" x14ac:dyDescent="0.35">
      <c r="A12" t="s">
        <v>400</v>
      </c>
      <c r="B12">
        <v>0.38</v>
      </c>
      <c r="C12">
        <v>6.7</v>
      </c>
      <c r="D12">
        <v>119.5</v>
      </c>
      <c r="E12">
        <v>39</v>
      </c>
      <c r="F12">
        <v>-2.6200000000000001E-2</v>
      </c>
      <c r="G12">
        <v>4.2000000000000003E-2</v>
      </c>
      <c r="H12">
        <v>-35</v>
      </c>
      <c r="I12">
        <v>3.6</v>
      </c>
      <c r="J12">
        <v>6.9999999999999993E-3</v>
      </c>
      <c r="K12">
        <v>5.5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8.57</v>
      </c>
      <c r="J13">
        <v>5.7000000000000002E-2</v>
      </c>
      <c r="K13">
        <v>6</v>
      </c>
      <c r="L13">
        <v>4.7500000000000001E-2</v>
      </c>
      <c r="M13">
        <v>5.2</v>
      </c>
      <c r="N13">
        <v>5.2999999999999999E-2</v>
      </c>
      <c r="O13">
        <v>166.3</v>
      </c>
    </row>
    <row r="14" spans="1:15" x14ac:dyDescent="0.35">
      <c r="A14" t="s">
        <v>402</v>
      </c>
      <c r="B14">
        <v>2.57</v>
      </c>
      <c r="C14">
        <v>-2.7</v>
      </c>
      <c r="D14">
        <v>33.5</v>
      </c>
      <c r="E14">
        <v>68</v>
      </c>
      <c r="G14">
        <v>-5.45E-2</v>
      </c>
      <c r="H14">
        <v>-0.3</v>
      </c>
      <c r="I14">
        <v>12</v>
      </c>
      <c r="J14">
        <v>0.10299999999999999</v>
      </c>
      <c r="K14">
        <v>11.5</v>
      </c>
      <c r="L14">
        <v>9.2499999999999999E-2</v>
      </c>
      <c r="M14">
        <v>3.9</v>
      </c>
      <c r="N14">
        <v>2E-3</v>
      </c>
      <c r="O14">
        <v>9.25</v>
      </c>
    </row>
    <row r="15" spans="1:15" x14ac:dyDescent="0.35">
      <c r="A15" t="s">
        <v>403</v>
      </c>
      <c r="B15">
        <v>1.1100000000000001</v>
      </c>
      <c r="C15">
        <v>-0.4</v>
      </c>
      <c r="D15">
        <v>108.2</v>
      </c>
      <c r="E15">
        <v>594</v>
      </c>
      <c r="F15">
        <v>1E-3</v>
      </c>
      <c r="G15">
        <v>1.4E-2</v>
      </c>
      <c r="H15">
        <v>-5.5</v>
      </c>
      <c r="I15">
        <v>8.0500000000000007</v>
      </c>
      <c r="J15">
        <v>5.6399999999999999E-2</v>
      </c>
      <c r="K15">
        <v>3</v>
      </c>
      <c r="L15">
        <v>0</v>
      </c>
      <c r="M15">
        <v>5.5</v>
      </c>
      <c r="N15">
        <v>6.3E-2</v>
      </c>
      <c r="O15">
        <v>11.55</v>
      </c>
    </row>
    <row r="16" spans="1:15" x14ac:dyDescent="0.35">
      <c r="A16" t="s">
        <v>404</v>
      </c>
      <c r="B16">
        <v>588.96</v>
      </c>
      <c r="C16">
        <v>-4.5</v>
      </c>
      <c r="D16">
        <v>47.2</v>
      </c>
      <c r="E16">
        <v>17</v>
      </c>
      <c r="G16">
        <v>6.0999999999999999E-2</v>
      </c>
      <c r="H16">
        <v>-6.1</v>
      </c>
      <c r="I16">
        <v>1.3</v>
      </c>
      <c r="J16">
        <v>2.5000000000000001E-2</v>
      </c>
      <c r="K16">
        <v>4.75</v>
      </c>
      <c r="L16">
        <v>0.04</v>
      </c>
      <c r="M16">
        <v>1.6</v>
      </c>
      <c r="N16">
        <v>2.5000000000000001E-2</v>
      </c>
      <c r="O16">
        <v>12.45</v>
      </c>
    </row>
    <row r="17" spans="1:15" x14ac:dyDescent="0.35">
      <c r="A17" t="s">
        <v>405</v>
      </c>
      <c r="B17">
        <v>71.010000000000005</v>
      </c>
      <c r="C17">
        <v>-33.799999999999997</v>
      </c>
      <c r="D17">
        <v>134.94</v>
      </c>
      <c r="E17">
        <v>3</v>
      </c>
      <c r="G17">
        <v>4.0999999999999988E-2</v>
      </c>
      <c r="H17">
        <v>-7.8</v>
      </c>
      <c r="I17">
        <v>4.4400000000000004</v>
      </c>
      <c r="J17">
        <v>4.9699999999999987E-2</v>
      </c>
      <c r="K17">
        <v>7.16</v>
      </c>
      <c r="L17">
        <v>7.1399999999999991E-2</v>
      </c>
      <c r="M17">
        <v>5</v>
      </c>
      <c r="N17">
        <v>0.05</v>
      </c>
      <c r="O17">
        <v>0.78</v>
      </c>
    </row>
    <row r="18" spans="1:15" x14ac:dyDescent="0.35">
      <c r="A18" t="s">
        <v>406</v>
      </c>
      <c r="B18">
        <v>6.83</v>
      </c>
      <c r="C18">
        <v>2</v>
      </c>
      <c r="D18">
        <v>82.6</v>
      </c>
      <c r="E18">
        <v>40</v>
      </c>
      <c r="F18">
        <v>0.1404</v>
      </c>
      <c r="G18">
        <v>4.2900000000000001E-2</v>
      </c>
      <c r="H18">
        <v>-9.5</v>
      </c>
      <c r="I18">
        <v>3.14</v>
      </c>
      <c r="J18">
        <v>9.5999999999999992E-3</v>
      </c>
      <c r="K18">
        <v>3.48</v>
      </c>
      <c r="L18">
        <v>3.85E-2</v>
      </c>
      <c r="M18">
        <v>6.9</v>
      </c>
      <c r="N18">
        <v>5.5999999999999987E-2</v>
      </c>
      <c r="O18">
        <v>11.83</v>
      </c>
    </row>
    <row r="19" spans="1:15" x14ac:dyDescent="0.35">
      <c r="A19" t="s">
        <v>407</v>
      </c>
      <c r="B19">
        <v>1.77</v>
      </c>
      <c r="C19">
        <v>-2.1</v>
      </c>
      <c r="D19">
        <v>24.8</v>
      </c>
      <c r="E19">
        <v>23</v>
      </c>
      <c r="F19">
        <v>1.4E-2</v>
      </c>
      <c r="G19">
        <v>2.5999999999999999E-2</v>
      </c>
      <c r="H19">
        <v>-0.3</v>
      </c>
      <c r="I19">
        <v>14.8</v>
      </c>
      <c r="J19">
        <v>4.2999999999999997E-2</v>
      </c>
      <c r="K19">
        <v>3.66</v>
      </c>
      <c r="L19">
        <v>3.44E-2</v>
      </c>
      <c r="M19">
        <v>31.12</v>
      </c>
      <c r="N19">
        <v>0.31730000000000003</v>
      </c>
      <c r="O19">
        <v>3.46</v>
      </c>
    </row>
    <row r="20" spans="1:15" x14ac:dyDescent="0.35">
      <c r="A20" t="s">
        <v>408</v>
      </c>
      <c r="B20">
        <v>11.03</v>
      </c>
      <c r="C20">
        <v>-0.5</v>
      </c>
      <c r="D20">
        <v>24.2</v>
      </c>
      <c r="E20">
        <v>18</v>
      </c>
      <c r="F20">
        <v>0.04</v>
      </c>
      <c r="G20">
        <v>6.3E-2</v>
      </c>
      <c r="H20">
        <v>-5.0999999999999996</v>
      </c>
      <c r="I20">
        <v>9.3000000000000007</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5.77</v>
      </c>
      <c r="J21">
        <v>0.1074</v>
      </c>
      <c r="K21">
        <v>13.75</v>
      </c>
      <c r="L21">
        <v>9.2499999999999999E-2</v>
      </c>
      <c r="M21">
        <v>8.1</v>
      </c>
      <c r="N21">
        <v>0.126</v>
      </c>
      <c r="O21">
        <v>213.32</v>
      </c>
    </row>
    <row r="22" spans="1:15" x14ac:dyDescent="0.35">
      <c r="A22" t="s">
        <v>410</v>
      </c>
      <c r="B22">
        <v>1.35</v>
      </c>
      <c r="C22">
        <v>4.5999999999999996</v>
      </c>
      <c r="D22">
        <v>1.9</v>
      </c>
      <c r="E22">
        <v>14</v>
      </c>
      <c r="G22">
        <v>9.0000000000000011E-3</v>
      </c>
      <c r="H22">
        <v>-19.3</v>
      </c>
      <c r="I22">
        <v>3.3</v>
      </c>
      <c r="J22">
        <v>2.1999999999999999E-2</v>
      </c>
      <c r="K22">
        <v>5.5</v>
      </c>
      <c r="L22">
        <v>5.5E-2</v>
      </c>
      <c r="M22">
        <v>4.9000000000000004</v>
      </c>
      <c r="N22">
        <v>8.4000000000000005E-2</v>
      </c>
      <c r="O22">
        <v>0.43</v>
      </c>
    </row>
    <row r="23" spans="1:15" x14ac:dyDescent="0.35">
      <c r="A23" t="s">
        <v>411</v>
      </c>
      <c r="B23">
        <v>1.66</v>
      </c>
      <c r="C23">
        <v>-0.3</v>
      </c>
      <c r="D23">
        <v>22.9</v>
      </c>
      <c r="E23">
        <v>84</v>
      </c>
      <c r="F23">
        <v>5.0000000000000001E-3</v>
      </c>
      <c r="G23">
        <v>2.1000000000000001E-2</v>
      </c>
      <c r="H23">
        <v>-3.9</v>
      </c>
      <c r="I23">
        <v>16.399999999999999</v>
      </c>
      <c r="J23">
        <v>7.2999999999999995E-2</v>
      </c>
      <c r="K23">
        <v>1.3</v>
      </c>
      <c r="L23">
        <v>0</v>
      </c>
      <c r="M23">
        <v>4.8</v>
      </c>
      <c r="N23">
        <v>4.7E-2</v>
      </c>
      <c r="O23">
        <v>6.52</v>
      </c>
    </row>
    <row r="24" spans="1:15" x14ac:dyDescent="0.35">
      <c r="A24" t="s">
        <v>412</v>
      </c>
      <c r="B24">
        <v>588.96</v>
      </c>
      <c r="C24">
        <v>5.2</v>
      </c>
      <c r="D24">
        <v>59.6</v>
      </c>
      <c r="E24">
        <v>20</v>
      </c>
      <c r="G24">
        <v>-0.05</v>
      </c>
      <c r="H24">
        <v>-5.6</v>
      </c>
      <c r="I24">
        <v>8.1999999999999993</v>
      </c>
      <c r="J24">
        <v>3.9E-2</v>
      </c>
      <c r="K24">
        <v>4.75</v>
      </c>
      <c r="L24">
        <v>0.04</v>
      </c>
      <c r="M24">
        <v>4.8</v>
      </c>
      <c r="N24">
        <v>0.05</v>
      </c>
      <c r="O24">
        <v>21.51</v>
      </c>
    </row>
    <row r="25" spans="1:15" x14ac:dyDescent="0.35">
      <c r="A25" t="s">
        <v>413</v>
      </c>
      <c r="B25">
        <v>1877.75</v>
      </c>
      <c r="C25">
        <v>-15</v>
      </c>
      <c r="D25">
        <v>17</v>
      </c>
      <c r="E25">
        <v>3</v>
      </c>
      <c r="G25">
        <v>3.1E-2</v>
      </c>
      <c r="H25">
        <v>-4.5</v>
      </c>
      <c r="I25">
        <v>28.62</v>
      </c>
      <c r="J25">
        <v>9.8699999999999996E-2</v>
      </c>
      <c r="K25">
        <v>5.93</v>
      </c>
      <c r="L25">
        <v>7.0599999999999996E-2</v>
      </c>
      <c r="M25">
        <v>1.8</v>
      </c>
      <c r="N25">
        <v>8.0000000000000002E-3</v>
      </c>
      <c r="O25">
        <v>12.26</v>
      </c>
    </row>
    <row r="26" spans="1:15" x14ac:dyDescent="0.35">
      <c r="A26" t="s">
        <v>414</v>
      </c>
      <c r="B26">
        <v>4061</v>
      </c>
      <c r="C26">
        <v>-48</v>
      </c>
      <c r="D26">
        <v>36.799999999999997</v>
      </c>
      <c r="E26">
        <v>27</v>
      </c>
      <c r="G26">
        <v>5.0999999999999997E-2</v>
      </c>
      <c r="H26">
        <v>-2.6</v>
      </c>
      <c r="I26">
        <v>2.9</v>
      </c>
      <c r="J26">
        <v>2.9600000000000001E-2</v>
      </c>
      <c r="K26">
        <v>0.81</v>
      </c>
      <c r="L26">
        <v>8.8999999999999999E-3</v>
      </c>
      <c r="M26">
        <v>0.61</v>
      </c>
      <c r="N26">
        <v>3.0999999999999999E-3</v>
      </c>
      <c r="O26">
        <v>16.899999999999999</v>
      </c>
    </row>
    <row r="27" spans="1:15" x14ac:dyDescent="0.35">
      <c r="A27" t="s">
        <v>415</v>
      </c>
      <c r="B27">
        <v>551.32000000000005</v>
      </c>
      <c r="C27">
        <v>-4.0999999999999996</v>
      </c>
      <c r="D27">
        <v>46.8</v>
      </c>
      <c r="E27">
        <v>45</v>
      </c>
      <c r="F27">
        <v>2.7E-2</v>
      </c>
      <c r="G27">
        <v>0.04</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4.5</v>
      </c>
      <c r="L28">
        <v>2.5000000000000001E-3</v>
      </c>
      <c r="M28">
        <v>5</v>
      </c>
      <c r="N28">
        <v>0.06</v>
      </c>
      <c r="O28">
        <v>38.44</v>
      </c>
    </row>
    <row r="29" spans="1:15" x14ac:dyDescent="0.35">
      <c r="A29" t="s">
        <v>417</v>
      </c>
      <c r="B29">
        <v>99.94</v>
      </c>
      <c r="C29">
        <v>-11</v>
      </c>
      <c r="D29">
        <v>157</v>
      </c>
      <c r="E29">
        <v>2</v>
      </c>
      <c r="F29">
        <v>2.1000000000000001E-2</v>
      </c>
      <c r="G29">
        <v>0.17100000000000001</v>
      </c>
      <c r="H29">
        <v>-7.6</v>
      </c>
      <c r="I29">
        <v>15.5</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52.1</v>
      </c>
      <c r="E31">
        <v>3</v>
      </c>
      <c r="G31">
        <v>9.0000000000000011E-3</v>
      </c>
      <c r="H31">
        <v>-5.7</v>
      </c>
      <c r="I31">
        <v>7.6</v>
      </c>
      <c r="J31">
        <v>4.7800000000000002E-2</v>
      </c>
      <c r="K31">
        <v>4.5</v>
      </c>
      <c r="L31">
        <v>3.2500000000000001E-2</v>
      </c>
      <c r="M31">
        <v>6.6</v>
      </c>
      <c r="N31">
        <v>4.2999999999999997E-2</v>
      </c>
      <c r="O31">
        <v>4.92</v>
      </c>
    </row>
    <row r="32" spans="1:15" x14ac:dyDescent="0.35">
      <c r="A32" t="s">
        <v>420</v>
      </c>
      <c r="B32">
        <v>551.32000000000005</v>
      </c>
      <c r="C32">
        <v>-3.9</v>
      </c>
      <c r="D32">
        <v>44.7</v>
      </c>
      <c r="E32">
        <v>12</v>
      </c>
      <c r="G32">
        <v>-1.2E-2</v>
      </c>
      <c r="H32">
        <v>-0.2</v>
      </c>
      <c r="I32">
        <v>8.3000000000000007</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12.3</v>
      </c>
      <c r="J33">
        <v>6.7000000000000004E-2</v>
      </c>
      <c r="K33">
        <v>11.25</v>
      </c>
      <c r="L33">
        <v>0.04</v>
      </c>
      <c r="M33">
        <v>7.9</v>
      </c>
      <c r="N33">
        <v>8.1000000000000003E-2</v>
      </c>
      <c r="O33">
        <v>19.690000000000001</v>
      </c>
    </row>
    <row r="34" spans="1:15" x14ac:dyDescent="0.35">
      <c r="A34" t="s">
        <v>422</v>
      </c>
      <c r="B34">
        <v>6.37</v>
      </c>
      <c r="C34">
        <v>2.2999999999999998</v>
      </c>
      <c r="D34">
        <v>76.900000000000006</v>
      </c>
      <c r="E34">
        <v>17734</v>
      </c>
      <c r="F34">
        <v>0</v>
      </c>
      <c r="G34">
        <v>2.9000000000000001E-2</v>
      </c>
      <c r="H34">
        <v>-7.4</v>
      </c>
      <c r="I34">
        <v>2.1</v>
      </c>
      <c r="J34">
        <v>2.3E-2</v>
      </c>
      <c r="K34">
        <v>3.65</v>
      </c>
      <c r="L34">
        <v>3.7999999999999999E-2</v>
      </c>
      <c r="M34">
        <v>5.5</v>
      </c>
      <c r="N34">
        <v>0.05</v>
      </c>
      <c r="O34">
        <v>1411.75</v>
      </c>
    </row>
    <row r="35" spans="1:15" x14ac:dyDescent="0.35">
      <c r="A35" t="s">
        <v>423</v>
      </c>
      <c r="B35">
        <v>3354</v>
      </c>
      <c r="C35">
        <v>-5.7</v>
      </c>
      <c r="D35">
        <v>61.1</v>
      </c>
      <c r="E35">
        <v>314</v>
      </c>
      <c r="F35">
        <v>6.9999999999999993E-3</v>
      </c>
      <c r="G35">
        <v>2.9000000000000001E-2</v>
      </c>
      <c r="H35">
        <v>-7.1</v>
      </c>
      <c r="I35">
        <v>13.25</v>
      </c>
      <c r="J35">
        <v>5.2600000000000001E-2</v>
      </c>
      <c r="K35">
        <v>12.75</v>
      </c>
      <c r="L35">
        <v>0.03</v>
      </c>
      <c r="M35">
        <v>10.3</v>
      </c>
      <c r="N35">
        <v>0.11799999999999999</v>
      </c>
      <c r="O35">
        <v>51.41</v>
      </c>
    </row>
    <row r="36" spans="1:15" x14ac:dyDescent="0.35">
      <c r="A36" t="s">
        <v>424</v>
      </c>
      <c r="B36">
        <v>417.02</v>
      </c>
      <c r="C36">
        <v>0.5</v>
      </c>
      <c r="D36">
        <v>31.1</v>
      </c>
      <c r="E36">
        <v>1</v>
      </c>
      <c r="G36">
        <v>2.1999999999999999E-2</v>
      </c>
      <c r="H36">
        <v>-2.9</v>
      </c>
      <c r="I36">
        <v>15.9</v>
      </c>
      <c r="J36">
        <v>-2.46E-2</v>
      </c>
      <c r="K36">
        <v>3.08</v>
      </c>
      <c r="L36">
        <v>9.3999999999999986E-3</v>
      </c>
      <c r="M36">
        <v>9.4</v>
      </c>
      <c r="N36">
        <v>8.4000000000000005E-2</v>
      </c>
      <c r="O36">
        <v>0.89</v>
      </c>
    </row>
    <row r="37" spans="1:15" x14ac:dyDescent="0.35">
      <c r="A37" t="s">
        <v>425</v>
      </c>
      <c r="B37">
        <v>1666.65</v>
      </c>
      <c r="C37">
        <v>-0.5</v>
      </c>
      <c r="D37">
        <v>14.7</v>
      </c>
      <c r="E37">
        <v>54</v>
      </c>
      <c r="G37">
        <v>8.5000000000000006E-2</v>
      </c>
      <c r="H37">
        <v>-1.6</v>
      </c>
      <c r="I37">
        <v>14.06</v>
      </c>
      <c r="J37">
        <v>4.9200000000000001E-2</v>
      </c>
      <c r="K37">
        <v>8.25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7.65</v>
      </c>
      <c r="J38">
        <v>3.3500000000000002E-2</v>
      </c>
      <c r="K38">
        <v>9</v>
      </c>
      <c r="L38">
        <v>7.4999999999999997E-3</v>
      </c>
      <c r="M38">
        <v>11.7</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3</v>
      </c>
      <c r="L39">
        <v>2.5000000000000001E-2</v>
      </c>
      <c r="M39">
        <v>6.8</v>
      </c>
      <c r="N39">
        <v>7.400000000000001E-2</v>
      </c>
      <c r="O39">
        <v>4.04</v>
      </c>
    </row>
    <row r="40" spans="1:15" x14ac:dyDescent="0.35">
      <c r="A40" t="s">
        <v>428</v>
      </c>
      <c r="B40">
        <v>1</v>
      </c>
      <c r="C40">
        <v>0.9</v>
      </c>
      <c r="D40">
        <v>117</v>
      </c>
      <c r="E40">
        <v>107</v>
      </c>
      <c r="G40">
        <v>1.7000000000000001E-2</v>
      </c>
      <c r="H40">
        <v>-11.7</v>
      </c>
      <c r="I40">
        <v>39.07</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1.0999999999999999E-2</v>
      </c>
      <c r="G41">
        <v>4.5999999999999999E-2</v>
      </c>
      <c r="H41">
        <v>-1.7</v>
      </c>
      <c r="I41">
        <v>7.1</v>
      </c>
      <c r="J41">
        <v>4.3400000000000001E-2</v>
      </c>
      <c r="K41">
        <v>3</v>
      </c>
      <c r="L41">
        <v>0</v>
      </c>
      <c r="M41">
        <v>7.7</v>
      </c>
      <c r="N41">
        <v>6.6000000000000003E-2</v>
      </c>
      <c r="O41">
        <v>0.9</v>
      </c>
    </row>
    <row r="42" spans="1:15" x14ac:dyDescent="0.35">
      <c r="A42" t="s">
        <v>430</v>
      </c>
      <c r="B42">
        <v>21.77</v>
      </c>
      <c r="C42">
        <v>-0.8</v>
      </c>
      <c r="D42">
        <v>41.9</v>
      </c>
      <c r="E42">
        <v>282</v>
      </c>
      <c r="F42">
        <v>-3.0000000000000001E-3</v>
      </c>
      <c r="G42">
        <v>4.0000000000000001E-3</v>
      </c>
      <c r="H42">
        <v>-5.0999999999999996</v>
      </c>
      <c r="I42">
        <v>17.5</v>
      </c>
      <c r="J42">
        <v>0.06</v>
      </c>
      <c r="K42">
        <v>7</v>
      </c>
      <c r="L42">
        <v>3.7499999999999999E-2</v>
      </c>
      <c r="M42">
        <v>3.9</v>
      </c>
      <c r="N42">
        <v>3.3000000000000002E-2</v>
      </c>
      <c r="O42">
        <v>10.5</v>
      </c>
    </row>
    <row r="43" spans="1:15" x14ac:dyDescent="0.35">
      <c r="A43" t="s">
        <v>431</v>
      </c>
      <c r="B43">
        <v>6.31</v>
      </c>
      <c r="C43">
        <v>8.8000000000000007</v>
      </c>
      <c r="D43">
        <v>36.700000000000003</v>
      </c>
      <c r="E43">
        <v>398</v>
      </c>
      <c r="F43">
        <v>1.0999999999999999E-2</v>
      </c>
      <c r="G43">
        <v>3.2000000000000001E-2</v>
      </c>
      <c r="H43">
        <v>3.6</v>
      </c>
      <c r="I43">
        <v>7.7</v>
      </c>
      <c r="J43">
        <v>3.4000000000000002E-2</v>
      </c>
      <c r="K43">
        <v>2.1</v>
      </c>
      <c r="L43">
        <v>-6.0000000000000001E-3</v>
      </c>
      <c r="M43">
        <v>2.4</v>
      </c>
      <c r="N43">
        <v>3.1E-2</v>
      </c>
      <c r="O43">
        <v>5.84</v>
      </c>
    </row>
    <row r="44" spans="1:15" x14ac:dyDescent="0.35">
      <c r="A44" t="s">
        <v>432</v>
      </c>
      <c r="B44">
        <v>177.5</v>
      </c>
      <c r="C44">
        <v>-0.7</v>
      </c>
      <c r="D44">
        <v>43.2</v>
      </c>
      <c r="E44">
        <v>3</v>
      </c>
      <c r="G44">
        <v>3.9E-2</v>
      </c>
      <c r="H44">
        <v>-1.9</v>
      </c>
      <c r="I44">
        <v>3.6</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7.24</v>
      </c>
      <c r="J45">
        <v>8.2299999999999998E-2</v>
      </c>
      <c r="K45">
        <v>8.5</v>
      </c>
      <c r="L45">
        <v>0.03</v>
      </c>
      <c r="M45">
        <v>4.8</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3.2000000000000001E-2</v>
      </c>
      <c r="H47">
        <v>-8.9</v>
      </c>
      <c r="I47">
        <v>3.12</v>
      </c>
      <c r="J47">
        <v>1.84E-2</v>
      </c>
      <c r="K47">
        <v>8.5399999999999991</v>
      </c>
      <c r="L47">
        <v>9.3299999999999994E-2</v>
      </c>
      <c r="M47">
        <v>4.7</v>
      </c>
      <c r="N47">
        <v>6.6000000000000003E-2</v>
      </c>
      <c r="O47">
        <v>17.73</v>
      </c>
    </row>
    <row r="48" spans="1:15" x14ac:dyDescent="0.35">
      <c r="A48" t="s">
        <v>436</v>
      </c>
      <c r="B48">
        <v>15.64</v>
      </c>
      <c r="C48">
        <v>-4.5999999999999996</v>
      </c>
      <c r="D48">
        <v>87.2</v>
      </c>
      <c r="E48">
        <v>404</v>
      </c>
      <c r="F48">
        <v>9.8000000000000004E-2</v>
      </c>
      <c r="G48">
        <v>3.2000000000000001E-2</v>
      </c>
      <c r="H48">
        <v>-5.6</v>
      </c>
      <c r="I48">
        <v>25.8</v>
      </c>
      <c r="J48">
        <v>5.5999999999999987E-2</v>
      </c>
      <c r="K48">
        <v>16.25</v>
      </c>
      <c r="L48">
        <v>8.2500000000000004E-2</v>
      </c>
      <c r="M48">
        <v>7.2</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7.03</v>
      </c>
      <c r="J49">
        <v>6.2E-2</v>
      </c>
      <c r="K49">
        <v>5.0199999999999996</v>
      </c>
      <c r="L49">
        <v>4.0099999999999997E-2</v>
      </c>
      <c r="M49">
        <v>7.2</v>
      </c>
      <c r="N49">
        <v>6.9000000000000006E-2</v>
      </c>
      <c r="O49">
        <v>6.52</v>
      </c>
    </row>
    <row r="50" spans="1:15" x14ac:dyDescent="0.35">
      <c r="A50" t="s">
        <v>438</v>
      </c>
      <c r="B50">
        <v>551.32000000000005</v>
      </c>
      <c r="C50">
        <v>-3.4</v>
      </c>
      <c r="D50">
        <v>27.1</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164.7</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18.600000000000001</v>
      </c>
      <c r="J52">
        <v>8.8000000000000009E-2</v>
      </c>
      <c r="K52">
        <v>3</v>
      </c>
      <c r="L52">
        <v>0</v>
      </c>
      <c r="M52">
        <v>5.4</v>
      </c>
      <c r="N52">
        <v>5.7000000000000002E-2</v>
      </c>
      <c r="O52">
        <v>1.33</v>
      </c>
    </row>
    <row r="53" spans="1:15" x14ac:dyDescent="0.35">
      <c r="A53" t="s">
        <v>441</v>
      </c>
      <c r="B53">
        <v>31.69</v>
      </c>
      <c r="C53">
        <v>-3.2</v>
      </c>
      <c r="D53">
        <v>57</v>
      </c>
      <c r="E53">
        <v>111</v>
      </c>
      <c r="G53">
        <v>6.0999999999999999E-2</v>
      </c>
      <c r="H53">
        <v>-2.7</v>
      </c>
      <c r="I53">
        <v>33.9</v>
      </c>
      <c r="J53">
        <v>0.33</v>
      </c>
      <c r="K53">
        <v>7</v>
      </c>
      <c r="L53">
        <v>7.0000000000000007E-2</v>
      </c>
      <c r="M53">
        <v>19.100000000000001</v>
      </c>
      <c r="N53">
        <v>0.191</v>
      </c>
      <c r="O53">
        <v>117.88</v>
      </c>
    </row>
    <row r="54" spans="1:15" x14ac:dyDescent="0.35">
      <c r="A54" t="s">
        <v>442</v>
      </c>
      <c r="B54">
        <v>1.1100000000000001</v>
      </c>
      <c r="C54">
        <v>-0.7</v>
      </c>
      <c r="D54">
        <v>95.6</v>
      </c>
      <c r="E54">
        <v>14563</v>
      </c>
      <c r="F54">
        <v>1E-3</v>
      </c>
      <c r="G54">
        <v>1.9E-2</v>
      </c>
      <c r="H54">
        <v>-5.0999999999999996</v>
      </c>
      <c r="I54">
        <v>8.5</v>
      </c>
      <c r="J54">
        <v>4.9000000000000002E-2</v>
      </c>
      <c r="K54">
        <v>3</v>
      </c>
      <c r="L54">
        <v>0</v>
      </c>
      <c r="M54">
        <v>6.6</v>
      </c>
      <c r="N54">
        <v>7.2999999999999995E-2</v>
      </c>
      <c r="O54">
        <v>342.56</v>
      </c>
    </row>
    <row r="55" spans="1:15" x14ac:dyDescent="0.35">
      <c r="A55" t="s">
        <v>443</v>
      </c>
      <c r="B55">
        <v>2.17</v>
      </c>
      <c r="C55">
        <v>-13.2</v>
      </c>
      <c r="D55">
        <v>79.8</v>
      </c>
      <c r="E55">
        <v>4</v>
      </c>
      <c r="G55">
        <v>-5.0999999999999997E-2</v>
      </c>
      <c r="H55">
        <v>-11.5</v>
      </c>
      <c r="I55">
        <v>2.5</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-2E-3</v>
      </c>
      <c r="G56">
        <v>-1E-3</v>
      </c>
      <c r="H56">
        <v>-2.7</v>
      </c>
      <c r="I56">
        <v>9.1</v>
      </c>
      <c r="J56">
        <v>3.7000000000000012E-2</v>
      </c>
      <c r="K56">
        <v>3</v>
      </c>
      <c r="L56">
        <v>0</v>
      </c>
      <c r="M56">
        <v>6.7</v>
      </c>
      <c r="N56">
        <v>0.06</v>
      </c>
      <c r="O56">
        <v>5.55</v>
      </c>
    </row>
    <row r="57" spans="1:15" x14ac:dyDescent="0.35">
      <c r="A57" t="s">
        <v>445</v>
      </c>
      <c r="B57">
        <v>1.1100000000000001</v>
      </c>
      <c r="C57">
        <v>0.4</v>
      </c>
      <c r="D57">
        <v>112.9</v>
      </c>
      <c r="E57">
        <v>2958</v>
      </c>
      <c r="F57">
        <v>1E-3</v>
      </c>
      <c r="G57">
        <v>5.0000000000000001E-3</v>
      </c>
      <c r="H57">
        <v>-6.5</v>
      </c>
      <c r="I57">
        <v>6</v>
      </c>
      <c r="J57">
        <v>2.8000000000000001E-2</v>
      </c>
      <c r="K57">
        <v>3</v>
      </c>
      <c r="L57">
        <v>0</v>
      </c>
      <c r="M57">
        <v>7.2</v>
      </c>
      <c r="N57">
        <v>8.1000000000000003E-2</v>
      </c>
      <c r="O57">
        <v>67.63</v>
      </c>
    </row>
    <row r="58" spans="1:15" x14ac:dyDescent="0.35">
      <c r="A58" t="s">
        <v>446</v>
      </c>
      <c r="B58">
        <v>551.32000000000005</v>
      </c>
      <c r="C58">
        <v>-5.7</v>
      </c>
      <c r="D58">
        <v>54</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4.2999999999999997E-2</v>
      </c>
      <c r="H59">
        <v>-4</v>
      </c>
      <c r="I59">
        <v>13.74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9.4</v>
      </c>
      <c r="J60">
        <v>0.125</v>
      </c>
      <c r="K60">
        <v>11</v>
      </c>
      <c r="L60">
        <v>0.105</v>
      </c>
      <c r="M60">
        <v>15.6</v>
      </c>
      <c r="N60">
        <v>0.185</v>
      </c>
      <c r="O60">
        <v>3.69</v>
      </c>
    </row>
    <row r="61" spans="1:15" ht="16" customHeight="1" thickBot="1" x14ac:dyDescent="0.4">
      <c r="A61" t="s">
        <v>449</v>
      </c>
      <c r="B61">
        <v>1.1100000000000001</v>
      </c>
      <c r="C61">
        <v>7.4</v>
      </c>
      <c r="D61">
        <v>69.3</v>
      </c>
      <c r="E61">
        <v>4260</v>
      </c>
      <c r="F61">
        <v>-2E-3</v>
      </c>
      <c r="G61">
        <v>1.0999999999999999E-2</v>
      </c>
      <c r="H61">
        <v>-2.6</v>
      </c>
      <c r="I61">
        <v>8.6999999999999993</v>
      </c>
      <c r="J61">
        <v>5.1999999999999998E-2</v>
      </c>
      <c r="K61">
        <v>3</v>
      </c>
      <c r="L61">
        <v>0</v>
      </c>
      <c r="M61">
        <v>5.5</v>
      </c>
      <c r="N61">
        <v>5.2999999999999999E-2</v>
      </c>
      <c r="O61">
        <v>83.16</v>
      </c>
    </row>
    <row r="62" spans="1:15" x14ac:dyDescent="0.35">
      <c r="A62" t="s">
        <v>450</v>
      </c>
      <c r="B62">
        <v>5.88</v>
      </c>
      <c r="C62">
        <v>-2.1</v>
      </c>
      <c r="D62">
        <v>81.8</v>
      </c>
      <c r="E62">
        <v>78</v>
      </c>
      <c r="F62">
        <v>6.9999999999999993E-3</v>
      </c>
      <c r="G62">
        <v>2.9000000000000001E-2</v>
      </c>
      <c r="H62">
        <v>-12.1</v>
      </c>
      <c r="I62">
        <v>53.6</v>
      </c>
      <c r="J62">
        <v>0.122</v>
      </c>
      <c r="K62">
        <v>28</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v>
      </c>
      <c r="J63">
        <v>4.8000000000000001E-2</v>
      </c>
      <c r="K63">
        <v>3</v>
      </c>
      <c r="L63">
        <v>0</v>
      </c>
      <c r="M63">
        <v>11.6</v>
      </c>
      <c r="N63">
        <v>0.13300000000000001</v>
      </c>
      <c r="O63">
        <v>10.68</v>
      </c>
    </row>
    <row r="64" spans="1:15" x14ac:dyDescent="0.35">
      <c r="A64" t="s">
        <v>452</v>
      </c>
      <c r="B64">
        <v>7.7</v>
      </c>
      <c r="C64">
        <v>2.5</v>
      </c>
      <c r="D64">
        <v>29.98</v>
      </c>
      <c r="E64">
        <v>86</v>
      </c>
      <c r="G64">
        <v>3.7999999999999999E-2</v>
      </c>
      <c r="H64">
        <v>-4.9000000000000004</v>
      </c>
      <c r="I64">
        <v>9.69</v>
      </c>
      <c r="J64">
        <v>2.8899999999999999E-2</v>
      </c>
      <c r="K64">
        <v>4.25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8.6</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9.5</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7.2</v>
      </c>
      <c r="J67">
        <v>5.9900000000000002E-2</v>
      </c>
      <c r="K67">
        <v>5</v>
      </c>
      <c r="L67">
        <v>0.05</v>
      </c>
      <c r="M67">
        <v>14.5</v>
      </c>
      <c r="N67">
        <v>0.158</v>
      </c>
      <c r="O67">
        <v>0.79</v>
      </c>
    </row>
    <row r="68" spans="1:15" x14ac:dyDescent="0.35">
      <c r="A68" t="s">
        <v>456</v>
      </c>
      <c r="B68">
        <v>88.71</v>
      </c>
      <c r="C68">
        <v>0.5</v>
      </c>
      <c r="D68">
        <v>23.1</v>
      </c>
      <c r="E68">
        <v>21</v>
      </c>
      <c r="G68">
        <v>-1.7000000000000001E-2</v>
      </c>
      <c r="H68">
        <v>-2.5</v>
      </c>
      <c r="I68">
        <v>48.3</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8.93</v>
      </c>
      <c r="J69">
        <v>4.9500000000000002E-2</v>
      </c>
      <c r="K69">
        <v>3</v>
      </c>
      <c r="L69">
        <v>0.03</v>
      </c>
      <c r="M69">
        <v>8.6</v>
      </c>
      <c r="N69">
        <v>0.109</v>
      </c>
      <c r="O69">
        <v>9.43</v>
      </c>
    </row>
    <row r="70" spans="1:15" ht="16" customHeight="1" thickBot="1" x14ac:dyDescent="0.4">
      <c r="A70" t="s">
        <v>458</v>
      </c>
      <c r="B70">
        <v>7.83</v>
      </c>
      <c r="C70">
        <v>11.2</v>
      </c>
      <c r="D70">
        <v>38.4</v>
      </c>
      <c r="E70">
        <v>368</v>
      </c>
      <c r="F70">
        <v>0</v>
      </c>
      <c r="G70">
        <v>-4.2000000000000003E-2</v>
      </c>
      <c r="H70">
        <v>-3.6</v>
      </c>
      <c r="I70">
        <v>2</v>
      </c>
      <c r="J70">
        <v>1.7999999999999999E-2</v>
      </c>
      <c r="K70">
        <v>5</v>
      </c>
      <c r="L70">
        <v>8.6E-3</v>
      </c>
      <c r="M70">
        <v>3.4</v>
      </c>
      <c r="N70">
        <v>4.0999999999999988E-2</v>
      </c>
      <c r="O70">
        <v>7.41</v>
      </c>
    </row>
    <row r="71" spans="1:15" x14ac:dyDescent="0.35">
      <c r="A71" t="s">
        <v>459</v>
      </c>
      <c r="B71">
        <v>302.98</v>
      </c>
      <c r="C71">
        <v>-2.9</v>
      </c>
      <c r="D71">
        <v>73.5</v>
      </c>
      <c r="E71">
        <v>182</v>
      </c>
      <c r="F71">
        <v>-4.0000000000000001E-3</v>
      </c>
      <c r="G71">
        <v>4.0000000000000001E-3</v>
      </c>
      <c r="H71">
        <v>-6.1</v>
      </c>
      <c r="I71">
        <v>25.7</v>
      </c>
      <c r="J71">
        <v>7.400000000000001E-2</v>
      </c>
      <c r="K71">
        <v>13</v>
      </c>
      <c r="L71">
        <v>2.4E-2</v>
      </c>
      <c r="M71">
        <v>3.9</v>
      </c>
      <c r="N71">
        <v>3.7999999999999999E-2</v>
      </c>
      <c r="O71">
        <v>9.73</v>
      </c>
    </row>
    <row r="72" spans="1:15" ht="16" customHeight="1" thickBot="1" x14ac:dyDescent="0.4">
      <c r="A72" t="s">
        <v>460</v>
      </c>
      <c r="B72">
        <v>124.24</v>
      </c>
      <c r="C72">
        <v>-2.7</v>
      </c>
      <c r="D72">
        <v>75</v>
      </c>
      <c r="E72">
        <v>26</v>
      </c>
      <c r="F72">
        <v>-5.0000000000000001E-3</v>
      </c>
      <c r="G72">
        <v>7.2999999999999995E-2</v>
      </c>
      <c r="H72">
        <v>-8.9</v>
      </c>
      <c r="I72">
        <v>9.9</v>
      </c>
      <c r="J72">
        <v>5.0999999999999997E-2</v>
      </c>
      <c r="K72">
        <v>6.5</v>
      </c>
      <c r="L72">
        <v>0.02</v>
      </c>
      <c r="M72">
        <v>3.3</v>
      </c>
      <c r="N72">
        <v>4.2000000000000003E-2</v>
      </c>
      <c r="O72">
        <v>0.37</v>
      </c>
    </row>
    <row r="73" spans="1:15" ht="16" customHeight="1" thickBot="1" x14ac:dyDescent="0.4">
      <c r="A73" t="s">
        <v>461</v>
      </c>
      <c r="B73">
        <v>71.010000000000005</v>
      </c>
      <c r="C73">
        <v>-1.2</v>
      </c>
      <c r="D73">
        <v>89.26</v>
      </c>
      <c r="E73">
        <v>3176</v>
      </c>
      <c r="F73">
        <v>8.0000000000000002E-3</v>
      </c>
      <c r="G73">
        <v>6.3E-2</v>
      </c>
      <c r="H73">
        <v>-6.9</v>
      </c>
      <c r="I73">
        <v>6.52</v>
      </c>
      <c r="J73">
        <v>4.9099999999999998E-2</v>
      </c>
      <c r="K73">
        <v>6.5</v>
      </c>
      <c r="L73">
        <v>0.04</v>
      </c>
      <c r="M73">
        <v>7.1</v>
      </c>
      <c r="N73">
        <v>6.9000000000000006E-2</v>
      </c>
      <c r="O73">
        <v>1380</v>
      </c>
    </row>
    <row r="74" spans="1:15" x14ac:dyDescent="0.35">
      <c r="A74" t="s">
        <v>462</v>
      </c>
      <c r="B74">
        <v>14462</v>
      </c>
      <c r="C74">
        <v>0.3</v>
      </c>
      <c r="D74">
        <v>40.9</v>
      </c>
      <c r="E74">
        <v>1186</v>
      </c>
      <c r="F74">
        <v>3.5999999999999999E-3</v>
      </c>
      <c r="G74">
        <v>5.0099999999999999E-2</v>
      </c>
      <c r="H74">
        <v>-2.38</v>
      </c>
      <c r="I74">
        <v>5.28</v>
      </c>
      <c r="J74">
        <v>1.7500000000000002E-2</v>
      </c>
      <c r="K74">
        <v>5.75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36.700000000000003</v>
      </c>
      <c r="E76">
        <v>208</v>
      </c>
      <c r="G76">
        <v>3.5999999999999997E-2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3.5000000000000003E-2</v>
      </c>
      <c r="G77">
        <v>0.13500000000000001</v>
      </c>
      <c r="H77">
        <v>-1.7</v>
      </c>
      <c r="I77">
        <v>7.8</v>
      </c>
      <c r="J77">
        <v>5.2999999999999999E-2</v>
      </c>
      <c r="K77">
        <v>3</v>
      </c>
      <c r="L77">
        <v>0</v>
      </c>
      <c r="M77">
        <v>4.4000000000000004</v>
      </c>
      <c r="N77">
        <v>5.1999999999999998E-2</v>
      </c>
      <c r="O77">
        <v>5.01</v>
      </c>
    </row>
    <row r="78" spans="1:15" x14ac:dyDescent="0.35">
      <c r="A78" t="s">
        <v>466</v>
      </c>
      <c r="B78">
        <v>3.28</v>
      </c>
      <c r="C78">
        <v>4.7</v>
      </c>
      <c r="D78">
        <v>60.9</v>
      </c>
      <c r="E78">
        <v>489</v>
      </c>
      <c r="F78">
        <v>1.4200000000000001E-2</v>
      </c>
      <c r="G78">
        <v>2.7099999999999999E-2</v>
      </c>
      <c r="H78">
        <v>0.6</v>
      </c>
      <c r="I78">
        <v>5.4</v>
      </c>
      <c r="J78">
        <v>2.4E-2</v>
      </c>
      <c r="K78">
        <v>3.75</v>
      </c>
      <c r="L78">
        <v>1E-3</v>
      </c>
      <c r="M78">
        <v>4.3</v>
      </c>
      <c r="N78">
        <v>0.05</v>
      </c>
      <c r="O78">
        <v>9.4499999999999993</v>
      </c>
    </row>
    <row r="79" spans="1:15" x14ac:dyDescent="0.35">
      <c r="A79" t="s">
        <v>467</v>
      </c>
      <c r="B79">
        <v>1.1100000000000001</v>
      </c>
      <c r="C79">
        <v>2.5</v>
      </c>
      <c r="D79">
        <v>150.80000000000001</v>
      </c>
      <c r="E79">
        <v>2108</v>
      </c>
      <c r="F79">
        <v>-1E-3</v>
      </c>
      <c r="G79">
        <v>1.7000000000000001E-2</v>
      </c>
      <c r="H79">
        <v>-7.2</v>
      </c>
      <c r="I79">
        <v>10.1</v>
      </c>
      <c r="J79">
        <v>3.7000000000000012E-2</v>
      </c>
      <c r="K79">
        <v>3</v>
      </c>
      <c r="L79">
        <v>0</v>
      </c>
      <c r="M79">
        <v>7.8</v>
      </c>
      <c r="N79">
        <v>9.4E-2</v>
      </c>
      <c r="O79">
        <v>59.24</v>
      </c>
    </row>
    <row r="80" spans="1:15" ht="16" customHeight="1" thickBot="1" x14ac:dyDescent="0.4">
      <c r="A80" t="s">
        <v>468</v>
      </c>
      <c r="B80">
        <v>588.96</v>
      </c>
      <c r="C80">
        <v>-3.8</v>
      </c>
      <c r="D80">
        <v>51.4</v>
      </c>
      <c r="E80">
        <v>70</v>
      </c>
      <c r="G80">
        <v>6.4000000000000001E-2</v>
      </c>
      <c r="H80">
        <v>-5</v>
      </c>
      <c r="I80">
        <v>4.8</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8.1</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6.0000000000000001E-3</v>
      </c>
      <c r="H82">
        <v>-5.9</v>
      </c>
      <c r="I82">
        <v>4</v>
      </c>
      <c r="J82">
        <v>1E-3</v>
      </c>
      <c r="K82">
        <v>-0.1</v>
      </c>
      <c r="L82">
        <v>-1E-3</v>
      </c>
      <c r="M82">
        <v>2.5</v>
      </c>
      <c r="N82">
        <v>2.7E-2</v>
      </c>
      <c r="O82">
        <v>125.31</v>
      </c>
    </row>
    <row r="83" spans="1:15" x14ac:dyDescent="0.35">
      <c r="A83" t="s">
        <v>471</v>
      </c>
      <c r="B83">
        <v>0.71</v>
      </c>
      <c r="C83">
        <v>-8.8000000000000007</v>
      </c>
      <c r="D83">
        <v>89.4</v>
      </c>
      <c r="E83">
        <v>46</v>
      </c>
      <c r="G83">
        <v>2.5999999999999999E-2</v>
      </c>
      <c r="H83">
        <v>-5.4</v>
      </c>
      <c r="I83">
        <v>3.78</v>
      </c>
      <c r="J83">
        <v>1.7000000000000001E-2</v>
      </c>
      <c r="K83">
        <v>6.75</v>
      </c>
      <c r="L83">
        <v>2.5000000000000001E-2</v>
      </c>
      <c r="M83">
        <v>23.1</v>
      </c>
      <c r="N83">
        <v>0.23200000000000001</v>
      </c>
      <c r="O83">
        <v>11.07</v>
      </c>
    </row>
    <row r="84" spans="1:15" x14ac:dyDescent="0.35">
      <c r="A84" t="s">
        <v>472</v>
      </c>
      <c r="B84">
        <v>427.38</v>
      </c>
      <c r="C84">
        <v>-3</v>
      </c>
      <c r="D84">
        <v>27.4</v>
      </c>
      <c r="E84">
        <v>197</v>
      </c>
      <c r="F84">
        <v>1.26E-2</v>
      </c>
      <c r="G84">
        <v>3.2000000000000001E-2</v>
      </c>
      <c r="H84">
        <v>-4</v>
      </c>
      <c r="I84">
        <v>20.7</v>
      </c>
      <c r="J84">
        <v>8.6999999999999994E-2</v>
      </c>
      <c r="K84">
        <v>16.75</v>
      </c>
      <c r="L84">
        <v>9.7500000000000003E-2</v>
      </c>
      <c r="M84">
        <v>4.8</v>
      </c>
      <c r="N84">
        <v>4.9000000000000002E-2</v>
      </c>
      <c r="O84">
        <v>19.12</v>
      </c>
    </row>
    <row r="85" spans="1:15" x14ac:dyDescent="0.35">
      <c r="A85" t="s">
        <v>473</v>
      </c>
      <c r="B85">
        <v>107.9</v>
      </c>
      <c r="C85">
        <v>-5.4</v>
      </c>
      <c r="D85">
        <v>68.400000000000006</v>
      </c>
      <c r="E85">
        <v>110</v>
      </c>
      <c r="F85">
        <v>9.3999999999999986E-3</v>
      </c>
      <c r="G85">
        <v>4.7E-2</v>
      </c>
      <c r="H85">
        <v>-5.8</v>
      </c>
      <c r="I85">
        <v>9</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7.1</v>
      </c>
      <c r="E87">
        <v>106</v>
      </c>
      <c r="F87">
        <v>4.7E-2</v>
      </c>
      <c r="G87">
        <v>1.2999999999999999E-2</v>
      </c>
      <c r="H87">
        <v>-0.5</v>
      </c>
      <c r="I87">
        <v>3.15</v>
      </c>
      <c r="J87">
        <v>3.3599999999999998E-2</v>
      </c>
      <c r="K87">
        <v>4</v>
      </c>
      <c r="L87">
        <v>1.4999999999999999E-2</v>
      </c>
      <c r="M87">
        <v>3.7</v>
      </c>
      <c r="N87">
        <v>2.3E-2</v>
      </c>
      <c r="O87">
        <v>4.33</v>
      </c>
    </row>
    <row r="88" spans="1:15" x14ac:dyDescent="0.35">
      <c r="A88" t="s">
        <v>476</v>
      </c>
      <c r="B88">
        <v>69.989999999999995</v>
      </c>
      <c r="C88">
        <v>-8.5</v>
      </c>
      <c r="D88">
        <v>60.3</v>
      </c>
      <c r="E88">
        <v>9</v>
      </c>
      <c r="G88">
        <v>7.22E-2</v>
      </c>
      <c r="H88">
        <v>-0.2</v>
      </c>
      <c r="I88">
        <v>15.3</v>
      </c>
      <c r="J88">
        <v>0.123</v>
      </c>
      <c r="K88">
        <v>13</v>
      </c>
      <c r="L88">
        <v>0.08</v>
      </c>
      <c r="M88">
        <v>2.9</v>
      </c>
      <c r="N88">
        <v>3.1E-2</v>
      </c>
      <c r="O88">
        <v>6.7</v>
      </c>
    </row>
    <row r="89" spans="1:15" ht="16" customHeight="1" thickBot="1" x14ac:dyDescent="0.4">
      <c r="A89" t="s">
        <v>477</v>
      </c>
      <c r="B89">
        <v>9485</v>
      </c>
      <c r="C89">
        <v>2.35</v>
      </c>
      <c r="D89">
        <v>53.81</v>
      </c>
      <c r="E89">
        <v>19</v>
      </c>
      <c r="G89">
        <v>3.5000000000000003E-2</v>
      </c>
      <c r="H89">
        <v>-1.3</v>
      </c>
      <c r="I89">
        <v>40.299999999999997</v>
      </c>
      <c r="J89">
        <v>4.7199999999999999E-2</v>
      </c>
      <c r="K89">
        <v>6.5</v>
      </c>
      <c r="L89">
        <v>0.03</v>
      </c>
      <c r="M89">
        <v>1.3</v>
      </c>
      <c r="N89">
        <v>0.01</v>
      </c>
      <c r="O89">
        <v>7.3</v>
      </c>
    </row>
    <row r="90" spans="1:15" x14ac:dyDescent="0.35">
      <c r="A90" t="s">
        <v>478</v>
      </c>
      <c r="B90">
        <v>1.1100000000000001</v>
      </c>
      <c r="C90">
        <v>-2.9</v>
      </c>
      <c r="D90">
        <v>44.8</v>
      </c>
      <c r="E90">
        <v>40</v>
      </c>
      <c r="F90">
        <v>3.0000000000000001E-3</v>
      </c>
      <c r="G90">
        <v>0</v>
      </c>
      <c r="H90">
        <v>-7</v>
      </c>
      <c r="I90">
        <v>21.5</v>
      </c>
      <c r="J90">
        <v>7.4999999999999997E-2</v>
      </c>
      <c r="K90">
        <v>3</v>
      </c>
      <c r="L90">
        <v>0</v>
      </c>
      <c r="M90">
        <v>6.9</v>
      </c>
      <c r="N90">
        <v>7.2000000000000008E-2</v>
      </c>
      <c r="O90">
        <v>1.89</v>
      </c>
    </row>
    <row r="91" spans="1:15" x14ac:dyDescent="0.35">
      <c r="A91" t="s">
        <v>479</v>
      </c>
      <c r="B91">
        <v>1512</v>
      </c>
      <c r="C91">
        <v>-12.9</v>
      </c>
      <c r="D91">
        <v>171.7</v>
      </c>
      <c r="E91">
        <v>23</v>
      </c>
      <c r="G91">
        <v>-7.0000000000000007E-2</v>
      </c>
      <c r="H91">
        <v>-3.5</v>
      </c>
      <c r="I91">
        <v>121.99</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v>
      </c>
      <c r="J92">
        <v>5.4000000000000013E-2</v>
      </c>
      <c r="K92">
        <v>7.25</v>
      </c>
      <c r="L92">
        <v>3.5000000000000003E-2</v>
      </c>
      <c r="M92">
        <v>24.6</v>
      </c>
      <c r="N92">
        <v>0.247</v>
      </c>
      <c r="O92">
        <v>2.16</v>
      </c>
    </row>
    <row r="93" spans="1:15" ht="16" customHeight="1" thickBot="1" x14ac:dyDescent="0.4">
      <c r="A93" t="s">
        <v>481</v>
      </c>
      <c r="B93">
        <v>186.3</v>
      </c>
      <c r="C93">
        <v>-17.399999999999999</v>
      </c>
      <c r="D93">
        <v>55</v>
      </c>
      <c r="E93">
        <v>4</v>
      </c>
      <c r="G93">
        <v>0.04</v>
      </c>
      <c r="H93">
        <v>-3.3</v>
      </c>
      <c r="I93">
        <v>9.1199999999999992</v>
      </c>
      <c r="J93">
        <v>7.0000000000000007E-2</v>
      </c>
      <c r="K93">
        <v>15</v>
      </c>
      <c r="L93">
        <v>0.2</v>
      </c>
      <c r="M93">
        <v>4.0999999999999996</v>
      </c>
      <c r="N93">
        <v>2.7E-2</v>
      </c>
      <c r="O93">
        <v>5.18</v>
      </c>
    </row>
    <row r="94" spans="1:15" x14ac:dyDescent="0.35">
      <c r="A94" t="s">
        <v>482</v>
      </c>
      <c r="B94">
        <v>1.39</v>
      </c>
      <c r="C94">
        <v>21.6</v>
      </c>
      <c r="D94">
        <v>155</v>
      </c>
      <c r="E94">
        <v>43</v>
      </c>
      <c r="G94">
        <v>1.77</v>
      </c>
      <c r="H94">
        <v>11.3</v>
      </c>
      <c r="I94">
        <v>4.0999999999999996</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-1.7000000000000001E-2</v>
      </c>
      <c r="G96">
        <v>-4.0000000000000001E-3</v>
      </c>
      <c r="H96">
        <v>-1</v>
      </c>
      <c r="I96">
        <v>20</v>
      </c>
      <c r="J96">
        <v>9.1999999999999998E-2</v>
      </c>
      <c r="K96">
        <v>3</v>
      </c>
      <c r="L96">
        <v>0</v>
      </c>
      <c r="M96">
        <v>9.1999999999999993</v>
      </c>
      <c r="N96">
        <v>0.109</v>
      </c>
      <c r="O96">
        <v>2.8</v>
      </c>
    </row>
    <row r="97" spans="1:15" x14ac:dyDescent="0.35">
      <c r="A97" t="s">
        <v>485</v>
      </c>
      <c r="B97">
        <v>1.1100000000000001</v>
      </c>
      <c r="C97">
        <v>4.8</v>
      </c>
      <c r="D97">
        <v>24.5</v>
      </c>
      <c r="E97">
        <v>86</v>
      </c>
      <c r="F97">
        <v>1.0999999999999999E-2</v>
      </c>
      <c r="G97">
        <v>0.03</v>
      </c>
      <c r="H97">
        <v>0.8</v>
      </c>
      <c r="I97">
        <v>4.8</v>
      </c>
      <c r="J97">
        <v>4.4999999999999998E-2</v>
      </c>
      <c r="K97">
        <v>3</v>
      </c>
      <c r="L97">
        <v>0</v>
      </c>
      <c r="M97">
        <v>4.8</v>
      </c>
      <c r="N97">
        <v>5.2999999999999999E-2</v>
      </c>
      <c r="O97">
        <v>0.63</v>
      </c>
    </row>
    <row r="98" spans="1:15" x14ac:dyDescent="0.35">
      <c r="A98" t="s">
        <v>486</v>
      </c>
      <c r="B98">
        <v>8.0299999999999994</v>
      </c>
      <c r="C98">
        <v>13.8</v>
      </c>
      <c r="E98">
        <v>30</v>
      </c>
      <c r="G98">
        <v>-0.33400000000000002</v>
      </c>
      <c r="I98">
        <v>0.77</v>
      </c>
      <c r="J98">
        <v>1.21E-2</v>
      </c>
      <c r="K98">
        <v>5</v>
      </c>
      <c r="L98">
        <v>5.0000000000000001E-3</v>
      </c>
      <c r="M98">
        <v>3.5</v>
      </c>
      <c r="N98">
        <v>2.8000000000000001E-2</v>
      </c>
      <c r="O98">
        <v>0.68</v>
      </c>
    </row>
    <row r="99" spans="1:15" x14ac:dyDescent="0.35">
      <c r="A99" t="s">
        <v>487</v>
      </c>
      <c r="B99">
        <v>51.93</v>
      </c>
      <c r="C99">
        <v>-3.5</v>
      </c>
      <c r="D99">
        <v>52</v>
      </c>
      <c r="E99">
        <v>14</v>
      </c>
      <c r="F99">
        <v>3.9E-2</v>
      </c>
      <c r="G99">
        <v>0.02</v>
      </c>
      <c r="H99">
        <v>-5.4</v>
      </c>
      <c r="I99">
        <v>17.100000000000001</v>
      </c>
      <c r="J99">
        <v>4.8000000000000001E-2</v>
      </c>
      <c r="K99">
        <v>5.25</v>
      </c>
      <c r="L99">
        <v>1.2500000000000001E-2</v>
      </c>
      <c r="M99">
        <v>14.3</v>
      </c>
      <c r="N99">
        <v>0.157</v>
      </c>
      <c r="O99">
        <v>2.0699999999999998</v>
      </c>
    </row>
    <row r="100" spans="1:15" x14ac:dyDescent="0.35">
      <c r="A100" t="s">
        <v>488</v>
      </c>
      <c r="B100">
        <v>3680.5</v>
      </c>
      <c r="C100">
        <v>-5.5</v>
      </c>
      <c r="D100">
        <v>36.200000000000003</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25.4</v>
      </c>
      <c r="J101">
        <v>0.111</v>
      </c>
      <c r="K101">
        <v>18</v>
      </c>
      <c r="L101">
        <v>0.12</v>
      </c>
      <c r="M101">
        <v>7</v>
      </c>
      <c r="N101">
        <v>0.06</v>
      </c>
      <c r="O101">
        <v>19.649999999999999</v>
      </c>
    </row>
    <row r="102" spans="1:15" x14ac:dyDescent="0.35">
      <c r="A102" t="s">
        <v>490</v>
      </c>
      <c r="B102">
        <v>4.1900000000000004</v>
      </c>
      <c r="C102">
        <v>3.5</v>
      </c>
      <c r="D102">
        <v>63.3</v>
      </c>
      <c r="E102">
        <v>373</v>
      </c>
      <c r="F102">
        <v>-2.5999999999999999E-2</v>
      </c>
      <c r="G102">
        <v>7.0000000000000007E-2</v>
      </c>
      <c r="H102">
        <v>-6.4</v>
      </c>
      <c r="I102">
        <v>3.8</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3.42</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-5.2</v>
      </c>
      <c r="I105">
        <v>7.3</v>
      </c>
      <c r="J105">
        <v>2.4E-2</v>
      </c>
      <c r="K105">
        <v>3</v>
      </c>
      <c r="L105">
        <v>0</v>
      </c>
      <c r="M105">
        <v>2.9</v>
      </c>
      <c r="N105">
        <v>3.5999999999999997E-2</v>
      </c>
      <c r="O105">
        <v>0.52</v>
      </c>
    </row>
    <row r="106" spans="1:15" x14ac:dyDescent="0.35">
      <c r="A106" t="s">
        <v>494</v>
      </c>
      <c r="B106">
        <v>357.3</v>
      </c>
      <c r="C106">
        <v>-7.6</v>
      </c>
      <c r="D106">
        <v>44.2</v>
      </c>
      <c r="E106">
        <v>10</v>
      </c>
      <c r="G106">
        <v>3.9E-2</v>
      </c>
      <c r="H106">
        <v>-0.4</v>
      </c>
      <c r="I106">
        <v>10.3</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11.8</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4.0000000000000001E-3</v>
      </c>
      <c r="G108">
        <v>3.5000000000000003E-2</v>
      </c>
      <c r="H108">
        <v>-3.8</v>
      </c>
      <c r="I108">
        <v>7.91</v>
      </c>
      <c r="J108">
        <v>7.3700000000000002E-2</v>
      </c>
      <c r="K108">
        <v>11</v>
      </c>
      <c r="L108">
        <v>5.5E-2</v>
      </c>
      <c r="M108">
        <v>2.8</v>
      </c>
      <c r="N108">
        <v>3.9E-2</v>
      </c>
      <c r="O108">
        <v>126.25</v>
      </c>
    </row>
    <row r="109" spans="1:15" x14ac:dyDescent="0.35">
      <c r="A109" t="s">
        <v>497</v>
      </c>
      <c r="B109">
        <v>17.97</v>
      </c>
      <c r="C109">
        <v>-11.6</v>
      </c>
      <c r="D109">
        <v>32.1</v>
      </c>
      <c r="E109">
        <v>14</v>
      </c>
      <c r="F109">
        <v>-8.4000000000000005E-2</v>
      </c>
      <c r="G109">
        <v>-0.10299999999999999</v>
      </c>
      <c r="H109">
        <v>-1.9</v>
      </c>
      <c r="I109">
        <v>27.3</v>
      </c>
      <c r="J109">
        <v>0.1244</v>
      </c>
      <c r="K109">
        <v>17</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4.8000000000000001E-2</v>
      </c>
      <c r="H111">
        <v>-6.8</v>
      </c>
      <c r="I111">
        <v>12.3</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20.079999999999998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11.8</v>
      </c>
      <c r="N113">
        <v>0.11799999999999999</v>
      </c>
      <c r="O113">
        <v>36.31</v>
      </c>
    </row>
    <row r="114" spans="1:15" ht="16" customHeight="1" thickBot="1" x14ac:dyDescent="0.4">
      <c r="A114" t="s">
        <v>502</v>
      </c>
      <c r="B114">
        <v>63</v>
      </c>
      <c r="C114">
        <v>-23.8</v>
      </c>
      <c r="D114">
        <v>101</v>
      </c>
      <c r="E114">
        <v>16</v>
      </c>
      <c r="F114">
        <v>0.02</v>
      </c>
      <c r="G114">
        <v>3.5999999999999997E-2</v>
      </c>
      <c r="H114">
        <v>-4.8</v>
      </c>
      <c r="I114">
        <v>9.7799999999999994</v>
      </c>
      <c r="J114">
        <v>6.7699999999999996E-2</v>
      </c>
      <c r="K114">
        <v>17.25</v>
      </c>
      <c r="L114">
        <v>0.13250000000000001</v>
      </c>
      <c r="M114">
        <v>25.04</v>
      </c>
      <c r="N114">
        <v>0.25040000000000001</v>
      </c>
      <c r="O114">
        <v>30.06</v>
      </c>
    </row>
    <row r="115" spans="1:15" x14ac:dyDescent="0.35">
      <c r="A115" t="s">
        <v>503</v>
      </c>
      <c r="B115">
        <v>1500</v>
      </c>
      <c r="C115">
        <v>-1.1000000000000001</v>
      </c>
      <c r="D115">
        <v>62.5</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7</v>
      </c>
      <c r="J116">
        <v>4.0999999999999988E-2</v>
      </c>
      <c r="K116">
        <v>7</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7.26</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6.0000000000000001E-3</v>
      </c>
      <c r="G118">
        <v>0.03</v>
      </c>
      <c r="H118">
        <v>-2.6</v>
      </c>
      <c r="I118">
        <v>7.6</v>
      </c>
      <c r="J118">
        <v>5.1999999999999998E-2</v>
      </c>
      <c r="K118">
        <v>3</v>
      </c>
      <c r="L118">
        <v>0</v>
      </c>
      <c r="M118">
        <v>3.6</v>
      </c>
      <c r="N118">
        <v>2.7E-2</v>
      </c>
      <c r="O118">
        <v>17.48</v>
      </c>
    </row>
    <row r="119" spans="1:15" ht="16" customHeight="1" thickBot="1" x14ac:dyDescent="0.4">
      <c r="A119" t="s">
        <v>507</v>
      </c>
      <c r="B119">
        <v>107</v>
      </c>
      <c r="E119">
        <v>9</v>
      </c>
      <c r="G119">
        <v>-2.1000000000000001E-2</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-2.7</v>
      </c>
      <c r="I120">
        <v>7.2</v>
      </c>
      <c r="J120">
        <v>4.9000000000000002E-2</v>
      </c>
      <c r="K120">
        <v>4.25</v>
      </c>
      <c r="L120">
        <v>7.4999999999999997E-3</v>
      </c>
      <c r="M120">
        <v>3.4</v>
      </c>
      <c r="N120">
        <v>3.4000000000000002E-2</v>
      </c>
      <c r="O120">
        <v>5.12</v>
      </c>
    </row>
    <row r="121" spans="1:15" ht="16" customHeight="1" thickBot="1" x14ac:dyDescent="0.4">
      <c r="A121" t="s">
        <v>509</v>
      </c>
      <c r="B121">
        <v>33.47</v>
      </c>
      <c r="C121">
        <v>-2.9</v>
      </c>
      <c r="D121">
        <v>64.8</v>
      </c>
      <c r="E121">
        <v>14</v>
      </c>
      <c r="G121">
        <v>4.2999999999999997E-2</v>
      </c>
      <c r="H121">
        <v>1.6</v>
      </c>
      <c r="I121">
        <v>10.92</v>
      </c>
      <c r="J121">
        <v>6.4100000000000004E-2</v>
      </c>
      <c r="K121">
        <v>9.02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21.82</v>
      </c>
      <c r="J123">
        <v>0.154</v>
      </c>
      <c r="K123">
        <v>17.5</v>
      </c>
      <c r="L123">
        <v>0.115</v>
      </c>
      <c r="M123">
        <v>33.299999999999997</v>
      </c>
      <c r="N123">
        <v>0.33300000000000002</v>
      </c>
      <c r="O123">
        <v>211.4</v>
      </c>
    </row>
    <row r="124" spans="1:15" ht="16" customHeight="1" thickBot="1" x14ac:dyDescent="0.4">
      <c r="A124" t="s">
        <v>512</v>
      </c>
      <c r="B124">
        <v>8.93</v>
      </c>
      <c r="C124">
        <v>15</v>
      </c>
      <c r="D124">
        <v>43.2</v>
      </c>
      <c r="E124">
        <v>482</v>
      </c>
      <c r="F124">
        <v>2E-3</v>
      </c>
      <c r="G124">
        <v>1.2999999999999999E-2</v>
      </c>
      <c r="H124">
        <v>9.1</v>
      </c>
      <c r="I124">
        <v>7</v>
      </c>
      <c r="J124">
        <v>5.0999999999999997E-2</v>
      </c>
      <c r="K124">
        <v>2.75</v>
      </c>
      <c r="L124">
        <v>5.0000000000000001E-3</v>
      </c>
      <c r="M124">
        <v>3.1</v>
      </c>
      <c r="N124">
        <v>4.2000000000000003E-2</v>
      </c>
      <c r="O124">
        <v>5.43</v>
      </c>
    </row>
    <row r="125" spans="1:15" ht="16" customHeight="1" thickBot="1" x14ac:dyDescent="0.4">
      <c r="A125" t="s">
        <v>513</v>
      </c>
      <c r="B125">
        <v>0.38</v>
      </c>
      <c r="C125">
        <v>-5</v>
      </c>
      <c r="D125">
        <v>67.7</v>
      </c>
      <c r="E125">
        <v>88</v>
      </c>
      <c r="G125">
        <v>2.1000000000000001E-2</v>
      </c>
      <c r="H125">
        <v>-2.6</v>
      </c>
      <c r="I125">
        <v>1.9</v>
      </c>
      <c r="J125">
        <v>3.56E-2</v>
      </c>
      <c r="K125">
        <v>4.75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27.6</v>
      </c>
      <c r="J126">
        <v>0.115</v>
      </c>
      <c r="K126">
        <v>17</v>
      </c>
      <c r="L126">
        <v>9.7500000000000003E-2</v>
      </c>
      <c r="M126">
        <v>6.5</v>
      </c>
      <c r="N126">
        <v>4.3999999999999997E-2</v>
      </c>
      <c r="O126">
        <v>225.2</v>
      </c>
    </row>
    <row r="127" spans="1:15" x14ac:dyDescent="0.35">
      <c r="A127" t="s">
        <v>515</v>
      </c>
      <c r="C127">
        <v>-8.1999999999999993</v>
      </c>
      <c r="D127">
        <v>21.3</v>
      </c>
      <c r="E127">
        <v>18</v>
      </c>
      <c r="G127">
        <v>0.05</v>
      </c>
      <c r="H127">
        <v>1.9</v>
      </c>
      <c r="I127">
        <v>3.73</v>
      </c>
      <c r="J127">
        <v>1.38E-2</v>
      </c>
      <c r="M127">
        <v>23</v>
      </c>
      <c r="N127">
        <v>0.27</v>
      </c>
      <c r="O127">
        <v>5.3</v>
      </c>
    </row>
    <row r="128" spans="1:15" ht="16" customHeight="1" thickBot="1" x14ac:dyDescent="0.4">
      <c r="A128" t="s">
        <v>516</v>
      </c>
      <c r="B128">
        <v>1</v>
      </c>
      <c r="C128">
        <v>-2.2000000000000002</v>
      </c>
      <c r="D128">
        <v>63.66</v>
      </c>
      <c r="E128">
        <v>64</v>
      </c>
      <c r="G128">
        <v>9.5000000000000001E-2</v>
      </c>
      <c r="H128">
        <v>-7.12</v>
      </c>
      <c r="I128">
        <v>2.71</v>
      </c>
      <c r="J128">
        <v>3.3599999999999998E-2</v>
      </c>
      <c r="K128">
        <v>2.14</v>
      </c>
      <c r="L128">
        <v>1.3599999999999999E-2</v>
      </c>
      <c r="M128">
        <v>14.5</v>
      </c>
      <c r="N128">
        <v>0.185</v>
      </c>
      <c r="O128">
        <v>4.38</v>
      </c>
    </row>
    <row r="129" spans="1:15" x14ac:dyDescent="0.35">
      <c r="A129" t="s">
        <v>517</v>
      </c>
      <c r="B129">
        <v>3.41</v>
      </c>
      <c r="C129">
        <v>18.600000000000001</v>
      </c>
      <c r="D129">
        <v>51.5</v>
      </c>
      <c r="E129">
        <v>27</v>
      </c>
      <c r="G129">
        <v>1.4999999999999999E-2</v>
      </c>
      <c r="H129">
        <v>-6</v>
      </c>
      <c r="I129">
        <v>6.25</v>
      </c>
      <c r="J129">
        <v>3.3099999999999997E-2</v>
      </c>
      <c r="K129">
        <v>3.5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7.8</v>
      </c>
      <c r="J130">
        <v>7.400000000000001E-2</v>
      </c>
      <c r="K130">
        <v>8.5</v>
      </c>
      <c r="L130">
        <v>5.2499999999999998E-2</v>
      </c>
      <c r="M130">
        <v>6.3</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8.66</v>
      </c>
      <c r="J131">
        <v>5.6599999999999998E-2</v>
      </c>
      <c r="K131">
        <v>7.75</v>
      </c>
      <c r="L131">
        <v>2.5000000000000001E-2</v>
      </c>
      <c r="M131">
        <v>8</v>
      </c>
      <c r="N131">
        <v>9.0999999999999998E-2</v>
      </c>
      <c r="O131">
        <v>32.78</v>
      </c>
    </row>
    <row r="132" spans="1:15" x14ac:dyDescent="0.35">
      <c r="A132" t="s">
        <v>520</v>
      </c>
      <c r="B132">
        <v>50.07</v>
      </c>
      <c r="C132">
        <v>-1.8</v>
      </c>
      <c r="D132">
        <v>60.4</v>
      </c>
      <c r="E132">
        <v>394</v>
      </c>
      <c r="F132">
        <v>2.4E-2</v>
      </c>
      <c r="G132">
        <v>7.2000000000000008E-2</v>
      </c>
      <c r="H132">
        <v>-8.6</v>
      </c>
      <c r="I132">
        <v>8.6999999999999993</v>
      </c>
      <c r="J132">
        <v>4.2000000000000003E-2</v>
      </c>
      <c r="K132">
        <v>6</v>
      </c>
      <c r="L132">
        <v>0.02</v>
      </c>
      <c r="M132">
        <v>4.3</v>
      </c>
      <c r="N132">
        <v>7.400000000000001E-2</v>
      </c>
      <c r="O132">
        <v>110.2</v>
      </c>
    </row>
    <row r="133" spans="1:15" x14ac:dyDescent="0.35">
      <c r="A133" t="s">
        <v>521</v>
      </c>
      <c r="B133">
        <v>3.89</v>
      </c>
      <c r="C133">
        <v>-0.7</v>
      </c>
      <c r="D133">
        <v>53.8</v>
      </c>
      <c r="E133">
        <v>679</v>
      </c>
      <c r="F133">
        <v>-2.4E-2</v>
      </c>
      <c r="G133">
        <v>0.02</v>
      </c>
      <c r="H133">
        <v>-1.8</v>
      </c>
      <c r="I133">
        <v>17.2</v>
      </c>
      <c r="J133">
        <v>7.8E-2</v>
      </c>
      <c r="K133">
        <v>6.75</v>
      </c>
      <c r="L133">
        <v>1.7500000000000002E-2</v>
      </c>
      <c r="M133">
        <v>5.2</v>
      </c>
      <c r="N133">
        <v>5.5E-2</v>
      </c>
      <c r="O133">
        <v>37.840000000000003</v>
      </c>
    </row>
    <row r="134" spans="1:15" x14ac:dyDescent="0.35">
      <c r="A134" t="s">
        <v>522</v>
      </c>
      <c r="B134">
        <v>1.1100000000000001</v>
      </c>
      <c r="C134">
        <v>-1.1000000000000001</v>
      </c>
      <c r="D134">
        <v>127.4</v>
      </c>
      <c r="E134">
        <v>254</v>
      </c>
      <c r="F134">
        <v>2E-3</v>
      </c>
      <c r="G134">
        <v>3.1E-2</v>
      </c>
      <c r="H134">
        <v>-2.9</v>
      </c>
      <c r="I134">
        <v>8.4</v>
      </c>
      <c r="J134">
        <v>2.5999999999999999E-2</v>
      </c>
      <c r="K134">
        <v>3</v>
      </c>
      <c r="L134">
        <v>0</v>
      </c>
      <c r="M134">
        <v>6.5</v>
      </c>
      <c r="N134">
        <v>6.0999999999999999E-2</v>
      </c>
      <c r="O134">
        <v>10.3</v>
      </c>
    </row>
    <row r="135" spans="1:15" x14ac:dyDescent="0.35">
      <c r="A135" t="s">
        <v>523</v>
      </c>
      <c r="B135">
        <v>98.56</v>
      </c>
      <c r="E135">
        <v>107</v>
      </c>
      <c r="G135">
        <v>1.0999999999999999E-2</v>
      </c>
      <c r="I135">
        <v>6</v>
      </c>
      <c r="J135">
        <v>3.5000000000000003E-2</v>
      </c>
      <c r="M135">
        <v>6</v>
      </c>
      <c r="N135">
        <v>7.2000000000000008E-2</v>
      </c>
      <c r="O135">
        <v>3.21</v>
      </c>
    </row>
    <row r="136" spans="1:15" ht="16" customHeight="1" thickBot="1" x14ac:dyDescent="0.4">
      <c r="A136" t="s">
        <v>524</v>
      </c>
      <c r="B136">
        <v>3.7</v>
      </c>
      <c r="C136">
        <v>14.7</v>
      </c>
      <c r="D136">
        <v>46.9</v>
      </c>
      <c r="E136">
        <v>180</v>
      </c>
      <c r="F136">
        <v>3.5999999999999997E-2</v>
      </c>
      <c r="G136">
        <v>4.2999999999999997E-2</v>
      </c>
      <c r="H136">
        <v>0.24</v>
      </c>
      <c r="I136">
        <v>4.2</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1.0999999999999999E-2</v>
      </c>
      <c r="G138">
        <v>4.5999999999999999E-2</v>
      </c>
      <c r="H138">
        <v>-7.1</v>
      </c>
      <c r="I138">
        <v>15.07</v>
      </c>
      <c r="J138">
        <v>7.8E-2</v>
      </c>
      <c r="K138">
        <v>7</v>
      </c>
      <c r="L138">
        <v>1.7500000000000002E-2</v>
      </c>
      <c r="M138">
        <v>5.6</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11.8</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31.1</v>
      </c>
      <c r="J140">
        <v>-3.4000000000000002E-2</v>
      </c>
      <c r="K140">
        <v>7</v>
      </c>
      <c r="L140">
        <v>4.4999999999999998E-2</v>
      </c>
      <c r="M140">
        <v>24.3</v>
      </c>
      <c r="N140">
        <v>0.23499999999999999</v>
      </c>
      <c r="O140">
        <v>13.28</v>
      </c>
    </row>
    <row r="141" spans="1:15" x14ac:dyDescent="0.35">
      <c r="A141" t="s">
        <v>529</v>
      </c>
      <c r="B141">
        <v>20.8</v>
      </c>
      <c r="C141">
        <v>-9.3000000000000007</v>
      </c>
      <c r="D141">
        <v>88</v>
      </c>
      <c r="E141">
        <v>1</v>
      </c>
      <c r="G141">
        <v>1.7999999999999999E-2</v>
      </c>
      <c r="H141">
        <v>-1.5</v>
      </c>
      <c r="I141">
        <v>25.2</v>
      </c>
      <c r="J141">
        <v>8.4000000000000005E-2</v>
      </c>
      <c r="K141">
        <v>10</v>
      </c>
      <c r="L141">
        <v>0.09</v>
      </c>
      <c r="M141">
        <v>15.9</v>
      </c>
      <c r="N141">
        <v>0.13900000000000001</v>
      </c>
      <c r="O141">
        <v>0.22</v>
      </c>
    </row>
    <row r="142" spans="1:15" x14ac:dyDescent="0.35">
      <c r="A142" t="s">
        <v>530</v>
      </c>
      <c r="B142">
        <v>3.75</v>
      </c>
      <c r="C142">
        <v>6.6</v>
      </c>
      <c r="D142">
        <v>30</v>
      </c>
      <c r="E142">
        <v>834</v>
      </c>
      <c r="F142">
        <v>1.4999999999999999E-2</v>
      </c>
      <c r="G142">
        <v>5.4000000000000013E-2</v>
      </c>
      <c r="H142">
        <v>-2.2999999999999998</v>
      </c>
      <c r="I142">
        <v>3.4</v>
      </c>
      <c r="J142">
        <v>1.0999999999999999E-2</v>
      </c>
      <c r="K142">
        <v>5.25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10.6</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-3.3</v>
      </c>
      <c r="I144">
        <v>15.1</v>
      </c>
      <c r="J144">
        <v>7.4999999999999997E-2</v>
      </c>
      <c r="K144">
        <v>5.5</v>
      </c>
      <c r="L144">
        <v>0.01</v>
      </c>
      <c r="M144">
        <v>8.9</v>
      </c>
      <c r="N144">
        <v>0.105</v>
      </c>
      <c r="O144">
        <v>6.87</v>
      </c>
    </row>
    <row r="145" spans="1:15" ht="16" customHeight="1" thickBot="1" x14ac:dyDescent="0.4">
      <c r="A145" t="s">
        <v>533</v>
      </c>
      <c r="B145">
        <v>13.7</v>
      </c>
      <c r="C145">
        <v>-20</v>
      </c>
      <c r="D145">
        <v>74</v>
      </c>
      <c r="E145">
        <v>1</v>
      </c>
      <c r="G145">
        <v>0.14000000000000001</v>
      </c>
      <c r="H145">
        <v>-3</v>
      </c>
      <c r="I145">
        <v>2.39</v>
      </c>
      <c r="J145">
        <v>9.3699999999999992E-2</v>
      </c>
      <c r="K145">
        <v>2</v>
      </c>
      <c r="L145">
        <v>0.02</v>
      </c>
      <c r="M145">
        <v>3</v>
      </c>
      <c r="N145">
        <v>0.04</v>
      </c>
      <c r="O145">
        <v>0.1</v>
      </c>
    </row>
    <row r="146" spans="1:15" ht="16" customHeight="1" thickBot="1" x14ac:dyDescent="0.4">
      <c r="A146" t="s">
        <v>534</v>
      </c>
      <c r="B146">
        <v>9800</v>
      </c>
      <c r="C146">
        <v>-13.9</v>
      </c>
      <c r="D146">
        <v>75</v>
      </c>
      <c r="E146">
        <v>4</v>
      </c>
      <c r="G146">
        <v>3.7999999999999999E-2</v>
      </c>
      <c r="H146">
        <v>-7.1</v>
      </c>
      <c r="I146">
        <v>37.090000000000003</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1E-3</v>
      </c>
      <c r="G147">
        <v>2.1000000000000001E-2</v>
      </c>
      <c r="H147">
        <v>-0.3</v>
      </c>
      <c r="I147">
        <v>6.5</v>
      </c>
      <c r="J147">
        <v>3.2000000000000001E-2</v>
      </c>
      <c r="K147">
        <v>3.25</v>
      </c>
      <c r="L147">
        <v>2.2000000000000001E-3</v>
      </c>
      <c r="M147">
        <v>2</v>
      </c>
      <c r="N147">
        <v>2.5999999999999999E-2</v>
      </c>
      <c r="O147">
        <v>5.45</v>
      </c>
    </row>
    <row r="148" spans="1:15" ht="16" customHeight="1" thickBot="1" x14ac:dyDescent="0.4">
      <c r="A148" t="s">
        <v>536</v>
      </c>
      <c r="B148">
        <v>1.1100000000000001</v>
      </c>
      <c r="C148">
        <v>-2</v>
      </c>
      <c r="D148">
        <v>63.1</v>
      </c>
      <c r="E148">
        <v>115</v>
      </c>
      <c r="F148">
        <v>3.0000000000000001E-3</v>
      </c>
      <c r="G148">
        <v>1.0999999999999999E-2</v>
      </c>
      <c r="H148">
        <v>-5.5</v>
      </c>
      <c r="I148">
        <v>15.2</v>
      </c>
      <c r="J148">
        <v>5.5999999999999987E-2</v>
      </c>
      <c r="K148">
        <v>3</v>
      </c>
      <c r="L148">
        <v>0</v>
      </c>
      <c r="M148">
        <v>5.9</v>
      </c>
      <c r="N148">
        <v>6.6000000000000003E-2</v>
      </c>
      <c r="O148">
        <v>5.46</v>
      </c>
    </row>
    <row r="149" spans="1:15" x14ac:dyDescent="0.35">
      <c r="A149" t="s">
        <v>537</v>
      </c>
      <c r="B149">
        <v>1.1100000000000001</v>
      </c>
      <c r="C149">
        <v>3.3</v>
      </c>
      <c r="D149">
        <v>74.7</v>
      </c>
      <c r="E149">
        <v>62</v>
      </c>
      <c r="F149">
        <v>8.0000000000000002E-3</v>
      </c>
      <c r="G149">
        <v>2E-3</v>
      </c>
      <c r="H149">
        <v>-4.7</v>
      </c>
      <c r="I149">
        <v>10</v>
      </c>
      <c r="J149">
        <v>4.5999999999999999E-2</v>
      </c>
      <c r="K149">
        <v>3</v>
      </c>
      <c r="L149">
        <v>0</v>
      </c>
      <c r="M149">
        <v>5.3</v>
      </c>
      <c r="N149">
        <v>6.8000000000000005E-2</v>
      </c>
      <c r="O149">
        <v>2.11</v>
      </c>
    </row>
    <row r="150" spans="1:15" ht="16" customHeight="1" thickBot="1" x14ac:dyDescent="0.4">
      <c r="A150" t="s">
        <v>538</v>
      </c>
      <c r="B150">
        <v>578.5</v>
      </c>
      <c r="E150">
        <v>8</v>
      </c>
      <c r="G150">
        <v>2.9000000000000001E-2</v>
      </c>
      <c r="I150">
        <v>5.6</v>
      </c>
      <c r="J150">
        <v>5.0299999999999997E-2</v>
      </c>
      <c r="O150">
        <v>16.36</v>
      </c>
    </row>
    <row r="151" spans="1:15" ht="16" customHeight="1" thickBot="1" x14ac:dyDescent="0.4">
      <c r="A151" t="s">
        <v>539</v>
      </c>
      <c r="B151">
        <v>14.73</v>
      </c>
      <c r="C151">
        <v>-0.7</v>
      </c>
      <c r="D151">
        <v>69.900000000000006</v>
      </c>
      <c r="E151">
        <v>419</v>
      </c>
      <c r="F151">
        <v>1.6E-2</v>
      </c>
      <c r="G151">
        <v>4.0999999999999988E-2</v>
      </c>
      <c r="H151">
        <v>-5.7</v>
      </c>
      <c r="I151">
        <v>6.9</v>
      </c>
      <c r="J151">
        <v>5.5E-2</v>
      </c>
      <c r="K151">
        <v>7.25</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-4.0000000000000001E-3</v>
      </c>
      <c r="G152">
        <v>1.4E-2</v>
      </c>
      <c r="H152">
        <v>-5.6</v>
      </c>
      <c r="I152">
        <v>5.2</v>
      </c>
      <c r="J152">
        <v>3.7000000000000012E-2</v>
      </c>
      <c r="K152">
        <v>3.5</v>
      </c>
      <c r="L152">
        <v>0.01</v>
      </c>
      <c r="M152">
        <v>2.9</v>
      </c>
      <c r="N152">
        <v>3.1E-2</v>
      </c>
      <c r="O152">
        <v>51.74</v>
      </c>
    </row>
    <row r="153" spans="1:15" ht="16" customHeight="1" thickBot="1" x14ac:dyDescent="0.4">
      <c r="A153" t="s">
        <v>541</v>
      </c>
      <c r="B153">
        <v>175.31</v>
      </c>
      <c r="E153">
        <v>1</v>
      </c>
      <c r="G153">
        <v>-2.3E-2</v>
      </c>
      <c r="I153">
        <v>14.4</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2E-3</v>
      </c>
      <c r="G154">
        <v>2.7E-2</v>
      </c>
      <c r="H154">
        <v>-6.9</v>
      </c>
      <c r="I154">
        <v>5.9</v>
      </c>
      <c r="J154">
        <v>5.5E-2</v>
      </c>
      <c r="K154">
        <v>3</v>
      </c>
      <c r="L154">
        <v>0</v>
      </c>
      <c r="M154">
        <v>12.87</v>
      </c>
      <c r="N154">
        <v>0.1457</v>
      </c>
      <c r="O154">
        <v>47.4</v>
      </c>
    </row>
    <row r="155" spans="1:15" ht="16" customHeight="1" thickBot="1" x14ac:dyDescent="0.4">
      <c r="A155" t="s">
        <v>543</v>
      </c>
      <c r="B155">
        <v>199</v>
      </c>
      <c r="C155">
        <v>-4</v>
      </c>
      <c r="D155">
        <v>104.6</v>
      </c>
      <c r="E155">
        <v>89</v>
      </c>
      <c r="F155">
        <v>1.4E-2</v>
      </c>
      <c r="G155">
        <v>-0.11799999999999999</v>
      </c>
      <c r="H155">
        <v>-12.2</v>
      </c>
      <c r="I155">
        <v>54.2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26.82</v>
      </c>
      <c r="L156">
        <v>0.17100000000000001</v>
      </c>
      <c r="M156">
        <v>19.809999999999999</v>
      </c>
      <c r="N156">
        <v>0.17699999999999999</v>
      </c>
      <c r="O156">
        <v>44.91</v>
      </c>
    </row>
    <row r="157" spans="1:15" ht="16" customHeight="1" thickBot="1" x14ac:dyDescent="0.4">
      <c r="A157" t="s">
        <v>545</v>
      </c>
      <c r="B157">
        <v>7.46</v>
      </c>
      <c r="C157">
        <v>5.2</v>
      </c>
      <c r="D157">
        <v>123.8</v>
      </c>
      <c r="E157">
        <v>3</v>
      </c>
      <c r="G157">
        <v>2.1000000000000001E-2</v>
      </c>
      <c r="H157">
        <v>2.5</v>
      </c>
      <c r="I157">
        <v>54.56</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5.6</v>
      </c>
      <c r="J158">
        <v>3.3000000000000002E-2</v>
      </c>
      <c r="K158">
        <v>6.75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-6.0000000000000001E-3</v>
      </c>
      <c r="H159">
        <v>-0.1</v>
      </c>
      <c r="I159">
        <v>12.3</v>
      </c>
      <c r="J159">
        <v>3.3000000000000002E-2</v>
      </c>
      <c r="K159">
        <v>3</v>
      </c>
      <c r="L159">
        <v>0</v>
      </c>
      <c r="M159">
        <v>7.6</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3.3</v>
      </c>
      <c r="J160">
        <v>1.4999999999999999E-2</v>
      </c>
      <c r="K160">
        <v>1</v>
      </c>
      <c r="L160">
        <v>-7.4999999999999997E-3</v>
      </c>
      <c r="M160">
        <v>2.2000000000000002</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3.04</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11</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4.9000000000000004</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-1.4999999999999999E-2</v>
      </c>
      <c r="G165">
        <v>1.4E-2</v>
      </c>
      <c r="H165">
        <v>-4.9000000000000004</v>
      </c>
      <c r="I165">
        <v>5.0199999999999996</v>
      </c>
      <c r="J165">
        <v>2.7099999999999999E-2</v>
      </c>
      <c r="K165">
        <v>1.5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7.4</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8</v>
      </c>
      <c r="J167">
        <v>2.1999999999999999E-2</v>
      </c>
      <c r="K167">
        <v>3.5</v>
      </c>
      <c r="L167">
        <v>3.5000000000000003E-2</v>
      </c>
      <c r="M167">
        <v>5.4</v>
      </c>
      <c r="N167">
        <v>5.0999999999999997E-2</v>
      </c>
      <c r="O167">
        <v>1.38</v>
      </c>
    </row>
    <row r="168" spans="1:15" ht="16" customHeight="1" thickBot="1" x14ac:dyDescent="0.4">
      <c r="A168" t="s">
        <v>556</v>
      </c>
      <c r="B168">
        <v>2.8</v>
      </c>
      <c r="C168">
        <v>-8.6</v>
      </c>
      <c r="D168">
        <v>80</v>
      </c>
      <c r="E168">
        <v>47</v>
      </c>
      <c r="F168">
        <v>5.0000000000000001E-3</v>
      </c>
      <c r="G168">
        <v>1.6E-2</v>
      </c>
      <c r="H168">
        <v>-7.6</v>
      </c>
      <c r="I168">
        <v>10.199999999999999</v>
      </c>
      <c r="J168">
        <v>6.4000000000000001E-2</v>
      </c>
      <c r="K168">
        <v>8</v>
      </c>
      <c r="L168">
        <v>6.25E-2</v>
      </c>
      <c r="M168">
        <v>15.2</v>
      </c>
      <c r="N168">
        <v>0.17799999999999999</v>
      </c>
      <c r="O168">
        <v>11.94</v>
      </c>
    </row>
    <row r="169" spans="1:15" ht="16" customHeight="1" thickBot="1" x14ac:dyDescent="0.4">
      <c r="A169" t="s">
        <v>557</v>
      </c>
      <c r="B169">
        <v>8.6199999999999992</v>
      </c>
      <c r="C169">
        <v>-1.7</v>
      </c>
      <c r="D169">
        <v>42</v>
      </c>
      <c r="E169">
        <v>819</v>
      </c>
      <c r="F169">
        <v>-1E-3</v>
      </c>
      <c r="G169">
        <v>3.9E-2</v>
      </c>
      <c r="H169">
        <v>-2.7</v>
      </c>
      <c r="I169">
        <v>57.68</v>
      </c>
      <c r="J169">
        <v>0.21310000000000001</v>
      </c>
      <c r="K169">
        <v>9</v>
      </c>
      <c r="L169">
        <v>0.14000000000000001</v>
      </c>
      <c r="M169">
        <v>10.3</v>
      </c>
      <c r="N169">
        <v>0.112</v>
      </c>
      <c r="O169">
        <v>84.68</v>
      </c>
    </row>
    <row r="170" spans="1:15" ht="16" customHeight="1" thickBot="1" x14ac:dyDescent="0.4">
      <c r="A170" t="s">
        <v>558</v>
      </c>
      <c r="B170">
        <v>3.5</v>
      </c>
      <c r="C170">
        <v>0.6</v>
      </c>
      <c r="D170">
        <v>8</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10.4</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8.5000000000000006E-2</v>
      </c>
      <c r="H173">
        <v>0.8</v>
      </c>
      <c r="I173">
        <v>6.77</v>
      </c>
      <c r="J173">
        <v>1.2E-2</v>
      </c>
      <c r="K173">
        <v>4.6500000000000004</v>
      </c>
      <c r="L173">
        <v>1.4999999999999999E-2</v>
      </c>
      <c r="M173">
        <v>3.9</v>
      </c>
      <c r="N173">
        <v>0.05</v>
      </c>
      <c r="O173">
        <v>9.99</v>
      </c>
    </row>
    <row r="174" spans="1:15" ht="16" customHeight="1" thickBot="1" x14ac:dyDescent="0.4">
      <c r="A174" t="s">
        <v>562</v>
      </c>
      <c r="B174">
        <v>1.25</v>
      </c>
      <c r="C174">
        <v>-2</v>
      </c>
      <c r="D174">
        <v>97.4</v>
      </c>
      <c r="E174">
        <v>3131</v>
      </c>
      <c r="F174">
        <v>0</v>
      </c>
      <c r="G174">
        <v>4.0000000000000001E-3</v>
      </c>
      <c r="H174">
        <v>-5.4</v>
      </c>
      <c r="I174">
        <v>10.1</v>
      </c>
      <c r="J174">
        <v>5.0999999999999997E-2</v>
      </c>
      <c r="K174">
        <v>4</v>
      </c>
      <c r="L174">
        <v>2.5000000000000001E-3</v>
      </c>
      <c r="M174">
        <v>3.7</v>
      </c>
      <c r="N174">
        <v>4.2000000000000003E-2</v>
      </c>
      <c r="O174">
        <v>67.53</v>
      </c>
    </row>
    <row r="175" spans="1:15" ht="16" customHeight="1" thickBot="1" x14ac:dyDescent="0.4">
      <c r="A175" t="s">
        <v>563</v>
      </c>
      <c r="B175">
        <v>98.56</v>
      </c>
      <c r="C175">
        <v>-3.6</v>
      </c>
      <c r="D175">
        <v>129</v>
      </c>
      <c r="E175">
        <v>23315</v>
      </c>
      <c r="F175">
        <v>2.9000000000000001E-2</v>
      </c>
      <c r="G175">
        <v>0.01</v>
      </c>
      <c r="H175">
        <v>-5.8</v>
      </c>
      <c r="I175">
        <v>6.4</v>
      </c>
      <c r="J175">
        <v>6.8000000000000005E-2</v>
      </c>
      <c r="K175">
        <v>4.75</v>
      </c>
      <c r="L175">
        <v>2.5000000000000001E-3</v>
      </c>
      <c r="M175">
        <v>3.4</v>
      </c>
      <c r="N175">
        <v>4.2000000000000003E-2</v>
      </c>
      <c r="O175">
        <v>334.23</v>
      </c>
    </row>
    <row r="176" spans="1:15" ht="16" customHeight="1" thickBot="1" x14ac:dyDescent="0.4">
      <c r="A176" t="s">
        <v>564</v>
      </c>
      <c r="B176">
        <v>37.81</v>
      </c>
      <c r="C176">
        <v>-1.8</v>
      </c>
      <c r="D176">
        <v>71.5</v>
      </c>
      <c r="E176">
        <v>59</v>
      </c>
      <c r="F176">
        <v>6.0000000000000001E-3</v>
      </c>
      <c r="G176">
        <v>3.7000000000000012E-2</v>
      </c>
      <c r="H176">
        <v>-3.8</v>
      </c>
      <c r="I176">
        <v>8.0500000000000007</v>
      </c>
      <c r="J176">
        <v>8.0700000000000008E-2</v>
      </c>
      <c r="K176">
        <v>11.5</v>
      </c>
      <c r="L176">
        <v>5.2499999999999998E-2</v>
      </c>
      <c r="M176">
        <v>7.9</v>
      </c>
      <c r="N176">
        <v>0.08</v>
      </c>
      <c r="O176">
        <v>3.54</v>
      </c>
    </row>
    <row r="177" spans="1:15" ht="16" customHeight="1" thickBot="1" x14ac:dyDescent="0.4">
      <c r="A177" t="s">
        <v>565</v>
      </c>
      <c r="B177">
        <v>9527.2999999999993</v>
      </c>
      <c r="C177">
        <v>-7</v>
      </c>
      <c r="D177">
        <v>38</v>
      </c>
      <c r="E177">
        <v>69</v>
      </c>
      <c r="G177">
        <v>5.7000000000000002E-2</v>
      </c>
      <c r="H177">
        <v>-6</v>
      </c>
      <c r="I177">
        <v>12.2</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112</v>
      </c>
      <c r="F178">
        <v>-0.23699999999999999</v>
      </c>
      <c r="G178">
        <v>-1.4999999999999999E-2</v>
      </c>
      <c r="H178">
        <v>-4.5</v>
      </c>
      <c r="I178">
        <v>155.80000000000001</v>
      </c>
      <c r="J178">
        <v>11.975</v>
      </c>
      <c r="K178">
        <v>57.97</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4.8899999999999997</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9.4</v>
      </c>
      <c r="J181">
        <v>0.193</v>
      </c>
      <c r="K181">
        <v>9.25</v>
      </c>
      <c r="L181">
        <v>0.09</v>
      </c>
      <c r="M181">
        <v>13</v>
      </c>
      <c r="N181">
        <v>0.122</v>
      </c>
      <c r="O181">
        <v>18.920000000000002</v>
      </c>
    </row>
    <row r="182" spans="1:15" x14ac:dyDescent="0.35">
      <c r="A182" t="s">
        <v>570</v>
      </c>
      <c r="B182">
        <v>16.36</v>
      </c>
      <c r="C182">
        <v>-1.89</v>
      </c>
      <c r="D182">
        <v>77.2</v>
      </c>
      <c r="E182">
        <v>28</v>
      </c>
      <c r="G182">
        <v>8.5000000000000006E-2</v>
      </c>
      <c r="H182">
        <v>-1.5</v>
      </c>
      <c r="I182">
        <v>229.8</v>
      </c>
      <c r="J182">
        <v>0.58399999999999996</v>
      </c>
      <c r="K182">
        <v>150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Normal="100" workbookViewId="0">
      <pane xSplit="2" ySplit="9" topLeftCell="C89" activePane="bottomRight" state="frozen"/>
      <selection activeCell="T15" sqref="T15"/>
      <selection pane="topRight" activeCell="T15" sqref="T15"/>
      <selection pane="bottomLeft" activeCell="T15" sqref="T15"/>
      <selection pane="bottomRight" activeCell="AE3" sqref="AE3"/>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368</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18.7</v>
      </c>
      <c r="E4" s="13">
        <f t="shared" ca="1" si="0"/>
        <v>14.211623479</v>
      </c>
      <c r="F4" s="13">
        <f t="shared" ca="1" si="0"/>
        <v>7.8196382680000003</v>
      </c>
      <c r="G4" s="13">
        <f t="shared" ca="1" si="0"/>
        <v>10.156264054999999</v>
      </c>
      <c r="H4" s="13">
        <f t="shared" ca="1" si="0"/>
        <v>18.648106347999999</v>
      </c>
      <c r="I4" s="13">
        <f t="shared" ca="1" si="0"/>
        <v>24.405387753999999</v>
      </c>
      <c r="J4" s="13">
        <f t="shared" ca="1" si="0"/>
        <v>16.674243594</v>
      </c>
      <c r="K4" s="13">
        <f t="shared" ca="1" si="0"/>
        <v>17.875245591999999</v>
      </c>
      <c r="L4" s="13">
        <f t="shared" ca="1" si="0"/>
        <v>9.6444636730000006</v>
      </c>
      <c r="M4" s="13">
        <f t="shared" ca="1" si="0"/>
        <v>19.312004701999999</v>
      </c>
      <c r="N4" s="13" t="e">
        <f t="shared" ca="1" si="0"/>
        <v>#N/A</v>
      </c>
      <c r="O4" s="13" t="e">
        <f t="shared" ca="1" si="0"/>
        <v>#N/A</v>
      </c>
      <c r="P4" s="13">
        <f t="shared" ca="1" si="0"/>
        <v>12.133964192000001</v>
      </c>
      <c r="Q4" s="13" t="e">
        <f t="shared" ca="1" si="0"/>
        <v>#N/A</v>
      </c>
      <c r="R4" s="13" t="e">
        <f t="shared" ca="1" si="0"/>
        <v>#N/A</v>
      </c>
      <c r="S4" s="13">
        <f t="shared" ca="1" si="0"/>
        <v>6.2541347370000002</v>
      </c>
      <c r="T4" s="13" t="e">
        <f t="shared" ca="1" si="0"/>
        <v>#N/A</v>
      </c>
      <c r="U4" s="13" t="e">
        <f t="shared" ca="1" si="0"/>
        <v>#N/A</v>
      </c>
      <c r="V4" s="13">
        <f t="shared" ca="1" si="0"/>
        <v>19.541338439</v>
      </c>
      <c r="W4" s="13" t="e">
        <f t="shared" ca="1" si="0"/>
        <v>#N/A</v>
      </c>
      <c r="X4" s="13">
        <f t="shared" ca="1" si="0"/>
        <v>9.1334096979999995</v>
      </c>
      <c r="Y4" s="13">
        <f t="shared" ca="1" si="0"/>
        <v>12.023538629000001</v>
      </c>
      <c r="Z4" s="13" t="e">
        <f t="shared" ca="1" si="0"/>
        <v>#N/A</v>
      </c>
      <c r="AA4" s="13" t="e">
        <f t="shared" ca="1" si="0"/>
        <v>#N/A</v>
      </c>
      <c r="AB4" s="72"/>
      <c r="AD4" s="14" t="s">
        <v>584</v>
      </c>
      <c r="AE4" s="65" t="s">
        <v>362</v>
      </c>
    </row>
    <row r="5" spans="2:34" x14ac:dyDescent="0.35">
      <c r="B5" s="4" t="s">
        <v>585</v>
      </c>
      <c r="C5" s="13">
        <f t="shared" ref="C5:AA5" ca="1" si="1">MIN(OFFSET(C$71,COUNT(C$71:C$150),0,-13,1))</f>
        <v>-8.3506401560000008</v>
      </c>
      <c r="D5" s="13">
        <f t="shared" ca="1" si="1"/>
        <v>-6.9</v>
      </c>
      <c r="E5" s="13">
        <f t="shared" ca="1" si="1"/>
        <v>-14.240517854</v>
      </c>
      <c r="F5" s="13">
        <f t="shared" ca="1" si="1"/>
        <v>-9.8824007989999991</v>
      </c>
      <c r="G5" s="13">
        <f t="shared" ca="1" si="1"/>
        <v>-10.435831326000001</v>
      </c>
      <c r="H5" s="13">
        <f t="shared" ca="1" si="1"/>
        <v>-18.564945705</v>
      </c>
      <c r="I5" s="13">
        <f t="shared" ca="1" si="1"/>
        <v>-22.627407624</v>
      </c>
      <c r="J5" s="13">
        <f t="shared" ca="1" si="1"/>
        <v>-17.890432114999999</v>
      </c>
      <c r="K5" s="13">
        <f t="shared" ca="1" si="1"/>
        <v>-21.937066645000002</v>
      </c>
      <c r="L5" s="13">
        <f t="shared" ca="1" si="1"/>
        <v>-7.7603471209999997</v>
      </c>
      <c r="M5" s="13">
        <f t="shared" ca="1" si="1"/>
        <v>-18.785313702</v>
      </c>
      <c r="N5" s="13" t="e">
        <f t="shared" ca="1" si="1"/>
        <v>#N/A</v>
      </c>
      <c r="O5" s="13" t="e">
        <f t="shared" ca="1" si="1"/>
        <v>#N/A</v>
      </c>
      <c r="P5" s="13">
        <f t="shared" ca="1" si="1"/>
        <v>-12.211942682</v>
      </c>
      <c r="Q5" s="13" t="e">
        <f t="shared" ca="1" si="1"/>
        <v>#N/A</v>
      </c>
      <c r="R5" s="13" t="e">
        <f t="shared" ca="1" si="1"/>
        <v>#N/A</v>
      </c>
      <c r="S5" s="13">
        <f t="shared" ca="1" si="1"/>
        <v>-2.5967072330000001</v>
      </c>
      <c r="T5" s="13" t="e">
        <f t="shared" ca="1" si="1"/>
        <v>#N/A</v>
      </c>
      <c r="U5" s="13" t="e">
        <f t="shared" ca="1" si="1"/>
        <v>#N/A</v>
      </c>
      <c r="V5" s="13">
        <f t="shared" ca="1" si="1"/>
        <v>-9.3123172000000004E-2</v>
      </c>
      <c r="W5" s="13" t="e">
        <f t="shared" ca="1" si="1"/>
        <v>#N/A</v>
      </c>
      <c r="X5" s="13">
        <f t="shared" ca="1" si="1"/>
        <v>-10.782890147</v>
      </c>
      <c r="Y5" s="13">
        <f t="shared" ca="1" si="1"/>
        <v>-7.2511338810000003</v>
      </c>
      <c r="Z5" s="13" t="e">
        <f t="shared" ca="1" si="1"/>
        <v>#N/A</v>
      </c>
      <c r="AA5" s="13" t="e">
        <f t="shared" ca="1" si="1"/>
        <v>#N/A</v>
      </c>
      <c r="AB5" s="72"/>
      <c r="AC5" s="16" t="s">
        <v>586</v>
      </c>
      <c r="AE5" s="17"/>
    </row>
    <row r="6" spans="2:34" x14ac:dyDescent="0.35">
      <c r="B6" s="4" t="s">
        <v>587</v>
      </c>
      <c r="C6" s="13">
        <f t="shared" ref="C6:AA6" ca="1" si="2">AVERAGE(OFFSET(C$71,COUNT(C$71:C$150),0,-13,1))</f>
        <v>1.8029558488333326</v>
      </c>
      <c r="D6" s="13">
        <f t="shared" ca="1" si="2"/>
        <v>4.6583333333333332</v>
      </c>
      <c r="E6" s="13">
        <f t="shared" ca="1" si="2"/>
        <v>0.92762270541666692</v>
      </c>
      <c r="F6" s="13">
        <f t="shared" ca="1" si="2"/>
        <v>-0.30804709441666628</v>
      </c>
      <c r="G6" s="13">
        <f t="shared" ca="1" si="2"/>
        <v>0.20336673308333339</v>
      </c>
      <c r="H6" s="13">
        <f t="shared" ca="1" si="2"/>
        <v>0.63806418299999956</v>
      </c>
      <c r="I6" s="13">
        <f t="shared" ca="1" si="2"/>
        <v>0.55405332033333365</v>
      </c>
      <c r="J6" s="13">
        <f t="shared" ca="1" si="2"/>
        <v>0.62996873149999966</v>
      </c>
      <c r="K6" s="13">
        <f t="shared" ca="1" si="2"/>
        <v>9.0263535666665715E-2</v>
      </c>
      <c r="L6" s="13">
        <f t="shared" ca="1" si="2"/>
        <v>1.6893331642499998</v>
      </c>
      <c r="M6" s="13">
        <f t="shared" ca="1" si="2"/>
        <v>0.13618468958333327</v>
      </c>
      <c r="N6" s="13" t="e">
        <f t="shared" ca="1" si="2"/>
        <v>#N/A</v>
      </c>
      <c r="O6" s="13" t="e">
        <f t="shared" ca="1" si="2"/>
        <v>#N/A</v>
      </c>
      <c r="P6" s="13">
        <f t="shared" ca="1" si="2"/>
        <v>1.2467929619166667</v>
      </c>
      <c r="Q6" s="13" t="e">
        <f t="shared" ca="1" si="2"/>
        <v>#N/A</v>
      </c>
      <c r="R6" s="13" t="e">
        <f t="shared" ca="1" si="2"/>
        <v>#N/A</v>
      </c>
      <c r="S6" s="13">
        <f t="shared" ca="1" si="2"/>
        <v>2.0189111453333335</v>
      </c>
      <c r="T6" s="13" t="e">
        <f t="shared" ca="1" si="2"/>
        <v>#N/A</v>
      </c>
      <c r="U6" s="13" t="e">
        <f t="shared" ca="1" si="2"/>
        <v>#N/A</v>
      </c>
      <c r="V6" s="13">
        <f t="shared" ca="1" si="2"/>
        <v>10.596709725749999</v>
      </c>
      <c r="W6" s="13" t="e">
        <f t="shared" ca="1" si="2"/>
        <v>#N/A</v>
      </c>
      <c r="X6" s="13">
        <f t="shared" ca="1" si="2"/>
        <v>0.20433861616666638</v>
      </c>
      <c r="Y6" s="13">
        <f t="shared" ca="1" si="2"/>
        <v>3.3577711470833336</v>
      </c>
      <c r="Z6" s="13" t="e">
        <f t="shared" ca="1" si="2"/>
        <v>#N/A</v>
      </c>
      <c r="AA6" s="13" t="e">
        <f t="shared" ca="1" si="2"/>
        <v>#N/A</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below</v>
      </c>
      <c r="D7" s="13" t="str">
        <f t="shared" ca="1" si="3"/>
        <v>below</v>
      </c>
      <c r="E7" s="13" t="str">
        <f t="shared" ca="1" si="3"/>
        <v>above</v>
      </c>
      <c r="F7" s="13" t="str">
        <f t="shared" ca="1" si="3"/>
        <v>above</v>
      </c>
      <c r="G7" s="13" t="str">
        <f t="shared" ca="1" si="3"/>
        <v>above</v>
      </c>
      <c r="H7" s="13" t="str">
        <f t="shared" ca="1" si="3"/>
        <v>below</v>
      </c>
      <c r="I7" s="13" t="str">
        <f t="shared" ca="1" si="3"/>
        <v>below</v>
      </c>
      <c r="J7" s="13" t="str">
        <f t="shared" ca="1" si="3"/>
        <v>above</v>
      </c>
      <c r="K7" s="13" t="str">
        <f t="shared" ca="1" si="3"/>
        <v>above</v>
      </c>
      <c r="L7" s="13" t="str">
        <f t="shared" ca="1" si="3"/>
        <v>below</v>
      </c>
      <c r="M7" s="13" t="str">
        <f t="shared" ca="1" si="3"/>
        <v>above</v>
      </c>
      <c r="N7" s="13" t="e">
        <f t="shared" ca="1" si="3"/>
        <v>#N/A</v>
      </c>
      <c r="O7" s="13" t="e">
        <f t="shared" ca="1" si="3"/>
        <v>#N/A</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above</v>
      </c>
      <c r="Y7" s="13" t="str">
        <f t="shared" ca="1" si="3"/>
        <v>below</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-11.501600863</v>
      </c>
      <c r="D8" s="13">
        <f t="shared" si="4"/>
        <v>-5.4</v>
      </c>
      <c r="E8" s="13">
        <f t="shared" si="4"/>
        <v>-12.30361997</v>
      </c>
      <c r="F8" s="13">
        <f t="shared" si="4"/>
        <v>-7.2149294770000001</v>
      </c>
      <c r="G8" s="13">
        <f t="shared" si="4"/>
        <v>-9.0177206410000004</v>
      </c>
      <c r="H8" s="13">
        <f t="shared" si="4"/>
        <v>-18.102647311999998</v>
      </c>
      <c r="I8" s="13">
        <f t="shared" si="4"/>
        <v>-24.030852543999998</v>
      </c>
      <c r="J8" s="13">
        <f t="shared" si="4"/>
        <v>-15.000432048</v>
      </c>
      <c r="K8" s="13">
        <f t="shared" si="4"/>
        <v>-15.194904538999999</v>
      </c>
      <c r="L8" s="13">
        <f t="shared" si="4"/>
        <v>-10.192352108000001</v>
      </c>
      <c r="M8" s="13">
        <f t="shared" si="4"/>
        <v>-15.603445368999999</v>
      </c>
      <c r="N8" s="13" t="e">
        <f t="shared" si="4"/>
        <v>#N/A</v>
      </c>
      <c r="O8" s="13" t="e">
        <f t="shared" si="4"/>
        <v>#N/A</v>
      </c>
      <c r="P8" s="13">
        <f t="shared" si="4"/>
        <v>-9.503685517000001</v>
      </c>
      <c r="Q8" s="13" t="e">
        <f t="shared" si="4"/>
        <v>#N/A</v>
      </c>
      <c r="R8" s="13" t="e">
        <f t="shared" si="4"/>
        <v>#N/A</v>
      </c>
      <c r="S8" s="13">
        <f t="shared" si="4"/>
        <v>-4.9292380970000007</v>
      </c>
      <c r="T8" s="13" t="e">
        <f t="shared" si="4"/>
        <v>#N/A</v>
      </c>
      <c r="U8" s="13" t="e">
        <f t="shared" si="4"/>
        <v>#N/A</v>
      </c>
      <c r="V8" s="13">
        <f t="shared" si="4"/>
        <v>-3.8112449399999999</v>
      </c>
      <c r="W8" s="13" t="e">
        <f t="shared" si="4"/>
        <v>#N/A</v>
      </c>
      <c r="X8" s="13">
        <f t="shared" si="4"/>
        <v>-8.7697758119999989</v>
      </c>
      <c r="Y8" s="13">
        <f t="shared" si="4"/>
        <v>-11.693747383000002</v>
      </c>
      <c r="Z8" s="13" t="e">
        <f t="shared" si="4"/>
        <v>#N/A</v>
      </c>
      <c r="AA8" s="13" t="e">
        <f t="shared" si="4"/>
        <v>#N/A</v>
      </c>
      <c r="AB8" s="72"/>
    </row>
    <row r="9" spans="2:34" x14ac:dyDescent="0.35">
      <c r="B9" s="4" t="s">
        <v>592</v>
      </c>
      <c r="C9" s="13">
        <f t="shared" ref="C9:AA9" si="5">VLOOKUP($AE$2,$B:$Y,MATCH(C3,$B$3:$Y$3,),)-VLOOKUP($AE$3,$B:$Y,MATCH(C3,$B$3:$Y$3,),)</f>
        <v>-2.7244254149999998</v>
      </c>
      <c r="D9" s="13">
        <f t="shared" si="5"/>
        <v>-1.9</v>
      </c>
      <c r="E9" s="13">
        <f t="shared" si="5"/>
        <v>-3.597041763</v>
      </c>
      <c r="F9" s="13">
        <f t="shared" si="5"/>
        <v>-2.8658467000000076E-2</v>
      </c>
      <c r="G9" s="13">
        <f t="shared" si="5"/>
        <v>-2.3836778189999999</v>
      </c>
      <c r="H9" s="13">
        <f t="shared" si="5"/>
        <v>-4.2224527599999995</v>
      </c>
      <c r="I9" s="13">
        <f t="shared" si="5"/>
        <v>-10.157041076000001</v>
      </c>
      <c r="J9" s="13">
        <f t="shared" si="5"/>
        <v>-4.7443994810000003</v>
      </c>
      <c r="K9" s="13">
        <f t="shared" si="5"/>
        <v>-4.1767975790000005</v>
      </c>
      <c r="L9" s="13">
        <f t="shared" si="5"/>
        <v>-4.7034562089999996</v>
      </c>
      <c r="M9" s="13">
        <f t="shared" si="5"/>
        <v>1.8232912780000001</v>
      </c>
      <c r="N9" s="13" t="e">
        <f t="shared" si="5"/>
        <v>#N/A</v>
      </c>
      <c r="O9" s="13" t="e">
        <f t="shared" si="5"/>
        <v>#N/A</v>
      </c>
      <c r="P9" s="13">
        <f t="shared" si="5"/>
        <v>-0.58835457499999988</v>
      </c>
      <c r="Q9" s="13" t="e">
        <f t="shared" si="5"/>
        <v>#N/A</v>
      </c>
      <c r="R9" s="13" t="e">
        <f t="shared" si="5"/>
        <v>#N/A</v>
      </c>
      <c r="S9" s="13">
        <f t="shared" si="5"/>
        <v>-1.7244519500000002</v>
      </c>
      <c r="T9" s="13" t="e">
        <f t="shared" si="5"/>
        <v>#N/A</v>
      </c>
      <c r="U9" s="13" t="e">
        <f t="shared" si="5"/>
        <v>#N/A</v>
      </c>
      <c r="V9" s="13">
        <f t="shared" si="5"/>
        <v>3.8028415870000014</v>
      </c>
      <c r="W9" s="13" t="e">
        <f t="shared" si="5"/>
        <v>#N/A</v>
      </c>
      <c r="X9" s="13">
        <f t="shared" si="5"/>
        <v>-4.2633916770000004</v>
      </c>
      <c r="Y9" s="13">
        <f t="shared" si="5"/>
        <v>-10.194363227</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1.6925788909999999</v>
      </c>
      <c r="F71" s="25">
        <f>IF(VLOOKUP(B71,'Data yoy'!$A:$AW,MATCH($F$1,'Data yoy'!$A$1:$AW$1,),)=0,#N/A,VLOOKUP(B71,'Data yoy'!$A:$AW,MATCH($F$1,'Data yoy'!$A$1:$AW$1,),))</f>
        <v>0.267122366</v>
      </c>
      <c r="G71" s="25">
        <f>IF(VLOOKUP(B71,'Data yoy'!$A:$AW,MATCH($G$1,'Data yoy'!$A$1:$AW$1,),)=0,#N/A,VLOOKUP(B71,'Data yoy'!$A:$AW,MATCH($G$1,'Data yoy'!$A$1:$AW$1,),))</f>
        <v>0.80418888300000002</v>
      </c>
      <c r="H71" s="25">
        <f>IF(VLOOKUP(B71,'Data yoy'!$A:$AW,MATCH($H$1,'Data yoy'!$A$1:$AW$1,),)=0,#N/A,VLOOKUP(B71,'Data yoy'!$A:$AW,MATCH($H$1,'Data yoy'!$A$1:$AW$1,),))</f>
        <v>1.155810869</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3.7593015379999999</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1.6925788909999999</v>
      </c>
      <c r="AF71" s="27">
        <f t="shared" si="12"/>
        <v>1.0314674619999999</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1.9622323859999999</v>
      </c>
      <c r="F72" s="25">
        <f>IF(VLOOKUP(B72,'Data yoy'!$A:$AW,MATCH($F$1,'Data yoy'!$A$1:$AW$1,),)=0,#N/A,VLOOKUP(B72,'Data yoy'!$A:$AW,MATCH($F$1,'Data yoy'!$A$1:$AW$1,),))</f>
        <v>2.2488488470000001</v>
      </c>
      <c r="G72" s="25">
        <f>IF(VLOOKUP(B72,'Data yoy'!$A:$AW,MATCH($G$1,'Data yoy'!$A$1:$AW$1,),)=0,#N/A,VLOOKUP(B72,'Data yoy'!$A:$AW,MATCH($G$1,'Data yoy'!$A$1:$AW$1,),))</f>
        <v>1.547263222</v>
      </c>
      <c r="H72" s="25">
        <f>IF(VLOOKUP(B72,'Data yoy'!$A:$AW,MATCH($H$1,'Data yoy'!$A$1:$AW$1,),)=0,#N/A,VLOOKUP(B72,'Data yoy'!$A:$AW,MATCH($H$1,'Data yoy'!$A$1:$AW$1,),))</f>
        <v>1.174795394</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3.9542910099999999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1.9622323859999999</v>
      </c>
      <c r="AF72" s="27">
        <f t="shared" si="12"/>
        <v>0.51603167800000027</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1.8840098139999999</v>
      </c>
      <c r="F73" s="25">
        <f>IF(VLOOKUP(B73,'Data yoy'!$A:$AW,MATCH($F$1,'Data yoy'!$A$1:$AW$1,),)=0,#N/A,VLOOKUP(B73,'Data yoy'!$A:$AW,MATCH($F$1,'Data yoy'!$A$1:$AW$1,),))</f>
        <v>2.263318012</v>
      </c>
      <c r="G73" s="25">
        <f>IF(VLOOKUP(B73,'Data yoy'!$A:$AW,MATCH($G$1,'Data yoy'!$A$1:$AW$1,),)=0,#N/A,VLOOKUP(B73,'Data yoy'!$A:$AW,MATCH($G$1,'Data yoy'!$A$1:$AW$1,),))</f>
        <v>1.4887932699999999</v>
      </c>
      <c r="H73" s="25">
        <f>IF(VLOOKUP(B73,'Data yoy'!$A:$AW,MATCH($H$1,'Data yoy'!$A$1:$AW$1,),)=0,#N/A,VLOOKUP(B73,'Data yoy'!$A:$AW,MATCH($H$1,'Data yoy'!$A$1:$AW$1,),))</f>
        <v>0.82721814299999996</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4.6325998769999996</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1.8840098139999999</v>
      </c>
      <c r="AF73" s="27">
        <f t="shared" si="12"/>
        <v>0.25989591699999992</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1.991873435</v>
      </c>
      <c r="F74" s="25">
        <f>IF(VLOOKUP(B74,'Data yoy'!$A:$AW,MATCH($F$1,'Data yoy'!$A$1:$AW$1,),)=0,#N/A,VLOOKUP(B74,'Data yoy'!$A:$AW,MATCH($F$1,'Data yoy'!$A$1:$AW$1,),))</f>
        <v>1.622617988</v>
      </c>
      <c r="G74" s="25">
        <f>IF(VLOOKUP(B74,'Data yoy'!$A:$AW,MATCH($G$1,'Data yoy'!$A$1:$AW$1,),)=0,#N/A,VLOOKUP(B74,'Data yoy'!$A:$AW,MATCH($G$1,'Data yoy'!$A$1:$AW$1,),))</f>
        <v>1.115160562</v>
      </c>
      <c r="H74" s="25">
        <f>IF(VLOOKUP(B74,'Data yoy'!$A:$AW,MATCH($H$1,'Data yoy'!$A$1:$AW$1,),)=0,#N/A,VLOOKUP(B74,'Data yoy'!$A:$AW,MATCH($H$1,'Data yoy'!$A$1:$AW$1,),))</f>
        <v>1.0645061440000001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4.6178854879999998</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1.991873435</v>
      </c>
      <c r="AF74" s="27">
        <f t="shared" si="12"/>
        <v>0.24134706599999989</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1.9089079419999999</v>
      </c>
      <c r="F75" s="25">
        <f>IF(VLOOKUP(B75,'Data yoy'!$A:$AW,MATCH($F$1,'Data yoy'!$A$1:$AW$1,),)=0,#N/A,VLOOKUP(B75,'Data yoy'!$A:$AW,MATCH($F$1,'Data yoy'!$A$1:$AW$1,),))</f>
        <v>0.81236666700000004</v>
      </c>
      <c r="G75" s="25">
        <f>IF(VLOOKUP(B75,'Data yoy'!$A:$AW,MATCH($G$1,'Data yoy'!$A$1:$AW$1,),)=0,#N/A,VLOOKUP(B75,'Data yoy'!$A:$AW,MATCH($G$1,'Data yoy'!$A$1:$AW$1,),))</f>
        <v>2.4891676359999999</v>
      </c>
      <c r="H75" s="25">
        <f>IF(VLOOKUP(B75,'Data yoy'!$A:$AW,MATCH($H$1,'Data yoy'!$A$1:$AW$1,),)=0,#N/A,VLOOKUP(B75,'Data yoy'!$A:$AW,MATCH($H$1,'Data yoy'!$A$1:$AW$1,),))</f>
        <v>1.1710138539999999</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3.085681176</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2" si="13">B75</f>
        <v>2016-Q1</v>
      </c>
      <c r="AD75" s="27">
        <f t="shared" ref="AD75:AD106" si="14">(VLOOKUP(AC75,B:Y,MATCH($AE$6,$B$1:$Y$1,),))</f>
        <v>2.1850476219999999</v>
      </c>
      <c r="AE75" s="27">
        <f t="shared" ref="AE75:AE102" si="15">(VLOOKUP(AC75,B:Y,MATCH($AE$7,$B$1:$Y$1,),))</f>
        <v>1.9089079419999999</v>
      </c>
      <c r="AF75" s="27">
        <f t="shared" si="12"/>
        <v>0.27613968</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1.6787818969999999</v>
      </c>
      <c r="F76" s="25">
        <f>IF(VLOOKUP(B76,'Data yoy'!$A:$AW,MATCH($F$1,'Data yoy'!$A$1:$AW$1,),)=0,#N/A,VLOOKUP(B76,'Data yoy'!$A:$AW,MATCH($F$1,'Data yoy'!$A$1:$AW$1,),))</f>
        <v>0.51548996599999997</v>
      </c>
      <c r="G76" s="25">
        <f>IF(VLOOKUP(B76,'Data yoy'!$A:$AW,MATCH($G$1,'Data yoy'!$A$1:$AW$1,),)=0,#N/A,VLOOKUP(B76,'Data yoy'!$A:$AW,MATCH($G$1,'Data yoy'!$A$1:$AW$1,),))</f>
        <v>2.190305049</v>
      </c>
      <c r="H76" s="25">
        <f>IF(VLOOKUP(B76,'Data yoy'!$A:$AW,MATCH($H$1,'Data yoy'!$A$1:$AW$1,),)=0,#N/A,VLOOKUP(B76,'Data yoy'!$A:$AW,MATCH($H$1,'Data yoy'!$A$1:$AW$1,),))</f>
        <v>0.739842157</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2.1245639390000002</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1.6787818969999999</v>
      </c>
      <c r="AF76" s="27">
        <f t="shared" si="12"/>
        <v>0.50279251800000013</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1.7395896639999999</v>
      </c>
      <c r="F77" s="25">
        <f>IF(VLOOKUP(B77,'Data yoy'!$A:$AW,MATCH($F$1,'Data yoy'!$A$1:$AW$1,),)=0,#N/A,VLOOKUP(B77,'Data yoy'!$A:$AW,MATCH($F$1,'Data yoy'!$A$1:$AW$1,),))</f>
        <v>0.61652857900000002</v>
      </c>
      <c r="G77" s="25">
        <f>IF(VLOOKUP(B77,'Data yoy'!$A:$AW,MATCH($G$1,'Data yoy'!$A$1:$AW$1,),)=0,#N/A,VLOOKUP(B77,'Data yoy'!$A:$AW,MATCH($G$1,'Data yoy'!$A$1:$AW$1,),))</f>
        <v>1.990878004</v>
      </c>
      <c r="H77" s="25">
        <f>IF(VLOOKUP(B77,'Data yoy'!$A:$AW,MATCH($H$1,'Data yoy'!$A$1:$AW$1,),)=0,#N/A,VLOOKUP(B77,'Data yoy'!$A:$AW,MATCH($H$1,'Data yoy'!$A$1:$AW$1,),))</f>
        <v>0.80957168099999999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1.031704553</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1.7395896639999999</v>
      </c>
      <c r="AF77" s="27">
        <f t="shared" si="12"/>
        <v>0.45288089200000003</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2.038364412</v>
      </c>
      <c r="F78" s="25">
        <f>IF(VLOOKUP(B78,'Data yoy'!$A:$AW,MATCH($F$1,'Data yoy'!$A$1:$AW$1,),)=0,#N/A,VLOOKUP(B78,'Data yoy'!$A:$AW,MATCH($F$1,'Data yoy'!$A$1:$AW$1,),))</f>
        <v>0.93834408199999997</v>
      </c>
      <c r="G78" s="25">
        <f>IF(VLOOKUP(B78,'Data yoy'!$A:$AW,MATCH($G$1,'Data yoy'!$A$1:$AW$1,),)=0,#N/A,VLOOKUP(B78,'Data yoy'!$A:$AW,MATCH($G$1,'Data yoy'!$A$1:$AW$1,),))</f>
        <v>1.9126448899999999</v>
      </c>
      <c r="H78" s="25">
        <f>IF(VLOOKUP(B78,'Data yoy'!$A:$AW,MATCH($H$1,'Data yoy'!$A$1:$AW$1,),)=0,#N/A,VLOOKUP(B78,'Data yoy'!$A:$AW,MATCH($H$1,'Data yoy'!$A$1:$AW$1,),))</f>
        <v>1.2064000939999999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1.1761271870000001</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2.038364412</v>
      </c>
      <c r="AF78" s="27">
        <f t="shared" ref="AF78:AF109" si="16">AD78-AE78</f>
        <v>6.4110912999999936E-2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2.1673621249999999</v>
      </c>
      <c r="F79" s="25">
        <f>IF(VLOOKUP(B79,'Data yoy'!$A:$AW,MATCH($F$1,'Data yoy'!$A$1:$AW$1,),)=0,#N/A,VLOOKUP(B79,'Data yoy'!$A:$AW,MATCH($F$1,'Data yoy'!$A$1:$AW$1,),))</f>
        <v>1.0123043279999999</v>
      </c>
      <c r="G79" s="25">
        <f>IF(VLOOKUP(B79,'Data yoy'!$A:$AW,MATCH($G$1,'Data yoy'!$A$1:$AW$1,),)=0,#N/A,VLOOKUP(B79,'Data yoy'!$A:$AW,MATCH($G$1,'Data yoy'!$A$1:$AW$1,),))</f>
        <v>2.2810004309999998</v>
      </c>
      <c r="H79" s="25">
        <f>IF(VLOOKUP(B79,'Data yoy'!$A:$AW,MATCH($H$1,'Data yoy'!$A$1:$AW$1,),)=0,#N/A,VLOOKUP(B79,'Data yoy'!$A:$AW,MATCH($H$1,'Data yoy'!$A$1:$AW$1,),))</f>
        <v>1.3138250659999999</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1.7317499279999999</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2.1673621249999999</v>
      </c>
      <c r="AF79" s="27">
        <f t="shared" si="16"/>
        <v>0.31536070400000016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2.7329835619999998</v>
      </c>
      <c r="F80" s="25">
        <f>IF(VLOOKUP(B80,'Data yoy'!$A:$AW,MATCH($F$1,'Data yoy'!$A$1:$AW$1,),)=0,#N/A,VLOOKUP(B80,'Data yoy'!$A:$AW,MATCH($F$1,'Data yoy'!$A$1:$AW$1,),))</f>
        <v>1.5089096550000001</v>
      </c>
      <c r="G80" s="25">
        <f>IF(VLOOKUP(B80,'Data yoy'!$A:$AW,MATCH($G$1,'Data yoy'!$A$1:$AW$1,),)=0,#N/A,VLOOKUP(B80,'Data yoy'!$A:$AW,MATCH($G$1,'Data yoy'!$A$1:$AW$1,),))</f>
        <v>2.6927048450000002</v>
      </c>
      <c r="H80" s="25">
        <f>IF(VLOOKUP(B80,'Data yoy'!$A:$AW,MATCH($H$1,'Data yoy'!$A$1:$AW$1,),)=0,#N/A,VLOOKUP(B80,'Data yoy'!$A:$AW,MATCH($H$1,'Data yoy'!$A$1:$AW$1,),))</f>
        <v>2.4406799490000002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2.9775780950000001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2.7329835619999998</v>
      </c>
      <c r="AF80" s="27">
        <f t="shared" si="16"/>
        <v>-0.34523685699999973</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3.0388700399999999</v>
      </c>
      <c r="F81" s="25">
        <f>IF(VLOOKUP(B81,'Data yoy'!$A:$AW,MATCH($F$1,'Data yoy'!$A$1:$AW$1,),)=0,#N/A,VLOOKUP(B81,'Data yoy'!$A:$AW,MATCH($F$1,'Data yoy'!$A$1:$AW$1,),))</f>
        <v>2.173377281</v>
      </c>
      <c r="G81" s="25">
        <f>IF(VLOOKUP(B81,'Data yoy'!$A:$AW,MATCH($G$1,'Data yoy'!$A$1:$AW$1,),)=0,#N/A,VLOOKUP(B81,'Data yoy'!$A:$AW,MATCH($G$1,'Data yoy'!$A$1:$AW$1,),))</f>
        <v>3.1848497670000002</v>
      </c>
      <c r="H81" s="25">
        <f>IF(VLOOKUP(B81,'Data yoy'!$A:$AW,MATCH($H$1,'Data yoy'!$A$1:$AW$1,),)=0,#N/A,VLOOKUP(B81,'Data yoy'!$A:$AW,MATCH($H$1,'Data yoy'!$A$1:$AW$1,),))</f>
        <v>3.009699801</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3.6073556899999999</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3.0388700399999999</v>
      </c>
      <c r="AF81" s="27">
        <f t="shared" si="16"/>
        <v>-0.57535088900000009</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3.092051401</v>
      </c>
      <c r="F82" s="25">
        <f>IF(VLOOKUP(B82,'Data yoy'!$A:$AW,MATCH($F$1,'Data yoy'!$A$1:$AW$1,),)=0,#N/A,VLOOKUP(B82,'Data yoy'!$A:$AW,MATCH($F$1,'Data yoy'!$A$1:$AW$1,),))</f>
        <v>2.1372811010000001</v>
      </c>
      <c r="G82" s="25">
        <f>IF(VLOOKUP(B82,'Data yoy'!$A:$AW,MATCH($G$1,'Data yoy'!$A$1:$AW$1,),)=0,#N/A,VLOOKUP(B82,'Data yoy'!$A:$AW,MATCH($G$1,'Data yoy'!$A$1:$AW$1,),))</f>
        <v>3.7485309409999998</v>
      </c>
      <c r="H82" s="25">
        <f>IF(VLOOKUP(B82,'Data yoy'!$A:$AW,MATCH($H$1,'Data yoy'!$A$1:$AW$1,),)=0,#N/A,VLOOKUP(B82,'Data yoy'!$A:$AW,MATCH($H$1,'Data yoy'!$A$1:$AW$1,),))</f>
        <v>3.026603975</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2.9086255539999999</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3.092051401</v>
      </c>
      <c r="AF82" s="27">
        <f t="shared" si="16"/>
        <v>-0.65156773100000009</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2.3892020949999999</v>
      </c>
      <c r="F83" s="25">
        <f>IF(VLOOKUP(B83,'Data yoy'!$A:$AW,MATCH($F$1,'Data yoy'!$A$1:$AW$1,),)=0,#N/A,VLOOKUP(B83,'Data yoy'!$A:$AW,MATCH($F$1,'Data yoy'!$A$1:$AW$1,),))</f>
        <v>1.4169078209999999</v>
      </c>
      <c r="G83" s="25">
        <f>IF(VLOOKUP(B83,'Data yoy'!$A:$AW,MATCH($G$1,'Data yoy'!$A$1:$AW$1,),)=0,#N/A,VLOOKUP(B83,'Data yoy'!$A:$AW,MATCH($G$1,'Data yoy'!$A$1:$AW$1,),))</f>
        <v>1.9193858720000001</v>
      </c>
      <c r="H83" s="25">
        <f>IF(VLOOKUP(B83,'Data yoy'!$A:$AW,MATCH($H$1,'Data yoy'!$A$1:$AW$1,),)=0,#N/A,VLOOKUP(B83,'Data yoy'!$A:$AW,MATCH($H$1,'Data yoy'!$A$1:$AW$1,),))</f>
        <v>2.3376708869999998</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2.832361261</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2.3892020949999999</v>
      </c>
      <c r="AF83" s="27">
        <f t="shared" si="16"/>
        <v>-0.54806594899999994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2.1358016599999998</v>
      </c>
      <c r="F84" s="25">
        <f>IF(VLOOKUP(B84,'Data yoy'!$A:$AW,MATCH($F$1,'Data yoy'!$A$1:$AW$1,),)=0,#N/A,VLOOKUP(B84,'Data yoy'!$A:$AW,MATCH($F$1,'Data yoy'!$A$1:$AW$1,),))</f>
        <v>1.3617493469999999</v>
      </c>
      <c r="G84" s="25">
        <f>IF(VLOOKUP(B84,'Data yoy'!$A:$AW,MATCH($G$1,'Data yoy'!$A$1:$AW$1,),)=0,#N/A,VLOOKUP(B84,'Data yoy'!$A:$AW,MATCH($G$1,'Data yoy'!$A$1:$AW$1,),))</f>
        <v>1.7790967040000001</v>
      </c>
      <c r="H84" s="25">
        <f>IF(VLOOKUP(B84,'Data yoy'!$A:$AW,MATCH($H$1,'Data yoy'!$A$1:$AW$1,),)=0,#N/A,VLOOKUP(B84,'Data yoy'!$A:$AW,MATCH($H$1,'Data yoy'!$A$1:$AW$1,),))</f>
        <v>1.977452802</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2.5494021619999998</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2.1358016599999998</v>
      </c>
      <c r="AF84" s="27">
        <f t="shared" si="16"/>
        <v>-0.37707841499999972</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1.3580734619999999</v>
      </c>
      <c r="F85" s="25">
        <f>IF(VLOOKUP(B85,'Data yoy'!$A:$AW,MATCH($F$1,'Data yoy'!$A$1:$AW$1,),)=0,#N/A,VLOOKUP(B85,'Data yoy'!$A:$AW,MATCH($F$1,'Data yoy'!$A$1:$AW$1,),))</f>
        <v>1.164516E-2</v>
      </c>
      <c r="G85" s="25">
        <f>IF(VLOOKUP(B85,'Data yoy'!$A:$AW,MATCH($G$1,'Data yoy'!$A$1:$AW$1,),)=0,#N/A,VLOOKUP(B85,'Data yoy'!$A:$AW,MATCH($G$1,'Data yoy'!$A$1:$AW$1,),))</f>
        <v>0.239433443</v>
      </c>
      <c r="H85" s="25">
        <f>IF(VLOOKUP(B85,'Data yoy'!$A:$AW,MATCH($H$1,'Data yoy'!$A$1:$AW$1,),)=0,#N/A,VLOOKUP(B85,'Data yoy'!$A:$AW,MATCH($H$1,'Data yoy'!$A$1:$AW$1,),))</f>
        <v>1.5050838630000001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0.808229266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1.3580734619999999</v>
      </c>
      <c r="AF85" s="27">
        <f t="shared" si="16"/>
        <v>0.44099798500000009</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1.194680347</v>
      </c>
      <c r="F86" s="25">
        <f>IF(VLOOKUP(B86,'Data yoy'!$A:$AW,MATCH($F$1,'Data yoy'!$A$1:$AW$1,),)=0,#N/A,VLOOKUP(B86,'Data yoy'!$A:$AW,MATCH($F$1,'Data yoy'!$A$1:$AW$1,),))</f>
        <v>-0.23869598</v>
      </c>
      <c r="G86" s="25">
        <f>IF(VLOOKUP(B86,'Data yoy'!$A:$AW,MATCH($G$1,'Data yoy'!$A$1:$AW$1,),)=0,#N/A,VLOOKUP(B86,'Data yoy'!$A:$AW,MATCH($G$1,'Data yoy'!$A$1:$AW$1,),))</f>
        <v>0.124539175</v>
      </c>
      <c r="H86" s="25">
        <f>IF(VLOOKUP(B86,'Data yoy'!$A:$AW,MATCH($H$1,'Data yoy'!$A$1:$AW$1,),)=0,#N/A,VLOOKUP(B86,'Data yoy'!$A:$AW,MATCH($H$1,'Data yoy'!$A$1:$AW$1,),))</f>
        <v>1.488897863</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1.9278689470000001</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1.194680347</v>
      </c>
      <c r="AF86" s="27">
        <f t="shared" si="16"/>
        <v>0.22992853099999988</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1.8342332880000001</v>
      </c>
      <c r="F87" s="25">
        <f>IF(VLOOKUP(B87,'Data yoy'!$A:$AW,MATCH($F$1,'Data yoy'!$A$1:$AW$1,),)=0,#N/A,VLOOKUP(B87,'Data yoy'!$A:$AW,MATCH($F$1,'Data yoy'!$A$1:$AW$1,),))</f>
        <v>-0.115361675</v>
      </c>
      <c r="G87" s="25">
        <f>IF(VLOOKUP(B87,'Data yoy'!$A:$AW,MATCH($G$1,'Data yoy'!$A$1:$AW$1,),)=0,#N/A,VLOOKUP(B87,'Data yoy'!$A:$AW,MATCH($G$1,'Data yoy'!$A$1:$AW$1,),))</f>
        <v>1.429591262</v>
      </c>
      <c r="H87" s="25">
        <f>IF(VLOOKUP(B87,'Data yoy'!$A:$AW,MATCH($H$1,'Data yoy'!$A$1:$AW$1,),)=0,#N/A,VLOOKUP(B87,'Data yoy'!$A:$AW,MATCH($H$1,'Data yoy'!$A$1:$AW$1,),))</f>
        <v>2.0915434720000001</v>
      </c>
      <c r="I87" s="25">
        <f>IF(VLOOKUP(B87,'Data yoy'!$A:$AW,MATCH($I$1,'Data yoy'!$A$1:$AW$1,),)=0,#N/A,VLOOKUP(B87,'Data yoy'!$A:$AW,MATCH($I$1,'Data yoy'!$A$1:$AW$1,),))</f>
        <v>1.91132407</v>
      </c>
      <c r="J87" s="25">
        <f>IF(VLOOKUP(B87,'Data yoy'!$A:$AW,MATCH($J$1,'Data yoy'!$A$1:$AW$1,),)=0,#N/A,VLOOKUP(B87,'Data yoy'!$A:$AW,MATCH($J$1,'Data yoy'!$A$1:$AW$1,),))</f>
        <v>0.65259366500000004</v>
      </c>
      <c r="K87" s="25">
        <f>IF(VLOOKUP(B87,'Data yoy'!$A:$AW,MATCH($K$1,'Data yoy'!$A$1:$AW$1,),)=0,#N/A,VLOOKUP(B87,'Data yoy'!$A:$AW,MATCH($K$1,'Data yoy'!$A$1:$AW$1,),))</f>
        <v>2.3955915870000002</v>
      </c>
      <c r="L87" s="25">
        <f>IF(VLOOKUP(B87,'Data yoy'!$A:$AW,MATCH($L$1,'Data yoy'!$A$1:$AW$1,),)=0,#N/A,VLOOKUP(B87,'Data yoy'!$A:$AW,MATCH($L$1,'Data yoy'!$A$1:$AW$1,),))</f>
        <v>2.1214275690000002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1.8342332880000001</v>
      </c>
      <c r="AF87" s="27">
        <f t="shared" si="16"/>
        <v>7.7090781999999969E-2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1.6055647179999999</v>
      </c>
      <c r="F88" s="25">
        <f>IF(VLOOKUP(B88,'Data yoy'!$A:$AW,MATCH($F$1,'Data yoy'!$A$1:$AW$1,),)=0,#N/A,VLOOKUP(B88,'Data yoy'!$A:$AW,MATCH($F$1,'Data yoy'!$A$1:$AW$1,),))</f>
        <v>-0.108432086</v>
      </c>
      <c r="G88" s="25">
        <f>IF(VLOOKUP(B88,'Data yoy'!$A:$AW,MATCH($G$1,'Data yoy'!$A$1:$AW$1,),)=0,#N/A,VLOOKUP(B88,'Data yoy'!$A:$AW,MATCH($G$1,'Data yoy'!$A$1:$AW$1,),))</f>
        <v>0.54668740400000004</v>
      </c>
      <c r="H88" s="25">
        <f>IF(VLOOKUP(B88,'Data yoy'!$A:$AW,MATCH($H$1,'Data yoy'!$A$1:$AW$1,),)=0,#N/A,VLOOKUP(B88,'Data yoy'!$A:$AW,MATCH($H$1,'Data yoy'!$A$1:$AW$1,),))</f>
        <v>2.3517997940000002</v>
      </c>
      <c r="I88" s="25">
        <f>IF(VLOOKUP(B88,'Data yoy'!$A:$AW,MATCH($I$1,'Data yoy'!$A$1:$AW$1,),)=0,#N/A,VLOOKUP(B88,'Data yoy'!$A:$AW,MATCH($I$1,'Data yoy'!$A$1:$AW$1,),))</f>
        <v>1.561445046</v>
      </c>
      <c r="J88" s="25">
        <f>IF(VLOOKUP(B88,'Data yoy'!$A:$AW,MATCH($J$1,'Data yoy'!$A$1:$AW$1,),)=0,#N/A,VLOOKUP(B88,'Data yoy'!$A:$AW,MATCH($J$1,'Data yoy'!$A$1:$AW$1,),))</f>
        <v>0.83738723500000001</v>
      </c>
      <c r="K88" s="25">
        <f>IF(VLOOKUP(B88,'Data yoy'!$A:$AW,MATCH($K$1,'Data yoy'!$A$1:$AW$1,),)=0,#N/A,VLOOKUP(B88,'Data yoy'!$A:$AW,MATCH($K$1,'Data yoy'!$A$1:$AW$1,),))</f>
        <v>2.1515993010000001</v>
      </c>
      <c r="L88" s="25">
        <f>IF(VLOOKUP(B88,'Data yoy'!$A:$AW,MATCH($L$1,'Data yoy'!$A$1:$AW$1,),)=0,#N/A,VLOOKUP(B88,'Data yoy'!$A:$AW,MATCH($L$1,'Data yoy'!$A$1:$AW$1,),))</f>
        <v>1.619585096</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1.6055647179999999</v>
      </c>
      <c r="AF88" s="27">
        <f t="shared" si="16"/>
        <v>-4.4119671999999888E-2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1.807202875</v>
      </c>
      <c r="F89" s="25">
        <f>IF(VLOOKUP(B89,'Data yoy'!$A:$AW,MATCH($F$1,'Data yoy'!$A$1:$AW$1,),)=0,#N/A,VLOOKUP(B89,'Data yoy'!$A:$AW,MATCH($F$1,'Data yoy'!$A$1:$AW$1,),))</f>
        <v>0.63580583300000004</v>
      </c>
      <c r="G89" s="25">
        <f>IF(VLOOKUP(B89,'Data yoy'!$A:$AW,MATCH($G$1,'Data yoy'!$A$1:$AW$1,),)=0,#N/A,VLOOKUP(B89,'Data yoy'!$A:$AW,MATCH($G$1,'Data yoy'!$A$1:$AW$1,),))</f>
        <v>1.4591850049999999</v>
      </c>
      <c r="H89" s="25">
        <f>IF(VLOOKUP(B89,'Data yoy'!$A:$AW,MATCH($H$1,'Data yoy'!$A$1:$AW$1,),)=0,#N/A,VLOOKUP(B89,'Data yoy'!$A:$AW,MATCH($H$1,'Data yoy'!$A$1:$AW$1,),))</f>
        <v>1.9819851230000001</v>
      </c>
      <c r="I89" s="25">
        <f>IF(VLOOKUP(B89,'Data yoy'!$A:$AW,MATCH($I$1,'Data yoy'!$A$1:$AW$1,),)=0,#N/A,VLOOKUP(B89,'Data yoy'!$A:$AW,MATCH($I$1,'Data yoy'!$A$1:$AW$1,),))</f>
        <v>1.617062864</v>
      </c>
      <c r="J89" s="25">
        <f>IF(VLOOKUP(B89,'Data yoy'!$A:$AW,MATCH($J$1,'Data yoy'!$A$1:$AW$1,),)=0,#N/A,VLOOKUP(B89,'Data yoy'!$A:$AW,MATCH($J$1,'Data yoy'!$A$1:$AW$1,),))</f>
        <v>0.78327791999999996</v>
      </c>
      <c r="K89" s="25">
        <f>IF(VLOOKUP(B89,'Data yoy'!$A:$AW,MATCH($K$1,'Data yoy'!$A$1:$AW$1,),)=0,#N/A,VLOOKUP(B89,'Data yoy'!$A:$AW,MATCH($K$1,'Data yoy'!$A$1:$AW$1,),))</f>
        <v>1.9225259880000001</v>
      </c>
      <c r="L89" s="25">
        <f>IF(VLOOKUP(B89,'Data yoy'!$A:$AW,MATCH($L$1,'Data yoy'!$A$1:$AW$1,),)=0,#N/A,VLOOKUP(B89,'Data yoy'!$A:$AW,MATCH($L$1,'Data yoy'!$A$1:$AW$1,),))</f>
        <v>2.6099187619999999</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1.807202875</v>
      </c>
      <c r="AF89" s="27">
        <f t="shared" si="16"/>
        <v>-0.190140011</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1.1687230280000001</v>
      </c>
      <c r="F90" s="25">
        <f>IF(VLOOKUP(B90,'Data yoy'!$A:$AW,MATCH($F$1,'Data yoy'!$A$1:$AW$1,),)=0,#N/A,VLOOKUP(B90,'Data yoy'!$A:$AW,MATCH($F$1,'Data yoy'!$A$1:$AW$1,),))</f>
        <v>-1.9945432780000001</v>
      </c>
      <c r="G90" s="25">
        <f>IF(VLOOKUP(B90,'Data yoy'!$A:$AW,MATCH($G$1,'Data yoy'!$A$1:$AW$1,),)=0,#N/A,VLOOKUP(B90,'Data yoy'!$A:$AW,MATCH($G$1,'Data yoy'!$A$1:$AW$1,),))</f>
        <v>0.922106651</v>
      </c>
      <c r="H90" s="25">
        <f>IF(VLOOKUP(B90,'Data yoy'!$A:$AW,MATCH($H$1,'Data yoy'!$A$1:$AW$1,),)=0,#N/A,VLOOKUP(B90,'Data yoy'!$A:$AW,MATCH($H$1,'Data yoy'!$A$1:$AW$1,),))</f>
        <v>1.1174623159999999</v>
      </c>
      <c r="I90" s="25">
        <f>IF(VLOOKUP(B90,'Data yoy'!$A:$AW,MATCH($I$1,'Data yoy'!$A$1:$AW$1,),)=0,#N/A,VLOOKUP(B90,'Data yoy'!$A:$AW,MATCH($I$1,'Data yoy'!$A$1:$AW$1,),))</f>
        <v>1.3309481089999999</v>
      </c>
      <c r="J90" s="25">
        <f>IF(VLOOKUP(B90,'Data yoy'!$A:$AW,MATCH($J$1,'Data yoy'!$A$1:$AW$1,),)=0,#N/A,VLOOKUP(B90,'Data yoy'!$A:$AW,MATCH($J$1,'Data yoy'!$A$1:$AW$1,),))</f>
        <v>-0.34683723700000002</v>
      </c>
      <c r="K90" s="25">
        <f>IF(VLOOKUP(B90,'Data yoy'!$A:$AW,MATCH($K$1,'Data yoy'!$A$1:$AW$1,),)=0,#N/A,VLOOKUP(B90,'Data yoy'!$A:$AW,MATCH($K$1,'Data yoy'!$A$1:$AW$1,),))</f>
        <v>1.474888274</v>
      </c>
      <c r="L90" s="25">
        <f>IF(VLOOKUP(B90,'Data yoy'!$A:$AW,MATCH($L$1,'Data yoy'!$A$1:$AW$1,),)=0,#N/A,VLOOKUP(B90,'Data yoy'!$A:$AW,MATCH($L$1,'Data yoy'!$A$1:$AW$1,),))</f>
        <v>1.7205315969999999</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1.1687230280000001</v>
      </c>
      <c r="AF90" s="27">
        <f t="shared" si="16"/>
        <v>0.16222508099999988</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-2.8468296259999999</v>
      </c>
      <c r="F91" s="25">
        <f>IF(VLOOKUP(B91,'Data yoy'!$A:$AW,MATCH($F$1,'Data yoy'!$A$1:$AW$1,),)=0,#N/A,VLOOKUP(B91,'Data yoy'!$A:$AW,MATCH($F$1,'Data yoy'!$A$1:$AW$1,),))</f>
        <v>-1.799441029</v>
      </c>
      <c r="G91" s="25">
        <f>IF(VLOOKUP(B91,'Data yoy'!$A:$AW,MATCH($G$1,'Data yoy'!$A$1:$AW$1,),)=0,#N/A,VLOOKUP(B91,'Data yoy'!$A:$AW,MATCH($G$1,'Data yoy'!$A$1:$AW$1,),))</f>
        <v>-1.220669794</v>
      </c>
      <c r="H91" s="25">
        <f>IF(VLOOKUP(B91,'Data yoy'!$A:$AW,MATCH($H$1,'Data yoy'!$A$1:$AW$1,),)=0,#N/A,VLOOKUP(B91,'Data yoy'!$A:$AW,MATCH($H$1,'Data yoy'!$A$1:$AW$1,),))</f>
        <v>-5.1566130489999997</v>
      </c>
      <c r="I91" s="25">
        <f>IF(VLOOKUP(B91,'Data yoy'!$A:$AW,MATCH($I$1,'Data yoy'!$A$1:$AW$1,),)=0,#N/A,VLOOKUP(B91,'Data yoy'!$A:$AW,MATCH($I$1,'Data yoy'!$A$1:$AW$1,),))</f>
        <v>-1.963017842</v>
      </c>
      <c r="J91" s="25">
        <f>IF(VLOOKUP(B91,'Data yoy'!$A:$AW,MATCH($J$1,'Data yoy'!$A$1:$AW$1,),)=0,#N/A,VLOOKUP(B91,'Data yoy'!$A:$AW,MATCH($J$1,'Data yoy'!$A$1:$AW$1,),))</f>
        <v>-6.359977464</v>
      </c>
      <c r="K91" s="25">
        <f>IF(VLOOKUP(B91,'Data yoy'!$A:$AW,MATCH($K$1,'Data yoy'!$A$1:$AW$1,),)=0,#N/A,VLOOKUP(B91,'Data yoy'!$A:$AW,MATCH($K$1,'Data yoy'!$A$1:$AW$1,),))</f>
        <v>-4.673702928</v>
      </c>
      <c r="L91" s="25">
        <f>IF(VLOOKUP(B91,'Data yoy'!$A:$AW,MATCH($L$1,'Data yoy'!$A$1:$AW$1,),)=0,#N/A,VLOOKUP(B91,'Data yoy'!$A:$AW,MATCH($L$1,'Data yoy'!$A$1:$AW$1,),))</f>
        <v>1.026302458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-2.8468296259999999</v>
      </c>
      <c r="AF91" s="27">
        <f t="shared" si="16"/>
        <v>0.88381178399999993</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-14.240517854</v>
      </c>
      <c r="F92" s="25">
        <f>IF(VLOOKUP(B92,'Data yoy'!$A:$AW,MATCH($F$1,'Data yoy'!$A$1:$AW$1,),)=0,#N/A,VLOOKUP(B92,'Data yoy'!$A:$AW,MATCH($F$1,'Data yoy'!$A$1:$AW$1,),))</f>
        <v>-9.8824007989999991</v>
      </c>
      <c r="G92" s="25">
        <f>IF(VLOOKUP(B92,'Data yoy'!$A:$AW,MATCH($G$1,'Data yoy'!$A$1:$AW$1,),)=0,#N/A,VLOOKUP(B92,'Data yoy'!$A:$AW,MATCH($G$1,'Data yoy'!$A$1:$AW$1,),))</f>
        <v>-10.435831326000001</v>
      </c>
      <c r="H92" s="25">
        <f>IF(VLOOKUP(B92,'Data yoy'!$A:$AW,MATCH($H$1,'Data yoy'!$A$1:$AW$1,),)=0,#N/A,VLOOKUP(B92,'Data yoy'!$A:$AW,MATCH($H$1,'Data yoy'!$A$1:$AW$1,),))</f>
        <v>-18.564945705</v>
      </c>
      <c r="I92" s="25">
        <f>IF(VLOOKUP(B92,'Data yoy'!$A:$AW,MATCH($I$1,'Data yoy'!$A$1:$AW$1,),)=0,#N/A,VLOOKUP(B92,'Data yoy'!$A:$AW,MATCH($I$1,'Data yoy'!$A$1:$AW$1,),))</f>
        <v>-22.627407624</v>
      </c>
      <c r="J92" s="25">
        <f>IF(VLOOKUP(B92,'Data yoy'!$A:$AW,MATCH($J$1,'Data yoy'!$A$1:$AW$1,),)=0,#N/A,VLOOKUP(B92,'Data yoy'!$A:$AW,MATCH($J$1,'Data yoy'!$A$1:$AW$1,),))</f>
        <v>-17.890432114999999</v>
      </c>
      <c r="K92" s="25">
        <f>IF(VLOOKUP(B92,'Data yoy'!$A:$AW,MATCH($K$1,'Data yoy'!$A$1:$AW$1,),)=0,#N/A,VLOOKUP(B92,'Data yoy'!$A:$AW,MATCH($K$1,'Data yoy'!$A$1:$AW$1,),))</f>
        <v>-21.937066645000002</v>
      </c>
      <c r="L92" s="25">
        <f>IF(VLOOKUP(B92,'Data yoy'!$A:$AW,MATCH($L$1,'Data yoy'!$A$1:$AW$1,),)=0,#N/A,VLOOKUP(B92,'Data yoy'!$A:$AW,MATCH($L$1,'Data yoy'!$A$1:$AW$1,),))</f>
        <v>-7.7603471209999997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-14.240517854</v>
      </c>
      <c r="AF92" s="27">
        <f t="shared" si="16"/>
        <v>-8.3868897699999998</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-3.8474635080000001</v>
      </c>
      <c r="F93" s="25">
        <f>IF(VLOOKUP(B93,'Data yoy'!$A:$AW,MATCH($F$1,'Data yoy'!$A$1:$AW$1,),)=0,#N/A,VLOOKUP(B93,'Data yoy'!$A:$AW,MATCH($F$1,'Data yoy'!$A$1:$AW$1,),))</f>
        <v>-5.0316907960000004</v>
      </c>
      <c r="G93" s="25">
        <f>IF(VLOOKUP(B93,'Data yoy'!$A:$AW,MATCH($G$1,'Data yoy'!$A$1:$AW$1,),)=0,#N/A,VLOOKUP(B93,'Data yoy'!$A:$AW,MATCH($G$1,'Data yoy'!$A$1:$AW$1,),))</f>
        <v>-2.4800895889999999</v>
      </c>
      <c r="H93" s="25">
        <f>IF(VLOOKUP(B93,'Data yoy'!$A:$AW,MATCH($H$1,'Data yoy'!$A$1:$AW$1,),)=0,#N/A,VLOOKUP(B93,'Data yoy'!$A:$AW,MATCH($H$1,'Data yoy'!$A$1:$AW$1,),))</f>
        <v>-3.6225073779999999</v>
      </c>
      <c r="I93" s="25">
        <f>IF(VLOOKUP(B93,'Data yoy'!$A:$AW,MATCH($I$1,'Data yoy'!$A$1:$AW$1,),)=0,#N/A,VLOOKUP(B93,'Data yoy'!$A:$AW,MATCH($I$1,'Data yoy'!$A$1:$AW$1,),))</f>
        <v>-10.324677638000001</v>
      </c>
      <c r="J93" s="25">
        <f>IF(VLOOKUP(B93,'Data yoy'!$A:$AW,MATCH($J$1,'Data yoy'!$A$1:$AW$1,),)=0,#N/A,VLOOKUP(B93,'Data yoy'!$A:$AW,MATCH($J$1,'Data yoy'!$A$1:$AW$1,),))</f>
        <v>-6.085895786</v>
      </c>
      <c r="K93" s="25">
        <f>IF(VLOOKUP(B93,'Data yoy'!$A:$AW,MATCH($K$1,'Data yoy'!$A$1:$AW$1,),)=0,#N/A,VLOOKUP(B93,'Data yoy'!$A:$AW,MATCH($K$1,'Data yoy'!$A$1:$AW$1,),))</f>
        <v>-9.2168180829999997</v>
      </c>
      <c r="L93" s="25">
        <f>IF(VLOOKUP(B93,'Data yoy'!$A:$AW,MATCH($L$1,'Data yoy'!$A$1:$AW$1,),)=0,#N/A,VLOOKUP(B93,'Data yoy'!$A:$AW,MATCH($L$1,'Data yoy'!$A$1:$AW$1,),))</f>
        <v>-1.115605153</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-3.8474635080000001</v>
      </c>
      <c r="AF93" s="27">
        <f t="shared" si="16"/>
        <v>-6.4772141300000001</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-4.1145846659999998</v>
      </c>
      <c r="F94" s="25">
        <f>IF(VLOOKUP(B94,'Data yoy'!$A:$AW,MATCH($F$1,'Data yoy'!$A$1:$AW$1,),)=0,#N/A,VLOOKUP(B94,'Data yoy'!$A:$AW,MATCH($F$1,'Data yoy'!$A$1:$AW$1,),))</f>
        <v>-0.52842753499999995</v>
      </c>
      <c r="G94" s="25">
        <f>IF(VLOOKUP(B94,'Data yoy'!$A:$AW,MATCH($G$1,'Data yoy'!$A$1:$AW$1,),)=0,#N/A,VLOOKUP(B94,'Data yoy'!$A:$AW,MATCH($G$1,'Data yoy'!$A$1:$AW$1,),))</f>
        <v>-2.1295454679999999</v>
      </c>
      <c r="H94" s="25">
        <f>IF(VLOOKUP(B94,'Data yoy'!$A:$AW,MATCH($H$1,'Data yoy'!$A$1:$AW$1,),)=0,#N/A,VLOOKUP(B94,'Data yoy'!$A:$AW,MATCH($H$1,'Data yoy'!$A$1:$AW$1,),))</f>
        <v>-4.2471335640000003</v>
      </c>
      <c r="I94" s="25">
        <f>IF(VLOOKUP(B94,'Data yoy'!$A:$AW,MATCH($I$1,'Data yoy'!$A$1:$AW$1,),)=0,#N/A,VLOOKUP(B94,'Data yoy'!$A:$AW,MATCH($I$1,'Data yoy'!$A$1:$AW$1,),))</f>
        <v>-9.2133274190000005</v>
      </c>
      <c r="J94" s="25">
        <f>IF(VLOOKUP(B94,'Data yoy'!$A:$AW,MATCH($J$1,'Data yoy'!$A$1:$AW$1,),)=0,#N/A,VLOOKUP(B94,'Data yoy'!$A:$AW,MATCH($J$1,'Data yoy'!$A$1:$AW$1,),))</f>
        <v>-6.0423454779999997</v>
      </c>
      <c r="K94" s="25">
        <f>IF(VLOOKUP(B94,'Data yoy'!$A:$AW,MATCH($K$1,'Data yoy'!$A$1:$AW$1,),)=0,#N/A,VLOOKUP(B94,'Data yoy'!$A:$AW,MATCH($K$1,'Data yoy'!$A$1:$AW$1,),))</f>
        <v>-9.4669676190000001</v>
      </c>
      <c r="L94" s="25">
        <f>IF(VLOOKUP(B94,'Data yoy'!$A:$AW,MATCH($L$1,'Data yoy'!$A$1:$AW$1,),)=0,#N/A,VLOOKUP(B94,'Data yoy'!$A:$AW,MATCH($L$1,'Data yoy'!$A$1:$AW$1,),))</f>
        <v>-1.458154392</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-4.1145846659999998</v>
      </c>
      <c r="AF94" s="27">
        <f t="shared" si="16"/>
        <v>-5.0987427530000007</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18.7</v>
      </c>
      <c r="E95" s="25">
        <f>IF(VLOOKUP(B95,'Data yoy'!$A:$AW,MATCH($E$1,'Data yoy'!$A$1:$AW$1,),)=0,#N/A,VLOOKUP(B95,'Data yoy'!$A:$AW,MATCH($E$1,'Data yoy'!$A$1:$AW$1,),))</f>
        <v>-0.83557015400000001</v>
      </c>
      <c r="F95" s="25">
        <f>IF(VLOOKUP(B95,'Data yoy'!$A:$AW,MATCH($F$1,'Data yoy'!$A$1:$AW$1,),)=0,#N/A,VLOOKUP(B95,'Data yoy'!$A:$AW,MATCH($F$1,'Data yoy'!$A$1:$AW$1,),))</f>
        <v>-1.0937626549999999</v>
      </c>
      <c r="G95" s="25">
        <f>IF(VLOOKUP(B95,'Data yoy'!$A:$AW,MATCH($G$1,'Data yoy'!$A$1:$AW$1,),)=0,#N/A,VLOOKUP(B95,'Data yoy'!$A:$AW,MATCH($G$1,'Data yoy'!$A$1:$AW$1,),))</f>
        <v>-2.1745039080000002</v>
      </c>
      <c r="H95" s="25">
        <f>IF(VLOOKUP(B95,'Data yoy'!$A:$AW,MATCH($H$1,'Data yoy'!$A$1:$AW$1,),)=0,#N/A,VLOOKUP(B95,'Data yoy'!$A:$AW,MATCH($H$1,'Data yoy'!$A$1:$AW$1,),))</f>
        <v>1.483556077</v>
      </c>
      <c r="I95" s="25">
        <f>IF(VLOOKUP(B95,'Data yoy'!$A:$AW,MATCH($I$1,'Data yoy'!$A$1:$AW$1,),)=0,#N/A,VLOOKUP(B95,'Data yoy'!$A:$AW,MATCH($I$1,'Data yoy'!$A$1:$AW$1,),))</f>
        <v>-7.7326331389999998</v>
      </c>
      <c r="J95" s="25">
        <f>IF(VLOOKUP(B95,'Data yoy'!$A:$AW,MATCH($J$1,'Data yoy'!$A$1:$AW$1,),)=0,#N/A,VLOOKUP(B95,'Data yoy'!$A:$AW,MATCH($J$1,'Data yoy'!$A$1:$AW$1,),))</f>
        <v>6.9407913000000002E-2</v>
      </c>
      <c r="K95" s="25">
        <f>IF(VLOOKUP(B95,'Data yoy'!$A:$AW,MATCH($K$1,'Data yoy'!$A$1:$AW$1,),)=0,#N/A,VLOOKUP(B95,'Data yoy'!$A:$AW,MATCH($K$1,'Data yoy'!$A$1:$AW$1,),))</f>
        <v>-4.4298028690000004</v>
      </c>
      <c r="L95" s="25">
        <f>IF(VLOOKUP(B95,'Data yoy'!$A:$AW,MATCH($L$1,'Data yoy'!$A$1:$AW$1,),)=0,#N/A,VLOOKUP(B95,'Data yoy'!$A:$AW,MATCH($L$1,'Data yoy'!$A$1:$AW$1,),))</f>
        <v>5.0796075000000003E-2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-1.8871173889999999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-0.83557015400000001</v>
      </c>
      <c r="AF95" s="27">
        <f t="shared" si="16"/>
        <v>-6.8970629849999998</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8.3000000000000007</v>
      </c>
      <c r="E96" s="25">
        <f>IF(VLOOKUP(B96,'Data yoy'!$A:$AW,MATCH($E$1,'Data yoy'!$A$1:$AW$1,),)=0,#N/A,VLOOKUP(B96,'Data yoy'!$A:$AW,MATCH($E$1,'Data yoy'!$A$1:$AW$1,),))</f>
        <v>14.211623479</v>
      </c>
      <c r="F96" s="25">
        <f>IF(VLOOKUP(B96,'Data yoy'!$A:$AW,MATCH($F$1,'Data yoy'!$A$1:$AW$1,),)=0,#N/A,VLOOKUP(B96,'Data yoy'!$A:$AW,MATCH($F$1,'Data yoy'!$A$1:$AW$1,),))</f>
        <v>7.8196382680000003</v>
      </c>
      <c r="G96" s="25">
        <f>IF(VLOOKUP(B96,'Data yoy'!$A:$AW,MATCH($G$1,'Data yoy'!$A$1:$AW$1,),)=0,#N/A,VLOOKUP(B96,'Data yoy'!$A:$AW,MATCH($G$1,'Data yoy'!$A$1:$AW$1,),))</f>
        <v>10.156264054999999</v>
      </c>
      <c r="H96" s="25">
        <f>IF(VLOOKUP(B96,'Data yoy'!$A:$AW,MATCH($H$1,'Data yoy'!$A$1:$AW$1,),)=0,#N/A,VLOOKUP(B96,'Data yoy'!$A:$AW,MATCH($H$1,'Data yoy'!$A$1:$AW$1,),))</f>
        <v>18.648106347999999</v>
      </c>
      <c r="I96" s="25">
        <f>IF(VLOOKUP(B96,'Data yoy'!$A:$AW,MATCH($I$1,'Data yoy'!$A$1:$AW$1,),)=0,#N/A,VLOOKUP(B96,'Data yoy'!$A:$AW,MATCH($I$1,'Data yoy'!$A$1:$AW$1,),))</f>
        <v>24.405387753999999</v>
      </c>
      <c r="J96" s="25">
        <f>IF(VLOOKUP(B96,'Data yoy'!$A:$AW,MATCH($J$1,'Data yoy'!$A$1:$AW$1,),)=0,#N/A,VLOOKUP(B96,'Data yoy'!$A:$AW,MATCH($J$1,'Data yoy'!$A$1:$AW$1,),))</f>
        <v>16.674243594</v>
      </c>
      <c r="K96" s="25">
        <f>IF(VLOOKUP(B96,'Data yoy'!$A:$AW,MATCH($K$1,'Data yoy'!$A$1:$AW$1,),)=0,#N/A,VLOOKUP(B96,'Data yoy'!$A:$AW,MATCH($K$1,'Data yoy'!$A$1:$AW$1,),))</f>
        <v>17.875245591999999</v>
      </c>
      <c r="L96" s="25">
        <f>IF(VLOOKUP(B96,'Data yoy'!$A:$AW,MATCH($L$1,'Data yoy'!$A$1:$AW$1,),)=0,#N/A,VLOOKUP(B96,'Data yoy'!$A:$AW,MATCH($L$1,'Data yoy'!$A$1:$AW$1,),))</f>
        <v>9.6444636730000006</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9.1334096979999995</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14.211623479</v>
      </c>
      <c r="AF96" s="27">
        <f t="shared" si="16"/>
        <v>10.193764274999999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5.2</v>
      </c>
      <c r="E97" s="25">
        <f>IF(VLOOKUP(B97,'Data yoy'!$A:$AW,MATCH($E$1,'Data yoy'!$A$1:$AW$1,),)=0,#N/A,VLOOKUP(B97,'Data yoy'!$A:$AW,MATCH($E$1,'Data yoy'!$A$1:$AW$1,),))</f>
        <v>3.942862163</v>
      </c>
      <c r="F97" s="25">
        <f>IF(VLOOKUP(B97,'Data yoy'!$A:$AW,MATCH($F$1,'Data yoy'!$A$1:$AW$1,),)=0,#N/A,VLOOKUP(B97,'Data yoy'!$A:$AW,MATCH($F$1,'Data yoy'!$A$1:$AW$1,),))</f>
        <v>1.7069413250000001</v>
      </c>
      <c r="G97" s="25">
        <f>IF(VLOOKUP(B97,'Data yoy'!$A:$AW,MATCH($G$1,'Data yoy'!$A$1:$AW$1,),)=0,#N/A,VLOOKUP(B97,'Data yoy'!$A:$AW,MATCH($G$1,'Data yoy'!$A$1:$AW$1,),))</f>
        <v>1.849972384</v>
      </c>
      <c r="H97" s="25">
        <f>IF(VLOOKUP(B97,'Data yoy'!$A:$AW,MATCH($H$1,'Data yoy'!$A$1:$AW$1,),)=0,#N/A,VLOOKUP(B97,'Data yoy'!$A:$AW,MATCH($H$1,'Data yoy'!$A$1:$AW$1,),))</f>
        <v>3.5504230560000001</v>
      </c>
      <c r="I97" s="25">
        <f>IF(VLOOKUP(B97,'Data yoy'!$A:$AW,MATCH($I$1,'Data yoy'!$A$1:$AW$1,),)=0,#N/A,VLOOKUP(B97,'Data yoy'!$A:$AW,MATCH($I$1,'Data yoy'!$A$1:$AW$1,),))</f>
        <v>8.5356964820000005</v>
      </c>
      <c r="J97" s="25">
        <f>IF(VLOOKUP(B97,'Data yoy'!$A:$AW,MATCH($J$1,'Data yoy'!$A$1:$AW$1,),)=0,#N/A,VLOOKUP(B97,'Data yoy'!$A:$AW,MATCH($J$1,'Data yoy'!$A$1:$AW$1,),))</f>
        <v>4.7791878069999996</v>
      </c>
      <c r="K97" s="25">
        <f>IF(VLOOKUP(B97,'Data yoy'!$A:$AW,MATCH($K$1,'Data yoy'!$A$1:$AW$1,),)=0,#N/A,VLOOKUP(B97,'Data yoy'!$A:$AW,MATCH($K$1,'Data yoy'!$A$1:$AW$1,),))</f>
        <v>4.2019749280000003</v>
      </c>
      <c r="L97" s="25">
        <f>IF(VLOOKUP(B97,'Data yoy'!$A:$AW,MATCH($L$1,'Data yoy'!$A$1:$AW$1,),)=0,#N/A,VLOOKUP(B97,'Data yoy'!$A:$AW,MATCH($L$1,'Data yoy'!$A$1:$AW$1,),))</f>
        <v>3.9233799920000001</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3.7708347689999999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3.942862163</v>
      </c>
      <c r="AF97" s="27">
        <f t="shared" si="16"/>
        <v>4.5928343190000005</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4.3</v>
      </c>
      <c r="E98" s="25">
        <f>IF(VLOOKUP(B98,'Data yoy'!$A:$AW,MATCH($E$1,'Data yoy'!$A$1:$AW$1,),)=0,#N/A,VLOOKUP(B98,'Data yoy'!$A:$AW,MATCH($E$1,'Data yoy'!$A$1:$AW$1,),))</f>
        <v>4.7747266189999999</v>
      </c>
      <c r="F98" s="25">
        <f>IF(VLOOKUP(B98,'Data yoy'!$A:$AW,MATCH($F$1,'Data yoy'!$A$1:$AW$1,),)=0,#N/A,VLOOKUP(B98,'Data yoy'!$A:$AW,MATCH($F$1,'Data yoy'!$A$1:$AW$1,),))</f>
        <v>0.91566553699999997</v>
      </c>
      <c r="G98" s="25">
        <f>IF(VLOOKUP(B98,'Data yoy'!$A:$AW,MATCH($G$1,'Data yoy'!$A$1:$AW$1,),)=0,#N/A,VLOOKUP(B98,'Data yoy'!$A:$AW,MATCH($G$1,'Data yoy'!$A$1:$AW$1,),))</f>
        <v>1.1924143519999999</v>
      </c>
      <c r="H98" s="25">
        <f>IF(VLOOKUP(B98,'Data yoy'!$A:$AW,MATCH($H$1,'Data yoy'!$A$1:$AW$1,),)=0,#N/A,VLOOKUP(B98,'Data yoy'!$A:$AW,MATCH($H$1,'Data yoy'!$A$1:$AW$1,),))</f>
        <v>5.0987166840000002</v>
      </c>
      <c r="I98" s="25">
        <f>IF(VLOOKUP(B98,'Data yoy'!$A:$AW,MATCH($I$1,'Data yoy'!$A$1:$AW$1,),)=0,#N/A,VLOOKUP(B98,'Data yoy'!$A:$AW,MATCH($I$1,'Data yoy'!$A$1:$AW$1,),))</f>
        <v>8.8693362320000002</v>
      </c>
      <c r="J98" s="25">
        <f>IF(VLOOKUP(B98,'Data yoy'!$A:$AW,MATCH($J$1,'Data yoy'!$A$1:$AW$1,),)=0,#N/A,VLOOKUP(B98,'Data yoy'!$A:$AW,MATCH($J$1,'Data yoy'!$A$1:$AW$1,),))</f>
        <v>6.5638985090000004</v>
      </c>
      <c r="K98" s="25">
        <f>IF(VLOOKUP(B98,'Data yoy'!$A:$AW,MATCH($K$1,'Data yoy'!$A$1:$AW$1,),)=0,#N/A,VLOOKUP(B98,'Data yoy'!$A:$AW,MATCH($K$1,'Data yoy'!$A$1:$AW$1,),))</f>
        <v>6.6253351580000004</v>
      </c>
      <c r="L98" s="25">
        <f>IF(VLOOKUP(B98,'Data yoy'!$A:$AW,MATCH($L$1,'Data yoy'!$A$1:$AW$1,),)=0,#N/A,VLOOKUP(B98,'Data yoy'!$A:$AW,MATCH($L$1,'Data yoy'!$A$1:$AW$1,),))</f>
        <v>6.1346639180000002</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3.4726665940000001</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4.7747266189999999</v>
      </c>
      <c r="AF98" s="27">
        <f t="shared" si="16"/>
        <v>4.0946096130000003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5.5050452720000003</v>
      </c>
      <c r="F99" s="25">
        <f>IF(VLOOKUP(B99,'Data yoy'!$A:$AW,MATCH($F$1,'Data yoy'!$A$1:$AW$1,),)=0,#N/A,VLOOKUP(B99,'Data yoy'!$A:$AW,MATCH($F$1,'Data yoy'!$A$1:$AW$1,),))</f>
        <v>0.63336725800000004</v>
      </c>
      <c r="G99" s="25">
        <f>IF(VLOOKUP(B99,'Data yoy'!$A:$AW,MATCH($G$1,'Data yoy'!$A$1:$AW$1,),)=0,#N/A,VLOOKUP(B99,'Data yoy'!$A:$AW,MATCH($G$1,'Data yoy'!$A$1:$AW$1,),))</f>
        <v>3.5222212329999998</v>
      </c>
      <c r="H99" s="25">
        <f>IF(VLOOKUP(B99,'Data yoy'!$A:$AW,MATCH($H$1,'Data yoy'!$A$1:$AW$1,),)=0,#N/A,VLOOKUP(B99,'Data yoy'!$A:$AW,MATCH($H$1,'Data yoy'!$A$1:$AW$1,),))</f>
        <v>4.7679117959999999</v>
      </c>
      <c r="I99" s="25">
        <f>IF(VLOOKUP(B99,'Data yoy'!$A:$AW,MATCH($I$1,'Data yoy'!$A$1:$AW$1,),)=0,#N/A,VLOOKUP(B99,'Data yoy'!$A:$AW,MATCH($I$1,'Data yoy'!$A$1:$AW$1,),))</f>
        <v>10.531576286</v>
      </c>
      <c r="J99" s="25">
        <f>IF(VLOOKUP(B99,'Data yoy'!$A:$AW,MATCH($J$1,'Data yoy'!$A$1:$AW$1,),)=0,#N/A,VLOOKUP(B99,'Data yoy'!$A:$AW,MATCH($J$1,'Data yoy'!$A$1:$AW$1,),))</f>
        <v>6.4182110269999999</v>
      </c>
      <c r="K99" s="25">
        <f>IF(VLOOKUP(B99,'Data yoy'!$A:$AW,MATCH($K$1,'Data yoy'!$A$1:$AW$1,),)=0,#N/A,VLOOKUP(B99,'Data yoy'!$A:$AW,MATCH($K$1,'Data yoy'!$A$1:$AW$1,),))</f>
        <v>6.8571386319999998</v>
      </c>
      <c r="L99" s="25">
        <f>IF(VLOOKUP(B99,'Data yoy'!$A:$AW,MATCH($L$1,'Data yoy'!$A$1:$AW$1,),)=0,#N/A,VLOOKUP(B99,'Data yoy'!$A:$AW,MATCH($L$1,'Data yoy'!$A$1:$AW$1,),))</f>
        <v>4.1555677739999997</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4.6270255630000001</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10.531576286</v>
      </c>
      <c r="AE99" s="27">
        <f t="shared" si="15"/>
        <v>5.5050452720000003</v>
      </c>
      <c r="AF99" s="27">
        <f t="shared" si="16"/>
        <v>5.0265310139999997</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4.3303247239999996</v>
      </c>
      <c r="F100" s="25">
        <f>IF(VLOOKUP(B100,'Data yoy'!$A:$AW,MATCH($F$1,'Data yoy'!$A$1:$AW$1,),)=0,#N/A,VLOOKUP(B100,'Data yoy'!$A:$AW,MATCH($F$1,'Data yoy'!$A$1:$AW$1,),))</f>
        <v>1.4351155209999999</v>
      </c>
      <c r="G100" s="25">
        <f>IF(VLOOKUP(B100,'Data yoy'!$A:$AW,MATCH($G$1,'Data yoy'!$A$1:$AW$1,),)=0,#N/A,VLOOKUP(B100,'Data yoy'!$A:$AW,MATCH($G$1,'Data yoy'!$A$1:$AW$1,),))</f>
        <v>1.6674937999999999</v>
      </c>
      <c r="H100" s="25">
        <f>IF(VLOOKUP(B100,'Data yoy'!$A:$AW,MATCH($H$1,'Data yoy'!$A$1:$AW$1,),)=0,#N/A,VLOOKUP(B100,'Data yoy'!$A:$AW,MATCH($H$1,'Data yoy'!$A$1:$AW$1,),))</f>
        <v>4.1626903730000002</v>
      </c>
      <c r="I100" s="25">
        <f>IF(VLOOKUP(B100,'Data yoy'!$A:$AW,MATCH($I$1,'Data yoy'!$A$1:$AW$1,),)=0,#N/A,VLOOKUP(B100,'Data yoy'!$A:$AW,MATCH($I$1,'Data yoy'!$A$1:$AW$1,),))</f>
        <v>3.8652208309999998</v>
      </c>
      <c r="J100" s="25">
        <f>IF(VLOOKUP(B100,'Data yoy'!$A:$AW,MATCH($J$1,'Data yoy'!$A$1:$AW$1,),)=0,#N/A,VLOOKUP(B100,'Data yoy'!$A:$AW,MATCH($J$1,'Data yoy'!$A$1:$AW$1,),))</f>
        <v>5.0463272989999997</v>
      </c>
      <c r="K100" s="25">
        <f>IF(VLOOKUP(B100,'Data yoy'!$A:$AW,MATCH($K$1,'Data yoy'!$A$1:$AW$1,),)=0,#N/A,VLOOKUP(B100,'Data yoy'!$A:$AW,MATCH($K$1,'Data yoy'!$A$1:$AW$1,),))</f>
        <v>7.7963666070000004</v>
      </c>
      <c r="L100" s="25">
        <f>IF(VLOOKUP(B100,'Data yoy'!$A:$AW,MATCH($L$1,'Data yoy'!$A$1:$AW$1,),)=0,#N/A,VLOOKUP(B100,'Data yoy'!$A:$AW,MATCH($L$1,'Data yoy'!$A$1:$AW$1,),))</f>
        <v>3.9218987520000002</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3.5050686820000001</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3.8652208309999998</v>
      </c>
      <c r="AE100" s="27">
        <f t="shared" si="15"/>
        <v>4.3303247239999996</v>
      </c>
      <c r="AF100" s="27">
        <f t="shared" si="16"/>
        <v>-0.46510389299999977</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2.3438525069999998</v>
      </c>
      <c r="F101" s="25">
        <f>IF(VLOOKUP(B101,'Data yoy'!$A:$AW,MATCH($F$1,'Data yoy'!$A$1:$AW$1,),)=0,#N/A,VLOOKUP(B101,'Data yoy'!$A:$AW,MATCH($F$1,'Data yoy'!$A$1:$AW$1,),))</f>
        <v>1.5237209810000001</v>
      </c>
      <c r="G101" s="25">
        <f>IF(VLOOKUP(B101,'Data yoy'!$A:$AW,MATCH($G$1,'Data yoy'!$A$1:$AW$1,),)=0,#N/A,VLOOKUP(B101,'Data yoy'!$A:$AW,MATCH($G$1,'Data yoy'!$A$1:$AW$1,),))</f>
        <v>1.354131644</v>
      </c>
      <c r="H101" s="25">
        <f>IF(VLOOKUP(B101,'Data yoy'!$A:$AW,MATCH($H$1,'Data yoy'!$A$1:$AW$1,),)=0,#N/A,VLOOKUP(B101,'Data yoy'!$A:$AW,MATCH($H$1,'Data yoy'!$A$1:$AW$1,),))</f>
        <v>0.99110652200000005</v>
      </c>
      <c r="I101" s="25">
        <f>IF(VLOOKUP(B101,'Data yoy'!$A:$AW,MATCH($I$1,'Data yoy'!$A$1:$AW$1,),)=0,#N/A,VLOOKUP(B101,'Data yoy'!$A:$AW,MATCH($I$1,'Data yoy'!$A$1:$AW$1,),))</f>
        <v>1.927950711</v>
      </c>
      <c r="J101" s="25">
        <f>IF(VLOOKUP(B101,'Data yoy'!$A:$AW,MATCH($J$1,'Data yoy'!$A$1:$AW$1,),)=0,#N/A,VLOOKUP(B101,'Data yoy'!$A:$AW,MATCH($J$1,'Data yoy'!$A$1:$AW$1,),))</f>
        <v>2.7131879259999998</v>
      </c>
      <c r="K101" s="25">
        <f>IF(VLOOKUP(B101,'Data yoy'!$A:$AW,MATCH($K$1,'Data yoy'!$A$1:$AW$1,),)=0,#N/A,VLOOKUP(B101,'Data yoy'!$A:$AW,MATCH($K$1,'Data yoy'!$A$1:$AW$1,),))</f>
        <v>4.7711186019999996</v>
      </c>
      <c r="L101" s="25">
        <f>IF(VLOOKUP(B101,'Data yoy'!$A:$AW,MATCH($L$1,'Data yoy'!$A$1:$AW$1,),)=0,#N/A,VLOOKUP(B101,'Data yoy'!$A:$AW,MATCH($L$1,'Data yoy'!$A$1:$AW$1,),))</f>
        <v>2.2969204300000001</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1.524456574</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1.927950711</v>
      </c>
      <c r="AE101" s="27">
        <f t="shared" si="15"/>
        <v>2.3438525069999998</v>
      </c>
      <c r="AF101" s="27">
        <f t="shared" si="16"/>
        <v>-0.41590179599999977</v>
      </c>
    </row>
    <row r="102" spans="2:32" s="72" customFormat="1" x14ac:dyDescent="0.35">
      <c r="B102" s="24" t="s">
        <v>368</v>
      </c>
      <c r="C102" s="25">
        <f>IF(VLOOKUP(B102,'Data yoy'!$A:$AW,MATCH($C$1,'Data yoy'!$A$1:$AW$1,),)=0,#N/A,VLOOKUP(B102,'Data yoy'!$A:$AW,MATCH($C$1,'Data yoy'!$A$1:$AW$1,),))</f>
        <v>0.95925354299999999</v>
      </c>
      <c r="D102" s="25">
        <f>IF(VLOOKUP(B102,'Data yoy'!$A:$AW,MATCH($D$1,'Data yoy'!$A$1:$AW$1,),)=0,#N/A,VLOOKUP(B102,'Data yoy'!$A:$AW,MATCH($D$1,'Data yoy'!$A$1:$AW$1,),))</f>
        <v>2.9</v>
      </c>
      <c r="E102" s="25">
        <f>IF(VLOOKUP(B102,'Data yoy'!$A:$AW,MATCH($E$1,'Data yoy'!$A$1:$AW$1,),)=0,#N/A,VLOOKUP(B102,'Data yoy'!$A:$AW,MATCH($E$1,'Data yoy'!$A$1:$AW$1,),))</f>
        <v>1.908003509</v>
      </c>
      <c r="F102" s="25">
        <f>IF(VLOOKUP(B102,'Data yoy'!$A:$AW,MATCH($F$1,'Data yoy'!$A$1:$AW$1,),)=0,#N/A,VLOOKUP(B102,'Data yoy'!$A:$AW,MATCH($F$1,'Data yoy'!$A$1:$AW$1,),))</f>
        <v>0.60470879099999997</v>
      </c>
      <c r="G102" s="25">
        <f>IF(VLOOKUP(B102,'Data yoy'!$A:$AW,MATCH($G$1,'Data yoy'!$A$1:$AW$1,),)=0,#N/A,VLOOKUP(B102,'Data yoy'!$A:$AW,MATCH($G$1,'Data yoy'!$A$1:$AW$1,),))</f>
        <v>1.1385434139999999</v>
      </c>
      <c r="H102" s="25">
        <f>IF(VLOOKUP(B102,'Data yoy'!$A:$AW,MATCH($H$1,'Data yoy'!$A$1:$AW$1,),)=0,#N/A,VLOOKUP(B102,'Data yoy'!$A:$AW,MATCH($H$1,'Data yoy'!$A$1:$AW$1,),))</f>
        <v>0.54545903600000001</v>
      </c>
      <c r="I102" s="25">
        <f>IF(VLOOKUP(B102,'Data yoy'!$A:$AW,MATCH($I$1,'Data yoy'!$A$1:$AW$1,),)=0,#N/A,VLOOKUP(B102,'Data yoy'!$A:$AW,MATCH($I$1,'Data yoy'!$A$1:$AW$1,),))</f>
        <v>0.37453521000000001</v>
      </c>
      <c r="J102" s="25">
        <f>IF(VLOOKUP(B102,'Data yoy'!$A:$AW,MATCH($J$1,'Data yoy'!$A$1:$AW$1,),)=0,#N/A,VLOOKUP(B102,'Data yoy'!$A:$AW,MATCH($J$1,'Data yoy'!$A$1:$AW$1,),))</f>
        <v>1.673811546</v>
      </c>
      <c r="K102" s="25">
        <f>IF(VLOOKUP(B102,'Data yoy'!$A:$AW,MATCH($K$1,'Data yoy'!$A$1:$AW$1,),)=0,#N/A,VLOOKUP(B102,'Data yoy'!$A:$AW,MATCH($K$1,'Data yoy'!$A$1:$AW$1,),))</f>
        <v>2.6803410529999998</v>
      </c>
      <c r="L102" s="25">
        <f>IF(VLOOKUP(B102,'Data yoy'!$A:$AW,MATCH($L$1,'Data yoy'!$A$1:$AW$1,),)=0,#N/A,VLOOKUP(B102,'Data yoy'!$A:$AW,MATCH($L$1,'Data yoy'!$A$1:$AW$1,),))</f>
        <v>-0.54788843499999995</v>
      </c>
      <c r="M102" s="25">
        <f>IF(VLOOKUP(B102,'Data yoy'!$A:$AW,MATCH($M$1,'Data yoy'!$A$1:$AW$1,),)=0,#N/A,VLOOKUP(B102,'Data yoy'!$A:$AW,MATCH($M$1,'Data yoy'!$A$1:$AW$1,),))</f>
        <v>3.7085593330000002</v>
      </c>
      <c r="N102" s="25" t="e">
        <f>IF(VLOOKUP(B102,'Data yoy'!$A:$AW,MATCH($N$1,'Data yoy'!$A$1:$AW$1,),)=0,#N/A,VLOOKUP(B102,'Data yoy'!$A:$AW,MATCH($N$1,'Data yoy'!$A$1:$AW$1,),))</f>
        <v>#N/A</v>
      </c>
      <c r="O102" s="25" t="e">
        <f>IF(VLOOKUP(B102,'Data yoy'!$A:$AW,MATCH($O$1,'Data yoy'!$A$1:$AW$1,),)=0,#N/A,VLOOKUP(B102,'Data yoy'!$A:$AW,MATCH($O$1,'Data yoy'!$A$1:$AW$1,),))</f>
        <v>#N/A</v>
      </c>
      <c r="P102" s="25">
        <f>IF(VLOOKUP(B102,'Data yoy'!$A:$AW,MATCH($P$1,'Data yoy'!$A$1:$AW$1,),)=0,#N/A,VLOOKUP(B102,'Data yoy'!$A:$AW,MATCH($P$1,'Data yoy'!$A$1:$AW$1,),))</f>
        <v>2.630278675</v>
      </c>
      <c r="Q102" s="25" t="e">
        <f>IF(VLOOKUP(B102,'Data yoy'!$A:$AW,MATCH($Q$1,'Data yoy'!$A$1:$AW$1,),)=0,#N/A,VLOOKUP(B102,'Data yoy'!$A:$AW,MATCH($Q$1,'Data yoy'!$A$1:$AW$1,),))</f>
        <v>#N/A</v>
      </c>
      <c r="R102" s="25" t="e">
        <f>IF(VLOOKUP(B102,'Data yoy'!$A:$AW,MATCH($R$1,'Data yoy'!$A$1:$AW$1,),)=0,#N/A,VLOOKUP(B102,'Data yoy'!$A:$AW,MATCH($R$1,'Data yoy'!$A$1:$AW$1,),))</f>
        <v>#N/A</v>
      </c>
      <c r="S102" s="25">
        <f>IF(VLOOKUP(B102,'Data yoy'!$A:$AW,MATCH($S$1,'Data yoy'!$A$1:$AW$1,),)=0,#N/A,VLOOKUP(B102,'Data yoy'!$A:$AW,MATCH($S$1,'Data yoy'!$A$1:$AW$1,),))</f>
        <v>1.32489664</v>
      </c>
      <c r="T102" s="25" t="e">
        <f>IF(VLOOKUP(B102,'Data yoy'!$A:$AW,MATCH($T$1,'Data yoy'!$A$1:$AW$1,),)=0,#N/A,VLOOKUP(B102,'Data yoy'!$A:$AW,MATCH($T$1,'Data yoy'!$A$1:$AW$1,),))</f>
        <v>#N/A</v>
      </c>
      <c r="U102" s="25" t="e">
        <f>IF(VLOOKUP(B102,'Data yoy'!$A:$AW,MATCH($U$1,'Data yoy'!$A$1:$AW$1,),)=0,#N/A,VLOOKUP(B102,'Data yoy'!$A:$AW,MATCH($U$1,'Data yoy'!$A$1:$AW$1,),))</f>
        <v>#N/A</v>
      </c>
      <c r="V102" s="25">
        <f>IF(VLOOKUP(B102,'Data yoy'!$A:$AW,MATCH($V$1,'Data yoy'!$A$1:$AW$1,),)=0,#N/A,VLOOKUP(B102,'Data yoy'!$A:$AW,MATCH($V$1,'Data yoy'!$A$1:$AW$1,),))</f>
        <v>15.730093499000001</v>
      </c>
      <c r="W102" s="25" t="e">
        <f>IF(VLOOKUP(B102,'Data yoy'!$A:$AW,MATCH($W$1,'Data yoy'!$A$1:$AW$1,),)=0,#N/A,VLOOKUP(B102,'Data yoy'!$A:$AW,MATCH($W$1,'Data yoy'!$A$1:$AW$1,),))</f>
        <v>#N/A</v>
      </c>
      <c r="X102" s="25">
        <f>IF(VLOOKUP(B102,'Data yoy'!$A:$AW,MATCH($X$1,'Data yoy'!$A$1:$AW$1,),)=0,#N/A,VLOOKUP(B102,'Data yoy'!$A:$AW,MATCH($X$1,'Data yoy'!$A$1:$AW$1,),))</f>
        <v>0.36363388600000002</v>
      </c>
      <c r="Y102" s="25">
        <f>IF(VLOOKUP(B102,'Data yoy'!$A:$AW,MATCH($Y$1,'Data yoy'!$A$1:$AW$1,),)=0,#N/A,VLOOKUP(B102,'Data yoy'!$A:$AW,MATCH($Y$1,'Data yoy'!$A$1:$AW$1,),))</f>
        <v>0.32979124599999998</v>
      </c>
      <c r="Z102" s="25" t="e">
        <f>IF(VLOOKUP(B102,'Data yoy'!$A:$AW,MATCH($Z$1,'Data yoy'!$A$1:$AW$1,),)=0,#N/A,VLOOKUP(B102,'Data yoy'!$A:$AW,MATCH($Z$1,'Data yoy'!$A$1:$AW$1,),))</f>
        <v>#N/A</v>
      </c>
      <c r="AA102" s="25" t="e">
        <f>IF(VLOOKUP(B102,'Data yoy'!$A:$AW,MATCH($AA$1,'Data yoy'!$A$1:$AW$1,),)=0,#N/A,VLOOKUP(B102,'Data yoy'!$A:$AW,MATCH($AA$1,'Data yoy'!$A$1:$AW$1,),))</f>
        <v>#N/A</v>
      </c>
      <c r="AC102" s="26" t="str">
        <f t="shared" si="13"/>
        <v>2022-Q4</v>
      </c>
      <c r="AD102" s="27">
        <f t="shared" si="14"/>
        <v>0.37453521000000001</v>
      </c>
      <c r="AE102" s="27">
        <f t="shared" si="15"/>
        <v>1.908003509</v>
      </c>
      <c r="AF102" s="27">
        <f t="shared" si="16"/>
        <v>-1.5334682989999999</v>
      </c>
    </row>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93" activePane="bottomLeft" state="frozen"/>
      <selection activeCell="F175" sqref="F175"/>
      <selection pane="bottomLeft" activeCell="C101" sqref="C101"/>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2022-Q4</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t="e">
        <f t="shared" ca="1" si="0"/>
        <v>#N/A</v>
      </c>
      <c r="E4" s="13">
        <f t="shared" ca="1" si="0"/>
        <v>12.351077999999999</v>
      </c>
      <c r="F4" s="13">
        <f t="shared" ca="1" si="0"/>
        <v>5.6492005790000004</v>
      </c>
      <c r="G4" s="13">
        <f t="shared" ca="1" si="0"/>
        <v>9.0046949089999995</v>
      </c>
      <c r="H4" s="13">
        <f t="shared" ca="1" si="0"/>
        <v>18.373992991000001</v>
      </c>
      <c r="I4" s="13">
        <f t="shared" ca="1" si="0"/>
        <v>16.608614292999999</v>
      </c>
      <c r="J4" s="13">
        <f t="shared" ca="1" si="0"/>
        <v>14.459447416</v>
      </c>
      <c r="K4" s="13">
        <f t="shared" ca="1" si="0"/>
        <v>16.637933628999999</v>
      </c>
      <c r="L4" s="13">
        <f t="shared" ca="1" si="0"/>
        <v>7.3748910009999999</v>
      </c>
      <c r="M4" s="13">
        <f t="shared" ca="1" si="0"/>
        <v>13.151112296000001</v>
      </c>
      <c r="N4" s="13" t="e">
        <f t="shared" ca="1" si="0"/>
        <v>#N/A</v>
      </c>
      <c r="O4" s="13">
        <f t="shared" ca="1" si="0"/>
        <v>16.637933628999999</v>
      </c>
      <c r="P4" s="13">
        <f t="shared" ca="1" si="0"/>
        <v>9.0179213639999993</v>
      </c>
      <c r="Q4" s="13" t="e">
        <f t="shared" ca="1" si="0"/>
        <v>#N/A</v>
      </c>
      <c r="R4" s="13" t="e">
        <f t="shared" ca="1" si="0"/>
        <v>#N/A</v>
      </c>
      <c r="S4" s="13">
        <f t="shared" ca="1" si="0"/>
        <v>2.3477855380000001</v>
      </c>
      <c r="T4" s="13" t="e">
        <f t="shared" ca="1" si="0"/>
        <v>#N/A</v>
      </c>
      <c r="U4" s="13" t="e">
        <f t="shared" ca="1" si="0"/>
        <v>#N/A</v>
      </c>
      <c r="V4" s="13">
        <f t="shared" ca="1" si="0"/>
        <v>12.894430309000001</v>
      </c>
      <c r="W4" s="13" t="e">
        <f t="shared" ca="1" si="0"/>
        <v>#N/A</v>
      </c>
      <c r="X4" s="13">
        <f t="shared" ca="1" si="0"/>
        <v>6.953208665</v>
      </c>
      <c r="Y4" s="13">
        <f t="shared" ca="1" si="0"/>
        <v>6.7617179089999997</v>
      </c>
      <c r="Z4" s="13" t="e">
        <f t="shared" ca="1" si="0"/>
        <v>#N/A</v>
      </c>
      <c r="AA4" s="13" t="e">
        <f t="shared" ca="1" si="0"/>
        <v>#N/A</v>
      </c>
      <c r="AD4" s="14" t="s">
        <v>584</v>
      </c>
      <c r="AE4" s="15" t="str">
        <f>'Table yoy'!AE4</f>
        <v>2021-Q2</v>
      </c>
    </row>
    <row r="5" spans="2:34" x14ac:dyDescent="0.35">
      <c r="B5" s="4" t="s">
        <v>585</v>
      </c>
      <c r="C5" s="13">
        <f t="shared" ref="C5:AA5" ca="1" si="1">MIN(OFFSET(C$71,COUNT(C$71:C$150),0,-13,1))</f>
        <v>-8.4843361539999993</v>
      </c>
      <c r="D5" s="13" t="e">
        <f t="shared" ca="1" si="1"/>
        <v>#N/A</v>
      </c>
      <c r="E5" s="13">
        <f t="shared" ca="1" si="1"/>
        <v>-11.450771</v>
      </c>
      <c r="F5" s="13">
        <f t="shared" ca="1" si="1"/>
        <v>-7.9704216140000002</v>
      </c>
      <c r="G5" s="13">
        <f t="shared" ca="1" si="1"/>
        <v>-9.4811335119999995</v>
      </c>
      <c r="H5" s="13">
        <f t="shared" ca="1" si="1"/>
        <v>-13.546783366</v>
      </c>
      <c r="I5" s="13">
        <f t="shared" ca="1" si="1"/>
        <v>-20.991372605999999</v>
      </c>
      <c r="J5" s="13">
        <f t="shared" ca="1" si="1"/>
        <v>-12.113348631999999</v>
      </c>
      <c r="K5" s="13">
        <f t="shared" ca="1" si="1"/>
        <v>-17.826255917000001</v>
      </c>
      <c r="L5" s="13">
        <f t="shared" ca="1" si="1"/>
        <v>-8.2371713839999998</v>
      </c>
      <c r="M5" s="13">
        <f t="shared" ca="1" si="1"/>
        <v>-17.755667377999998</v>
      </c>
      <c r="N5" s="13" t="e">
        <f t="shared" ca="1" si="1"/>
        <v>#N/A</v>
      </c>
      <c r="O5" s="13">
        <f t="shared" ca="1" si="1"/>
        <v>-17.826255917000001</v>
      </c>
      <c r="P5" s="13">
        <f t="shared" ca="1" si="1"/>
        <v>-10.928273390999999</v>
      </c>
      <c r="Q5" s="13" t="e">
        <f t="shared" ca="1" si="1"/>
        <v>#N/A</v>
      </c>
      <c r="R5" s="13" t="e">
        <f t="shared" ca="1" si="1"/>
        <v>#N/A</v>
      </c>
      <c r="S5" s="13">
        <f t="shared" ca="1" si="1"/>
        <v>-3.026935758</v>
      </c>
      <c r="T5" s="13" t="e">
        <f t="shared" ca="1" si="1"/>
        <v>#N/A</v>
      </c>
      <c r="U5" s="13" t="e">
        <f t="shared" ca="1" si="1"/>
        <v>#N/A</v>
      </c>
      <c r="V5" s="13">
        <f t="shared" ca="1" si="1"/>
        <v>-5.5838926769999997</v>
      </c>
      <c r="W5" s="13" t="e">
        <f t="shared" ca="1" si="1"/>
        <v>#N/A</v>
      </c>
      <c r="X5" s="13">
        <f t="shared" ca="1" si="1"/>
        <v>-8.8487394629999994</v>
      </c>
      <c r="Y5" s="13">
        <f t="shared" ca="1" si="1"/>
        <v>-9.2055979600000004</v>
      </c>
      <c r="Z5" s="13" t="e">
        <f t="shared" ca="1" si="1"/>
        <v>#N/A</v>
      </c>
      <c r="AA5" s="13" t="e">
        <f t="shared" ca="1" si="1"/>
        <v>#N/A</v>
      </c>
      <c r="AC5" s="16" t="s">
        <v>586</v>
      </c>
      <c r="AE5" s="17"/>
    </row>
    <row r="6" spans="2:34" x14ac:dyDescent="0.35">
      <c r="B6" s="4" t="s">
        <v>587</v>
      </c>
      <c r="C6" s="13">
        <f t="shared" ref="C6:AA6" ca="1" si="2">AVERAGE(OFFSET(C$71,COUNT(C$71:C$150),0,-13,1))</f>
        <v>0.43346703441666673</v>
      </c>
      <c r="D6" s="13" t="e">
        <f t="shared" ca="1" si="2"/>
        <v>#N/A</v>
      </c>
      <c r="E6" s="13">
        <f t="shared" ca="1" si="2"/>
        <v>0.3463626666666666</v>
      </c>
      <c r="F6" s="13">
        <f t="shared" ca="1" si="2"/>
        <v>-0.25875668133333324</v>
      </c>
      <c r="G6" s="13">
        <f t="shared" ca="1" si="2"/>
        <v>5.9692533416666742E-2</v>
      </c>
      <c r="H6" s="13">
        <f t="shared" ca="1" si="2"/>
        <v>0.38062096950000018</v>
      </c>
      <c r="I6" s="13">
        <f t="shared" ca="1" si="2"/>
        <v>0.17170019166666664</v>
      </c>
      <c r="J6" s="13">
        <f t="shared" ca="1" si="2"/>
        <v>0.31286521291666686</v>
      </c>
      <c r="K6" s="13">
        <f t="shared" ca="1" si="2"/>
        <v>0.22574426383333299</v>
      </c>
      <c r="L6" s="13">
        <f t="shared" ca="1" si="2"/>
        <v>0.41311664625000005</v>
      </c>
      <c r="M6" s="13">
        <f t="shared" ca="1" si="2"/>
        <v>-0.11065008066666655</v>
      </c>
      <c r="N6" s="13" t="e">
        <f t="shared" ca="1" si="2"/>
        <v>#N/A</v>
      </c>
      <c r="O6" s="13">
        <f t="shared" ca="1" si="2"/>
        <v>0.22574426383333299</v>
      </c>
      <c r="P6" s="13">
        <f t="shared" ca="1" si="2"/>
        <v>0.22634136725000001</v>
      </c>
      <c r="Q6" s="13" t="e">
        <f t="shared" ca="1" si="2"/>
        <v>#N/A</v>
      </c>
      <c r="R6" s="13" t="e">
        <f t="shared" ca="1" si="2"/>
        <v>#N/A</v>
      </c>
      <c r="S6" s="13">
        <f t="shared" ca="1" si="2"/>
        <v>0.39042312566666665</v>
      </c>
      <c r="T6" s="13" t="e">
        <f t="shared" ca="1" si="2"/>
        <v>#N/A</v>
      </c>
      <c r="U6" s="13" t="e">
        <f t="shared" ca="1" si="2"/>
        <v>#N/A</v>
      </c>
      <c r="V6" s="13">
        <f t="shared" ca="1" si="2"/>
        <v>3.3111725316666667</v>
      </c>
      <c r="W6" s="13" t="e">
        <f t="shared" ca="1" si="2"/>
        <v>#N/A</v>
      </c>
      <c r="X6" s="13">
        <f t="shared" ca="1" si="2"/>
        <v>-7.052329774999995E-2</v>
      </c>
      <c r="Y6" s="13">
        <f t="shared" ca="1" si="2"/>
        <v>0.65816134449999997</v>
      </c>
      <c r="Z6" s="13" t="e">
        <f t="shared" ca="1" si="2"/>
        <v>#N/A</v>
      </c>
      <c r="AA6" s="13" t="e">
        <f t="shared" ca="1" si="2"/>
        <v>#N/A</v>
      </c>
      <c r="AC6" s="18"/>
      <c r="AD6" s="72" t="s">
        <v>588</v>
      </c>
      <c r="AE6" s="17" t="s">
        <v>64</v>
      </c>
    </row>
    <row r="7" spans="2:34" ht="16" customHeight="1" thickBot="1" x14ac:dyDescent="0.4">
      <c r="B7" s="4" t="s">
        <v>589</v>
      </c>
      <c r="C7" s="13" t="str">
        <f ca="1">IF((VLOOKUP($AE$2,$B:$AA,MATCH(C3,$B$3:$AA$3,),))&gt;C6,"above","below")</f>
        <v>above</v>
      </c>
      <c r="D7" s="13" t="e">
        <f t="shared" ref="D7:Y7" ca="1" si="3">IF((VLOOKUP($AE$2,$B:$Y,MATCH(D3,$B$3:$Y$3,),))&gt;D6,"above","below")</f>
        <v>#N/A</v>
      </c>
      <c r="E7" s="13" t="str">
        <f t="shared" ca="1" si="3"/>
        <v>below</v>
      </c>
      <c r="F7" s="13" t="str">
        <f t="shared" ca="1" si="3"/>
        <v>above</v>
      </c>
      <c r="G7" s="13" t="str">
        <f t="shared" ca="1" si="3"/>
        <v>below</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str">
        <f t="shared" ca="1" si="3"/>
        <v>below</v>
      </c>
      <c r="Z7" s="13" t="e">
        <f ca="1">IF((VLOOKUP($AE$2,$B:$Z,MATCH(Z3,$B$3:$Z$3,),))&gt;Z6,"above","below")</f>
        <v>#N/A</v>
      </c>
      <c r="AA7" s="13" t="e">
        <f ca="1">IF((VLOOKUP($AE$2,$B:$AA,MATCH(AA3,$B$3:$AA$3,),))&gt;AA6,"above","below")</f>
        <v>#N/A</v>
      </c>
      <c r="AC7" s="19"/>
      <c r="AD7" s="20" t="s">
        <v>590</v>
      </c>
      <c r="AE7" s="21" t="s">
        <v>31</v>
      </c>
    </row>
    <row r="8" spans="2:34" x14ac:dyDescent="0.35">
      <c r="B8" s="4" t="s">
        <v>591</v>
      </c>
      <c r="C8" s="13">
        <f>VLOOKUP($AE$2,$B:$AA,MATCH(C3,$B$3:$AA$3,),)-VLOOKUP($AE$4,$B:$AA,MATCH(C3,$B$3:$AA$3,),)</f>
        <v>-0.99183061400000005</v>
      </c>
      <c r="D8" s="13" t="e">
        <f t="shared" ref="D8:Y8" si="4">VLOOKUP($AE$2,$B:$Y,MATCH(D3,$B$3:$Y$3,),)-VLOOKUP($AE$4,$B:$Y,MATCH(D3,$B$3:$Y$3,),)</f>
        <v>#N/A</v>
      </c>
      <c r="E8" s="13">
        <f t="shared" si="4"/>
        <v>-1.878044</v>
      </c>
      <c r="F8" s="13">
        <f t="shared" si="4"/>
        <v>-0.16524158400000002</v>
      </c>
      <c r="G8" s="13">
        <f t="shared" si="4"/>
        <v>-2.1694470400000001</v>
      </c>
      <c r="H8" s="13">
        <f t="shared" si="4"/>
        <v>-0.95307147700000006</v>
      </c>
      <c r="I8" s="13">
        <f t="shared" si="4"/>
        <v>-6.5507041489999995</v>
      </c>
      <c r="J8" s="13">
        <f t="shared" si="4"/>
        <v>-2.5878237780000002</v>
      </c>
      <c r="K8" s="13">
        <f t="shared" si="4"/>
        <v>-1.127686755</v>
      </c>
      <c r="L8" s="13">
        <f t="shared" si="4"/>
        <v>-1.186073725</v>
      </c>
      <c r="M8" s="13">
        <f t="shared" si="4"/>
        <v>-0.32770455700000001</v>
      </c>
      <c r="N8" s="13" t="e">
        <f t="shared" si="4"/>
        <v>#N/A</v>
      </c>
      <c r="O8" s="13">
        <f t="shared" si="4"/>
        <v>-1.127686755</v>
      </c>
      <c r="P8" s="13">
        <f t="shared" si="4"/>
        <v>0.98859631100000001</v>
      </c>
      <c r="Q8" s="13" t="e">
        <f t="shared" si="4"/>
        <v>#N/A</v>
      </c>
      <c r="R8" s="13" t="e">
        <f t="shared" si="4"/>
        <v>#N/A</v>
      </c>
      <c r="S8" s="13">
        <f t="shared" si="4"/>
        <v>-1.2072741630000001</v>
      </c>
      <c r="T8" s="13" t="e">
        <f t="shared" si="4"/>
        <v>#N/A</v>
      </c>
      <c r="U8" s="13" t="e">
        <f t="shared" si="4"/>
        <v>#N/A</v>
      </c>
      <c r="V8" s="13">
        <f t="shared" si="4"/>
        <v>1.566522956</v>
      </c>
      <c r="W8" s="13" t="e">
        <f t="shared" si="4"/>
        <v>#N/A</v>
      </c>
      <c r="X8" s="13">
        <f t="shared" si="4"/>
        <v>-1.6929940299999999</v>
      </c>
      <c r="Y8" s="13">
        <f t="shared" si="4"/>
        <v>-4.5735719600000007</v>
      </c>
      <c r="Z8" s="13" t="e">
        <f>VLOOKUP($AE$2,$B:$Z,MATCH(Z3,$B$3:$Z$3,),)-VLOOKUP($AE$4,$B:$Z,MATCH(Z3,$B$3:$Z$3,),)</f>
        <v>#N/A</v>
      </c>
      <c r="AA8" s="13" t="e">
        <f>VLOOKUP($AE$2,$B:$AA,MATCH(AA3,$B$3:$AA$3,),)-VLOOKUP($AE$4,$B:$AA,MATCH(AA3,$B$3:$AA$3,),)</f>
        <v>#N/A</v>
      </c>
    </row>
    <row r="9" spans="2:34" x14ac:dyDescent="0.35">
      <c r="B9" s="4" t="s">
        <v>592</v>
      </c>
      <c r="C9" s="13">
        <f t="shared" ref="C9:Y9" si="5">VLOOKUP($AE$2,$B:$Y,MATCH(C3,$B$3:$Y$3,),)-VLOOKUP($AE$3,$B:$Y,MATCH(C3,$B$3:$Y$3,),)</f>
        <v>1.1255234759999999</v>
      </c>
      <c r="D9" s="13" t="e">
        <f t="shared" si="5"/>
        <v>#N/A</v>
      </c>
      <c r="E9" s="13">
        <f t="shared" si="5"/>
        <v>-0.52800900000000006</v>
      </c>
      <c r="F9" s="13">
        <f t="shared" si="5"/>
        <v>0.57471491299999999</v>
      </c>
      <c r="G9" s="13">
        <f t="shared" si="5"/>
        <v>-1.0413081280000001</v>
      </c>
      <c r="H9" s="13">
        <f t="shared" si="5"/>
        <v>0.356604321</v>
      </c>
      <c r="I9" s="13">
        <f t="shared" si="5"/>
        <v>-0.48006650900000003</v>
      </c>
      <c r="J9" s="13">
        <f t="shared" si="5"/>
        <v>-0.24752293999999997</v>
      </c>
      <c r="K9" s="13">
        <f t="shared" si="5"/>
        <v>0.23627923699999998</v>
      </c>
      <c r="L9" s="13">
        <f t="shared" si="5"/>
        <v>-0.18580250700000001</v>
      </c>
      <c r="M9" s="13">
        <f t="shared" si="5"/>
        <v>-0.82559996599999996</v>
      </c>
      <c r="N9" s="13" t="e">
        <f t="shared" si="5"/>
        <v>#N/A</v>
      </c>
      <c r="O9" s="13">
        <f t="shared" si="5"/>
        <v>0.23627923699999998</v>
      </c>
      <c r="P9" s="13">
        <f t="shared" si="5"/>
        <v>-0.28209390299999992</v>
      </c>
      <c r="Q9" s="13" t="e">
        <f t="shared" si="5"/>
        <v>#N/A</v>
      </c>
      <c r="R9" s="13" t="e">
        <f t="shared" si="5"/>
        <v>#N/A</v>
      </c>
      <c r="S9" s="13">
        <f t="shared" si="5"/>
        <v>-1.0078941189999999</v>
      </c>
      <c r="T9" s="13" t="e">
        <f t="shared" si="5"/>
        <v>#N/A</v>
      </c>
      <c r="U9" s="13" t="e">
        <f t="shared" si="5"/>
        <v>#N/A</v>
      </c>
      <c r="V9" s="13">
        <f t="shared" si="5"/>
        <v>-3.4729569610000004</v>
      </c>
      <c r="W9" s="13" t="e">
        <f t="shared" si="5"/>
        <v>#N/A</v>
      </c>
      <c r="X9" s="13">
        <f t="shared" si="5"/>
        <v>-0.91810833599999997</v>
      </c>
      <c r="Y9" s="13">
        <f t="shared" si="5"/>
        <v>-6.6555068560000006</v>
      </c>
      <c r="Z9" s="13" t="e">
        <f>VLOOKUP($AE$2,$B:$Z,MATCH(Z3,$B$3:$Z$3,),)-VLOOKUP($AE$3,$B:$Z,MATCH(Z3,$B$3:$Z$3,),)</f>
        <v>#N/A</v>
      </c>
      <c r="AA9" s="13" t="e">
        <f>VLOOKUP($AE$2,$B:$AA,MATCH(AA3,$B$3:$AA$3,),)-VLOOKUP($AE$3,$B:$AA,MATCH(AA3,$B$3:$AA$3,),)</f>
        <v>#N/A</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1.699745592</v>
      </c>
      <c r="G11" s="25">
        <f>VLOOKUP(B11,'Data qoq'!$A:$AT,MATCH($G$1,'Data qoq'!$A$1:$AT$1,),)</f>
        <v>1.430528223</v>
      </c>
      <c r="H11" s="25">
        <f>VLOOKUP(B11,'Data qoq'!$A:$AT,MATCH($H$1,'Data qoq'!$A$1:$AT$1,),)</f>
        <v>1.035587904</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0.67459026200000005</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0.91762900000000003</v>
      </c>
      <c r="F12" s="25">
        <f>VLOOKUP(B12,'Data qoq'!$A:$AT,MATCH($F$1,'Data qoq'!$A$1:$AT$1,),)</f>
        <v>0.47215726699999999</v>
      </c>
      <c r="G12" s="25">
        <f>VLOOKUP(B12,'Data qoq'!$A:$AT,MATCH($G$1,'Data qoq'!$A$1:$AT$1,),)</f>
        <v>0.809332948</v>
      </c>
      <c r="H12" s="25">
        <f>VLOOKUP(B12,'Data qoq'!$A:$AT,MATCH($H$1,'Data qoq'!$A$1:$AT$1,),)</f>
        <v>1.0314560800000001</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2.5237127049999999</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0.91762900000000003</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0.55781400000000003</v>
      </c>
      <c r="F13" s="25">
        <f>VLOOKUP(B13,'Data qoq'!$A:$AT,MATCH($F$1,'Data qoq'!$A$1:$AT$1,),)</f>
        <v>2.4308948E-2</v>
      </c>
      <c r="G13" s="25">
        <f>VLOOKUP(B13,'Data qoq'!$A:$AT,MATCH($G$1,'Data qoq'!$A$1:$AT$1,),)</f>
        <v>-4.7224414999999999E-2</v>
      </c>
      <c r="H13" s="25">
        <f>VLOOKUP(B13,'Data qoq'!$A:$AT,MATCH($H$1,'Data qoq'!$A$1:$AT$1,),)</f>
        <v>0.69397016600000005</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0.77771430900000005</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0.55781400000000003</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0.68317899999999998</v>
      </c>
      <c r="F14" s="25">
        <f>VLOOKUP(B14,'Data qoq'!$A:$AT,MATCH($F$1,'Data qoq'!$A$1:$AT$1,),)</f>
        <v>0.97465143200000004</v>
      </c>
      <c r="G14" s="25">
        <f>VLOOKUP(B14,'Data qoq'!$A:$AT,MATCH($G$1,'Data qoq'!$A$1:$AT$1,),)</f>
        <v>-0.29530531300000001</v>
      </c>
      <c r="H14" s="25">
        <f>VLOOKUP(B14,'Data qoq'!$A:$AT,MATCH($H$1,'Data qoq'!$A$1:$AT$1,),)</f>
        <v>0.81807315999999997</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-0.28280999000000001</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0.68317899999999998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0.739139828</v>
      </c>
      <c r="G15" s="25">
        <f>VLOOKUP(B15,'Data qoq'!$A:$AT,MATCH($G$1,'Data qoq'!$A$1:$AT$1,),)</f>
        <v>2.0228069799999999</v>
      </c>
      <c r="H15" s="25">
        <f>VLOOKUP(B15,'Data qoq'!$A:$AT,MATCH($H$1,'Data qoq'!$A$1:$AT$1,),)</f>
        <v>0.49241965100000001</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0.33043160199999999</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-0.74670223000000002</v>
      </c>
      <c r="G16" s="25">
        <f>VLOOKUP(B16,'Data qoq'!$A:$AT,MATCH($G$1,'Data qoq'!$A$1:$AT$1,),)</f>
        <v>-4.6445592000000001E-2</v>
      </c>
      <c r="H16" s="25">
        <f>VLOOKUP(B16,'Data qoq'!$A:$AT,MATCH($H$1,'Data qoq'!$A$1:$AT$1,),)</f>
        <v>0.12915207400000001</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4.5859187000000003E-2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-1.090883249</v>
      </c>
      <c r="G17" s="25">
        <f>VLOOKUP(B17,'Data qoq'!$A:$AT,MATCH($G$1,'Data qoq'!$A$1:$AT$1,),)</f>
        <v>-0.209109191</v>
      </c>
      <c r="H17" s="25">
        <f>VLOOKUP(B17,'Data qoq'!$A:$AT,MATCH($H$1,'Data qoq'!$A$1:$AT$1,),)</f>
        <v>0.273136879</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0.38180602899999999</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0.10399700000000001</v>
      </c>
      <c r="F18" s="25">
        <f>VLOOKUP(B18,'Data qoq'!$A:$AT,MATCH($F$1,'Data qoq'!$A$1:$AT$1,),)</f>
        <v>-0.34300352099999998</v>
      </c>
      <c r="G18" s="25">
        <f>VLOOKUP(B18,'Data qoq'!$A:$AT,MATCH($G$1,'Data qoq'!$A$1:$AT$1,),)</f>
        <v>-8.1492953000000007E-2</v>
      </c>
      <c r="H18" s="25">
        <f>VLOOKUP(B18,'Data qoq'!$A:$AT,MATCH($H$1,'Data qoq'!$A$1:$AT$1,),)</f>
        <v>-6.5668629000000006E-2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0.83339043899999998</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0.10399700000000001</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0.13955200000000001</v>
      </c>
      <c r="F19" s="25">
        <f>VLOOKUP(B19,'Data qoq'!$A:$AT,MATCH($F$1,'Data qoq'!$A$1:$AT$1,),)</f>
        <v>0.16994584099999999</v>
      </c>
      <c r="G19" s="25">
        <f>VLOOKUP(B19,'Data qoq'!$A:$AT,MATCH($G$1,'Data qoq'!$A$1:$AT$1,),)</f>
        <v>-0.51264006200000001</v>
      </c>
      <c r="H19" s="25">
        <f>VLOOKUP(B19,'Data qoq'!$A:$AT,MATCH($H$1,'Data qoq'!$A$1:$AT$1,),)</f>
        <v>0.56354131799999996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-0.131200452</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0.13955200000000001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0.80978388800000001</v>
      </c>
      <c r="G20" s="25">
        <f>VLOOKUP(B20,'Data qoq'!$A:$AT,MATCH($G$1,'Data qoq'!$A$1:$AT$1,),)</f>
        <v>0.433303471</v>
      </c>
      <c r="H20" s="25">
        <f>VLOOKUP(B20,'Data qoq'!$A:$AT,MATCH($H$1,'Data qoq'!$A$1:$AT$1,),)</f>
        <v>0.40792217400000003</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1.558855922</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0.31488192599999998</v>
      </c>
      <c r="G21" s="25">
        <f>VLOOKUP(B21,'Data qoq'!$A:$AT,MATCH($G$1,'Data qoq'!$A$1:$AT$1,),)</f>
        <v>0.46642256399999998</v>
      </c>
      <c r="H21" s="25">
        <f>VLOOKUP(B21,'Data qoq'!$A:$AT,MATCH($H$1,'Data qoq'!$A$1:$AT$1,),)</f>
        <v>0.24632296100000001</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0.61071300900000003</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0.27777315000000002</v>
      </c>
      <c r="G22" s="25">
        <f>VLOOKUP(B22,'Data qoq'!$A:$AT,MATCH($G$1,'Data qoq'!$A$1:$AT$1,),)</f>
        <v>-0.12766492900000001</v>
      </c>
      <c r="H22" s="25">
        <f>VLOOKUP(B22,'Data qoq'!$A:$AT,MATCH($H$1,'Data qoq'!$A$1:$AT$1,),)</f>
        <v>0.230087291</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0.151055415</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-0.31858999999999998</v>
      </c>
      <c r="F23" s="25">
        <f>VLOOKUP(B23,'Data qoq'!$A:$AT,MATCH($F$1,'Data qoq'!$A$1:$AT$1,),)</f>
        <v>6.3035573999999997E-2</v>
      </c>
      <c r="G23" s="25">
        <f>VLOOKUP(B23,'Data qoq'!$A:$AT,MATCH($G$1,'Data qoq'!$A$1:$AT$1,),)</f>
        <v>-1.478778285</v>
      </c>
      <c r="H23" s="25">
        <f>VLOOKUP(B23,'Data qoq'!$A:$AT,MATCH($H$1,'Data qoq'!$A$1:$AT$1,),)</f>
        <v>9.3143992999999994E-2</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1.1655842249999999</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-0.31858999999999998</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8.9715000000000003E-2</v>
      </c>
      <c r="F24" s="25">
        <f>VLOOKUP(B24,'Data qoq'!$A:$AT,MATCH($F$1,'Data qoq'!$A$1:$AT$1,),)</f>
        <v>0.684939089</v>
      </c>
      <c r="G24" s="25">
        <f>VLOOKUP(B24,'Data qoq'!$A:$AT,MATCH($G$1,'Data qoq'!$A$1:$AT$1,),)</f>
        <v>0.10615703</v>
      </c>
      <c r="H24" s="25">
        <f>VLOOKUP(B24,'Data qoq'!$A:$AT,MATCH($H$1,'Data qoq'!$A$1:$AT$1,),)</f>
        <v>-0.20480219699999999</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-0.58342438699999999</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8.9715000000000003E-2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0.29575425900000002</v>
      </c>
      <c r="G25" s="25">
        <f>VLOOKUP(B25,'Data qoq'!$A:$AT,MATCH($G$1,'Data qoq'!$A$1:$AT$1,),)</f>
        <v>0.76587593499999995</v>
      </c>
      <c r="H25" s="25">
        <f>VLOOKUP(B25,'Data qoq'!$A:$AT,MATCH($H$1,'Data qoq'!$A$1:$AT$1,),)</f>
        <v>0.67326451600000004</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1.454433241</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1.092298148</v>
      </c>
      <c r="G26" s="25">
        <f>VLOOKUP(B26,'Data qoq'!$A:$AT,MATCH($G$1,'Data qoq'!$A$1:$AT$1,),)</f>
        <v>0.28063537799999999</v>
      </c>
      <c r="H26" s="25">
        <f>VLOOKUP(B26,'Data qoq'!$A:$AT,MATCH($H$1,'Data qoq'!$A$1:$AT$1,),)</f>
        <v>0.67597921400000005</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0.62614425500000004</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0.50620299999999996</v>
      </c>
      <c r="F27" s="25">
        <f>VLOOKUP(B27,'Data qoq'!$A:$AT,MATCH($F$1,'Data qoq'!$A$1:$AT$1,),)</f>
        <v>0.732292163</v>
      </c>
      <c r="G27" s="25">
        <f>VLOOKUP(B27,'Data qoq'!$A:$AT,MATCH($G$1,'Data qoq'!$A$1:$AT$1,),)</f>
        <v>-0.17488757399999999</v>
      </c>
      <c r="H27" s="25">
        <f>VLOOKUP(B27,'Data qoq'!$A:$AT,MATCH($H$1,'Data qoq'!$A$1:$AT$1,),)</f>
        <v>0.97369937399999995</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1.854119356</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0.50620299999999996</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0.61320200000000002</v>
      </c>
      <c r="F28" s="25">
        <f>VLOOKUP(B28,'Data qoq'!$A:$AT,MATCH($F$1,'Data qoq'!$A$1:$AT$1,),)</f>
        <v>1.2080593000000001E-2</v>
      </c>
      <c r="G28" s="25">
        <f>VLOOKUP(B28,'Data qoq'!$A:$AT,MATCH($G$1,'Data qoq'!$A$1:$AT$1,),)</f>
        <v>0.51396004799999995</v>
      </c>
      <c r="H28" s="25">
        <f>VLOOKUP(B28,'Data qoq'!$A:$AT,MATCH($H$1,'Data qoq'!$A$1:$AT$1,),)</f>
        <v>0.58523435099999999</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0.38567680799999998</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0.61320200000000002</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0.61358412200000001</v>
      </c>
      <c r="G29" s="25">
        <f>VLOOKUP(B29,'Data qoq'!$A:$AT,MATCH($G$1,'Data qoq'!$A$1:$AT$1,),)</f>
        <v>-0.209174363</v>
      </c>
      <c r="H29" s="25">
        <f>VLOOKUP(B29,'Data qoq'!$A:$AT,MATCH($H$1,'Data qoq'!$A$1:$AT$1,),)</f>
        <v>0.268751874</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0.81269277100000004</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-0.18624327600000001</v>
      </c>
      <c r="G30" s="25">
        <f>VLOOKUP(B30,'Data qoq'!$A:$AT,MATCH($G$1,'Data qoq'!$A$1:$AT$1,),)</f>
        <v>-9.3170488999999995E-2</v>
      </c>
      <c r="H30" s="25">
        <f>VLOOKUP(B30,'Data qoq'!$A:$AT,MATCH($H$1,'Data qoq'!$A$1:$AT$1,),)</f>
        <v>0.75385408200000004</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0.817086639</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0.51197844999999997</v>
      </c>
      <c r="G31" s="25">
        <f>VLOOKUP(B31,'Data qoq'!$A:$AT,MATCH($G$1,'Data qoq'!$A$1:$AT$1,),)</f>
        <v>2.9167009999999998E-3</v>
      </c>
      <c r="H31" s="25">
        <f>VLOOKUP(B31,'Data qoq'!$A:$AT,MATCH($H$1,'Data qoq'!$A$1:$AT$1,),)</f>
        <v>0.226712889</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0.44569735700000002</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0.61543899999999996</v>
      </c>
      <c r="F32" s="25">
        <f>VLOOKUP(B32,'Data qoq'!$A:$AT,MATCH($F$1,'Data qoq'!$A$1:$AT$1,),)</f>
        <v>0.77186576200000001</v>
      </c>
      <c r="G32" s="25">
        <f>VLOOKUP(B32,'Data qoq'!$A:$AT,MATCH($G$1,'Data qoq'!$A$1:$AT$1,),)</f>
        <v>0.53619039800000001</v>
      </c>
      <c r="H32" s="25">
        <f>VLOOKUP(B32,'Data qoq'!$A:$AT,MATCH($H$1,'Data qoq'!$A$1:$AT$1,),)</f>
        <v>0.27621609000000003</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0.65815212099999998</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0.61543899999999996</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1.017228274</v>
      </c>
      <c r="G33" s="25">
        <f>VLOOKUP(B33,'Data qoq'!$A:$AT,MATCH($G$1,'Data qoq'!$A$1:$AT$1,),)</f>
        <v>0.84637551200000005</v>
      </c>
      <c r="H33" s="25">
        <f>VLOOKUP(B33,'Data qoq'!$A:$AT,MATCH($H$1,'Data qoq'!$A$1:$AT$1,),)</f>
        <v>0.55492343600000005</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1.2021083770000001</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0.180190771</v>
      </c>
      <c r="G34" s="25">
        <f>VLOOKUP(B34,'Data qoq'!$A:$AT,MATCH($G$1,'Data qoq'!$A$1:$AT$1,),)</f>
        <v>0.47137357299999999</v>
      </c>
      <c r="H34" s="25">
        <f>VLOOKUP(B34,'Data qoq'!$A:$AT,MATCH($H$1,'Data qoq'!$A$1:$AT$1,),)</f>
        <v>0.66783649899999997</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0.673629166</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0.154829785</v>
      </c>
      <c r="G35" s="25">
        <f>VLOOKUP(B35,'Data qoq'!$A:$AT,MATCH($G$1,'Data qoq'!$A$1:$AT$1,),)</f>
        <v>0.961211712</v>
      </c>
      <c r="H35" s="25">
        <f>VLOOKUP(B35,'Data qoq'!$A:$AT,MATCH($H$1,'Data qoq'!$A$1:$AT$1,),)</f>
        <v>0.76615848399999997</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1.5456477580000001</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0.147185714</v>
      </c>
      <c r="G36" s="25">
        <f>VLOOKUP(B36,'Data qoq'!$A:$AT,MATCH($G$1,'Data qoq'!$A$1:$AT$1,),)</f>
        <v>1.7227678930000001</v>
      </c>
      <c r="H36" s="25">
        <f>VLOOKUP(B36,'Data qoq'!$A:$AT,MATCH($H$1,'Data qoq'!$A$1:$AT$1,),)</f>
        <v>1.0380317569999999</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1.6334623699999999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-0.193475277</v>
      </c>
      <c r="G37" s="25">
        <f>VLOOKUP(B37,'Data qoq'!$A:$AT,MATCH($G$1,'Data qoq'!$A$1:$AT$1,),)</f>
        <v>0.77994355000000004</v>
      </c>
      <c r="H37" s="25">
        <f>VLOOKUP(B37,'Data qoq'!$A:$AT,MATCH($H$1,'Data qoq'!$A$1:$AT$1,),)</f>
        <v>8.4148863000000004E-2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1.1946207680000001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1.1736139999999999</v>
      </c>
      <c r="F38" s="25">
        <f>VLOOKUP(B38,'Data qoq'!$A:$AT,MATCH($F$1,'Data qoq'!$A$1:$AT$1,),)</f>
        <v>1.354863318</v>
      </c>
      <c r="G38" s="25">
        <f>VLOOKUP(B38,'Data qoq'!$A:$AT,MATCH($G$1,'Data qoq'!$A$1:$AT$1,),)</f>
        <v>1.514652417</v>
      </c>
      <c r="H38" s="25">
        <f>VLOOKUP(B38,'Data qoq'!$A:$AT,MATCH($H$1,'Data qoq'!$A$1:$AT$1,),)</f>
        <v>0.72025410099999998</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0.65853218599999996</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1.1736139999999999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0.60006400000000004</v>
      </c>
      <c r="F39" s="25">
        <f>VLOOKUP(B39,'Data qoq'!$A:$AT,MATCH($F$1,'Data qoq'!$A$1:$AT$1,),)</f>
        <v>0.66036083099999998</v>
      </c>
      <c r="G39" s="25">
        <f>VLOOKUP(B39,'Data qoq'!$A:$AT,MATCH($G$1,'Data qoq'!$A$1:$AT$1,),)</f>
        <v>6.2645066999999999E-2</v>
      </c>
      <c r="H39" s="25">
        <f>VLOOKUP(B39,'Data qoq'!$A:$AT,MATCH($H$1,'Data qoq'!$A$1:$AT$1,),)</f>
        <v>0.72513090700000005</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0.94675036899999998</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0.60006400000000004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2.4134454E-2</v>
      </c>
      <c r="G40" s="25">
        <f>VLOOKUP(B40,'Data qoq'!$A:$AT,MATCH($G$1,'Data qoq'!$A$1:$AT$1,),)</f>
        <v>0.83805258199999999</v>
      </c>
      <c r="H40" s="25">
        <f>VLOOKUP(B40,'Data qoq'!$A:$AT,MATCH($H$1,'Data qoq'!$A$1:$AT$1,),)</f>
        <v>0.683246884</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0.52008739800000003</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-0.53608016800000002</v>
      </c>
      <c r="G41" s="25">
        <f>VLOOKUP(B41,'Data qoq'!$A:$AT,MATCH($G$1,'Data qoq'!$A$1:$AT$1,),)</f>
        <v>0.51807904400000004</v>
      </c>
      <c r="H41" s="25">
        <f>VLOOKUP(B41,'Data qoq'!$A:$AT,MATCH($H$1,'Data qoq'!$A$1:$AT$1,),)</f>
        <v>0.47302852499999998</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0.79354203199999995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0.44376417699999998</v>
      </c>
      <c r="G42" s="25">
        <f>VLOOKUP(B42,'Data qoq'!$A:$AT,MATCH($G$1,'Data qoq'!$A$1:$AT$1,),)</f>
        <v>0.64426386300000005</v>
      </c>
      <c r="H42" s="25">
        <f>VLOOKUP(B42,'Data qoq'!$A:$AT,MATCH($H$1,'Data qoq'!$A$1:$AT$1,),)</f>
        <v>0.190598981</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1.1304046459999999</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0.51700199999999996</v>
      </c>
      <c r="F43" s="25">
        <f>VLOOKUP(B43,'Data qoq'!$A:$AT,MATCH($F$1,'Data qoq'!$A$1:$AT$1,),)</f>
        <v>0.35910416699999997</v>
      </c>
      <c r="G43" s="25">
        <f>VLOOKUP(B43,'Data qoq'!$A:$AT,MATCH($G$1,'Data qoq'!$A$1:$AT$1,),)</f>
        <v>0.64015377699999998</v>
      </c>
      <c r="H43" s="25">
        <f>VLOOKUP(B43,'Data qoq'!$A:$AT,MATCH($H$1,'Data qoq'!$A$1:$AT$1,),)</f>
        <v>0.48089390300000001</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-0.79879233999999999</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0.51700199999999996</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-0.33751599999999998</v>
      </c>
      <c r="F44" s="25">
        <f>VLOOKUP(B44,'Data qoq'!$A:$AT,MATCH($F$1,'Data qoq'!$A$1:$AT$1,),)</f>
        <v>-0.60372541800000001</v>
      </c>
      <c r="G44" s="25">
        <f>VLOOKUP(B44,'Data qoq'!$A:$AT,MATCH($G$1,'Data qoq'!$A$1:$AT$1,),)</f>
        <v>-0.243822487</v>
      </c>
      <c r="H44" s="25">
        <f>VLOOKUP(B44,'Data qoq'!$A:$AT,MATCH($H$1,'Data qoq'!$A$1:$AT$1,),)</f>
        <v>-0.54720995800000005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-4.3451842999999997E-2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-0.33751599999999998</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-1.2360100620000001</v>
      </c>
      <c r="G45" s="25">
        <f>VLOOKUP(B45,'Data qoq'!$A:$AT,MATCH($G$1,'Data qoq'!$A$1:$AT$1,),)</f>
        <v>-0.63762393399999995</v>
      </c>
      <c r="H45" s="25">
        <f>VLOOKUP(B45,'Data qoq'!$A:$AT,MATCH($H$1,'Data qoq'!$A$1:$AT$1,),)</f>
        <v>-0.16531675500000001</v>
      </c>
      <c r="I45" s="25">
        <f>VLOOKUP(B45,'Data qoq'!$A:$AT,MATCH($I$1,'Data qoq'!$A$1:$AT$1,),)</f>
        <v>-1.513153285</v>
      </c>
      <c r="J45" s="25">
        <f>VLOOKUP(B45,'Data qoq'!$A:$AT,MATCH($J$1,'Data qoq'!$A$1:$AT$1,),)</f>
        <v>-1.26543473</v>
      </c>
      <c r="K45" s="25">
        <f>VLOOKUP(B45,'Data qoq'!$A:$AT,MATCH($K$1,'Data qoq'!$A$1:$AT$1,),)</f>
        <v>-0.18271267899999999</v>
      </c>
      <c r="L45" s="25">
        <f>VLOOKUP(B45,'Data qoq'!$A:$AT,MATCH($L$1,'Data qoq'!$A$1:$AT$1,),)</f>
        <v>-0.490682073</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-2.4551801329999998</v>
      </c>
      <c r="G46" s="25">
        <f>VLOOKUP(B46,'Data qoq'!$A:$AT,MATCH($G$1,'Data qoq'!$A$1:$AT$1,),)</f>
        <v>-1.5935872600000001</v>
      </c>
      <c r="H46" s="25">
        <f>VLOOKUP(B46,'Data qoq'!$A:$AT,MATCH($H$1,'Data qoq'!$A$1:$AT$1,),)</f>
        <v>-1.5095647910000001</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-3.5639734559999998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-3.093594</v>
      </c>
      <c r="F47" s="25">
        <f>VLOOKUP(B47,'Data qoq'!$A:$AT,MATCH($F$1,'Data qoq'!$A$1:$AT$1,),)</f>
        <v>-4.8054419360000002</v>
      </c>
      <c r="G47" s="25">
        <f>VLOOKUP(B47,'Data qoq'!$A:$AT,MATCH($G$1,'Data qoq'!$A$1:$AT$1,),)</f>
        <v>-4.6844176649999998</v>
      </c>
      <c r="H47" s="25">
        <f>VLOOKUP(B47,'Data qoq'!$A:$AT,MATCH($H$1,'Data qoq'!$A$1:$AT$1,),)</f>
        <v>-1.706236994</v>
      </c>
      <c r="I47" s="25">
        <f>VLOOKUP(B47,'Data qoq'!$A:$AT,MATCH($I$1,'Data qoq'!$A$1:$AT$1,),)</f>
        <v>-1.940930979</v>
      </c>
      <c r="J47" s="25">
        <f>VLOOKUP(B47,'Data qoq'!$A:$AT,MATCH($J$1,'Data qoq'!$A$1:$AT$1,),)</f>
        <v>-2.494448191</v>
      </c>
      <c r="K47" s="25">
        <f>VLOOKUP(B47,'Data qoq'!$A:$AT,MATCH($K$1,'Data qoq'!$A$1:$AT$1,),)</f>
        <v>-2.6003410159999998</v>
      </c>
      <c r="L47" s="25">
        <f>VLOOKUP(B47,'Data qoq'!$A:$AT,MATCH($L$1,'Data qoq'!$A$1:$AT$1,),)</f>
        <v>-1.47032483</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-3.093594</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-2.4799999999999999E-2</v>
      </c>
      <c r="F48" s="25">
        <f>VLOOKUP(B48,'Data qoq'!$A:$AT,MATCH($F$1,'Data qoq'!$A$1:$AT$1,),)</f>
        <v>1.933186064</v>
      </c>
      <c r="G48" s="25">
        <f>VLOOKUP(B48,'Data qoq'!$A:$AT,MATCH($G$1,'Data qoq'!$A$1:$AT$1,),)</f>
        <v>0.15963164899999999</v>
      </c>
      <c r="H48" s="25">
        <f>VLOOKUP(B48,'Data qoq'!$A:$AT,MATCH($H$1,'Data qoq'!$A$1:$AT$1,),)</f>
        <v>-1.3414673E-2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6.6898192999999995E-2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-2.4799999999999999E-2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-3.8879347000000002E-2</v>
      </c>
      <c r="G49" s="25">
        <f>VLOOKUP(B49,'Data qoq'!$A:$AT,MATCH($G$1,'Data qoq'!$A$1:$AT$1,),)</f>
        <v>0.55783460900000004</v>
      </c>
      <c r="H49" s="25">
        <f>VLOOKUP(B49,'Data qoq'!$A:$AT,MATCH($H$1,'Data qoq'!$A$1:$AT$1,),)</f>
        <v>0.18347719800000001</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-5.2475129000000002E-2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1.253903948</v>
      </c>
      <c r="G50" s="25">
        <f>VLOOKUP(B50,'Data qoq'!$A:$AT,MATCH($G$1,'Data qoq'!$A$1:$AT$1,),)</f>
        <v>0.73587633399999997</v>
      </c>
      <c r="H50" s="25">
        <f>VLOOKUP(B50,'Data qoq'!$A:$AT,MATCH($H$1,'Data qoq'!$A$1:$AT$1,),)</f>
        <v>0.706412963</v>
      </c>
      <c r="I50" s="25">
        <f>VLOOKUP(B50,'Data qoq'!$A:$AT,MATCH($I$1,'Data qoq'!$A$1:$AT$1,),)</f>
        <v>0.341005222</v>
      </c>
      <c r="J50" s="25">
        <f>VLOOKUP(B50,'Data qoq'!$A:$AT,MATCH($J$1,'Data qoq'!$A$1:$AT$1,),)</f>
        <v>0.32998136</v>
      </c>
      <c r="K50" s="25">
        <f>VLOOKUP(B50,'Data qoq'!$A:$AT,MATCH($K$1,'Data qoq'!$A$1:$AT$1,),)</f>
        <v>-3.523569E-2</v>
      </c>
      <c r="L50" s="25">
        <f>VLOOKUP(B50,'Data qoq'!$A:$AT,MATCH($L$1,'Data qoq'!$A$1:$AT$1,),)</f>
        <v>0.45720760199999999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0.44192799999999999</v>
      </c>
      <c r="F51" s="25">
        <f>VLOOKUP(B51,'Data qoq'!$A:$AT,MATCH($F$1,'Data qoq'!$A$1:$AT$1,),)</f>
        <v>1.0524627310000001</v>
      </c>
      <c r="G51" s="25">
        <f>VLOOKUP(B51,'Data qoq'!$A:$AT,MATCH($G$1,'Data qoq'!$A$1:$AT$1,),)</f>
        <v>0.81202584799999999</v>
      </c>
      <c r="H51" s="25">
        <f>VLOOKUP(B51,'Data qoq'!$A:$AT,MATCH($H$1,'Data qoq'!$A$1:$AT$1,),)</f>
        <v>0.34508019499999998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2.6605189239999998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0.44192799999999999</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0.969781</v>
      </c>
      <c r="F52" s="25">
        <f>VLOOKUP(B52,'Data qoq'!$A:$AT,MATCH($F$1,'Data qoq'!$A$1:$AT$1,),)</f>
        <v>1.180881362</v>
      </c>
      <c r="G52" s="25">
        <f>VLOOKUP(B52,'Data qoq'!$A:$AT,MATCH($G$1,'Data qoq'!$A$1:$AT$1,),)</f>
        <v>2.2519437099999999</v>
      </c>
      <c r="H52" s="25">
        <f>VLOOKUP(B52,'Data qoq'!$A:$AT,MATCH($H$1,'Data qoq'!$A$1:$AT$1,),)</f>
        <v>0.48775253299999999</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2.087393064</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1.8190046529999999</v>
      </c>
      <c r="G53" s="25">
        <f>VLOOKUP(B53,'Data qoq'!$A:$AT,MATCH($G$1,'Data qoq'!$A$1:$AT$1,),)</f>
        <v>0.81771223900000001</v>
      </c>
      <c r="H53" s="25">
        <f>VLOOKUP(B53,'Data qoq'!$A:$AT,MATCH($H$1,'Data qoq'!$A$1:$AT$1,),)</f>
        <v>0.63128844900000003</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1.235741926</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0.59082400000000002</v>
      </c>
      <c r="F54" s="25">
        <f>VLOOKUP(B54,'Data qoq'!$A:$AT,MATCH($F$1,'Data qoq'!$A$1:$AT$1,),)</f>
        <v>-0.80845250000000002</v>
      </c>
      <c r="G54" s="25">
        <f>VLOOKUP(B54,'Data qoq'!$A:$AT,MATCH($G$1,'Data qoq'!$A$1:$AT$1,),)</f>
        <v>0.81107565000000004</v>
      </c>
      <c r="H54" s="25">
        <f>VLOOKUP(B54,'Data qoq'!$A:$AT,MATCH($H$1,'Data qoq'!$A$1:$AT$1,),)</f>
        <v>0.65510421500000005</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1.548930814</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0.59082400000000002</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-1.051139289</v>
      </c>
      <c r="G55" s="25">
        <f>VLOOKUP(B55,'Data qoq'!$A:$AT,MATCH($G$1,'Data qoq'!$A$1:$AT$1,),)</f>
        <v>1.9389699499999999</v>
      </c>
      <c r="H55" s="25">
        <f>VLOOKUP(B55,'Data qoq'!$A:$AT,MATCH($H$1,'Data qoq'!$A$1:$AT$1,),)</f>
        <v>1.0511539299999999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0.39421010699999998</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-2.2478000000000001E-2</v>
      </c>
      <c r="F56" s="25">
        <f>VLOOKUP(B56,'Data qoq'!$A:$AT,MATCH($F$1,'Data qoq'!$A$1:$AT$1,),)</f>
        <v>-0.87805459600000002</v>
      </c>
      <c r="G56" s="25">
        <f>VLOOKUP(B56,'Data qoq'!$A:$AT,MATCH($G$1,'Data qoq'!$A$1:$AT$1,),)</f>
        <v>9.4706566000000006E-2</v>
      </c>
      <c r="H56" s="25">
        <f>VLOOKUP(B56,'Data qoq'!$A:$AT,MATCH($H$1,'Data qoq'!$A$1:$AT$1,),)</f>
        <v>-9.9065820999999998E-2</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0.34132009899999999</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-2.2478000000000001E-2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2.435454424</v>
      </c>
      <c r="G57" s="25">
        <f>VLOOKUP(B57,'Data qoq'!$A:$AT,MATCH($G$1,'Data qoq'!$A$1:$AT$1,),)</f>
        <v>0.88310040000000001</v>
      </c>
      <c r="H57" s="25">
        <f>VLOOKUP(B57,'Data qoq'!$A:$AT,MATCH($H$1,'Data qoq'!$A$1:$AT$1,),)</f>
        <v>0.50181236399999996</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1.302071548</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-0.13635933</v>
      </c>
      <c r="G58" s="25">
        <f>VLOOKUP(B58,'Data qoq'!$A:$AT,MATCH($G$1,'Data qoq'!$A$1:$AT$1,),)</f>
        <v>-0.32305014900000001</v>
      </c>
      <c r="H58" s="25">
        <f>VLOOKUP(B58,'Data qoq'!$A:$AT,MATCH($H$1,'Data qoq'!$A$1:$AT$1,),)</f>
        <v>0.166902471</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-1.436101316</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-0.21496299999999999</v>
      </c>
      <c r="F59" s="25">
        <f>VLOOKUP(B59,'Data qoq'!$A:$AT,MATCH($F$1,'Data qoq'!$A$1:$AT$1,),)</f>
        <v>1.3889112539999999</v>
      </c>
      <c r="G59" s="25">
        <f>VLOOKUP(B59,'Data qoq'!$A:$AT,MATCH($G$1,'Data qoq'!$A$1:$AT$1,),)</f>
        <v>0.20910942099999999</v>
      </c>
      <c r="H59" s="25">
        <f>VLOOKUP(B59,'Data qoq'!$A:$AT,MATCH($H$1,'Data qoq'!$A$1:$AT$1,),)</f>
        <v>4.1552165000000002E-2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0.20983584699999999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-0.21496299999999999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-0.26388800000000001</v>
      </c>
      <c r="F60" s="25">
        <f>VLOOKUP(B60,'Data qoq'!$A:$AT,MATCH($F$1,'Data qoq'!$A$1:$AT$1,),)</f>
        <v>-0.91811690700000004</v>
      </c>
      <c r="G60" s="25">
        <f>VLOOKUP(B60,'Data qoq'!$A:$AT,MATCH($G$1,'Data qoq'!$A$1:$AT$1,),)</f>
        <v>0.20864962200000001</v>
      </c>
      <c r="H60" s="25">
        <f>VLOOKUP(B60,'Data qoq'!$A:$AT,MATCH($H$1,'Data qoq'!$A$1:$AT$1,),)</f>
        <v>-0.150821386</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0.13793597399999999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-0.26388800000000001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-0.37460886900000001</v>
      </c>
      <c r="G61" s="25">
        <f>VLOOKUP(B61,'Data qoq'!$A:$AT,MATCH($G$1,'Data qoq'!$A$1:$AT$1,),)</f>
        <v>0.28111072500000001</v>
      </c>
      <c r="H61" s="25">
        <f>VLOOKUP(B61,'Data qoq'!$A:$AT,MATCH($H$1,'Data qoq'!$A$1:$AT$1,),)</f>
        <v>0.2368739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-0.114798663</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-7.3451058E-2</v>
      </c>
      <c r="G62" s="25">
        <f>VLOOKUP(B62,'Data qoq'!$A:$AT,MATCH($G$1,'Data qoq'!$A$1:$AT$1,),)</f>
        <v>-0.44642873700000002</v>
      </c>
      <c r="H62" s="25">
        <f>VLOOKUP(B62,'Data qoq'!$A:$AT,MATCH($H$1,'Data qoq'!$A$1:$AT$1,),)</f>
        <v>-0.13451901799999999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-0.75481785499999998</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-0.332403</v>
      </c>
      <c r="F63" s="25">
        <f>VLOOKUP(B63,'Data qoq'!$A:$AT,MATCH($F$1,'Data qoq'!$A$1:$AT$1,),)</f>
        <v>1.387478108</v>
      </c>
      <c r="G63" s="25">
        <f>VLOOKUP(B63,'Data qoq'!$A:$AT,MATCH($G$1,'Data qoq'!$A$1:$AT$1,),)</f>
        <v>-0.45626323299999999</v>
      </c>
      <c r="H63" s="25">
        <f>VLOOKUP(B63,'Data qoq'!$A:$AT,MATCH($H$1,'Data qoq'!$A$1:$AT$1,),)</f>
        <v>9.2748127999999999E-2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1.4225799770000001</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-0.332403</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0.51473100000000005</v>
      </c>
      <c r="F64" s="25">
        <f>VLOOKUP(B64,'Data qoq'!$A:$AT,MATCH($F$1,'Data qoq'!$A$1:$AT$1,),)</f>
        <v>0.90031722400000003</v>
      </c>
      <c r="G64" s="25">
        <f>VLOOKUP(B64,'Data qoq'!$A:$AT,MATCH($G$1,'Data qoq'!$A$1:$AT$1,),)</f>
        <v>1.0686154889999999</v>
      </c>
      <c r="H64" s="25">
        <f>VLOOKUP(B64,'Data qoq'!$A:$AT,MATCH($H$1,'Data qoq'!$A$1:$AT$1,),)</f>
        <v>0.65732002</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-9.2089230999999994E-2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0.51473100000000005</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0.960381331</v>
      </c>
      <c r="G65" s="25">
        <f>VLOOKUP(B65,'Data qoq'!$A:$AT,MATCH($G$1,'Data qoq'!$A$1:$AT$1,),)</f>
        <v>0.55975774599999994</v>
      </c>
      <c r="H65" s="25">
        <f>VLOOKUP(B65,'Data qoq'!$A:$AT,MATCH($H$1,'Data qoq'!$A$1:$AT$1,),)</f>
        <v>-8.7236647E-2</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0.45651540000000002</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-0.12712327600000001</v>
      </c>
      <c r="G66" s="25">
        <f>VLOOKUP(B66,'Data qoq'!$A:$AT,MATCH($G$1,'Data qoq'!$A$1:$AT$1,),)</f>
        <v>0.28863740900000001</v>
      </c>
      <c r="H66" s="25">
        <f>VLOOKUP(B66,'Data qoq'!$A:$AT,MATCH($H$1,'Data qoq'!$A$1:$AT$1,),)</f>
        <v>0.64021262999999995</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0.65620735500000005</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0.414157</v>
      </c>
      <c r="F67" s="25">
        <f>VLOOKUP(B67,'Data qoq'!$A:$AT,MATCH($F$1,'Data qoq'!$A$1:$AT$1,),)</f>
        <v>0.82075183200000001</v>
      </c>
      <c r="G67" s="25">
        <f>VLOOKUP(B67,'Data qoq'!$A:$AT,MATCH($G$1,'Data qoq'!$A$1:$AT$1,),)</f>
        <v>0.973900086</v>
      </c>
      <c r="H67" s="25">
        <f>VLOOKUP(B67,'Data qoq'!$A:$AT,MATCH($H$1,'Data qoq'!$A$1:$AT$1,),)</f>
        <v>2.5536627999999999E-2</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0.87860761200000004</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0.414157</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0.19500899999999999</v>
      </c>
      <c r="F68" s="25">
        <f>VLOOKUP(B68,'Data qoq'!$A:$AT,MATCH($F$1,'Data qoq'!$A$1:$AT$1,),)</f>
        <v>-1.805090584</v>
      </c>
      <c r="G68" s="25">
        <f>VLOOKUP(B68,'Data qoq'!$A:$AT,MATCH($G$1,'Data qoq'!$A$1:$AT$1,),)</f>
        <v>0</v>
      </c>
      <c r="H68" s="25">
        <f>VLOOKUP(B68,'Data qoq'!$A:$AT,MATCH($H$1,'Data qoq'!$A$1:$AT$1,),)</f>
        <v>8.5709553999999993E-2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0.80598464700000005</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0.19500899999999999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0.49391499999999999</v>
      </c>
      <c r="F69" s="25">
        <f>VLOOKUP(B69,'Data qoq'!$A:$AT,MATCH($F$1,'Data qoq'!$A$1:$AT$1,),)</f>
        <v>8.4212389999999998E-2</v>
      </c>
      <c r="G69" s="25">
        <f>VLOOKUP(B69,'Data qoq'!$A:$AT,MATCH($G$1,'Data qoq'!$A$1:$AT$1,),)</f>
        <v>0.50895373600000005</v>
      </c>
      <c r="H69" s="25">
        <f>VLOOKUP(B69,'Data qoq'!$A:$AT,MATCH($H$1,'Data qoq'!$A$1:$AT$1,),)</f>
        <v>0.57008786499999997</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0.72050139000000002</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0.49391499999999999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0.35585899999999998</v>
      </c>
      <c r="F70" s="25">
        <f>VLOOKUP(B70,'Data qoq'!$A:$AT,MATCH($F$1,'Data qoq'!$A$1:$AT$1,),)</f>
        <v>0.46007367599999999</v>
      </c>
      <c r="G70" s="25">
        <f>VLOOKUP(B70,'Data qoq'!$A:$AT,MATCH($G$1,'Data qoq'!$A$1:$AT$1,),)</f>
        <v>0.81021447099999999</v>
      </c>
      <c r="H70" s="25">
        <f>VLOOKUP(B70,'Data qoq'!$A:$AT,MATCH($H$1,'Data qoq'!$A$1:$AT$1,),)</f>
        <v>-4.6280788000000003E-2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0.75234081900000005</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0.35585899999999998</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1.55715099</v>
      </c>
      <c r="G71" s="25">
        <f>IF(VLOOKUP(B71,'Data qoq'!$A:$AT,MATCH($G$1,'Data qoq'!$A$1:$AT$1,),)=0,#N/A,VLOOKUP(B71,'Data qoq'!$A:$AT,MATCH($G$1,'Data qoq'!$A$1:$AT$1,),))</f>
        <v>-0.51232340700000001</v>
      </c>
      <c r="H71" s="25">
        <f>IF(VLOOKUP(B71,'Data qoq'!$A:$AT,MATCH($H$1,'Data qoq'!$A$1:$AT$1,),)=0,#N/A,VLOOKUP(B71,'Data qoq'!$A:$AT,MATCH($H$1,'Data qoq'!$A$1:$AT$1,),))</f>
        <v>0.54279989399999995</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1.4302975360000001</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0.13567970700000001</v>
      </c>
      <c r="G72" s="25">
        <f>IF(VLOOKUP(B72,'Data qoq'!$A:$AT,MATCH($G$1,'Data qoq'!$A$1:$AT$1,),)=0,#N/A,VLOOKUP(B72,'Data qoq'!$A:$AT,MATCH($G$1,'Data qoq'!$A$1:$AT$1,),))</f>
        <v>0.73714628999999998</v>
      </c>
      <c r="H72" s="25">
        <f>IF(VLOOKUP(B72,'Data qoq'!$A:$AT,MATCH($H$1,'Data qoq'!$A$1:$AT$1,),)=0,#N/A,VLOOKUP(B72,'Data qoq'!$A:$AT,MATCH($H$1,'Data qoq'!$A$1:$AT$1,),))</f>
        <v>0.104493246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0.99542410400000003</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0.416819</v>
      </c>
      <c r="F73" s="25">
        <f>IF(VLOOKUP(B73,'Data qoq'!$A:$AT,MATCH($F$1,'Data qoq'!$A$1:$AT$1,),)=0,#N/A,VLOOKUP(B73,'Data qoq'!$A:$AT,MATCH($F$1,'Data qoq'!$A$1:$AT$1,),))</f>
        <v>9.8375239000000003E-2</v>
      </c>
      <c r="G73" s="25">
        <f>IF(VLOOKUP(B73,'Data qoq'!$A:$AT,MATCH($G$1,'Data qoq'!$A$1:$AT$1,),)=0,#N/A,VLOOKUP(B73,'Data qoq'!$A:$AT,MATCH($G$1,'Data qoq'!$A$1:$AT$1,),))</f>
        <v>0.45108163299999998</v>
      </c>
      <c r="H73" s="25">
        <f>IF(VLOOKUP(B73,'Data qoq'!$A:$AT,MATCH($H$1,'Data qoq'!$A$1:$AT$1,),)=0,#N/A,VLOOKUP(B73,'Data qoq'!$A:$AT,MATCH($H$1,'Data qoq'!$A$1:$AT$1,),))</f>
        <v>0.22458803399999999</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1.3777095580000001</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0.46210400000000001</v>
      </c>
      <c r="F74" s="25">
        <f>IF(VLOOKUP(B74,'Data qoq'!$A:$AT,MATCH($F$1,'Data qoq'!$A$1:$AT$1,),)=0,#N/A,VLOOKUP(B74,'Data qoq'!$A:$AT,MATCH($F$1,'Data qoq'!$A$1:$AT$1,),))</f>
        <v>-0.16932866399999999</v>
      </c>
      <c r="G74" s="25">
        <f>IF(VLOOKUP(B74,'Data qoq'!$A:$AT,MATCH($G$1,'Data qoq'!$A$1:$AT$1,),)=0,#N/A,VLOOKUP(B74,'Data qoq'!$A:$AT,MATCH($G$1,'Data qoq'!$A$1:$AT$1,),))</f>
        <v>0.43907996199999999</v>
      </c>
      <c r="H74" s="25">
        <f>IF(VLOOKUP(B74,'Data qoq'!$A:$AT,MATCH($H$1,'Data qoq'!$A$1:$AT$1,),)=0,#N/A,VLOOKUP(B74,'Data qoq'!$A:$AT,MATCH($H$1,'Data qoq'!$A$1:$AT$1,),))</f>
        <v>0.18895150899999999</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0.73817210700000002</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0.55583000000000005</v>
      </c>
      <c r="F75" s="25">
        <f>IF(VLOOKUP(B75,'Data qoq'!$A:$AT,MATCH($F$1,'Data qoq'!$A$1:$AT$1,),)=0,#N/A,VLOOKUP(B75,'Data qoq'!$A:$AT,MATCH($F$1,'Data qoq'!$A$1:$AT$1,),))</f>
        <v>0.74742164499999997</v>
      </c>
      <c r="G75" s="25">
        <f>IF(VLOOKUP(B75,'Data qoq'!$A:$AT,MATCH($G$1,'Data qoq'!$A$1:$AT$1,),)=0,#N/A,VLOOKUP(B75,'Data qoq'!$A:$AT,MATCH($G$1,'Data qoq'!$A$1:$AT$1,),))</f>
        <v>0.839568541</v>
      </c>
      <c r="H75" s="25">
        <f>IF(VLOOKUP(B75,'Data qoq'!$A:$AT,MATCH($H$1,'Data qoq'!$A$1:$AT$1,),)=0,#N/A,VLOOKUP(B75,'Data qoq'!$A:$AT,MATCH($H$1,'Data qoq'!$A$1:$AT$1,),))</f>
        <v>0.64875779899999997</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-5.5222253999999998E-2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1"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0.23383599999999999</v>
      </c>
      <c r="F76" s="25">
        <f>IF(VLOOKUP(B76,'Data qoq'!$A:$AT,MATCH($F$1,'Data qoq'!$A$1:$AT$1,),)=0,#N/A,VLOOKUP(B76,'Data qoq'!$A:$AT,MATCH($F$1,'Data qoq'!$A$1:$AT$1,),))</f>
        <v>-0.15920425599999999</v>
      </c>
      <c r="G76" s="25">
        <f>IF(VLOOKUP(B76,'Data qoq'!$A:$AT,MATCH($G$1,'Data qoq'!$A$1:$AT$1,),)=0,#N/A,VLOOKUP(B76,'Data qoq'!$A:$AT,MATCH($G$1,'Data qoq'!$A$1:$AT$1,),))</f>
        <v>0.44339266900000002</v>
      </c>
      <c r="H76" s="25">
        <f>IF(VLOOKUP(B76,'Data qoq'!$A:$AT,MATCH($H$1,'Data qoq'!$A$1:$AT$1,),)=0,#N/A,VLOOKUP(B76,'Data qoq'!$A:$AT,MATCH($H$1,'Data qoq'!$A$1:$AT$1,),))</f>
        <v>-0.32213314199999998</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5.3795335999999999E-2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0.19899456500000001</v>
      </c>
      <c r="G77" s="25">
        <f>IF(VLOOKUP(B77,'Data qoq'!$A:$AT,MATCH($G$1,'Data qoq'!$A$1:$AT$1,),)=0,#N/A,VLOOKUP(B77,'Data qoq'!$A:$AT,MATCH($G$1,'Data qoq'!$A$1:$AT$1,),))</f>
        <v>0.255048728</v>
      </c>
      <c r="H77" s="25">
        <f>IF(VLOOKUP(B77,'Data qoq'!$A:$AT,MATCH($H$1,'Data qoq'!$A$1:$AT$1,),)=0,#N/A,VLOOKUP(B77,'Data qoq'!$A:$AT,MATCH($H$1,'Data qoq'!$A$1:$AT$1,),))</f>
        <v>0.29396091299999999</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0.29284243900000001</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0.75712800000000002</v>
      </c>
      <c r="F78" s="25">
        <f>IF(VLOOKUP(B78,'Data qoq'!$A:$AT,MATCH($F$1,'Data qoq'!$A$1:$AT$1,),)=0,#N/A,VLOOKUP(B78,'Data qoq'!$A:$AT,MATCH($F$1,'Data qoq'!$A$1:$AT$1,),))</f>
        <v>0.14997332599999999</v>
      </c>
      <c r="G78" s="25">
        <f>IF(VLOOKUP(B78,'Data qoq'!$A:$AT,MATCH($G$1,'Data qoq'!$A$1:$AT$1,),)=0,#N/A,VLOOKUP(B78,'Data qoq'!$A:$AT,MATCH($G$1,'Data qoq'!$A$1:$AT$1,),))</f>
        <v>0.36203717000000002</v>
      </c>
      <c r="H78" s="25">
        <f>IF(VLOOKUP(B78,'Data qoq'!$A:$AT,MATCH($H$1,'Data qoq'!$A$1:$AT$1,),)=0,#N/A,VLOOKUP(B78,'Data qoq'!$A:$AT,MATCH($H$1,'Data qoq'!$A$1:$AT$1,),))</f>
        <v>0.58333690299999996</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0.88217514200000002</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0.68295399999999995</v>
      </c>
      <c r="F79" s="25">
        <f>IF(VLOOKUP(B79,'Data qoq'!$A:$AT,MATCH($F$1,'Data qoq'!$A$1:$AT$1,),)=0,#N/A,VLOOKUP(B79,'Data qoq'!$A:$AT,MATCH($F$1,'Data qoq'!$A$1:$AT$1,),))</f>
        <v>0.821241997</v>
      </c>
      <c r="G79" s="25">
        <f>IF(VLOOKUP(B79,'Data qoq'!$A:$AT,MATCH($G$1,'Data qoq'!$A$1:$AT$1,),)=0,#N/A,VLOOKUP(B79,'Data qoq'!$A:$AT,MATCH($G$1,'Data qoq'!$A$1:$AT$1,),))</f>
        <v>1.2040455290000001</v>
      </c>
      <c r="H79" s="25">
        <f>IF(VLOOKUP(B79,'Data qoq'!$A:$AT,MATCH($H$1,'Data qoq'!$A$1:$AT$1,),)=0,#N/A,VLOOKUP(B79,'Data qoq'!$A:$AT,MATCH($H$1,'Data qoq'!$A$1:$AT$1,),))</f>
        <v>0.75559086499999994</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0.49363836100000003</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0.33164160100000001</v>
      </c>
      <c r="G80" s="25">
        <f>IF(VLOOKUP(B80,'Data qoq'!$A:$AT,MATCH($G$1,'Data qoq'!$A$1:$AT$1,),)=0,#N/A,VLOOKUP(B80,'Data qoq'!$A:$AT,MATCH($G$1,'Data qoq'!$A$1:$AT$1,),))</f>
        <v>0.84770029099999999</v>
      </c>
      <c r="H80" s="25">
        <f>IF(VLOOKUP(B80,'Data qoq'!$A:$AT,MATCH($H$1,'Data qoq'!$A$1:$AT$1,),)=0,#N/A,VLOOKUP(B80,'Data qoq'!$A:$AT,MATCH($H$1,'Data qoq'!$A$1:$AT$1,),))</f>
        <v>0.78652592799999999</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1.2790749219999999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0.85488761199999996</v>
      </c>
      <c r="G81" s="25">
        <f>IF(VLOOKUP(B81,'Data qoq'!$A:$AT,MATCH($G$1,'Data qoq'!$A$1:$AT$1,),)=0,#N/A,VLOOKUP(B81,'Data qoq'!$A:$AT,MATCH($G$1,'Data qoq'!$A$1:$AT$1,),))</f>
        <v>0.735511417</v>
      </c>
      <c r="H81" s="25">
        <f>IF(VLOOKUP(B81,'Data qoq'!$A:$AT,MATCH($H$1,'Data qoq'!$A$1:$AT$1,),)=0,#N/A,VLOOKUP(B81,'Data qoq'!$A:$AT,MATCH($H$1,'Data qoq'!$A$1:$AT$1,),))</f>
        <v>0.85105653999999997</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0.90620105900000003</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0.114591981</v>
      </c>
      <c r="G82" s="25">
        <f>IF(VLOOKUP(B82,'Data qoq'!$A:$AT,MATCH($G$1,'Data qoq'!$A$1:$AT$1,),)=0,#N/A,VLOOKUP(B82,'Data qoq'!$A:$AT,MATCH($G$1,'Data qoq'!$A$1:$AT$1,),))</f>
        <v>0.91029780299999996</v>
      </c>
      <c r="H82" s="25">
        <f>IF(VLOOKUP(B82,'Data qoq'!$A:$AT,MATCH($H$1,'Data qoq'!$A$1:$AT$1,),)=0,#N/A,VLOOKUP(B82,'Data qoq'!$A:$AT,MATCH($H$1,'Data qoq'!$A$1:$AT$1,),))</f>
        <v>0.59984290399999995</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0.20182367900000001</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-3.4710000000000001E-3</v>
      </c>
      <c r="F83" s="25">
        <f>IF(VLOOKUP(B83,'Data qoq'!$A:$AT,MATCH($F$1,'Data qoq'!$A$1:$AT$1,),)=0,#N/A,VLOOKUP(B83,'Data qoq'!$A:$AT,MATCH($F$1,'Data qoq'!$A$1:$AT$1,),))</f>
        <v>0.110150729</v>
      </c>
      <c r="G83" s="25">
        <f>IF(VLOOKUP(B83,'Data qoq'!$A:$AT,MATCH($G$1,'Data qoq'!$A$1:$AT$1,),)=0,#N/A,VLOOKUP(B83,'Data qoq'!$A:$AT,MATCH($G$1,'Data qoq'!$A$1:$AT$1,),))</f>
        <v>-0.58023882800000004</v>
      </c>
      <c r="H83" s="25">
        <f>IF(VLOOKUP(B83,'Data qoq'!$A:$AT,MATCH($H$1,'Data qoq'!$A$1:$AT$1,),)=0,#N/A,VLOOKUP(B83,'Data qoq'!$A:$AT,MATCH($H$1,'Data qoq'!$A$1:$AT$1,),))</f>
        <v>8.1843914000000004E-2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0.41916378500000001</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0.53931300000000004</v>
      </c>
      <c r="F84" s="25">
        <f>IF(VLOOKUP(B84,'Data qoq'!$A:$AT,MATCH($F$1,'Data qoq'!$A$1:$AT$1,),)=0,#N/A,VLOOKUP(B84,'Data qoq'!$A:$AT,MATCH($F$1,'Data qoq'!$A$1:$AT$1,),))</f>
        <v>0.27707337999999998</v>
      </c>
      <c r="G84" s="25">
        <f>IF(VLOOKUP(B84,'Data qoq'!$A:$AT,MATCH($G$1,'Data qoq'!$A$1:$AT$1,),)=0,#N/A,VLOOKUP(B84,'Data qoq'!$A:$AT,MATCH($G$1,'Data qoq'!$A$1:$AT$1,),))</f>
        <v>0.70888626700000001</v>
      </c>
      <c r="H84" s="25">
        <f>IF(VLOOKUP(B84,'Data qoq'!$A:$AT,MATCH($H$1,'Data qoq'!$A$1:$AT$1,),)=0,#N/A,VLOOKUP(B84,'Data qoq'!$A:$AT,MATCH($H$1,'Data qoq'!$A$1:$AT$1,),))</f>
        <v>0.431767713</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1.0003899300000001</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8.6669999999999994E-3</v>
      </c>
      <c r="F85" s="25">
        <f>IF(VLOOKUP(B85,'Data qoq'!$A:$AT,MATCH($F$1,'Data qoq'!$A$1:$AT$1,),)=0,#N/A,VLOOKUP(B85,'Data qoq'!$A:$AT,MATCH($F$1,'Data qoq'!$A$1:$AT$1,),))</f>
        <v>-0.48846534800000002</v>
      </c>
      <c r="G85" s="25">
        <f>IF(VLOOKUP(B85,'Data qoq'!$A:$AT,MATCH($G$1,'Data qoq'!$A$1:$AT$1,),)=0,#N/A,VLOOKUP(B85,'Data qoq'!$A:$AT,MATCH($G$1,'Data qoq'!$A$1:$AT$1,),))</f>
        <v>-0.78836500799999998</v>
      </c>
      <c r="H85" s="25">
        <f>IF(VLOOKUP(B85,'Data qoq'!$A:$AT,MATCH($H$1,'Data qoq'!$A$1:$AT$1,),)=0,#N/A,VLOOKUP(B85,'Data qoq'!$A:$AT,MATCH($H$1,'Data qoq'!$A$1:$AT$1,),))</f>
        <v>0.38390517200000002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-0.80707214000000005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0.64662299999999995</v>
      </c>
      <c r="F86" s="25">
        <f>IF(VLOOKUP(B86,'Data qoq'!$A:$AT,MATCH($F$1,'Data qoq'!$A$1:$AT$1,),)=0,#N/A,VLOOKUP(B86,'Data qoq'!$A:$AT,MATCH($F$1,'Data qoq'!$A$1:$AT$1,),))</f>
        <v>-0.13600684699999999</v>
      </c>
      <c r="G86" s="25">
        <f>IF(VLOOKUP(B86,'Data qoq'!$A:$AT,MATCH($G$1,'Data qoq'!$A$1:$AT$1,),)=0,#N/A,VLOOKUP(B86,'Data qoq'!$A:$AT,MATCH($G$1,'Data qoq'!$A$1:$AT$1,),))</f>
        <v>0.794634591</v>
      </c>
      <c r="H86" s="25">
        <f>IF(VLOOKUP(B86,'Data qoq'!$A:$AT,MATCH($H$1,'Data qoq'!$A$1:$AT$1,),)=0,#N/A,VLOOKUP(B86,'Data qoq'!$A:$AT,MATCH($H$1,'Data qoq'!$A$1:$AT$1,),))</f>
        <v>0.58380125400000005</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1.314728238</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0.62850899999999998</v>
      </c>
      <c r="F87" s="25">
        <f>IF(VLOOKUP(B87,'Data qoq'!$A:$AT,MATCH($F$1,'Data qoq'!$A$1:$AT$1,),)=0,#N/A,VLOOKUP(B87,'Data qoq'!$A:$AT,MATCH($F$1,'Data qoq'!$A$1:$AT$1,),))</f>
        <v>0.23391630999999999</v>
      </c>
      <c r="G87" s="25">
        <f>IF(VLOOKUP(B87,'Data qoq'!$A:$AT,MATCH($G$1,'Data qoq'!$A$1:$AT$1,),)=0,#N/A,VLOOKUP(B87,'Data qoq'!$A:$AT,MATCH($G$1,'Data qoq'!$A$1:$AT$1,),))</f>
        <v>0.71562698000000002</v>
      </c>
      <c r="H87" s="25">
        <f>IF(VLOOKUP(B87,'Data qoq'!$A:$AT,MATCH($H$1,'Data qoq'!$A$1:$AT$1,),)=0,#N/A,VLOOKUP(B87,'Data qoq'!$A:$AT,MATCH($H$1,'Data qoq'!$A$1:$AT$1,),))</f>
        <v>0.67613437300000001</v>
      </c>
      <c r="I87" s="25">
        <f>IF(VLOOKUP(B87,'Data qoq'!$A:$AT,MATCH($I$1,'Data qoq'!$A$1:$AT$1,),)=0,#N/A,VLOOKUP(B87,'Data qoq'!$A:$AT,MATCH($I$1,'Data qoq'!$A$1:$AT$1,),))</f>
        <v>0.63036359600000003</v>
      </c>
      <c r="J87" s="25">
        <f>IF(VLOOKUP(B87,'Data qoq'!$A:$AT,MATCH($J$1,'Data qoq'!$A$1:$AT$1,),)=0,#N/A,VLOOKUP(B87,'Data qoq'!$A:$AT,MATCH($J$1,'Data qoq'!$A$1:$AT$1,),))</f>
        <v>0.188370498</v>
      </c>
      <c r="K87" s="25">
        <f>IF(VLOOKUP(B87,'Data qoq'!$A:$AT,MATCH($K$1,'Data qoq'!$A$1:$AT$1,),)=0,#N/A,VLOOKUP(B87,'Data qoq'!$A:$AT,MATCH($K$1,'Data qoq'!$A$1:$AT$1,),))</f>
        <v>0.60886152699999996</v>
      </c>
      <c r="L87" s="25">
        <f>IF(VLOOKUP(B87,'Data qoq'!$A:$AT,MATCH($L$1,'Data qoq'!$A$1:$AT$1,),)=0,#N/A,VLOOKUP(B87,'Data qoq'!$A:$AT,MATCH($L$1,'Data qoq'!$A$1:$AT$1,),))</f>
        <v>0.60985741100000002</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0.313552</v>
      </c>
      <c r="F88" s="25">
        <f>IF(VLOOKUP(B88,'Data qoq'!$A:$AT,MATCH($F$1,'Data qoq'!$A$1:$AT$1,),)=0,#N/A,VLOOKUP(B88,'Data qoq'!$A:$AT,MATCH($F$1,'Data qoq'!$A$1:$AT$1,),))</f>
        <v>0.28403019499999999</v>
      </c>
      <c r="G88" s="25">
        <f>IF(VLOOKUP(B88,'Data qoq'!$A:$AT,MATCH($G$1,'Data qoq'!$A$1:$AT$1,),)=0,#N/A,VLOOKUP(B88,'Data qoq'!$A:$AT,MATCH($G$1,'Data qoq'!$A$1:$AT$1,),))</f>
        <v>-0.16774414400000001</v>
      </c>
      <c r="H88" s="25">
        <f>IF(VLOOKUP(B88,'Data qoq'!$A:$AT,MATCH($H$1,'Data qoq'!$A$1:$AT$1,),)=0,#N/A,VLOOKUP(B88,'Data qoq'!$A:$AT,MATCH($H$1,'Data qoq'!$A$1:$AT$1,),))</f>
        <v>0.68779285999999995</v>
      </c>
      <c r="I88" s="25">
        <f>IF(VLOOKUP(B88,'Data qoq'!$A:$AT,MATCH($I$1,'Data qoq'!$A$1:$AT$1,),)=0,#N/A,VLOOKUP(B88,'Data qoq'!$A:$AT,MATCH($I$1,'Data qoq'!$A$1:$AT$1,),))</f>
        <v>0.109963441</v>
      </c>
      <c r="J88" s="25">
        <f>IF(VLOOKUP(B88,'Data qoq'!$A:$AT,MATCH($J$1,'Data qoq'!$A$1:$AT$1,),)=0,#N/A,VLOOKUP(B88,'Data qoq'!$A:$AT,MATCH($J$1,'Data qoq'!$A$1:$AT$1,),))</f>
        <v>0.228368346</v>
      </c>
      <c r="K88" s="25">
        <f>IF(VLOOKUP(B88,'Data qoq'!$A:$AT,MATCH($K$1,'Data qoq'!$A$1:$AT$1,),)=0,#N/A,VLOOKUP(B88,'Data qoq'!$A:$AT,MATCH($K$1,'Data qoq'!$A$1:$AT$1,),))</f>
        <v>0.34620021699999998</v>
      </c>
      <c r="L88" s="25">
        <f>IF(VLOOKUP(B88,'Data qoq'!$A:$AT,MATCH($L$1,'Data qoq'!$A$1:$AT$1,),)=0,#N/A,VLOOKUP(B88,'Data qoq'!$A:$AT,MATCH($L$1,'Data qoq'!$A$1:$AT$1,),))</f>
        <v>0.50405643099999997</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0.20713599999999999</v>
      </c>
      <c r="F89" s="25">
        <f>IF(VLOOKUP(B89,'Data qoq'!$A:$AT,MATCH($F$1,'Data qoq'!$A$1:$AT$1,),)=0,#N/A,VLOOKUP(B89,'Data qoq'!$A:$AT,MATCH($F$1,'Data qoq'!$A$1:$AT$1,),))</f>
        <v>0.25294114899999998</v>
      </c>
      <c r="G89" s="25">
        <f>IF(VLOOKUP(B89,'Data qoq'!$A:$AT,MATCH($G$1,'Data qoq'!$A$1:$AT$1,),)=0,#N/A,VLOOKUP(B89,'Data qoq'!$A:$AT,MATCH($G$1,'Data qoq'!$A$1:$AT$1,),))</f>
        <v>0.112016509</v>
      </c>
      <c r="H89" s="25">
        <f>IF(VLOOKUP(B89,'Data qoq'!$A:$AT,MATCH($H$1,'Data qoq'!$A$1:$AT$1,),)=0,#N/A,VLOOKUP(B89,'Data qoq'!$A:$AT,MATCH($H$1,'Data qoq'!$A$1:$AT$1,),))</f>
        <v>2.1200843E-2</v>
      </c>
      <c r="I89" s="25">
        <f>IF(VLOOKUP(B89,'Data qoq'!$A:$AT,MATCH($I$1,'Data qoq'!$A$1:$AT$1,),)=0,#N/A,VLOOKUP(B89,'Data qoq'!$A:$AT,MATCH($I$1,'Data qoq'!$A$1:$AT$1,),))</f>
        <v>0.61085417399999997</v>
      </c>
      <c r="J89" s="25">
        <f>IF(VLOOKUP(B89,'Data qoq'!$A:$AT,MATCH($J$1,'Data qoq'!$A$1:$AT$1,),)=0,#N/A,VLOOKUP(B89,'Data qoq'!$A:$AT,MATCH($J$1,'Data qoq'!$A$1:$AT$1,),))</f>
        <v>7.2463517000000005E-2</v>
      </c>
      <c r="K89" s="25">
        <f>IF(VLOOKUP(B89,'Data qoq'!$A:$AT,MATCH($K$1,'Data qoq'!$A$1:$AT$1,),)=0,#N/A,VLOOKUP(B89,'Data qoq'!$A:$AT,MATCH($K$1,'Data qoq'!$A$1:$AT$1,),))</f>
        <v>0.29500010100000001</v>
      </c>
      <c r="L89" s="25">
        <f>IF(VLOOKUP(B89,'Data qoq'!$A:$AT,MATCH($L$1,'Data qoq'!$A$1:$AT$1,),)=0,#N/A,VLOOKUP(B89,'Data qoq'!$A:$AT,MATCH($L$1,'Data qoq'!$A$1:$AT$1,),))</f>
        <v>0.159612538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1.5422E-2</v>
      </c>
      <c r="F90" s="25">
        <f>IF(VLOOKUP(B90,'Data qoq'!$A:$AT,MATCH($F$1,'Data qoq'!$A$1:$AT$1,),)=0,#N/A,VLOOKUP(B90,'Data qoq'!$A:$AT,MATCH($F$1,'Data qoq'!$A$1:$AT$1,),))</f>
        <v>-2.746182852</v>
      </c>
      <c r="G90" s="25">
        <f>IF(VLOOKUP(B90,'Data qoq'!$A:$AT,MATCH($G$1,'Data qoq'!$A$1:$AT$1,),)=0,#N/A,VLOOKUP(B90,'Data qoq'!$A:$AT,MATCH($G$1,'Data qoq'!$A$1:$AT$1,),))</f>
        <v>0.261074062</v>
      </c>
      <c r="H90" s="25">
        <f>IF(VLOOKUP(B90,'Data qoq'!$A:$AT,MATCH($H$1,'Data qoq'!$A$1:$AT$1,),)=0,#N/A,VLOOKUP(B90,'Data qoq'!$A:$AT,MATCH($H$1,'Data qoq'!$A$1:$AT$1,),))</f>
        <v>-0.26886885300000002</v>
      </c>
      <c r="I90" s="25">
        <f>IF(VLOOKUP(B90,'Data qoq'!$A:$AT,MATCH($I$1,'Data qoq'!$A$1:$AT$1,),)=0,#N/A,VLOOKUP(B90,'Data qoq'!$A:$AT,MATCH($I$1,'Data qoq'!$A$1:$AT$1,),))</f>
        <v>-2.5112203E-2</v>
      </c>
      <c r="J90" s="25">
        <f>IF(VLOOKUP(B90,'Data qoq'!$A:$AT,MATCH($J$1,'Data qoq'!$A$1:$AT$1,),)=0,#N/A,VLOOKUP(B90,'Data qoq'!$A:$AT,MATCH($J$1,'Data qoq'!$A$1:$AT$1,),))</f>
        <v>-0.83269242200000004</v>
      </c>
      <c r="K90" s="25">
        <f>IF(VLOOKUP(B90,'Data qoq'!$A:$AT,MATCH($K$1,'Data qoq'!$A$1:$AT$1,),)=0,#N/A,VLOOKUP(B90,'Data qoq'!$A:$AT,MATCH($K$1,'Data qoq'!$A$1:$AT$1,),))</f>
        <v>0.21716943599999999</v>
      </c>
      <c r="L90" s="25">
        <f>IF(VLOOKUP(B90,'Data qoq'!$A:$AT,MATCH($L$1,'Data qoq'!$A$1:$AT$1,),)=0,#N/A,VLOOKUP(B90,'Data qoq'!$A:$AT,MATCH($L$1,'Data qoq'!$A$1:$AT$1,),))</f>
        <v>0.436567335</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-3.3656009999999998</v>
      </c>
      <c r="F91" s="25">
        <f>IF(VLOOKUP(B91,'Data qoq'!$A:$AT,MATCH($F$1,'Data qoq'!$A$1:$AT$1,),)=0,#N/A,VLOOKUP(B91,'Data qoq'!$A:$AT,MATCH($F$1,'Data qoq'!$A$1:$AT$1,),))</f>
        <v>0.43345481699999999</v>
      </c>
      <c r="G91" s="25">
        <f>IF(VLOOKUP(B91,'Data qoq'!$A:$AT,MATCH($G$1,'Data qoq'!$A$1:$AT$1,),)=0,#N/A,VLOOKUP(B91,'Data qoq'!$A:$AT,MATCH($G$1,'Data qoq'!$A$1:$AT$1,),))</f>
        <v>-1.4227654919999999</v>
      </c>
      <c r="H91" s="25">
        <f>IF(VLOOKUP(B91,'Data qoq'!$A:$AT,MATCH($H$1,'Data qoq'!$A$1:$AT$1,),)=0,#N/A,VLOOKUP(B91,'Data qoq'!$A:$AT,MATCH($H$1,'Data qoq'!$A$1:$AT$1,),))</f>
        <v>-5.570557741</v>
      </c>
      <c r="I91" s="25">
        <f>IF(VLOOKUP(B91,'Data qoq'!$A:$AT,MATCH($I$1,'Data qoq'!$A$1:$AT$1,),)=0,#N/A,VLOOKUP(B91,'Data qoq'!$A:$AT,MATCH($I$1,'Data qoq'!$A$1:$AT$1,),))</f>
        <v>-2.6408284480000002</v>
      </c>
      <c r="J91" s="25">
        <f>IF(VLOOKUP(B91,'Data qoq'!$A:$AT,MATCH($J$1,'Data qoq'!$A$1:$AT$1,),)=0,#N/A,VLOOKUP(B91,'Data qoq'!$A:$AT,MATCH($J$1,'Data qoq'!$A$1:$AT$1,),))</f>
        <v>-5.8570645309999998</v>
      </c>
      <c r="K91" s="25">
        <f>IF(VLOOKUP(B91,'Data qoq'!$A:$AT,MATCH($K$1,'Data qoq'!$A$1:$AT$1,),)=0,#N/A,VLOOKUP(B91,'Data qoq'!$A:$AT,MATCH($K$1,'Data qoq'!$A$1:$AT$1,),))</f>
        <v>-5.4872551700000001</v>
      </c>
      <c r="L91" s="25">
        <f>IF(VLOOKUP(B91,'Data qoq'!$A:$AT,MATCH($L$1,'Data qoq'!$A$1:$AT$1,),)=0,#N/A,VLOOKUP(B91,'Data qoq'!$A:$AT,MATCH($L$1,'Data qoq'!$A$1:$AT$1,),))</f>
        <v>-7.6791524E-2</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-11.450771</v>
      </c>
      <c r="F92" s="25">
        <f>IF(VLOOKUP(B92,'Data qoq'!$A:$AT,MATCH($F$1,'Data qoq'!$A$1:$AT$1,),)=0,#N/A,VLOOKUP(B92,'Data qoq'!$A:$AT,MATCH($F$1,'Data qoq'!$A$1:$AT$1,),))</f>
        <v>-7.9704216140000002</v>
      </c>
      <c r="G92" s="25">
        <f>IF(VLOOKUP(B92,'Data qoq'!$A:$AT,MATCH($G$1,'Data qoq'!$A$1:$AT$1,),)=0,#N/A,VLOOKUP(B92,'Data qoq'!$A:$AT,MATCH($G$1,'Data qoq'!$A$1:$AT$1,),))</f>
        <v>-9.4811335119999995</v>
      </c>
      <c r="H92" s="25">
        <f>IF(VLOOKUP(B92,'Data qoq'!$A:$AT,MATCH($H$1,'Data qoq'!$A$1:$AT$1,),)=0,#N/A,VLOOKUP(B92,'Data qoq'!$A:$AT,MATCH($H$1,'Data qoq'!$A$1:$AT$1,),))</f>
        <v>-13.546783366</v>
      </c>
      <c r="I92" s="25">
        <f>IF(VLOOKUP(B92,'Data qoq'!$A:$AT,MATCH($I$1,'Data qoq'!$A$1:$AT$1,),)=0,#N/A,VLOOKUP(B92,'Data qoq'!$A:$AT,MATCH($I$1,'Data qoq'!$A$1:$AT$1,),))</f>
        <v>-20.991372605999999</v>
      </c>
      <c r="J92" s="25">
        <f>IF(VLOOKUP(B92,'Data qoq'!$A:$AT,MATCH($J$1,'Data qoq'!$A$1:$AT$1,),)=0,#N/A,VLOOKUP(B92,'Data qoq'!$A:$AT,MATCH($J$1,'Data qoq'!$A$1:$AT$1,),))</f>
        <v>-12.113348631999999</v>
      </c>
      <c r="K92" s="25">
        <f>IF(VLOOKUP(B92,'Data qoq'!$A:$AT,MATCH($K$1,'Data qoq'!$A$1:$AT$1,),)=0,#N/A,VLOOKUP(B92,'Data qoq'!$A:$AT,MATCH($K$1,'Data qoq'!$A$1:$AT$1,),))</f>
        <v>-17.826255917000001</v>
      </c>
      <c r="L92" s="25">
        <f>IF(VLOOKUP(B92,'Data qoq'!$A:$AT,MATCH($L$1,'Data qoq'!$A$1:$AT$1,),)=0,#N/A,VLOOKUP(B92,'Data qoq'!$A:$AT,MATCH($L$1,'Data qoq'!$A$1:$AT$1,),))</f>
        <v>-8.2371713839999998</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12.351077999999999</v>
      </c>
      <c r="F93" s="25">
        <f>IF(VLOOKUP(B93,'Data qoq'!$A:$AT,MATCH($F$1,'Data qoq'!$A$1:$AT$1,),)=0,#N/A,VLOOKUP(B93,'Data qoq'!$A:$AT,MATCH($F$1,'Data qoq'!$A$1:$AT$1,),))</f>
        <v>5.6492005790000004</v>
      </c>
      <c r="G93" s="25">
        <f>IF(VLOOKUP(B93,'Data qoq'!$A:$AT,MATCH($G$1,'Data qoq'!$A$1:$AT$1,),)=0,#N/A,VLOOKUP(B93,'Data qoq'!$A:$AT,MATCH($G$1,'Data qoq'!$A$1:$AT$1,),))</f>
        <v>9.0046949089999995</v>
      </c>
      <c r="H93" s="25">
        <f>IF(VLOOKUP(B93,'Data qoq'!$A:$AT,MATCH($H$1,'Data qoq'!$A$1:$AT$1,),)=0,#N/A,VLOOKUP(B93,'Data qoq'!$A:$AT,MATCH($H$1,'Data qoq'!$A$1:$AT$1,),))</f>
        <v>18.373992991000001</v>
      </c>
      <c r="I93" s="25">
        <f>IF(VLOOKUP(B93,'Data qoq'!$A:$AT,MATCH($I$1,'Data qoq'!$A$1:$AT$1,),)=0,#N/A,VLOOKUP(B93,'Data qoq'!$A:$AT,MATCH($I$1,'Data qoq'!$A$1:$AT$1,),))</f>
        <v>16.608614292999999</v>
      </c>
      <c r="J93" s="25">
        <f>IF(VLOOKUP(B93,'Data qoq'!$A:$AT,MATCH($J$1,'Data qoq'!$A$1:$AT$1,),)=0,#N/A,VLOOKUP(B93,'Data qoq'!$A:$AT,MATCH($J$1,'Data qoq'!$A$1:$AT$1,),))</f>
        <v>14.459447416</v>
      </c>
      <c r="K93" s="25">
        <f>IF(VLOOKUP(B93,'Data qoq'!$A:$AT,MATCH($K$1,'Data qoq'!$A$1:$AT$1,),)=0,#N/A,VLOOKUP(B93,'Data qoq'!$A:$AT,MATCH($K$1,'Data qoq'!$A$1:$AT$1,),))</f>
        <v>16.637933628999999</v>
      </c>
      <c r="L93" s="25">
        <f>IF(VLOOKUP(B93,'Data qoq'!$A:$AT,MATCH($L$1,'Data qoq'!$A$1:$AT$1,),)=0,#N/A,VLOOKUP(B93,'Data qoq'!$A:$AT,MATCH($L$1,'Data qoq'!$A$1:$AT$1,),))</f>
        <v>7.3748910009999999</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-6.0974E-2</v>
      </c>
      <c r="F94" s="25">
        <f>IF(VLOOKUP(B94,'Data qoq'!$A:$AT,MATCH($F$1,'Data qoq'!$A$1:$AT$1,),)=0,#N/A,VLOOKUP(B94,'Data qoq'!$A:$AT,MATCH($F$1,'Data qoq'!$A$1:$AT$1,),))</f>
        <v>-0.137347049</v>
      </c>
      <c r="G94" s="25">
        <f>IF(VLOOKUP(B94,'Data qoq'!$A:$AT,MATCH($G$1,'Data qoq'!$A$1:$AT$1,),)=0,#N/A,VLOOKUP(B94,'Data qoq'!$A:$AT,MATCH($G$1,'Data qoq'!$A$1:$AT$1,),))</f>
        <v>-1.468048603</v>
      </c>
      <c r="H94" s="25">
        <f>IF(VLOOKUP(B94,'Data qoq'!$A:$AT,MATCH($H$1,'Data qoq'!$A$1:$AT$1,),)=0,#N/A,VLOOKUP(B94,'Data qoq'!$A:$AT,MATCH($H$1,'Data qoq'!$A$1:$AT$1,),))</f>
        <v>8.0926611999999995E-2</v>
      </c>
      <c r="I94" s="25">
        <f>IF(VLOOKUP(B94,'Data qoq'!$A:$AT,MATCH($I$1,'Data qoq'!$A$1:$AT$1,),)=0,#N/A,VLOOKUP(B94,'Data qoq'!$A:$AT,MATCH($I$1,'Data qoq'!$A$1:$AT$1,),))</f>
        <v>-1.0529393410000001</v>
      </c>
      <c r="J94" s="25">
        <f>IF(VLOOKUP(B94,'Data qoq'!$A:$AT,MATCH($J$1,'Data qoq'!$A$1:$AT$1,),)=0,#N/A,VLOOKUP(B94,'Data qoq'!$A:$AT,MATCH($J$1,'Data qoq'!$A$1:$AT$1,),))</f>
        <v>0.266741006</v>
      </c>
      <c r="K94" s="25">
        <f>IF(VLOOKUP(B94,'Data qoq'!$A:$AT,MATCH($K$1,'Data qoq'!$A$1:$AT$1,),)=0,#N/A,VLOOKUP(B94,'Data qoq'!$A:$AT,MATCH($K$1,'Data qoq'!$A$1:$AT$1,),))</f>
        <v>-0.22866331500000001</v>
      </c>
      <c r="L94" s="25">
        <f>IF(VLOOKUP(B94,'Data qoq'!$A:$AT,MATCH($L$1,'Data qoq'!$A$1:$AT$1,),)=0,#N/A,VLOOKUP(B94,'Data qoq'!$A:$AT,MATCH($L$1,'Data qoq'!$A$1:$AT$1,),))</f>
        <v>1.453311461</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-0.49515535700000002</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1.985673</v>
      </c>
      <c r="F95" s="25">
        <f>IF(VLOOKUP(B95,'Data qoq'!$A:$AT,MATCH($F$1,'Data qoq'!$A$1:$AT$1,),)=0,#N/A,VLOOKUP(B95,'Data qoq'!$A:$AT,MATCH($F$1,'Data qoq'!$A$1:$AT$1,),))</f>
        <v>0.32325683300000002</v>
      </c>
      <c r="G95" s="25">
        <f>IF(VLOOKUP(B95,'Data qoq'!$A:$AT,MATCH($G$1,'Data qoq'!$A$1:$AT$1,),)=0,#N/A,VLOOKUP(B95,'Data qoq'!$A:$AT,MATCH($G$1,'Data qoq'!$A$1:$AT$1,),))</f>
        <v>1.928643933</v>
      </c>
      <c r="H95" s="25">
        <f>IF(VLOOKUP(B95,'Data qoq'!$A:$AT,MATCH($H$1,'Data qoq'!$A$1:$AT$1,),)=0,#N/A,VLOOKUP(B95,'Data qoq'!$A:$AT,MATCH($H$1,'Data qoq'!$A$1:$AT$1,),))</f>
        <v>1.075591336</v>
      </c>
      <c r="I95" s="25">
        <f>IF(VLOOKUP(B95,'Data qoq'!$A:$AT,MATCH($I$1,'Data qoq'!$A$1:$AT$1,),)=0,#N/A,VLOOKUP(B95,'Data qoq'!$A:$AT,MATCH($I$1,'Data qoq'!$A$1:$AT$1,),))</f>
        <v>6.5284429499999996</v>
      </c>
      <c r="J95" s="25">
        <f>IF(VLOOKUP(B95,'Data qoq'!$A:$AT,MATCH($J$1,'Data qoq'!$A$1:$AT$1,),)=0,#N/A,VLOOKUP(B95,'Data qoq'!$A:$AT,MATCH($J$1,'Data qoq'!$A$1:$AT$1,),))</f>
        <v>2.469963441</v>
      </c>
      <c r="K95" s="25">
        <f>IF(VLOOKUP(B95,'Data qoq'!$A:$AT,MATCH($K$1,'Data qoq'!$A$1:$AT$1,),)=0,#N/A,VLOOKUP(B95,'Data qoq'!$A:$AT,MATCH($K$1,'Data qoq'!$A$1:$AT$1,),))</f>
        <v>1.3522055589999999</v>
      </c>
      <c r="L95" s="25">
        <f>IF(VLOOKUP(B95,'Data qoq'!$A:$AT,MATCH($L$1,'Data qoq'!$A$1:$AT$1,),)=0,#N/A,VLOOKUP(B95,'Data qoq'!$A:$AT,MATCH($L$1,'Data qoq'!$A$1:$AT$1,),))</f>
        <v>0.56177984999999997</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1.389823598</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2.2495980000000002</v>
      </c>
      <c r="F96" s="25">
        <f>IF(VLOOKUP(B96,'Data qoq'!$A:$AT,MATCH($F$1,'Data qoq'!$A$1:$AT$1,),)=0,#N/A,VLOOKUP(B96,'Data qoq'!$A:$AT,MATCH($F$1,'Data qoq'!$A$1:$AT$1,),))</f>
        <v>-0.34044616700000002</v>
      </c>
      <c r="G96" s="25">
        <f>IF(VLOOKUP(B96,'Data qoq'!$A:$AT,MATCH($G$1,'Data qoq'!$A$1:$AT$1,),)=0,#N/A,VLOOKUP(B96,'Data qoq'!$A:$AT,MATCH($G$1,'Data qoq'!$A$1:$AT$1,),))</f>
        <v>0.78523687499999995</v>
      </c>
      <c r="H96" s="25">
        <f>IF(VLOOKUP(B96,'Data qoq'!$A:$AT,MATCH($H$1,'Data qoq'!$A$1:$AT$1,),)=0,#N/A,VLOOKUP(B96,'Data qoq'!$A:$AT,MATCH($H$1,'Data qoq'!$A$1:$AT$1,),))</f>
        <v>3.3111899579999999</v>
      </c>
      <c r="I96" s="25">
        <f>IF(VLOOKUP(B96,'Data qoq'!$A:$AT,MATCH($I$1,'Data qoq'!$A$1:$AT$1,),)=0,#N/A,VLOOKUP(B96,'Data qoq'!$A:$AT,MATCH($I$1,'Data qoq'!$A$1:$AT$1,),))</f>
        <v>1.7335132870000001</v>
      </c>
      <c r="J96" s="25">
        <f>IF(VLOOKUP(B96,'Data qoq'!$A:$AT,MATCH($J$1,'Data qoq'!$A$1:$AT$1,),)=0,#N/A,VLOOKUP(B96,'Data qoq'!$A:$AT,MATCH($J$1,'Data qoq'!$A$1:$AT$1,),))</f>
        <v>2.790192314</v>
      </c>
      <c r="K96" s="25">
        <f>IF(VLOOKUP(B96,'Data qoq'!$A:$AT,MATCH($K$1,'Data qoq'!$A$1:$AT$1,),)=0,#N/A,VLOOKUP(B96,'Data qoq'!$A:$AT,MATCH($K$1,'Data qoq'!$A$1:$AT$1,),))</f>
        <v>3.1081884460000002</v>
      </c>
      <c r="L96" s="25">
        <f>IF(VLOOKUP(B96,'Data qoq'!$A:$AT,MATCH($L$1,'Data qoq'!$A$1:$AT$1,),)=0,#N/A,VLOOKUP(B96,'Data qoq'!$A:$AT,MATCH($L$1,'Data qoq'!$A$1:$AT$1,),))</f>
        <v>1.772230218</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1.6977640039999999</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0.53577799999999998</v>
      </c>
      <c r="F97" s="25">
        <f>IF(VLOOKUP(B97,'Data qoq'!$A:$AT,MATCH($F$1,'Data qoq'!$A$1:$AT$1,),)=0,#N/A,VLOOKUP(B97,'Data qoq'!$A:$AT,MATCH($F$1,'Data qoq'!$A$1:$AT$1,),))</f>
        <v>1.0729469460000001</v>
      </c>
      <c r="G97" s="25">
        <f>IF(VLOOKUP(B97,'Data qoq'!$A:$AT,MATCH($G$1,'Data qoq'!$A$1:$AT$1,),)=0,#N/A,VLOOKUP(B97,'Data qoq'!$A:$AT,MATCH($G$1,'Data qoq'!$A$1:$AT$1,),))</f>
        <v>-2.8155110000000001E-2</v>
      </c>
      <c r="H97" s="25">
        <f>IF(VLOOKUP(B97,'Data qoq'!$A:$AT,MATCH($H$1,'Data qoq'!$A$1:$AT$1,),)=0,#N/A,VLOOKUP(B97,'Data qoq'!$A:$AT,MATCH($H$1,'Data qoq'!$A$1:$AT$1,),))</f>
        <v>0.56629275199999995</v>
      </c>
      <c r="I97" s="25">
        <f>IF(VLOOKUP(B97,'Data qoq'!$A:$AT,MATCH($I$1,'Data qoq'!$A$1:$AT$1,),)=0,#N/A,VLOOKUP(B97,'Data qoq'!$A:$AT,MATCH($I$1,'Data qoq'!$A$1:$AT$1,),))</f>
        <v>1.5250134040000001</v>
      </c>
      <c r="J97" s="25">
        <f>IF(VLOOKUP(B97,'Data qoq'!$A:$AT,MATCH($J$1,'Data qoq'!$A$1:$AT$1,),)=0,#N/A,VLOOKUP(B97,'Data qoq'!$A:$AT,MATCH($J$1,'Data qoq'!$A$1:$AT$1,),))</f>
        <v>0.90320039799999996</v>
      </c>
      <c r="K97" s="25">
        <f>IF(VLOOKUP(B97,'Data qoq'!$A:$AT,MATCH($K$1,'Data qoq'!$A$1:$AT$1,),)=0,#N/A,VLOOKUP(B97,'Data qoq'!$A:$AT,MATCH($K$1,'Data qoq'!$A$1:$AT$1,),))</f>
        <v>2.2652908900000002</v>
      </c>
      <c r="L97" s="25">
        <f>IF(VLOOKUP(B97,'Data qoq'!$A:$AT,MATCH($L$1,'Data qoq'!$A$1:$AT$1,),)=0,#N/A,VLOOKUP(B97,'Data qoq'!$A:$AT,MATCH($L$1,'Data qoq'!$A$1:$AT$1,),))</f>
        <v>2.2183294259999999</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0.84993988399999998</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0.63563800000000004</v>
      </c>
      <c r="F98" s="25">
        <f>IF(VLOOKUP(B98,'Data qoq'!$A:$AT,MATCH($F$1,'Data qoq'!$A$1:$AT$1,),)=0,#N/A,VLOOKUP(B98,'Data qoq'!$A:$AT,MATCH($F$1,'Data qoq'!$A$1:$AT$1,),))</f>
        <v>-0.41669966400000003</v>
      </c>
      <c r="G98" s="25">
        <f>IF(VLOOKUP(B98,'Data qoq'!$A:$AT,MATCH($G$1,'Data qoq'!$A$1:$AT$1,),)=0,#N/A,VLOOKUP(B98,'Data qoq'!$A:$AT,MATCH($G$1,'Data qoq'!$A$1:$AT$1,),))</f>
        <v>0.80050502099999998</v>
      </c>
      <c r="H98" s="25">
        <f>IF(VLOOKUP(B98,'Data qoq'!$A:$AT,MATCH($H$1,'Data qoq'!$A$1:$AT$1,),)=0,#N/A,VLOOKUP(B98,'Data qoq'!$A:$AT,MATCH($H$1,'Data qoq'!$A$1:$AT$1,),))</f>
        <v>-0.23408446199999999</v>
      </c>
      <c r="I98" s="25">
        <f>IF(VLOOKUP(B98,'Data qoq'!$A:$AT,MATCH($I$1,'Data qoq'!$A$1:$AT$1,),)=0,#N/A,VLOOKUP(B98,'Data qoq'!$A:$AT,MATCH($I$1,'Data qoq'!$A$1:$AT$1,),))</f>
        <v>0.45780531000000002</v>
      </c>
      <c r="J98" s="25">
        <f>IF(VLOOKUP(B98,'Data qoq'!$A:$AT,MATCH($J$1,'Data qoq'!$A$1:$AT$1,),)=0,#N/A,VLOOKUP(B98,'Data qoq'!$A:$AT,MATCH($J$1,'Data qoq'!$A$1:$AT$1,),))</f>
        <v>0.12966260299999999</v>
      </c>
      <c r="K98" s="25">
        <f>IF(VLOOKUP(B98,'Data qoq'!$A:$AT,MATCH($K$1,'Data qoq'!$A$1:$AT$1,),)=0,#N/A,VLOOKUP(B98,'Data qoq'!$A:$AT,MATCH($K$1,'Data qoq'!$A$1:$AT$1,),))</f>
        <v>-1.1760433000000001E-2</v>
      </c>
      <c r="L98" s="25">
        <f>IF(VLOOKUP(B98,'Data qoq'!$A:$AT,MATCH($L$1,'Data qoq'!$A$1:$AT$1,),)=0,#N/A,VLOOKUP(B98,'Data qoq'!$A:$AT,MATCH($L$1,'Data qoq'!$A$1:$AT$1,),))</f>
        <v>-0.43849136799999999</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-1.1760433000000001E-2</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0.61493790400000004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-1.2108432060000001</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0.85013799999999995</v>
      </c>
      <c r="F99" s="25">
        <f>IF(VLOOKUP(B99,'Data qoq'!$A:$AT,MATCH($F$1,'Data qoq'!$A$1:$AT$1,),)=0,#N/A,VLOOKUP(B99,'Data qoq'!$A:$AT,MATCH($F$1,'Data qoq'!$A$1:$AT$1,),))</f>
        <v>1.1225344399999999</v>
      </c>
      <c r="G99" s="25">
        <f>IF(VLOOKUP(B99,'Data qoq'!$A:$AT,MATCH($G$1,'Data qoq'!$A$1:$AT$1,),)=0,#N/A,VLOOKUP(B99,'Data qoq'!$A:$AT,MATCH($G$1,'Data qoq'!$A$1:$AT$1,),))</f>
        <v>0.102467391</v>
      </c>
      <c r="H99" s="25">
        <f>IF(VLOOKUP(B99,'Data qoq'!$A:$AT,MATCH($H$1,'Data qoq'!$A$1:$AT$1,),)=0,#N/A,VLOOKUP(B99,'Data qoq'!$A:$AT,MATCH($H$1,'Data qoq'!$A$1:$AT$1,),))</f>
        <v>0.49169964500000002</v>
      </c>
      <c r="I99" s="25">
        <f>IF(VLOOKUP(B99,'Data qoq'!$A:$AT,MATCH($I$1,'Data qoq'!$A$1:$AT$1,),)=0,#N/A,VLOOKUP(B99,'Data qoq'!$A:$AT,MATCH($I$1,'Data qoq'!$A$1:$AT$1,),))</f>
        <v>0.103523569</v>
      </c>
      <c r="J99" s="25">
        <f>IF(VLOOKUP(B99,'Data qoq'!$A:$AT,MATCH($J$1,'Data qoq'!$A$1:$AT$1,),)=0,#N/A,VLOOKUP(B99,'Data qoq'!$A:$AT,MATCH($J$1,'Data qoq'!$A$1:$AT$1,),))</f>
        <v>1.1489783010000001</v>
      </c>
      <c r="K99" s="25">
        <f>IF(VLOOKUP(B99,'Data qoq'!$A:$AT,MATCH($K$1,'Data qoq'!$A$1:$AT$1,),)=0,#N/A,VLOOKUP(B99,'Data qoq'!$A:$AT,MATCH($K$1,'Data qoq'!$A$1:$AT$1,),))</f>
        <v>2.2430475560000001</v>
      </c>
      <c r="L99" s="25">
        <f>IF(VLOOKUP(B99,'Data qoq'!$A:$AT,MATCH($L$1,'Data qoq'!$A$1:$AT$1,),)=0,#N/A,VLOOKUP(B99,'Data qoq'!$A:$AT,MATCH($L$1,'Data qoq'!$A$1:$AT$1,),))</f>
        <v>0.33617335300000001</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2.2430475560000001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0.302580511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-0.24710136399999999</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0.30274400000000001</v>
      </c>
      <c r="F100" s="25">
        <f>IF(VLOOKUP(B100,'Data qoq'!$A:$AT,MATCH($F$1,'Data qoq'!$A$1:$AT$1,),)=0,#N/A,VLOOKUP(B100,'Data qoq'!$A:$AT,MATCH($F$1,'Data qoq'!$A$1:$AT$1,),))</f>
        <v>-0.253391694</v>
      </c>
      <c r="G100" s="25">
        <f>IF(VLOOKUP(B100,'Data qoq'!$A:$AT,MATCH($G$1,'Data qoq'!$A$1:$AT$1,),)=0,#N/A,VLOOKUP(B100,'Data qoq'!$A:$AT,MATCH($G$1,'Data qoq'!$A$1:$AT$1,),))</f>
        <v>0.474594034</v>
      </c>
      <c r="H100" s="25">
        <f>IF(VLOOKUP(B100,'Data qoq'!$A:$AT,MATCH($H$1,'Data qoq'!$A$1:$AT$1,),)=0,#N/A,VLOOKUP(B100,'Data qoq'!$A:$AT,MATCH($H$1,'Data qoq'!$A$1:$AT$1,),))</f>
        <v>0.16553290300000001</v>
      </c>
      <c r="I100" s="25">
        <f>IF(VLOOKUP(B100,'Data qoq'!$A:$AT,MATCH($I$1,'Data qoq'!$A$1:$AT$1,),)=0,#N/A,VLOOKUP(B100,'Data qoq'!$A:$AT,MATCH($I$1,'Data qoq'!$A$1:$AT$1,),))</f>
        <v>-0.16399671599999999</v>
      </c>
      <c r="J100" s="25">
        <f>IF(VLOOKUP(B100,'Data qoq'!$A:$AT,MATCH($J$1,'Data qoq'!$A$1:$AT$1,),)=0,#N/A,VLOOKUP(B100,'Data qoq'!$A:$AT,MATCH($J$1,'Data qoq'!$A$1:$AT$1,),))</f>
        <v>0.50716299799999998</v>
      </c>
      <c r="K100" s="25">
        <f>IF(VLOOKUP(B100,'Data qoq'!$A:$AT,MATCH($K$1,'Data qoq'!$A$1:$AT$1,),)=0,#N/A,VLOOKUP(B100,'Data qoq'!$A:$AT,MATCH($K$1,'Data qoq'!$A$1:$AT$1,),))</f>
        <v>0.21451168100000001</v>
      </c>
      <c r="L100" s="25">
        <f>IF(VLOOKUP(B100,'Data qoq'!$A:$AT,MATCH($L$1,'Data qoq'!$A$1:$AT$1,),)=0,#N/A,VLOOKUP(B100,'Data qoq'!$A:$AT,MATCH($L$1,'Data qoq'!$A$1:$AT$1,),))</f>
        <v>0.180865262</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0.21451168100000001</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-0.24826458600000001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0.32656117500000004</v>
      </c>
    </row>
    <row r="101" spans="2:31" s="72" customFormat="1" x14ac:dyDescent="0.35">
      <c r="B101" s="24" t="s">
        <v>368</v>
      </c>
      <c r="C101" s="25">
        <f>IF(VLOOKUP(B101,'Data qoq'!$A:$AT,MATCH($C$1,'Data qoq'!$A$1:$AT$1,),)=0,#N/A,VLOOKUP(B101,'Data qoq'!$A:$AT,MATCH($C$1,'Data qoq'!$A$1:$AT$1,),))</f>
        <v>0.71518529099999995</v>
      </c>
      <c r="D101" s="25" t="e">
        <f>IF(VLOOKUP(B101,'Data qoq'!$A:$AT,MATCH($D$1,'Data qoq'!$A$1:$AT$1,),)=0,#N/A,VLOOKUP(B101,'Data qoq'!$A:$AT,MATCH($D$1,'Data qoq'!$A$1:$AT$1,),))</f>
        <v>#N/A</v>
      </c>
      <c r="E101" s="25">
        <f>IF(VLOOKUP(B101,'Data qoq'!$A:$AT,MATCH($E$1,'Data qoq'!$A$1:$AT$1,),)=0,#N/A,VLOOKUP(B101,'Data qoq'!$A:$AT,MATCH($E$1,'Data qoq'!$A$1:$AT$1,),))</f>
        <v>0.107629</v>
      </c>
      <c r="F101" s="25">
        <f>IF(VLOOKUP(B101,'Data qoq'!$A:$AT,MATCH($F$1,'Data qoq'!$A$1:$AT$1,),)=0,#N/A,VLOOKUP(B101,'Data qoq'!$A:$AT,MATCH($F$1,'Data qoq'!$A$1:$AT$1,),))</f>
        <v>0.158015249</v>
      </c>
      <c r="G101" s="25">
        <f>IF(VLOOKUP(B101,'Data qoq'!$A:$AT,MATCH($G$1,'Data qoq'!$A$1:$AT$1,),)=0,#N/A,VLOOKUP(B101,'Data qoq'!$A:$AT,MATCH($G$1,'Data qoq'!$A$1:$AT$1,),))</f>
        <v>-0.24080310699999999</v>
      </c>
      <c r="H101" s="25">
        <f>IF(VLOOKUP(B101,'Data qoq'!$A:$AT,MATCH($H$1,'Data qoq'!$A$1:$AT$1,),)=0,#N/A,VLOOKUP(B101,'Data qoq'!$A:$AT,MATCH($H$1,'Data qoq'!$A$1:$AT$1,),))</f>
        <v>0.12251985899999999</v>
      </c>
      <c r="I101" s="25">
        <f>IF(VLOOKUP(B101,'Data qoq'!$A:$AT,MATCH($I$1,'Data qoq'!$A$1:$AT$1,),)=0,#N/A,VLOOKUP(B101,'Data qoq'!$A:$AT,MATCH($I$1,'Data qoq'!$A$1:$AT$1,),))</f>
        <v>-2.2261198999999999E-2</v>
      </c>
      <c r="J101" s="25">
        <f>IF(VLOOKUP(B101,'Data qoq'!$A:$AT,MATCH($J$1,'Data qoq'!$A$1:$AT$1,),)=0,#N/A,VLOOKUP(B101,'Data qoq'!$A:$AT,MATCH($J$1,'Data qoq'!$A$1:$AT$1,),))</f>
        <v>-0.117860337</v>
      </c>
      <c r="K101" s="25">
        <f>IF(VLOOKUP(B101,'Data qoq'!$A:$AT,MATCH($K$1,'Data qoq'!$A$1:$AT$1,),)=0,#N/A,VLOOKUP(B101,'Data qoq'!$A:$AT,MATCH($K$1,'Data qoq'!$A$1:$AT$1,),))</f>
        <v>0.22451880399999999</v>
      </c>
      <c r="L101" s="25">
        <f>IF(VLOOKUP(B101,'Data qoq'!$A:$AT,MATCH($L$1,'Data qoq'!$A$1:$AT$1,),)=0,#N/A,VLOOKUP(B101,'Data qoq'!$A:$AT,MATCH($L$1,'Data qoq'!$A$1:$AT$1,),))</f>
        <v>-0.624293875</v>
      </c>
      <c r="M101" s="25">
        <f>IF(VLOOKUP(B101,'Data qoq'!$A:$AT,MATCH($M$1,'Data qoq'!$A$1:$AT$1,),)=0,#N/A,VLOOKUP(B101,'Data qoq'!$A:$AT,MATCH($M$1,'Data qoq'!$A$1:$AT$1,),))</f>
        <v>0.40000020800000002</v>
      </c>
      <c r="N101" s="25" t="e">
        <f>IF(VLOOKUP(B101,'Data qoq'!$A:$AT,MATCH($N$1,'Data qoq'!$A$1:$AT$1,),)=0,#N/A,VLOOKUP(B101,'Data qoq'!$A:$AT,MATCH($N$1,'Data qoq'!$A$1:$AT$1,),))</f>
        <v>#N/A</v>
      </c>
      <c r="O101" s="25">
        <f>IF(VLOOKUP(B101,'Data qoq'!$A:$AT,MATCH($O$1,'Data qoq'!$J$1:$AT$1,),)=0,#N/A,VLOOKUP(B101,'Data qoq'!$A:$AT,MATCH($O$1,'Data qoq'!$J$1:$AT$1,),))</f>
        <v>0.22451880399999999</v>
      </c>
      <c r="P101" s="25">
        <f>IF(VLOOKUP(B101,'Data qoq'!$A:$AT,MATCH($P$1,'Data qoq'!$A$1:$AT$1,),)=0,#N/A,VLOOKUP(B101,'Data qoq'!$A:$AT,MATCH($P$1,'Data qoq'!$A$1:$AT$1,),))</f>
        <v>0.4</v>
      </c>
      <c r="Q101" s="25" t="e">
        <f>IF(VLOOKUP(B101,'Data qoq'!$A:$AT,MATCH($Q$1,'Data qoq'!$A$1:$AT$1,),)=0,#N/A,VLOOKUP(B101,'Data qoq'!$A:$AT,MATCH($Q$1,'Data qoq'!$A$1:$AT$1,),))</f>
        <v>#N/A</v>
      </c>
      <c r="R101" s="25" t="e">
        <f>IF(VLOOKUP(B101,'Data qoq'!$A:$AT,MATCH($R$1,'Data qoq'!$A$1:$AT$1,),)=0,#N/A,VLOOKUP(B101,'Data qoq'!$A:$AT,MATCH($R$1,'Data qoq'!$A$1:$AT$1,),))</f>
        <v>#N/A</v>
      </c>
      <c r="S101" s="25">
        <f>IF(VLOOKUP(B101,'Data qoq'!$A:$AT,MATCH($S$1,'Data qoq'!$A$1:$AT$1,),)=0,#N/A,VLOOKUP(B101,'Data qoq'!$A:$AT,MATCH($S$1,'Data qoq'!$A$1:$AT$1,),))</f>
        <v>-0.37392623400000002</v>
      </c>
      <c r="T101" s="25" t="e">
        <f>IF(VLOOKUP(B101,'Data qoq'!$A:$AT,MATCH($T$1,'Data qoq'!$A$1:$AT$1,),)=0,#N/A,VLOOKUP(B101,'Data qoq'!$A:$AT,MATCH($T$1,'Data qoq'!$A$1:$AT$1,),))</f>
        <v>#N/A</v>
      </c>
      <c r="U101" s="25" t="e">
        <f>IF(VLOOKUP(B101,'Data qoq'!$A:$AT,MATCH($U$1,'Data qoq'!$A$1:$AT$1,),)=0,#N/A,VLOOKUP(B101,'Data qoq'!$A:$AT,MATCH($U$1,'Data qoq'!$A$1:$AT$1,),))</f>
        <v>#N/A</v>
      </c>
      <c r="V101" s="25">
        <f>IF(VLOOKUP(B101,'Data qoq'!$A:$AT,MATCH($V$1,'Data qoq'!$A$1:$AT$1,),)=0,#N/A,VLOOKUP(B101,'Data qoq'!$A:$AT,MATCH($V$1,'Data qoq'!$A$1:$AT$1,),))</f>
        <v>3.498323804</v>
      </c>
      <c r="W101" s="25" t="e">
        <f>IF(VLOOKUP(B101,'Data qoq'!$A:$AT,MATCH($W$1,'Data qoq'!$A$1:$AT$1,),)=0,#N/A,VLOOKUP(B101,'Data qoq'!$A:$AT,MATCH($W$1,'Data qoq'!$A$1:$AT$1,),))</f>
        <v>#N/A</v>
      </c>
      <c r="X101" s="25">
        <f>IF(VLOOKUP(B101,'Data qoq'!$A:$AT,MATCH($X$1,'Data qoq'!$A$1:$AT$1,),)=0,#N/A,VLOOKUP(B101,'Data qoq'!$A:$AT,MATCH($X$1,'Data qoq'!$A$1:$AT$1,),))</f>
        <v>-0.30317043199999999</v>
      </c>
      <c r="Y101" s="25">
        <f>IF(VLOOKUP(B101,'Data qoq'!$A:$AT,MATCH($Y$1,'Data qoq'!$A$1:$AT$1,),)=0,#N/A,VLOOKUP(B101,'Data qoq'!$A:$AT,MATCH($Y$1,'Data qoq'!$A$1:$AT$1,),))</f>
        <v>-2.4000048450000002</v>
      </c>
      <c r="Z101" s="25" t="e">
        <f>IF(VLOOKUP(B101,'Data qoq'!$A:$AU,MATCH($Z$1,'Data qoq'!$A$1:$AU$1,),)=0,#N/A,VLOOKUP(B101,'Data qoq'!$A:$AU,MATCH($Z$1,'Data qoq'!$A$1:$AU$1,),))</f>
        <v>#N/A</v>
      </c>
      <c r="AA101" s="25" t="e">
        <f>IF(VLOOKUP(B101,'Data qoq'!$A:$AU,MATCH($AA$1,'Data qoq'!$A$1:$AU$1,),)=0,#N/A,VLOOKUP(B101,'Data qoq'!$A:$AU,MATCH($AA$1,'Data qoq'!$A$1:$AU$1,),))</f>
        <v>#N/A</v>
      </c>
      <c r="AC101" s="26" t="str">
        <f t="shared" si="10"/>
        <v>2022-Q4</v>
      </c>
      <c r="AD101" s="27">
        <f t="shared" si="11"/>
        <v>0.95598839799999991</v>
      </c>
    </row>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93" activePane="bottomLeft" state="frozen"/>
      <selection activeCell="L191" sqref="L191"/>
      <selection pane="bottomLeft" activeCell="C102" sqref="C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2022-Q4</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t="e">
        <f t="shared" ca="1" si="0"/>
        <v>#N/A</v>
      </c>
      <c r="E4" s="29">
        <f t="shared" ca="1" si="0"/>
        <v>0.59334189372434532</v>
      </c>
      <c r="F4" s="29">
        <f t="shared" ca="1" si="0"/>
        <v>0.24584743047206481</v>
      </c>
      <c r="G4" s="29">
        <f t="shared" ca="1" si="0"/>
        <v>0.41182482744572702</v>
      </c>
      <c r="H4" s="29">
        <f t="shared" ca="1" si="0"/>
        <v>0.96347415880710296</v>
      </c>
      <c r="I4" s="29">
        <f t="shared" ca="1" si="0"/>
        <v>0.84893880733589455</v>
      </c>
      <c r="J4" s="29">
        <f t="shared" ca="1" si="0"/>
        <v>0.71635286624156391</v>
      </c>
      <c r="K4" s="29">
        <f t="shared" ca="1" si="0"/>
        <v>0.85079905092405883</v>
      </c>
      <c r="L4" s="29">
        <f t="shared" ca="1" si="0"/>
        <v>0.32926308435424789</v>
      </c>
      <c r="M4" s="29">
        <f t="shared" ca="1" si="0"/>
        <v>0.63921269949476689</v>
      </c>
      <c r="N4" s="29" t="e">
        <f t="shared" ca="1" si="0"/>
        <v>#N/A</v>
      </c>
      <c r="O4" s="29" t="e">
        <f t="shared" ca="1" si="0"/>
        <v>#N/A</v>
      </c>
      <c r="P4" s="29">
        <f t="shared" ca="1" si="0"/>
        <v>0.41251018642209414</v>
      </c>
      <c r="Q4" s="29" t="e">
        <f t="shared" ca="1" si="0"/>
        <v>#N/A</v>
      </c>
      <c r="R4" s="29" t="e">
        <f t="shared" ca="1" si="0"/>
        <v>#N/A</v>
      </c>
      <c r="S4" s="29">
        <f t="shared" ca="1" si="0"/>
        <v>9.72707483974391E-2</v>
      </c>
      <c r="T4" s="29" t="e">
        <f t="shared" ca="1" si="0"/>
        <v>#N/A</v>
      </c>
      <c r="U4" s="29" t="e">
        <f t="shared" ca="1" si="0"/>
        <v>#N/A</v>
      </c>
      <c r="V4" s="29">
        <f t="shared" ca="1" si="0"/>
        <v>0.624389095665145</v>
      </c>
      <c r="W4" s="29" t="e">
        <f t="shared" ca="1" si="0"/>
        <v>#N/A</v>
      </c>
      <c r="X4" s="29">
        <f t="shared" ca="1" si="0"/>
        <v>0.30850465767186019</v>
      </c>
      <c r="Y4" s="29">
        <f t="shared" ca="1" si="0"/>
        <v>0.29915872314589542</v>
      </c>
      <c r="Z4" s="29" t="e">
        <f t="shared" ca="1" si="0"/>
        <v>#N/A</v>
      </c>
      <c r="AA4" s="29" t="e">
        <f t="shared" ca="1" si="0"/>
        <v>#N/A</v>
      </c>
      <c r="AD4" s="14" t="s">
        <v>584</v>
      </c>
      <c r="AE4" s="15" t="str">
        <f>'Table yoy'!AE4</f>
        <v>2021-Q2</v>
      </c>
    </row>
    <row r="5" spans="1:34" x14ac:dyDescent="0.35">
      <c r="B5" s="4" t="s">
        <v>585</v>
      </c>
      <c r="C5" s="29">
        <f t="shared" ref="C5:AA5" ca="1" si="1">MIN(OFFSET(C$71,COUNT(C$71:C$150),0,-13,1))</f>
        <v>-0.29857419772708582</v>
      </c>
      <c r="D5" s="29" t="e">
        <f t="shared" ca="1" si="1"/>
        <v>#N/A</v>
      </c>
      <c r="E5" s="29">
        <f t="shared" ca="1" si="1"/>
        <v>-0.38519252869095233</v>
      </c>
      <c r="F5" s="29">
        <f t="shared" ca="1" si="1"/>
        <v>-0.28268530223573463</v>
      </c>
      <c r="G5" s="29">
        <f t="shared" ca="1" si="1"/>
        <v>-0.32863850749718848</v>
      </c>
      <c r="H5" s="29">
        <f t="shared" ca="1" si="1"/>
        <v>-0.44136952229995974</v>
      </c>
      <c r="I5" s="29">
        <f t="shared" ca="1" si="1"/>
        <v>-0.6103290164577766</v>
      </c>
      <c r="J5" s="29">
        <f t="shared" ca="1" si="1"/>
        <v>-0.40338843222834742</v>
      </c>
      <c r="K5" s="29">
        <f t="shared" ca="1" si="1"/>
        <v>-0.54403416703982366</v>
      </c>
      <c r="L5" s="29">
        <f t="shared" ca="1" si="1"/>
        <v>-0.29096582335485988</v>
      </c>
      <c r="M5" s="29">
        <f t="shared" ca="1" si="1"/>
        <v>-0.54246541982163732</v>
      </c>
      <c r="N5" s="29" t="e">
        <f t="shared" ca="1" si="1"/>
        <v>#N/A</v>
      </c>
      <c r="O5" s="29" t="e">
        <f t="shared" ca="1" si="1"/>
        <v>#N/A</v>
      </c>
      <c r="P5" s="29">
        <f t="shared" ca="1" si="1"/>
        <v>-0.3705525421800645</v>
      </c>
      <c r="Q5" s="29" t="e">
        <f t="shared" ca="1" si="1"/>
        <v>#N/A</v>
      </c>
      <c r="R5" s="29" t="e">
        <f t="shared" ca="1" si="1"/>
        <v>#N/A</v>
      </c>
      <c r="S5" s="29">
        <f t="shared" ca="1" si="1"/>
        <v>-0.1156901220447043</v>
      </c>
      <c r="T5" s="29" t="e">
        <f t="shared" ca="1" si="1"/>
        <v>#N/A</v>
      </c>
      <c r="U5" s="29" t="e">
        <f t="shared" ca="1" si="1"/>
        <v>#N/A</v>
      </c>
      <c r="V5" s="29">
        <f t="shared" ca="1" si="1"/>
        <v>-0.20533449069820919</v>
      </c>
      <c r="W5" s="29" t="e">
        <f t="shared" ca="1" si="1"/>
        <v>#N/A</v>
      </c>
      <c r="X5" s="29">
        <f t="shared" ca="1" si="1"/>
        <v>-0.30967958719972466</v>
      </c>
      <c r="Y5" s="29">
        <f t="shared" ca="1" si="1"/>
        <v>-0.32042672549786466</v>
      </c>
      <c r="Z5" s="29" t="e">
        <f t="shared" ca="1" si="1"/>
        <v>#N/A</v>
      </c>
      <c r="AA5" s="29" t="e">
        <f t="shared" ca="1" si="1"/>
        <v>#N/A</v>
      </c>
      <c r="AC5" s="16" t="s">
        <v>586</v>
      </c>
      <c r="AE5" s="17"/>
    </row>
    <row r="6" spans="1:34" x14ac:dyDescent="0.35">
      <c r="B6" s="4" t="s">
        <v>587</v>
      </c>
      <c r="C6" s="29">
        <f t="shared" ref="C6:AA6" ca="1" si="2">AVERAGE(OFFSET(C$71,COUNT(C$71:C$150),0,-13,1))</f>
        <v>2.6339102265979825E-2</v>
      </c>
      <c r="D6" s="29" t="e">
        <f t="shared" ca="1" si="2"/>
        <v>#N/A</v>
      </c>
      <c r="E6" s="29">
        <f t="shared" ca="1" si="2"/>
        <v>2.8363296754063311E-2</v>
      </c>
      <c r="F6" s="29">
        <f t="shared" ca="1" si="2"/>
        <v>1.0021558097292216E-2</v>
      </c>
      <c r="G6" s="29">
        <f t="shared" ca="1" si="2"/>
        <v>1.2602050591299855E-2</v>
      </c>
      <c r="H6" s="29">
        <f t="shared" ca="1" si="2"/>
        <v>4.26767576142583E-2</v>
      </c>
      <c r="I6" s="29">
        <f t="shared" ca="1" si="2"/>
        <v>4.8470421931669005E-2</v>
      </c>
      <c r="J6" s="29">
        <f t="shared" ca="1" si="2"/>
        <v>3.3440177441884378E-2</v>
      </c>
      <c r="K6" s="29">
        <f t="shared" ca="1" si="2"/>
        <v>4.0194101688338722E-2</v>
      </c>
      <c r="L6" s="29">
        <f t="shared" ca="1" si="2"/>
        <v>2.1998682273677444E-2</v>
      </c>
      <c r="M6" s="29">
        <f t="shared" ca="1" si="2"/>
        <v>3.6003571091136249E-2</v>
      </c>
      <c r="N6" s="29" t="e">
        <f t="shared" ca="1" si="2"/>
        <v>#N/A</v>
      </c>
      <c r="O6" s="29" t="e">
        <f t="shared" ca="1" si="2"/>
        <v>#N/A</v>
      </c>
      <c r="P6" s="29">
        <f t="shared" ca="1" si="2"/>
        <v>2.5821637973314476E-2</v>
      </c>
      <c r="Q6" s="29" t="e">
        <f t="shared" ca="1" si="2"/>
        <v>#N/A</v>
      </c>
      <c r="R6" s="29" t="e">
        <f t="shared" ca="1" si="2"/>
        <v>#N/A</v>
      </c>
      <c r="S6" s="29">
        <f t="shared" ca="1" si="2"/>
        <v>1.6655118900968064E-2</v>
      </c>
      <c r="T6" s="29" t="e">
        <f t="shared" ca="1" si="2"/>
        <v>#N/A</v>
      </c>
      <c r="U6" s="29" t="e">
        <f t="shared" ca="1" si="2"/>
        <v>#N/A</v>
      </c>
      <c r="V6" s="29">
        <f t="shared" ca="1" si="2"/>
        <v>0.13358062739496065</v>
      </c>
      <c r="W6" s="29" t="e">
        <f t="shared" ca="1" si="2"/>
        <v>#N/A</v>
      </c>
      <c r="X6" s="29">
        <f t="shared" ca="1" si="2"/>
        <v>6.4931282253225071E-3</v>
      </c>
      <c r="Y6" s="29">
        <f t="shared" ca="1" si="2"/>
        <v>3.3416503479658688E-2</v>
      </c>
      <c r="Z6" s="29" t="e">
        <f t="shared" ca="1" si="2"/>
        <v>#N/A</v>
      </c>
      <c r="AA6" s="29" t="e">
        <f t="shared" ca="1" si="2"/>
        <v>#N/A</v>
      </c>
      <c r="AC6" s="18"/>
      <c r="AD6" s="72" t="s">
        <v>588</v>
      </c>
      <c r="AE6" s="17" t="s">
        <v>33</v>
      </c>
    </row>
    <row r="7" spans="1:34" ht="16" customHeight="1" thickBot="1" x14ac:dyDescent="0.4">
      <c r="B7" s="4" t="s">
        <v>589</v>
      </c>
      <c r="C7" s="13" t="str">
        <f t="shared" ref="C7:AA7" ca="1" si="3">IF((VLOOKUP($AE$2,$B:$AA,MATCH(C3,$B$3:$AA$3,),))&gt;C6,"above","below")</f>
        <v>above</v>
      </c>
      <c r="D7" s="13" t="e">
        <f t="shared" ca="1" si="3"/>
        <v>#N/A</v>
      </c>
      <c r="E7" s="13" t="str">
        <f t="shared" ca="1" si="3"/>
        <v>below</v>
      </c>
      <c r="F7" s="13" t="str">
        <f t="shared" ca="1" si="3"/>
        <v>below</v>
      </c>
      <c r="G7" s="13" t="str">
        <f t="shared" ca="1" si="3"/>
        <v>below</v>
      </c>
      <c r="H7" s="13" t="str">
        <f t="shared" ca="1" si="3"/>
        <v>below</v>
      </c>
      <c r="I7" s="13" t="str">
        <f t="shared" ca="1" si="3"/>
        <v>below</v>
      </c>
      <c r="J7" s="13" t="str">
        <f t="shared" ca="1" si="3"/>
        <v>below</v>
      </c>
      <c r="K7" s="13" t="str">
        <f t="shared" ca="1" si="3"/>
        <v>below</v>
      </c>
      <c r="L7" s="13" t="str">
        <f t="shared" ca="1" si="3"/>
        <v>below</v>
      </c>
      <c r="M7" s="13" t="str">
        <f t="shared" ca="1" si="3"/>
        <v>below</v>
      </c>
      <c r="N7" s="13" t="e">
        <f t="shared" ca="1" si="3"/>
        <v>#N/A</v>
      </c>
      <c r="O7" s="13" t="e">
        <f t="shared" ca="1" si="3"/>
        <v>#N/A</v>
      </c>
      <c r="P7" s="13" t="str">
        <f t="shared" ca="1" si="3"/>
        <v>below</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str">
        <f t="shared" ca="1" si="3"/>
        <v>below</v>
      </c>
      <c r="Z7" s="13" t="e">
        <f t="shared" ca="1" si="3"/>
        <v>#N/A</v>
      </c>
      <c r="AA7" s="13" t="e">
        <f t="shared" ca="1" si="3"/>
        <v>#N/A</v>
      </c>
      <c r="AC7" s="19"/>
      <c r="AD7" s="20" t="s">
        <v>590</v>
      </c>
      <c r="AE7" s="21" t="s">
        <v>40</v>
      </c>
    </row>
    <row r="8" spans="1:34" x14ac:dyDescent="0.35">
      <c r="B8" s="4" t="s">
        <v>591</v>
      </c>
      <c r="C8" s="28">
        <f t="shared" ref="C8:AA8" si="4">VLOOKUP($AE$2,$B:$AA,MATCH(C3,$B$3:$AA$3,),)-VLOOKUP($AE$4,$B:$AA,MATCH(C3,$B$3:$AA$3,),)</f>
        <v>-4.113318790839493E-2</v>
      </c>
      <c r="D8" s="28" t="e">
        <f t="shared" si="4"/>
        <v>#N/A</v>
      </c>
      <c r="E8" s="28">
        <f t="shared" si="4"/>
        <v>-7.7512015651268529E-2</v>
      </c>
      <c r="F8" s="28">
        <f t="shared" si="4"/>
        <v>-6.6574984927050274E-3</v>
      </c>
      <c r="G8" s="28">
        <f t="shared" si="4"/>
        <v>-8.9003780204986893E-2</v>
      </c>
      <c r="H8" s="28">
        <f t="shared" si="4"/>
        <v>-3.8812973861308109E-2</v>
      </c>
      <c r="I8" s="28">
        <f t="shared" si="4"/>
        <v>-0.28873135797579275</v>
      </c>
      <c r="J8" s="28">
        <f t="shared" si="4"/>
        <v>-0.10722570107469087</v>
      </c>
      <c r="K8" s="28">
        <f t="shared" si="4"/>
        <v>-4.6184178859133285E-2</v>
      </c>
      <c r="L8" s="28">
        <f t="shared" si="4"/>
        <v>-4.7400143171039466E-2</v>
      </c>
      <c r="M8" s="28">
        <f t="shared" si="4"/>
        <v>-1.3331202699570444E-2</v>
      </c>
      <c r="N8" s="28" t="e">
        <f t="shared" si="4"/>
        <v>#N/A</v>
      </c>
      <c r="O8" s="28" t="e">
        <f t="shared" si="4"/>
        <v>#N/A</v>
      </c>
      <c r="P8" s="28">
        <f t="shared" si="4"/>
        <v>3.9433055791810001E-2</v>
      </c>
      <c r="Q8" s="28" t="e">
        <f t="shared" si="4"/>
        <v>#N/A</v>
      </c>
      <c r="R8" s="28" t="e">
        <f t="shared" si="4"/>
        <v>#N/A</v>
      </c>
      <c r="S8" s="28">
        <f t="shared" si="4"/>
        <v>-4.8626283979898099E-2</v>
      </c>
      <c r="T8" s="28" t="e">
        <f t="shared" si="4"/>
        <v>#N/A</v>
      </c>
      <c r="U8" s="28" t="e">
        <f t="shared" si="4"/>
        <v>#N/A</v>
      </c>
      <c r="V8" s="28">
        <f t="shared" si="4"/>
        <v>6.7908542596083032E-2</v>
      </c>
      <c r="W8" s="28" t="e">
        <f t="shared" si="4"/>
        <v>#N/A</v>
      </c>
      <c r="X8" s="28">
        <f t="shared" si="4"/>
        <v>-6.8834466667293537E-2</v>
      </c>
      <c r="Y8" s="28">
        <f t="shared" si="4"/>
        <v>-0.18241776375340357</v>
      </c>
      <c r="Z8" s="28" t="e">
        <f t="shared" si="4"/>
        <v>#N/A</v>
      </c>
      <c r="AA8" s="28" t="e">
        <f t="shared" si="4"/>
        <v>#N/A</v>
      </c>
    </row>
    <row r="9" spans="1:34" x14ac:dyDescent="0.35">
      <c r="B9" s="4" t="s">
        <v>592</v>
      </c>
      <c r="C9" s="29">
        <f t="shared" ref="C9:AA9" si="5">VLOOKUP($AE$2,$B:$AA,MATCH(C3,$B$3:$AA$3,),)-VLOOKUP($AE$3,$B:$AA,MATCH(C3,$B$3:$AA$3,),)</f>
        <v>4.5228548524596457E-2</v>
      </c>
      <c r="D9" s="29" t="e">
        <f t="shared" si="5"/>
        <v>#N/A</v>
      </c>
      <c r="E9" s="29">
        <f t="shared" si="5"/>
        <v>-2.135685492494277E-2</v>
      </c>
      <c r="F9" s="29">
        <f t="shared" si="5"/>
        <v>2.2899699552512587E-2</v>
      </c>
      <c r="G9" s="29">
        <f t="shared" si="5"/>
        <v>-4.200413021808902E-2</v>
      </c>
      <c r="H9" s="29">
        <f t="shared" si="5"/>
        <v>1.4240360824300469E-2</v>
      </c>
      <c r="I9" s="29">
        <f t="shared" si="5"/>
        <v>-1.9328498725704857E-2</v>
      </c>
      <c r="J9" s="29">
        <f t="shared" si="5"/>
        <v>-9.9026856684174547E-3</v>
      </c>
      <c r="K9" s="29">
        <f t="shared" si="5"/>
        <v>9.4813770140540488E-3</v>
      </c>
      <c r="L9" s="29">
        <f t="shared" si="5"/>
        <v>-7.3142542462970583E-3</v>
      </c>
      <c r="M9" s="29">
        <f t="shared" si="5"/>
        <v>-3.3836386194012302E-2</v>
      </c>
      <c r="N9" s="29" t="e">
        <f t="shared" si="5"/>
        <v>#N/A</v>
      </c>
      <c r="O9" s="29" t="e">
        <f t="shared" si="5"/>
        <v>#N/A</v>
      </c>
      <c r="P9" s="29">
        <f t="shared" si="5"/>
        <v>-1.1467922666563712E-2</v>
      </c>
      <c r="Q9" s="29" t="e">
        <f t="shared" si="5"/>
        <v>#N/A</v>
      </c>
      <c r="R9" s="29" t="e">
        <f t="shared" si="5"/>
        <v>#N/A</v>
      </c>
      <c r="S9" s="29">
        <f t="shared" si="5"/>
        <v>-4.047425118652459E-2</v>
      </c>
      <c r="T9" s="29" t="e">
        <f t="shared" si="5"/>
        <v>#N/A</v>
      </c>
      <c r="U9" s="29" t="e">
        <f t="shared" si="5"/>
        <v>#N/A</v>
      </c>
      <c r="V9" s="29">
        <f t="shared" si="5"/>
        <v>-0.16194061927870429</v>
      </c>
      <c r="W9" s="29" t="e">
        <f t="shared" si="5"/>
        <v>#N/A</v>
      </c>
      <c r="X9" s="29">
        <f t="shared" si="5"/>
        <v>-3.689711818652075E-2</v>
      </c>
      <c r="Y9" s="29">
        <f t="shared" si="5"/>
        <v>-0.27399633933390855</v>
      </c>
      <c r="Z9" s="29" t="e">
        <f t="shared" si="5"/>
        <v>#N/A</v>
      </c>
      <c r="AA9" s="29" t="e">
        <f t="shared" si="5"/>
        <v>#N/A</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6.9743031375979481E-2</v>
      </c>
      <c r="G11" s="32">
        <f>(((VLOOKUP(B11,'Data qoq'!$A:$AT,MATCH($G$1,'Data qoq'!$A$1:$AT$1,),))/100+1)^4)-1</f>
        <v>5.8460727190806638E-2</v>
      </c>
      <c r="H11" s="32">
        <f>(((VLOOKUP(B11,'Data qoq'!$A:$AT,MATCH($H$1,'Data qoq'!$A$1:$AT$1,),))/100+1)^4)-1</f>
        <v>4.207143547859471E-2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2.7257883712474174E-2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3.7213483611585607E-2</v>
      </c>
      <c r="F12" s="32">
        <f>(((VLOOKUP(B12,'Data qoq'!$A:$AT,MATCH($F$1,'Data qoq'!$A$1:$AT$1,),))/100+1)^4)-1</f>
        <v>1.9020471704628727E-2</v>
      </c>
      <c r="G12" s="32">
        <f>(((VLOOKUP(B12,'Data qoq'!$A:$AT,MATCH($G$1,'Data qoq'!$A$1:$AT$1,),))/100+1)^4)-1</f>
        <v>3.276845461943112E-2</v>
      </c>
      <c r="H12" s="32">
        <f>(((VLOOKUP(B12,'Data qoq'!$A:$AT,MATCH($H$1,'Data qoq'!$A$1:$AT$1,),))/100+1)^4)-1</f>
        <v>4.1900984977129019E-2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0.10483468472304414</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1.0758136506361371E-2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2.2499949113055973E-2</v>
      </c>
      <c r="F13" s="32">
        <f>(((VLOOKUP(B13,'Data qoq'!$A:$AT,MATCH($F$1,'Data qoq'!$A$1:$AT$1,),))/100+1)^4)-1</f>
        <v>9.7271253243458311E-4</v>
      </c>
      <c r="G13" s="32">
        <f>(((VLOOKUP(B13,'Data qoq'!$A:$AT,MATCH($G$1,'Data qoq'!$A$1:$AT$1,),))/100+1)^4)-1</f>
        <v>-1.8876389339964605E-3</v>
      </c>
      <c r="H13" s="32">
        <f>(((VLOOKUP(B13,'Data qoq'!$A:$AT,MATCH($H$1,'Data qoq'!$A$1:$AT$1,),))/100+1)^4)-1</f>
        <v>2.8049102563225681E-2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3.1473361315642379E-2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1.9418564529409821E-3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2.7608477756255079E-2</v>
      </c>
      <c r="F14" s="32">
        <f>(((VLOOKUP(B14,'Data qoq'!$A:$AT,MATCH($F$1,'Data qoq'!$A$1:$AT$1,),))/100+1)^4)-1</f>
        <v>3.9559737014934315E-2</v>
      </c>
      <c r="G14" s="32">
        <f>(((VLOOKUP(B14,'Data qoq'!$A:$AT,MATCH($G$1,'Data qoq'!$A$1:$AT$1,),))/100+1)^4)-1</f>
        <v>-1.1759992315889645E-2</v>
      </c>
      <c r="H14" s="32">
        <f>(((VLOOKUP(B14,'Data qoq'!$A:$AT,MATCH($H$1,'Data qoq'!$A$1:$AT$1,),))/100+1)^4)-1</f>
        <v>3.3126667057156611E-2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-1.1264501120021309E-2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1.0336096954598917E-2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2.9895007966146414E-2</v>
      </c>
      <c r="G15" s="32">
        <f>(((VLOOKUP(B15,'Data qoq'!$A:$AT,MATCH($G$1,'Data qoq'!$A$1:$AT$1,),))/100+1)^4)-1</f>
        <v>8.3400602737317975E-2</v>
      </c>
      <c r="H15" s="32">
        <f>(((VLOOKUP(B15,'Data qoq'!$A:$AT,MATCH($H$1,'Data qoq'!$A$1:$AT$1,),))/100+1)^4)-1</f>
        <v>1.9842750497546691E-2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1.328291953812899E-2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-2.9535212896835694E-2</v>
      </c>
      <c r="G16" s="32">
        <f>(((VLOOKUP(B16,'Data qoq'!$A:$AT,MATCH($G$1,'Data qoq'!$A$1:$AT$1,),))/100+1)^4)-1</f>
        <v>-1.8565297649121293E-3</v>
      </c>
      <c r="H16" s="32">
        <f>(((VLOOKUP(B16,'Data qoq'!$A:$AT,MATCH($H$1,'Data qoq'!$A$1:$AT$1,),))/100+1)^4)-1</f>
        <v>5.1760997348730964E-3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1.8356297048431891E-3</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-4.2926492759470136E-2</v>
      </c>
      <c r="G17" s="32">
        <f>(((VLOOKUP(B17,'Data qoq'!$A:$AT,MATCH($G$1,'Data qoq'!$A$1:$AT$1,),))/100+1)^4)-1</f>
        <v>-8.3381682032040993E-3</v>
      </c>
      <c r="H17" s="32">
        <f>(((VLOOKUP(B17,'Data qoq'!$A:$AT,MATCH($H$1,'Data qoq'!$A$1:$AT$1,),))/100+1)^4)-1</f>
        <v>1.0970318976605498E-2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1.5359929511158388E-2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4.1663737258410549E-3</v>
      </c>
      <c r="F18" s="32">
        <f>(((VLOOKUP(B18,'Data qoq'!$A:$AT,MATCH($F$1,'Data qoq'!$A$1:$AT$1,),))/100+1)^4)-1</f>
        <v>-1.3649711271729092E-2</v>
      </c>
      <c r="G18" s="32">
        <f>(((VLOOKUP(B18,'Data qoq'!$A:$AT,MATCH($G$1,'Data qoq'!$A$1:$AT$1,),))/100+1)^4)-1</f>
        <v>-3.2557356235374257E-3</v>
      </c>
      <c r="H18" s="32">
        <f>(((VLOOKUP(B18,'Data qoq'!$A:$AT,MATCH($H$1,'Data qoq'!$A$1:$AT$1,),))/100+1)^4)-1</f>
        <v>-2.6241588712628827E-3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3.3754661448870404E-2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-2.3465470717547454E-3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5.5937757311821379E-3</v>
      </c>
      <c r="F19" s="32">
        <f>(((VLOOKUP(B19,'Data qoq'!$A:$AT,MATCH($F$1,'Data qoq'!$A$1:$AT$1,),))/100+1)^4)-1</f>
        <v>6.8151822348894164E-3</v>
      </c>
      <c r="G19" s="32">
        <f>(((VLOOKUP(B19,'Data qoq'!$A:$AT,MATCH($G$1,'Data qoq'!$A$1:$AT$1,),))/100+1)^4)-1</f>
        <v>-2.0348460776353217E-2</v>
      </c>
      <c r="H19" s="32">
        <f>(((VLOOKUP(B19,'Data qoq'!$A:$AT,MATCH($H$1,'Data qoq'!$A$1:$AT$1,),))/100+1)^4)-1</f>
        <v>2.273291689395962E-2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-5.2376989755806846E-3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-8.3716526420272164E-3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3.2786933850199151E-2</v>
      </c>
      <c r="G20" s="32">
        <f>(((VLOOKUP(B20,'Data qoq'!$A:$AT,MATCH($G$1,'Data qoq'!$A$1:$AT$1,),))/100+1)^4)-1</f>
        <v>1.7445115745492012E-2</v>
      </c>
      <c r="H20" s="32">
        <f>(((VLOOKUP(B20,'Data qoq'!$A:$AT,MATCH($H$1,'Data qoq'!$A$1:$AT$1,),))/100+1)^4)-1</f>
        <v>1.6416999050731018E-2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6.382746727963573E-2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1.2654892397663264E-2</v>
      </c>
      <c r="G21" s="32">
        <f>(((VLOOKUP(B21,'Data qoq'!$A:$AT,MATCH($G$1,'Data qoq'!$A$1:$AT$1,),))/100+1)^4)-1</f>
        <v>1.8787838919135602E-2</v>
      </c>
      <c r="H21" s="32">
        <f>(((VLOOKUP(B21,'Data qoq'!$A:$AT,MATCH($H$1,'Data qoq'!$A$1:$AT$1,),))/100+1)^4)-1</f>
        <v>9.889383260067941E-3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2.4653215090136404E-2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1.115730654284719E-2</v>
      </c>
      <c r="G22" s="32">
        <f>(((VLOOKUP(B22,'Data qoq'!$A:$AT,MATCH($G$1,'Data qoq'!$A$1:$AT$1,),))/100+1)^4)-1</f>
        <v>-5.0968264797884855E-3</v>
      </c>
      <c r="H22" s="32">
        <f>(((VLOOKUP(B22,'Data qoq'!$A:$AT,MATCH($H$1,'Data qoq'!$A$1:$AT$1,),))/100+1)^4)-1</f>
        <v>9.2353044883477509E-3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6.055921035218903E-3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-1.2682829491133307E-2</v>
      </c>
      <c r="F23" s="32">
        <f>(((VLOOKUP(B23,'Data qoq'!$A:$AT,MATCH($F$1,'Data qoq'!$A$1:$AT$1,),))/100+1)^4)-1</f>
        <v>2.5238080521947648E-3</v>
      </c>
      <c r="G23" s="32">
        <f>(((VLOOKUP(B23,'Data qoq'!$A:$AT,MATCH($G$1,'Data qoq'!$A$1:$AT$1,),))/100+1)^4)-1</f>
        <v>-5.7851947531958547E-2</v>
      </c>
      <c r="H23" s="32">
        <f>(((VLOOKUP(B23,'Data qoq'!$A:$AT,MATCH($H$1,'Data qoq'!$A$1:$AT$1,),))/100+1)^4)-1</f>
        <v>3.7309684352075934E-3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4.7444873597285886E-2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-3.8257354836380153E-2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3.5934321577681949E-3</v>
      </c>
      <c r="F24" s="32">
        <f>(((VLOOKUP(B24,'Data qoq'!$A:$AT,MATCH($F$1,'Data qoq'!$A$1:$AT$1,),))/100+1)^4)-1</f>
        <v>2.7680336027881447E-2</v>
      </c>
      <c r="G24" s="32">
        <f>(((VLOOKUP(B24,'Data qoq'!$A:$AT,MATCH($G$1,'Data qoq'!$A$1:$AT$1,),))/100+1)^4)-1</f>
        <v>4.2530475755495623E-3</v>
      </c>
      <c r="H24" s="32">
        <f>(((VLOOKUP(B24,'Data qoq'!$A:$AT,MATCH($H$1,'Data qoq'!$A$1:$AT$1,),))/100+1)^4)-1</f>
        <v>-8.166955859313596E-3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-2.3133538265521447E-2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-3.1101248071943921E-2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1.1882756264728789E-2</v>
      </c>
      <c r="G25" s="32">
        <f>(((VLOOKUP(B25,'Data qoq'!$A:$AT,MATCH($G$1,'Data qoq'!$A$1:$AT$1,),))/100+1)^4)-1</f>
        <v>3.0988777356257824E-2</v>
      </c>
      <c r="H25" s="32">
        <f>(((VLOOKUP(B25,'Data qoq'!$A:$AT,MATCH($H$1,'Data qoq'!$A$1:$AT$1,),))/100+1)^4)-1</f>
        <v>2.7203774482893461E-2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5.9458906712666071E-2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4.4413022252000722E-2</v>
      </c>
      <c r="G26" s="32">
        <f>(((VLOOKUP(B26,'Data qoq'!$A:$AT,MATCH($G$1,'Data qoq'!$A$1:$AT$1,),))/100+1)^4)-1</f>
        <v>1.1272757318377735E-2</v>
      </c>
      <c r="H26" s="32">
        <f>(((VLOOKUP(B26,'Data qoq'!$A:$AT,MATCH($H$1,'Data qoq'!$A$1:$AT$1,),))/100+1)^4)-1</f>
        <v>2.7314574935792812E-2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2.5281987649947046E-2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2.0402384383740202E-2</v>
      </c>
      <c r="F27" s="32">
        <f>(((VLOOKUP(B27,'Data qoq'!$A:$AT,MATCH($F$1,'Data qoq'!$A$1:$AT$1,),))/100+1)^4)-1</f>
        <v>2.9615011254851664E-2</v>
      </c>
      <c r="G27" s="32">
        <f>(((VLOOKUP(B27,'Data qoq'!$A:$AT,MATCH($G$1,'Data qoq'!$A$1:$AT$1,),))/100+1)^4)-1</f>
        <v>-6.9771729487315692E-3</v>
      </c>
      <c r="H27" s="32">
        <f>(((VLOOKUP(B27,'Data qoq'!$A:$AT,MATCH($H$1,'Data qoq'!$A$1:$AT$1,),))/100+1)^4)-1</f>
        <v>3.9520530851704372E-2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7.6253043632561246E-2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2.4935852680891823E-3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2.475461372631993E-2</v>
      </c>
      <c r="F28" s="32">
        <f>(((VLOOKUP(B28,'Data qoq'!$A:$AT,MATCH($F$1,'Data qoq'!$A$1:$AT$1,),))/100+1)^4)-1</f>
        <v>4.8331129148837526E-4</v>
      </c>
      <c r="G28" s="32">
        <f>(((VLOOKUP(B28,'Data qoq'!$A:$AT,MATCH($G$1,'Data qoq'!$A$1:$AT$1,),))/100+1)^4)-1</f>
        <v>2.0717438636666197E-2</v>
      </c>
      <c r="H28" s="32">
        <f>(((VLOOKUP(B28,'Data qoq'!$A:$AT,MATCH($H$1,'Data qoq'!$A$1:$AT$1,),))/100+1)^4)-1</f>
        <v>2.361567652970642E-2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1.5516549973848326E-2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3.4229998584811572E-3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2.477018160431399E-2</v>
      </c>
      <c r="G29" s="32">
        <f>(((VLOOKUP(B29,'Data qoq'!$A:$AT,MATCH($G$1,'Data qoq'!$A$1:$AT$1,),))/100+1)^4)-1</f>
        <v>-8.3407587611624701E-3</v>
      </c>
      <c r="H29" s="32">
        <f>(((VLOOKUP(B29,'Data qoq'!$A:$AT,MATCH($H$1,'Data qoq'!$A$1:$AT$1,),))/100+1)^4)-1</f>
        <v>1.0793489199214079E-2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3.2906143961503931E-2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-7.4289449338079683E-3</v>
      </c>
      <c r="G30" s="32">
        <f>(((VLOOKUP(B30,'Data qoq'!$A:$AT,MATCH($G$1,'Data qoq'!$A$1:$AT$1,),))/100+1)^4)-1</f>
        <v>-3.7216143503896459E-3</v>
      </c>
      <c r="H30" s="32">
        <f>(((VLOOKUP(B30,'Data qoq'!$A:$AT,MATCH($H$1,'Data qoq'!$A$1:$AT$1,),))/100+1)^4)-1</f>
        <v>3.0496857744739758E-2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3.3086230410777739E-2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2.0636948650162079E-2</v>
      </c>
      <c r="G31" s="32">
        <f>(((VLOOKUP(B31,'Data qoq'!$A:$AT,MATCH($G$1,'Data qoq'!$A$1:$AT$1,),))/100+1)^4)-1</f>
        <v>1.1667314438645882E-4</v>
      </c>
      <c r="H31" s="32">
        <f>(((VLOOKUP(B31,'Data qoq'!$A:$AT,MATCH($H$1,'Data qoq'!$A$1:$AT$1,),))/100+1)^4)-1</f>
        <v>9.0994014378633636E-3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1.7947436499252678E-2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2.4845752959675282E-2</v>
      </c>
      <c r="F32" s="32">
        <f>(((VLOOKUP(B32,'Data qoq'!$A:$AT,MATCH($F$1,'Data qoq'!$A$1:$AT$1,),))/100+1)^4)-1</f>
        <v>3.1233939520942444E-2</v>
      </c>
      <c r="G32" s="32">
        <f>(((VLOOKUP(B32,'Data qoq'!$A:$AT,MATCH($G$1,'Data qoq'!$A$1:$AT$1,),))/100+1)^4)-1</f>
        <v>2.1620733451571672E-2</v>
      </c>
      <c r="H32" s="32">
        <f>(((VLOOKUP(B32,'Data qoq'!$A:$AT,MATCH($H$1,'Data qoq'!$A$1:$AT$1,),))/100+1)^4)-1</f>
        <v>1.1094505151223677E-2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2.658712559672427E-2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-1.3554817984324785E-2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4.131420400550323E-2</v>
      </c>
      <c r="G33" s="32">
        <f>(((VLOOKUP(B33,'Data qoq'!$A:$AT,MATCH($G$1,'Data qoq'!$A$1:$AT$1,),))/100+1)^4)-1</f>
        <v>3.4287261725477691E-2</v>
      </c>
      <c r="H33" s="32">
        <f>(((VLOOKUP(B33,'Data qoq'!$A:$AT,MATCH($H$1,'Data qoq'!$A$1:$AT$1,),))/100+1)^4)-1</f>
        <v>2.2382385932699478E-2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4.895834318895198E-2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7.2271354811646038E-3</v>
      </c>
      <c r="G34" s="32">
        <f>(((VLOOKUP(B34,'Data qoq'!$A:$AT,MATCH($G$1,'Data qoq'!$A$1:$AT$1,),))/100+1)^4)-1</f>
        <v>1.8988678184609808E-2</v>
      </c>
      <c r="H34" s="32">
        <f>(((VLOOKUP(B34,'Data qoq'!$A:$AT,MATCH($H$1,'Data qoq'!$A$1:$AT$1,),))/100+1)^4)-1</f>
        <v>2.6982256738093069E-2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2.7218657158776693E-2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6.2075896096220884E-3</v>
      </c>
      <c r="G35" s="32">
        <f>(((VLOOKUP(B35,'Data qoq'!$A:$AT,MATCH($G$1,'Data qoq'!$A$1:$AT$1,),))/100+1)^4)-1</f>
        <v>3.9006386151087202E-2</v>
      </c>
      <c r="H35" s="32">
        <f>(((VLOOKUP(B35,'Data qoq'!$A:$AT,MATCH($H$1,'Data qoq'!$A$1:$AT$1,),))/100+1)^4)-1</f>
        <v>3.1000341035750889E-2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6.3274153966440538E-2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5.9004394996469145E-3</v>
      </c>
      <c r="G36" s="32">
        <f>(((VLOOKUP(B36,'Data qoq'!$A:$AT,MATCH($G$1,'Data qoq'!$A$1:$AT$1,),))/100+1)^4)-1</f>
        <v>7.0712013546557984E-2</v>
      </c>
      <c r="H36" s="32">
        <f>(((VLOOKUP(B36,'Data qoq'!$A:$AT,MATCH($H$1,'Data qoq'!$A$1:$AT$1,),))/100+1)^4)-1</f>
        <v>4.217226180549738E-2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6.695691919410085E-2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-7.7165804254964998E-3</v>
      </c>
      <c r="G37" s="32">
        <f>(((VLOOKUP(B37,'Data qoq'!$A:$AT,MATCH($G$1,'Data qoq'!$A$1:$AT$1,),))/100+1)^4)-1</f>
        <v>3.1564630661045534E-2</v>
      </c>
      <c r="H37" s="32">
        <f>(((VLOOKUP(B37,'Data qoq'!$A:$AT,MATCH($H$1,'Data qoq'!$A$1:$AT$1,),))/100+1)^4)-1</f>
        <v>3.3702055226312311E-3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4.864794181721166E-2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4.7777466866094409E-2</v>
      </c>
      <c r="F38" s="32">
        <f>(((VLOOKUP(B38,'Data qoq'!$A:$AT,MATCH($F$1,'Data qoq'!$A$1:$AT$1,),))/100+1)^4)-1</f>
        <v>5.5305907426941081E-2</v>
      </c>
      <c r="G38" s="32">
        <f>(((VLOOKUP(B38,'Data qoq'!$A:$AT,MATCH($G$1,'Data qoq'!$A$1:$AT$1,),))/100+1)^4)-1</f>
        <v>6.197655197116525E-2</v>
      </c>
      <c r="H38" s="32">
        <f>(((VLOOKUP(B38,'Data qoq'!$A:$AT,MATCH($H$1,'Data qoq'!$A$1:$AT$1,),))/100+1)^4)-1</f>
        <v>2.9122920886455406E-2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2.6602630433142593E-2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3.0197208376609996E-2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2.421947165551952E-2</v>
      </c>
      <c r="F39" s="32">
        <f>(((VLOOKUP(B39,'Data qoq'!$A:$AT,MATCH($F$1,'Data qoq'!$A$1:$AT$1,),))/100+1)^4)-1</f>
        <v>2.6677232869065426E-2</v>
      </c>
      <c r="G39" s="32">
        <f>(((VLOOKUP(B39,'Data qoq'!$A:$AT,MATCH($G$1,'Data qoq'!$A$1:$AT$1,),))/100+1)^4)-1</f>
        <v>2.5081583061838941E-3</v>
      </c>
      <c r="H39" s="32">
        <f>(((VLOOKUP(B39,'Data qoq'!$A:$AT,MATCH($H$1,'Data qoq'!$A$1:$AT$1,),))/100+1)^4)-1</f>
        <v>2.9322253082529004E-2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3.8411218977652428E-2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-1.8068047564322232E-2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9.6572769935621139E-4</v>
      </c>
      <c r="G40" s="32">
        <f>(((VLOOKUP(B40,'Data qoq'!$A:$AT,MATCH($G$1,'Data qoq'!$A$1:$AT$1,),))/100+1)^4)-1</f>
        <v>3.3945861855842807E-2</v>
      </c>
      <c r="H40" s="32">
        <f>(((VLOOKUP(B40,'Data qoq'!$A:$AT,MATCH($H$1,'Data qoq'!$A$1:$AT$1,),))/100+1)^4)-1</f>
        <v>2.76112491524374E-2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2.096635390822521E-2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-2.1271392965250935E-2</v>
      </c>
      <c r="G41" s="32">
        <f>(((VLOOKUP(B41,'Data qoq'!$A:$AT,MATCH($G$1,'Data qoq'!$A$1:$AT$1,),))/100+1)^4)-1</f>
        <v>2.0884762239796295E-2</v>
      </c>
      <c r="H41" s="32">
        <f>(((VLOOKUP(B41,'Data qoq'!$A:$AT,MATCH($H$1,'Data qoq'!$A$1:$AT$1,),))/100+1)^4)-1</f>
        <v>1.9055818463800778E-2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3.2121509421363603E-2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1.7869073010636116E-2</v>
      </c>
      <c r="G42" s="32">
        <f>(((VLOOKUP(B42,'Data qoq'!$A:$AT,MATCH($G$1,'Data qoq'!$A$1:$AT$1,),))/100+1)^4)-1</f>
        <v>2.6020671471657097E-2</v>
      </c>
      <c r="H42" s="32">
        <f>(((VLOOKUP(B42,'Data qoq'!$A:$AT,MATCH($H$1,'Data qoq'!$A$1:$AT$1,),))/100+1)^4)-1</f>
        <v>7.645783732429523E-3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4.5988668756852702E-2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2.0841008115314308E-2</v>
      </c>
      <c r="F43" s="32">
        <f>(((VLOOKUP(B43,'Data qoq'!$A:$AT,MATCH($F$1,'Data qoq'!$A$1:$AT$1,),))/100+1)^4)-1</f>
        <v>1.4441725562214458E-2</v>
      </c>
      <c r="G43" s="32">
        <f>(((VLOOKUP(B43,'Data qoq'!$A:$AT,MATCH($G$1,'Data qoq'!$A$1:$AT$1,),))/100+1)^4)-1</f>
        <v>2.5853080206285295E-2</v>
      </c>
      <c r="H43" s="32">
        <f>(((VLOOKUP(B43,'Data qoq'!$A:$AT,MATCH($H$1,'Data qoq'!$A$1:$AT$1,),))/100+1)^4)-1</f>
        <v>1.9374956866440529E-2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-3.1570886746376536E-2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1.3116075282704198E-3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-1.3432443435384078E-2</v>
      </c>
      <c r="F44" s="32">
        <f>(((VLOOKUP(B44,'Data qoq'!$A:$AT,MATCH($F$1,'Data qoq'!$A$1:$AT$1,),))/100+1)^4)-1</f>
        <v>-2.393120495724721E-2</v>
      </c>
      <c r="G44" s="32">
        <f>(((VLOOKUP(B44,'Data qoq'!$A:$AT,MATCH($G$1,'Data qoq'!$A$1:$AT$1,),))/100+1)^4)-1</f>
        <v>-9.7172877819649006E-3</v>
      </c>
      <c r="H44" s="32">
        <f>(((VLOOKUP(B44,'Data qoq'!$A:$AT,MATCH($H$1,'Data qoq'!$A$1:$AT$1,),))/100+1)^4)-1</f>
        <v>-2.1709389603920992E-2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-1.7369412105274762E-3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5.4883710105656514E-3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-4.8531299730155908E-2</v>
      </c>
      <c r="G45" s="32">
        <f>(((VLOOKUP(B45,'Data qoq'!$A:$AT,MATCH($G$1,'Data qoq'!$A$1:$AT$1,),))/100+1)^4)-1</f>
        <v>-2.526205407879456E-2</v>
      </c>
      <c r="H45" s="32">
        <f>(((VLOOKUP(B45,'Data qoq'!$A:$AT,MATCH($H$1,'Data qoq'!$A$1:$AT$1,),))/100+1)^4)-1</f>
        <v>-6.5962904870232597E-3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-1.9483293566170956E-2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-9.4649294686234731E-2</v>
      </c>
      <c r="G46" s="32">
        <f>(((VLOOKUP(B46,'Data qoq'!$A:$AT,MATCH($G$1,'Data qoq'!$A$1:$AT$1,),))/100+1)^4)-1</f>
        <v>-6.2235901484361311E-2</v>
      </c>
      <c r="H46" s="32">
        <f>(((VLOOKUP(B46,'Data qoq'!$A:$AT,MATCH($H$1,'Data qoq'!$A$1:$AT$1,),))/100+1)^4)-1</f>
        <v>-5.9029028096004965E-2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-0.13511725781322703</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-0.11811907657251375</v>
      </c>
      <c r="F47" s="32">
        <f>(((VLOOKUP(B47,'Data qoq'!$A:$AT,MATCH($F$1,'Data qoq'!$A$1:$AT$1,),))/100+1)^4)-1</f>
        <v>-0.17880085588240069</v>
      </c>
      <c r="G47" s="32">
        <f>(((VLOOKUP(B47,'Data qoq'!$A:$AT,MATCH($G$1,'Data qoq'!$A$1:$AT$1,),))/100+1)^4)-1</f>
        <v>-0.17461680510792443</v>
      </c>
      <c r="H47" s="32">
        <f>(((VLOOKUP(B47,'Data qoq'!$A:$AT,MATCH($H$1,'Data qoq'!$A$1:$AT$1,),))/100+1)^4)-1</f>
        <v>-6.6522517292211925E-2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-5.7528547917359618E-2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-4.2713059568430412E-2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-9.9163103700827815E-4</v>
      </c>
      <c r="F48" s="32">
        <f>(((VLOOKUP(B48,'Data qoq'!$A:$AT,MATCH($F$1,'Data qoq'!$A$1:$AT$1,),))/100+1)^4)-1</f>
        <v>7.9598806118553078E-2</v>
      </c>
      <c r="G48" s="32">
        <f>(((VLOOKUP(B48,'Data qoq'!$A:$AT,MATCH($G$1,'Data qoq'!$A$1:$AT$1,),))/100+1)^4)-1</f>
        <v>6.400571595613247E-3</v>
      </c>
      <c r="H48" s="32">
        <f>(((VLOOKUP(B48,'Data qoq'!$A:$AT,MATCH($H$1,'Data qoq'!$A$1:$AT$1,),))/100+1)^4)-1</f>
        <v>-5.3647895758468511E-4</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2.6786141387129536E-3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1.043056448016233E-2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-1.5542671528837593E-3</v>
      </c>
      <c r="G49" s="32">
        <f>(((VLOOKUP(B49,'Data qoq'!$A:$AT,MATCH($G$1,'Data qoq'!$A$1:$AT$1,),))/100+1)^4)-1</f>
        <v>2.250078734559513E-2</v>
      </c>
      <c r="H49" s="32">
        <f>(((VLOOKUP(B49,'Data qoq'!$A:$AT,MATCH($H$1,'Data qoq'!$A$1:$AT$1,),))/100+1)^4)-1</f>
        <v>7.359310966863486E-3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-2.0973535544162036E-3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5.1107433634851596E-2</v>
      </c>
      <c r="G50" s="32">
        <f>(((VLOOKUP(B50,'Data qoq'!$A:$AT,MATCH($G$1,'Data qoq'!$A$1:$AT$1,),))/100+1)^4)-1</f>
        <v>2.9761558629025631E-2</v>
      </c>
      <c r="H50" s="32">
        <f>(((VLOOKUP(B50,'Data qoq'!$A:$AT,MATCH($H$1,'Data qoq'!$A$1:$AT$1,),))/100+1)^4)-1</f>
        <v>2.8557342629515592E-2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1.8414110088266433E-2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1.7794645830517819E-2</v>
      </c>
      <c r="F51" s="32">
        <f>(((VLOOKUP(B51,'Data qoq'!$A:$AT,MATCH($F$1,'Data qoq'!$A$1:$AT$1,),))/100+1)^4)-1</f>
        <v>4.2767791347997353E-2</v>
      </c>
      <c r="G51" s="32">
        <f>(((VLOOKUP(B51,'Data qoq'!$A:$AT,MATCH($G$1,'Data qoq'!$A$1:$AT$1,),))/100+1)^4)-1</f>
        <v>3.2878811608421765E-2</v>
      </c>
      <c r="H51" s="32">
        <f>(((VLOOKUP(B51,'Data qoq'!$A:$AT,MATCH($H$1,'Data qoq'!$A$1:$AT$1,),))/100+1)^4)-1</f>
        <v>1.3874820515458852E-2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0.11074360301189445</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-2.0743169358968583E-2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3.9359182177585383E-2</v>
      </c>
      <c r="F52" s="32">
        <f>(((VLOOKUP(B52,'Data qoq'!$A:$AT,MATCH($F$1,'Data qoq'!$A$1:$AT$1,),))/100+1)^4)-1</f>
        <v>4.8078549265942128E-2</v>
      </c>
      <c r="G52" s="32">
        <f>(((VLOOKUP(B52,'Data qoq'!$A:$AT,MATCH($G$1,'Data qoq'!$A$1:$AT$1,),))/100+1)^4)-1</f>
        <v>9.3166436542036379E-2</v>
      </c>
      <c r="H52" s="32">
        <f>(((VLOOKUP(B52,'Data qoq'!$A:$AT,MATCH($H$1,'Data qoq'!$A$1:$AT$1,),))/100+1)^4)-1</f>
        <v>1.9653307556298127E-2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8.6146619133044444E-2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-7.1814095084521412E-3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7.4769637086479435E-2</v>
      </c>
      <c r="G53" s="32">
        <f>(((VLOOKUP(B53,'Data qoq'!$A:$AT,MATCH($G$1,'Data qoq'!$A$1:$AT$1,),))/100+1)^4)-1</f>
        <v>3.3111873078426113E-2</v>
      </c>
      <c r="H53" s="32">
        <f>(((VLOOKUP(B53,'Data qoq'!$A:$AT,MATCH($H$1,'Data qoq'!$A$1:$AT$1,),))/100+1)^4)-1</f>
        <v>2.5491660948910866E-2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5.0353483422577394E-2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2.3843229980726743E-2</v>
      </c>
      <c r="F54" s="32">
        <f>(((VLOOKUP(B54,'Data qoq'!$A:$AT,MATCH($F$1,'Data qoq'!$A$1:$AT$1,),))/100+1)^4)-1</f>
        <v>-3.1948052064761479E-2</v>
      </c>
      <c r="G54" s="32">
        <f>(((VLOOKUP(B54,'Data qoq'!$A:$AT,MATCH($G$1,'Data qoq'!$A$1:$AT$1,),))/100+1)^4)-1</f>
        <v>3.2839870797656268E-2</v>
      </c>
      <c r="H54" s="32">
        <f>(((VLOOKUP(B54,'Data qoq'!$A:$AT,MATCH($H$1,'Data qoq'!$A$1:$AT$1,),))/100+1)^4)-1</f>
        <v>2.646279194341794E-2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6.3411666817527745E-2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1.8336457227337455E-2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-4.1387268658323095E-2</v>
      </c>
      <c r="G55" s="32">
        <f>(((VLOOKUP(B55,'Data qoq'!$A:$AT,MATCH($G$1,'Data qoq'!$A$1:$AT$1,),))/100+1)^4)-1</f>
        <v>7.9843861066801303E-2</v>
      </c>
      <c r="H55" s="32">
        <f>(((VLOOKUP(B55,'Data qoq'!$A:$AT,MATCH($H$1,'Data qoq'!$A$1:$AT$1,),))/100+1)^4)-1</f>
        <v>4.2713769942593238E-2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1.5861890530112221E-2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-8.988168891362891E-4</v>
      </c>
      <c r="F56" s="32">
        <f>(((VLOOKUP(B56,'Data qoq'!$A:$AT,MATCH($F$1,'Data qoq'!$A$1:$AT$1,),))/100+1)^4)-1</f>
        <v>-3.4662297821451915E-2</v>
      </c>
      <c r="G56" s="32">
        <f>(((VLOOKUP(B56,'Data qoq'!$A:$AT,MATCH($G$1,'Data qoq'!$A$1:$AT$1,),))/100+1)^4)-1</f>
        <v>3.7936476388091833E-3</v>
      </c>
      <c r="H56" s="32">
        <f>(((VLOOKUP(B56,'Data qoq'!$A:$AT,MATCH($H$1,'Data qoq'!$A$1:$AT$1,),))/100+1)^4)-1</f>
        <v>-3.9567483058449149E-3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1.3722862796070823E-2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-3.1223745662062319E-3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0.1010351747205458</v>
      </c>
      <c r="G57" s="32">
        <f>(((VLOOKUP(B57,'Data qoq'!$A:$AT,MATCH($G$1,'Data qoq'!$A$1:$AT$1,),))/100+1)^4)-1</f>
        <v>3.5794696672826642E-2</v>
      </c>
      <c r="H57" s="32">
        <f>(((VLOOKUP(B57,'Data qoq'!$A:$AT,MATCH($H$1,'Data qoq'!$A$1:$AT$1,),))/100+1)^4)-1</f>
        <v>2.0224090040133147E-2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5.3108954931123442E-2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-5.443227018204766E-3</v>
      </c>
      <c r="G58" s="32">
        <f>(((VLOOKUP(B58,'Data qoq'!$A:$AT,MATCH($G$1,'Data qoq'!$A$1:$AT$1,),))/100+1)^4)-1</f>
        <v>-1.2859523867687406E-2</v>
      </c>
      <c r="H58" s="32">
        <f>(((VLOOKUP(B58,'Data qoq'!$A:$AT,MATCH($H$1,'Data qoq'!$A$1:$AT$1,),))/100+1)^4)-1</f>
        <v>6.692831305886271E-3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-5.6218425098389702E-2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-8.5708342568054929E-3</v>
      </c>
      <c r="F59" s="32">
        <f>(((VLOOKUP(B59,'Data qoq'!$A:$AT,MATCH($F$1,'Data qoq'!$A$1:$AT$1,),))/100+1)^4)-1</f>
        <v>5.6724649309148889E-2</v>
      </c>
      <c r="G59" s="32">
        <f>(((VLOOKUP(B59,'Data qoq'!$A:$AT,MATCH($G$1,'Data qoq'!$A$1:$AT$1,),))/100+1)^4)-1</f>
        <v>8.3906494837928669E-3</v>
      </c>
      <c r="H59" s="32">
        <f>(((VLOOKUP(B59,'Data qoq'!$A:$AT,MATCH($H$1,'Data qoq'!$A$1:$AT$1,),))/100+1)^4)-1</f>
        <v>1.6631228364523132E-3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8.4198895061975421E-3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-4.220622137990937E-2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-1.0513811330924994E-2</v>
      </c>
      <c r="F60" s="32">
        <f>(((VLOOKUP(B60,'Data qoq'!$A:$AT,MATCH($F$1,'Data qoq'!$A$1:$AT$1,),))/100+1)^4)-1</f>
        <v>-3.6222001646515234E-2</v>
      </c>
      <c r="G60" s="32">
        <f>(((VLOOKUP(B60,'Data qoq'!$A:$AT,MATCH($G$1,'Data qoq'!$A$1:$AT$1,),))/100+1)^4)-1</f>
        <v>8.3721420317743878E-3</v>
      </c>
      <c r="H60" s="32">
        <f>(((VLOOKUP(B60,'Data qoq'!$A:$AT,MATCH($H$1,'Data qoq'!$A$1:$AT$1,),))/100+1)^4)-1</f>
        <v>-6.0192209035316857E-3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5.5288652610370193E-3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-8.2741518202399389E-3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-1.4900365758384604E-2</v>
      </c>
      <c r="G61" s="32">
        <f>(((VLOOKUP(B61,'Data qoq'!$A:$AT,MATCH($G$1,'Data qoq'!$A$1:$AT$1,),))/100+1)^4)-1</f>
        <v>1.1291931863393057E-2</v>
      </c>
      <c r="H61" s="32">
        <f>(((VLOOKUP(B61,'Data qoq'!$A:$AT,MATCH($H$1,'Data qoq'!$A$1:$AT$1,),))/100+1)^4)-1</f>
        <v>9.5086747414456774E-3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-4.5840453300510786E-3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-2.9348068700467689E-3</v>
      </c>
      <c r="G62" s="32">
        <f>(((VLOOKUP(B62,'Data qoq'!$A:$AT,MATCH($G$1,'Data qoq'!$A$1:$AT$1,),))/100+1)^4)-1</f>
        <v>-1.7737925802989052E-2</v>
      </c>
      <c r="H62" s="32">
        <f>(((VLOOKUP(B62,'Data qoq'!$A:$AT,MATCH($H$1,'Data qoq'!$A$1:$AT$1,),))/100+1)^4)-1</f>
        <v>-5.3699132336870736E-3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-2.9852581187187477E-2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-1.3229971736432922E-2</v>
      </c>
      <c r="F63" s="32">
        <f>(((VLOOKUP(B63,'Data qoq'!$A:$AT,MATCH($F$1,'Data qoq'!$A$1:$AT$1,),))/100+1)^4)-1</f>
        <v>5.6664902791483396E-2</v>
      </c>
      <c r="G63" s="32">
        <f>(((VLOOKUP(B63,'Data qoq'!$A:$AT,MATCH($G$1,'Data qoq'!$A$1:$AT$1,),))/100+1)^4)-1</f>
        <v>-1.8126003136424873E-2</v>
      </c>
      <c r="H63" s="32">
        <f>(((VLOOKUP(B63,'Data qoq'!$A:$AT,MATCH($H$1,'Data qoq'!$A$1:$AT$1,),))/100+1)^4)-1</f>
        <v>3.7150896412456724E-3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5.8128996002240196E-2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-2.2637812984822037E-2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2.0748755011191777E-2</v>
      </c>
      <c r="F64" s="32">
        <f>(((VLOOKUP(B64,'Data qoq'!$A:$AT,MATCH($F$1,'Data qoq'!$A$1:$AT$1,),))/100+1)^4)-1</f>
        <v>3.6501957277057517E-2</v>
      </c>
      <c r="G64" s="32">
        <f>(((VLOOKUP(B64,'Data qoq'!$A:$AT,MATCH($G$1,'Data qoq'!$A$1:$AT$1,),))/100+1)^4)-1</f>
        <v>4.3434677213328721E-2</v>
      </c>
      <c r="H64" s="32">
        <f>(((VLOOKUP(B64,'Data qoq'!$A:$AT,MATCH($H$1,'Data qoq'!$A$1:$AT$1,),))/100+1)^4)-1</f>
        <v>2.6553180464072845E-2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-3.678484107224933E-3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-6.6880417956529659E-3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3.8972204290420365E-2</v>
      </c>
      <c r="G65" s="32">
        <f>(((VLOOKUP(B65,'Data qoq'!$A:$AT,MATCH($G$1,'Data qoq'!$A$1:$AT$1,),))/100+1)^4)-1</f>
        <v>2.257900961501691E-2</v>
      </c>
      <c r="H65" s="32">
        <f>(((VLOOKUP(B65,'Data qoq'!$A:$AT,MATCH($H$1,'Data qoq'!$A$1:$AT$1,),))/100+1)^4)-1</f>
        <v>-3.484902395437639E-3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1.8386040783355151E-2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-5.0752430584227737E-3</v>
      </c>
      <c r="G66" s="32">
        <f>(((VLOOKUP(B66,'Data qoq'!$A:$AT,MATCH($G$1,'Data qoq'!$A$1:$AT$1,),))/100+1)^4)-1</f>
        <v>1.1595579549056767E-2</v>
      </c>
      <c r="H66" s="32">
        <f>(((VLOOKUP(B66,'Data qoq'!$A:$AT,MATCH($H$1,'Data qoq'!$A$1:$AT$1,),))/100+1)^4)-1</f>
        <v>2.585547982838543E-2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2.6507791182677432E-2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1.666948006140978E-2</v>
      </c>
      <c r="F67" s="32">
        <f>(((VLOOKUP(B67,'Data qoq'!$A:$AT,MATCH($F$1,'Data qoq'!$A$1:$AT$1,),))/100+1)^4)-1</f>
        <v>3.3236469503607147E-2</v>
      </c>
      <c r="G67" s="32">
        <f>(((VLOOKUP(B67,'Data qoq'!$A:$AT,MATCH($G$1,'Data qoq'!$A$1:$AT$1,),))/100+1)^4)-1</f>
        <v>3.9528796167056512E-2</v>
      </c>
      <c r="H67" s="32">
        <f>(((VLOOKUP(B67,'Data qoq'!$A:$AT,MATCH($H$1,'Data qoq'!$A$1:$AT$1,),))/100+1)^4)-1</f>
        <v>1.0218564582378242E-3</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3.5610194209886759E-2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-2.134936910188201E-2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7.8232067841172981E-3</v>
      </c>
      <c r="F68" s="32">
        <f>(((VLOOKUP(B68,'Data qoq'!$A:$AT,MATCH($F$1,'Data qoq'!$A$1:$AT$1,),))/100+1)^4)-1</f>
        <v>-7.0272032463731149E-2</v>
      </c>
      <c r="G68" s="32">
        <f>(((VLOOKUP(B68,'Data qoq'!$A:$AT,MATCH($G$1,'Data qoq'!$A$1:$AT$1,),))/100+1)^4)-1</f>
        <v>0</v>
      </c>
      <c r="H68" s="32">
        <f>(((VLOOKUP(B68,'Data qoq'!$A:$AT,MATCH($H$1,'Data qoq'!$A$1:$AT$1,),))/100+1)^4)-1</f>
        <v>3.432792355660963E-3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3.2631251157447139E-2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-2.7607419968706637E-2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1.9903453777723179E-2</v>
      </c>
      <c r="F69" s="32">
        <f>(((VLOOKUP(B69,'Data qoq'!$A:$AT,MATCH($F$1,'Data qoq'!$A$1:$AT$1,),))/100+1)^4)-1</f>
        <v>3.3727530253260252E-3</v>
      </c>
      <c r="G69" s="32">
        <f>(((VLOOKUP(B69,'Data qoq'!$A:$AT,MATCH($G$1,'Data qoq'!$A$1:$AT$1,),))/100+1)^4)-1</f>
        <v>2.0514097799313902E-2</v>
      </c>
      <c r="H69" s="32">
        <f>(((VLOOKUP(B69,'Data qoq'!$A:$AT,MATCH($H$1,'Data qoq'!$A$1:$AT$1,),))/100+1)^4)-1</f>
        <v>2.2999256875163576E-2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2.9133027759893348E-2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-1.0830173510635976E-2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1.4310521794805853E-2</v>
      </c>
      <c r="F70" s="32">
        <f>(((VLOOKUP(B70,'Data qoq'!$A:$AT,MATCH($F$1,'Data qoq'!$A$1:$AT$1,),))/100+1)^4)-1</f>
        <v>1.853033769154977E-2</v>
      </c>
      <c r="G70" s="32">
        <f>(((VLOOKUP(B70,'Data qoq'!$A:$AT,MATCH($G$1,'Data qoq'!$A$1:$AT$1,),))/100+1)^4)-1</f>
        <v>3.2804579095664144E-2</v>
      </c>
      <c r="H70" s="32">
        <f>(((VLOOKUP(B70,'Data qoq'!$A:$AT,MATCH($H$1,'Data qoq'!$A$1:$AT$1,),))/100+1)^4)-1</f>
        <v>-1.8499467696685423E-3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3.0434949338403738E-2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-1.1970981613770304E-2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6.3756032531673279E-2</v>
      </c>
      <c r="G71" s="32">
        <f>IF((((VLOOKUP(B71,'Data qoq'!$A:$AT,MATCH($G$1,'Data qoq'!$A$1:$AT$1,),))/100+1)^4)-1=0,#N/A,(((VLOOKUP(B71,'Data qoq'!$A:$AT,MATCH($G$1,'Data qoq'!$A$1:$AT$1,),))/100+1)^4)-1)</f>
        <v>-2.033598831595651E-2</v>
      </c>
      <c r="H71" s="32">
        <f>IF((((VLOOKUP(B71,'Data qoq'!$A:$AT,MATCH($H$1,'Data qoq'!$A$1:$AT$1,),))/100+1)^4)-1=0,#N/A,(((VLOOKUP(B71,'Data qoq'!$A:$AT,MATCH($H$1,'Data qoq'!$A$1:$AT$1,),))/100+1)^4)-1)</f>
        <v>2.188941536731015E-2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5.8451098046561345E-2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5.4382436640250109E-3</v>
      </c>
      <c r="G72" s="32">
        <f>IF((((VLOOKUP(B72,'Data qoq'!$A:$AT,MATCH($G$1,'Data qoq'!$A$1:$AT$1,),))/100+1)^4)-1=0,#N/A,(((VLOOKUP(B72,'Data qoq'!$A:$AT,MATCH($G$1,'Data qoq'!$A$1:$AT$1,),))/100+1)^4)-1)</f>
        <v>2.9813487560308438E-2</v>
      </c>
      <c r="H72" s="32">
        <f>IF((((VLOOKUP(B72,'Data qoq'!$A:$AT,MATCH($H$1,'Data qoq'!$A$1:$AT$1,),))/100+1)^4)-1=0,#N/A,(((VLOOKUP(B72,'Data qoq'!$A:$AT,MATCH($H$1,'Data qoq'!$A$1:$AT$1,),))/100+1)^4)-1)</f>
        <v>4.1862857080472438E-3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4.041544080644166E-2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1.6777292818434431E-2</v>
      </c>
      <c r="F73" s="32">
        <f>IF((((VLOOKUP(B73,'Data qoq'!$A:$AT,MATCH($F$1,'Data qoq'!$A$1:$AT$1,),))/100+1)^4)-1=0,#N/A,(((VLOOKUP(B73,'Data qoq'!$A:$AT,MATCH($F$1,'Data qoq'!$A$1:$AT$1,),))/100+1)^4)-1)</f>
        <v>3.9408199817052569E-3</v>
      </c>
      <c r="G73" s="32">
        <f>IF((((VLOOKUP(B73,'Data qoq'!$A:$AT,MATCH($G$1,'Data qoq'!$A$1:$AT$1,),))/100+1)^4)-1=0,#N/A,(((VLOOKUP(B73,'Data qoq'!$A:$AT,MATCH($G$1,'Data qoq'!$A$1:$AT$1,),))/100+1)^4)-1)</f>
        <v>1.8165717652488533E-2</v>
      </c>
      <c r="H73" s="32">
        <f>IF((((VLOOKUP(B73,'Data qoq'!$A:$AT,MATCH($H$1,'Data qoq'!$A$1:$AT$1,),))/100+1)^4)-1=0,#N/A,(((VLOOKUP(B73,'Data qoq'!$A:$AT,MATCH($H$1,'Data qoq'!$A$1:$AT$1,),))/100+1)^4)-1)</f>
        <v>9.0138305691400689E-3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5.6257728554752306E-2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-5.7002761304114635E-4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1.8612679231033491E-2</v>
      </c>
      <c r="F74" s="32">
        <f>IF((((VLOOKUP(B74,'Data qoq'!$A:$AT,MATCH($F$1,'Data qoq'!$A$1:$AT$1,),))/100+1)^4)-1=0,#N/A,(((VLOOKUP(B74,'Data qoq'!$A:$AT,MATCH($F$1,'Data qoq'!$A$1:$AT$1,),))/100+1)^4)-1)</f>
        <v>-6.7559626540069084E-3</v>
      </c>
      <c r="G74" s="32">
        <f>IF((((VLOOKUP(B74,'Data qoq'!$A:$AT,MATCH($G$1,'Data qoq'!$A$1:$AT$1,),))/100+1)^4)-1=0,#N/A,(((VLOOKUP(B74,'Data qoq'!$A:$AT,MATCH($G$1,'Data qoq'!$A$1:$AT$1,),))/100+1)^4)-1)</f>
        <v>1.7679212182536874E-2</v>
      </c>
      <c r="H74" s="32">
        <f>IF((((VLOOKUP(B74,'Data qoq'!$A:$AT,MATCH($H$1,'Data qoq'!$A$1:$AT$1,),))/100+1)^4)-1=0,#N/A,(((VLOOKUP(B74,'Data qoq'!$A:$AT,MATCH($H$1,'Data qoq'!$A$1:$AT$1,),))/100+1)^4)-1)</f>
        <v>7.579508960694481E-3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2.9855434999065622E-2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-1.1263062737716156E-2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2.2419256035841606E-2</v>
      </c>
      <c r="F75" s="32">
        <f>IF((((VLOOKUP(B75,'Data qoq'!$A:$AT,MATCH($F$1,'Data qoq'!$A$1:$AT$1,),))/100+1)^4)-1=0,#N/A,(((VLOOKUP(B75,'Data qoq'!$A:$AT,MATCH($F$1,'Data qoq'!$A$1:$AT$1,),))/100+1)^4)-1)</f>
        <v>3.0233722545891517E-2</v>
      </c>
      <c r="G75" s="32">
        <f>IF((((VLOOKUP(B75,'Data qoq'!$A:$AT,MATCH($G$1,'Data qoq'!$A$1:$AT$1,),))/100+1)^4)-1=0,#N/A,(((VLOOKUP(B75,'Data qoq'!$A:$AT,MATCH($G$1,'Data qoq'!$A$1:$AT$1,),))/100+1)^4)-1)</f>
        <v>3.4008038974140842E-2</v>
      </c>
      <c r="H75" s="32">
        <f>IF((((VLOOKUP(B75,'Data qoq'!$A:$AT,MATCH($H$1,'Data qoq'!$A$1:$AT$1,),))/100+1)^4)-1=0,#N/A,(((VLOOKUP(B75,'Data qoq'!$A:$AT,MATCH($H$1,'Data qoq'!$A$1:$AT$1,),))/100+1)^4)-1)</f>
        <v>2.6203937954582868E-2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-2.2070611351052705E-3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2" si="10">B75</f>
        <v>2016-Q1</v>
      </c>
      <c r="AD75" s="31">
        <f t="shared" ref="AD75:AD106" si="11">(VLOOKUP(AC75,B:Y,MATCH($AE$6,$B$1:$Y$1,),))-(VLOOKUP(AC75,B:Y,MATCH($AE$7,$B$1:$Y$1,),))</f>
        <v>7.7237006571255762E-3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9.3862987387676178E-3</v>
      </c>
      <c r="F76" s="32">
        <f>IF((((VLOOKUP(B76,'Data qoq'!$A:$AT,MATCH($F$1,'Data qoq'!$A$1:$AT$1,),))/100+1)^4)-1=0,#N/A,(((VLOOKUP(B76,'Data qoq'!$A:$AT,MATCH($F$1,'Data qoq'!$A$1:$AT$1,),))/100+1)^4)-1)</f>
        <v>-6.3529787772599322E-3</v>
      </c>
      <c r="G76" s="32">
        <f>IF((((VLOOKUP(B76,'Data qoq'!$A:$AT,MATCH($G$1,'Data qoq'!$A$1:$AT$1,),))/100+1)^4)-1=0,#N/A,(((VLOOKUP(B76,'Data qoq'!$A:$AT,MATCH($G$1,'Data qoq'!$A$1:$AT$1,),))/100+1)^4)-1)</f>
        <v>1.7854014060636469E-2</v>
      </c>
      <c r="H76" s="32">
        <f>IF((((VLOOKUP(B76,'Data qoq'!$A:$AT,MATCH($H$1,'Data qoq'!$A$1:$AT$1,),))/100+1)^4)-1=0,#N/A,(((VLOOKUP(B76,'Data qoq'!$A:$AT,MATCH($H$1,'Data qoq'!$A$1:$AT$1,),))/100+1)^4)-1)</f>
        <v>-1.2823197426330424E-2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2.1535504257108595E-3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-1.6030735579112498E-2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7.9835734376343392E-3</v>
      </c>
      <c r="G77" s="32">
        <f>IF((((VLOOKUP(B77,'Data qoq'!$A:$AT,MATCH($G$1,'Data qoq'!$A$1:$AT$1,),))/100+1)^4)-1=0,#N/A,(((VLOOKUP(B77,'Data qoq'!$A:$AT,MATCH($G$1,'Data qoq'!$A$1:$AT$1,),))/100+1)^4)-1)</f>
        <v>1.0241045438037055E-2</v>
      </c>
      <c r="H77" s="32">
        <f>IF((((VLOOKUP(B77,'Data qoq'!$A:$AT,MATCH($H$1,'Data qoq'!$A$1:$AT$1,),))/100+1)^4)-1=0,#N/A,(((VLOOKUP(B77,'Data qoq'!$A:$AT,MATCH($H$1,'Data qoq'!$A$1:$AT$1,),))/100+1)^4)-1)</f>
        <v>1.1810386013894503E-2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1.1765252102787782E-2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3.063080504382798E-2</v>
      </c>
      <c r="F78" s="32">
        <f>IF((((VLOOKUP(B78,'Data qoq'!$A:$AT,MATCH($F$1,'Data qoq'!$A$1:$AT$1,),))/100+1)^4)-1=0,#N/A,(((VLOOKUP(B78,'Data qoq'!$A:$AT,MATCH($F$1,'Data qoq'!$A$1:$AT$1,),))/100+1)^4)-1)</f>
        <v>6.0124417369651351E-3</v>
      </c>
      <c r="G78" s="32">
        <f>IF((((VLOOKUP(B78,'Data qoq'!$A:$AT,MATCH($G$1,'Data qoq'!$A$1:$AT$1,),))/100+1)^4)-1=0,#N/A,(((VLOOKUP(B78,'Data qoq'!$A:$AT,MATCH($G$1,'Data qoq'!$A$1:$AT$1,),))/100+1)^4)-1)</f>
        <v>1.4560319329441906E-2</v>
      </c>
      <c r="H78" s="32">
        <f>IF((((VLOOKUP(B78,'Data qoq'!$A:$AT,MATCH($H$1,'Data qoq'!$A$1:$AT$1,),))/100+1)^4)-1=0,#N/A,(((VLOOKUP(B78,'Data qoq'!$A:$AT,MATCH($H$1,'Data qoq'!$A$1:$AT$1,),))/100+1)^4)-1)</f>
        <v>2.3538440439416997E-2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3.5756697676325722E-2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4.3780910674604545E-3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2.7599292065666914E-2</v>
      </c>
      <c r="F79" s="32">
        <f>IF((((VLOOKUP(B79,'Data qoq'!$A:$AT,MATCH($F$1,'Data qoq'!$A$1:$AT$1,),))/100+1)^4)-1=0,#N/A,(((VLOOKUP(B79,'Data qoq'!$A:$AT,MATCH($F$1,'Data qoq'!$A$1:$AT$1,),))/100+1)^4)-1)</f>
        <v>3.325656298786539E-2</v>
      </c>
      <c r="G79" s="32">
        <f>IF((((VLOOKUP(B79,'Data qoq'!$A:$AT,MATCH($G$1,'Data qoq'!$A$1:$AT$1,),))/100+1)^4)-1=0,#N/A,(((VLOOKUP(B79,'Data qoq'!$A:$AT,MATCH($G$1,'Data qoq'!$A$1:$AT$1,),))/100+1)^4)-1)</f>
        <v>4.9038659701267751E-2</v>
      </c>
      <c r="H79" s="32">
        <f>IF((((VLOOKUP(B79,'Data qoq'!$A:$AT,MATCH($H$1,'Data qoq'!$A$1:$AT$1,),))/100+1)^4)-1=0,#N/A,(((VLOOKUP(B79,'Data qoq'!$A:$AT,MATCH($H$1,'Data qoq'!$A$1:$AT$1,),))/100+1)^4)-1)</f>
        <v>3.0567913912989519E-2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1.9892223489540228E-2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-2.296528946080123E-3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1.3331801755811501E-2</v>
      </c>
      <c r="G80" s="32">
        <f>IF((((VLOOKUP(B80,'Data qoq'!$A:$AT,MATCH($G$1,'Data qoq'!$A$1:$AT$1,),))/100+1)^4)-1=0,#N/A,(((VLOOKUP(B80,'Data qoq'!$A:$AT,MATCH($G$1,'Data qoq'!$A$1:$AT$1,),))/100+1)^4)-1)</f>
        <v>3.4341610889235152E-2</v>
      </c>
      <c r="H80" s="32">
        <f>IF((((VLOOKUP(B80,'Data qoq'!$A:$AT,MATCH($H$1,'Data qoq'!$A$1:$AT$1,),))/100+1)^4)-1=0,#N/A,(((VLOOKUP(B80,'Data qoq'!$A:$AT,MATCH($H$1,'Data qoq'!$A$1:$AT$1,),))/100+1)^4)-1)</f>
        <v>3.1834161020422025E-2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5.2153013673049697E-2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3.4636508638385521E-2</v>
      </c>
      <c r="G81" s="32">
        <f>IF((((VLOOKUP(B81,'Data qoq'!$A:$AT,MATCH($G$1,'Data qoq'!$A$1:$AT$1,),))/100+1)^4)-1=0,#N/A,(((VLOOKUP(B81,'Data qoq'!$A:$AT,MATCH($G$1,'Data qoq'!$A$1:$AT$1,),))/100+1)^4)-1)</f>
        <v>2.9746637412453758E-2</v>
      </c>
      <c r="H81" s="32">
        <f>IF((((VLOOKUP(B81,'Data qoq'!$A:$AT,MATCH($H$1,'Data qoq'!$A$1:$AT$1,),))/100+1)^4)-1=0,#N/A,(((VLOOKUP(B81,'Data qoq'!$A:$AT,MATCH($H$1,'Data qoq'!$A$1:$AT$1,),))/100+1)^4)-1)</f>
        <v>3.4479310858223089E-2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3.6743746009840761E-2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4.5915640539664349E-3</v>
      </c>
      <c r="G82" s="32">
        <f>IF((((VLOOKUP(B82,'Data qoq'!$A:$AT,MATCH($G$1,'Data qoq'!$A$1:$AT$1,),))/100+1)^4)-1=0,#N/A,(((VLOOKUP(B82,'Data qoq'!$A:$AT,MATCH($G$1,'Data qoq'!$A$1:$AT$1,),))/100+1)^4)-1)</f>
        <v>3.6912121484862004E-2</v>
      </c>
      <c r="H82" s="32">
        <f>IF((((VLOOKUP(B82,'Data qoq'!$A:$AT,MATCH($H$1,'Data qoq'!$A$1:$AT$1,),))/100+1)^4)-1=0,#N/A,(((VLOOKUP(B82,'Data qoq'!$A:$AT,MATCH($H$1,'Data qoq'!$A$1:$AT$1,),))/100+1)^4)-1)</f>
        <v>2.4210467681853087E-2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8.0974197384064972E-3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-1.3883277146276018E-4</v>
      </c>
      <c r="F83" s="32">
        <f>IF((((VLOOKUP(B83,'Data qoq'!$A:$AT,MATCH($F$1,'Data qoq'!$A$1:$AT$1,),))/100+1)^4)-1=0,#N/A,(((VLOOKUP(B83,'Data qoq'!$A:$AT,MATCH($F$1,'Data qoq'!$A$1:$AT$1,),))/100+1)^4)-1)</f>
        <v>4.4133144172473493E-3</v>
      </c>
      <c r="G83" s="32">
        <f>IF((((VLOOKUP(B83,'Data qoq'!$A:$AT,MATCH($G$1,'Data qoq'!$A$1:$AT$1,),))/100+1)^4)-1=0,#N/A,(((VLOOKUP(B83,'Data qoq'!$A:$AT,MATCH($G$1,'Data qoq'!$A$1:$AT$1,),))/100+1)^4)-1)</f>
        <v>-2.3008327140471962E-2</v>
      </c>
      <c r="H83" s="32">
        <f>IF((((VLOOKUP(B83,'Data qoq'!$A:$AT,MATCH($H$1,'Data qoq'!$A$1:$AT$1,),))/100+1)^4)-1=0,#N/A,(((VLOOKUP(B83,'Data qoq'!$A:$AT,MATCH($H$1,'Data qoq'!$A$1:$AT$1,),))/100+1)^4)-1)</f>
        <v>3.277777809105098E-3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1.6872265261314023E-2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-6.1429483451641564E-3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2.1747663408275164E-2</v>
      </c>
      <c r="F84" s="32">
        <f>IF((((VLOOKUP(B84,'Data qoq'!$A:$AT,MATCH($F$1,'Data qoq'!$A$1:$AT$1,),))/100+1)^4)-1=0,#N/A,(((VLOOKUP(B84,'Data qoq'!$A:$AT,MATCH($F$1,'Data qoq'!$A$1:$AT$1,),))/100+1)^4)-1)</f>
        <v>1.1129082136992929E-2</v>
      </c>
      <c r="G84" s="32">
        <f>IF((((VLOOKUP(B84,'Data qoq'!$A:$AT,MATCH($G$1,'Data qoq'!$A$1:$AT$1,),))/100+1)^4)-1=0,#N/A,(((VLOOKUP(B84,'Data qoq'!$A:$AT,MATCH($G$1,'Data qoq'!$A$1:$AT$1,),))/100+1)^4)-1)</f>
        <v>2.8658389966354836E-2</v>
      </c>
      <c r="H84" s="32">
        <f>IF((((VLOOKUP(B84,'Data qoq'!$A:$AT,MATCH($H$1,'Data qoq'!$A$1:$AT$1,),))/100+1)^4)-1=0,#N/A,(((VLOOKUP(B84,'Data qoq'!$A:$AT,MATCH($H$1,'Data qoq'!$A$1:$AT$1,),))/100+1)^4)-1)</f>
        <v>1.7382884848677671E-2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4.0620079903818551E-2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3.4294732987720788E-3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3.4672507273736386E-4</v>
      </c>
      <c r="F85" s="32">
        <f>IF((((VLOOKUP(B85,'Data qoq'!$A:$AT,MATCH($F$1,'Data qoq'!$A$1:$AT$1,),))/100+1)^4)-1=0,#N/A,(((VLOOKUP(B85,'Data qoq'!$A:$AT,MATCH($F$1,'Data qoq'!$A$1:$AT$1,),))/100+1)^4)-1)</f>
        <v>-1.9395920501184438E-2</v>
      </c>
      <c r="G85" s="32">
        <f>IF((((VLOOKUP(B85,'Data qoq'!$A:$AT,MATCH($G$1,'Data qoq'!$A$1:$AT$1,),))/100+1)^4)-1=0,#N/A,(((VLOOKUP(B85,'Data qoq'!$A:$AT,MATCH($G$1,'Data qoq'!$A$1:$AT$1,),))/100+1)^4)-1)</f>
        <v>-3.1163644762175813E-2</v>
      </c>
      <c r="H85" s="32">
        <f>IF((((VLOOKUP(B85,'Data qoq'!$A:$AT,MATCH($H$1,'Data qoq'!$A$1:$AT$1,),))/100+1)^4)-1=0,#N/A,(((VLOOKUP(B85,'Data qoq'!$A:$AT,MATCH($H$1,'Data qoq'!$A$1:$AT$1,),))/100+1)^4)-1)</f>
        <v>1.5444863330532854E-2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-3.1894164889327725E-2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-2.2070785499350487E-2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2.6116875998139832E-2</v>
      </c>
      <c r="F86" s="32">
        <f>IF((((VLOOKUP(B86,'Data qoq'!$A:$AT,MATCH($F$1,'Data qoq'!$A$1:$AT$1,),))/100+1)^4)-1=0,#N/A,(((VLOOKUP(B86,'Data qoq'!$A:$AT,MATCH($F$1,'Data qoq'!$A$1:$AT$1,),))/100+1)^4)-1)</f>
        <v>-5.4291852224637172E-3</v>
      </c>
      <c r="G86" s="32">
        <f>IF((((VLOOKUP(B86,'Data qoq'!$A:$AT,MATCH($G$1,'Data qoq'!$A$1:$AT$1,),))/100+1)^4)-1=0,#N/A,(((VLOOKUP(B86,'Data qoq'!$A:$AT,MATCH($G$1,'Data qoq'!$A$1:$AT$1,),))/100+1)^4)-1)</f>
        <v>3.2166261176547417E-2</v>
      </c>
      <c r="H86" s="32">
        <f>IF((((VLOOKUP(B86,'Data qoq'!$A:$AT,MATCH($H$1,'Data qoq'!$A$1:$AT$1,),))/100+1)^4)-1=0,#N/A,(((VLOOKUP(B86,'Data qoq'!$A:$AT,MATCH($H$1,'Data qoq'!$A$1:$AT$1,),))/100+1)^4)-1)</f>
        <v>2.355734155780298E-2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5.3635355686770803E-2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1.5790179994591425E-2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2.5378368801743045E-2</v>
      </c>
      <c r="F87" s="32">
        <f>IF((((VLOOKUP(B87,'Data qoq'!$A:$AT,MATCH($F$1,'Data qoq'!$A$1:$AT$1,),))/100+1)^4)-1=0,#N/A,(((VLOOKUP(B87,'Data qoq'!$A:$AT,MATCH($F$1,'Data qoq'!$A$1:$AT$1,),))/100+1)^4)-1)</f>
        <v>9.3895337306351134E-3</v>
      </c>
      <c r="G87" s="32">
        <f>IF((((VLOOKUP(B87,'Data qoq'!$A:$AT,MATCH($G$1,'Data qoq'!$A$1:$AT$1,),))/100+1)^4)-1=0,#N/A,(((VLOOKUP(B87,'Data qoq'!$A:$AT,MATCH($G$1,'Data qoq'!$A$1:$AT$1,),))/100+1)^4)-1)</f>
        <v>2.8933820960599599E-2</v>
      </c>
      <c r="H87" s="32">
        <f>IF((((VLOOKUP(B87,'Data qoq'!$A:$AT,MATCH($H$1,'Data qoq'!$A$1:$AT$1,),))/100+1)^4)-1=0,#N/A,(((VLOOKUP(B87,'Data qoq'!$A:$AT,MATCH($H$1,'Data qoq'!$A$1:$AT$1,),))/100+1)^4)-1)</f>
        <v>2.7320908024256241E-2</v>
      </c>
      <c r="I87" s="32">
        <f>IF((((VLOOKUP(B87,'Data qoq'!$A:$AT,MATCH($I$1,'Data qoq'!$A$1:$AT$1,),))/100+1)^4)-1=0,#N/A,(((VLOOKUP(B87,'Data qoq'!$A:$AT,MATCH($I$1,'Data qoq'!$A$1:$AT$1,),))/100+1)^4)-1)</f>
        <v>2.5453962297567578E-2</v>
      </c>
      <c r="J87" s="32">
        <f>IF((((VLOOKUP(B87,'Data qoq'!$A:$AT,MATCH($J$1,'Data qoq'!$A$1:$AT$1,),))/100+1)^4)-1=0,#N/A,(((VLOOKUP(B87,'Data qoq'!$A:$AT,MATCH($J$1,'Data qoq'!$A$1:$AT$1,),))/100+1)^4)-1)</f>
        <v>7.5561367354370912E-3</v>
      </c>
      <c r="K87" s="32">
        <f>IF((((VLOOKUP(B87,'Data qoq'!$A:$AT,MATCH($K$1,'Data qoq'!$A$1:$AT$1,),))/100+1)^4)-1=0,#N/A,(((VLOOKUP(B87,'Data qoq'!$A:$AT,MATCH($K$1,'Data qoq'!$A$1:$AT$1,),))/100+1)^4)-1)</f>
        <v>2.4577792719684854E-2</v>
      </c>
      <c r="L87" s="32">
        <f>IF((((VLOOKUP(B87,'Data qoq'!$A:$AT,MATCH($L$1,'Data qoq'!$A$1:$AT$1,),))/100+1)^4)-1=0,#N/A,(((VLOOKUP(B87,'Data qoq'!$A:$AT,MATCH($L$1,'Data qoq'!$A$1:$AT$1,),))/100+1)^4)-1)</f>
        <v>2.4618360747800772E-2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-7.5593495824533008E-5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1.2601192317960752E-2</v>
      </c>
      <c r="F88" s="32">
        <f>IF((((VLOOKUP(B88,'Data qoq'!$A:$AT,MATCH($F$1,'Data qoq'!$A$1:$AT$1,),))/100+1)^4)-1=0,#N/A,(((VLOOKUP(B88,'Data qoq'!$A:$AT,MATCH($F$1,'Data qoq'!$A$1:$AT$1,),))/100+1)^4)-1)</f>
        <v>1.1409703410528937E-2</v>
      </c>
      <c r="G88" s="32">
        <f>IF((((VLOOKUP(B88,'Data qoq'!$A:$AT,MATCH($G$1,'Data qoq'!$A$1:$AT$1,),))/100+1)^4)-1=0,#N/A,(((VLOOKUP(B88,'Data qoq'!$A:$AT,MATCH($G$1,'Data qoq'!$A$1:$AT$1,),))/100+1)^4)-1)</f>
        <v>-6.6929017733794449E-3</v>
      </c>
      <c r="H88" s="32">
        <f>IF((((VLOOKUP(B88,'Data qoq'!$A:$AT,MATCH($H$1,'Data qoq'!$A$1:$AT$1,),))/100+1)^4)-1=0,#N/A,(((VLOOKUP(B88,'Data qoq'!$A:$AT,MATCH($H$1,'Data qoq'!$A$1:$AT$1,),))/100+1)^4)-1)</f>
        <v>2.779685351526906E-2</v>
      </c>
      <c r="I88" s="32">
        <f>IF((((VLOOKUP(B88,'Data qoq'!$A:$AT,MATCH($I$1,'Data qoq'!$A$1:$AT$1,),))/100+1)^4)-1=0,#N/A,(((VLOOKUP(B88,'Data qoq'!$A:$AT,MATCH($I$1,'Data qoq'!$A$1:$AT$1,),))/100+1)^4)-1)</f>
        <v>4.4057981351697251E-3</v>
      </c>
      <c r="J88" s="32">
        <f>IF((((VLOOKUP(B88,'Data qoq'!$A:$AT,MATCH($J$1,'Data qoq'!$A$1:$AT$1,),))/100+1)^4)-1=0,#N/A,(((VLOOKUP(B88,'Data qoq'!$A:$AT,MATCH($J$1,'Data qoq'!$A$1:$AT$1,),))/100+1)^4)-1)</f>
        <v>9.1660727676277087E-3</v>
      </c>
      <c r="K88" s="32">
        <f>IF((((VLOOKUP(B88,'Data qoq'!$A:$AT,MATCH($K$1,'Data qoq'!$A$1:$AT$1,),))/100+1)^4)-1=0,#N/A,(((VLOOKUP(B88,'Data qoq'!$A:$AT,MATCH($K$1,'Data qoq'!$A$1:$AT$1,),))/100+1)^4)-1)</f>
        <v>1.3920087552542482E-2</v>
      </c>
      <c r="L88" s="32">
        <f>IF((((VLOOKUP(B88,'Data qoq'!$A:$AT,MATCH($L$1,'Data qoq'!$A$1:$AT$1,),))/100+1)^4)-1=0,#N/A,(((VLOOKUP(B88,'Data qoq'!$A:$AT,MATCH($L$1,'Data qoq'!$A$1:$AT$1,),))/100+1)^4)-1)</f>
        <v>2.0315213885197636E-2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8.195394182791027E-3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8.3112187608538335E-3</v>
      </c>
      <c r="F89" s="32">
        <f>IF((((VLOOKUP(B89,'Data qoq'!$A:$AT,MATCH($F$1,'Data qoq'!$A$1:$AT$1,),))/100+1)^4)-1=0,#N/A,(((VLOOKUP(B89,'Data qoq'!$A:$AT,MATCH($F$1,'Data qoq'!$A$1:$AT$1,),))/100+1)^4)-1)</f>
        <v>1.015609826776287E-2</v>
      </c>
      <c r="G89" s="32">
        <f>IF((((VLOOKUP(B89,'Data qoq'!$A:$AT,MATCH($G$1,'Data qoq'!$A$1:$AT$1,),))/100+1)^4)-1=0,#N/A,(((VLOOKUP(B89,'Data qoq'!$A:$AT,MATCH($G$1,'Data qoq'!$A$1:$AT$1,),))/100+1)^4)-1)</f>
        <v>4.4881946027448549E-3</v>
      </c>
      <c r="H89" s="32">
        <f>IF((((VLOOKUP(B89,'Data qoq'!$A:$AT,MATCH($H$1,'Data qoq'!$A$1:$AT$1,),))/100+1)^4)-1=0,#N/A,(((VLOOKUP(B89,'Data qoq'!$A:$AT,MATCH($H$1,'Data qoq'!$A$1:$AT$1,),))/100+1)^4)-1)</f>
        <v>8.4830344356490173E-4</v>
      </c>
      <c r="I89" s="32">
        <f>IF((((VLOOKUP(B89,'Data qoq'!$A:$AT,MATCH($I$1,'Data qoq'!$A$1:$AT$1,),))/100+1)^4)-1=0,#N/A,(((VLOOKUP(B89,'Data qoq'!$A:$AT,MATCH($I$1,'Data qoq'!$A$1:$AT$1,),))/100+1)^4)-1)</f>
        <v>2.4658965788892262E-2</v>
      </c>
      <c r="J89" s="32">
        <f>IF((((VLOOKUP(B89,'Data qoq'!$A:$AT,MATCH($J$1,'Data qoq'!$A$1:$AT$1,),))/100+1)^4)-1=0,#N/A,(((VLOOKUP(B89,'Data qoq'!$A:$AT,MATCH($J$1,'Data qoq'!$A$1:$AT$1,),))/100+1)^4)-1)</f>
        <v>2.9016927790663782E-3</v>
      </c>
      <c r="K89" s="32">
        <f>IF((((VLOOKUP(B89,'Data qoq'!$A:$AT,MATCH($K$1,'Data qoq'!$A$1:$AT$1,),))/100+1)^4)-1=0,#N/A,(((VLOOKUP(B89,'Data qoq'!$A:$AT,MATCH($K$1,'Data qoq'!$A$1:$AT$1,),))/100+1)^4)-1)</f>
        <v>1.1852321841093305E-2</v>
      </c>
      <c r="L89" s="32">
        <f>IF((((VLOOKUP(B89,'Data qoq'!$A:$AT,MATCH($L$1,'Data qoq'!$A$1:$AT$1,),))/100+1)^4)-1=0,#N/A,(((VLOOKUP(B89,'Data qoq'!$A:$AT,MATCH($L$1,'Data qoq'!$A$1:$AT$1,),))/100+1)^4)-1)</f>
        <v>6.3998034891223909E-3</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-1.6347747028038428E-2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6.1702271752284155E-4</v>
      </c>
      <c r="F90" s="32">
        <f>IF((((VLOOKUP(B90,'Data qoq'!$A:$AT,MATCH($F$1,'Data qoq'!$A$1:$AT$1,),))/100+1)^4)-1=0,#N/A,(((VLOOKUP(B90,'Data qoq'!$A:$AT,MATCH($F$1,'Data qoq'!$A$1:$AT$1,),))/100+1)^4)-1)</f>
        <v>-0.1054046747551779</v>
      </c>
      <c r="G90" s="32">
        <f>IF((((VLOOKUP(B90,'Data qoq'!$A:$AT,MATCH($G$1,'Data qoq'!$A$1:$AT$1,),))/100+1)^4)-1=0,#N/A,(((VLOOKUP(B90,'Data qoq'!$A:$AT,MATCH($G$1,'Data qoq'!$A$1:$AT$1,),))/100+1)^4)-1)</f>
        <v>1.048392950485022E-2</v>
      </c>
      <c r="H90" s="32">
        <f>IF((((VLOOKUP(B90,'Data qoq'!$A:$AT,MATCH($H$1,'Data qoq'!$A$1:$AT$1,),))/100+1)^4)-1=0,#N/A,(((VLOOKUP(B90,'Data qoq'!$A:$AT,MATCH($H$1,'Data qoq'!$A$1:$AT$1,),))/100+1)^4)-1)</f>
        <v>-1.0711457538285285E-2</v>
      </c>
      <c r="I90" s="32">
        <f>IF((((VLOOKUP(B90,'Data qoq'!$A:$AT,MATCH($I$1,'Data qoq'!$A$1:$AT$1,),))/100+1)^4)-1=0,#N/A,(((VLOOKUP(B90,'Data qoq'!$A:$AT,MATCH($I$1,'Data qoq'!$A$1:$AT$1,),))/100+1)^4)-1)</f>
        <v>-1.004109809697562E-3</v>
      </c>
      <c r="J90" s="32">
        <f>IF((((VLOOKUP(B90,'Data qoq'!$A:$AT,MATCH($J$1,'Data qoq'!$A$1:$AT$1,),))/100+1)^4)-1=0,#N/A,(((VLOOKUP(B90,'Data qoq'!$A:$AT,MATCH($J$1,'Data qoq'!$A$1:$AT$1,),))/100+1)^4)-1)</f>
        <v>-3.2893975548488052E-2</v>
      </c>
      <c r="K90" s="32">
        <f>IF((((VLOOKUP(B90,'Data qoq'!$A:$AT,MATCH($K$1,'Data qoq'!$A$1:$AT$1,),))/100+1)^4)-1=0,#N/A,(((VLOOKUP(B90,'Data qoq'!$A:$AT,MATCH($K$1,'Data qoq'!$A$1:$AT$1,),))/100+1)^4)-1)</f>
        <v>8.71511596967256E-3</v>
      </c>
      <c r="L90" s="32">
        <f>IF((((VLOOKUP(B90,'Data qoq'!$A:$AT,MATCH($L$1,'Data qoq'!$A$1:$AT$1,),))/100+1)^4)-1=0,#N/A,(((VLOOKUP(B90,'Data qoq'!$A:$AT,MATCH($L$1,'Data qoq'!$A$1:$AT$1,),))/100+1)^4)-1)</f>
        <v>1.7577381209328724E-2</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1.6211325272204036E-3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-0.12797888716098682</v>
      </c>
      <c r="F91" s="32">
        <f>IF((((VLOOKUP(B91,'Data qoq'!$A:$AT,MATCH($F$1,'Data qoq'!$A$1:$AT$1,),))/100+1)^4)-1=0,#N/A,(((VLOOKUP(B91,'Data qoq'!$A:$AT,MATCH($F$1,'Data qoq'!$A$1:$AT$1,),))/100+1)^4)-1)</f>
        <v>1.7451248635329764E-2</v>
      </c>
      <c r="G91" s="32">
        <f>IF((((VLOOKUP(B91,'Data qoq'!$A:$AT,MATCH($G$1,'Data qoq'!$A$1:$AT$1,),))/100+1)^4)-1=0,#N/A,(((VLOOKUP(B91,'Data qoq'!$A:$AT,MATCH($G$1,'Data qoq'!$A$1:$AT$1,),))/100+1)^4)-1)</f>
        <v>-5.5707541914974734E-2</v>
      </c>
      <c r="H91" s="32">
        <f>IF((((VLOOKUP(B91,'Data qoq'!$A:$AT,MATCH($H$1,'Data qoq'!$A$1:$AT$1,),))/100+1)^4)-1=0,#N/A,(((VLOOKUP(B91,'Data qoq'!$A:$AT,MATCH($H$1,'Data qoq'!$A$1:$AT$1,),))/100+1)^4)-1)</f>
        <v>-0.20488545465153007</v>
      </c>
      <c r="I91" s="32">
        <f>IF((((VLOOKUP(B91,'Data qoq'!$A:$AT,MATCH($I$1,'Data qoq'!$A$1:$AT$1,),))/100+1)^4)-1=0,#N/A,(((VLOOKUP(B91,'Data qoq'!$A:$AT,MATCH($I$1,'Data qoq'!$A$1:$AT$1,),))/100+1)^4)-1)</f>
        <v>-0.10152193490684158</v>
      </c>
      <c r="J91" s="32">
        <f>IF((((VLOOKUP(B91,'Data qoq'!$A:$AT,MATCH($J$1,'Data qoq'!$A$1:$AT$1,),))/100+1)^4)-1=0,#N/A,(((VLOOKUP(B91,'Data qoq'!$A:$AT,MATCH($J$1,'Data qoq'!$A$1:$AT$1,),))/100+1)^4)-1)</f>
        <v>-0.21449140101284425</v>
      </c>
      <c r="K91" s="32">
        <f>IF((((VLOOKUP(B91,'Data qoq'!$A:$AT,MATCH($K$1,'Data qoq'!$A$1:$AT$1,),))/100+1)^4)-1=0,#N/A,(((VLOOKUP(B91,'Data qoq'!$A:$AT,MATCH($K$1,'Data qoq'!$A$1:$AT$1,),))/100+1)^4)-1)</f>
        <v>-0.20207604345592722</v>
      </c>
      <c r="L91" s="32">
        <f>IF((((VLOOKUP(B91,'Data qoq'!$A:$AT,MATCH($L$1,'Data qoq'!$A$1:$AT$1,),))/100+1)^4)-1=0,#N/A,(((VLOOKUP(B91,'Data qoq'!$A:$AT,MATCH($L$1,'Data qoq'!$A$1:$AT$1,),))/100+1)^4)-1)</f>
        <v>-3.0681246080968005E-3</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-2.6456952254145238E-2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-0.38519252869095233</v>
      </c>
      <c r="F92" s="32">
        <f>IF((((VLOOKUP(B92,'Data qoq'!$A:$AT,MATCH($F$1,'Data qoq'!$A$1:$AT$1,),))/100+1)^4)-1=0,#N/A,(((VLOOKUP(B92,'Data qoq'!$A:$AT,MATCH($F$1,'Data qoq'!$A$1:$AT$1,),))/100+1)^4)-1)</f>
        <v>-0.28268530223573463</v>
      </c>
      <c r="G92" s="32">
        <f>IF((((VLOOKUP(B92,'Data qoq'!$A:$AT,MATCH($G$1,'Data qoq'!$A$1:$AT$1,),))/100+1)^4)-1=0,#N/A,(((VLOOKUP(B92,'Data qoq'!$A:$AT,MATCH($G$1,'Data qoq'!$A$1:$AT$1,),))/100+1)^4)-1)</f>
        <v>-0.32863850749718848</v>
      </c>
      <c r="H92" s="32">
        <f>IF((((VLOOKUP(B92,'Data qoq'!$A:$AT,MATCH($H$1,'Data qoq'!$A$1:$AT$1,),))/100+1)^4)-1=0,#N/A,(((VLOOKUP(B92,'Data qoq'!$A:$AT,MATCH($H$1,'Data qoq'!$A$1:$AT$1,),))/100+1)^4)-1)</f>
        <v>-0.44136952229995974</v>
      </c>
      <c r="I92" s="32">
        <f>IF((((VLOOKUP(B92,'Data qoq'!$A:$AT,MATCH($I$1,'Data qoq'!$A$1:$AT$1,),))/100+1)^4)-1=0,#N/A,(((VLOOKUP(B92,'Data qoq'!$A:$AT,MATCH($I$1,'Data qoq'!$A$1:$AT$1,),))/100+1)^4)-1)</f>
        <v>-0.6103290164577766</v>
      </c>
      <c r="J92" s="32">
        <f>IF((((VLOOKUP(B92,'Data qoq'!$A:$AT,MATCH($J$1,'Data qoq'!$A$1:$AT$1,),))/100+1)^4)-1=0,#N/A,(((VLOOKUP(B92,'Data qoq'!$A:$AT,MATCH($J$1,'Data qoq'!$A$1:$AT$1,),))/100+1)^4)-1)</f>
        <v>-0.40338843222834742</v>
      </c>
      <c r="K92" s="32">
        <f>IF((((VLOOKUP(B92,'Data qoq'!$A:$AT,MATCH($K$1,'Data qoq'!$A$1:$AT$1,),))/100+1)^4)-1=0,#N/A,(((VLOOKUP(B92,'Data qoq'!$A:$AT,MATCH($K$1,'Data qoq'!$A$1:$AT$1,),))/100+1)^4)-1)</f>
        <v>-0.54403416703982366</v>
      </c>
      <c r="L92" s="32">
        <f>IF((((VLOOKUP(B92,'Data qoq'!$A:$AT,MATCH($L$1,'Data qoq'!$A$1:$AT$1,),))/100+1)^4)-1=0,#N/A,(((VLOOKUP(B92,'Data qoq'!$A:$AT,MATCH($L$1,'Data qoq'!$A$1:$AT$1,),))/100+1)^4)-1)</f>
        <v>-0.29096582335485988</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0.22513648776682427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0.59334189372434532</v>
      </c>
      <c r="F93" s="32">
        <f>IF((((VLOOKUP(B93,'Data qoq'!$A:$AT,MATCH($F$1,'Data qoq'!$A$1:$AT$1,),))/100+1)^4)-1=0,#N/A,(((VLOOKUP(B93,'Data qoq'!$A:$AT,MATCH($F$1,'Data qoq'!$A$1:$AT$1,),))/100+1)^4)-1)</f>
        <v>0.24584743047206481</v>
      </c>
      <c r="G93" s="32">
        <f>IF((((VLOOKUP(B93,'Data qoq'!$A:$AT,MATCH($G$1,'Data qoq'!$A$1:$AT$1,),))/100+1)^4)-1=0,#N/A,(((VLOOKUP(B93,'Data qoq'!$A:$AT,MATCH($G$1,'Data qoq'!$A$1:$AT$1,),))/100+1)^4)-1)</f>
        <v>0.41182482744572702</v>
      </c>
      <c r="H93" s="32">
        <f>IF((((VLOOKUP(B93,'Data qoq'!$A:$AT,MATCH($H$1,'Data qoq'!$A$1:$AT$1,),))/100+1)^4)-1=0,#N/A,(((VLOOKUP(B93,'Data qoq'!$A:$AT,MATCH($H$1,'Data qoq'!$A$1:$AT$1,),))/100+1)^4)-1)</f>
        <v>0.96347415880710296</v>
      </c>
      <c r="I93" s="32">
        <f>IF((((VLOOKUP(B93,'Data qoq'!$A:$AT,MATCH($I$1,'Data qoq'!$A$1:$AT$1,),))/100+1)^4)-1=0,#N/A,(((VLOOKUP(B93,'Data qoq'!$A:$AT,MATCH($I$1,'Data qoq'!$A$1:$AT$1,),))/100+1)^4)-1)</f>
        <v>0.84893880733589455</v>
      </c>
      <c r="J93" s="32">
        <f>IF((((VLOOKUP(B93,'Data qoq'!$A:$AT,MATCH($J$1,'Data qoq'!$A$1:$AT$1,),))/100+1)^4)-1=0,#N/A,(((VLOOKUP(B93,'Data qoq'!$A:$AT,MATCH($J$1,'Data qoq'!$A$1:$AT$1,),))/100+1)^4)-1)</f>
        <v>0.71635286624156391</v>
      </c>
      <c r="K93" s="32">
        <f>IF((((VLOOKUP(B93,'Data qoq'!$A:$AT,MATCH($K$1,'Data qoq'!$A$1:$AT$1,),))/100+1)^4)-1=0,#N/A,(((VLOOKUP(B93,'Data qoq'!$A:$AT,MATCH($K$1,'Data qoq'!$A$1:$AT$1,),))/100+1)^4)-1)</f>
        <v>0.85079905092405883</v>
      </c>
      <c r="L93" s="32">
        <f>IF((((VLOOKUP(B93,'Data qoq'!$A:$AT,MATCH($L$1,'Data qoq'!$A$1:$AT$1,),))/100+1)^4)-1=0,#N/A,(((VLOOKUP(B93,'Data qoq'!$A:$AT,MATCH($L$1,'Data qoq'!$A$1:$AT$1,),))/100+1)^4)-1)</f>
        <v>0.32926308435424789</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-0.25559691361154924</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-1.045599022923549E-2</v>
      </c>
      <c r="F94" s="32">
        <f>IF((((VLOOKUP(B94,'Data qoq'!$A:$AT,MATCH($F$1,'Data qoq'!$A$1:$AT$1,),))/100+1)^4)-1=0,#N/A,(((VLOOKUP(B94,'Data qoq'!$A:$AT,MATCH($F$1,'Data qoq'!$A$1:$AT$1,),))/100+1)^4)-1)</f>
        <v>7.673228212148242E-2</v>
      </c>
      <c r="G94" s="32">
        <f>IF((((VLOOKUP(B94,'Data qoq'!$A:$AT,MATCH($G$1,'Data qoq'!$A$1:$AT$1,),))/100+1)^4)-1=0,#N/A,(((VLOOKUP(B94,'Data qoq'!$A:$AT,MATCH($G$1,'Data qoq'!$A$1:$AT$1,),))/100+1)^4)-1)</f>
        <v>2.5091559455024726E-2</v>
      </c>
      <c r="H94" s="32">
        <f>IF((((VLOOKUP(B94,'Data qoq'!$A:$AT,MATCH($H$1,'Data qoq'!$A$1:$AT$1,),))/100+1)^4)-1=0,#N/A,(((VLOOKUP(B94,'Data qoq'!$A:$AT,MATCH($H$1,'Data qoq'!$A$1:$AT$1,),))/100+1)^4)-1)</f>
        <v>-3.6109675779925521E-2</v>
      </c>
      <c r="I94" s="32">
        <f>IF((((VLOOKUP(B94,'Data qoq'!$A:$AT,MATCH($I$1,'Data qoq'!$A$1:$AT$1,),))/100+1)^4)-1=0,#N/A,(((VLOOKUP(B94,'Data qoq'!$A:$AT,MATCH($I$1,'Data qoq'!$A$1:$AT$1,),))/100+1)^4)-1)</f>
        <v>4.9446519905464337E-2</v>
      </c>
      <c r="J94" s="32">
        <f>IF((((VLOOKUP(B94,'Data qoq'!$A:$AT,MATCH($J$1,'Data qoq'!$A$1:$AT$1,),))/100+1)^4)-1=0,#N/A,(((VLOOKUP(B94,'Data qoq'!$A:$AT,MATCH($J$1,'Data qoq'!$A$1:$AT$1,),))/100+1)^4)-1)</f>
        <v>-3.1098842773144231E-2</v>
      </c>
      <c r="K94" s="32">
        <f>IF((((VLOOKUP(B94,'Data qoq'!$A:$AT,MATCH($K$1,'Data qoq'!$A$1:$AT$1,),))/100+1)^4)-1=0,#N/A,(((VLOOKUP(B94,'Data qoq'!$A:$AT,MATCH($K$1,'Data qoq'!$A$1:$AT$1,),))/100+1)^4)-1)</f>
        <v>-2.3569174638228274E-3</v>
      </c>
      <c r="L94" s="32">
        <f>IF((((VLOOKUP(B94,'Data qoq'!$A:$AT,MATCH($L$1,'Data qoq'!$A$1:$AT$1,),))/100+1)^4)-1=0,#N/A,(((VLOOKUP(B94,'Data qoq'!$A:$AT,MATCH($L$1,'Data qoq'!$A$1:$AT$1,),))/100+1)^4)-1)</f>
        <v>3.5503633792444145E-3</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-5.9902510134699827E-2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-2.4367302094198129E-3</v>
      </c>
      <c r="F95" s="32">
        <f>IF((((VLOOKUP(B95,'Data qoq'!$A:$AT,MATCH($F$1,'Data qoq'!$A$1:$AT$1,),))/100+1)^4)-1=0,#N/A,(((VLOOKUP(B95,'Data qoq'!$A:$AT,MATCH($F$1,'Data qoq'!$A$1:$AT$1,),))/100+1)^4)-1)</f>
        <v>-5.4825737930953578E-3</v>
      </c>
      <c r="G95" s="32">
        <f>IF((((VLOOKUP(B95,'Data qoq'!$A:$AT,MATCH($G$1,'Data qoq'!$A$1:$AT$1,),))/100+1)^4)-1=0,#N/A,(((VLOOKUP(B95,'Data qoq'!$A:$AT,MATCH($G$1,'Data qoq'!$A$1:$AT$1,),))/100+1)^4)-1)</f>
        <v>-5.7441453209960192E-2</v>
      </c>
      <c r="H95" s="32">
        <f>IF((((VLOOKUP(B95,'Data qoq'!$A:$AT,MATCH($H$1,'Data qoq'!$A$1:$AT$1,),))/100+1)^4)-1=0,#N/A,(((VLOOKUP(B95,'Data qoq'!$A:$AT,MATCH($H$1,'Data qoq'!$A$1:$AT$1,),))/100+1)^4)-1)</f>
        <v>3.2409960703383422E-3</v>
      </c>
      <c r="I95" s="32">
        <f>IF((((VLOOKUP(B95,'Data qoq'!$A:$AT,MATCH($I$1,'Data qoq'!$A$1:$AT$1,),))/100+1)^4)-1=0,#N/A,(((VLOOKUP(B95,'Data qoq'!$A:$AT,MATCH($I$1,'Data qoq'!$A$1:$AT$1,),))/100+1)^4)-1)</f>
        <v>-4.1457022091207052E-2</v>
      </c>
      <c r="J95" s="32">
        <f>IF((((VLOOKUP(B95,'Data qoq'!$A:$AT,MATCH($J$1,'Data qoq'!$A$1:$AT$1,),))/100+1)^4)-1=0,#N/A,(((VLOOKUP(B95,'Data qoq'!$A:$AT,MATCH($J$1,'Data qoq'!$A$1:$AT$1,),))/100+1)^4)-1)</f>
        <v>1.0712406664499019E-2</v>
      </c>
      <c r="K95" s="32">
        <f>IF((((VLOOKUP(B95,'Data qoq'!$A:$AT,MATCH($K$1,'Data qoq'!$A$1:$AT$1,),))/100+1)^4)-1=0,#N/A,(((VLOOKUP(B95,'Data qoq'!$A:$AT,MATCH($K$1,'Data qoq'!$A$1:$AT$1,),))/100+1)^4)-1)</f>
        <v>-9.1152082500788323E-3</v>
      </c>
      <c r="L95" s="32">
        <f>IF((((VLOOKUP(B95,'Data qoq'!$A:$AT,MATCH($L$1,'Data qoq'!$A$1:$AT$1,),))/100+1)^4)-1=0,#N/A,(((VLOOKUP(B95,'Data qoq'!$A:$AT,MATCH($L$1,'Data qoq'!$A$1:$AT$1,),))/100+1)^4)-1)</f>
        <v>5.9412049810979584E-2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-1.9659591988773428E-2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3.9020291881787239E-2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8.1824131040693304E-2</v>
      </c>
      <c r="F96" s="32">
        <f>IF((((VLOOKUP(B96,'Data qoq'!$A:$AT,MATCH($F$1,'Data qoq'!$A$1:$AT$1,),))/100+1)^4)-1=0,#N/A,(((VLOOKUP(B96,'Data qoq'!$A:$AT,MATCH($F$1,'Data qoq'!$A$1:$AT$1,),))/100+1)^4)-1)</f>
        <v>1.2993105532106419E-2</v>
      </c>
      <c r="G96" s="32">
        <f>IF((((VLOOKUP(B96,'Data qoq'!$A:$AT,MATCH($G$1,'Data qoq'!$A$1:$AT$1,),))/100+1)^4)-1=0,#N/A,(((VLOOKUP(B96,'Data qoq'!$A:$AT,MATCH($G$1,'Data qoq'!$A$1:$AT$1,),))/100+1)^4)-1)</f>
        <v>7.9406391787448127E-2</v>
      </c>
      <c r="H96" s="32">
        <f>IF((((VLOOKUP(B96,'Data qoq'!$A:$AT,MATCH($H$1,'Data qoq'!$A$1:$AT$1,),))/100+1)^4)-1=0,#N/A,(((VLOOKUP(B96,'Data qoq'!$A:$AT,MATCH($H$1,'Data qoq'!$A$1:$AT$1,),))/100+1)^4)-1)</f>
        <v>4.3722782249710601E-2</v>
      </c>
      <c r="I96" s="32">
        <f>IF((((VLOOKUP(B96,'Data qoq'!$A:$AT,MATCH($I$1,'Data qoq'!$A$1:$AT$1,),))/100+1)^4)-1=0,#N/A,(((VLOOKUP(B96,'Data qoq'!$A:$AT,MATCH($I$1,'Data qoq'!$A$1:$AT$1,),))/100+1)^4)-1)</f>
        <v>0.2878412073082568</v>
      </c>
      <c r="J96" s="32">
        <f>IF((((VLOOKUP(B96,'Data qoq'!$A:$AT,MATCH($J$1,'Data qoq'!$A$1:$AT$1,),))/100+1)^4)-1=0,#N/A,(((VLOOKUP(B96,'Data qoq'!$A:$AT,MATCH($J$1,'Data qoq'!$A$1:$AT$1,),))/100+1)^4)-1)</f>
        <v>0.10251961568322354</v>
      </c>
      <c r="K96" s="32">
        <f>IF((((VLOOKUP(B96,'Data qoq'!$A:$AT,MATCH($K$1,'Data qoq'!$A$1:$AT$1,),))/100+1)^4)-1=0,#N/A,(((VLOOKUP(B96,'Data qoq'!$A:$AT,MATCH($K$1,'Data qoq'!$A$1:$AT$1,),))/100+1)^4)-1)</f>
        <v>5.5195221531352034E-2</v>
      </c>
      <c r="L96" s="32">
        <f>IF((((VLOOKUP(B96,'Data qoq'!$A:$AT,MATCH($L$1,'Data qoq'!$A$1:$AT$1,),))/100+1)^4)-1=0,#N/A,(((VLOOKUP(B96,'Data qoq'!$A:$AT,MATCH($L$1,'Data qoq'!$A$1:$AT$1,),))/100+1)^4)-1)</f>
        <v>2.266126213917441E-2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5.6762685397895751E-2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-0.20601707626756349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9.3066128885775701E-2</v>
      </c>
      <c r="F97" s="32">
        <f>IF((((VLOOKUP(B97,'Data qoq'!$A:$AT,MATCH($F$1,'Data qoq'!$A$1:$AT$1,),))/100+1)^4)-1=0,#N/A,(((VLOOKUP(B97,'Data qoq'!$A:$AT,MATCH($F$1,'Data qoq'!$A$1:$AT$1,),))/100+1)^4)-1)</f>
        <v>-1.3548462225823954E-2</v>
      </c>
      <c r="G97" s="32">
        <f>IF((((VLOOKUP(B97,'Data qoq'!$A:$AT,MATCH($G$1,'Data qoq'!$A$1:$AT$1,),))/100+1)^4)-1=0,#N/A,(((VLOOKUP(B97,'Data qoq'!$A:$AT,MATCH($G$1,'Data qoq'!$A$1:$AT$1,),))/100+1)^4)-1)</f>
        <v>3.1781373670482393E-2</v>
      </c>
      <c r="H97" s="32">
        <f>IF((((VLOOKUP(B97,'Data qoq'!$A:$AT,MATCH($H$1,'Data qoq'!$A$1:$AT$1,),))/100+1)^4)-1=0,#N/A,(((VLOOKUP(B97,'Data qoq'!$A:$AT,MATCH($H$1,'Data qoq'!$A$1:$AT$1,),))/100+1)^4)-1)</f>
        <v>0.1391724030389534</v>
      </c>
      <c r="I97" s="32">
        <f>IF((((VLOOKUP(B97,'Data qoq'!$A:$AT,MATCH($I$1,'Data qoq'!$A$1:$AT$1,),))/100+1)^4)-1=0,#N/A,(((VLOOKUP(B97,'Data qoq'!$A:$AT,MATCH($I$1,'Data qoq'!$A$1:$AT$1,),))/100+1)^4)-1)</f>
        <v>7.1164500077497195E-2</v>
      </c>
      <c r="J97" s="32">
        <f>IF((((VLOOKUP(B97,'Data qoq'!$A:$AT,MATCH($J$1,'Data qoq'!$A$1:$AT$1,),))/100+1)^4)-1=0,#N/A,(((VLOOKUP(B97,'Data qoq'!$A:$AT,MATCH($J$1,'Data qoq'!$A$1:$AT$1,),))/100+1)^4)-1)</f>
        <v>0.11636629105980734</v>
      </c>
      <c r="K97" s="32">
        <f>IF((((VLOOKUP(B97,'Data qoq'!$A:$AT,MATCH($K$1,'Data qoq'!$A$1:$AT$1,),))/100+1)^4)-1=0,#N/A,(((VLOOKUP(B97,'Data qoq'!$A:$AT,MATCH($K$1,'Data qoq'!$A$1:$AT$1,),))/100+1)^4)-1)</f>
        <v>0.13024508319499128</v>
      </c>
      <c r="L97" s="32">
        <f>IF((((VLOOKUP(B97,'Data qoq'!$A:$AT,MATCH($L$1,'Data qoq'!$A$1:$AT$1,),))/100+1)^4)-1=0,#N/A,(((VLOOKUP(B97,'Data qoq'!$A:$AT,MATCH($L$1,'Data qoq'!$A$1:$AT$1,),))/100+1)^4)-1)</f>
        <v>7.279605221588703E-2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6.9659659368022098E-2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2.1901628808278506E-2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2.1603970860778254E-2</v>
      </c>
      <c r="F98" s="32">
        <f>IF((((VLOOKUP(B98,'Data qoq'!$A:$AT,MATCH($F$1,'Data qoq'!$A$1:$AT$1,),))/100+1)^4)-1=0,#N/A,(((VLOOKUP(B98,'Data qoq'!$A:$AT,MATCH($F$1,'Data qoq'!$A$1:$AT$1,),))/100+1)^4)-1)</f>
        <v>4.3613560953434494E-2</v>
      </c>
      <c r="G98" s="32">
        <f>IF((((VLOOKUP(B98,'Data qoq'!$A:$AT,MATCH($G$1,'Data qoq'!$A$1:$AT$1,),))/100+1)^4)-1=0,#N/A,(((VLOOKUP(B98,'Data qoq'!$A:$AT,MATCH($G$1,'Data qoq'!$A$1:$AT$1,),))/100+1)^4)-1)</f>
        <v>-1.125728863137998E-3</v>
      </c>
      <c r="H98" s="32">
        <f>IF((((VLOOKUP(B98,'Data qoq'!$A:$AT,MATCH($H$1,'Data qoq'!$A$1:$AT$1,),))/100+1)^4)-1=0,#N/A,(((VLOOKUP(B98,'Data qoq'!$A:$AT,MATCH($H$1,'Data qoq'!$A$1:$AT$1,),))/100+1)^4)-1)</f>
        <v>2.2844850008969741E-2</v>
      </c>
      <c r="I98" s="32">
        <f>IF((((VLOOKUP(B98,'Data qoq'!$A:$AT,MATCH($I$1,'Data qoq'!$A$1:$AT$1,),))/100+1)^4)-1=0,#N/A,(((VLOOKUP(B98,'Data qoq'!$A:$AT,MATCH($I$1,'Data qoq'!$A$1:$AT$1,),))/100+1)^4)-1)</f>
        <v>6.2410176463221001E-2</v>
      </c>
      <c r="J98" s="32">
        <f>IF((((VLOOKUP(B98,'Data qoq'!$A:$AT,MATCH($J$1,'Data qoq'!$A$1:$AT$1,),))/100+1)^4)-1=0,#N/A,(((VLOOKUP(B98,'Data qoq'!$A:$AT,MATCH($J$1,'Data qoq'!$A$1:$AT$1,),))/100+1)^4)-1)</f>
        <v>3.6620432368810629E-2</v>
      </c>
      <c r="K98" s="32">
        <f>IF((((VLOOKUP(B98,'Data qoq'!$A:$AT,MATCH($K$1,'Data qoq'!$A$1:$AT$1,),))/100+1)^4)-1=0,#N/A,(((VLOOKUP(B98,'Data qoq'!$A:$AT,MATCH($K$1,'Data qoq'!$A$1:$AT$1,),))/100+1)^4)-1)</f>
        <v>9.3737322365880837E-2</v>
      </c>
      <c r="L98" s="32">
        <f>IF((((VLOOKUP(B98,'Data qoq'!$A:$AT,MATCH($L$1,'Data qoq'!$A$1:$AT$1,),))/100+1)^4)-1=0,#N/A,(((VLOOKUP(B98,'Data qoq'!$A:$AT,MATCH($L$1,'Data qoq'!$A$1:$AT$1,),))/100+1)^4)-1)</f>
        <v>9.1729675933577726E-2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3.4433495241265266E-2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-4.0806205602442747E-2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2.5668970314367545E-2</v>
      </c>
      <c r="F99" s="32">
        <f>IF((((VLOOKUP(B99,'Data qoq'!$A:$AT,MATCH($F$1,'Data qoq'!$A$1:$AT$1,),))/100+1)^4)-1=0,#N/A,(((VLOOKUP(B99,'Data qoq'!$A:$AT,MATCH($F$1,'Data qoq'!$A$1:$AT$1,),))/100+1)^4)-1)</f>
        <v>-1.6564092513111195E-2</v>
      </c>
      <c r="G99" s="32">
        <f>IF((((VLOOKUP(B99,'Data qoq'!$A:$AT,MATCH($G$1,'Data qoq'!$A$1:$AT$1,),))/100+1)^4)-1=0,#N/A,(((VLOOKUP(B99,'Data qoq'!$A:$AT,MATCH($G$1,'Data qoq'!$A$1:$AT$1,),))/100+1)^4)-1)</f>
        <v>3.2406741800550254E-2</v>
      </c>
      <c r="H99" s="32">
        <f>IF((((VLOOKUP(B99,'Data qoq'!$A:$AT,MATCH($H$1,'Data qoq'!$A$1:$AT$1,),))/100+1)^4)-1=0,#N/A,(((VLOOKUP(B99,'Data qoq'!$A:$AT,MATCH($H$1,'Data qoq'!$A$1:$AT$1,),))/100+1)^4)-1)</f>
        <v>-9.3305524358979763E-3</v>
      </c>
      <c r="I99" s="32">
        <f>IF((((VLOOKUP(B99,'Data qoq'!$A:$AT,MATCH($I$1,'Data qoq'!$A$1:$AT$1,),))/100+1)^4)-1=0,#N/A,(((VLOOKUP(B99,'Data qoq'!$A:$AT,MATCH($I$1,'Data qoq'!$A$1:$AT$1,),))/100+1)^4)-1)</f>
        <v>1.8438348058168907E-2</v>
      </c>
      <c r="J99" s="32">
        <f>IF((((VLOOKUP(B99,'Data qoq'!$A:$AT,MATCH($J$1,'Data qoq'!$A$1:$AT$1,),))/100+1)^4)-1=0,#N/A,(((VLOOKUP(B99,'Data qoq'!$A:$AT,MATCH($J$1,'Data qoq'!$A$1:$AT$1,),))/100+1)^4)-1)</f>
        <v>5.1966002769501252E-3</v>
      </c>
      <c r="K99" s="32">
        <f>IF((((VLOOKUP(B99,'Data qoq'!$A:$AT,MATCH($K$1,'Data qoq'!$A$1:$AT$1,),))/100+1)^4)-1=0,#N/A,(((VLOOKUP(B99,'Data qoq'!$A:$AT,MATCH($K$1,'Data qoq'!$A$1:$AT$1,),))/100+1)^4)-1)</f>
        <v>-4.7033434183529899E-4</v>
      </c>
      <c r="L99" s="32">
        <f>IF((((VLOOKUP(B99,'Data qoq'!$A:$AT,MATCH($L$1,'Data qoq'!$A$1:$AT$1,),))/100+1)^4)-1=0,#N/A,(((VLOOKUP(B99,'Data qoq'!$A:$AT,MATCH($L$1,'Data qoq'!$A$1:$AT$1,),))/100+1)^4)-1)</f>
        <v>-1.7424626785567998E-2</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2.4825336917122964E-2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7.2306222561986377E-3</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3.4441623691533696E-2</v>
      </c>
      <c r="F100" s="32">
        <f>IF((((VLOOKUP(B100,'Data qoq'!$A:$AT,MATCH($F$1,'Data qoq'!$A$1:$AT$1,),))/100+1)^4)-1=0,#N/A,(((VLOOKUP(B100,'Data qoq'!$A:$AT,MATCH($F$1,'Data qoq'!$A$1:$AT$1,),))/100+1)^4)-1)</f>
        <v>4.5663101568311104E-2</v>
      </c>
      <c r="G100" s="32">
        <f>IF((((VLOOKUP(B100,'Data qoq'!$A:$AT,MATCH($G$1,'Data qoq'!$A$1:$AT$1,),))/100+1)^4)-1=0,#N/A,(((VLOOKUP(B100,'Data qoq'!$A:$AT,MATCH($G$1,'Data qoq'!$A$1:$AT$1,),))/100+1)^4)-1)</f>
        <v>4.1049996842859038E-3</v>
      </c>
      <c r="H100" s="32">
        <f>IF((((VLOOKUP(B100,'Data qoq'!$A:$AT,MATCH($H$1,'Data qoq'!$A$1:$AT$1,),))/100+1)^4)-1=0,#N/A,(((VLOOKUP(B100,'Data qoq'!$A:$AT,MATCH($H$1,'Data qoq'!$A$1:$AT$1,),))/100+1)^4)-1)</f>
        <v>1.9813523019079238E-2</v>
      </c>
      <c r="I100" s="32">
        <f>IF((((VLOOKUP(B100,'Data qoq'!$A:$AT,MATCH($I$1,'Data qoq'!$A$1:$AT$1,),))/100+1)^4)-1=0,#N/A,(((VLOOKUP(B100,'Data qoq'!$A:$AT,MATCH($I$1,'Data qoq'!$A$1:$AT$1,),))/100+1)^4)-1)</f>
        <v>4.1473774766540572E-3</v>
      </c>
      <c r="J100" s="32">
        <f>IF((((VLOOKUP(B100,'Data qoq'!$A:$AT,MATCH($J$1,'Data qoq'!$A$1:$AT$1,),))/100+1)^4)-1=0,#N/A,(((VLOOKUP(B100,'Data qoq'!$A:$AT,MATCH($J$1,'Data qoq'!$A$1:$AT$1,),))/100+1)^4)-1)</f>
        <v>4.6757307449729613E-2</v>
      </c>
      <c r="K100" s="32">
        <f>IF((((VLOOKUP(B100,'Data qoq'!$A:$AT,MATCH($K$1,'Data qoq'!$A$1:$AT$1,),))/100+1)^4)-1=0,#N/A,(((VLOOKUP(B100,'Data qoq'!$A:$AT,MATCH($K$1,'Data qoq'!$A$1:$AT$1,),))/100+1)^4)-1)</f>
        <v>9.2786054221861258E-2</v>
      </c>
      <c r="L100" s="32">
        <f>IF((((VLOOKUP(B100,'Data qoq'!$A:$AT,MATCH($L$1,'Data qoq'!$A$1:$AT$1,),))/100+1)^4)-1=0,#N/A,(((VLOOKUP(B100,'Data qoq'!$A:$AT,MATCH($L$1,'Data qoq'!$A$1:$AT$1,),))/100+1)^4)-1)</f>
        <v>1.3514893728874044E-2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1.2158264314198863E-2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3.0294246214879639E-2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1.2164863432435613E-2</v>
      </c>
      <c r="F101" s="32">
        <f>IF((((VLOOKUP(B101,'Data qoq'!$A:$AT,MATCH($F$1,'Data qoq'!$A$1:$AT$1,),))/100+1)^4)-1=0,#N/A,(((VLOOKUP(B101,'Data qoq'!$A:$AT,MATCH($F$1,'Data qoq'!$A$1:$AT$1,),))/100+1)^4)-1)</f>
        <v>-1.009720838685868E-2</v>
      </c>
      <c r="G101" s="32">
        <f>IF((((VLOOKUP(B101,'Data qoq'!$A:$AT,MATCH($G$1,'Data qoq'!$A$1:$AT$1,),))/100+1)^4)-1=0,#N/A,(((VLOOKUP(B101,'Data qoq'!$A:$AT,MATCH($G$1,'Data qoq'!$A$1:$AT$1,),))/100+1)^4)-1)</f>
        <v>1.9119333154880014E-2</v>
      </c>
      <c r="H101" s="32">
        <f>IF((((VLOOKUP(B101,'Data qoq'!$A:$AT,MATCH($H$1,'Data qoq'!$A$1:$AT$1,),))/100+1)^4)-1=0,#N/A,(((VLOOKUP(B101,'Data qoq'!$A:$AT,MATCH($H$1,'Data qoq'!$A$1:$AT$1,),))/100+1)^4)-1)</f>
        <v>6.6377749558561572E-3</v>
      </c>
      <c r="I101" s="32">
        <f>IF((((VLOOKUP(B101,'Data qoq'!$A:$AT,MATCH($I$1,'Data qoq'!$A$1:$AT$1,),))/100+1)^4)-1=0,#N/A,(((VLOOKUP(B101,'Data qoq'!$A:$AT,MATCH($I$1,'Data qoq'!$A$1:$AT$1,),))/100+1)^4)-1)</f>
        <v>-6.5437493217676002E-3</v>
      </c>
      <c r="J101" s="32">
        <f>IF((((VLOOKUP(B101,'Data qoq'!$A:$AT,MATCH($J$1,'Data qoq'!$A$1:$AT$1,),))/100+1)^4)-1=0,#N/A,(((VLOOKUP(B101,'Data qoq'!$A:$AT,MATCH($J$1,'Data qoq'!$A$1:$AT$1,),))/100+1)^4)-1)</f>
        <v>2.0441370963831584E-2</v>
      </c>
      <c r="K101" s="32">
        <f>IF((((VLOOKUP(B101,'Data qoq'!$A:$AT,MATCH($K$1,'Data qoq'!$A$1:$AT$1,),))/100+1)^4)-1=0,#N/A,(((VLOOKUP(B101,'Data qoq'!$A:$AT,MATCH($K$1,'Data qoq'!$A$1:$AT$1,),))/100+1)^4)-1)</f>
        <v>8.6081159011894837E-3</v>
      </c>
      <c r="L101" s="32">
        <f>IF((((VLOOKUP(B101,'Data qoq'!$A:$AT,MATCH($L$1,'Data qoq'!$A$1:$AT$1,),))/100+1)^4)-1=0,#N/A,(((VLOOKUP(B101,'Data qoq'!$A:$AT,MATCH($L$1,'Data qoq'!$A$1:$AT$1,),))/100+1)^4)-1)</f>
        <v>7.254261502533943E-3</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-9.8936634266674206E-3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1.8708612754203213E-2</v>
      </c>
    </row>
    <row r="102" spans="1:30" s="72" customFormat="1" x14ac:dyDescent="0.35">
      <c r="A102" s="30">
        <v>44896</v>
      </c>
      <c r="B102" s="24" t="s">
        <v>368</v>
      </c>
      <c r="C102" s="32">
        <f>IF((((VLOOKUP(B102,'Data qoq'!$A:$AT,MATCH($C$1,'Data qoq'!$A$1:$AT$1,),))/100+1)^4)-1=0,#N/A,(((VLOOKUP(B102,'Data qoq'!$A:$AT,MATCH($C$1,'Data qoq'!$A$1:$AT$1,),))/100+1)^4)-1)</f>
        <v>2.8915771496997644E-2</v>
      </c>
      <c r="D102" s="32" t="e">
        <f>IF((((VLOOKUP(B102,'Data qoq'!$A:$AT,MATCH($D$1,'Data qoq'!$A$1:$AT$1,),))/100+1)^4)-1=0,#N/A,(((VLOOKUP(B102,'Data qoq'!$A:$AT,MATCH($D$1,'Data qoq'!$A$1:$AT$1,),))/100+1)^4)-1)</f>
        <v>#N/A</v>
      </c>
      <c r="E102" s="32">
        <f>IF((((VLOOKUP(B102,'Data qoq'!$A:$AT,MATCH($E$1,'Data qoq'!$A$1:$AT$1,),))/100+1)^4)-1=0,#N/A,(((VLOOKUP(B102,'Data qoq'!$A:$AT,MATCH($E$1,'Data qoq'!$A$1:$AT$1,),))/100+1)^4)-1)</f>
        <v>4.3121153894247755E-3</v>
      </c>
      <c r="F102" s="32">
        <f>IF((((VLOOKUP(B102,'Data qoq'!$A:$AT,MATCH($F$1,'Data qoq'!$A$1:$AT$1,),))/100+1)^4)-1=0,#N/A,(((VLOOKUP(B102,'Data qoq'!$A:$AT,MATCH($F$1,'Data qoq'!$A$1:$AT$1,),))/100+1)^4)-1)</f>
        <v>6.3356070394013919E-3</v>
      </c>
      <c r="G102" s="32">
        <f>IF((((VLOOKUP(B102,'Data qoq'!$A:$AT,MATCH($G$1,'Data qoq'!$A$1:$AT$1,),))/100+1)^4)-1=0,#N/A,(((VLOOKUP(B102,'Data qoq'!$A:$AT,MATCH($G$1,'Data qoq'!$A$1:$AT$1,),))/100+1)^4)-1)</f>
        <v>-9.5973884175387658E-3</v>
      </c>
      <c r="H102" s="32">
        <f>IF((((VLOOKUP(B102,'Data qoq'!$A:$AT,MATCH($H$1,'Data qoq'!$A$1:$AT$1,),))/100+1)^4)-1=0,#N/A,(((VLOOKUP(B102,'Data qoq'!$A:$AT,MATCH($H$1,'Data qoq'!$A$1:$AT$1,),))/100+1)^4)-1)</f>
        <v>4.9098083884024923E-3</v>
      </c>
      <c r="I102" s="32">
        <f>IF((((VLOOKUP(B102,'Data qoq'!$A:$AT,MATCH($I$1,'Data qoq'!$A$1:$AT$1,),))/100+1)^4)-1=0,#N/A,(((VLOOKUP(B102,'Data qoq'!$A:$AT,MATCH($I$1,'Data qoq'!$A$1:$AT$1,),))/100+1)^4)-1)</f>
        <v>-8.901506675359494E-4</v>
      </c>
      <c r="J102" s="32">
        <f>IF((((VLOOKUP(B102,'Data qoq'!$A:$AT,MATCH($J$1,'Data qoq'!$A$1:$AT$1,),))/100+1)^4)-1=0,#N/A,(((VLOOKUP(B102,'Data qoq'!$A:$AT,MATCH($J$1,'Data qoq'!$A$1:$AT$1,),))/100+1)^4)-1)</f>
        <v>-4.7060853914673295E-3</v>
      </c>
      <c r="K102" s="32">
        <f>IF((((VLOOKUP(B102,'Data qoq'!$A:$AT,MATCH($K$1,'Data qoq'!$A$1:$AT$1,),))/100+1)^4)-1=0,#N/A,(((VLOOKUP(B102,'Data qoq'!$A:$AT,MATCH($K$1,'Data qoq'!$A$1:$AT$1,),))/100+1)^4)-1)</f>
        <v>9.0110426722187498E-3</v>
      </c>
      <c r="L102" s="32">
        <f>IF((((VLOOKUP(B102,'Data qoq'!$A:$AT,MATCH($L$1,'Data qoq'!$A$1:$AT$1,),))/100+1)^4)-1=0,#N/A,(((VLOOKUP(B102,'Data qoq'!$A:$AT,MATCH($L$1,'Data qoq'!$A$1:$AT$1,),))/100+1)^4)-1)</f>
        <v>-2.4738881031865056E-2</v>
      </c>
      <c r="M102" s="32">
        <f>IF((((VLOOKUP(B102,'Data qoq'!$A:$AT,MATCH($M$1,'Data qoq'!$A$1:$AT$1,),))/100+1)^4)-1=0,#N/A,(((VLOOKUP(B102,'Data qoq'!$A:$AT,MATCH($M$1,'Data qoq'!$A$1:$AT$1,),))/100+1)^4)-1)</f>
        <v>1.6096264676239702E-2</v>
      </c>
      <c r="N102" s="32" t="e">
        <f>IF((((VLOOKUP(B102,'Data qoq'!$A:$AT,MATCH($N$1,'Data qoq'!$A$1:$AT$1,),))/100+1)^4)-1=0,#N/A,(((VLOOKUP(B102,'Data qoq'!$A:$AT,MATCH($N$1,'Data qoq'!$A$1:$AT$1,),))/100+1)^4)-1)</f>
        <v>#N/A</v>
      </c>
      <c r="O102" s="32" t="e">
        <f>IF((((VLOOKUP(B102,'Data qoq'!$A:$AT,MATCH($O$1,'Data qoq'!$A$1:$AT$1,),))/100+1)^4)-1=0,#N/A,(((VLOOKUP(B102,'Data qoq'!$A:$AT,MATCH($O$1,'Data qoq'!$A$1:$AT$1,),))/100+1)^4)-1)</f>
        <v>#N/A</v>
      </c>
      <c r="P102" s="32">
        <f>IF((((VLOOKUP(B102,'Data qoq'!$A:$AT,MATCH($P$1,'Data qoq'!$A$1:$AT$1,),))/100+1)^4)-1=0,#N/A,(((VLOOKUP(B102,'Data qoq'!$A:$AT,MATCH($P$1,'Data qoq'!$A$1:$AT$1,),))/100+1)^4)-1)</f>
        <v>1.6096256256000085E-2</v>
      </c>
      <c r="Q102" s="32" t="e">
        <f>IF((((VLOOKUP(B102,'Data qoq'!$A:$AT,MATCH($Q$1,'Data qoq'!$A$1:$AT$1,),))/100+1)^4)-1=0,#N/A,(((VLOOKUP(B102,'Data qoq'!$A:$AT,MATCH($Q$1,'Data qoq'!$A$1:$AT$1,),))/100+1)^4)-1)</f>
        <v>#N/A</v>
      </c>
      <c r="R102" s="32" t="e">
        <f>IF((((VLOOKUP(B102,'Data qoq'!$A:$AT,MATCH($R$1,'Data qoq'!$A$1:$AT$1,),))/100+1)^4)-1=0,#N/A,(((VLOOKUP(B102,'Data qoq'!$A:$AT,MATCH($R$1,'Data qoq'!$A$1:$AT$1,),))/100+1)^4)-1)</f>
        <v>#N/A</v>
      </c>
      <c r="S102" s="32">
        <f>IF((((VLOOKUP(B102,'Data qoq'!$A:$AT,MATCH($S$1,'Data qoq'!$A$1:$AT$1,),))/100+1)^4)-1=0,#N/A,(((VLOOKUP(B102,'Data qoq'!$A:$AT,MATCH($S$1,'Data qoq'!$A$1:$AT$1,),))/100+1)^4)-1)</f>
        <v>-1.4873365798120597E-2</v>
      </c>
      <c r="T102" s="32" t="e">
        <f>IF((((VLOOKUP(B102,'Data qoq'!$A:$AT,MATCH($T$1,'Data qoq'!$A$1:$AT$1,),))/100+1)^4)-1=0,#N/A,(((VLOOKUP(B102,'Data qoq'!$A:$AT,MATCH($T$1,'Data qoq'!$A$1:$AT$1,),))/100+1)^4)-1)</f>
        <v>#N/A</v>
      </c>
      <c r="U102" s="32" t="e">
        <f>IF((((VLOOKUP(B102,'Data qoq'!$A:$AT,MATCH($U$1,'Data qoq'!$A$1:$AT$1,),))/100+1)^4)-1=0,#N/A,(((VLOOKUP(B102,'Data qoq'!$A:$AT,MATCH($U$1,'Data qoq'!$A$1:$AT$1,),))/100+1)^4)-1)</f>
        <v>#N/A</v>
      </c>
      <c r="V102" s="32">
        <f>IF((((VLOOKUP(B102,'Data qoq'!$A:$AT,MATCH($V$1,'Data qoq'!$A$1:$AT$1,),))/100+1)^4)-1=0,#N/A,(((VLOOKUP(B102,'Data qoq'!$A:$AT,MATCH($V$1,'Data qoq'!$A$1:$AT$1,),))/100+1)^4)-1)</f>
        <v>0.1474486652921414</v>
      </c>
      <c r="W102" s="32" t="e">
        <f>IF((((VLOOKUP(B102,'Data qoq'!$A:$AT,MATCH($W$1,'Data qoq'!$A$1:$AT$1,),))/100+1)^4)-1=0,#N/A,(((VLOOKUP(B102,'Data qoq'!$A:$AT,MATCH($W$1,'Data qoq'!$A$1:$AT$1,),))/100+1)^4)-1)</f>
        <v>#N/A</v>
      </c>
      <c r="X102" s="32">
        <f>IF((((VLOOKUP(B102,'Data qoq'!$A:$AT,MATCH($X$1,'Data qoq'!$A$1:$AT$1,),))/100+1)^4)-1=0,#N/A,(((VLOOKUP(B102,'Data qoq'!$A:$AT,MATCH($X$1,'Data qoq'!$A$1:$AT$1,),))/100+1)^4)-1)</f>
        <v>-1.2071781269397786E-2</v>
      </c>
      <c r="Y102" s="32">
        <f>IF((((VLOOKUP(B102,'Data qoq'!$A:$AT,MATCH($Y$1,'Data qoq'!$A$1:$AT$1,),))/100+1)^4)-1=0,#N/A,(((VLOOKUP(B102,'Data qoq'!$A:$AT,MATCH($Y$1,'Data qoq'!$A$1:$AT$1,),))/100+1)^4)-1)</f>
        <v>-9.2599144402593869E-2</v>
      </c>
      <c r="Z102" s="32" t="e">
        <f>IF((((VLOOKUP(B102,'Data qoq'!$A:$AU,MATCH($Z$1,'Data qoq'!$A$1:$AU$1,),))/100+1)^4)-1=0,#N/A,(((VLOOKUP(B102,'Data qoq'!$A:$AU,MATCH($Z$1,'Data qoq'!$A$1:$AU$1,),))/100+1)^4)-1)</f>
        <v>#N/A</v>
      </c>
      <c r="AA102" s="32" t="e">
        <f>IF((((VLOOKUP(B102,'Data qoq'!$A:$AU,MATCH($AA$1,'Data qoq'!$A$1:$AU$1,),))/100+1)^4)-1=0,#N/A,(((VLOOKUP(B102,'Data qoq'!$A:$AU,MATCH($AA$1,'Data qoq'!$A$1:$AU$1,),))/100+1)^4)-1)</f>
        <v>#N/A</v>
      </c>
      <c r="AC102" s="26" t="str">
        <f t="shared" si="10"/>
        <v>2022-Q4</v>
      </c>
      <c r="AD102" s="31">
        <f t="shared" si="11"/>
        <v>5.2022660569607249E-3</v>
      </c>
    </row>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30" zoomScaleNormal="130" workbookViewId="0">
      <selection activeCell="A22" sqref="A22:XFD22"/>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9" width="9.1796875" style="72" customWidth="1"/>
    <col min="40"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0.21078754893363108</v>
      </c>
      <c r="D3" s="33">
        <f>VLOOKUP(B3,'Data World GDP'!$A$2:$L$182,7,FALSE)</f>
        <v>0.01</v>
      </c>
      <c r="E3" s="33">
        <f>VLOOKUP(B3,'Data World GDP'!$A$2:$L$182,6,FALSE)</f>
        <v>2.9000000000000001E-2</v>
      </c>
    </row>
    <row r="4" spans="2:5" ht="16" customHeight="1" x14ac:dyDescent="0.35">
      <c r="B4" s="67" t="s">
        <v>422</v>
      </c>
      <c r="C4" s="70">
        <f>VLOOKUP(B4,'Data World GDP'!$A$2:$L$182,5,FALSE)/$C$31</f>
        <v>0.16033053368170763</v>
      </c>
      <c r="D4" s="33">
        <f>VLOOKUP(B4,'Data World GDP'!$A$2:$L$182,7,FALSE)</f>
        <v>2.9000000000000001E-2</v>
      </c>
      <c r="E4" s="33">
        <f>VLOOKUP(B4,'Data World GDP'!$A$2:$L$182,6,FALSE)</f>
        <v>0</v>
      </c>
    </row>
    <row r="5" spans="2:5" ht="16" customHeight="1" x14ac:dyDescent="0.35">
      <c r="B5" s="67" t="s">
        <v>442</v>
      </c>
      <c r="C5" s="70">
        <f>VLOOKUP(B5,'Data World GDP'!$A$2:$L$182,5,FALSE)/$C$31</f>
        <v>0.13166198048983355</v>
      </c>
      <c r="D5" s="33">
        <f>VLOOKUP(B5,'Data World GDP'!$A$2:$L$182,7,FALSE)</f>
        <v>1.9E-2</v>
      </c>
      <c r="E5" s="33">
        <f>VLOOKUP(B5,'Data World GDP'!$A$2:$L$182,6,FALSE)</f>
        <v>1E-3</v>
      </c>
    </row>
    <row r="6" spans="2:5" ht="16" customHeight="1" x14ac:dyDescent="0.35">
      <c r="B6" s="67" t="s">
        <v>470</v>
      </c>
      <c r="C6" s="70">
        <f>VLOOKUP(B6,'Data World GDP'!$A$2:$L$182,5,FALSE)/$C$31</f>
        <v>4.4670867650914485E-2</v>
      </c>
      <c r="D6" s="33">
        <f>VLOOKUP(B6,'Data World GDP'!$A$2:$L$182,7,FALSE)</f>
        <v>6.0000000000000001E-3</v>
      </c>
      <c r="E6" s="33">
        <f>VLOOKUP(B6,'Data World GDP'!$A$2:$L$182,6,FALSE)</f>
        <v>2E-3</v>
      </c>
    </row>
    <row r="7" spans="2:5" ht="16" customHeight="1" x14ac:dyDescent="0.35">
      <c r="B7" s="67" t="s">
        <v>449</v>
      </c>
      <c r="C7" s="70">
        <f>VLOOKUP(B7,'Data World GDP'!$A$2:$L$182,5,FALSE)/$C$31</f>
        <v>3.8514044969215885E-2</v>
      </c>
      <c r="D7" s="33">
        <f>VLOOKUP(B7,'Data World GDP'!$A$2:$L$182,7,FALSE)</f>
        <v>1.0999999999999999E-2</v>
      </c>
      <c r="E7" s="33">
        <f>VLOOKUP(B7,'Data World GDP'!$A$2:$L$182,6,FALSE)</f>
        <v>-2E-3</v>
      </c>
    </row>
    <row r="8" spans="2:5" ht="16" customHeight="1" x14ac:dyDescent="0.35">
      <c r="B8" s="67" t="s">
        <v>562</v>
      </c>
      <c r="C8" s="70">
        <f>VLOOKUP(B8,'Data World GDP'!$A$2:$L$182,5,FALSE)/$C$31</f>
        <v>2.830691896681102E-2</v>
      </c>
      <c r="D8" s="33">
        <f>VLOOKUP(B8,'Data World GDP'!$A$2:$L$182,7,FALSE)</f>
        <v>4.0000000000000001E-3</v>
      </c>
      <c r="E8" s="33">
        <f>VLOOKUP(B8,'Data World GDP'!$A$2:$L$182,6,FALSE)</f>
        <v>0</v>
      </c>
    </row>
    <row r="9" spans="2:5" ht="16" customHeight="1" x14ac:dyDescent="0.35">
      <c r="B9" s="67" t="s">
        <v>461</v>
      </c>
      <c r="C9" s="70">
        <f>VLOOKUP(B9,'Data World GDP'!$A$2:$L$182,5,FALSE)/$C$31</f>
        <v>2.871375747000696E-2</v>
      </c>
      <c r="D9" s="33">
        <f>VLOOKUP(B9,'Data World GDP'!$A$2:$L$182,7,FALSE)</f>
        <v>6.3E-2</v>
      </c>
      <c r="E9" s="33">
        <f>VLOOKUP(B9,'Data World GDP'!$A$2:$L$182,6,FALSE)</f>
        <v>8.0000000000000002E-3</v>
      </c>
    </row>
    <row r="10" spans="2:5" ht="16" customHeight="1" x14ac:dyDescent="0.35">
      <c r="B10" s="67" t="s">
        <v>445</v>
      </c>
      <c r="C10" s="70">
        <f>VLOOKUP(B10,'Data World GDP'!$A$2:$L$182,5,FALSE)/$C$31</f>
        <v>2.6742850943413284E-2</v>
      </c>
      <c r="D10" s="33">
        <f>VLOOKUP(B10,'Data World GDP'!$A$2:$L$182,7,FALSE)</f>
        <v>5.0000000000000001E-3</v>
      </c>
      <c r="E10" s="33">
        <f>VLOOKUP(B10,'Data World GDP'!$A$2:$L$182,6,FALSE)</f>
        <v>1E-3</v>
      </c>
    </row>
    <row r="11" spans="2:5" ht="16" customHeight="1" x14ac:dyDescent="0.35">
      <c r="B11" s="67" t="s">
        <v>409</v>
      </c>
      <c r="C11" s="70">
        <f>VLOOKUP(B11,'Data World GDP'!$A$2:$L$182,5,FALSE)/$C$31</f>
        <v>1.4546736703161587E-2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1.905812366082326E-2</v>
      </c>
      <c r="D12" s="33">
        <f>VLOOKUP(B12,'Data World GDP'!$A$2:$L$182,7,FALSE)</f>
        <v>1.7000000000000001E-2</v>
      </c>
      <c r="E12" s="33">
        <f>VLOOKUP(B12,'Data World GDP'!$A$2:$L$182,6,FALSE)</f>
        <v>-1E-3</v>
      </c>
    </row>
    <row r="13" spans="2:5" ht="16" customHeight="1" x14ac:dyDescent="0.35">
      <c r="B13" s="67" t="s">
        <v>416</v>
      </c>
      <c r="C13" s="70">
        <f>VLOOKUP(B13,'Data World GDP'!$A$2:$L$182,5,FALSE)/$C$31</f>
        <v>1.7973220985634079E-2</v>
      </c>
      <c r="D13" s="33">
        <f>VLOOKUP(B13,'Data World GDP'!$A$2:$L$182,7,FALSE)</f>
        <v>3.9E-2</v>
      </c>
      <c r="E13" s="33">
        <f>VLOOKUP(B13,'Data World GDP'!$A$2:$L$182,6,FALSE)</f>
        <v>6.9999999999999993E-3</v>
      </c>
    </row>
    <row r="14" spans="2:5" ht="16" customHeight="1" x14ac:dyDescent="0.35">
      <c r="B14" s="67" t="s">
        <v>527</v>
      </c>
      <c r="C14" s="70">
        <f>VLOOKUP(B14,'Data World GDP'!$A$2:$L$182,5,FALSE)/$C$31</f>
        <v>1.6056559592799863E-2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1.6264499272211123E-2</v>
      </c>
      <c r="D15" s="33">
        <f>VLOOKUP(B15,'Data World GDP'!$A$2:$L$182,7,FALSE)</f>
        <v>1.4E-2</v>
      </c>
      <c r="E15" s="33">
        <f>VLOOKUP(B15,'Data World GDP'!$A$2:$L$182,6,FALSE)</f>
        <v>-4.0000000000000001E-3</v>
      </c>
    </row>
    <row r="16" spans="2:5" ht="16" customHeight="1" x14ac:dyDescent="0.35">
      <c r="B16" s="67" t="s">
        <v>396</v>
      </c>
      <c r="C16" s="70">
        <f>VLOOKUP(B16,'Data World GDP'!$A$2:$L$182,5,FALSE)/$C$31</f>
        <v>1.4040448788073303E-2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1.2901300979124664E-2</v>
      </c>
      <c r="D17" s="33">
        <f>VLOOKUP(B17,'Data World GDP'!$A$2:$L$182,7,FALSE)</f>
        <v>2.7E-2</v>
      </c>
      <c r="E17" s="33">
        <f>VLOOKUP(B17,'Data World GDP'!$A$2:$L$182,6,FALSE)</f>
        <v>2E-3</v>
      </c>
    </row>
    <row r="18" spans="2:8" ht="16" customHeight="1" x14ac:dyDescent="0.35">
      <c r="B18" s="67" t="s">
        <v>496</v>
      </c>
      <c r="C18" s="70">
        <f>VLOOKUP(B18,'Data World GDP'!$A$2:$L$182,5,FALSE)/$C$31</f>
        <v>1.1509009212631883E-2</v>
      </c>
      <c r="D18" s="33">
        <f>VLOOKUP(B18,'Data World GDP'!$A$2:$L$182,7,FALSE)</f>
        <v>3.5000000000000003E-2</v>
      </c>
      <c r="E18" s="33">
        <f>VLOOKUP(B18,'Data World GDP'!$A$2:$L$182,6,FALSE)</f>
        <v>4.0000000000000001E-3</v>
      </c>
    </row>
    <row r="19" spans="2:8" ht="16" customHeight="1" x14ac:dyDescent="0.35">
      <c r="B19" s="67" t="s">
        <v>462</v>
      </c>
      <c r="C19" s="70">
        <f>VLOOKUP(B19,'Data World GDP'!$A$2:$L$182,5,FALSE)/$C$31</f>
        <v>1.0722454773119727E-2</v>
      </c>
      <c r="D19" s="33">
        <f>VLOOKUP(B19,'Data World GDP'!$A$2:$L$182,7,FALSE)</f>
        <v>5.0099999999999999E-2</v>
      </c>
      <c r="E19" s="33">
        <f>VLOOKUP(B19,'Data World GDP'!$A$2:$L$182,6,FALSE)</f>
        <v>3.5999999999999999E-3</v>
      </c>
    </row>
    <row r="20" spans="2:8" ht="16" customHeight="1" x14ac:dyDescent="0.35">
      <c r="B20" s="67" t="s">
        <v>557</v>
      </c>
      <c r="C20" s="70">
        <f>VLOOKUP(B20,'Data World GDP'!$A$2:$L$182,5,FALSE)/$C$31</f>
        <v>7.404460758166153E-3</v>
      </c>
      <c r="D20" s="33">
        <f>VLOOKUP(B20,'Data World GDP'!$A$2:$L$182,7,FALSE)</f>
        <v>3.9E-2</v>
      </c>
      <c r="E20" s="33">
        <f>VLOOKUP(B20,'Data World GDP'!$A$2:$L$182,6,FALSE)</f>
        <v>-1E-3</v>
      </c>
    </row>
    <row r="21" spans="2:8" ht="16" customHeight="1" x14ac:dyDescent="0.35">
      <c r="B21" s="67" t="s">
        <v>550</v>
      </c>
      <c r="C21" s="70">
        <f>VLOOKUP(B21,'Data World GDP'!$A$2:$L$182,5,FALSE)/$C$31</f>
        <v>7.0066631105967867E-3</v>
      </c>
      <c r="D21" s="33">
        <f>VLOOKUP(B21,'Data World GDP'!$A$2:$L$182,7,FALSE)</f>
        <v>-8.6E-3</v>
      </c>
      <c r="E21" s="33">
        <f>VLOOKUP(B21,'Data World GDP'!$A$2:$L$182,6,FALSE)</f>
        <v>-1.0800000000000001E-2</v>
      </c>
    </row>
    <row r="22" spans="2:8" ht="16" customHeight="1" x14ac:dyDescent="0.35">
      <c r="B22" s="67" t="s">
        <v>521</v>
      </c>
      <c r="C22" s="70">
        <f>VLOOKUP(B22,'Data World GDP'!$A$2:$L$182,5,FALSE)/$C$31</f>
        <v>6.1387409704454429E-3</v>
      </c>
      <c r="D22" s="33">
        <f>VLOOKUP(B22,'Data World GDP'!$A$2:$L$182,7,FALSE)</f>
        <v>0.02</v>
      </c>
      <c r="E22" s="33">
        <f>VLOOKUP(B22,'Data World GDP'!$A$2:$L$182,6,FALSE)</f>
        <v>-2.4E-2</v>
      </c>
    </row>
    <row r="23" spans="2:8" ht="16" customHeight="1" x14ac:dyDescent="0.35">
      <c r="B23" s="67" t="s">
        <v>465</v>
      </c>
      <c r="C23" s="70">
        <f>VLOOKUP(B23,'Data World GDP'!$A$2:$L$182,5,FALSE)/$C$31</f>
        <v>4.5565912357945553E-3</v>
      </c>
      <c r="D23" s="33">
        <f>VLOOKUP(B23,'Data World GDP'!$A$2:$L$182,7,FALSE)</f>
        <v>0.13500000000000001</v>
      </c>
      <c r="E23" s="33">
        <f>VLOOKUP(B23,'Data World GDP'!$A$2:$L$182,6,FALSE)</f>
        <v>3.5000000000000003E-2</v>
      </c>
    </row>
    <row r="24" spans="2:8" ht="16" customHeight="1" x14ac:dyDescent="0.35">
      <c r="B24" s="67" t="s">
        <v>431</v>
      </c>
      <c r="C24" s="70">
        <f>VLOOKUP(B24,'Data World GDP'!$A$2:$L$182,5,FALSE)/$C$31</f>
        <v>3.5982605393774466E-3</v>
      </c>
      <c r="D24" s="33">
        <f>VLOOKUP(B24,'Data World GDP'!$A$2:$L$182,7,FALSE)</f>
        <v>3.2000000000000001E-2</v>
      </c>
      <c r="E24" s="33">
        <f>VLOOKUP(B24,'Data World GDP'!$A$2:$L$182,6,FALSE)</f>
        <v>1.0999999999999999E-2</v>
      </c>
      <c r="H24" s="62" t="s">
        <v>18</v>
      </c>
    </row>
    <row r="25" spans="2:8" ht="16" customHeight="1" x14ac:dyDescent="0.35">
      <c r="B25" s="67" t="s">
        <v>430</v>
      </c>
      <c r="C25" s="70">
        <f>VLOOKUP(B25,'Data World GDP'!$A$2:$L$182,5,FALSE)/$C$31</f>
        <v>2.5495212866945729E-3</v>
      </c>
      <c r="D25" s="33">
        <f>VLOOKUP(B25,'Data World GDP'!$A$2:$L$182,7,FALSE)</f>
        <v>4.0000000000000001E-3</v>
      </c>
      <c r="E25" s="33">
        <f>VLOOKUP(B25,'Data World GDP'!$A$2:$L$182,6,FALSE)</f>
        <v>-3.0000000000000001E-3</v>
      </c>
      <c r="H25" s="72" t="s">
        <v>599</v>
      </c>
    </row>
    <row r="26" spans="2:8" ht="16" customHeight="1" x14ac:dyDescent="0.35">
      <c r="B26" s="67" t="s">
        <v>508</v>
      </c>
      <c r="C26" s="70">
        <f>VLOOKUP(B26,'Data World GDP'!$A$2:$L$182,5,FALSE)/$C$31</f>
        <v>2.2602139066441249E-3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1.9437839597139473E-3</v>
      </c>
      <c r="D27" s="34">
        <f>VLOOKUP(B27,'Data World GDP'!$A$2:$L$182,7,FALSE)</f>
        <v>2.8000000000000001E-2</v>
      </c>
      <c r="E27" s="34">
        <f>VLOOKUP(B27,'Data World GDP'!$A$2:$L$182,6,FALSE)</f>
        <v>-5.0000000000000001E-3</v>
      </c>
    </row>
    <row r="31" spans="2:8" x14ac:dyDescent="0.35">
      <c r="B31" s="72" t="s">
        <v>601</v>
      </c>
      <c r="C31" s="72">
        <f>SUM('Data World GDP'!$E$2:$E$182)</f>
        <v>110609</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Normal="100" workbookViewId="0">
      <pane ySplit="1" topLeftCell="A283" activePane="bottomLeft" state="frozen"/>
      <selection activeCell="F175" sqref="F175"/>
      <selection pane="bottomLeft" activeCell="F309" sqref="F309"/>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0.16292970300000001</v>
      </c>
      <c r="C189" s="43">
        <f>Table13456789101112131415161734[[#This Row],[JPN]]-B188</f>
        <v>-0.23081627200000002</v>
      </c>
      <c r="D189" s="27"/>
    </row>
    <row r="190" spans="1:4" x14ac:dyDescent="0.35">
      <c r="A190" s="42">
        <v>34516</v>
      </c>
      <c r="B190" s="43">
        <f>VLOOKUP(A190,'Data yoy'!$B:$AW,MATCH($B$1,'Data yoy'!$B$1:$AW$1,0),FALSE)</f>
        <v>0.24694941000000001</v>
      </c>
      <c r="C190" s="43">
        <f>Table13456789101112131415161734[[#This Row],[JPN]]-B189</f>
        <v>8.4019706999999999E-2</v>
      </c>
      <c r="D190" s="27"/>
    </row>
    <row r="191" spans="1:4" x14ac:dyDescent="0.35">
      <c r="A191" s="42">
        <v>34608</v>
      </c>
      <c r="B191" s="43">
        <f>VLOOKUP(A191,'Data yoy'!$B:$AW,MATCH($B$1,'Data yoy'!$B$1:$AW$1,0),FALSE)</f>
        <v>2.1333363310000002</v>
      </c>
      <c r="C191" s="43">
        <f>Table13456789101112131415161734[[#This Row],[JPN]]-B190</f>
        <v>1.8863869210000002</v>
      </c>
      <c r="D191" s="27"/>
    </row>
    <row r="192" spans="1:4" x14ac:dyDescent="0.35">
      <c r="A192" s="42">
        <v>34700</v>
      </c>
      <c r="B192" s="43">
        <f>VLOOKUP(A192,'Data yoy'!$B:$AW,MATCH($B$1,'Data yoy'!$B$1:$AW$1,0),FALSE)</f>
        <v>1.0862311849999999</v>
      </c>
      <c r="C192" s="43">
        <f>Table13456789101112131415161734[[#This Row],[JPN]]-B191</f>
        <v>-1.0471051460000003</v>
      </c>
      <c r="D192" s="27"/>
    </row>
    <row r="193" spans="1:4" x14ac:dyDescent="0.35">
      <c r="A193" s="42">
        <v>34790</v>
      </c>
      <c r="B193" s="43">
        <f>VLOOKUP(A193,'Data yoy'!$B:$AW,MATCH($B$1,'Data yoy'!$B$1:$AW$1,0),FALSE)</f>
        <v>1.3041024139999999</v>
      </c>
      <c r="C193" s="43">
        <f>Table13456789101112131415161734[[#This Row],[JPN]]-B192</f>
        <v>0.217871229</v>
      </c>
      <c r="D193" s="27"/>
    </row>
    <row r="194" spans="1:4" x14ac:dyDescent="0.35">
      <c r="A194" s="42">
        <v>34881</v>
      </c>
      <c r="B194" s="43">
        <f>VLOOKUP(A194,'Data yoy'!$B:$AW,MATCH($B$1,'Data yoy'!$B$1:$AW$1,0),FALSE)</f>
        <v>2.8225685619999998</v>
      </c>
      <c r="C194" s="43">
        <f>Table13456789101112131415161734[[#This Row],[JPN]]-B193</f>
        <v>1.5184661479999999</v>
      </c>
      <c r="D194" s="27"/>
    </row>
    <row r="195" spans="1:4" x14ac:dyDescent="0.35">
      <c r="A195" s="42">
        <v>34973</v>
      </c>
      <c r="B195" s="43">
        <f>VLOOKUP(A195,'Data yoy'!$B:$AW,MATCH($B$1,'Data yoy'!$B$1:$AW$1,0),FALSE)</f>
        <v>2.8445522369999998</v>
      </c>
      <c r="C195" s="43">
        <f>Table13456789101112131415161734[[#This Row],[JPN]]-B194</f>
        <v>2.198367499999998E-2</v>
      </c>
      <c r="D195" s="27"/>
    </row>
    <row r="196" spans="1:4" x14ac:dyDescent="0.35">
      <c r="A196" s="42">
        <v>35065</v>
      </c>
      <c r="B196" s="43">
        <f>VLOOKUP(A196,'Data yoy'!$B:$AW,MATCH($B$1,'Data yoy'!$B$1:$AW$1,0),FALSE)</f>
        <v>3.5064691080000001</v>
      </c>
      <c r="C196" s="43">
        <f>Table13456789101112131415161734[[#This Row],[JPN]]-B195</f>
        <v>0.6619168710000003</v>
      </c>
      <c r="D196" s="27"/>
    </row>
    <row r="197" spans="1:4" x14ac:dyDescent="0.35">
      <c r="A197" s="42">
        <v>35156</v>
      </c>
      <c r="B197" s="43">
        <f>VLOOKUP(A197,'Data yoy'!$B:$AW,MATCH($B$1,'Data yoy'!$B$1:$AW$1,0),FALSE)</f>
        <v>3.2086091410000002</v>
      </c>
      <c r="C197" s="43">
        <f>Table13456789101112131415161734[[#This Row],[JPN]]-B196</f>
        <v>-0.29785996699999995</v>
      </c>
      <c r="D197" s="27"/>
    </row>
    <row r="198" spans="1:4" x14ac:dyDescent="0.35">
      <c r="A198" s="42">
        <v>35247</v>
      </c>
      <c r="B198" s="43">
        <f>VLOOKUP(A198,'Data yoy'!$B:$AW,MATCH($B$1,'Data yoy'!$B$1:$AW$1,0),FALSE)</f>
        <v>3.5511128630000002</v>
      </c>
      <c r="C198" s="43">
        <f>Table13456789101112131415161734[[#This Row],[JPN]]-B197</f>
        <v>0.34250372200000001</v>
      </c>
      <c r="D198" s="27"/>
    </row>
    <row r="199" spans="1:4" x14ac:dyDescent="0.35">
      <c r="A199" s="42">
        <v>35339</v>
      </c>
      <c r="B199" s="43">
        <f>VLOOKUP(A199,'Data yoy'!$B:$AW,MATCH($B$1,'Data yoy'!$B$1:$AW$1,0),FALSE)</f>
        <v>2.480862503</v>
      </c>
      <c r="C199" s="43">
        <f>Table13456789101112131415161734[[#This Row],[JPN]]-B198</f>
        <v>-1.0702503600000002</v>
      </c>
      <c r="D199" s="27"/>
    </row>
    <row r="200" spans="1:4" x14ac:dyDescent="0.35">
      <c r="A200" s="42">
        <v>35431</v>
      </c>
      <c r="B200" s="43">
        <f>VLOOKUP(A200,'Data yoy'!$B:$AW,MATCH($B$1,'Data yoy'!$B$1:$AW$1,0),FALSE)</f>
        <v>3.3721237510000002</v>
      </c>
      <c r="C200" s="43">
        <f>Table13456789101112131415161734[[#This Row],[JPN]]-B199</f>
        <v>0.89126124800000017</v>
      </c>
      <c r="D200" s="27"/>
    </row>
    <row r="201" spans="1:4" x14ac:dyDescent="0.35">
      <c r="A201" s="42">
        <v>35521</v>
      </c>
      <c r="B201" s="43">
        <f>VLOOKUP(A201,'Data yoy'!$B:$AW,MATCH($B$1,'Data yoy'!$B$1:$AW$1,0),FALSE)</f>
        <v>2.800072524</v>
      </c>
      <c r="C201" s="43">
        <f>Table13456789101112131415161734[[#This Row],[JPN]]-B200</f>
        <v>-0.57205122700000022</v>
      </c>
      <c r="D201" s="27"/>
    </row>
    <row r="202" spans="1:4" x14ac:dyDescent="0.35">
      <c r="A202" s="42">
        <v>35612</v>
      </c>
      <c r="B202" s="43">
        <f>VLOOKUP(A202,'Data yoy'!$B:$AW,MATCH($B$1,'Data yoy'!$B$1:$AW$1,0),FALSE)</f>
        <v>0.74535176199999997</v>
      </c>
      <c r="C202" s="43">
        <f>Table13456789101112131415161734[[#This Row],[JPN]]-B201</f>
        <v>-2.0547207620000001</v>
      </c>
      <c r="D202" s="27"/>
    </row>
    <row r="203" spans="1:4" x14ac:dyDescent="0.35">
      <c r="A203" s="42">
        <v>35704</v>
      </c>
      <c r="B203" s="43">
        <f>VLOOKUP(A203,'Data yoy'!$B:$AW,MATCH($B$1,'Data yoy'!$B$1:$AW$1,0),FALSE)</f>
        <v>0.81394493599999995</v>
      </c>
      <c r="C203" s="43">
        <f>Table13456789101112131415161734[[#This Row],[JPN]]-B202</f>
        <v>6.8593173999999979E-2</v>
      </c>
      <c r="D203" s="27"/>
    </row>
    <row r="204" spans="1:4" x14ac:dyDescent="0.35">
      <c r="A204" s="42">
        <v>35796</v>
      </c>
      <c r="B204" s="43">
        <f>VLOOKUP(A204,'Data yoy'!$B:$AW,MATCH($B$1,'Data yoy'!$B$1:$AW$1,0),FALSE)</f>
        <v>-0.26216029099999999</v>
      </c>
      <c r="C204" s="43">
        <f>Table13456789101112131415161734[[#This Row],[JPN]]-B203</f>
        <v>-1.076105227</v>
      </c>
      <c r="D204" s="27"/>
    </row>
    <row r="205" spans="1:4" x14ac:dyDescent="0.35">
      <c r="A205" s="42">
        <v>35886</v>
      </c>
      <c r="B205" s="43">
        <f>VLOOKUP(A205,'Data yoy'!$B:$AW,MATCH($B$1,'Data yoy'!$B$1:$AW$1,0),FALSE)</f>
        <v>-1.72769715</v>
      </c>
      <c r="C205" s="43">
        <f>Table13456789101112131415161734[[#This Row],[JPN]]-B204</f>
        <v>-1.465536859</v>
      </c>
      <c r="D205" s="27"/>
    </row>
    <row r="206" spans="1:4" x14ac:dyDescent="0.35">
      <c r="A206" s="42">
        <v>35977</v>
      </c>
      <c r="B206" s="43">
        <f>VLOOKUP(A206,'Data yoy'!$B:$AW,MATCH($B$1,'Data yoy'!$B$1:$AW$1,0),FALSE)</f>
        <v>-1.4228352689999999</v>
      </c>
      <c r="C206" s="43">
        <f>Table13456789101112131415161734[[#This Row],[JPN]]-B205</f>
        <v>0.30486188100000011</v>
      </c>
      <c r="D206" s="27"/>
    </row>
    <row r="207" spans="1:4" x14ac:dyDescent="0.35">
      <c r="A207" s="42">
        <v>36069</v>
      </c>
      <c r="B207" s="43">
        <f>VLOOKUP(A207,'Data yoy'!$B:$AW,MATCH($B$1,'Data yoy'!$B$1:$AW$1,0),FALSE)</f>
        <v>-1.4381442820000001</v>
      </c>
      <c r="C207" s="43">
        <f>Table13456789101112131415161734[[#This Row],[JPN]]-B206</f>
        <v>-1.5309013000000204E-2</v>
      </c>
      <c r="D207" s="27"/>
    </row>
    <row r="208" spans="1:4" x14ac:dyDescent="0.35">
      <c r="A208" s="42">
        <v>36161</v>
      </c>
      <c r="B208" s="43">
        <f>VLOOKUP(A208,'Data yoy'!$B:$AW,MATCH($B$1,'Data yoy'!$B$1:$AW$1,0),FALSE)</f>
        <v>-0.68135035300000002</v>
      </c>
      <c r="C208" s="43">
        <f>Table13456789101112131415161734[[#This Row],[JPN]]-B207</f>
        <v>0.75679392900000009</v>
      </c>
      <c r="D208" s="27"/>
    </row>
    <row r="209" spans="1:4" x14ac:dyDescent="0.35">
      <c r="A209" s="42">
        <v>36251</v>
      </c>
      <c r="B209" s="43">
        <f>VLOOKUP(A209,'Data yoy'!$B:$AW,MATCH($B$1,'Data yoy'!$B$1:$AW$1,0),FALSE)</f>
        <v>-0.84367141400000001</v>
      </c>
      <c r="C209" s="43">
        <f>Table13456789101112131415161734[[#This Row],[JPN]]-B208</f>
        <v>-0.16232106099999999</v>
      </c>
      <c r="D209" s="27"/>
    </row>
    <row r="210" spans="1:4" x14ac:dyDescent="0.35">
      <c r="A210" s="42">
        <v>36342</v>
      </c>
      <c r="B210" s="43">
        <f>VLOOKUP(A210,'Data yoy'!$B:$AW,MATCH($B$1,'Data yoy'!$B$1:$AW$1,0),FALSE)</f>
        <v>-2.7359675999999999E-2</v>
      </c>
      <c r="C210" s="43">
        <f>Table13456789101112131415161734[[#This Row],[JPN]]-B209</f>
        <v>0.81631173800000001</v>
      </c>
      <c r="D210" s="27"/>
    </row>
    <row r="211" spans="1:4" x14ac:dyDescent="0.35">
      <c r="A211" s="42">
        <v>36434</v>
      </c>
      <c r="B211" s="43">
        <f>VLOOKUP(A211,'Data yoy'!$B:$AW,MATCH($B$1,'Data yoy'!$B$1:$AW$1,0),FALSE)</f>
        <v>0.32575153600000001</v>
      </c>
      <c r="C211" s="43">
        <f>Table13456789101112131415161734[[#This Row],[JPN]]-B210</f>
        <v>0.35311121200000001</v>
      </c>
      <c r="D211" s="27"/>
    </row>
    <row r="212" spans="1:4" x14ac:dyDescent="0.35">
      <c r="A212" s="42">
        <v>36526</v>
      </c>
      <c r="B212" s="43">
        <f>VLOOKUP(A212,'Data yoy'!$B:$AW,MATCH($B$1,'Data yoy'!$B$1:$AW$1,0),FALSE)</f>
        <v>-0.43534105899999997</v>
      </c>
      <c r="C212" s="43">
        <f>Table13456789101112131415161734[[#This Row],[JPN]]-B211</f>
        <v>-0.76109259500000004</v>
      </c>
      <c r="D212" s="27"/>
    </row>
    <row r="213" spans="1:4" x14ac:dyDescent="0.35">
      <c r="A213" s="42">
        <v>36617</v>
      </c>
      <c r="B213" s="43">
        <f>VLOOKUP(A213,'Data yoy'!$B:$AW,MATCH($B$1,'Data yoy'!$B$1:$AW$1,0),FALSE)</f>
        <v>2.6653641509999999</v>
      </c>
      <c r="C213" s="43">
        <f>Table13456789101112131415161734[[#This Row],[JPN]]-B212</f>
        <v>3.1007052100000001</v>
      </c>
      <c r="D213" s="27"/>
    </row>
    <row r="214" spans="1:4" x14ac:dyDescent="0.35">
      <c r="A214" s="42">
        <v>36708</v>
      </c>
      <c r="B214" s="43">
        <f>VLOOKUP(A214,'Data yoy'!$B:$AW,MATCH($B$1,'Data yoy'!$B$1:$AW$1,0),FALSE)</f>
        <v>2.7605027889999998</v>
      </c>
      <c r="C214" s="43">
        <f>Table13456789101112131415161734[[#This Row],[JPN]]-B213</f>
        <v>9.5138637999999887E-2</v>
      </c>
      <c r="D214" s="27"/>
    </row>
    <row r="215" spans="1:4" x14ac:dyDescent="0.35">
      <c r="A215" s="42">
        <v>36800</v>
      </c>
      <c r="B215" s="43">
        <f>VLOOKUP(A215,'Data yoy'!$B:$AW,MATCH($B$1,'Data yoy'!$B$1:$AW$1,0),FALSE)</f>
        <v>2.2407585220000001</v>
      </c>
      <c r="C215" s="43">
        <f>Table13456789101112131415161734[[#This Row],[JPN]]-B214</f>
        <v>-0.51974426699999965</v>
      </c>
      <c r="D215" s="27"/>
    </row>
    <row r="216" spans="1:4" x14ac:dyDescent="0.35">
      <c r="A216" s="42">
        <v>36892</v>
      </c>
      <c r="B216" s="43">
        <f>VLOOKUP(A216,'Data yoy'!$B:$AW,MATCH($B$1,'Data yoy'!$B$1:$AW$1,0),FALSE)</f>
        <v>3.2009074239999999</v>
      </c>
      <c r="C216" s="43">
        <f>Table13456789101112131415161734[[#This Row],[JPN]]-B215</f>
        <v>0.9601489019999998</v>
      </c>
      <c r="D216" s="27"/>
    </row>
    <row r="217" spans="1:4" x14ac:dyDescent="0.35">
      <c r="A217" s="42">
        <v>36982</v>
      </c>
      <c r="B217" s="43">
        <f>VLOOKUP(A217,'Data yoy'!$B:$AW,MATCH($B$1,'Data yoy'!$B$1:$AW$1,0),FALSE)</f>
        <v>2.2261224230000001</v>
      </c>
      <c r="C217" s="43">
        <f>Table13456789101112131415161734[[#This Row],[JPN]]-B216</f>
        <v>-0.97478500099999987</v>
      </c>
      <c r="D217" s="27"/>
    </row>
    <row r="218" spans="1:4" x14ac:dyDescent="0.35">
      <c r="A218" s="42">
        <v>37073</v>
      </c>
      <c r="B218" s="43">
        <f>VLOOKUP(A218,'Data yoy'!$B:$AW,MATCH($B$1,'Data yoy'!$B$1:$AW$1,0),FALSE)</f>
        <v>0.98598502099999996</v>
      </c>
      <c r="C218" s="43">
        <f>Table13456789101112131415161734[[#This Row],[JPN]]-B217</f>
        <v>-1.2401374020000002</v>
      </c>
      <c r="D218" s="27"/>
    </row>
    <row r="219" spans="1:4" x14ac:dyDescent="0.35">
      <c r="A219" s="42">
        <v>37165</v>
      </c>
      <c r="B219" s="43">
        <f>VLOOKUP(A219,'Data yoy'!$B:$AW,MATCH($B$1,'Data yoy'!$B$1:$AW$1,0),FALSE)</f>
        <v>-0.139929106</v>
      </c>
      <c r="C219" s="43">
        <f>Table13456789101112131415161734[[#This Row],[JPN]]-B218</f>
        <v>-1.1259141269999999</v>
      </c>
      <c r="D219" s="27"/>
    </row>
    <row r="220" spans="1:4" x14ac:dyDescent="0.35">
      <c r="A220" s="42">
        <v>37257</v>
      </c>
      <c r="B220" s="43">
        <f>VLOOKUP(A220,'Data yoy'!$B:$AW,MATCH($B$1,'Data yoy'!$B$1:$AW$1,0),FALSE)</f>
        <v>-1.4430394929999999</v>
      </c>
      <c r="C220" s="43">
        <f>Table13456789101112131415161734[[#This Row],[JPN]]-B219</f>
        <v>-1.3031103869999998</v>
      </c>
      <c r="D220" s="27"/>
    </row>
    <row r="221" spans="1:4" x14ac:dyDescent="0.35">
      <c r="A221" s="42">
        <v>37347</v>
      </c>
      <c r="B221" s="43">
        <f>VLOOKUP(A221,'Data yoy'!$B:$AW,MATCH($B$1,'Data yoy'!$B$1:$AW$1,0),FALSE)</f>
        <v>-1.9999037799999999</v>
      </c>
      <c r="C221" s="43">
        <f>Table13456789101112131415161734[[#This Row],[JPN]]-B220</f>
        <v>-0.55686428700000001</v>
      </c>
      <c r="D221" s="27"/>
    </row>
    <row r="222" spans="1:4" x14ac:dyDescent="0.35">
      <c r="A222" s="42">
        <v>37438</v>
      </c>
      <c r="B222" s="43">
        <f>VLOOKUP(A222,'Data yoy'!$B:$AW,MATCH($B$1,'Data yoy'!$B$1:$AW$1,0),FALSE)</f>
        <v>-0.46307031700000001</v>
      </c>
      <c r="C222" s="43">
        <f>Table13456789101112131415161734[[#This Row],[JPN]]-B221</f>
        <v>1.5368334629999998</v>
      </c>
      <c r="D222" s="27"/>
    </row>
    <row r="223" spans="1:4" x14ac:dyDescent="0.35">
      <c r="A223" s="42">
        <v>37530</v>
      </c>
      <c r="B223" s="43">
        <f>VLOOKUP(A223,'Data yoy'!$B:$AW,MATCH($B$1,'Data yoy'!$B$1:$AW$1,0),FALSE)</f>
        <v>0.95161777299999994</v>
      </c>
      <c r="C223" s="43">
        <f>Table13456789101112131415161734[[#This Row],[JPN]]-B222</f>
        <v>1.4146880899999998</v>
      </c>
      <c r="D223" s="27"/>
    </row>
    <row r="224" spans="1:4" x14ac:dyDescent="0.35">
      <c r="A224" s="42">
        <v>37622</v>
      </c>
      <c r="B224" s="43">
        <f>VLOOKUP(A224,'Data yoy'!$B:$AW,MATCH($B$1,'Data yoy'!$B$1:$AW$1,0),FALSE)</f>
        <v>1.580458812</v>
      </c>
      <c r="C224" s="43">
        <f>Table13456789101112131415161734[[#This Row],[JPN]]-B223</f>
        <v>0.6288410390000001</v>
      </c>
      <c r="D224" s="27"/>
    </row>
    <row r="225" spans="1:4" x14ac:dyDescent="0.35">
      <c r="A225" s="42">
        <v>37712</v>
      </c>
      <c r="B225" s="43">
        <f>VLOOKUP(A225,'Data yoy'!$B:$AW,MATCH($B$1,'Data yoy'!$B$1:$AW$1,0),FALSE)</f>
        <v>1.472043121</v>
      </c>
      <c r="C225" s="43">
        <f>Table13456789101112131415161734[[#This Row],[JPN]]-B224</f>
        <v>-0.10841569100000004</v>
      </c>
      <c r="D225" s="27"/>
    </row>
    <row r="226" spans="1:4" x14ac:dyDescent="0.35">
      <c r="A226" s="42">
        <v>37803</v>
      </c>
      <c r="B226" s="43">
        <f>VLOOKUP(A226,'Data yoy'!$B:$AW,MATCH($B$1,'Data yoy'!$B$1:$AW$1,0),FALSE)</f>
        <v>1.3463781669999999</v>
      </c>
      <c r="C226" s="43">
        <f>Table13456789101112131415161734[[#This Row],[JPN]]-B225</f>
        <v>-0.12566495400000011</v>
      </c>
      <c r="D226" s="27"/>
    </row>
    <row r="227" spans="1:4" x14ac:dyDescent="0.35">
      <c r="A227" s="42">
        <v>37895</v>
      </c>
      <c r="B227" s="43">
        <f>VLOOKUP(A227,'Data yoy'!$B:$AW,MATCH($B$1,'Data yoy'!$B$1:$AW$1,0),FALSE)</f>
        <v>1.3270538169999999</v>
      </c>
      <c r="C227" s="43">
        <f>Table13456789101112131415161734[[#This Row],[JPN]]-B226</f>
        <v>-1.932434999999999E-2</v>
      </c>
      <c r="D227" s="27"/>
    </row>
    <row r="228" spans="1:4" x14ac:dyDescent="0.35">
      <c r="A228" s="42">
        <v>37987</v>
      </c>
      <c r="B228" s="43">
        <f>VLOOKUP(A228,'Data yoy'!$B:$AW,MATCH($B$1,'Data yoy'!$B$1:$AW$1,0),FALSE)</f>
        <v>2.1501017939999998</v>
      </c>
      <c r="C228" s="43">
        <f>Table13456789101112131415161734[[#This Row],[JPN]]-B227</f>
        <v>0.82304797699999988</v>
      </c>
      <c r="D228" s="27"/>
    </row>
    <row r="229" spans="1:4" x14ac:dyDescent="0.35">
      <c r="A229" s="42">
        <v>38078</v>
      </c>
      <c r="B229" s="43">
        <f>VLOOKUP(A229,'Data yoy'!$B:$AW,MATCH($B$1,'Data yoy'!$B$1:$AW$1,0),FALSE)</f>
        <v>2.833317412</v>
      </c>
      <c r="C229" s="43">
        <f>Table13456789101112131415161734[[#This Row],[JPN]]-B228</f>
        <v>0.68321561800000019</v>
      </c>
      <c r="D229" s="27"/>
    </row>
    <row r="230" spans="1:4" x14ac:dyDescent="0.35">
      <c r="A230" s="42">
        <v>38169</v>
      </c>
      <c r="B230" s="43">
        <f>VLOOKUP(A230,'Data yoy'!$B:$AW,MATCH($B$1,'Data yoy'!$B$1:$AW$1,0),FALSE)</f>
        <v>2.1461017080000002</v>
      </c>
      <c r="C230" s="43">
        <f>Table13456789101112131415161734[[#This Row],[JPN]]-B229</f>
        <v>-0.68721570399999976</v>
      </c>
      <c r="D230" s="27"/>
    </row>
    <row r="231" spans="1:4" x14ac:dyDescent="0.35">
      <c r="A231" s="42">
        <v>38261</v>
      </c>
      <c r="B231" s="43">
        <f>VLOOKUP(A231,'Data yoy'!$B:$AW,MATCH($B$1,'Data yoy'!$B$1:$AW$1,0),FALSE)</f>
        <v>2.4697951859999998</v>
      </c>
      <c r="C231" s="43">
        <f>Table13456789101112131415161734[[#This Row],[JPN]]-B230</f>
        <v>0.32369347799999959</v>
      </c>
      <c r="D231" s="27"/>
    </row>
    <row r="232" spans="1:4" x14ac:dyDescent="0.35">
      <c r="A232" s="42">
        <v>38353</v>
      </c>
      <c r="B232" s="43">
        <f>VLOOKUP(A232,'Data yoy'!$B:$AW,MATCH($B$1,'Data yoy'!$B$1:$AW$1,0),FALSE)</f>
        <v>1.1738321869999999</v>
      </c>
      <c r="C232" s="43">
        <f>Table13456789101112131415161734[[#This Row],[JPN]]-B231</f>
        <v>-1.2959629989999999</v>
      </c>
      <c r="D232" s="27"/>
    </row>
    <row r="233" spans="1:4" x14ac:dyDescent="0.35">
      <c r="A233" s="42">
        <v>38443</v>
      </c>
      <c r="B233" s="43">
        <f>VLOOKUP(A233,'Data yoy'!$B:$AW,MATCH($B$1,'Data yoy'!$B$1:$AW$1,0),FALSE)</f>
        <v>0.95255277299999996</v>
      </c>
      <c r="C233" s="43">
        <f>Table13456789101112131415161734[[#This Row],[JPN]]-B232</f>
        <v>-0.22127941399999995</v>
      </c>
      <c r="D233" s="27"/>
    </row>
    <row r="234" spans="1:4" x14ac:dyDescent="0.35">
      <c r="A234" s="42">
        <v>38534</v>
      </c>
      <c r="B234" s="43">
        <f>VLOOKUP(A234,'Data yoy'!$B:$AW,MATCH($B$1,'Data yoy'!$B$1:$AW$1,0),FALSE)</f>
        <v>1.7194826459999999</v>
      </c>
      <c r="C234" s="43">
        <f>Table13456789101112131415161734[[#This Row],[JPN]]-B233</f>
        <v>0.76692987299999993</v>
      </c>
      <c r="D234" s="27"/>
    </row>
    <row r="235" spans="1:4" x14ac:dyDescent="0.35">
      <c r="A235" s="42">
        <v>38626</v>
      </c>
      <c r="B235" s="43">
        <f>VLOOKUP(A235,'Data yoy'!$B:$AW,MATCH($B$1,'Data yoy'!$B$1:$AW$1,0),FALSE)</f>
        <v>2.1275634700000001</v>
      </c>
      <c r="C235" s="43">
        <f>Table13456789101112131415161734[[#This Row],[JPN]]-B234</f>
        <v>0.40808082400000023</v>
      </c>
      <c r="D235" s="27"/>
    </row>
    <row r="236" spans="1:4" x14ac:dyDescent="0.35">
      <c r="A236" s="42">
        <v>38718</v>
      </c>
      <c r="B236" s="43">
        <f>VLOOKUP(A236,'Data yoy'!$B:$AW,MATCH($B$1,'Data yoy'!$B$1:$AW$1,0),FALSE)</f>
        <v>2.5024919130000001</v>
      </c>
      <c r="C236" s="43">
        <f>Table13456789101112131415161734[[#This Row],[JPN]]-B235</f>
        <v>0.37492844299999994</v>
      </c>
      <c r="D236" s="27"/>
    </row>
    <row r="237" spans="1:4" x14ac:dyDescent="0.35">
      <c r="A237" s="42">
        <v>38808</v>
      </c>
      <c r="B237" s="43">
        <f>VLOOKUP(A237,'Data yoy'!$B:$AW,MATCH($B$1,'Data yoy'!$B$1:$AW$1,0),FALSE)</f>
        <v>2.1382703670000001</v>
      </c>
      <c r="C237" s="43">
        <f>Table13456789101112131415161734[[#This Row],[JPN]]-B236</f>
        <v>-0.36422154600000001</v>
      </c>
      <c r="D237" s="27"/>
    </row>
    <row r="238" spans="1:4" x14ac:dyDescent="0.35">
      <c r="A238" s="42">
        <v>38899</v>
      </c>
      <c r="B238" s="43">
        <f>VLOOKUP(A238,'Data yoy'!$B:$AW,MATCH($B$1,'Data yoy'!$B$1:$AW$1,0),FALSE)</f>
        <v>1.5051200419999999</v>
      </c>
      <c r="C238" s="43">
        <f>Table13456789101112131415161734[[#This Row],[JPN]]-B237</f>
        <v>-0.63315032500000012</v>
      </c>
      <c r="D238" s="27"/>
    </row>
    <row r="239" spans="1:4" x14ac:dyDescent="0.35">
      <c r="A239" s="42">
        <v>38991</v>
      </c>
      <c r="B239" s="43">
        <f>VLOOKUP(A239,'Data yoy'!$B:$AW,MATCH($B$1,'Data yoy'!$B$1:$AW$1,0),FALSE)</f>
        <v>0.28856904999999999</v>
      </c>
      <c r="C239" s="43">
        <f>Table13456789101112131415161734[[#This Row],[JPN]]-B238</f>
        <v>-1.2165509919999999</v>
      </c>
      <c r="D239" s="27"/>
    </row>
    <row r="240" spans="1:4" x14ac:dyDescent="0.35">
      <c r="A240" s="42">
        <v>39083</v>
      </c>
      <c r="B240" s="43">
        <f>VLOOKUP(A240,'Data yoy'!$B:$AW,MATCH($B$1,'Data yoy'!$B$1:$AW$1,0),FALSE)</f>
        <v>1.4645123980000001</v>
      </c>
      <c r="C240" s="43">
        <f>Table13456789101112131415161734[[#This Row],[JPN]]-B239</f>
        <v>1.1759433480000001</v>
      </c>
      <c r="D240" s="27"/>
    </row>
    <row r="241" spans="1:4" x14ac:dyDescent="0.35">
      <c r="A241" s="42">
        <v>39173</v>
      </c>
      <c r="B241" s="43">
        <f>VLOOKUP(A241,'Data yoy'!$B:$AW,MATCH($B$1,'Data yoy'!$B$1:$AW$1,0),FALSE)</f>
        <v>1.9766540610000001</v>
      </c>
      <c r="C241" s="43">
        <f>Table13456789101112131415161734[[#This Row],[JPN]]-B240</f>
        <v>0.51214166299999997</v>
      </c>
      <c r="D241" s="27"/>
    </row>
    <row r="242" spans="1:4" x14ac:dyDescent="0.35">
      <c r="A242" s="42">
        <v>39264</v>
      </c>
      <c r="B242" s="43">
        <f>VLOOKUP(A242,'Data yoy'!$B:$AW,MATCH($B$1,'Data yoy'!$B$1:$AW$1,0),FALSE)</f>
        <v>1.8513549250000001</v>
      </c>
      <c r="C242" s="43">
        <f>Table13456789101112131415161734[[#This Row],[JPN]]-B241</f>
        <v>-0.12529913599999998</v>
      </c>
      <c r="D242" s="27"/>
    </row>
    <row r="243" spans="1:4" x14ac:dyDescent="0.35">
      <c r="A243" s="42">
        <v>39356</v>
      </c>
      <c r="B243" s="43">
        <f>VLOOKUP(A243,'Data yoy'!$B:$AW,MATCH($B$1,'Data yoy'!$B$1:$AW$1,0),FALSE)</f>
        <v>1.501730765</v>
      </c>
      <c r="C243" s="43">
        <f>Table13456789101112131415161734[[#This Row],[JPN]]-B242</f>
        <v>-0.34962416000000007</v>
      </c>
      <c r="D243" s="27"/>
    </row>
    <row r="244" spans="1:4" x14ac:dyDescent="0.35">
      <c r="A244" s="42">
        <v>39448</v>
      </c>
      <c r="B244" s="43">
        <f>VLOOKUP(A244,'Data yoy'!$B:$AW,MATCH($B$1,'Data yoy'!$B$1:$AW$1,0),FALSE)</f>
        <v>0.58931140299999996</v>
      </c>
      <c r="C244" s="43">
        <f>Table13456789101112131415161734[[#This Row],[JPN]]-B243</f>
        <v>-0.91241936200000007</v>
      </c>
      <c r="D244" s="27"/>
    </row>
    <row r="245" spans="1:4" x14ac:dyDescent="0.35">
      <c r="A245" s="42">
        <v>39539</v>
      </c>
      <c r="B245" s="43">
        <f>VLOOKUP(A245,'Data yoy'!$B:$AW,MATCH($B$1,'Data yoy'!$B$1:$AW$1,0),FALSE)</f>
        <v>0.28826737600000002</v>
      </c>
      <c r="C245" s="43">
        <f>Table13456789101112131415161734[[#This Row],[JPN]]-B244</f>
        <v>-0.30104402699999994</v>
      </c>
      <c r="D245" s="27"/>
    </row>
    <row r="246" spans="1:4" x14ac:dyDescent="0.35">
      <c r="A246" s="42">
        <v>39630</v>
      </c>
      <c r="B246" s="43">
        <f>VLOOKUP(A246,'Data yoy'!$B:$AW,MATCH($B$1,'Data yoy'!$B$1:$AW$1,0),FALSE)</f>
        <v>-0.34125048099999999</v>
      </c>
      <c r="C246" s="43">
        <f>Table13456789101112131415161734[[#This Row],[JPN]]-B245</f>
        <v>-0.62951785699999996</v>
      </c>
      <c r="D246" s="27"/>
    </row>
    <row r="247" spans="1:4" x14ac:dyDescent="0.35">
      <c r="A247" s="42">
        <v>39722</v>
      </c>
      <c r="B247" s="43">
        <f>VLOOKUP(A247,'Data yoy'!$B:$AW,MATCH($B$1,'Data yoy'!$B$1:$AW$1,0),FALSE)</f>
        <v>-1.042551395</v>
      </c>
      <c r="C247" s="43">
        <f>Table13456789101112131415161734[[#This Row],[JPN]]-B246</f>
        <v>-0.70130091400000005</v>
      </c>
      <c r="D247" s="27"/>
    </row>
    <row r="248" spans="1:4" x14ac:dyDescent="0.35">
      <c r="A248" s="42">
        <v>39814</v>
      </c>
      <c r="B248" s="43">
        <f>VLOOKUP(A248,'Data yoy'!$B:$AW,MATCH($B$1,'Data yoy'!$B$1:$AW$1,0),FALSE)</f>
        <v>-3.8985986060000002</v>
      </c>
      <c r="C248" s="43">
        <f>Table13456789101112131415161734[[#This Row],[JPN]]-B247</f>
        <v>-2.8560472109999999</v>
      </c>
      <c r="D248" s="27"/>
    </row>
    <row r="249" spans="1:4" x14ac:dyDescent="0.35">
      <c r="A249" s="42">
        <v>39904</v>
      </c>
      <c r="B249" s="43">
        <f>VLOOKUP(A249,'Data yoy'!$B:$AW,MATCH($B$1,'Data yoy'!$B$1:$AW$1,0),FALSE)</f>
        <v>-8.8440404990000001</v>
      </c>
      <c r="C249" s="43">
        <f>Table13456789101112131415161734[[#This Row],[JPN]]-B248</f>
        <v>-4.9454418929999999</v>
      </c>
      <c r="D249" s="27"/>
    </row>
    <row r="250" spans="1:4" x14ac:dyDescent="0.35">
      <c r="A250" s="42">
        <v>39995</v>
      </c>
      <c r="B250" s="43">
        <f>VLOOKUP(A250,'Data yoy'!$B:$AW,MATCH($B$1,'Data yoy'!$B$1:$AW$1,0),FALSE)</f>
        <v>-6.5174482669999998</v>
      </c>
      <c r="C250" s="43">
        <f>Table13456789101112131415161734[[#This Row],[JPN]]-B249</f>
        <v>2.3265922320000003</v>
      </c>
      <c r="D250" s="27"/>
    </row>
    <row r="251" spans="1:4" x14ac:dyDescent="0.35">
      <c r="A251" s="42">
        <v>40087</v>
      </c>
      <c r="B251" s="43">
        <f>VLOOKUP(A251,'Data yoy'!$B:$AW,MATCH($B$1,'Data yoy'!$B$1:$AW$1,0),FALSE)</f>
        <v>-5.3843345280000001</v>
      </c>
      <c r="C251" s="43">
        <f>Table13456789101112131415161734[[#This Row],[JPN]]-B250</f>
        <v>1.1331137389999997</v>
      </c>
      <c r="D251" s="27"/>
    </row>
    <row r="252" spans="1:4" x14ac:dyDescent="0.35">
      <c r="A252" s="42">
        <v>40179</v>
      </c>
      <c r="B252" s="43">
        <f>VLOOKUP(A252,'Data yoy'!$B:$AW,MATCH($B$1,'Data yoy'!$B$1:$AW$1,0),FALSE)</f>
        <v>-1.78662981</v>
      </c>
      <c r="C252" s="43">
        <f>Table13456789101112131415161734[[#This Row],[JPN]]-B251</f>
        <v>3.5977047180000001</v>
      </c>
      <c r="D252" s="27"/>
    </row>
    <row r="253" spans="1:4" x14ac:dyDescent="0.35">
      <c r="A253" s="42">
        <v>40269</v>
      </c>
      <c r="B253" s="43">
        <f>VLOOKUP(A253,'Data yoy'!$B:$AW,MATCH($B$1,'Data yoy'!$B$1:$AW$1,0),FALSE)</f>
        <v>4.2570408720000001</v>
      </c>
      <c r="C253" s="43">
        <f>Table13456789101112131415161734[[#This Row],[JPN]]-B252</f>
        <v>6.0436706820000001</v>
      </c>
      <c r="D253" s="27"/>
    </row>
    <row r="254" spans="1:4" x14ac:dyDescent="0.35">
      <c r="A254" s="42">
        <v>40360</v>
      </c>
      <c r="B254" s="43">
        <f>VLOOKUP(A254,'Data yoy'!$B:$AW,MATCH($B$1,'Data yoy'!$B$1:$AW$1,0),FALSE)</f>
        <v>3.487585261</v>
      </c>
      <c r="C254" s="43">
        <f>Table13456789101112131415161734[[#This Row],[JPN]]-B253</f>
        <v>-0.76945561100000015</v>
      </c>
      <c r="D254" s="27"/>
    </row>
    <row r="255" spans="1:4" x14ac:dyDescent="0.35">
      <c r="A255" s="42">
        <v>40452</v>
      </c>
      <c r="B255" s="43">
        <f>VLOOKUP(A255,'Data yoy'!$B:$AW,MATCH($B$1,'Data yoy'!$B$1:$AW$1,0),FALSE)</f>
        <v>5.4110123650000004</v>
      </c>
      <c r="C255" s="43">
        <f>Table13456789101112131415161734[[#This Row],[JPN]]-B254</f>
        <v>1.9234271040000004</v>
      </c>
      <c r="D255" s="27"/>
    </row>
    <row r="256" spans="1:4" x14ac:dyDescent="0.35">
      <c r="A256" s="42">
        <v>40544</v>
      </c>
      <c r="B256" s="43">
        <f>VLOOKUP(A256,'Data yoy'!$B:$AW,MATCH($B$1,'Data yoy'!$B$1:$AW$1,0),FALSE)</f>
        <v>3.2639832370000001</v>
      </c>
      <c r="C256" s="43">
        <f>Table13456789101112131415161734[[#This Row],[JPN]]-B255</f>
        <v>-2.1470291280000002</v>
      </c>
      <c r="D256" s="27"/>
    </row>
    <row r="257" spans="1:4" x14ac:dyDescent="0.35">
      <c r="A257" s="42">
        <v>40634</v>
      </c>
      <c r="B257" s="43">
        <f>VLOOKUP(A257,'Data yoy'!$B:$AW,MATCH($B$1,'Data yoy'!$B$1:$AW$1,0),FALSE)</f>
        <v>1.11434415</v>
      </c>
      <c r="C257" s="43">
        <f>Table13456789101112131415161734[[#This Row],[JPN]]-B256</f>
        <v>-2.1496390870000002</v>
      </c>
      <c r="D257" s="27"/>
    </row>
    <row r="258" spans="1:4" x14ac:dyDescent="0.35">
      <c r="A258" s="42">
        <v>40725</v>
      </c>
      <c r="B258" s="43">
        <f>VLOOKUP(A258,'Data yoy'!$B:$AW,MATCH($B$1,'Data yoy'!$B$1:$AW$1,0),FALSE)</f>
        <v>-0.94323783900000002</v>
      </c>
      <c r="C258" s="43">
        <f>Table13456789101112131415161734[[#This Row],[JPN]]-B257</f>
        <v>-2.057581989</v>
      </c>
      <c r="D258" s="27"/>
    </row>
    <row r="259" spans="1:4" x14ac:dyDescent="0.35">
      <c r="A259" s="42">
        <v>40817</v>
      </c>
      <c r="B259" s="43">
        <f>VLOOKUP(A259,'Data yoy'!$B:$AW,MATCH($B$1,'Data yoy'!$B$1:$AW$1,0),FALSE)</f>
        <v>-0.343511701</v>
      </c>
      <c r="C259" s="43">
        <f>Table13456789101112131415161734[[#This Row],[JPN]]-B258</f>
        <v>0.59972613800000008</v>
      </c>
      <c r="D259" s="27"/>
    </row>
    <row r="260" spans="1:4" x14ac:dyDescent="0.35">
      <c r="A260" s="42">
        <v>40909</v>
      </c>
      <c r="B260" s="43">
        <f>VLOOKUP(A260,'Data yoy'!$B:$AW,MATCH($B$1,'Data yoy'!$B$1:$AW$1,0),FALSE)</f>
        <v>0.33173177300000001</v>
      </c>
      <c r="C260" s="43">
        <f>Table13456789101112131415161734[[#This Row],[JPN]]-B259</f>
        <v>0.67524347399999995</v>
      </c>
      <c r="D260" s="27"/>
    </row>
    <row r="261" spans="1:4" x14ac:dyDescent="0.35">
      <c r="A261" s="42">
        <v>41000</v>
      </c>
      <c r="B261" s="43">
        <f>VLOOKUP(A261,'Data yoy'!$B:$AW,MATCH($B$1,'Data yoy'!$B$1:$AW$1,0),FALSE)</f>
        <v>2.8058835210000002</v>
      </c>
      <c r="C261" s="43">
        <f>Table13456789101112131415161734[[#This Row],[JPN]]-B260</f>
        <v>2.4741517480000002</v>
      </c>
      <c r="D261" s="27"/>
    </row>
    <row r="262" spans="1:4" x14ac:dyDescent="0.35">
      <c r="A262" s="42">
        <v>41091</v>
      </c>
      <c r="B262" s="43">
        <f>VLOOKUP(A262,'Data yoy'!$B:$AW,MATCH($B$1,'Data yoy'!$B$1:$AW$1,0),FALSE)</f>
        <v>2.7643322640000001</v>
      </c>
      <c r="C262" s="43">
        <f>Table13456789101112131415161734[[#This Row],[JPN]]-B261</f>
        <v>-4.1551257000000064E-2</v>
      </c>
      <c r="D262" s="27"/>
    </row>
    <row r="263" spans="1:4" x14ac:dyDescent="0.35">
      <c r="A263" s="42">
        <v>41183</v>
      </c>
      <c r="B263" s="43">
        <f>VLOOKUP(A263,'Data yoy'!$B:$AW,MATCH($B$1,'Data yoy'!$B$1:$AW$1,0),FALSE)</f>
        <v>-5.4752979E-2</v>
      </c>
      <c r="C263" s="43">
        <f>Table13456789101112131415161734[[#This Row],[JPN]]-B262</f>
        <v>-2.819085243</v>
      </c>
      <c r="D263" s="27"/>
    </row>
    <row r="264" spans="1:4" x14ac:dyDescent="0.35">
      <c r="A264" s="42">
        <v>41275</v>
      </c>
      <c r="B264" s="43">
        <f>VLOOKUP(A264,'Data yoy'!$B:$AW,MATCH($B$1,'Data yoy'!$B$1:$AW$1,0),FALSE)</f>
        <v>8.2067000000000008E-3</v>
      </c>
      <c r="C264" s="43">
        <f>Table13456789101112131415161734[[#This Row],[JPN]]-B263</f>
        <v>6.2959679000000005E-2</v>
      </c>
      <c r="D264" s="27"/>
    </row>
    <row r="265" spans="1:4" x14ac:dyDescent="0.35">
      <c r="A265" s="42">
        <v>41365</v>
      </c>
      <c r="B265" s="43">
        <f>VLOOKUP(A265,'Data yoy'!$B:$AW,MATCH($B$1,'Data yoy'!$B$1:$AW$1,0),FALSE)</f>
        <v>6.79307E-3</v>
      </c>
      <c r="C265" s="43">
        <f>Table13456789101112131415161734[[#This Row],[JPN]]-B264</f>
        <v>-1.4136300000000008E-3</v>
      </c>
      <c r="D265" s="27"/>
    </row>
    <row r="266" spans="1:4" x14ac:dyDescent="0.35">
      <c r="A266" s="42">
        <v>41456</v>
      </c>
      <c r="B266" s="43">
        <f>VLOOKUP(A266,'Data yoy'!$B:$AW,MATCH($B$1,'Data yoy'!$B$1:$AW$1,0),FALSE)</f>
        <v>1.8422019279999999</v>
      </c>
      <c r="C266" s="43">
        <f>Table13456789101112131415161734[[#This Row],[JPN]]-B265</f>
        <v>1.8354088579999999</v>
      </c>
      <c r="D266" s="27"/>
    </row>
    <row r="267" spans="1:4" x14ac:dyDescent="0.35">
      <c r="A267" s="42">
        <v>41548</v>
      </c>
      <c r="B267" s="43">
        <f>VLOOKUP(A267,'Data yoy'!$B:$AW,MATCH($B$1,'Data yoy'!$B$1:$AW$1,0),FALSE)</f>
        <v>3.2068976149999999</v>
      </c>
      <c r="C267" s="43">
        <f>Table13456789101112131415161734[[#This Row],[JPN]]-B266</f>
        <v>1.364695687</v>
      </c>
      <c r="D267" s="27"/>
    </row>
    <row r="268" spans="1:4" x14ac:dyDescent="0.35">
      <c r="A268" s="42">
        <v>41640</v>
      </c>
      <c r="B268" s="43">
        <f>VLOOKUP(A268,'Data yoy'!$B:$AW,MATCH($B$1,'Data yoy'!$B$1:$AW$1,0),FALSE)</f>
        <v>3.151463466</v>
      </c>
      <c r="C268" s="43">
        <f>Table13456789101112131415161734[[#This Row],[JPN]]-B267</f>
        <v>-5.5434148999999877E-2</v>
      </c>
      <c r="D268" s="27"/>
    </row>
    <row r="269" spans="1:4" x14ac:dyDescent="0.35">
      <c r="A269" s="42">
        <v>41730</v>
      </c>
      <c r="B269" s="43">
        <f>VLOOKUP(A269,'Data yoy'!$B:$AW,MATCH($B$1,'Data yoy'!$B$1:$AW$1,0),FALSE)</f>
        <v>2.5748770300000001</v>
      </c>
      <c r="C269" s="43">
        <f>Table13456789101112131415161734[[#This Row],[JPN]]-B268</f>
        <v>-0.57658643599999992</v>
      </c>
      <c r="D269" s="27"/>
    </row>
    <row r="270" spans="1:4" x14ac:dyDescent="0.35">
      <c r="A270" s="42">
        <v>41821</v>
      </c>
      <c r="B270" s="43">
        <f>VLOOKUP(A270,'Data yoy'!$B:$AW,MATCH($B$1,'Data yoy'!$B$1:$AW$1,0),FALSE)</f>
        <v>-0.175430213</v>
      </c>
      <c r="C270" s="43">
        <f>Table13456789101112131415161734[[#This Row],[JPN]]-B269</f>
        <v>-2.750307243</v>
      </c>
      <c r="D270" s="27"/>
    </row>
    <row r="271" spans="1:4" x14ac:dyDescent="0.35">
      <c r="A271" s="42">
        <v>41913</v>
      </c>
      <c r="B271" s="43">
        <f>VLOOKUP(A271,'Data yoy'!$B:$AW,MATCH($B$1,'Data yoy'!$B$1:$AW$1,0),FALSE)</f>
        <v>-1.0417421899999999</v>
      </c>
      <c r="C271" s="43">
        <f>Table13456789101112131415161734[[#This Row],[JPN]]-B270</f>
        <v>-0.86631197699999984</v>
      </c>
      <c r="D271" s="27"/>
    </row>
    <row r="272" spans="1:4" x14ac:dyDescent="0.35">
      <c r="A272" s="42">
        <v>42005</v>
      </c>
      <c r="B272" s="43">
        <f>VLOOKUP(A272,'Data yoy'!$B:$AW,MATCH($B$1,'Data yoy'!$B$1:$AW$1,0),FALSE)</f>
        <v>-0.459922689</v>
      </c>
      <c r="C272" s="43">
        <f>Table13456789101112131415161734[[#This Row],[JPN]]-B271</f>
        <v>0.58181950099999991</v>
      </c>
      <c r="D272" s="27"/>
    </row>
    <row r="273" spans="1:4" x14ac:dyDescent="0.35">
      <c r="A273" s="42">
        <v>42095</v>
      </c>
      <c r="B273" s="43">
        <f>VLOOKUP(A273,'Data yoy'!$B:$AW,MATCH($B$1,'Data yoy'!$B$1:$AW$1,0),FALSE)</f>
        <v>0.267122366</v>
      </c>
      <c r="C273" s="43">
        <f>Table13456789101112131415161734[[#This Row],[JPN]]-B272</f>
        <v>0.72704505500000005</v>
      </c>
      <c r="D273" s="27"/>
    </row>
    <row r="274" spans="1:4" x14ac:dyDescent="0.35">
      <c r="A274" s="42">
        <v>42186</v>
      </c>
      <c r="B274" s="43">
        <f>VLOOKUP(A274,'Data yoy'!$B:$AW,MATCH($B$1,'Data yoy'!$B$1:$AW$1,0),FALSE)</f>
        <v>2.2488488470000001</v>
      </c>
      <c r="C274" s="43">
        <f>Table13456789101112131415161734[[#This Row],[JPN]]-B273</f>
        <v>1.9817264810000002</v>
      </c>
      <c r="D274" s="27"/>
    </row>
    <row r="275" spans="1:4" x14ac:dyDescent="0.35">
      <c r="A275" s="42">
        <v>42278</v>
      </c>
      <c r="B275" s="43">
        <f>VLOOKUP(A275,'Data yoy'!$B:$AW,MATCH($B$1,'Data yoy'!$B$1:$AW$1,0),FALSE)</f>
        <v>2.263318012</v>
      </c>
      <c r="C275" s="43">
        <f>Table13456789101112131415161734[[#This Row],[JPN]]-B274</f>
        <v>1.4469164999999951E-2</v>
      </c>
      <c r="D275" s="27"/>
    </row>
    <row r="276" spans="1:4" x14ac:dyDescent="0.35">
      <c r="A276" s="42">
        <v>42370</v>
      </c>
      <c r="B276" s="43">
        <f>VLOOKUP(A276,'Data yoy'!$B:$AW,MATCH($B$1,'Data yoy'!$B$1:$AW$1,0),FALSE)</f>
        <v>1.622617988</v>
      </c>
      <c r="C276" s="43">
        <f>Table13456789101112131415161734[[#This Row],[JPN]]-B275</f>
        <v>-0.64070002400000003</v>
      </c>
      <c r="D276" s="27"/>
    </row>
    <row r="277" spans="1:4" x14ac:dyDescent="0.35">
      <c r="A277" s="42">
        <v>42461</v>
      </c>
      <c r="B277" s="43">
        <f>VLOOKUP(A277,'Data yoy'!$B:$AW,MATCH($B$1,'Data yoy'!$B$1:$AW$1,0),FALSE)</f>
        <v>0.81236666700000004</v>
      </c>
      <c r="C277" s="43">
        <f>Table13456789101112131415161734[[#This Row],[JPN]]-B276</f>
        <v>-0.81025132099999997</v>
      </c>
      <c r="D277" s="27"/>
    </row>
    <row r="278" spans="1:4" x14ac:dyDescent="0.35">
      <c r="A278" s="42">
        <v>42552</v>
      </c>
      <c r="B278" s="43">
        <f>VLOOKUP(A278,'Data yoy'!$B:$AW,MATCH($B$1,'Data yoy'!$B$1:$AW$1,0),FALSE)</f>
        <v>0.51548996599999997</v>
      </c>
      <c r="C278" s="43">
        <f>Table13456789101112131415161734[[#This Row],[JPN]]-B277</f>
        <v>-0.29687670100000008</v>
      </c>
      <c r="D278" s="27"/>
    </row>
    <row r="279" spans="1:4" x14ac:dyDescent="0.35">
      <c r="A279" s="42">
        <v>42644</v>
      </c>
      <c r="B279" s="43">
        <f>VLOOKUP(A279,'Data yoy'!$B:$AW,MATCH($B$1,'Data yoy'!$B$1:$AW$1,0),FALSE)</f>
        <v>0.61652857900000002</v>
      </c>
      <c r="C279" s="43">
        <f>Table13456789101112131415161734[[#This Row],[JPN]]-B278</f>
        <v>0.10103861300000005</v>
      </c>
      <c r="D279" s="27"/>
    </row>
    <row r="280" spans="1:4" x14ac:dyDescent="0.35">
      <c r="A280" s="42">
        <v>42736</v>
      </c>
      <c r="B280" s="43">
        <f>VLOOKUP(A280,'Data yoy'!$B:$AW,MATCH($B$1,'Data yoy'!$B$1:$AW$1,0),FALSE)</f>
        <v>0.93834408199999997</v>
      </c>
      <c r="C280" s="43">
        <f>Table13456789101112131415161734[[#This Row],[JPN]]-B279</f>
        <v>0.32181550299999995</v>
      </c>
      <c r="D280" s="27"/>
    </row>
    <row r="281" spans="1:4" x14ac:dyDescent="0.35">
      <c r="A281" s="42">
        <v>42826</v>
      </c>
      <c r="B281" s="43">
        <f>VLOOKUP(A281,'Data yoy'!$B:$AW,MATCH($B$1,'Data yoy'!$B$1:$AW$1,0),FALSE)</f>
        <v>1.0123043279999999</v>
      </c>
      <c r="C281" s="43">
        <f>Table13456789101112131415161734[[#This Row],[JPN]]-B280</f>
        <v>7.3960245999999952E-2</v>
      </c>
      <c r="D281" s="27"/>
    </row>
    <row r="282" spans="1:4" x14ac:dyDescent="0.35">
      <c r="A282" s="42">
        <v>42917</v>
      </c>
      <c r="B282" s="43">
        <f>VLOOKUP(A282,'Data yoy'!$B:$AW,MATCH($B$1,'Data yoy'!$B$1:$AW$1,0),FALSE)</f>
        <v>1.5089096550000001</v>
      </c>
      <c r="C282" s="43">
        <f>Table13456789101112131415161734[[#This Row],[JPN]]-B281</f>
        <v>0.49660532700000015</v>
      </c>
      <c r="D282" s="27"/>
    </row>
    <row r="283" spans="1:4" x14ac:dyDescent="0.35">
      <c r="A283" s="42">
        <v>43009</v>
      </c>
      <c r="B283" s="43">
        <f>VLOOKUP(A283,'Data yoy'!$B:$AW,MATCH($B$1,'Data yoy'!$B$1:$AW$1,0),FALSE)</f>
        <v>2.173377281</v>
      </c>
      <c r="C283" s="43">
        <f>Table13456789101112131415161734[[#This Row],[JPN]]-B282</f>
        <v>0.66446762599999998</v>
      </c>
      <c r="D283" s="27"/>
    </row>
    <row r="284" spans="1:4" x14ac:dyDescent="0.35">
      <c r="A284" s="42">
        <v>43101</v>
      </c>
      <c r="B284" s="43">
        <f>VLOOKUP(A284,'Data yoy'!$B:$AW,MATCH($B$1,'Data yoy'!$B$1:$AW$1,0),FALSE)</f>
        <v>2.1372811010000001</v>
      </c>
      <c r="C284" s="43">
        <f>Table13456789101112131415161734[[#This Row],[JPN]]-B283</f>
        <v>-3.6096179999999922E-2</v>
      </c>
      <c r="D284" s="27"/>
    </row>
    <row r="285" spans="1:4" x14ac:dyDescent="0.35">
      <c r="A285" s="42">
        <v>43191</v>
      </c>
      <c r="B285" s="43">
        <f>VLOOKUP(A285,'Data yoy'!$B:$AW,MATCH($B$1,'Data yoy'!$B$1:$AW$1,0),FALSE)</f>
        <v>1.4169078209999999</v>
      </c>
      <c r="C285" s="43">
        <f>Table13456789101112131415161734[[#This Row],[JPN]]-B284</f>
        <v>-0.72037328000000023</v>
      </c>
      <c r="D285" s="27"/>
    </row>
    <row r="286" spans="1:4" x14ac:dyDescent="0.35">
      <c r="A286" s="42">
        <v>43282</v>
      </c>
      <c r="B286" s="43">
        <f>VLOOKUP(A286,'Data yoy'!$B:$AW,MATCH($B$1,'Data yoy'!$B$1:$AW$1,0),FALSE)</f>
        <v>1.3617493469999999</v>
      </c>
      <c r="C286" s="43">
        <f>Table13456789101112131415161734[[#This Row],[JPN]]-B285</f>
        <v>-5.5158473999999957E-2</v>
      </c>
    </row>
    <row r="287" spans="1:4" x14ac:dyDescent="0.35">
      <c r="A287" s="42">
        <v>43374</v>
      </c>
      <c r="B287" s="43">
        <f>VLOOKUP(A287,'Data yoy'!$B:$AW,MATCH($B$1,'Data yoy'!$B$1:$AW$1,0),FALSE)</f>
        <v>1.164516E-2</v>
      </c>
      <c r="C287" s="43">
        <f>Table13456789101112131415161734[[#This Row],[JPN]]-B286</f>
        <v>-1.3501041869999999</v>
      </c>
    </row>
    <row r="288" spans="1:4" x14ac:dyDescent="0.35">
      <c r="A288" s="42">
        <v>43466</v>
      </c>
      <c r="B288" s="43">
        <f>VLOOKUP(A288,'Data yoy'!$B:$AW,MATCH($B$1,'Data yoy'!$B$1:$AW$1,0),FALSE)</f>
        <v>-0.23869598</v>
      </c>
      <c r="C288" s="43">
        <f>Table13456789101112131415161734[[#This Row],[JPN]]-B287</f>
        <v>-0.25034114000000002</v>
      </c>
    </row>
    <row r="289" spans="1:4" x14ac:dyDescent="0.35">
      <c r="A289" s="42">
        <v>43556</v>
      </c>
      <c r="B289" s="43">
        <f>VLOOKUP(A289,'Data yoy'!$B:$AW,MATCH($B$1,'Data yoy'!$B$1:$AW$1,0),FALSE)</f>
        <v>-0.115361675</v>
      </c>
      <c r="C289" s="43">
        <f>Table13456789101112131415161734[[#This Row],[JPN]]-B288</f>
        <v>0.12333430500000001</v>
      </c>
    </row>
    <row r="290" spans="1:4" x14ac:dyDescent="0.35">
      <c r="A290" s="42">
        <v>43647</v>
      </c>
      <c r="B290" s="43">
        <f>VLOOKUP(A290,'Data yoy'!$B:$AW,MATCH($B$1,'Data yoy'!$B$1:$AW$1,0),FALSE)</f>
        <v>-0.108432086</v>
      </c>
      <c r="C290" s="43">
        <f>Table13456789101112131415161734[[#This Row],[JPN]]-B289</f>
        <v>6.9295889999999999E-3</v>
      </c>
    </row>
    <row r="291" spans="1:4" s="72" customFormat="1" x14ac:dyDescent="0.35">
      <c r="A291" s="42">
        <v>43739</v>
      </c>
      <c r="B291" s="43">
        <f>VLOOKUP(A291,'Data yoy'!$B:$AW,MATCH($B$1,'Data yoy'!$B$1:$AW$1,0),FALSE)</f>
        <v>0.63580583300000004</v>
      </c>
      <c r="C291" s="43">
        <f>Table13456789101112131415161734[[#This Row],[JPN]]-B290</f>
        <v>0.74423791900000003</v>
      </c>
      <c r="D291" s="48"/>
    </row>
    <row r="292" spans="1:4" s="72" customFormat="1" x14ac:dyDescent="0.35">
      <c r="A292" s="42">
        <v>43831</v>
      </c>
      <c r="B292" s="43">
        <f>VLOOKUP(A292,'Data yoy'!$B:$AW,MATCH($B$1,'Data yoy'!$B$1:$AW$1,0),FALSE)</f>
        <v>-1.9945432780000001</v>
      </c>
      <c r="C292" s="43">
        <f>Table13456789101112131415161734[[#This Row],[JPN]]-B291</f>
        <v>-2.6303491110000001</v>
      </c>
      <c r="D292" s="48"/>
    </row>
    <row r="293" spans="1:4" s="72" customFormat="1" x14ac:dyDescent="0.35">
      <c r="A293" s="42">
        <v>43922</v>
      </c>
      <c r="B293" s="43">
        <f>VLOOKUP(A293,'Data yoy'!$B:$AW,MATCH($B$1,'Data yoy'!$B$1:$AW$1,0),FALSE)</f>
        <v>-1.799441029</v>
      </c>
      <c r="C293" s="43">
        <f>Table13456789101112131415161734[[#This Row],[JPN]]-B292</f>
        <v>0.19510224900000006</v>
      </c>
      <c r="D293" s="48"/>
    </row>
    <row r="294" spans="1:4" s="72" customFormat="1" x14ac:dyDescent="0.35">
      <c r="A294" s="42">
        <v>44013</v>
      </c>
      <c r="B294" s="43">
        <f>VLOOKUP(A294,'Data yoy'!$B:$AW,MATCH($B$1,'Data yoy'!$B$1:$AW$1,0),FALSE)</f>
        <v>-9.8824007989999991</v>
      </c>
      <c r="C294" s="43">
        <f>Table13456789101112131415161734[[#This Row],[JPN]]-B293</f>
        <v>-8.0829597699999987</v>
      </c>
      <c r="D294" s="48"/>
    </row>
    <row r="295" spans="1:4" s="72" customFormat="1" x14ac:dyDescent="0.35">
      <c r="A295" s="42">
        <v>44105</v>
      </c>
      <c r="B295" s="43">
        <f>VLOOKUP(A295,'Data yoy'!$B:$AW,MATCH($B$1,'Data yoy'!$B$1:$AW$1,0),FALSE)</f>
        <v>-5.0316907960000004</v>
      </c>
      <c r="C295" s="43">
        <f>Table13456789101112131415161734[[#This Row],[JPN]]-B294</f>
        <v>4.8507100029999988</v>
      </c>
      <c r="D295" s="48"/>
    </row>
    <row r="296" spans="1:4" s="72" customFormat="1" x14ac:dyDescent="0.35">
      <c r="A296" s="42">
        <v>44197</v>
      </c>
      <c r="B296" s="43">
        <f>VLOOKUP(A296,'Data yoy'!$B:$AW,MATCH($B$1,'Data yoy'!$B$1:$AW$1,0),FALSE)</f>
        <v>-0.52842753499999995</v>
      </c>
      <c r="C296" s="43">
        <f>Table13456789101112131415161734[[#This Row],[JPN]]-B295</f>
        <v>4.5032632610000007</v>
      </c>
      <c r="D296" s="48"/>
    </row>
    <row r="297" spans="1:4" s="72" customFormat="1" x14ac:dyDescent="0.35">
      <c r="A297" s="42">
        <v>44287</v>
      </c>
      <c r="B297" s="43">
        <f>VLOOKUP(A297,'Data yoy'!$B:$AW,MATCH($B$1,'Data yoy'!$B$1:$AW$1,0),FALSE)</f>
        <v>-1.0937626549999999</v>
      </c>
      <c r="C297" s="43">
        <f>Table13456789101112131415161734[[#This Row],[JPN]]-B296</f>
        <v>-0.56533511999999997</v>
      </c>
      <c r="D297" s="48"/>
    </row>
    <row r="298" spans="1:4" s="72" customFormat="1" x14ac:dyDescent="0.35">
      <c r="A298" s="42">
        <v>44378</v>
      </c>
      <c r="B298" s="43">
        <f>VLOOKUP(A298,'Data yoy'!$B:$AW,MATCH($B$1,'Data yoy'!$B$1:$AW$1,0),FALSE)</f>
        <v>7.8196382680000003</v>
      </c>
      <c r="C298" s="43">
        <f>Table13456789101112131415161734[[#This Row],[JPN]]-B297</f>
        <v>8.9134009230000011</v>
      </c>
      <c r="D298" s="48"/>
    </row>
    <row r="299" spans="1:4" s="72" customFormat="1" x14ac:dyDescent="0.35">
      <c r="A299" s="42">
        <v>44470</v>
      </c>
      <c r="B299" s="43">
        <f>VLOOKUP(A299,'Data yoy'!$B:$AW,MATCH($B$1,'Data yoy'!$B$1:$AW$1,0),FALSE)</f>
        <v>1.7069413250000001</v>
      </c>
      <c r="C299" s="43">
        <f>Table13456789101112131415161734[[#This Row],[JPN]]-B298</f>
        <v>-6.1126969430000004</v>
      </c>
      <c r="D299" s="48"/>
    </row>
    <row r="300" spans="1:4" s="72" customFormat="1" x14ac:dyDescent="0.35">
      <c r="A300" s="42">
        <v>44562</v>
      </c>
      <c r="B300" s="43">
        <f>VLOOKUP(A300,'Data yoy'!$B:$AW,MATCH($B$1,'Data yoy'!$B$1:$AW$1,0),FALSE)</f>
        <v>0.91566553699999997</v>
      </c>
      <c r="C300" s="43">
        <f>Table13456789101112131415161734[[#This Row],[JPN]]-B299</f>
        <v>-0.79127578800000009</v>
      </c>
      <c r="D300" s="48"/>
    </row>
    <row r="301" spans="1:4" s="72" customFormat="1" x14ac:dyDescent="0.35">
      <c r="A301" s="42">
        <v>44652</v>
      </c>
      <c r="B301" s="43">
        <f>VLOOKUP(A301,'Data yoy'!$B:$AW,MATCH($B$1,'Data yoy'!$B$1:$AW$1,0),FALSE)</f>
        <v>0.63336725800000004</v>
      </c>
      <c r="C301" s="43">
        <f>Table13456789101112131415161734[[#This Row],[JPN]]-B300</f>
        <v>-0.28229827899999993</v>
      </c>
      <c r="D301" s="48"/>
    </row>
    <row r="302" spans="1:4" s="72" customFormat="1" x14ac:dyDescent="0.35">
      <c r="A302" s="42">
        <v>44743</v>
      </c>
      <c r="B302" s="43">
        <f>VLOOKUP(A302,'Data yoy'!$B:$AW,MATCH($B$1,'Data yoy'!$B$1:$AW$1,0),FALSE)</f>
        <v>1.4351155209999999</v>
      </c>
      <c r="C302" s="43">
        <f>Table13456789101112131415161734[[#This Row],[JPN]]-B301</f>
        <v>0.80174826299999991</v>
      </c>
      <c r="D302" s="48"/>
    </row>
    <row r="303" spans="1:4" s="72" customFormat="1" x14ac:dyDescent="0.35">
      <c r="A303" s="42">
        <v>44835</v>
      </c>
      <c r="B303" s="43">
        <f>VLOOKUP(A303,'Data yoy'!$B:$AW,MATCH($B$1,'Data yoy'!$B$1:$AW$1,0),FALSE)</f>
        <v>1.5237209810000001</v>
      </c>
      <c r="C303" s="43">
        <f>Table13456789101112131415161734[[#This Row],[JPN]]-B302</f>
        <v>8.8605460000000136E-2</v>
      </c>
      <c r="D303" s="48"/>
    </row>
    <row r="304" spans="1:4" s="72" customFormat="1" x14ac:dyDescent="0.35">
      <c r="A304" s="42">
        <v>44927</v>
      </c>
      <c r="B304" s="43">
        <f>VLOOKUP(A304,'Data yoy'!$B:$AW,MATCH($B$1,'Data yoy'!$B$1:$AW$1,0),FALSE)</f>
        <v>0.60470879099999997</v>
      </c>
      <c r="C304" s="43">
        <f>Table13456789101112131415161734[[#This Row],[JPN]]-B303</f>
        <v>-0.91901219000000012</v>
      </c>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85" activePane="bottomLeft" state="frozen"/>
      <selection activeCell="T15" sqref="T15"/>
      <selection pane="bottomLeft" activeCell="A297" sqref="A297:D304"/>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2">
        <v>44927</v>
      </c>
      <c r="B304" s="43">
        <f>VLOOKUP(A304,'Data qoq'!$B:$AT,MATCH($B$1,'Data qoq'!$B$1:$AT$1,0),FALSE)</f>
        <v>0.71518529099999995</v>
      </c>
      <c r="C304" s="43">
        <f>Table134567891011121314151617343[[#This Row],[USA]]-B303</f>
        <v>-8.596991800000009E-2</v>
      </c>
      <c r="D304" s="55">
        <f>(Table134567891011121314151617343[[#This Row],[USA]]/100 +1)^4-1</f>
        <v>2.8915771496997644E-2</v>
      </c>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2023-02-18T02:44:49Z</dcterms:modified>
</cp:coreProperties>
</file>